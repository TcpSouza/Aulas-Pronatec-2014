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5180" windowHeight="8070"/>
  </bookViews>
  <sheets>
    <sheet name="Progr1 (3)" sheetId="1" r:id="rId1"/>
    <sheet name="Gestão de Estoque" sheetId="2" r:id="rId2"/>
    <sheet name="EM2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_____________________________a2" localSheetId="0">_____________________L208C4</definedName>
    <definedName name="____________________________________a2">_____________________L208C4</definedName>
    <definedName name="____________________________________a3" localSheetId="0">_____________________L208C4</definedName>
    <definedName name="____________________________________a3">_____________________L208C4</definedName>
    <definedName name="____________________________________Est1" localSheetId="0">_____________________L10C2:_____________________L90C3</definedName>
    <definedName name="____________________________________Est1">_____________________L10C2:_____________________L90C3</definedName>
    <definedName name="___________________________________a2" localSheetId="0">____________________L208C4</definedName>
    <definedName name="___________________________________a2">____________________L208C4</definedName>
    <definedName name="___________________________________a3" localSheetId="0">____________________L208C4</definedName>
    <definedName name="___________________________________a3">____________________L208C4</definedName>
    <definedName name="___________________________________Est1" localSheetId="0">____________________L10C2:____________________L90C3</definedName>
    <definedName name="___________________________________Est1">____________________L10C2:____________________L90C3</definedName>
    <definedName name="_________________________________a2" localSheetId="0">___________________L208C4</definedName>
    <definedName name="_________________________________a2">___________________L208C4</definedName>
    <definedName name="_________________________________a3" localSheetId="0">___________________L208C4</definedName>
    <definedName name="_________________________________a3">___________________L208C4</definedName>
    <definedName name="_________________________________Est1" localSheetId="0">___________________L10C2:___________________L90C3</definedName>
    <definedName name="_________________________________Est1">___________________L10C2:___________________L90C3</definedName>
    <definedName name="_______________________________a2" localSheetId="0">__________________L208C4</definedName>
    <definedName name="_______________________________a2">__________________L208C4</definedName>
    <definedName name="_______________________________a3" localSheetId="0">__________________L208C4</definedName>
    <definedName name="_______________________________a3">__________________L208C4</definedName>
    <definedName name="_______________________________Est1" localSheetId="0">__________________L10C2:__________________L90C3</definedName>
    <definedName name="_______________________________Est1">__________________L10C2:__________________L90C3</definedName>
    <definedName name="_____________________________a2" localSheetId="0">_________________L208C4</definedName>
    <definedName name="_____________________________a2">_________________L208C4</definedName>
    <definedName name="_____________________________a3" localSheetId="0">_________________L208C4</definedName>
    <definedName name="_____________________________a3">_________________L208C4</definedName>
    <definedName name="_____________________________Est1" localSheetId="0">_________________L10C2:_________________L90C3</definedName>
    <definedName name="_____________________________Est1">_________________L10C2:_________________L90C3</definedName>
    <definedName name="___________________________a2" localSheetId="0">________________L208C4</definedName>
    <definedName name="___________________________a2">________________L208C4</definedName>
    <definedName name="___________________________a3" localSheetId="0">________________L208C4</definedName>
    <definedName name="___________________________a3">________________L208C4</definedName>
    <definedName name="___________________________Est1" localSheetId="0">________________L10C2:________________L90C3</definedName>
    <definedName name="___________________________Est1">________________L10C2:________________L90C3</definedName>
    <definedName name="__________________________Brz1">[1]Feriados!$B$4:$B$14</definedName>
    <definedName name="__________________________Brz2">[1]Feriados!$B$17:$B$24</definedName>
    <definedName name="_________________________a2" localSheetId="0">_______________L208C4</definedName>
    <definedName name="_________________________a2">_______________L208C4</definedName>
    <definedName name="_________________________a3" localSheetId="0">_______________L208C4</definedName>
    <definedName name="_________________________a3">_______________L208C4</definedName>
    <definedName name="_________________________Abr1" localSheetId="0">#REF!</definedName>
    <definedName name="_________________________Abr1">#REF!</definedName>
    <definedName name="_________________________Ago1" localSheetId="0">#REF!</definedName>
    <definedName name="_________________________Ago1">#REF!</definedName>
    <definedName name="_________________________Dez1" localSheetId="0">#REF!</definedName>
    <definedName name="_________________________Dez1">#REF!</definedName>
    <definedName name="_________________________Est1" localSheetId="0">_______________L10C2:_______________L90C3</definedName>
    <definedName name="_________________________Est1">_______________L10C2:_______________L90C3</definedName>
    <definedName name="_________________________Fev1" localSheetId="0">#REF!</definedName>
    <definedName name="_________________________Fev1">#REF!</definedName>
    <definedName name="_________________________Jan1" localSheetId="0">#REF!</definedName>
    <definedName name="_________________________Jan1">#REF!</definedName>
    <definedName name="_________________________Jul1" localSheetId="0">#REF!</definedName>
    <definedName name="_________________________Jul1">#REF!</definedName>
    <definedName name="_________________________Jun1" localSheetId="0">#REF!</definedName>
    <definedName name="_________________________Jun1">#REF!</definedName>
    <definedName name="_________________________Mai1" localSheetId="0">#REF!</definedName>
    <definedName name="_________________________Mai1">#REF!</definedName>
    <definedName name="_________________________Mar1" localSheetId="0">#REF!</definedName>
    <definedName name="_________________________Mar1">#REF!</definedName>
    <definedName name="_________________________Nov1" localSheetId="0">#REF!</definedName>
    <definedName name="_________________________Nov1">#REF!</definedName>
    <definedName name="_________________________Out1" localSheetId="0">#REF!</definedName>
    <definedName name="_________________________Out1">#REF!</definedName>
    <definedName name="_________________________Set1" localSheetId="0">#REF!</definedName>
    <definedName name="_________________________Set1">#REF!</definedName>
    <definedName name="________________________a2" localSheetId="0">______________L208C4</definedName>
    <definedName name="________________________a2">______________L208C4</definedName>
    <definedName name="________________________a3" localSheetId="0">______________L208C4</definedName>
    <definedName name="________________________a3">______________L208C4</definedName>
    <definedName name="________________________Abr1" localSheetId="0">#REF!</definedName>
    <definedName name="________________________Abr1">#REF!</definedName>
    <definedName name="________________________Ago1" localSheetId="0">#REF!</definedName>
    <definedName name="________________________Ago1">#REF!</definedName>
    <definedName name="________________________Brz1">[1]Feriados!$B$4:$B$14</definedName>
    <definedName name="________________________Brz2">[1]Feriados!$B$17:$B$24</definedName>
    <definedName name="________________________Dez1" localSheetId="0">#REF!</definedName>
    <definedName name="________________________Dez1">#REF!</definedName>
    <definedName name="________________________Est1" localSheetId="0">______________L10C2:______________L90C3</definedName>
    <definedName name="________________________Est1">______________L10C2:______________L90C3</definedName>
    <definedName name="________________________Fev1" localSheetId="0">#REF!</definedName>
    <definedName name="________________________Fev1">#REF!</definedName>
    <definedName name="________________________Jan1" localSheetId="0">#REF!</definedName>
    <definedName name="________________________Jan1">#REF!</definedName>
    <definedName name="________________________Jul1" localSheetId="0">#REF!</definedName>
    <definedName name="________________________Jul1">#REF!</definedName>
    <definedName name="________________________Jun1" localSheetId="0">#REF!</definedName>
    <definedName name="________________________Jun1">#REF!</definedName>
    <definedName name="________________________Mai1" localSheetId="0">#REF!</definedName>
    <definedName name="________________________Mai1">#REF!</definedName>
    <definedName name="________________________Mar1" localSheetId="0">#REF!</definedName>
    <definedName name="________________________Mar1">#REF!</definedName>
    <definedName name="________________________Nov1" localSheetId="0">#REF!</definedName>
    <definedName name="________________________Nov1">#REF!</definedName>
    <definedName name="________________________Out1" localSheetId="0">#REF!</definedName>
    <definedName name="________________________Out1">#REF!</definedName>
    <definedName name="________________________Set1" localSheetId="0">#REF!</definedName>
    <definedName name="________________________Set1">#REF!</definedName>
    <definedName name="_______________________E1" localSheetId="0">#REF!</definedName>
    <definedName name="_______________________E1">#REF!</definedName>
    <definedName name="_______________________E2" localSheetId="0">#REF!</definedName>
    <definedName name="_______________________E2">#REF!</definedName>
    <definedName name="_______________________H1" localSheetId="0">#REF!</definedName>
    <definedName name="_______________________H1">#REF!</definedName>
    <definedName name="______________________a2" localSheetId="0">_____________L208C4</definedName>
    <definedName name="______________________a2">_____________L208C4</definedName>
    <definedName name="______________________a3" localSheetId="0">_____________L208C4</definedName>
    <definedName name="______________________a3">_____________L208C4</definedName>
    <definedName name="______________________Abr1" localSheetId="0">#REF!</definedName>
    <definedName name="______________________Abr1">#REF!</definedName>
    <definedName name="______________________Ago1" localSheetId="0">#REF!</definedName>
    <definedName name="______________________Ago1">#REF!</definedName>
    <definedName name="______________________Brz1">[1]Feriados!$B$4:$B$14</definedName>
    <definedName name="______________________Brz2">[1]Feriados!$B$17:$B$24</definedName>
    <definedName name="______________________Dez1" localSheetId="0">#REF!</definedName>
    <definedName name="______________________Dez1">#REF!</definedName>
    <definedName name="______________________E1" localSheetId="0">#REF!</definedName>
    <definedName name="______________________E1">#REF!</definedName>
    <definedName name="______________________E2" localSheetId="0">#REF!</definedName>
    <definedName name="______________________E2">#REF!</definedName>
    <definedName name="______________________Est1" localSheetId="0">_____________L10C2:_____________L90C3</definedName>
    <definedName name="______________________Est1">_____________L10C2:_____________L90C3</definedName>
    <definedName name="______________________Fev1" localSheetId="0">#REF!</definedName>
    <definedName name="______________________Fev1">#REF!</definedName>
    <definedName name="______________________H1" localSheetId="0">#REF!</definedName>
    <definedName name="______________________H1">#REF!</definedName>
    <definedName name="______________________Jan1" localSheetId="0">#REF!</definedName>
    <definedName name="______________________Jan1">#REF!</definedName>
    <definedName name="______________________Jul1" localSheetId="0">#REF!</definedName>
    <definedName name="______________________Jul1">#REF!</definedName>
    <definedName name="______________________Jun1" localSheetId="0">#REF!</definedName>
    <definedName name="______________________Jun1">#REF!</definedName>
    <definedName name="______________________Mai1" localSheetId="0">#REF!</definedName>
    <definedName name="______________________Mai1">#REF!</definedName>
    <definedName name="______________________Mar1" localSheetId="0">#REF!</definedName>
    <definedName name="______________________Mar1">#REF!</definedName>
    <definedName name="______________________Nov1" localSheetId="0">#REF!</definedName>
    <definedName name="______________________Nov1">#REF!</definedName>
    <definedName name="______________________Out1" localSheetId="0">#REF!</definedName>
    <definedName name="______________________Out1">#REF!</definedName>
    <definedName name="______________________SAC2">'[2]Ser-Sac'!$B$2:$G$19</definedName>
    <definedName name="______________________Set1" localSheetId="0">#REF!</definedName>
    <definedName name="______________________Set1">#REF!</definedName>
    <definedName name="_____________________a2" localSheetId="0">____________L208C4</definedName>
    <definedName name="_____________________a2">____________L208C4</definedName>
    <definedName name="_____________________a3" localSheetId="0">____________L208C4</definedName>
    <definedName name="_____________________a3">____________L208C4</definedName>
    <definedName name="_____________________Abr1" localSheetId="0">#REF!</definedName>
    <definedName name="_____________________Abr1">#REF!</definedName>
    <definedName name="_____________________Ago1" localSheetId="0">#REF!</definedName>
    <definedName name="_____________________Ago1">#REF!</definedName>
    <definedName name="_____________________Brz1">[1]Feriados!$B$4:$B$14</definedName>
    <definedName name="_____________________Brz2">[1]Feriados!$B$17:$B$24</definedName>
    <definedName name="_____________________Dez1" localSheetId="0">#REF!</definedName>
    <definedName name="_____________________Dez1">#REF!</definedName>
    <definedName name="_____________________Est1" localSheetId="0">____________L10C2:____________L90C3</definedName>
    <definedName name="_____________________Est1">____________L10C2:____________L90C3</definedName>
    <definedName name="_____________________Fev1" localSheetId="0">#REF!</definedName>
    <definedName name="_____________________Fev1">#REF!</definedName>
    <definedName name="_____________________Jan1" localSheetId="0">#REF!</definedName>
    <definedName name="_____________________Jan1">#REF!</definedName>
    <definedName name="_____________________Jul1" localSheetId="0">#REF!</definedName>
    <definedName name="_____________________Jul1">#REF!</definedName>
    <definedName name="_____________________Jun1" localSheetId="0">#REF!</definedName>
    <definedName name="_____________________Jun1">#REF!</definedName>
    <definedName name="_____________________Mai1" localSheetId="0">#REF!</definedName>
    <definedName name="_____________________Mai1">#REF!</definedName>
    <definedName name="_____________________Mar1" localSheetId="0">#REF!</definedName>
    <definedName name="_____________________Mar1">#REF!</definedName>
    <definedName name="_____________________Nov1" localSheetId="0">#REF!</definedName>
    <definedName name="_____________________Nov1">#REF!</definedName>
    <definedName name="_____________________Out1" localSheetId="0">#REF!</definedName>
    <definedName name="_____________________Out1">#REF!</definedName>
    <definedName name="_____________________SAC2">'[2]Ser-Sac'!$B$2:$G$19</definedName>
    <definedName name="_____________________Set1" localSheetId="0">#REF!</definedName>
    <definedName name="_____________________Set1">#REF!</definedName>
    <definedName name="____________________Abr1" localSheetId="0">#REF!</definedName>
    <definedName name="____________________Abr1">#REF!</definedName>
    <definedName name="____________________Ago1" localSheetId="0">#REF!</definedName>
    <definedName name="____________________Ago1">#REF!</definedName>
    <definedName name="____________________Brz1">[1]Feriados!$B$4:$B$14</definedName>
    <definedName name="____________________Brz2">[1]Feriados!$B$17:$B$24</definedName>
    <definedName name="____________________Dez1" localSheetId="0">#REF!</definedName>
    <definedName name="____________________Dez1">#REF!</definedName>
    <definedName name="____________________E1" localSheetId="0">#REF!</definedName>
    <definedName name="____________________E1">#REF!</definedName>
    <definedName name="____________________E2" localSheetId="0">#REF!</definedName>
    <definedName name="____________________E2">#REF!</definedName>
    <definedName name="____________________Fev1" localSheetId="0">#REF!</definedName>
    <definedName name="____________________Fev1">#REF!</definedName>
    <definedName name="____________________H1" localSheetId="0">#REF!</definedName>
    <definedName name="____________________H1">#REF!</definedName>
    <definedName name="____________________Jan1" localSheetId="0">#REF!</definedName>
    <definedName name="____________________Jan1">#REF!</definedName>
    <definedName name="____________________Jul1" localSheetId="0">#REF!</definedName>
    <definedName name="____________________Jul1">#REF!</definedName>
    <definedName name="____________________Jun1" localSheetId="0">#REF!</definedName>
    <definedName name="____________________Jun1">#REF!</definedName>
    <definedName name="____________________Mai1" localSheetId="0">#REF!</definedName>
    <definedName name="____________________Mai1">#REF!</definedName>
    <definedName name="____________________Mar1" localSheetId="0">#REF!</definedName>
    <definedName name="____________________Mar1">#REF!</definedName>
    <definedName name="____________________Nov1" localSheetId="0">#REF!</definedName>
    <definedName name="____________________Nov1">#REF!</definedName>
    <definedName name="____________________Out1" localSheetId="0">#REF!</definedName>
    <definedName name="____________________Out1">#REF!</definedName>
    <definedName name="____________________SAC2">'[2]Ser-Sac'!$B$2:$G$19</definedName>
    <definedName name="____________________Set1" localSheetId="0">#REF!</definedName>
    <definedName name="____________________Set1">#REF!</definedName>
    <definedName name="___________________a2" localSheetId="0">___________L208C4</definedName>
    <definedName name="___________________a2">___________L208C4</definedName>
    <definedName name="___________________a3" localSheetId="0">___________L208C4</definedName>
    <definedName name="___________________a3">___________L208C4</definedName>
    <definedName name="___________________Abr1" localSheetId="0">#REF!</definedName>
    <definedName name="___________________Abr1">#REF!</definedName>
    <definedName name="___________________Ago1" localSheetId="0">#REF!</definedName>
    <definedName name="___________________Ago1">#REF!</definedName>
    <definedName name="___________________Brz1">[1]Feriados!$B$4:$B$14</definedName>
    <definedName name="___________________Brz2">[1]Feriados!$B$17:$B$24</definedName>
    <definedName name="___________________Dez1" localSheetId="0">#REF!</definedName>
    <definedName name="___________________Dez1">#REF!</definedName>
    <definedName name="___________________E1" localSheetId="0">#REF!</definedName>
    <definedName name="___________________E1">#REF!</definedName>
    <definedName name="___________________E2" localSheetId="0">#REF!</definedName>
    <definedName name="___________________E2">#REF!</definedName>
    <definedName name="___________________Est1" localSheetId="0">___________L10C2:___________L90C3</definedName>
    <definedName name="___________________Est1">___________L10C2:___________L90C3</definedName>
    <definedName name="___________________Fev1" localSheetId="0">#REF!</definedName>
    <definedName name="___________________Fev1">#REF!</definedName>
    <definedName name="___________________H1" localSheetId="0">#REF!</definedName>
    <definedName name="___________________H1">#REF!</definedName>
    <definedName name="___________________Jan1" localSheetId="0">#REF!</definedName>
    <definedName name="___________________Jan1">#REF!</definedName>
    <definedName name="___________________Jul1" localSheetId="0">#REF!</definedName>
    <definedName name="___________________Jul1">#REF!</definedName>
    <definedName name="___________________Jun1" localSheetId="0">#REF!</definedName>
    <definedName name="___________________Jun1">#REF!</definedName>
    <definedName name="___________________Mai1" localSheetId="0">#REF!</definedName>
    <definedName name="___________________Mai1">#REF!</definedName>
    <definedName name="___________________Mar1" localSheetId="0">#REF!</definedName>
    <definedName name="___________________Mar1">#REF!</definedName>
    <definedName name="___________________Nov1" localSheetId="0">#REF!</definedName>
    <definedName name="___________________Nov1">#REF!</definedName>
    <definedName name="___________________Out1" localSheetId="0">#REF!</definedName>
    <definedName name="___________________Out1">#REF!</definedName>
    <definedName name="___________________SAC2">'[2]Ser-Sac'!$B$2:$G$19</definedName>
    <definedName name="___________________Set1" localSheetId="0">#REF!</definedName>
    <definedName name="___________________Set1">#REF!</definedName>
    <definedName name="__________________Abr1" localSheetId="0">#REF!</definedName>
    <definedName name="__________________Abr1">#REF!</definedName>
    <definedName name="__________________Ago1" localSheetId="0">#REF!</definedName>
    <definedName name="__________________Ago1">#REF!</definedName>
    <definedName name="__________________Brz1">[1]Feriados!$B$4:$B$14</definedName>
    <definedName name="__________________Brz2">[1]Feriados!$B$17:$B$24</definedName>
    <definedName name="__________________Dez1" localSheetId="0">#REF!</definedName>
    <definedName name="__________________Dez1">#REF!</definedName>
    <definedName name="__________________E1" localSheetId="0">#REF!</definedName>
    <definedName name="__________________E1">#REF!</definedName>
    <definedName name="__________________E2" localSheetId="0">#REF!</definedName>
    <definedName name="__________________E2">#REF!</definedName>
    <definedName name="__________________Fev1" localSheetId="0">#REF!</definedName>
    <definedName name="__________________Fev1">#REF!</definedName>
    <definedName name="__________________H1" localSheetId="0">#REF!</definedName>
    <definedName name="__________________H1">#REF!</definedName>
    <definedName name="__________________Jan1" localSheetId="0">#REF!</definedName>
    <definedName name="__________________Jan1">#REF!</definedName>
    <definedName name="__________________Jul1" localSheetId="0">#REF!</definedName>
    <definedName name="__________________Jul1">#REF!</definedName>
    <definedName name="__________________Jun1" localSheetId="0">#REF!</definedName>
    <definedName name="__________________Jun1">#REF!</definedName>
    <definedName name="__________________Mai1" localSheetId="0">#REF!</definedName>
    <definedName name="__________________Mai1">#REF!</definedName>
    <definedName name="__________________Mar1" localSheetId="0">#REF!</definedName>
    <definedName name="__________________Mar1">#REF!</definedName>
    <definedName name="__________________Nov1" localSheetId="0">#REF!</definedName>
    <definedName name="__________________Nov1">#REF!</definedName>
    <definedName name="__________________Out1" localSheetId="0">#REF!</definedName>
    <definedName name="__________________Out1">#REF!</definedName>
    <definedName name="__________________SAC2">'[2]Ser-Sac'!$B$2:$G$19</definedName>
    <definedName name="__________________Set1" localSheetId="0">#REF!</definedName>
    <definedName name="__________________Set1">#REF!</definedName>
    <definedName name="_________________a2" localSheetId="0">__________L208C4</definedName>
    <definedName name="_________________a2">__________L208C4</definedName>
    <definedName name="_________________a3" localSheetId="0">__________L208C4</definedName>
    <definedName name="_________________a3">__________L208C4</definedName>
    <definedName name="_________________Abr1" localSheetId="0">#REF!</definedName>
    <definedName name="_________________Abr1">#REF!</definedName>
    <definedName name="_________________Ago1" localSheetId="0">#REF!</definedName>
    <definedName name="_________________Ago1">#REF!</definedName>
    <definedName name="_________________Brz1">[3]Feriados!$B$4:$B$14</definedName>
    <definedName name="_________________Brz2">[3]Feriados!$B$17:$B$24</definedName>
    <definedName name="_________________Dez1" localSheetId="0">#REF!</definedName>
    <definedName name="_________________Dez1">#REF!</definedName>
    <definedName name="_________________E1" localSheetId="0">#REF!</definedName>
    <definedName name="_________________E1">#REF!</definedName>
    <definedName name="_________________E2" localSheetId="0">#REF!</definedName>
    <definedName name="_________________E2">#REF!</definedName>
    <definedName name="_________________Est1" localSheetId="0">__________L10C2:__________L90C3</definedName>
    <definedName name="_________________Est1">__________L10C2:__________L90C3</definedName>
    <definedName name="_________________Fev1" localSheetId="0">#REF!</definedName>
    <definedName name="_________________Fev1">#REF!</definedName>
    <definedName name="_________________H1" localSheetId="0">#REF!</definedName>
    <definedName name="_________________H1">#REF!</definedName>
    <definedName name="_________________Jan1" localSheetId="0">#REF!</definedName>
    <definedName name="_________________Jan1">#REF!</definedName>
    <definedName name="_________________Jul1" localSheetId="0">#REF!</definedName>
    <definedName name="_________________Jul1">#REF!</definedName>
    <definedName name="_________________Jun1" localSheetId="0">#REF!</definedName>
    <definedName name="_________________Jun1">#REF!</definedName>
    <definedName name="_________________Mai1" localSheetId="0">#REF!</definedName>
    <definedName name="_________________Mai1">#REF!</definedName>
    <definedName name="_________________Mar1" localSheetId="0">#REF!</definedName>
    <definedName name="_________________Mar1">#REF!</definedName>
    <definedName name="_________________Nov1" localSheetId="0">#REF!</definedName>
    <definedName name="_________________Nov1">#REF!</definedName>
    <definedName name="_________________Out1" localSheetId="0">#REF!</definedName>
    <definedName name="_________________Out1">#REF!</definedName>
    <definedName name="_________________SAC2">'[2]Ser-Sac'!$B$2:$G$19</definedName>
    <definedName name="_________________Set1" localSheetId="0">#REF!</definedName>
    <definedName name="_________________Set1">#REF!</definedName>
    <definedName name="________________E1" localSheetId="0">#REF!</definedName>
    <definedName name="________________E1">#REF!</definedName>
    <definedName name="________________E2" localSheetId="0">#REF!</definedName>
    <definedName name="________________E2">#REF!</definedName>
    <definedName name="________________H1" localSheetId="0">#REF!</definedName>
    <definedName name="________________H1">#REF!</definedName>
    <definedName name="________________SAC2">'[2]Ser-Sac'!$B$2:$G$19</definedName>
    <definedName name="_______________a2" localSheetId="0">_________L208C4</definedName>
    <definedName name="_______________a2">_________L208C4</definedName>
    <definedName name="_______________a3" localSheetId="0">_________L208C4</definedName>
    <definedName name="_______________a3">_________L208C4</definedName>
    <definedName name="_______________Abr1" localSheetId="0">#REF!</definedName>
    <definedName name="_______________Abr1">#REF!</definedName>
    <definedName name="_______________Ago1" localSheetId="0">#REF!</definedName>
    <definedName name="_______________Ago1">#REF!</definedName>
    <definedName name="_______________Brz1">[3]Feriados!$B$4:$B$14</definedName>
    <definedName name="_______________Brz2">[3]Feriados!$B$17:$B$24</definedName>
    <definedName name="_______________Dez1" localSheetId="0">#REF!</definedName>
    <definedName name="_______________Dez1">#REF!</definedName>
    <definedName name="_______________E1" localSheetId="0">#REF!</definedName>
    <definedName name="_______________E1">#REF!</definedName>
    <definedName name="_______________E2" localSheetId="0">#REF!</definedName>
    <definedName name="_______________E2">#REF!</definedName>
    <definedName name="_______________Est1" localSheetId="0">_________L10C2:_________L90C3</definedName>
    <definedName name="_______________Est1">_________L10C2:_________L90C3</definedName>
    <definedName name="_______________Fev1" localSheetId="0">#REF!</definedName>
    <definedName name="_______________Fev1">#REF!</definedName>
    <definedName name="_______________H1" localSheetId="0">#REF!</definedName>
    <definedName name="_______________H1">#REF!</definedName>
    <definedName name="_______________Jan1" localSheetId="0">#REF!</definedName>
    <definedName name="_______________Jan1">#REF!</definedName>
    <definedName name="_______________Jul1" localSheetId="0">#REF!</definedName>
    <definedName name="_______________Jul1">#REF!</definedName>
    <definedName name="_______________Jun1" localSheetId="0">#REF!</definedName>
    <definedName name="_______________Jun1">#REF!</definedName>
    <definedName name="_______________Mai1" localSheetId="0">#REF!</definedName>
    <definedName name="_______________Mai1">#REF!</definedName>
    <definedName name="_______________Mar1" localSheetId="0">#REF!</definedName>
    <definedName name="_______________Mar1">#REF!</definedName>
    <definedName name="_______________Nov1" localSheetId="0">#REF!</definedName>
    <definedName name="_______________Nov1">#REF!</definedName>
    <definedName name="_______________Out1" localSheetId="0">#REF!</definedName>
    <definedName name="_______________Out1">#REF!</definedName>
    <definedName name="_______________SAC2">'[2]Ser-Sac'!$B$2:$G$19</definedName>
    <definedName name="_______________Set1" localSheetId="0">#REF!</definedName>
    <definedName name="_______________Set1">#REF!</definedName>
    <definedName name="______________E1" localSheetId="0">#REF!</definedName>
    <definedName name="______________E1">#REF!</definedName>
    <definedName name="______________E2" localSheetId="0">#REF!</definedName>
    <definedName name="______________E2">#REF!</definedName>
    <definedName name="______________H1" localSheetId="0">#REF!</definedName>
    <definedName name="______________H1">#REF!</definedName>
    <definedName name="______________SAC2">'[2]Ser-Sac'!$B$2:$G$19</definedName>
    <definedName name="_____________a2" localSheetId="0">________L208C4</definedName>
    <definedName name="_____________a2">________L208C4</definedName>
    <definedName name="_____________a3" localSheetId="0">________L208C4</definedName>
    <definedName name="_____________a3">________L208C4</definedName>
    <definedName name="_____________Abr1" localSheetId="0">#REF!</definedName>
    <definedName name="_____________Abr1">#REF!</definedName>
    <definedName name="_____________Ago1" localSheetId="0">#REF!</definedName>
    <definedName name="_____________Ago1">#REF!</definedName>
    <definedName name="_____________Brz1">[3]Feriados!$B$4:$B$14</definedName>
    <definedName name="_____________Brz2">[3]Feriados!$B$17:$B$24</definedName>
    <definedName name="_____________Dez1" localSheetId="0">#REF!</definedName>
    <definedName name="_____________Dez1">#REF!</definedName>
    <definedName name="_____________E1" localSheetId="0">#REF!</definedName>
    <definedName name="_____________E1">#REF!</definedName>
    <definedName name="_____________E2" localSheetId="0">#REF!</definedName>
    <definedName name="_____________E2">#REF!</definedName>
    <definedName name="_____________Est1" localSheetId="0">________L10C2:________L90C3</definedName>
    <definedName name="_____________Est1">________L10C2:________L90C3</definedName>
    <definedName name="_____________Fev1" localSheetId="0">#REF!</definedName>
    <definedName name="_____________Fev1">#REF!</definedName>
    <definedName name="_____________H1" localSheetId="0">#REF!</definedName>
    <definedName name="_____________H1">#REF!</definedName>
    <definedName name="_____________Jan1" localSheetId="0">#REF!</definedName>
    <definedName name="_____________Jan1">#REF!</definedName>
    <definedName name="_____________Jul1" localSheetId="0">#REF!</definedName>
    <definedName name="_____________Jul1">#REF!</definedName>
    <definedName name="_____________Jun1" localSheetId="0">#REF!</definedName>
    <definedName name="_____________Jun1">#REF!</definedName>
    <definedName name="_____________Mai1" localSheetId="0">#REF!</definedName>
    <definedName name="_____________Mai1">#REF!</definedName>
    <definedName name="_____________Mar1" localSheetId="0">#REF!</definedName>
    <definedName name="_____________Mar1">#REF!</definedName>
    <definedName name="_____________Nov1" localSheetId="0">#REF!</definedName>
    <definedName name="_____________Nov1">#REF!</definedName>
    <definedName name="_____________Out1" localSheetId="0">#REF!</definedName>
    <definedName name="_____________Out1">#REF!</definedName>
    <definedName name="_____________SAC2">'[2]Ser-Sac'!$B$2:$G$19</definedName>
    <definedName name="_____________Set1" localSheetId="0">#REF!</definedName>
    <definedName name="_____________Set1">#REF!</definedName>
    <definedName name="____________Abr1" localSheetId="0">#REF!</definedName>
    <definedName name="____________Abr1">#REF!</definedName>
    <definedName name="____________Ago1" localSheetId="0">#REF!</definedName>
    <definedName name="____________Ago1">#REF!</definedName>
    <definedName name="____________Brz1">[3]Feriados!$B$4:$B$14</definedName>
    <definedName name="____________Brz2">[3]Feriados!$B$17:$B$24</definedName>
    <definedName name="____________Dez1" localSheetId="0">#REF!</definedName>
    <definedName name="____________Dez1">#REF!</definedName>
    <definedName name="____________E1" localSheetId="0">#REF!</definedName>
    <definedName name="____________E1">#REF!</definedName>
    <definedName name="____________E2" localSheetId="0">#REF!</definedName>
    <definedName name="____________E2">#REF!</definedName>
    <definedName name="____________Fev1" localSheetId="0">#REF!</definedName>
    <definedName name="____________Fev1">#REF!</definedName>
    <definedName name="____________H1" localSheetId="0">#REF!</definedName>
    <definedName name="____________H1">#REF!</definedName>
    <definedName name="____________Jan1" localSheetId="0">#REF!</definedName>
    <definedName name="____________Jan1">#REF!</definedName>
    <definedName name="____________Jul1" localSheetId="0">#REF!</definedName>
    <definedName name="____________Jul1">#REF!</definedName>
    <definedName name="____________Jun1" localSheetId="0">#REF!</definedName>
    <definedName name="____________Jun1">#REF!</definedName>
    <definedName name="____________Mai1" localSheetId="0">#REF!</definedName>
    <definedName name="____________Mai1">#REF!</definedName>
    <definedName name="____________Mar1" localSheetId="0">#REF!</definedName>
    <definedName name="____________Mar1">#REF!</definedName>
    <definedName name="____________Nov1" localSheetId="0">#REF!</definedName>
    <definedName name="____________Nov1">#REF!</definedName>
    <definedName name="____________Out1" localSheetId="0">#REF!</definedName>
    <definedName name="____________Out1">#REF!</definedName>
    <definedName name="____________SAC2">'[2]Ser-Sac'!$B$2:$G$19</definedName>
    <definedName name="____________Set1" localSheetId="0">#REF!</definedName>
    <definedName name="____________Set1">#REF!</definedName>
    <definedName name="___________a2" localSheetId="0">_______L208C4</definedName>
    <definedName name="___________a2">_______L208C4</definedName>
    <definedName name="___________a3" localSheetId="0">_______L208C4</definedName>
    <definedName name="___________a3">_______L208C4</definedName>
    <definedName name="___________Abr1" localSheetId="0">#REF!</definedName>
    <definedName name="___________Abr1">#REF!</definedName>
    <definedName name="___________Ago1" localSheetId="0">#REF!</definedName>
    <definedName name="___________Ago1">#REF!</definedName>
    <definedName name="___________Brz1">[3]Feriados!$B$4:$B$14</definedName>
    <definedName name="___________Brz2">[3]Feriados!$B$17:$B$24</definedName>
    <definedName name="___________Dez1" localSheetId="0">#REF!</definedName>
    <definedName name="___________Dez1">#REF!</definedName>
    <definedName name="___________E1" localSheetId="0">#REF!</definedName>
    <definedName name="___________E1">#REF!</definedName>
    <definedName name="___________E2" localSheetId="0">#REF!</definedName>
    <definedName name="___________E2">#REF!</definedName>
    <definedName name="___________Est1" localSheetId="0">_______L10C2:_______L90C3</definedName>
    <definedName name="___________Est1">_______L10C2:_______L90C3</definedName>
    <definedName name="___________Fev1" localSheetId="0">#REF!</definedName>
    <definedName name="___________Fev1">#REF!</definedName>
    <definedName name="___________H1" localSheetId="0">#REF!</definedName>
    <definedName name="___________H1">#REF!</definedName>
    <definedName name="___________Jan1" localSheetId="0">#REF!</definedName>
    <definedName name="___________Jan1">#REF!</definedName>
    <definedName name="___________Jul1" localSheetId="0">#REF!</definedName>
    <definedName name="___________Jul1">#REF!</definedName>
    <definedName name="___________Jun1" localSheetId="0">#REF!</definedName>
    <definedName name="___________Jun1">#REF!</definedName>
    <definedName name="___________Mai1" localSheetId="0">#REF!</definedName>
    <definedName name="___________Mai1">#REF!</definedName>
    <definedName name="___________Mar1" localSheetId="0">#REF!</definedName>
    <definedName name="___________Mar1">#REF!</definedName>
    <definedName name="___________Nov1" localSheetId="0">#REF!</definedName>
    <definedName name="___________Nov1">#REF!</definedName>
    <definedName name="___________Out1" localSheetId="0">#REF!</definedName>
    <definedName name="___________Out1">#REF!</definedName>
    <definedName name="___________SAC2">'[2]Ser-Sac'!$B$2:$G$19</definedName>
    <definedName name="___________Set1" localSheetId="0">#REF!</definedName>
    <definedName name="___________Set1">#REF!</definedName>
    <definedName name="__________a2" localSheetId="0">______L208C4</definedName>
    <definedName name="__________a2">______L208C4</definedName>
    <definedName name="__________a3" localSheetId="0">______L208C4</definedName>
    <definedName name="__________a3">______L208C4</definedName>
    <definedName name="__________Abr1" localSheetId="0">#REF!</definedName>
    <definedName name="__________Abr1">#REF!</definedName>
    <definedName name="__________Ago1" localSheetId="0">#REF!</definedName>
    <definedName name="__________Ago1">#REF!</definedName>
    <definedName name="__________Brz1">[3]Feriados!$B$4:$B$14</definedName>
    <definedName name="__________Brz2">[3]Feriados!$B$17:$B$24</definedName>
    <definedName name="__________Dez1" localSheetId="0">#REF!</definedName>
    <definedName name="__________Dez1">#REF!</definedName>
    <definedName name="__________E1" localSheetId="0">#REF!</definedName>
    <definedName name="__________E1">#REF!</definedName>
    <definedName name="__________E2" localSheetId="0">#REF!</definedName>
    <definedName name="__________E2">#REF!</definedName>
    <definedName name="__________Est1" localSheetId="0">______L10C2:______L90C3</definedName>
    <definedName name="__________Est1">______L10C2:______L90C3</definedName>
    <definedName name="__________Fev1" localSheetId="0">#REF!</definedName>
    <definedName name="__________Fev1">#REF!</definedName>
    <definedName name="__________H1" localSheetId="0">#REF!</definedName>
    <definedName name="__________H1">#REF!</definedName>
    <definedName name="__________Jan1" localSheetId="0">#REF!</definedName>
    <definedName name="__________Jan1">#REF!</definedName>
    <definedName name="__________Jul1" localSheetId="0">#REF!</definedName>
    <definedName name="__________Jul1">#REF!</definedName>
    <definedName name="__________Jun1" localSheetId="0">#REF!</definedName>
    <definedName name="__________Jun1">#REF!</definedName>
    <definedName name="__________Mai1" localSheetId="0">#REF!</definedName>
    <definedName name="__________Mai1">#REF!</definedName>
    <definedName name="__________Mar1" localSheetId="0">#REF!</definedName>
    <definedName name="__________Mar1">#REF!</definedName>
    <definedName name="__________Nov1" localSheetId="0">#REF!</definedName>
    <definedName name="__________Nov1">#REF!</definedName>
    <definedName name="__________Out1" localSheetId="0">#REF!</definedName>
    <definedName name="__________Out1">#REF!</definedName>
    <definedName name="__________SAC2">'[2]Ser-Sac'!$B$2:$G$19</definedName>
    <definedName name="__________Set1" localSheetId="0">#REF!</definedName>
    <definedName name="__________Set1">#REF!</definedName>
    <definedName name="_________Abr1" localSheetId="0">#REF!</definedName>
    <definedName name="_________Abr1">#REF!</definedName>
    <definedName name="_________Ago1" localSheetId="0">#REF!</definedName>
    <definedName name="_________Ago1">#REF!</definedName>
    <definedName name="_________Brz1">[3]Feriados!$B$4:$B$14</definedName>
    <definedName name="_________Brz2">[3]Feriados!$B$17:$B$24</definedName>
    <definedName name="_________Dez1" localSheetId="0">#REF!</definedName>
    <definedName name="_________Dez1">#REF!</definedName>
    <definedName name="_________E1" localSheetId="0">#REF!</definedName>
    <definedName name="_________E1">#REF!</definedName>
    <definedName name="_________E2" localSheetId="0">#REF!</definedName>
    <definedName name="_________E2">#REF!</definedName>
    <definedName name="_________Fev1" localSheetId="0">#REF!</definedName>
    <definedName name="_________Fev1">#REF!</definedName>
    <definedName name="_________H1" localSheetId="0">#REF!</definedName>
    <definedName name="_________H1">#REF!</definedName>
    <definedName name="_________Jan1" localSheetId="0">#REF!</definedName>
    <definedName name="_________Jan1">#REF!</definedName>
    <definedName name="_________Jul1" localSheetId="0">#REF!</definedName>
    <definedName name="_________Jul1">#REF!</definedName>
    <definedName name="_________Jun1" localSheetId="0">#REF!</definedName>
    <definedName name="_________Jun1">#REF!</definedName>
    <definedName name="_________Mai1" localSheetId="0">#REF!</definedName>
    <definedName name="_________Mai1">#REF!</definedName>
    <definedName name="_________Mar1" localSheetId="0">#REF!</definedName>
    <definedName name="_________Mar1">#REF!</definedName>
    <definedName name="_________Nov1" localSheetId="0">#REF!</definedName>
    <definedName name="_________Nov1">#REF!</definedName>
    <definedName name="_________Out1" localSheetId="0">#REF!</definedName>
    <definedName name="_________Out1">#REF!</definedName>
    <definedName name="_________SAC2">'[2]Ser-Sac'!$B$2:$G$19</definedName>
    <definedName name="_________Set1" localSheetId="0">#REF!</definedName>
    <definedName name="_________Set1">#REF!</definedName>
    <definedName name="________a2" localSheetId="0">_____L208C4</definedName>
    <definedName name="________a2">_____L208C4</definedName>
    <definedName name="________a3" localSheetId="0">_____L208C4</definedName>
    <definedName name="________a3">_____L208C4</definedName>
    <definedName name="________Abr1" localSheetId="0">#REF!</definedName>
    <definedName name="________Abr1">#REF!</definedName>
    <definedName name="________Ago1" localSheetId="0">#REF!</definedName>
    <definedName name="________Ago1">#REF!</definedName>
    <definedName name="________Brz1">[3]Feriados!$B$4:$B$14</definedName>
    <definedName name="________Brz2">[3]Feriados!$B$17:$B$24</definedName>
    <definedName name="________Dez1" localSheetId="0">#REF!</definedName>
    <definedName name="________Dez1">#REF!</definedName>
    <definedName name="________E1" localSheetId="0">#REF!</definedName>
    <definedName name="________E1">#REF!</definedName>
    <definedName name="________E2" localSheetId="0">#REF!</definedName>
    <definedName name="________E2">#REF!</definedName>
    <definedName name="________Est1" localSheetId="0">_____L10C2:_____L90C3</definedName>
    <definedName name="________Est1">_____L10C2:_____L90C3</definedName>
    <definedName name="________Fev1" localSheetId="0">#REF!</definedName>
    <definedName name="________Fev1">#REF!</definedName>
    <definedName name="________H1" localSheetId="0">#REF!</definedName>
    <definedName name="________H1">#REF!</definedName>
    <definedName name="________Jan1" localSheetId="0">#REF!</definedName>
    <definedName name="________Jan1">#REF!</definedName>
    <definedName name="________Jul1" localSheetId="0">#REF!</definedName>
    <definedName name="________Jul1">#REF!</definedName>
    <definedName name="________Jun1" localSheetId="0">#REF!</definedName>
    <definedName name="________Jun1">#REF!</definedName>
    <definedName name="________Mai1" localSheetId="0">#REF!</definedName>
    <definedName name="________Mai1">#REF!</definedName>
    <definedName name="________Mar1" localSheetId="0">#REF!</definedName>
    <definedName name="________Mar1">#REF!</definedName>
    <definedName name="________Nov1" localSheetId="0">#REF!</definedName>
    <definedName name="________Nov1">#REF!</definedName>
    <definedName name="________Out1" localSheetId="0">#REF!</definedName>
    <definedName name="________Out1">#REF!</definedName>
    <definedName name="________SAC2">'[2]Ser-Sac'!$B$2:$G$19</definedName>
    <definedName name="________Set1" localSheetId="0">#REF!</definedName>
    <definedName name="________Set1">#REF!</definedName>
    <definedName name="_______Abr1" localSheetId="0">#REF!</definedName>
    <definedName name="_______Abr1">#REF!</definedName>
    <definedName name="_______Ago1" localSheetId="0">#REF!</definedName>
    <definedName name="_______Ago1">#REF!</definedName>
    <definedName name="_______Brz1">[3]Feriados!$B$4:$B$14</definedName>
    <definedName name="_______Brz2">[3]Feriados!$B$17:$B$24</definedName>
    <definedName name="_______Dez1" localSheetId="0">#REF!</definedName>
    <definedName name="_______Dez1">#REF!</definedName>
    <definedName name="_______E1" localSheetId="0">#REF!</definedName>
    <definedName name="_______E1">#REF!</definedName>
    <definedName name="_______E2" localSheetId="0">#REF!</definedName>
    <definedName name="_______E2">#REF!</definedName>
    <definedName name="_______Fev1" localSheetId="0">#REF!</definedName>
    <definedName name="_______Fev1">#REF!</definedName>
    <definedName name="_______H1" localSheetId="0">#REF!</definedName>
    <definedName name="_______H1">#REF!</definedName>
    <definedName name="_______Jan1" localSheetId="0">#REF!</definedName>
    <definedName name="_______Jan1">#REF!</definedName>
    <definedName name="_______Jul1" localSheetId="0">#REF!</definedName>
    <definedName name="_______Jul1">#REF!</definedName>
    <definedName name="_______Jun1" localSheetId="0">#REF!</definedName>
    <definedName name="_______Jun1">#REF!</definedName>
    <definedName name="_______Mai1" localSheetId="0">#REF!</definedName>
    <definedName name="_______Mai1">#REF!</definedName>
    <definedName name="_______Mar1" localSheetId="0">#REF!</definedName>
    <definedName name="_______Mar1">#REF!</definedName>
    <definedName name="_______Nov1" localSheetId="0">#REF!</definedName>
    <definedName name="_______Nov1">#REF!</definedName>
    <definedName name="_______Out1" localSheetId="0">#REF!</definedName>
    <definedName name="_______Out1">#REF!</definedName>
    <definedName name="_______SAC2">'[2]Ser-Sac'!$B$2:$G$19</definedName>
    <definedName name="_______Set1" localSheetId="0">#REF!</definedName>
    <definedName name="_______Set1">#REF!</definedName>
    <definedName name="______a2" localSheetId="0">____L208C4</definedName>
    <definedName name="______a2">____L208C4</definedName>
    <definedName name="______a3" localSheetId="0">____L208C4</definedName>
    <definedName name="______a3">____L208C4</definedName>
    <definedName name="______Abr1" localSheetId="0">#REF!</definedName>
    <definedName name="______Abr1">#REF!</definedName>
    <definedName name="______Ago1" localSheetId="0">#REF!</definedName>
    <definedName name="______Ago1">#REF!</definedName>
    <definedName name="______Brz1">[3]Feriados!$B$4:$B$14</definedName>
    <definedName name="______Brz2">[3]Feriados!$B$17:$B$24</definedName>
    <definedName name="______Dez1" localSheetId="0">#REF!</definedName>
    <definedName name="______Dez1">#REF!</definedName>
    <definedName name="______E1" localSheetId="0">#REF!</definedName>
    <definedName name="______E1">#REF!</definedName>
    <definedName name="______E2" localSheetId="0">#REF!</definedName>
    <definedName name="______E2">#REF!</definedName>
    <definedName name="______Est1" localSheetId="0">____L10C2:____L90C3</definedName>
    <definedName name="______Est1">____L10C2:____L90C3</definedName>
    <definedName name="______Fev1" localSheetId="0">#REF!</definedName>
    <definedName name="______Fev1">#REF!</definedName>
    <definedName name="______H1" localSheetId="0">#REF!</definedName>
    <definedName name="______H1">#REF!</definedName>
    <definedName name="______Jan1" localSheetId="0">#REF!</definedName>
    <definedName name="______Jan1">#REF!</definedName>
    <definedName name="______Jul1" localSheetId="0">#REF!</definedName>
    <definedName name="______Jul1">#REF!</definedName>
    <definedName name="______Jun1" localSheetId="0">#REF!</definedName>
    <definedName name="______Jun1">#REF!</definedName>
    <definedName name="______Mai1" localSheetId="0">#REF!</definedName>
    <definedName name="______Mai1">#REF!</definedName>
    <definedName name="______Mar1" localSheetId="0">#REF!</definedName>
    <definedName name="______Mar1">#REF!</definedName>
    <definedName name="______Nov1" localSheetId="0">#REF!</definedName>
    <definedName name="______Nov1">#REF!</definedName>
    <definedName name="______Out1" localSheetId="0">#REF!</definedName>
    <definedName name="______Out1">#REF!</definedName>
    <definedName name="______SAC2">'[2]Ser-Sac'!$B$2:$G$19</definedName>
    <definedName name="______Set1" localSheetId="0">#REF!</definedName>
    <definedName name="______Set1">#REF!</definedName>
    <definedName name="_____Abr1" localSheetId="0">#REF!</definedName>
    <definedName name="_____Abr1">#REF!</definedName>
    <definedName name="_____Ago1" localSheetId="0">#REF!</definedName>
    <definedName name="_____Ago1">#REF!</definedName>
    <definedName name="_____Brz1">[3]Feriados!$B$4:$B$14</definedName>
    <definedName name="_____Brz2">[3]Feriados!$B$17:$B$24</definedName>
    <definedName name="_____Dez1" localSheetId="0">#REF!</definedName>
    <definedName name="_____Dez1">#REF!</definedName>
    <definedName name="_____E1" localSheetId="0">#REF!</definedName>
    <definedName name="_____E1">#REF!</definedName>
    <definedName name="_____E2" localSheetId="0">#REF!</definedName>
    <definedName name="_____E2">#REF!</definedName>
    <definedName name="_____Fev1" localSheetId="0">#REF!</definedName>
    <definedName name="_____Fev1">#REF!</definedName>
    <definedName name="_____H1" localSheetId="0">#REF!</definedName>
    <definedName name="_____H1">#REF!</definedName>
    <definedName name="_____Jan1" localSheetId="0">#REF!</definedName>
    <definedName name="_____Jan1">#REF!</definedName>
    <definedName name="_____Jul1" localSheetId="0">#REF!</definedName>
    <definedName name="_____Jul1">#REF!</definedName>
    <definedName name="_____Jun1" localSheetId="0">#REF!</definedName>
    <definedName name="_____Jun1">#REF!</definedName>
    <definedName name="_____Mai1" localSheetId="0">#REF!</definedName>
    <definedName name="_____Mai1">#REF!</definedName>
    <definedName name="_____Mar1" localSheetId="0">#REF!</definedName>
    <definedName name="_____Mar1">#REF!</definedName>
    <definedName name="_____Nov1" localSheetId="0">#REF!</definedName>
    <definedName name="_____Nov1">#REF!</definedName>
    <definedName name="_____Out1" localSheetId="0">#REF!</definedName>
    <definedName name="_____Out1">#REF!</definedName>
    <definedName name="_____SAC2">'[2]Ser-Sac'!$B$2:$G$19</definedName>
    <definedName name="_____Set1" localSheetId="0">#REF!</definedName>
    <definedName name="_____Set1">#REF!</definedName>
    <definedName name="____a2" localSheetId="0">___L208C4</definedName>
    <definedName name="____a2">___L208C4</definedName>
    <definedName name="____a3" localSheetId="0">___L208C4</definedName>
    <definedName name="____a3">___L208C4</definedName>
    <definedName name="____Abr1" localSheetId="0">#REF!</definedName>
    <definedName name="____Abr1">#REF!</definedName>
    <definedName name="____Ago1" localSheetId="0">#REF!</definedName>
    <definedName name="____Ago1">#REF!</definedName>
    <definedName name="____Brz1">[3]Feriados!$B$4:$B$14</definedName>
    <definedName name="____Brz2">[3]Feriados!$B$17:$B$24</definedName>
    <definedName name="____Dez1" localSheetId="0">#REF!</definedName>
    <definedName name="____Dez1">#REF!</definedName>
    <definedName name="____E1" localSheetId="0">#REF!</definedName>
    <definedName name="____E1">#REF!</definedName>
    <definedName name="____E2" localSheetId="0">#REF!</definedName>
    <definedName name="____E2">#REF!</definedName>
    <definedName name="____Est1" localSheetId="0">___L10C2:___L90C3</definedName>
    <definedName name="____Est1">___L10C2:___L90C3</definedName>
    <definedName name="____Fev1" localSheetId="0">#REF!</definedName>
    <definedName name="____Fev1">#REF!</definedName>
    <definedName name="____H1" localSheetId="0">#REF!</definedName>
    <definedName name="____H1">#REF!</definedName>
    <definedName name="____Jan1" localSheetId="0">#REF!</definedName>
    <definedName name="____Jan1">#REF!</definedName>
    <definedName name="____Jul1" localSheetId="0">#REF!</definedName>
    <definedName name="____Jul1">#REF!</definedName>
    <definedName name="____Jun1" localSheetId="0">#REF!</definedName>
    <definedName name="____Jun1">#REF!</definedName>
    <definedName name="____Mai1" localSheetId="0">#REF!</definedName>
    <definedName name="____Mai1">#REF!</definedName>
    <definedName name="____Mar1" localSheetId="0">#REF!</definedName>
    <definedName name="____Mar1">#REF!</definedName>
    <definedName name="____Nov1" localSheetId="0">#REF!</definedName>
    <definedName name="____Nov1">#REF!</definedName>
    <definedName name="____Out1" localSheetId="0">#REF!</definedName>
    <definedName name="____Out1">#REF!</definedName>
    <definedName name="____SAC2">'[2]Ser-Sac'!$B$2:$G$19</definedName>
    <definedName name="____Set1" localSheetId="0">#REF!</definedName>
    <definedName name="____Set1">#REF!</definedName>
    <definedName name="___a2" localSheetId="0">______________________L208C4</definedName>
    <definedName name="___a2">______________________L208C4</definedName>
    <definedName name="___a3" localSheetId="0">______________________L208C4</definedName>
    <definedName name="___a3">______________________L208C4</definedName>
    <definedName name="___Abr1">#REF!</definedName>
    <definedName name="___Ago1">#REF!</definedName>
    <definedName name="___Brz1">[4]Feriados!$B$4:$B$14</definedName>
    <definedName name="___Brz2">[4]Feriados!$B$17:$B$24</definedName>
    <definedName name="___Dez1">#REF!</definedName>
    <definedName name="___E1">#REF!</definedName>
    <definedName name="___E2">#REF!</definedName>
    <definedName name="___Est1" localSheetId="0">______________________L10C2:______________________L90C3</definedName>
    <definedName name="___Est1">______________________L10C2:______________________L90C3</definedName>
    <definedName name="___Fev1">#REF!</definedName>
    <definedName name="___H1">#REF!</definedName>
    <definedName name="___Jan1">#REF!</definedName>
    <definedName name="___Jul1">#REF!</definedName>
    <definedName name="___Jun1">#REF!</definedName>
    <definedName name="___Mai1">#REF!</definedName>
    <definedName name="___Mar1">#REF!</definedName>
    <definedName name="___Nov1">#REF!</definedName>
    <definedName name="___Out1">#REF!</definedName>
    <definedName name="___SAC2">'[2]Ser-Sac'!$B$2:$G$19</definedName>
    <definedName name="___Set1">#REF!</definedName>
    <definedName name="__a2" localSheetId="0">__L208C4</definedName>
    <definedName name="__a2">__L208C4</definedName>
    <definedName name="__a3" localSheetId="0">__L208C4</definedName>
    <definedName name="__a3">__L208C4</definedName>
    <definedName name="__Abr1" localSheetId="0">#REF!</definedName>
    <definedName name="__Abr1">#REF!</definedName>
    <definedName name="__Ago1" localSheetId="0">#REF!</definedName>
    <definedName name="__Ago1">#REF!</definedName>
    <definedName name="__Brz1">[3]Feriados!$B$4:$B$14</definedName>
    <definedName name="__Brz2">[3]Feriados!$B$17:$B$24</definedName>
    <definedName name="__Dez1" localSheetId="0">#REF!</definedName>
    <definedName name="__Dez1">#REF!</definedName>
    <definedName name="__E1" localSheetId="0">#REF!</definedName>
    <definedName name="__E1">#REF!</definedName>
    <definedName name="__E2" localSheetId="0">#REF!</definedName>
    <definedName name="__E2">#REF!</definedName>
    <definedName name="__Est1" localSheetId="0">__L10C2:__L90C3</definedName>
    <definedName name="__Est1">__L10C2:__L90C3</definedName>
    <definedName name="__Fev1" localSheetId="0">#REF!</definedName>
    <definedName name="__Fev1">#REF!</definedName>
    <definedName name="__H1" localSheetId="0">#REF!</definedName>
    <definedName name="__H1">#REF!</definedName>
    <definedName name="__Jan1" localSheetId="0">#REF!</definedName>
    <definedName name="__Jan1">#REF!</definedName>
    <definedName name="__Jul1" localSheetId="0">#REF!</definedName>
    <definedName name="__Jul1">#REF!</definedName>
    <definedName name="__Jun1" localSheetId="0">#REF!</definedName>
    <definedName name="__Jun1">#REF!</definedName>
    <definedName name="__Mai1" localSheetId="0">#REF!</definedName>
    <definedName name="__Mai1">#REF!</definedName>
    <definedName name="__Mar1" localSheetId="0">#REF!</definedName>
    <definedName name="__Mar1">#REF!</definedName>
    <definedName name="__Nov1" localSheetId="0">#REF!</definedName>
    <definedName name="__Nov1">#REF!</definedName>
    <definedName name="__Out1" localSheetId="0">#REF!</definedName>
    <definedName name="__Out1">#REF!</definedName>
    <definedName name="__SAC2">'[2]Ser-Sac'!$B$2:$G$19</definedName>
    <definedName name="__Set1" localSheetId="0">#REF!</definedName>
    <definedName name="__Set1">#REF!</definedName>
    <definedName name="_a2" localSheetId="0">_L208C4</definedName>
    <definedName name="_a2">_L208C4</definedName>
    <definedName name="_a3" localSheetId="0">_L208C4</definedName>
    <definedName name="_a3">_L208C4</definedName>
    <definedName name="_Abr1" localSheetId="0">#REF!</definedName>
    <definedName name="_Abr1">#REF!</definedName>
    <definedName name="_Ago1" localSheetId="0">#REF!</definedName>
    <definedName name="_Ago1">#REF!</definedName>
    <definedName name="_AR602" localSheetId="0">_L10C2:_L90C3</definedName>
    <definedName name="_AR602">_L10C2:_L90C3</definedName>
    <definedName name="_Brz1">[5]Feriados!$B$4:$B$14</definedName>
    <definedName name="_Brz2">[5]Feriados!$B$17:$B$24</definedName>
    <definedName name="_cop2" localSheetId="0">_L10C2:_L90C3</definedName>
    <definedName name="_cop2">_L10C2:_L90C3</definedName>
    <definedName name="_Dez1" localSheetId="0">#REF!</definedName>
    <definedName name="_Dez1">#REF!</definedName>
    <definedName name="_E1" localSheetId="0">#REF!</definedName>
    <definedName name="_E1">#REF!</definedName>
    <definedName name="_E2" localSheetId="0">#REF!</definedName>
    <definedName name="_E2">#REF!</definedName>
    <definedName name="_Est1" localSheetId="0">_L10C2:_L90C3</definedName>
    <definedName name="_Est1">_L10C2:_L90C3</definedName>
    <definedName name="_Fev1" localSheetId="0">#REF!</definedName>
    <definedName name="_Fev1">#REF!</definedName>
    <definedName name="_xlnm._FilterDatabase" localSheetId="0" hidden="1">'Progr1 (3)'!$A$5:$K$21</definedName>
    <definedName name="_H1" localSheetId="0">#REF!</definedName>
    <definedName name="_H1">#REF!</definedName>
    <definedName name="_Jan1" localSheetId="0">#REF!</definedName>
    <definedName name="_Jan1">#REF!</definedName>
    <definedName name="_Jul1" localSheetId="0">#REF!</definedName>
    <definedName name="_Jul1">#REF!</definedName>
    <definedName name="_Jun1" localSheetId="0">#REF!</definedName>
    <definedName name="_Jun1">#REF!</definedName>
    <definedName name="_Mai1" localSheetId="0">#REF!</definedName>
    <definedName name="_Mai1">#REF!</definedName>
    <definedName name="_Mar1" localSheetId="0">#REF!</definedName>
    <definedName name="_Mar1">#REF!</definedName>
    <definedName name="_mod2" localSheetId="0">_L10C2:_L90C3</definedName>
    <definedName name="_mod2">_L10C2:_L90C3</definedName>
    <definedName name="_Nov1" localSheetId="0">#REF!</definedName>
    <definedName name="_Nov1">#REF!</definedName>
    <definedName name="_Out1" localSheetId="0">#REF!</definedName>
    <definedName name="_Out1">#REF!</definedName>
    <definedName name="_SAC2">'[2]Ser-Sac'!$B$2:$G$19</definedName>
    <definedName name="_Set1" localSheetId="0">#REF!</definedName>
    <definedName name="_Set1">#REF!</definedName>
    <definedName name="a" localSheetId="0">#REF!</definedName>
    <definedName name="a">#REF!</definedName>
    <definedName name="abr">[6]Feriado!$G$5:$G$17</definedName>
    <definedName name="abril" localSheetId="0">IF(MONTH(DATE(Ano,4,1))&lt;&gt;MONTH(DATE(Ano,4,1)-(WEEKDAY(DATE(Ano,4,1))-1)+{0;1;2;3;4;5}*7+{1,2,3,4,5,6,7}-1),"",DATE(Ano,4,1)-(WEEKDAY(DATE(Ano,4,1))-1)+{0;1;2;3;4;5}*7+{1,2,3,4,5,6,7}-1)</definedName>
    <definedName name="abril">IF(MONTH(DATE(Ano,4,1))&lt;&gt;MONTH(DATE(Ano,4,1)-(WEEKDAY(DATE(Ano,4,1))-1)+{0;1;2;3;4;5}*7+{1,2,3,4,5,6,7}-1),"",DATE(Ano,4,1)-(WEEKDAY(DATE(Ano,4,1))-1)+{0;1;2;3;4;5}*7+{1,2,3,4,5,6,7}-1)</definedName>
    <definedName name="ago">[6]Feriado!$K$5:$K$17</definedName>
    <definedName name="agosto" localSheetId="0">IF(MONTH(DATE(Ano,8,1))&lt;&gt;MONTH(DATE(Ano,8,1)-(WEEKDAY(DATE(Ano,8,1))-1)+{0;1;2;3;4;5}*7+{1,2,3,4,5,6,7}-1),"",DATE(Ano,8,1)-(WEEKDAY(DATE(Ano,8,1))-1)+{0;1;2;3;4;5}*7+{1,2,3,4,5,6,7}-1)</definedName>
    <definedName name="agosto">IF(MONTH(DATE(Ano,8,1))&lt;&gt;MONTH(DATE(Ano,8,1)-(WEEKDAY(DATE(Ano,8,1))-1)+{0;1;2;3;4;5}*7+{1,2,3,4,5,6,7}-1),"",DATE(Ano,8,1)-(WEEKDAY(DATE(Ano,8,1))-1)+{0;1;2;3;4;5}*7+{1,2,3,4,5,6,7}-1)</definedName>
    <definedName name="altern" localSheetId="0">#REF!</definedName>
    <definedName name="altern">#REF!</definedName>
    <definedName name="analiseincremental" localSheetId="0">#REF!</definedName>
    <definedName name="analiseincremental">#REF!</definedName>
    <definedName name="Ano" localSheetId="0">#REF!</definedName>
    <definedName name="Ano">#REF!</definedName>
    <definedName name="ansen" localSheetId="0">#REF!</definedName>
    <definedName name="ansen">#REF!</definedName>
    <definedName name="Ar_Price" localSheetId="0">#REF!</definedName>
    <definedName name="Ar_Price">#REF!</definedName>
    <definedName name="Ar_price2" localSheetId="0">______________________L10C2:______________________L90C3</definedName>
    <definedName name="Ar_price2">_L10C2:_L90C3</definedName>
    <definedName name="Ar_SAC">'[2]Ser-Sac'!$D$6:$D$9</definedName>
    <definedName name="Area_Price" localSheetId="0">#REF!</definedName>
    <definedName name="Area_Price">#REF!</definedName>
    <definedName name="Area_t_desigais">'[2]T Desiguais'!$B$10:$C$89</definedName>
    <definedName name="area_tir" localSheetId="0">#REF!</definedName>
    <definedName name="area_tir">#REF!</definedName>
    <definedName name="ARpRICE3" localSheetId="0">______________________L10C2:______________________L90C3</definedName>
    <definedName name="ARpRICE3">_L10C2:_L90C3</definedName>
    <definedName name="AS" localSheetId="0">_L10C2:_L90C3</definedName>
    <definedName name="AS">_L10C2:_L90C3</definedName>
    <definedName name="atual">[7]atualizacao!$C$6:$C$12</definedName>
    <definedName name="atualiza">[7]atualizacao!$A$1</definedName>
    <definedName name="Autor" localSheetId="0">#REF!</definedName>
    <definedName name="Autor">#REF!</definedName>
    <definedName name="b" localSheetId="0">#REF!</definedName>
    <definedName name="b">#REF!</definedName>
    <definedName name="beta" localSheetId="0">#REF!</definedName>
    <definedName name="beta">#REF!</definedName>
    <definedName name="betas" localSheetId="0">#REF!</definedName>
    <definedName name="betas">#REF!</definedName>
    <definedName name="calcfin">[2]Geral!$B$5</definedName>
    <definedName name="calcpb" localSheetId="0">#REF!</definedName>
    <definedName name="calcpb">#REF!</definedName>
    <definedName name="CalFinBas">[2]Geral!$C$7:$H$7</definedName>
    <definedName name="capm_beta" localSheetId="0">#REF!</definedName>
    <definedName name="capm_beta">#REF!</definedName>
    <definedName name="capm_ks" localSheetId="0">#REF!</definedName>
    <definedName name="capm_ks">#REF!</definedName>
    <definedName name="capm_rf" localSheetId="0">#REF!</definedName>
    <definedName name="capm_rf">#REF!</definedName>
    <definedName name="capm_rm" localSheetId="0">#REF!</definedName>
    <definedName name="capm_rm">#REF!</definedName>
    <definedName name="cd_po" localSheetId="0">#REF!</definedName>
    <definedName name="cd_po">#REF!</definedName>
    <definedName name="cmpc_calcula" localSheetId="0">#REF!</definedName>
    <definedName name="cmpc_calcula">#REF!</definedName>
    <definedName name="contdias">[2]Geral!$B$19:$E$19</definedName>
    <definedName name="cop" localSheetId="0">_L10C2:_L90C3</definedName>
    <definedName name="cop">_L10C2:_L90C3</definedName>
    <definedName name="copd" localSheetId="0">_L10C2:_L90C3</definedName>
    <definedName name="copd">_L10C2:_L90C3</definedName>
    <definedName name="cops" localSheetId="0">_L10C2:_L90C3</definedName>
    <definedName name="cops">_L10C2:_L90C3</definedName>
    <definedName name="cp_capm" localSheetId="0">#REF!</definedName>
    <definedName name="cp_capm">#REF!</definedName>
    <definedName name="cp_capm2" localSheetId="0">#REF!</definedName>
    <definedName name="cp_capm2">#REF!</definedName>
    <definedName name="cp_d1" localSheetId="0">#REF!</definedName>
    <definedName name="cp_d1">#REF!</definedName>
    <definedName name="cp_f" localSheetId="0">#REF!</definedName>
    <definedName name="cp_f">#REF!</definedName>
    <definedName name="cp_g" localSheetId="0">#REF!</definedName>
    <definedName name="cp_g">#REF!</definedName>
    <definedName name="cp_gordon" localSheetId="0">#REF!</definedName>
    <definedName name="cp_gordon">#REF!</definedName>
    <definedName name="cp_gordon2" localSheetId="0">#REF!</definedName>
    <definedName name="cp_gordon2">#REF!</definedName>
    <definedName name="cp_ks" localSheetId="0">#REF!</definedName>
    <definedName name="cp_ks">#REF!</definedName>
    <definedName name="ct_1" localSheetId="0">#REF!</definedName>
    <definedName name="ct_1">#REF!</definedName>
    <definedName name="ct_2" localSheetId="0">#REF!</definedName>
    <definedName name="ct_2">#REF!</definedName>
    <definedName name="ct_b" localSheetId="0">#REF!</definedName>
    <definedName name="ct_b">#REF!</definedName>
    <definedName name="ct_empr" localSheetId="0">#REF!</definedName>
    <definedName name="ct_empr">#REF!</definedName>
    <definedName name="ct_fim" localSheetId="0">#REF!</definedName>
    <definedName name="ct_fim">#REF!</definedName>
    <definedName name="ct_ir" localSheetId="0">#REF!</definedName>
    <definedName name="ct_ir">#REF!</definedName>
    <definedName name="ct_l" localSheetId="0">#REF!</definedName>
    <definedName name="ct_l">#REF!</definedName>
    <definedName name="ct_obr" localSheetId="0">#REF!</definedName>
    <definedName name="ct_obr">#REF!</definedName>
    <definedName name="d" localSheetId="0">#REF!</definedName>
    <definedName name="d">#REF!</definedName>
    <definedName name="dado" localSheetId="0">#REF!</definedName>
    <definedName name="dado">#REF!</definedName>
    <definedName name="das" localSheetId="0">_L10C2:_L90C3</definedName>
    <definedName name="das">_L10C2:_L90C3</definedName>
    <definedName name="data_i" localSheetId="0">#REF!</definedName>
    <definedName name="data_i">#REF!</definedName>
    <definedName name="datas_01" localSheetId="0">#REF!</definedName>
    <definedName name="datas_01">#REF!</definedName>
    <definedName name="datas_02" localSheetId="0">#REF!</definedName>
    <definedName name="datas_02">#REF!</definedName>
    <definedName name="DBI" localSheetId="0">#REF!</definedName>
    <definedName name="DBI">#REF!</definedName>
    <definedName name="DBN" localSheetId="0">#REF!</definedName>
    <definedName name="DBN">#REF!</definedName>
    <definedName name="DBVF" localSheetId="0">#REF!</definedName>
    <definedName name="DBVF">#REF!</definedName>
    <definedName name="DBVP" localSheetId="0">#REF!</definedName>
    <definedName name="DBVP">#REF!</definedName>
    <definedName name="dez">[6]Feriado!$O$5:$P$17</definedName>
    <definedName name="dezembro" localSheetId="0">IF(MONTH(DATE(Ano,12,1))&lt;&gt;MONTH(DATE(Ano,12,1)-(WEEKDAY(DATE(Ano,12,1))-1)+{0;1;2;3;4;5}*7+{1,2,3,4,5,6,7}-1),"",DATE(Ano,12,1)-(WEEKDAY(DATE(Ano,12,1))-1)+{0;1;2;3;4;5}*7+{1,2,3,4,5,6,7}-1)</definedName>
    <definedName name="dezembro">IF(MONTH(DATE(Ano,12,1))&lt;&gt;MONTH(DATE(Ano,12,1)-(WEEKDAY(DATE(Ano,12,1))-1)+{0;1;2;3;4;5}*7+{1,2,3,4,5,6,7}-1),"",DATE(Ano,12,1)-(WEEKDAY(DATE(Ano,12,1))-1)+{0;1;2;3;4;5}*7+{1,2,3,4,5,6,7}-1)</definedName>
    <definedName name="diagramas" localSheetId="0">#REF!</definedName>
    <definedName name="diagramas">#REF!</definedName>
    <definedName name="dias">#N/A</definedName>
    <definedName name="DigitalClock" localSheetId="0">#REF!</definedName>
    <definedName name="DigitalClock">#REF!</definedName>
    <definedName name="dois" localSheetId="0">_L10C2:_L90C3</definedName>
    <definedName name="dois">_L10C2:_L90C3</definedName>
    <definedName name="DOU" localSheetId="0">#REF!</definedName>
    <definedName name="DOU">#REF!</definedName>
    <definedName name="doze" localSheetId="0">_L208C4</definedName>
    <definedName name="doze">_L208C4</definedName>
    <definedName name="dozet" localSheetId="0">_L208C4</definedName>
    <definedName name="dozet">_L208C4</definedName>
    <definedName name="dtip2" localSheetId="0">_L10C2:_L90C3</definedName>
    <definedName name="dtip2">_L10C2:_L90C3</definedName>
    <definedName name="dTip3" localSheetId="0">_L208C4</definedName>
    <definedName name="dTip3">_L208C4</definedName>
    <definedName name="dtit" localSheetId="0">_L208C4</definedName>
    <definedName name="dtit">_L208C4</definedName>
    <definedName name="EquiTaxas">[2]Geral!$B$14:$E$14</definedName>
    <definedName name="equival" localSheetId="0">#REF!</definedName>
    <definedName name="equival">#REF!</definedName>
    <definedName name="equivalencia" localSheetId="0">#REF!</definedName>
    <definedName name="equivalencia">#REF!</definedName>
    <definedName name="Exibir_Dat_Com" localSheetId="0">#REF!</definedName>
    <definedName name="Exibir_Dat_Com">#REF!</definedName>
    <definedName name="Exibir_Fer_EUA" localSheetId="0">#REF!</definedName>
    <definedName name="Exibir_Fer_EUA">#REF!</definedName>
    <definedName name="Exibir_Fer_Nac" localSheetId="0">#REF!</definedName>
    <definedName name="Exibir_Fer_Nac">#REF!</definedName>
    <definedName name="F" localSheetId="0">#REF!</definedName>
    <definedName name="F">#REF!</definedName>
    <definedName name="Farbicar2h" localSheetId="0">#REF!</definedName>
    <definedName name="Farbicar2h">#REF!</definedName>
    <definedName name="fc_pbd" localSheetId="0">#REF!</definedName>
    <definedName name="fc_pbd">#REF!</definedName>
    <definedName name="fcs" localSheetId="0">#REF!</definedName>
    <definedName name="fcs">#REF!</definedName>
    <definedName name="fcs_desenho" localSheetId="0">#REF!</definedName>
    <definedName name="fcs_desenho">#REF!</definedName>
    <definedName name="fcs_ter2" localSheetId="0">#REF!</definedName>
    <definedName name="fcs_ter2">#REF!</definedName>
    <definedName name="fcs_tij" localSheetId="0">#REF!</definedName>
    <definedName name="fcs_tij">#REF!</definedName>
    <definedName name="fer" localSheetId="0">_L208C4</definedName>
    <definedName name="fer">_L208C4</definedName>
    <definedName name="feri">[2]Geral!$B$36</definedName>
    <definedName name="feriado">[6]Feriado!$A$5:$A$17</definedName>
    <definedName name="feriados" localSheetId="0">#REF!</definedName>
    <definedName name="feriados">#REF!</definedName>
    <definedName name="fev">[6]Feriado!$E$5:$E$17</definedName>
    <definedName name="fevereiro" localSheetId="0">IF(MONTH(DATE(Ano,2,1))&lt;&gt;MONTH(DATE(Ano,2,1)-(WEEKDAY(DATE(Ano,2,1))-1)+{0;1;2;3;4;5}*7+{1,2,3,4,5,6,7}-1),"",DATE(Ano,2,1)-(WEEKDAY(DATE(Ano,2,1))-1)+{0;1;2;3;4;5}*7+{1,2,3,4,5,6,7}-1)</definedName>
    <definedName name="fevereiro">IF(MONTH(DATE(Ano,2,1))&lt;&gt;MONTH(DATE(Ano,2,1)-(WEEKDAY(DATE(Ano,2,1))-1)+{0;1;2;3;4;5}*7+{1,2,3,4,5,6,7}-1),"",DATE(Ano,2,1)-(WEEKDAY(DATE(Ano,2,1))-1)+{0;1;2;3;4;5}*7+{1,2,3,4,5,6,7}-1)</definedName>
    <definedName name="fga" localSheetId="0">_L208C4</definedName>
    <definedName name="fga">_L208C4</definedName>
    <definedName name="Fim" localSheetId="0">#REF!</definedName>
    <definedName name="Fim">#REF!</definedName>
    <definedName name="fluxo_01" localSheetId="0">#REF!</definedName>
    <definedName name="fluxo_01">#REF!</definedName>
    <definedName name="fluxo_02" localSheetId="0">#REF!</definedName>
    <definedName name="fluxo_02">#REF!</definedName>
    <definedName name="fluxo_03" localSheetId="0">#REF!</definedName>
    <definedName name="fluxo_03">#REF!</definedName>
    <definedName name="fluxo_06" localSheetId="0">#REF!</definedName>
    <definedName name="fluxo_06">#REF!</definedName>
    <definedName name="fluxo_07" localSheetId="0">#REF!</definedName>
    <definedName name="fluxo_07">#REF!</definedName>
    <definedName name="fluxos" localSheetId="0">#REF!</definedName>
    <definedName name="fluxos">#REF!</definedName>
    <definedName name="fluxos_ter" localSheetId="0">#REF!</definedName>
    <definedName name="fluxos_ter">#REF!</definedName>
    <definedName name="formula">[2]Geral!$C$54:$G$56</definedName>
    <definedName name="freio" localSheetId="0">#REF!</definedName>
    <definedName name="freio">#REF!</definedName>
    <definedName name="funcao_mf" localSheetId="0">#REF!</definedName>
    <definedName name="funcao_mf">#REF!</definedName>
    <definedName name="funcoes_vdt" localSheetId="0">#REF!</definedName>
    <definedName name="funcoes_vdt">#REF!</definedName>
    <definedName name="G" localSheetId="0">#REF!</definedName>
    <definedName name="G">#REF!</definedName>
    <definedName name="Geral">[2]Geral!$B$2</definedName>
    <definedName name="Gra_price" localSheetId="0">#REF!</definedName>
    <definedName name="Gra_price">#REF!</definedName>
    <definedName name="Gra_Sac">'[2]Ser-Sac'!$B$95</definedName>
    <definedName name="graf" localSheetId="0">#REF!</definedName>
    <definedName name="graf">#REF!</definedName>
    <definedName name="grafico_vpl" localSheetId="0">#REF!</definedName>
    <definedName name="grafico_vpl">#REF!</definedName>
    <definedName name="GrafPrice" localSheetId="0">#REF!</definedName>
    <definedName name="GrafPrice">#REF!</definedName>
    <definedName name="h" localSheetId="0">#REF!</definedName>
    <definedName name="h">#REF!</definedName>
    <definedName name="hum" localSheetId="0">_L10C2:_L90C3</definedName>
    <definedName name="hum">_L10C2:_L90C3</definedName>
    <definedName name="hur" localSheetId="0">#REF!</definedName>
    <definedName name="hur">#REF!</definedName>
    <definedName name="inc" localSheetId="0">#REF!</definedName>
    <definedName name="inc">#REF!</definedName>
    <definedName name="incert" localSheetId="0">#REF!</definedName>
    <definedName name="incert">#REF!</definedName>
    <definedName name="ind">[7]atualizacao!$S$1504:$S$1510</definedName>
    <definedName name="ìnd_list">[7]atualizacao!$R$1504:$S$1510</definedName>
    <definedName name="indicadores">[7]atualizacao!$B$1509:$P$8257</definedName>
    <definedName name="indicadores2">[7]atualizacao!$A$1506</definedName>
    <definedName name="Inicial">[2]Início!$E$13</definedName>
    <definedName name="inicio" localSheetId="0">#REF!</definedName>
    <definedName name="inicio">#REF!</definedName>
    <definedName name="input" localSheetId="0">#REF!</definedName>
    <definedName name="input">#REF!</definedName>
    <definedName name="jan">[6]Feriado!$D$5:$D$17</definedName>
    <definedName name="janeiro" localSheetId="0">IF(MONTH(DATE(Ano,1,1))&lt;&gt;MONTH(DATE(Ano,1,1)-(WEEKDAY(DATE(Ano,1,1))-1)+{0;1;2;3;4;5}*7+{1,2,3,4,5,6,7}-1),"",DATE(Ano,1,1)-(WEEKDAY(DATE(Ano,1,1))-1)+{0;1;2;3;4;5}*7+{1,2,3,4,5,6,7}-1)</definedName>
    <definedName name="janeiro">IF(MONTH(DATE(Ano,1,1))&lt;&gt;MONTH(DATE(Ano,1,1)-(WEEKDAY(DATE(Ano,1,1))-1)+{0;1;2;3;4;5}*7+{1,2,3,4,5,6,7}-1),"",DATE(Ano,1,1)-(WEEKDAY(DATE(Ano,1,1))-1)+{0;1;2;3;4;5}*7+{1,2,3,4,5,6,7}-1)</definedName>
    <definedName name="JCI" localSheetId="0">#REF!</definedName>
    <definedName name="JCI">#REF!</definedName>
    <definedName name="JCN" localSheetId="0">#REF!</definedName>
    <definedName name="JCN">#REF!</definedName>
    <definedName name="JCVF" localSheetId="0">#REF!</definedName>
    <definedName name="JCVF">#REF!</definedName>
    <definedName name="JCVP" localSheetId="0">#REF!</definedName>
    <definedName name="JCVP">#REF!</definedName>
    <definedName name="JSI" localSheetId="0">#REF!</definedName>
    <definedName name="JSI">#REF!</definedName>
    <definedName name="JSN" localSheetId="0">#REF!</definedName>
    <definedName name="JSN">#REF!</definedName>
    <definedName name="JSVF" localSheetId="0">#REF!</definedName>
    <definedName name="JSVF">#REF!</definedName>
    <definedName name="JSVP" localSheetId="0">#REF!</definedName>
    <definedName name="JSVP">#REF!</definedName>
    <definedName name="jul">[6]Feriado!$J$5:$J$17</definedName>
    <definedName name="julho" localSheetId="0">IF(MONTH(DATE(Ano,7,1))&lt;&gt;MONTH(DATE(Ano,7,1)-(WEEKDAY(DATE(Ano,7,1))-1)+{0;1;2;3;4;5}*7+{1,2,3,4,5,6,7}-1),"",DATE(Ano,7,1)-(WEEKDAY(DATE(Ano,7,1))-1)+{0;1;2;3;4;5}*7+{1,2,3,4,5,6,7}-1)</definedName>
    <definedName name="julho">IF(MONTH(DATE(Ano,7,1))&lt;&gt;MONTH(DATE(Ano,7,1)-(WEEKDAY(DATE(Ano,7,1))-1)+{0;1;2;3;4;5}*7+{1,2,3,4,5,6,7}-1),"",DATE(Ano,7,1)-(WEEKDAY(DATE(Ano,7,1))-1)+{0;1;2;3;4;5}*7+{1,2,3,4,5,6,7}-1)</definedName>
    <definedName name="jun">[6]Feriado!$I$5:$I$17</definedName>
    <definedName name="junho" localSheetId="0">IF(MONTH(DATE(Ano,6,1))&lt;&gt;MONTH(DATE(Ano,6,1)-(WEEKDAY(DATE(Ano,6,1))-1)+{0;1;2;3;4;5}*7+{1,2,3,4,5,6,7}-1),"",DATE(Ano,6,1)-(WEEKDAY(DATE(Ano,6,1))-1)+{0;1;2;3;4;5}*7+{1,2,3,4,5,6,7}-1)</definedName>
    <definedName name="junho">IF(MONTH(DATE(Ano,6,1))&lt;&gt;MONTH(DATE(Ano,6,1)-(WEEKDAY(DATE(Ano,6,1))-1)+{0;1;2;3;4;5}*7+{1,2,3,4,5,6,7}-1),"",DATE(Ano,6,1)-(WEEKDAY(DATE(Ano,6,1))-1)+{0;1;2;3;4;5}*7+{1,2,3,4,5,6,7}-1)</definedName>
    <definedName name="k_area" localSheetId="0">#REF!</definedName>
    <definedName name="k_area">#REF!</definedName>
    <definedName name="k_desgual">'[2]T Desiguais'!$C$6</definedName>
    <definedName name="k_pbd" localSheetId="0">#REF!</definedName>
    <definedName name="k_pbd">#REF!</definedName>
    <definedName name="k_tir" localSheetId="0">#REF!</definedName>
    <definedName name="k_tir">#REF!</definedName>
    <definedName name="k_tir_area" localSheetId="0">#REF!</definedName>
    <definedName name="k_tir_area">#REF!</definedName>
    <definedName name="k_vpl" localSheetId="0">#REF!</definedName>
    <definedName name="k_vpl">#REF!</definedName>
    <definedName name="ks" localSheetId="0">#REF!</definedName>
    <definedName name="ks">#REF!</definedName>
    <definedName name="ks_geral" localSheetId="0">#REF!</definedName>
    <definedName name="ks_geral">#REF!</definedName>
    <definedName name="ktij" localSheetId="0">#REF!</definedName>
    <definedName name="ktij">#REF!</definedName>
    <definedName name="ktij2" localSheetId="0">#REF!</definedName>
    <definedName name="ktij2">#REF!</definedName>
    <definedName name="legenda" localSheetId="0">#REF!</definedName>
    <definedName name="legenda">#REF!</definedName>
    <definedName name="LF.01">"LF01"</definedName>
    <definedName name="limpeza" localSheetId="0">#REF!</definedName>
    <definedName name="limpeza">#REF!</definedName>
    <definedName name="local_custocapital" localSheetId="0">#REF!</definedName>
    <definedName name="local_custocapital">#REF!</definedName>
    <definedName name="local_fcl" localSheetId="0">#REF!</definedName>
    <definedName name="local_fcl">#REF!</definedName>
    <definedName name="local_fcl4" localSheetId="0">#REF!</definedName>
    <definedName name="local_fcl4">#REF!</definedName>
    <definedName name="local_fcl5" localSheetId="0">#REF!</definedName>
    <definedName name="local_fcl5">#REF!</definedName>
    <definedName name="local_graftir" localSheetId="0">#REF!</definedName>
    <definedName name="local_graftir">#REF!</definedName>
    <definedName name="local_pbd" localSheetId="0">#REF!</definedName>
    <definedName name="local_pbd">#REF!</definedName>
    <definedName name="local_pbd2" localSheetId="0">#REF!</definedName>
    <definedName name="local_pbd2">#REF!</definedName>
    <definedName name="local_pbd3" localSheetId="0">#REF!</definedName>
    <definedName name="local_pbd3">#REF!</definedName>
    <definedName name="local_ter_01" localSheetId="0">#REF!</definedName>
    <definedName name="local_ter_01">#REF!</definedName>
    <definedName name="local_ter_02" localSheetId="0">#REF!</definedName>
    <definedName name="local_ter_02">#REF!</definedName>
    <definedName name="local_ter1" localSheetId="0">#REF!</definedName>
    <definedName name="local_ter1">#REF!</definedName>
    <definedName name="local_ter2" localSheetId="0">#REF!</definedName>
    <definedName name="local_ter2">#REF!</definedName>
    <definedName name="local_tij" localSheetId="0">#REF!</definedName>
    <definedName name="local_tij">#REF!</definedName>
    <definedName name="local_tij2" localSheetId="0">#REF!</definedName>
    <definedName name="local_tij2">#REF!</definedName>
    <definedName name="local_tir" localSheetId="0">#REF!</definedName>
    <definedName name="local_tir">#REF!</definedName>
    <definedName name="mai">[6]Feriado!$H$5:$H$17</definedName>
    <definedName name="maio" localSheetId="0">IF(MONTH(DATE(Ano,5,1))&lt;&gt;MONTH(DATE(Ano,5,1)-(WEEKDAY(DATE(Ano,5,1))-1)+{0;1;2;3;4;5}*7+{1,2,3,4,5,6,7}-1),"",DATE(Ano,5,1)-(WEEKDAY(DATE(Ano,5,1))-1)+{0;1;2;3;4;5}*7+{1,2,3,4,5,6,7}-1)</definedName>
    <definedName name="maio">IF(MONTH(DATE(Ano,5,1))&lt;&gt;MONTH(DATE(Ano,5,1)-(WEEKDAY(DATE(Ano,5,1))-1)+{0;1;2;3;4;5}*7+{1,2,3,4,5,6,7}-1),"",DATE(Ano,5,1)-(WEEKDAY(DATE(Ano,5,1))-1)+{0;1;2;3;4;5}*7+{1,2,3,4,5,6,7}-1)</definedName>
    <definedName name="Máq.Calçados">"Grupo 4623"</definedName>
    <definedName name="mar">[6]Feriado!$F$5:$F$17</definedName>
    <definedName name="março" localSheetId="0">IF(MONTH(DATE(Ano,3,1))&lt;&gt;MONTH(DATE(Ano,3,1)-(WEEKDAY(DATE(Ano,3,1))-1)+{0;1;2;3;4;5}*7+{1,2,3,4,5,6,7}-1),"",DATE(Ano,3,1)-(WEEKDAY(DATE(Ano,3,1))-1)+{0;1;2;3;4;5}*7+{1,2,3,4,5,6,7}-1)</definedName>
    <definedName name="março">IF(MONTH(DATE(Ano,3,1))&lt;&gt;MONTH(DATE(Ano,3,1)-(WEEKDAY(DATE(Ano,3,1))-1)+{0;1;2;3;4;5}*7+{1,2,3,4,5,6,7}-1),"",DATE(Ano,3,1)-(WEEKDAY(DATE(Ano,3,1))-1)+{0;1;2;3;4;5}*7+{1,2,3,4,5,6,7}-1)</definedName>
    <definedName name="MatFin" localSheetId="0">#REF!</definedName>
    <definedName name="MatFin">#REF!</definedName>
    <definedName name="Menu1">[2]Início!$A$1:$L$19</definedName>
    <definedName name="Menu2">[2]Menu!$B$1:$L$21</definedName>
    <definedName name="menuinicial">[2]Início!$A$1</definedName>
    <definedName name="Meses" localSheetId="0">#REF!,#REF!,#REF!,#REF!,#REF!,#REF!,#REF!,#REF!,#REF!,#REF!,#REF!,#REF!</definedName>
    <definedName name="Meses">#REF!,#REF!,#REF!,#REF!,#REF!,#REF!,#REF!,#REF!,#REF!,#REF!,#REF!,#REF!</definedName>
    <definedName name="miu" localSheetId="0">_L10C2:_L90C3</definedName>
    <definedName name="miu">_L10C2:_L90C3</definedName>
    <definedName name="MOD" localSheetId="0">_L10C2:_L90C3</definedName>
    <definedName name="MOD">_L10C2:_L90C3</definedName>
    <definedName name="moddez" localSheetId="0">_L208C4</definedName>
    <definedName name="moddez">_L208C4</definedName>
    <definedName name="moddezo" localSheetId="0">_L10C2:_L90C3</definedName>
    <definedName name="moddezo">_L10C2:_L90C3</definedName>
    <definedName name="modelo" localSheetId="0">#REF!</definedName>
    <definedName name="modelo">#REF!</definedName>
    <definedName name="ModeloGeral">[2]Geral!$A$1:$I$15</definedName>
    <definedName name="ModeloGeralDatas">[2]Geral!$B$16:$F$24</definedName>
    <definedName name="ModeloGeralDias">[2]Geral!$B$17:$E$23</definedName>
    <definedName name="ModeloGeralFeriados">[2]Geral!$B$36:$H$50</definedName>
    <definedName name="ModeloGeralTaxas">[2]Geral!$B$12:$E$15</definedName>
    <definedName name="moeda" localSheetId="0">#REF!</definedName>
    <definedName name="moeda">#REF!</definedName>
    <definedName name="moncar" localSheetId="0">#REF!</definedName>
    <definedName name="moncar">#REF!</definedName>
    <definedName name="montecarlo" localSheetId="0">#REF!</definedName>
    <definedName name="montecarlo">#REF!</definedName>
    <definedName name="Nao_Uniforme" localSheetId="0">#REF!,#REF!</definedName>
    <definedName name="Nao_Uniforme">#REF!,#REF!</definedName>
    <definedName name="NIver">[8]Aniversarios!$B$5:$B$37</definedName>
    <definedName name="nov">[6]Feriado!$N$5:$N$17</definedName>
    <definedName name="novembro" localSheetId="0">IF(MONTH(DATE(Ano,11,1))&lt;&gt;MONTH(DATE(Ano,11,1)-(WEEKDAY(DATE(Ano,11,1))-1)+{0;1;2;3;4;5}*7+{1,2,3,4,5,6,7}-1),"",DATE(Ano,11,1)-(WEEKDAY(DATE(Ano,11,1))-1)+{0;1;2;3;4;5}*7+{1,2,3,4,5,6,7}-1)</definedName>
    <definedName name="novembro">IF(MONTH(DATE(Ano,11,1))&lt;&gt;MONTH(DATE(Ano,11,1)-(WEEKDAY(DATE(Ano,11,1))-1)+{0;1;2;3;4;5}*7+{1,2,3,4,5,6,7}-1),"",DATE(Ano,11,1)-(WEEKDAY(DATE(Ano,11,1))-1)+{0;1;2;3;4;5}*7+{1,2,3,4,5,6,7}-1)</definedName>
    <definedName name="nper" localSheetId="0">#REF!</definedName>
    <definedName name="nper">#REF!</definedName>
    <definedName name="nsimu" localSheetId="0">#REF!</definedName>
    <definedName name="nsimu">#REF!</definedName>
    <definedName name="obr_1" localSheetId="0">#REF!</definedName>
    <definedName name="obr_1">#REF!</definedName>
    <definedName name="obr_2" localSheetId="0">#REF!</definedName>
    <definedName name="obr_2">#REF!</definedName>
    <definedName name="obr_3" localSheetId="0">#REF!</definedName>
    <definedName name="obr_3">#REF!</definedName>
    <definedName name="obr_4" localSheetId="0">#REF!</definedName>
    <definedName name="obr_4">#REF!</definedName>
    <definedName name="obr_fv" localSheetId="0">#REF!</definedName>
    <definedName name="obr_fv">#REF!</definedName>
    <definedName name="obr_i" localSheetId="0">#REF!</definedName>
    <definedName name="obr_i">#REF!</definedName>
    <definedName name="obr_n" localSheetId="0">#REF!</definedName>
    <definedName name="obr_n">#REF!</definedName>
    <definedName name="obr_pmt" localSheetId="0">#REF!</definedName>
    <definedName name="obr_pmt">#REF!</definedName>
    <definedName name="obr_pv" localSheetId="0">#REF!</definedName>
    <definedName name="obr_pv">#REF!</definedName>
    <definedName name="onze" localSheetId="0">_L10C2:_L90C3</definedName>
    <definedName name="onze">_L10C2:_L90C3</definedName>
    <definedName name="op_datas" localSheetId="0">#REF!</definedName>
    <definedName name="op_datas">#REF!</definedName>
    <definedName name="op_taxas" localSheetId="0">#REF!</definedName>
    <definedName name="op_taxas">#REF!</definedName>
    <definedName name="opcoes" localSheetId="0">#REF!</definedName>
    <definedName name="opcoes">#REF!</definedName>
    <definedName name="opcoesreais" localSheetId="0">#REF!</definedName>
    <definedName name="opcoesreais">#REF!</definedName>
    <definedName name="out">[6]Feriado!$M$5:$M$17</definedName>
    <definedName name="outrasf" localSheetId="0">#REF!</definedName>
    <definedName name="outrasf">#REF!</definedName>
    <definedName name="outubro" localSheetId="0">IF(MONTH(DATE(Ano,10,1))&lt;&gt;MONTH(DATE(Ano,10,1)-(WEEKDAY(DATE(Ano,10,1))-1)+{0;1;2;3;4;5}*7+{1,2,3,4,5,6,7}-1),"",DATE(Ano,10,1)-(WEEKDAY(DATE(Ano,10,1))-1)+{0;1;2;3;4;5}*7+{1,2,3,4,5,6,7}-1)</definedName>
    <definedName name="outubro">IF(MONTH(DATE(Ano,10,1))&lt;&gt;MONTH(DATE(Ano,10,1)-(WEEKDAY(DATE(Ano,10,1))-1)+{0;1;2;3;4;5}*7+{1,2,3,4,5,6,7}-1),"",DATE(Ano,10,1)-(WEEKDAY(DATE(Ano,10,1))-1)+{0;1;2;3;4;5}*7+{1,2,3,4,5,6,7}-1)</definedName>
    <definedName name="parametros" localSheetId="0">#REF!</definedName>
    <definedName name="parametros">#REF!</definedName>
    <definedName name="Pascoa" localSheetId="0">[6]Feriado!#REF!</definedName>
    <definedName name="Pascoa">[6]Feriado!#REF!</definedName>
    <definedName name="Páscoa" localSheetId="0">#REF!</definedName>
    <definedName name="Páscoa">#REF!</definedName>
    <definedName name="PayBack" localSheetId="0">#REF!</definedName>
    <definedName name="PayBack">#REF!</definedName>
    <definedName name="pb" localSheetId="0">#REF!</definedName>
    <definedName name="pb">#REF!</definedName>
    <definedName name="PBD" localSheetId="0">#REF!</definedName>
    <definedName name="PBD">#REF!</definedName>
    <definedName name="PBS" localSheetId="0">#REF!</definedName>
    <definedName name="PBS">#REF!</definedName>
    <definedName name="per" localSheetId="0">#REF!</definedName>
    <definedName name="per">#REF!</definedName>
    <definedName name="pgto" localSheetId="0">#REF!</definedName>
    <definedName name="pgto">#REF!</definedName>
    <definedName name="ponderacao" localSheetId="0">#REF!</definedName>
    <definedName name="ponderacao">#REF!</definedName>
    <definedName name="Price" localSheetId="0">#REF!</definedName>
    <definedName name="Price">#REF!</definedName>
    <definedName name="price2">'[2]Ser-Price'!$B$4</definedName>
    <definedName name="qqq" localSheetId="0">_L10C2:_L90C3</definedName>
    <definedName name="qqq">_L10C2:_L90C3</definedName>
    <definedName name="qua" localSheetId="0">_L10C2:_L90C3</definedName>
    <definedName name="qua">_L10C2:_L90C3</definedName>
    <definedName name="quat" localSheetId="0">_L10C2:_L90C3</definedName>
    <definedName name="quat">_L10C2:_L90C3</definedName>
    <definedName name="quatro" localSheetId="0">_L10C2:_L90C3</definedName>
    <definedName name="quatro">_L10C2:_L90C3</definedName>
    <definedName name="quin" localSheetId="0">_L10C2:_L90C3</definedName>
    <definedName name="quin">_L10C2:_L90C3</definedName>
    <definedName name="REGIMES" localSheetId="0">#REF!</definedName>
    <definedName name="REGIMES">#REF!</definedName>
    <definedName name="res" localSheetId="0">_L208C4</definedName>
    <definedName name="res">_L208C4</definedName>
    <definedName name="result" localSheetId="0">#REF!</definedName>
    <definedName name="result">#REF!</definedName>
    <definedName name="S_N_U" localSheetId="0">#REF!</definedName>
    <definedName name="S_N_U">#REF!</definedName>
    <definedName name="SAC">'[2]Ser-Sac'!$B$4</definedName>
    <definedName name="saldo" localSheetId="0">______________________L208C4</definedName>
    <definedName name="saldo">_L208C4</definedName>
    <definedName name="saldotij" localSheetId="0">#REF!</definedName>
    <definedName name="saldotij">#REF!</definedName>
    <definedName name="SB" localSheetId="0">#REF!</definedName>
    <definedName name="SB">#REF!</definedName>
    <definedName name="seis" localSheetId="0">_L208C4</definedName>
    <definedName name="seis">_L208C4</definedName>
    <definedName name="seq_periodo" localSheetId="0">#REF!</definedName>
    <definedName name="seq_periodo">#REF!</definedName>
    <definedName name="ser" localSheetId="0">_L10C2:_L90C3</definedName>
    <definedName name="ser">_L10C2:_L90C3</definedName>
    <definedName name="set">[6]Feriado!$L$5:$L$17</definedName>
    <definedName name="setembro" localSheetId="0">IF(MONTH(DATE(Ano,9,1))&lt;&gt;MONTH(DATE(Ano,9,1)-(WEEKDAY(DATE(Ano,9,1))-1)+{0;1;2;3;4;5}*7+{1,2,3,4,5,6,7}-1),"",DATE(Ano,9,1)-(WEEKDAY(DATE(Ano,9,1))-1)+{0;1;2;3;4;5}*7+{1,2,3,4,5,6,7}-1)</definedName>
    <definedName name="setembro">IF(MONTH(DATE(Ano,9,1))&lt;&gt;MONTH(DATE(Ano,9,1)-(WEEKDAY(DATE(Ano,9,1))-1)+{0;1;2;3;4;5}*7+{1,2,3,4,5,6,7}-1),"",DATE(Ano,9,1)-(WEEKDAY(DATE(Ano,9,1))-1)+{0;1;2;3;4;5}*7+{1,2,3,4,5,6,7}-1)</definedName>
    <definedName name="SHARED_FORMULA_6_27_6_27_1" localSheetId="0">IF(#REF!="-","-",IF((#REF!+#REF!-#REF!)&lt;=(#REF!),0,IF((#REF!&gt;=#REF!),#REF!,#REF!)))</definedName>
    <definedName name="SHARED_FORMULA_6_27_6_27_1">IF(#REF!="-","-",IF((#REF!+#REF!-#REF!)&lt;=(#REF!),0,IF((#REF!&gt;=#REF!),#REF!,#REF!)))</definedName>
    <definedName name="SI" localSheetId="0">#REF!</definedName>
    <definedName name="SI">#REF!</definedName>
    <definedName name="sis" localSheetId="0">#REF!</definedName>
    <definedName name="sis">#REF!</definedName>
    <definedName name="sistemas" localSheetId="0">#REF!</definedName>
    <definedName name="sistemas">#REF!</definedName>
    <definedName name="sistemas2" localSheetId="0">#REF!</definedName>
    <definedName name="sistemas2">#REF!</definedName>
    <definedName name="SN" localSheetId="0">#REF!</definedName>
    <definedName name="SN">#REF!</definedName>
    <definedName name="SNUTD">'[2]T Desiguais'!$B$2:$G$19</definedName>
    <definedName name="SNUTI" localSheetId="0">#REF!</definedName>
    <definedName name="SNUTI">#REF!</definedName>
    <definedName name="SPMT" localSheetId="0">#REF!</definedName>
    <definedName name="SPMT">#REF!</definedName>
    <definedName name="step" localSheetId="0">#REF!</definedName>
    <definedName name="step">#REF!</definedName>
    <definedName name="stop_ter" localSheetId="0">#REF!</definedName>
    <definedName name="stop_ter">#REF!</definedName>
    <definedName name="stop_ter2" localSheetId="0">#REF!</definedName>
    <definedName name="stop_ter2">#REF!</definedName>
    <definedName name="stop_tij" localSheetId="0">#REF!</definedName>
    <definedName name="stop_tij">#REF!</definedName>
    <definedName name="SVF" localSheetId="0">#REF!</definedName>
    <definedName name="SVF">#REF!</definedName>
    <definedName name="SVP" localSheetId="0">#REF!</definedName>
    <definedName name="SVP">#REF!</definedName>
    <definedName name="t_desiguais">'[2]T Desiguais'!$A$1</definedName>
    <definedName name="tabfer">[6]Feriado!$A$5:$B$17</definedName>
    <definedName name="taxa" localSheetId="0">#REF!</definedName>
    <definedName name="taxa">#REF!</definedName>
    <definedName name="taxas" localSheetId="0">#REF!</definedName>
    <definedName name="taxas">#REF!</definedName>
    <definedName name="taxas_01" localSheetId="0">#REF!</definedName>
    <definedName name="taxas_01">#REF!</definedName>
    <definedName name="taxas_02" localSheetId="0">#REF!</definedName>
    <definedName name="taxas_02">#REF!</definedName>
    <definedName name="taxas_ter" localSheetId="0">#REF!</definedName>
    <definedName name="taxas_ter">#REF!</definedName>
    <definedName name="taxas_ter2" localSheetId="0">#REF!</definedName>
    <definedName name="taxas_ter2">#REF!</definedName>
    <definedName name="taxas_tij" localSheetId="0">#REF!</definedName>
    <definedName name="taxas_tij">#REF!</definedName>
    <definedName name="TER" localSheetId="0">#REF!</definedName>
    <definedName name="TER">#REF!</definedName>
    <definedName name="teste" localSheetId="0">#REF!</definedName>
    <definedName name="teste">#REF!</definedName>
    <definedName name="texto" localSheetId="0">[6]Feriado!#REF!</definedName>
    <definedName name="texto">[6]Feriado!#REF!</definedName>
    <definedName name="Time">[9]Relógio1!$B$17</definedName>
    <definedName name="tipo" localSheetId="0">#REF!</definedName>
    <definedName name="tipo">#REF!</definedName>
    <definedName name="tipo2" localSheetId="0">#REF!</definedName>
    <definedName name="tipo2">#REF!</definedName>
    <definedName name="tipo3" localSheetId="0">#REF!</definedName>
    <definedName name="tipo3">#REF!</definedName>
    <definedName name="TIPOS" localSheetId="0">#REF!</definedName>
    <definedName name="TIPOS">#REF!</definedName>
    <definedName name="TIR" localSheetId="0">#REF!</definedName>
    <definedName name="TIR">#REF!</definedName>
    <definedName name="tornad" localSheetId="0">#REF!</definedName>
    <definedName name="tornad">#REF!</definedName>
    <definedName name="tornado" localSheetId="0">#REF!</definedName>
    <definedName name="tornado">#REF!</definedName>
    <definedName name="tre">'[2]Ser-Price'!$B$13:$G$92</definedName>
    <definedName name="trez" localSheetId="0">_L10C2:_L90C3</definedName>
    <definedName name="trez">_L10C2:_L90C3</definedName>
    <definedName name="treze" localSheetId="0">_L10C2:_L90C3</definedName>
    <definedName name="treze">_L10C2:_L90C3</definedName>
    <definedName name="twq">'[2]Ser-Price'!$D$6:$D$9</definedName>
    <definedName name="USA" localSheetId="0">[4]Feriados!$B$27:$B$34</definedName>
    <definedName name="USA">[5]Feriados!$B$27:$B$34</definedName>
    <definedName name="valores" localSheetId="0">#REF!</definedName>
    <definedName name="valores">#REF!</definedName>
    <definedName name="vdt_inicio" localSheetId="0">#REF!</definedName>
    <definedName name="vdt_inicio">#REF!</definedName>
    <definedName name="VENDAIMOB" localSheetId="0">#REF!</definedName>
    <definedName name="VENDAIMOB">#REF!</definedName>
    <definedName name="vendas_ano" localSheetId="0">[10]Swot!#REF!</definedName>
    <definedName name="vendas_ano">[11]Swot!#REF!</definedName>
    <definedName name="vendas_mes" localSheetId="0">[10]Swot!#REF!</definedName>
    <definedName name="vendas_mes">[11]Swot!#REF!</definedName>
    <definedName name="vf" localSheetId="0">#REF!</definedName>
    <definedName name="vf">#REF!</definedName>
    <definedName name="vin" localSheetId="0">_L10C2:_L90C3</definedName>
    <definedName name="vin">_L10C2:_L90C3</definedName>
    <definedName name="voltaind">[7]atualizacao!$B$1</definedName>
    <definedName name="vp" localSheetId="0">#REF!</definedName>
    <definedName name="vp">#REF!</definedName>
    <definedName name="VPL" localSheetId="0">#REF!</definedName>
    <definedName name="VPL">#REF!</definedName>
    <definedName name="vpl_area" localSheetId="0">#REF!</definedName>
    <definedName name="vpl_area">#REF!</definedName>
    <definedName name="wqe" localSheetId="0">_L208C4</definedName>
    <definedName name="wqe">_L208C4</definedName>
    <definedName name="Z_D969903A_7D95_4978_80CA_7D3AAE104698_.wvu.Cols" localSheetId="0" hidden="1">'Progr1 (3)'!#REF!</definedName>
  </definedNames>
  <calcPr calcId="145621"/>
</workbook>
</file>

<file path=xl/calcChain.xml><?xml version="1.0" encoding="utf-8"?>
<calcChain xmlns="http://schemas.openxmlformats.org/spreadsheetml/2006/main">
  <c r="B7" i="2" l="1"/>
  <c r="B6" i="2"/>
  <c r="F5" i="2"/>
  <c r="B5" i="2"/>
  <c r="F4" i="2"/>
  <c r="F3" i="2"/>
  <c r="F2" i="2"/>
  <c r="KQ39" i="1" l="1"/>
  <c r="KP39" i="1"/>
  <c r="KQ38" i="1"/>
  <c r="KP38" i="1"/>
  <c r="KQ37" i="1"/>
  <c r="KP37" i="1"/>
  <c r="KQ36" i="1"/>
  <c r="KP36" i="1"/>
  <c r="KE39" i="1"/>
  <c r="KD39" i="1"/>
  <c r="KE38" i="1"/>
  <c r="KD38" i="1"/>
  <c r="KE37" i="1"/>
  <c r="KD37" i="1"/>
  <c r="KE36" i="1"/>
  <c r="KD36" i="1"/>
  <c r="LG44" i="1"/>
  <c r="LC44" i="1"/>
  <c r="LB44" i="1"/>
  <c r="LG43" i="1"/>
  <c r="LC43" i="1"/>
  <c r="LB43" i="1"/>
  <c r="LG42" i="1"/>
  <c r="LC42" i="1"/>
  <c r="LB42" i="1"/>
  <c r="LG41" i="1"/>
  <c r="LE41" i="1"/>
  <c r="LC41" i="1"/>
  <c r="LB41" i="1"/>
  <c r="LD41" i="1" s="1"/>
  <c r="LI41" i="1" s="1"/>
  <c r="LJ41" i="1" s="1"/>
  <c r="KU44" i="1"/>
  <c r="KQ44" i="1"/>
  <c r="KP44" i="1"/>
  <c r="KU43" i="1"/>
  <c r="KQ43" i="1"/>
  <c r="KP43" i="1"/>
  <c r="KU42" i="1"/>
  <c r="KQ42" i="1"/>
  <c r="KP42" i="1"/>
  <c r="KU41" i="1"/>
  <c r="KS41" i="1"/>
  <c r="KQ41" i="1"/>
  <c r="KR41" i="1" s="1"/>
  <c r="KP41" i="1"/>
  <c r="KI44" i="1"/>
  <c r="KE44" i="1"/>
  <c r="KD44" i="1"/>
  <c r="KI43" i="1"/>
  <c r="KE43" i="1"/>
  <c r="KD43" i="1"/>
  <c r="KI42" i="1"/>
  <c r="KE42" i="1"/>
  <c r="KD42" i="1"/>
  <c r="KI41" i="1"/>
  <c r="KG41" i="1"/>
  <c r="KE41" i="1"/>
  <c r="KD41" i="1"/>
  <c r="KF41" i="1" s="1"/>
  <c r="KJ41" i="1" s="1"/>
  <c r="KQ31" i="1"/>
  <c r="KP31" i="1"/>
  <c r="KQ30" i="1"/>
  <c r="KP30" i="1"/>
  <c r="KQ29" i="1"/>
  <c r="KP29" i="1"/>
  <c r="KQ28" i="1"/>
  <c r="KP28" i="1"/>
  <c r="KE31" i="1"/>
  <c r="KD31" i="1"/>
  <c r="KE30" i="1"/>
  <c r="KD30" i="1"/>
  <c r="KE29" i="1"/>
  <c r="KD29" i="1"/>
  <c r="KE28" i="1"/>
  <c r="KD28" i="1"/>
  <c r="KQ26" i="1"/>
  <c r="KP26" i="1"/>
  <c r="KQ25" i="1"/>
  <c r="KP25" i="1"/>
  <c r="KQ24" i="1"/>
  <c r="KP24" i="1"/>
  <c r="KQ23" i="1"/>
  <c r="KP23" i="1"/>
  <c r="KE26" i="1"/>
  <c r="KD26" i="1"/>
  <c r="KE25" i="1"/>
  <c r="KD25" i="1"/>
  <c r="KE24" i="1"/>
  <c r="KD24" i="1"/>
  <c r="KE23" i="1"/>
  <c r="KD23" i="1"/>
  <c r="LG39" i="1"/>
  <c r="LC39" i="1"/>
  <c r="LB39" i="1"/>
  <c r="KU39" i="1"/>
  <c r="KI39" i="1"/>
  <c r="LG38" i="1"/>
  <c r="LC38" i="1"/>
  <c r="LB38" i="1"/>
  <c r="KU38" i="1"/>
  <c r="KI38" i="1"/>
  <c r="LG37" i="1"/>
  <c r="LC37" i="1"/>
  <c r="LB37" i="1"/>
  <c r="KU37" i="1"/>
  <c r="KI37" i="1"/>
  <c r="LG36" i="1"/>
  <c r="LC36" i="1"/>
  <c r="LB36" i="1"/>
  <c r="KU36" i="1"/>
  <c r="KI36" i="1"/>
  <c r="LG31" i="1"/>
  <c r="LC31" i="1"/>
  <c r="LB31" i="1"/>
  <c r="KU31" i="1"/>
  <c r="KI31" i="1"/>
  <c r="LG30" i="1"/>
  <c r="LC30" i="1"/>
  <c r="LB30" i="1"/>
  <c r="KU30" i="1"/>
  <c r="KI30" i="1"/>
  <c r="LG29" i="1"/>
  <c r="LC29" i="1"/>
  <c r="LB29" i="1"/>
  <c r="KU29" i="1"/>
  <c r="KI29" i="1"/>
  <c r="LG28" i="1"/>
  <c r="LC28" i="1"/>
  <c r="LB28" i="1"/>
  <c r="KU28" i="1"/>
  <c r="KI28" i="1"/>
  <c r="LG26" i="1"/>
  <c r="LC26" i="1"/>
  <c r="LB26" i="1"/>
  <c r="LG25" i="1"/>
  <c r="LC25" i="1"/>
  <c r="LB25" i="1"/>
  <c r="LG24" i="1"/>
  <c r="LC24" i="1"/>
  <c r="LB24" i="1"/>
  <c r="LG23" i="1"/>
  <c r="LC23" i="1"/>
  <c r="LB23" i="1"/>
  <c r="KU26" i="1"/>
  <c r="KU25" i="1"/>
  <c r="KU24" i="1"/>
  <c r="KU23" i="1"/>
  <c r="KI26" i="1"/>
  <c r="KI25" i="1"/>
  <c r="KI24" i="1"/>
  <c r="KI23" i="1"/>
  <c r="LH41" i="1" l="1"/>
  <c r="LF41" i="1"/>
  <c r="LA42" i="1"/>
  <c r="KW41" i="1"/>
  <c r="KX41" i="1" s="1"/>
  <c r="KT41" i="1"/>
  <c r="KV41" i="1"/>
  <c r="KO42" i="1"/>
  <c r="KC42" i="1"/>
  <c r="KH41" i="1"/>
  <c r="KK41" i="1"/>
  <c r="KL41" i="1" s="1"/>
  <c r="LD42" i="1" l="1"/>
  <c r="LH42" i="1" s="1"/>
  <c r="LE42" i="1"/>
  <c r="KV42" i="1"/>
  <c r="KR42" i="1"/>
  <c r="KS42" i="1"/>
  <c r="KG42" i="1"/>
  <c r="KJ42" i="1"/>
  <c r="KF42" i="1"/>
  <c r="LA43" i="1" l="1"/>
  <c r="LI42" i="1"/>
  <c r="LJ42" i="1" s="1"/>
  <c r="LF42" i="1"/>
  <c r="KO43" i="1"/>
  <c r="KW42" i="1"/>
  <c r="KX42" i="1" s="1"/>
  <c r="KT42" i="1"/>
  <c r="KC43" i="1"/>
  <c r="KK42" i="1"/>
  <c r="KL42" i="1" s="1"/>
  <c r="KH42" i="1"/>
  <c r="LE43" i="1" l="1"/>
  <c r="LH43" i="1"/>
  <c r="LD43" i="1"/>
  <c r="KR43" i="1"/>
  <c r="KS43" i="1"/>
  <c r="KF43" i="1"/>
  <c r="KG43" i="1"/>
  <c r="LF43" i="1" l="1"/>
  <c r="LA44" i="1"/>
  <c r="LI43" i="1"/>
  <c r="LJ43" i="1" s="1"/>
  <c r="KW43" i="1"/>
  <c r="KX43" i="1" s="1"/>
  <c r="KT43" i="1"/>
  <c r="KO44" i="1"/>
  <c r="KV43" i="1"/>
  <c r="KK43" i="1"/>
  <c r="KL43" i="1" s="1"/>
  <c r="KC44" i="1"/>
  <c r="KH43" i="1"/>
  <c r="KJ43" i="1"/>
  <c r="LD44" i="1" l="1"/>
  <c r="LE44" i="1"/>
  <c r="KR44" i="1"/>
  <c r="KS44" i="1"/>
  <c r="KF44" i="1"/>
  <c r="KG44" i="1"/>
  <c r="LI44" i="1" l="1"/>
  <c r="LJ44" i="1" s="1"/>
  <c r="LF44" i="1"/>
  <c r="LH44" i="1"/>
  <c r="KW44" i="1"/>
  <c r="KX44" i="1" s="1"/>
  <c r="KT44" i="1"/>
  <c r="KV44" i="1"/>
  <c r="KH44" i="1"/>
  <c r="KK44" i="1"/>
  <c r="KL44" i="1" s="1"/>
  <c r="KJ44" i="1"/>
  <c r="M3" i="3" l="1"/>
  <c r="N3" i="3"/>
  <c r="N11" i="3" s="1"/>
  <c r="E5" i="3"/>
  <c r="E14" i="3"/>
  <c r="E9" i="3" s="1"/>
  <c r="E11" i="3" l="1"/>
  <c r="N7" i="3" s="1"/>
  <c r="N15" i="3"/>
  <c r="E10" i="3"/>
  <c r="N9" i="3" s="1"/>
  <c r="H35" i="1" l="1"/>
  <c r="F38" i="1" s="1"/>
  <c r="H27" i="1"/>
  <c r="F30" i="1" s="1"/>
  <c r="H22" i="1"/>
  <c r="F25" i="1" s="1"/>
  <c r="H14" i="1"/>
  <c r="F17" i="1" s="1"/>
  <c r="H9" i="1"/>
  <c r="F12" i="1" s="1"/>
  <c r="J9" i="1"/>
  <c r="J10" i="1" s="1"/>
  <c r="J11" i="1" s="1"/>
  <c r="J12" i="1" s="1"/>
  <c r="J13" i="1" s="1"/>
  <c r="J14" i="1" s="1"/>
  <c r="J15" i="1" s="1"/>
  <c r="J16" i="1" s="1"/>
  <c r="J17" i="1" s="1"/>
  <c r="J18" i="1" s="1"/>
  <c r="JV4" i="1"/>
  <c r="JW4" i="1"/>
  <c r="JX4" i="1"/>
  <c r="JY4" i="1"/>
  <c r="JZ4" i="1"/>
  <c r="JL4" i="1"/>
  <c r="JM4" i="1"/>
  <c r="JN4" i="1"/>
  <c r="JO4" i="1"/>
  <c r="JP4" i="1"/>
  <c r="JQ4" i="1"/>
  <c r="JR4" i="1"/>
  <c r="JS4" i="1"/>
  <c r="JT4" i="1"/>
  <c r="JU4" i="1"/>
  <c r="JG4" i="1"/>
  <c r="JH4" i="1"/>
  <c r="JI4" i="1"/>
  <c r="JJ4" i="1"/>
  <c r="JK4" i="1"/>
  <c r="JB4" i="1"/>
  <c r="JC4" i="1"/>
  <c r="JD4" i="1"/>
  <c r="JE4" i="1"/>
  <c r="JF4" i="1"/>
  <c r="C29" i="1" l="1"/>
  <c r="C30" i="1"/>
  <c r="C31" i="1"/>
  <c r="C28" i="1"/>
  <c r="E3" i="2"/>
  <c r="G3" i="2" s="1"/>
  <c r="E4" i="2"/>
  <c r="G4" i="2" s="1"/>
  <c r="E5" i="2"/>
  <c r="G5" i="2" s="1"/>
  <c r="E6" i="2"/>
  <c r="E7" i="2"/>
  <c r="E2" i="2"/>
  <c r="G2" i="2" s="1"/>
  <c r="C16" i="1"/>
  <c r="C17" i="1"/>
  <c r="C18" i="1"/>
  <c r="C15" i="1"/>
  <c r="C11" i="1"/>
  <c r="C12" i="1"/>
  <c r="C13" i="1"/>
  <c r="C10" i="1"/>
  <c r="W3" i="1"/>
  <c r="V11" i="1"/>
  <c r="C81" i="1"/>
  <c r="C82" i="1"/>
  <c r="C83" i="1"/>
  <c r="C80" i="1"/>
  <c r="C76" i="1"/>
  <c r="C77" i="1"/>
  <c r="C78" i="1"/>
  <c r="C75" i="1"/>
  <c r="C68" i="1"/>
  <c r="C69" i="1"/>
  <c r="C70" i="1"/>
  <c r="C67" i="1"/>
  <c r="C63" i="1"/>
  <c r="C64" i="1"/>
  <c r="C65" i="1"/>
  <c r="C62" i="1"/>
  <c r="C55" i="1"/>
  <c r="C56" i="1"/>
  <c r="C57" i="1"/>
  <c r="C54" i="1"/>
  <c r="C50" i="1"/>
  <c r="C51" i="1"/>
  <c r="C52" i="1"/>
  <c r="C49" i="1"/>
  <c r="C42" i="1"/>
  <c r="C43" i="1"/>
  <c r="C44" i="1"/>
  <c r="C37" i="1"/>
  <c r="C38" i="1"/>
  <c r="C39" i="1"/>
  <c r="C36" i="1"/>
  <c r="C24" i="1"/>
  <c r="C25" i="1"/>
  <c r="C26" i="1"/>
  <c r="C23" i="1"/>
  <c r="A83" i="1"/>
  <c r="A82" i="1"/>
  <c r="A81" i="1"/>
  <c r="A80" i="1"/>
  <c r="A79" i="1"/>
  <c r="A78" i="1"/>
  <c r="A77" i="1"/>
  <c r="A76" i="1"/>
  <c r="A75" i="1"/>
  <c r="J74" i="1"/>
  <c r="J75" i="1" s="1"/>
  <c r="J76" i="1" s="1"/>
  <c r="J77" i="1" s="1"/>
  <c r="J78" i="1" s="1"/>
  <c r="J79" i="1" s="1"/>
  <c r="J80" i="1" s="1"/>
  <c r="J81" i="1" s="1"/>
  <c r="J82" i="1" s="1"/>
  <c r="J83" i="1" s="1"/>
  <c r="A74" i="1"/>
  <c r="A70" i="1"/>
  <c r="A69" i="1"/>
  <c r="A68" i="1"/>
  <c r="A67" i="1"/>
  <c r="A66" i="1"/>
  <c r="A65" i="1"/>
  <c r="A64" i="1"/>
  <c r="A63" i="1"/>
  <c r="A62" i="1"/>
  <c r="J61" i="1"/>
  <c r="J62" i="1" s="1"/>
  <c r="J63" i="1" s="1"/>
  <c r="J64" i="1" s="1"/>
  <c r="J65" i="1" s="1"/>
  <c r="J66" i="1" s="1"/>
  <c r="J67" i="1" s="1"/>
  <c r="J68" i="1" s="1"/>
  <c r="J69" i="1" s="1"/>
  <c r="J70" i="1" s="1"/>
  <c r="A61" i="1"/>
  <c r="A57" i="1"/>
  <c r="A56" i="1"/>
  <c r="A55" i="1"/>
  <c r="A54" i="1"/>
  <c r="A53" i="1"/>
  <c r="A52" i="1"/>
  <c r="A51" i="1"/>
  <c r="A50" i="1"/>
  <c r="A49" i="1"/>
  <c r="J48" i="1"/>
  <c r="J49" i="1" s="1"/>
  <c r="J50" i="1" s="1"/>
  <c r="J51" i="1" s="1"/>
  <c r="J52" i="1" s="1"/>
  <c r="J53" i="1" s="1"/>
  <c r="J54" i="1" s="1"/>
  <c r="J55" i="1" s="1"/>
  <c r="J56" i="1" s="1"/>
  <c r="J57" i="1" s="1"/>
  <c r="A48" i="1"/>
  <c r="A44" i="1"/>
  <c r="A43" i="1"/>
  <c r="A42" i="1"/>
  <c r="A41" i="1"/>
  <c r="A40" i="1"/>
  <c r="A39" i="1"/>
  <c r="A38" i="1"/>
  <c r="A37" i="1"/>
  <c r="A36" i="1"/>
  <c r="J35" i="1"/>
  <c r="J36" i="1" s="1"/>
  <c r="J37" i="1" s="1"/>
  <c r="J38" i="1" s="1"/>
  <c r="J39" i="1" s="1"/>
  <c r="J40" i="1" s="1"/>
  <c r="J41" i="1" s="1"/>
  <c r="J42" i="1" s="1"/>
  <c r="J43" i="1" s="1"/>
  <c r="J44" i="1" s="1"/>
  <c r="A35" i="1"/>
  <c r="A31" i="1"/>
  <c r="A30" i="1"/>
  <c r="A29" i="1"/>
  <c r="A28" i="1"/>
  <c r="A27" i="1"/>
  <c r="A26" i="1"/>
  <c r="A25" i="1"/>
  <c r="A24" i="1"/>
  <c r="A23" i="1"/>
  <c r="J22" i="1"/>
  <c r="J23" i="1" s="1"/>
  <c r="J24" i="1" s="1"/>
  <c r="J25" i="1" s="1"/>
  <c r="J26" i="1" s="1"/>
  <c r="J27" i="1" s="1"/>
  <c r="J28" i="1" s="1"/>
  <c r="J29" i="1" s="1"/>
  <c r="J30" i="1" s="1"/>
  <c r="J31" i="1" s="1"/>
  <c r="A22" i="1"/>
  <c r="G7" i="2" l="1"/>
  <c r="F7" i="2"/>
  <c r="G6" i="2"/>
  <c r="G8" i="2" s="1"/>
  <c r="F6" i="2"/>
  <c r="E8" i="2"/>
  <c r="A9" i="1"/>
  <c r="A10" i="1"/>
  <c r="A11" i="1"/>
  <c r="A12" i="1"/>
  <c r="A13" i="1"/>
  <c r="A14" i="1"/>
  <c r="A15" i="1"/>
  <c r="A16" i="1"/>
  <c r="A17" i="1"/>
  <c r="A18" i="1"/>
  <c r="IW4" i="1"/>
  <c r="IX4" i="1"/>
  <c r="IY4" i="1"/>
  <c r="IZ4" i="1"/>
  <c r="JA4" i="1"/>
  <c r="X3" i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V13" i="1"/>
  <c r="J5" i="1"/>
  <c r="HE11" i="1" l="1"/>
  <c r="HG11" i="1"/>
  <c r="HI11" i="1"/>
  <c r="HK11" i="1"/>
  <c r="HM11" i="1"/>
  <c r="HO11" i="1"/>
  <c r="HQ11" i="1"/>
  <c r="HS11" i="1"/>
  <c r="HU11" i="1"/>
  <c r="HW11" i="1"/>
  <c r="HY11" i="1"/>
  <c r="IA11" i="1"/>
  <c r="IC11" i="1"/>
  <c r="IE11" i="1"/>
  <c r="IG11" i="1"/>
  <c r="II11" i="1"/>
  <c r="IK11" i="1"/>
  <c r="IM11" i="1"/>
  <c r="IO11" i="1"/>
  <c r="IQ11" i="1"/>
  <c r="IS11" i="1"/>
  <c r="IU11" i="1"/>
  <c r="IW11" i="1"/>
  <c r="IY11" i="1"/>
  <c r="JA11" i="1"/>
  <c r="JC11" i="1"/>
  <c r="JE11" i="1"/>
  <c r="HE13" i="1"/>
  <c r="HG13" i="1"/>
  <c r="HI13" i="1"/>
  <c r="HK13" i="1"/>
  <c r="HM13" i="1"/>
  <c r="HO13" i="1"/>
  <c r="HQ13" i="1"/>
  <c r="HS13" i="1"/>
  <c r="HU13" i="1"/>
  <c r="HW13" i="1"/>
  <c r="HY13" i="1"/>
  <c r="IA13" i="1"/>
  <c r="IC13" i="1"/>
  <c r="IE13" i="1"/>
  <c r="IG13" i="1"/>
  <c r="II13" i="1"/>
  <c r="IK13" i="1"/>
  <c r="IM13" i="1"/>
  <c r="IO13" i="1"/>
  <c r="IQ13" i="1"/>
  <c r="IS13" i="1"/>
  <c r="IU13" i="1"/>
  <c r="IW13" i="1"/>
  <c r="IY13" i="1"/>
  <c r="JA13" i="1"/>
  <c r="JC13" i="1"/>
  <c r="JE13" i="1"/>
  <c r="HD11" i="1"/>
  <c r="HF11" i="1"/>
  <c r="HH11" i="1"/>
  <c r="HJ11" i="1"/>
  <c r="HL11" i="1"/>
  <c r="HN11" i="1"/>
  <c r="HP11" i="1"/>
  <c r="HR11" i="1"/>
  <c r="HT11" i="1"/>
  <c r="HV11" i="1"/>
  <c r="HX11" i="1"/>
  <c r="HZ11" i="1"/>
  <c r="IB11" i="1"/>
  <c r="ID11" i="1"/>
  <c r="IF11" i="1"/>
  <c r="IH11" i="1"/>
  <c r="IJ11" i="1"/>
  <c r="IL11" i="1"/>
  <c r="IN11" i="1"/>
  <c r="IP11" i="1"/>
  <c r="IR11" i="1"/>
  <c r="IT11" i="1"/>
  <c r="IV11" i="1"/>
  <c r="IX11" i="1"/>
  <c r="IZ11" i="1"/>
  <c r="JB11" i="1"/>
  <c r="JD11" i="1"/>
  <c r="HD13" i="1"/>
  <c r="HF13" i="1"/>
  <c r="HH13" i="1"/>
  <c r="HJ13" i="1"/>
  <c r="HL13" i="1"/>
  <c r="HN13" i="1"/>
  <c r="HP13" i="1"/>
  <c r="HR13" i="1"/>
  <c r="HT13" i="1"/>
  <c r="HV13" i="1"/>
  <c r="HX13" i="1"/>
  <c r="HZ13" i="1"/>
  <c r="IB13" i="1"/>
  <c r="ID13" i="1"/>
  <c r="IF13" i="1"/>
  <c r="IH13" i="1"/>
  <c r="IJ13" i="1"/>
  <c r="IL13" i="1"/>
  <c r="IN13" i="1"/>
  <c r="IP13" i="1"/>
  <c r="IR13" i="1"/>
  <c r="IT13" i="1"/>
  <c r="IV13" i="1"/>
  <c r="IX13" i="1"/>
  <c r="IZ13" i="1"/>
  <c r="JB13" i="1"/>
  <c r="JD13" i="1"/>
  <c r="HE16" i="1"/>
  <c r="HG16" i="1"/>
  <c r="HI16" i="1"/>
  <c r="HK16" i="1"/>
  <c r="HM16" i="1"/>
  <c r="HO16" i="1"/>
  <c r="HQ16" i="1"/>
  <c r="HS16" i="1"/>
  <c r="HU16" i="1"/>
  <c r="HW16" i="1"/>
  <c r="HY16" i="1"/>
  <c r="IA16" i="1"/>
  <c r="IC16" i="1"/>
  <c r="IE16" i="1"/>
  <c r="IG16" i="1"/>
  <c r="II16" i="1"/>
  <c r="IK16" i="1"/>
  <c r="IM16" i="1"/>
  <c r="IO16" i="1"/>
  <c r="IQ16" i="1"/>
  <c r="IS16" i="1"/>
  <c r="IU16" i="1"/>
  <c r="IW16" i="1"/>
  <c r="IY16" i="1"/>
  <c r="JA16" i="1"/>
  <c r="JC16" i="1"/>
  <c r="JE16" i="1"/>
  <c r="HE18" i="1"/>
  <c r="HG18" i="1"/>
  <c r="HI18" i="1"/>
  <c r="HK18" i="1"/>
  <c r="HM18" i="1"/>
  <c r="HO18" i="1"/>
  <c r="HQ18" i="1"/>
  <c r="HS18" i="1"/>
  <c r="HU18" i="1"/>
  <c r="HW18" i="1"/>
  <c r="HY18" i="1"/>
  <c r="IA18" i="1"/>
  <c r="IC18" i="1"/>
  <c r="IE18" i="1"/>
  <c r="IG18" i="1"/>
  <c r="II18" i="1"/>
  <c r="IK18" i="1"/>
  <c r="IM18" i="1"/>
  <c r="IO18" i="1"/>
  <c r="IQ18" i="1"/>
  <c r="IS18" i="1"/>
  <c r="IU18" i="1"/>
  <c r="IW18" i="1"/>
  <c r="IY18" i="1"/>
  <c r="JA18" i="1"/>
  <c r="JC18" i="1"/>
  <c r="JE18" i="1"/>
  <c r="HE24" i="1"/>
  <c r="HG24" i="1"/>
  <c r="HI24" i="1"/>
  <c r="HK24" i="1"/>
  <c r="HM24" i="1"/>
  <c r="HO24" i="1"/>
  <c r="HQ24" i="1"/>
  <c r="HS24" i="1"/>
  <c r="HU24" i="1"/>
  <c r="HW24" i="1"/>
  <c r="HY24" i="1"/>
  <c r="IA24" i="1"/>
  <c r="IC24" i="1"/>
  <c r="IE24" i="1"/>
  <c r="IG24" i="1"/>
  <c r="II24" i="1"/>
  <c r="IK24" i="1"/>
  <c r="IM24" i="1"/>
  <c r="IO24" i="1"/>
  <c r="IQ24" i="1"/>
  <c r="IS24" i="1"/>
  <c r="IU24" i="1"/>
  <c r="IW24" i="1"/>
  <c r="IY24" i="1"/>
  <c r="JA24" i="1"/>
  <c r="JC24" i="1"/>
  <c r="JE24" i="1"/>
  <c r="HE26" i="1"/>
  <c r="HG26" i="1"/>
  <c r="HI26" i="1"/>
  <c r="HK26" i="1"/>
  <c r="HM26" i="1"/>
  <c r="HO26" i="1"/>
  <c r="HQ26" i="1"/>
  <c r="HS26" i="1"/>
  <c r="HU26" i="1"/>
  <c r="HD16" i="1"/>
  <c r="HF16" i="1"/>
  <c r="HH16" i="1"/>
  <c r="HJ16" i="1"/>
  <c r="HL16" i="1"/>
  <c r="HN16" i="1"/>
  <c r="HP16" i="1"/>
  <c r="HR16" i="1"/>
  <c r="HT16" i="1"/>
  <c r="HV16" i="1"/>
  <c r="HX16" i="1"/>
  <c r="HZ16" i="1"/>
  <c r="IB16" i="1"/>
  <c r="ID16" i="1"/>
  <c r="IF16" i="1"/>
  <c r="IH16" i="1"/>
  <c r="IJ16" i="1"/>
  <c r="IL16" i="1"/>
  <c r="IN16" i="1"/>
  <c r="IP16" i="1"/>
  <c r="IR16" i="1"/>
  <c r="IT16" i="1"/>
  <c r="IV16" i="1"/>
  <c r="IX16" i="1"/>
  <c r="IZ16" i="1"/>
  <c r="JB16" i="1"/>
  <c r="JD16" i="1"/>
  <c r="HD18" i="1"/>
  <c r="HF18" i="1"/>
  <c r="HH18" i="1"/>
  <c r="HJ18" i="1"/>
  <c r="HL18" i="1"/>
  <c r="HN18" i="1"/>
  <c r="HP18" i="1"/>
  <c r="HR18" i="1"/>
  <c r="HT18" i="1"/>
  <c r="HV18" i="1"/>
  <c r="HX18" i="1"/>
  <c r="HZ18" i="1"/>
  <c r="IB18" i="1"/>
  <c r="ID18" i="1"/>
  <c r="IF18" i="1"/>
  <c r="IH18" i="1"/>
  <c r="IJ18" i="1"/>
  <c r="IL18" i="1"/>
  <c r="IN18" i="1"/>
  <c r="IP18" i="1"/>
  <c r="IR18" i="1"/>
  <c r="IT18" i="1"/>
  <c r="IV18" i="1"/>
  <c r="IX18" i="1"/>
  <c r="IZ18" i="1"/>
  <c r="JB18" i="1"/>
  <c r="JD18" i="1"/>
  <c r="HD24" i="1"/>
  <c r="HF24" i="1"/>
  <c r="HH24" i="1"/>
  <c r="HJ24" i="1"/>
  <c r="HL24" i="1"/>
  <c r="HN24" i="1"/>
  <c r="HP24" i="1"/>
  <c r="HR24" i="1"/>
  <c r="HT24" i="1"/>
  <c r="HV24" i="1"/>
  <c r="HX24" i="1"/>
  <c r="HZ24" i="1"/>
  <c r="IB24" i="1"/>
  <c r="ID24" i="1"/>
  <c r="IF24" i="1"/>
  <c r="IH24" i="1"/>
  <c r="IJ24" i="1"/>
  <c r="IL24" i="1"/>
  <c r="IN24" i="1"/>
  <c r="IP24" i="1"/>
  <c r="IR24" i="1"/>
  <c r="IT24" i="1"/>
  <c r="IV24" i="1"/>
  <c r="IX24" i="1"/>
  <c r="IZ24" i="1"/>
  <c r="JB24" i="1"/>
  <c r="JD24" i="1"/>
  <c r="HD26" i="1"/>
  <c r="HF26" i="1"/>
  <c r="HH26" i="1"/>
  <c r="HJ26" i="1"/>
  <c r="HL26" i="1"/>
  <c r="HN26" i="1"/>
  <c r="HP26" i="1"/>
  <c r="HR26" i="1"/>
  <c r="HT26" i="1"/>
  <c r="HV26" i="1"/>
  <c r="HX26" i="1"/>
  <c r="HW26" i="1"/>
  <c r="HZ26" i="1"/>
  <c r="IB26" i="1"/>
  <c r="ID26" i="1"/>
  <c r="IF26" i="1"/>
  <c r="IH26" i="1"/>
  <c r="IJ26" i="1"/>
  <c r="IL26" i="1"/>
  <c r="IN26" i="1"/>
  <c r="IP26" i="1"/>
  <c r="IR26" i="1"/>
  <c r="IT26" i="1"/>
  <c r="IV26" i="1"/>
  <c r="IX26" i="1"/>
  <c r="IZ26" i="1"/>
  <c r="JB26" i="1"/>
  <c r="JD26" i="1"/>
  <c r="HD29" i="1"/>
  <c r="HF29" i="1"/>
  <c r="HH29" i="1"/>
  <c r="HJ29" i="1"/>
  <c r="HL29" i="1"/>
  <c r="HN29" i="1"/>
  <c r="HP29" i="1"/>
  <c r="HR29" i="1"/>
  <c r="HT29" i="1"/>
  <c r="HV29" i="1"/>
  <c r="HX29" i="1"/>
  <c r="HZ29" i="1"/>
  <c r="IB29" i="1"/>
  <c r="ID29" i="1"/>
  <c r="IF29" i="1"/>
  <c r="IH29" i="1"/>
  <c r="IJ29" i="1"/>
  <c r="IL29" i="1"/>
  <c r="IN29" i="1"/>
  <c r="IP29" i="1"/>
  <c r="IR29" i="1"/>
  <c r="IT29" i="1"/>
  <c r="IV29" i="1"/>
  <c r="IX29" i="1"/>
  <c r="IZ29" i="1"/>
  <c r="JB29" i="1"/>
  <c r="JD29" i="1"/>
  <c r="HD31" i="1"/>
  <c r="HF31" i="1"/>
  <c r="HH31" i="1"/>
  <c r="HJ31" i="1"/>
  <c r="HL31" i="1"/>
  <c r="HN31" i="1"/>
  <c r="HP31" i="1"/>
  <c r="HR31" i="1"/>
  <c r="HT31" i="1"/>
  <c r="HV31" i="1"/>
  <c r="HX31" i="1"/>
  <c r="HZ31" i="1"/>
  <c r="IB31" i="1"/>
  <c r="ID31" i="1"/>
  <c r="IF31" i="1"/>
  <c r="IH31" i="1"/>
  <c r="IJ31" i="1"/>
  <c r="IL31" i="1"/>
  <c r="IN31" i="1"/>
  <c r="IP31" i="1"/>
  <c r="IR31" i="1"/>
  <c r="IT31" i="1"/>
  <c r="IV31" i="1"/>
  <c r="IX31" i="1"/>
  <c r="IZ31" i="1"/>
  <c r="JB31" i="1"/>
  <c r="JD31" i="1"/>
  <c r="HD37" i="1"/>
  <c r="HF37" i="1"/>
  <c r="HH37" i="1"/>
  <c r="HJ37" i="1"/>
  <c r="HL37" i="1"/>
  <c r="HN37" i="1"/>
  <c r="HP37" i="1"/>
  <c r="HR37" i="1"/>
  <c r="HT37" i="1"/>
  <c r="HV37" i="1"/>
  <c r="HX37" i="1"/>
  <c r="HZ37" i="1"/>
  <c r="IB37" i="1"/>
  <c r="ID37" i="1"/>
  <c r="IF37" i="1"/>
  <c r="IH37" i="1"/>
  <c r="IJ37" i="1"/>
  <c r="IL37" i="1"/>
  <c r="IN37" i="1"/>
  <c r="IP37" i="1"/>
  <c r="IR37" i="1"/>
  <c r="IT37" i="1"/>
  <c r="IV37" i="1"/>
  <c r="IX37" i="1"/>
  <c r="IZ37" i="1"/>
  <c r="JB37" i="1"/>
  <c r="JD37" i="1"/>
  <c r="HY26" i="1"/>
  <c r="IA26" i="1"/>
  <c r="IC26" i="1"/>
  <c r="IE26" i="1"/>
  <c r="IG26" i="1"/>
  <c r="II26" i="1"/>
  <c r="IK26" i="1"/>
  <c r="IM26" i="1"/>
  <c r="IO26" i="1"/>
  <c r="IQ26" i="1"/>
  <c r="IS26" i="1"/>
  <c r="IU26" i="1"/>
  <c r="IW26" i="1"/>
  <c r="IY26" i="1"/>
  <c r="JA26" i="1"/>
  <c r="JC26" i="1"/>
  <c r="JE26" i="1"/>
  <c r="HE29" i="1"/>
  <c r="HG29" i="1"/>
  <c r="HI29" i="1"/>
  <c r="HK29" i="1"/>
  <c r="HM29" i="1"/>
  <c r="HO29" i="1"/>
  <c r="HQ29" i="1"/>
  <c r="HS29" i="1"/>
  <c r="HU29" i="1"/>
  <c r="HW29" i="1"/>
  <c r="HY29" i="1"/>
  <c r="IA29" i="1"/>
  <c r="IC29" i="1"/>
  <c r="IE29" i="1"/>
  <c r="IG29" i="1"/>
  <c r="II29" i="1"/>
  <c r="IK29" i="1"/>
  <c r="IM29" i="1"/>
  <c r="IO29" i="1"/>
  <c r="IQ29" i="1"/>
  <c r="IS29" i="1"/>
  <c r="IU29" i="1"/>
  <c r="IW29" i="1"/>
  <c r="IY29" i="1"/>
  <c r="JA29" i="1"/>
  <c r="JC29" i="1"/>
  <c r="JE29" i="1"/>
  <c r="HE31" i="1"/>
  <c r="HG31" i="1"/>
  <c r="HI31" i="1"/>
  <c r="HK31" i="1"/>
  <c r="HM31" i="1"/>
  <c r="HO31" i="1"/>
  <c r="HQ31" i="1"/>
  <c r="HS31" i="1"/>
  <c r="HU31" i="1"/>
  <c r="HW31" i="1"/>
  <c r="HY31" i="1"/>
  <c r="IA31" i="1"/>
  <c r="IC31" i="1"/>
  <c r="IE31" i="1"/>
  <c r="IG31" i="1"/>
  <c r="II31" i="1"/>
  <c r="IK31" i="1"/>
  <c r="IM31" i="1"/>
  <c r="IO31" i="1"/>
  <c r="IQ31" i="1"/>
  <c r="IS31" i="1"/>
  <c r="IU31" i="1"/>
  <c r="IW31" i="1"/>
  <c r="IY31" i="1"/>
  <c r="JA31" i="1"/>
  <c r="JC31" i="1"/>
  <c r="JE31" i="1"/>
  <c r="HE37" i="1"/>
  <c r="HG37" i="1"/>
  <c r="HI37" i="1"/>
  <c r="HK37" i="1"/>
  <c r="HM37" i="1"/>
  <c r="HO37" i="1"/>
  <c r="HQ37" i="1"/>
  <c r="HS37" i="1"/>
  <c r="HU37" i="1"/>
  <c r="HW37" i="1"/>
  <c r="HY37" i="1"/>
  <c r="IA37" i="1"/>
  <c r="IC37" i="1"/>
  <c r="IE37" i="1"/>
  <c r="IG37" i="1"/>
  <c r="II37" i="1"/>
  <c r="IK37" i="1"/>
  <c r="IM37" i="1"/>
  <c r="IO37" i="1"/>
  <c r="IQ37" i="1"/>
  <c r="IS37" i="1"/>
  <c r="IU37" i="1"/>
  <c r="IW37" i="1"/>
  <c r="IY37" i="1"/>
  <c r="JA37" i="1"/>
  <c r="JC37" i="1"/>
  <c r="JE37" i="1"/>
  <c r="HE39" i="1"/>
  <c r="HG39" i="1"/>
  <c r="HI39" i="1"/>
  <c r="HK39" i="1"/>
  <c r="HM39" i="1"/>
  <c r="HO39" i="1"/>
  <c r="HQ39" i="1"/>
  <c r="HS39" i="1"/>
  <c r="HU39" i="1"/>
  <c r="HW39" i="1"/>
  <c r="HY39" i="1"/>
  <c r="IA39" i="1"/>
  <c r="IC39" i="1"/>
  <c r="IE39" i="1"/>
  <c r="IG39" i="1"/>
  <c r="II39" i="1"/>
  <c r="IK39" i="1"/>
  <c r="IM39" i="1"/>
  <c r="IO39" i="1"/>
  <c r="IQ39" i="1"/>
  <c r="IS39" i="1"/>
  <c r="IU39" i="1"/>
  <c r="IW39" i="1"/>
  <c r="IY39" i="1"/>
  <c r="JA39" i="1"/>
  <c r="JC39" i="1"/>
  <c r="JE39" i="1"/>
  <c r="HE42" i="1"/>
  <c r="HG42" i="1"/>
  <c r="HI42" i="1"/>
  <c r="HK42" i="1"/>
  <c r="HM42" i="1"/>
  <c r="HO42" i="1"/>
  <c r="HQ42" i="1"/>
  <c r="HS42" i="1"/>
  <c r="HU42" i="1"/>
  <c r="HW42" i="1"/>
  <c r="HY42" i="1"/>
  <c r="IA42" i="1"/>
  <c r="IC42" i="1"/>
  <c r="IE42" i="1"/>
  <c r="IG42" i="1"/>
  <c r="II42" i="1"/>
  <c r="IK42" i="1"/>
  <c r="IM42" i="1"/>
  <c r="IO42" i="1"/>
  <c r="IQ42" i="1"/>
  <c r="IS42" i="1"/>
  <c r="IU42" i="1"/>
  <c r="IW42" i="1"/>
  <c r="IY42" i="1"/>
  <c r="JA42" i="1"/>
  <c r="JC42" i="1"/>
  <c r="JE42" i="1"/>
  <c r="HE44" i="1"/>
  <c r="HG44" i="1"/>
  <c r="HI44" i="1"/>
  <c r="HK44" i="1"/>
  <c r="HM44" i="1"/>
  <c r="HO44" i="1"/>
  <c r="HQ44" i="1"/>
  <c r="HS44" i="1"/>
  <c r="HU44" i="1"/>
  <c r="HW44" i="1"/>
  <c r="HY44" i="1"/>
  <c r="IA44" i="1"/>
  <c r="IC44" i="1"/>
  <c r="IE44" i="1"/>
  <c r="IG44" i="1"/>
  <c r="II44" i="1"/>
  <c r="IK44" i="1"/>
  <c r="IM44" i="1"/>
  <c r="IO44" i="1"/>
  <c r="IQ44" i="1"/>
  <c r="IS44" i="1"/>
  <c r="IU44" i="1"/>
  <c r="IW44" i="1"/>
  <c r="IY44" i="1"/>
  <c r="JA44" i="1"/>
  <c r="JC44" i="1"/>
  <c r="JE44" i="1"/>
  <c r="HE50" i="1"/>
  <c r="HG50" i="1"/>
  <c r="HI50" i="1"/>
  <c r="HK50" i="1"/>
  <c r="HM50" i="1"/>
  <c r="HO50" i="1"/>
  <c r="HQ50" i="1"/>
  <c r="HS50" i="1"/>
  <c r="HU50" i="1"/>
  <c r="HW50" i="1"/>
  <c r="HY50" i="1"/>
  <c r="IA50" i="1"/>
  <c r="IC50" i="1"/>
  <c r="IE50" i="1"/>
  <c r="IG50" i="1"/>
  <c r="II50" i="1"/>
  <c r="IK50" i="1"/>
  <c r="IM50" i="1"/>
  <c r="IO50" i="1"/>
  <c r="IQ50" i="1"/>
  <c r="IS50" i="1"/>
  <c r="IU50" i="1"/>
  <c r="IW50" i="1"/>
  <c r="IY50" i="1"/>
  <c r="JA50" i="1"/>
  <c r="JC50" i="1"/>
  <c r="JE50" i="1"/>
  <c r="HE52" i="1"/>
  <c r="HG52" i="1"/>
  <c r="HI52" i="1"/>
  <c r="HK52" i="1"/>
  <c r="HM52" i="1"/>
  <c r="HO52" i="1"/>
  <c r="HQ52" i="1"/>
  <c r="HS52" i="1"/>
  <c r="HU52" i="1"/>
  <c r="HW52" i="1"/>
  <c r="HY52" i="1"/>
  <c r="IA52" i="1"/>
  <c r="IC52" i="1"/>
  <c r="IE52" i="1"/>
  <c r="IG52" i="1"/>
  <c r="II52" i="1"/>
  <c r="IK52" i="1"/>
  <c r="IM52" i="1"/>
  <c r="IO52" i="1"/>
  <c r="IQ52" i="1"/>
  <c r="IS52" i="1"/>
  <c r="IU52" i="1"/>
  <c r="IW52" i="1"/>
  <c r="IY52" i="1"/>
  <c r="JA52" i="1"/>
  <c r="JC52" i="1"/>
  <c r="JE52" i="1"/>
  <c r="HE55" i="1"/>
  <c r="HG55" i="1"/>
  <c r="HI55" i="1"/>
  <c r="HK55" i="1"/>
  <c r="HM55" i="1"/>
  <c r="HO55" i="1"/>
  <c r="HQ55" i="1"/>
  <c r="HS55" i="1"/>
  <c r="HU55" i="1"/>
  <c r="HW55" i="1"/>
  <c r="HY55" i="1"/>
  <c r="IA55" i="1"/>
  <c r="IC55" i="1"/>
  <c r="IE55" i="1"/>
  <c r="IG55" i="1"/>
  <c r="II55" i="1"/>
  <c r="IK55" i="1"/>
  <c r="IM55" i="1"/>
  <c r="IO55" i="1"/>
  <c r="IQ55" i="1"/>
  <c r="IS55" i="1"/>
  <c r="IU55" i="1"/>
  <c r="IW55" i="1"/>
  <c r="IY55" i="1"/>
  <c r="JA55" i="1"/>
  <c r="JC55" i="1"/>
  <c r="JE55" i="1"/>
  <c r="HE57" i="1"/>
  <c r="HG57" i="1"/>
  <c r="HI57" i="1"/>
  <c r="HK57" i="1"/>
  <c r="HM57" i="1"/>
  <c r="HO57" i="1"/>
  <c r="HQ57" i="1"/>
  <c r="HS57" i="1"/>
  <c r="HU57" i="1"/>
  <c r="HW57" i="1"/>
  <c r="HY57" i="1"/>
  <c r="IA57" i="1"/>
  <c r="IC57" i="1"/>
  <c r="IE57" i="1"/>
  <c r="IG57" i="1"/>
  <c r="II57" i="1"/>
  <c r="IK57" i="1"/>
  <c r="IM57" i="1"/>
  <c r="IO57" i="1"/>
  <c r="IQ57" i="1"/>
  <c r="IS57" i="1"/>
  <c r="IU57" i="1"/>
  <c r="IW57" i="1"/>
  <c r="IY57" i="1"/>
  <c r="JA57" i="1"/>
  <c r="JC57" i="1"/>
  <c r="JE57" i="1"/>
  <c r="HD39" i="1"/>
  <c r="HF39" i="1"/>
  <c r="HH39" i="1"/>
  <c r="HJ39" i="1"/>
  <c r="HL39" i="1"/>
  <c r="HN39" i="1"/>
  <c r="HP39" i="1"/>
  <c r="HR39" i="1"/>
  <c r="HT39" i="1"/>
  <c r="HV39" i="1"/>
  <c r="HX39" i="1"/>
  <c r="HZ39" i="1"/>
  <c r="IB39" i="1"/>
  <c r="ID39" i="1"/>
  <c r="IF39" i="1"/>
  <c r="IH39" i="1"/>
  <c r="IJ39" i="1"/>
  <c r="IL39" i="1"/>
  <c r="IN39" i="1"/>
  <c r="IP39" i="1"/>
  <c r="IR39" i="1"/>
  <c r="IT39" i="1"/>
  <c r="IV39" i="1"/>
  <c r="IX39" i="1"/>
  <c r="IZ39" i="1"/>
  <c r="JB39" i="1"/>
  <c r="JD39" i="1"/>
  <c r="HD42" i="1"/>
  <c r="HF42" i="1"/>
  <c r="HH42" i="1"/>
  <c r="HJ42" i="1"/>
  <c r="HL42" i="1"/>
  <c r="HN42" i="1"/>
  <c r="HP42" i="1"/>
  <c r="HR42" i="1"/>
  <c r="HT42" i="1"/>
  <c r="HV42" i="1"/>
  <c r="HX42" i="1"/>
  <c r="HZ42" i="1"/>
  <c r="IB42" i="1"/>
  <c r="ID42" i="1"/>
  <c r="IF42" i="1"/>
  <c r="IH42" i="1"/>
  <c r="IJ42" i="1"/>
  <c r="IL42" i="1"/>
  <c r="IN42" i="1"/>
  <c r="IP42" i="1"/>
  <c r="IR42" i="1"/>
  <c r="IT42" i="1"/>
  <c r="IV42" i="1"/>
  <c r="IX42" i="1"/>
  <c r="IZ42" i="1"/>
  <c r="JB42" i="1"/>
  <c r="JD42" i="1"/>
  <c r="HD44" i="1"/>
  <c r="HF44" i="1"/>
  <c r="HH44" i="1"/>
  <c r="HJ44" i="1"/>
  <c r="HL44" i="1"/>
  <c r="HN44" i="1"/>
  <c r="HP44" i="1"/>
  <c r="HR44" i="1"/>
  <c r="HT44" i="1"/>
  <c r="HV44" i="1"/>
  <c r="HX44" i="1"/>
  <c r="HZ44" i="1"/>
  <c r="IB44" i="1"/>
  <c r="ID44" i="1"/>
  <c r="IF44" i="1"/>
  <c r="IH44" i="1"/>
  <c r="IJ44" i="1"/>
  <c r="IL44" i="1"/>
  <c r="IN44" i="1"/>
  <c r="IP44" i="1"/>
  <c r="IR44" i="1"/>
  <c r="IT44" i="1"/>
  <c r="IV44" i="1"/>
  <c r="IX44" i="1"/>
  <c r="IZ44" i="1"/>
  <c r="JB44" i="1"/>
  <c r="JD44" i="1"/>
  <c r="HD50" i="1"/>
  <c r="HF50" i="1"/>
  <c r="HH50" i="1"/>
  <c r="HJ50" i="1"/>
  <c r="HL50" i="1"/>
  <c r="HN50" i="1"/>
  <c r="HP50" i="1"/>
  <c r="HR50" i="1"/>
  <c r="HT50" i="1"/>
  <c r="HV50" i="1"/>
  <c r="HX50" i="1"/>
  <c r="HZ50" i="1"/>
  <c r="IB50" i="1"/>
  <c r="ID50" i="1"/>
  <c r="IF50" i="1"/>
  <c r="IH50" i="1"/>
  <c r="IJ50" i="1"/>
  <c r="IL50" i="1"/>
  <c r="IN50" i="1"/>
  <c r="IP50" i="1"/>
  <c r="IR50" i="1"/>
  <c r="IT50" i="1"/>
  <c r="IV50" i="1"/>
  <c r="IX50" i="1"/>
  <c r="IZ50" i="1"/>
  <c r="JB50" i="1"/>
  <c r="JD50" i="1"/>
  <c r="HD52" i="1"/>
  <c r="HF52" i="1"/>
  <c r="HH52" i="1"/>
  <c r="HJ52" i="1"/>
  <c r="HL52" i="1"/>
  <c r="HN52" i="1"/>
  <c r="HP52" i="1"/>
  <c r="HR52" i="1"/>
  <c r="HT52" i="1"/>
  <c r="HV52" i="1"/>
  <c r="HX52" i="1"/>
  <c r="HZ52" i="1"/>
  <c r="IB52" i="1"/>
  <c r="ID52" i="1"/>
  <c r="IF52" i="1"/>
  <c r="IH52" i="1"/>
  <c r="IJ52" i="1"/>
  <c r="IL52" i="1"/>
  <c r="IN52" i="1"/>
  <c r="IP52" i="1"/>
  <c r="IR52" i="1"/>
  <c r="IT52" i="1"/>
  <c r="IV52" i="1"/>
  <c r="IX52" i="1"/>
  <c r="IZ52" i="1"/>
  <c r="JB52" i="1"/>
  <c r="JD52" i="1"/>
  <c r="HD55" i="1"/>
  <c r="HF55" i="1"/>
  <c r="HH55" i="1"/>
  <c r="HJ55" i="1"/>
  <c r="HL55" i="1"/>
  <c r="HN55" i="1"/>
  <c r="HP55" i="1"/>
  <c r="HR55" i="1"/>
  <c r="HT55" i="1"/>
  <c r="HV55" i="1"/>
  <c r="HX55" i="1"/>
  <c r="HZ55" i="1"/>
  <c r="IB55" i="1"/>
  <c r="ID55" i="1"/>
  <c r="IF55" i="1"/>
  <c r="IH55" i="1"/>
  <c r="IJ55" i="1"/>
  <c r="IL55" i="1"/>
  <c r="IN55" i="1"/>
  <c r="IP55" i="1"/>
  <c r="IR55" i="1"/>
  <c r="IT55" i="1"/>
  <c r="IV55" i="1"/>
  <c r="IX55" i="1"/>
  <c r="IZ55" i="1"/>
  <c r="JB55" i="1"/>
  <c r="JD55" i="1"/>
  <c r="HD57" i="1"/>
  <c r="HF57" i="1"/>
  <c r="HH57" i="1"/>
  <c r="HJ57" i="1"/>
  <c r="HL57" i="1"/>
  <c r="HN57" i="1"/>
  <c r="HP57" i="1"/>
  <c r="HR57" i="1"/>
  <c r="HT57" i="1"/>
  <c r="HV57" i="1"/>
  <c r="HX57" i="1"/>
  <c r="HZ57" i="1"/>
  <c r="IB57" i="1"/>
  <c r="ID57" i="1"/>
  <c r="IF57" i="1"/>
  <c r="IH57" i="1"/>
  <c r="IJ57" i="1"/>
  <c r="IL57" i="1"/>
  <c r="IN57" i="1"/>
  <c r="IP57" i="1"/>
  <c r="IR57" i="1"/>
  <c r="IT57" i="1"/>
  <c r="IV57" i="1"/>
  <c r="IX57" i="1"/>
  <c r="IZ57" i="1"/>
  <c r="JB57" i="1"/>
  <c r="JD57" i="1"/>
  <c r="HD63" i="1"/>
  <c r="HF63" i="1"/>
  <c r="HH63" i="1"/>
  <c r="HJ63" i="1"/>
  <c r="HL63" i="1"/>
  <c r="HG63" i="1"/>
  <c r="HK63" i="1"/>
  <c r="HN63" i="1"/>
  <c r="HP63" i="1"/>
  <c r="HR63" i="1"/>
  <c r="HT63" i="1"/>
  <c r="HV63" i="1"/>
  <c r="HX63" i="1"/>
  <c r="HZ63" i="1"/>
  <c r="IB63" i="1"/>
  <c r="ID63" i="1"/>
  <c r="IF63" i="1"/>
  <c r="IH63" i="1"/>
  <c r="IJ63" i="1"/>
  <c r="IL63" i="1"/>
  <c r="IN63" i="1"/>
  <c r="IP63" i="1"/>
  <c r="IR63" i="1"/>
  <c r="IT63" i="1"/>
  <c r="IV63" i="1"/>
  <c r="IX63" i="1"/>
  <c r="IZ63" i="1"/>
  <c r="JB63" i="1"/>
  <c r="JD63" i="1"/>
  <c r="HD65" i="1"/>
  <c r="HF65" i="1"/>
  <c r="HH65" i="1"/>
  <c r="HJ65" i="1"/>
  <c r="HL65" i="1"/>
  <c r="HN65" i="1"/>
  <c r="HP65" i="1"/>
  <c r="HR65" i="1"/>
  <c r="HT65" i="1"/>
  <c r="HV65" i="1"/>
  <c r="HX65" i="1"/>
  <c r="HZ65" i="1"/>
  <c r="IB65" i="1"/>
  <c r="ID65" i="1"/>
  <c r="IF65" i="1"/>
  <c r="IH65" i="1"/>
  <c r="IJ65" i="1"/>
  <c r="IL65" i="1"/>
  <c r="IN65" i="1"/>
  <c r="IP65" i="1"/>
  <c r="IR65" i="1"/>
  <c r="IT65" i="1"/>
  <c r="IV65" i="1"/>
  <c r="IX65" i="1"/>
  <c r="IZ65" i="1"/>
  <c r="JB65" i="1"/>
  <c r="JD65" i="1"/>
  <c r="HD68" i="1"/>
  <c r="HF68" i="1"/>
  <c r="HH68" i="1"/>
  <c r="HJ68" i="1"/>
  <c r="HL68" i="1"/>
  <c r="HN68" i="1"/>
  <c r="HP68" i="1"/>
  <c r="HR68" i="1"/>
  <c r="HT68" i="1"/>
  <c r="HV68" i="1"/>
  <c r="HX68" i="1"/>
  <c r="HZ68" i="1"/>
  <c r="IB68" i="1"/>
  <c r="ID68" i="1"/>
  <c r="IF68" i="1"/>
  <c r="IH68" i="1"/>
  <c r="IJ68" i="1"/>
  <c r="IL68" i="1"/>
  <c r="IN68" i="1"/>
  <c r="IP68" i="1"/>
  <c r="IR68" i="1"/>
  <c r="IT68" i="1"/>
  <c r="IV68" i="1"/>
  <c r="IX68" i="1"/>
  <c r="IZ68" i="1"/>
  <c r="JB68" i="1"/>
  <c r="JD68" i="1"/>
  <c r="HD70" i="1"/>
  <c r="HF70" i="1"/>
  <c r="HH70" i="1"/>
  <c r="HJ70" i="1"/>
  <c r="HL70" i="1"/>
  <c r="HN70" i="1"/>
  <c r="HP70" i="1"/>
  <c r="HR70" i="1"/>
  <c r="HT70" i="1"/>
  <c r="HV70" i="1"/>
  <c r="HX70" i="1"/>
  <c r="HZ70" i="1"/>
  <c r="IB70" i="1"/>
  <c r="ID70" i="1"/>
  <c r="IF70" i="1"/>
  <c r="IH70" i="1"/>
  <c r="IJ70" i="1"/>
  <c r="IL70" i="1"/>
  <c r="IN70" i="1"/>
  <c r="IP70" i="1"/>
  <c r="IR70" i="1"/>
  <c r="IT70" i="1"/>
  <c r="IV70" i="1"/>
  <c r="IX70" i="1"/>
  <c r="IZ70" i="1"/>
  <c r="JB70" i="1"/>
  <c r="JD70" i="1"/>
  <c r="HD76" i="1"/>
  <c r="HF76" i="1"/>
  <c r="HH76" i="1"/>
  <c r="HJ76" i="1"/>
  <c r="HL76" i="1"/>
  <c r="HN76" i="1"/>
  <c r="HP76" i="1"/>
  <c r="HR76" i="1"/>
  <c r="HT76" i="1"/>
  <c r="HV76" i="1"/>
  <c r="HX76" i="1"/>
  <c r="HZ76" i="1"/>
  <c r="IB76" i="1"/>
  <c r="ID76" i="1"/>
  <c r="IF76" i="1"/>
  <c r="IH76" i="1"/>
  <c r="IJ76" i="1"/>
  <c r="IL76" i="1"/>
  <c r="IN76" i="1"/>
  <c r="IP76" i="1"/>
  <c r="IR76" i="1"/>
  <c r="IT76" i="1"/>
  <c r="IV76" i="1"/>
  <c r="IX76" i="1"/>
  <c r="IZ76" i="1"/>
  <c r="JB76" i="1"/>
  <c r="JD76" i="1"/>
  <c r="HD78" i="1"/>
  <c r="HF78" i="1"/>
  <c r="HH78" i="1"/>
  <c r="HJ78" i="1"/>
  <c r="HL78" i="1"/>
  <c r="HN78" i="1"/>
  <c r="HP78" i="1"/>
  <c r="HR78" i="1"/>
  <c r="HT78" i="1"/>
  <c r="HV78" i="1"/>
  <c r="HX78" i="1"/>
  <c r="HZ78" i="1"/>
  <c r="IB78" i="1"/>
  <c r="ID78" i="1"/>
  <c r="IF78" i="1"/>
  <c r="IH78" i="1"/>
  <c r="IJ78" i="1"/>
  <c r="IL78" i="1"/>
  <c r="IN78" i="1"/>
  <c r="IP78" i="1"/>
  <c r="IR78" i="1"/>
  <c r="IT78" i="1"/>
  <c r="IV78" i="1"/>
  <c r="IX78" i="1"/>
  <c r="IZ78" i="1"/>
  <c r="JB78" i="1"/>
  <c r="JD78" i="1"/>
  <c r="HD81" i="1"/>
  <c r="HF81" i="1"/>
  <c r="HH81" i="1"/>
  <c r="HJ81" i="1"/>
  <c r="HL81" i="1"/>
  <c r="HN81" i="1"/>
  <c r="HP81" i="1"/>
  <c r="HR81" i="1"/>
  <c r="HT81" i="1"/>
  <c r="HV81" i="1"/>
  <c r="HX81" i="1"/>
  <c r="HZ81" i="1"/>
  <c r="IB81" i="1"/>
  <c r="ID81" i="1"/>
  <c r="IF81" i="1"/>
  <c r="IH81" i="1"/>
  <c r="IJ81" i="1"/>
  <c r="IL81" i="1"/>
  <c r="IN81" i="1"/>
  <c r="IP81" i="1"/>
  <c r="IR81" i="1"/>
  <c r="IT81" i="1"/>
  <c r="IV81" i="1"/>
  <c r="IX81" i="1"/>
  <c r="IZ81" i="1"/>
  <c r="JB81" i="1"/>
  <c r="JD81" i="1"/>
  <c r="HD83" i="1"/>
  <c r="HF83" i="1"/>
  <c r="HH83" i="1"/>
  <c r="HJ83" i="1"/>
  <c r="HL83" i="1"/>
  <c r="HN83" i="1"/>
  <c r="HP83" i="1"/>
  <c r="HR83" i="1"/>
  <c r="HT83" i="1"/>
  <c r="HV83" i="1"/>
  <c r="HE63" i="1"/>
  <c r="HI63" i="1"/>
  <c r="HM63" i="1"/>
  <c r="HO63" i="1"/>
  <c r="HQ63" i="1"/>
  <c r="HS63" i="1"/>
  <c r="HU63" i="1"/>
  <c r="HW63" i="1"/>
  <c r="HY63" i="1"/>
  <c r="IA63" i="1"/>
  <c r="IC63" i="1"/>
  <c r="IE63" i="1"/>
  <c r="IG63" i="1"/>
  <c r="II63" i="1"/>
  <c r="IK63" i="1"/>
  <c r="IM63" i="1"/>
  <c r="IO63" i="1"/>
  <c r="IQ63" i="1"/>
  <c r="IS63" i="1"/>
  <c r="IU63" i="1"/>
  <c r="IW63" i="1"/>
  <c r="IY63" i="1"/>
  <c r="JA63" i="1"/>
  <c r="JC63" i="1"/>
  <c r="JE63" i="1"/>
  <c r="HE65" i="1"/>
  <c r="HG65" i="1"/>
  <c r="HI65" i="1"/>
  <c r="HK65" i="1"/>
  <c r="HM65" i="1"/>
  <c r="HO65" i="1"/>
  <c r="HQ65" i="1"/>
  <c r="HS65" i="1"/>
  <c r="HU65" i="1"/>
  <c r="HW65" i="1"/>
  <c r="HY65" i="1"/>
  <c r="IA65" i="1"/>
  <c r="IC65" i="1"/>
  <c r="IE65" i="1"/>
  <c r="IG65" i="1"/>
  <c r="II65" i="1"/>
  <c r="IK65" i="1"/>
  <c r="IM65" i="1"/>
  <c r="IO65" i="1"/>
  <c r="IQ65" i="1"/>
  <c r="IS65" i="1"/>
  <c r="IU65" i="1"/>
  <c r="IW65" i="1"/>
  <c r="IY65" i="1"/>
  <c r="JA65" i="1"/>
  <c r="JC65" i="1"/>
  <c r="JE65" i="1"/>
  <c r="HE68" i="1"/>
  <c r="HG68" i="1"/>
  <c r="HI68" i="1"/>
  <c r="HK68" i="1"/>
  <c r="HM68" i="1"/>
  <c r="HO68" i="1"/>
  <c r="HQ68" i="1"/>
  <c r="HS68" i="1"/>
  <c r="HU68" i="1"/>
  <c r="HW68" i="1"/>
  <c r="HY68" i="1"/>
  <c r="IA68" i="1"/>
  <c r="IC68" i="1"/>
  <c r="IE68" i="1"/>
  <c r="IG68" i="1"/>
  <c r="II68" i="1"/>
  <c r="IK68" i="1"/>
  <c r="IM68" i="1"/>
  <c r="IO68" i="1"/>
  <c r="IQ68" i="1"/>
  <c r="IS68" i="1"/>
  <c r="IU68" i="1"/>
  <c r="IW68" i="1"/>
  <c r="IY68" i="1"/>
  <c r="JA68" i="1"/>
  <c r="JC68" i="1"/>
  <c r="JE68" i="1"/>
  <c r="HE70" i="1"/>
  <c r="HG70" i="1"/>
  <c r="HI70" i="1"/>
  <c r="HK70" i="1"/>
  <c r="HM70" i="1"/>
  <c r="HO70" i="1"/>
  <c r="HQ70" i="1"/>
  <c r="HS70" i="1"/>
  <c r="HU70" i="1"/>
  <c r="HW70" i="1"/>
  <c r="HY70" i="1"/>
  <c r="IA70" i="1"/>
  <c r="IC70" i="1"/>
  <c r="IE70" i="1"/>
  <c r="IG70" i="1"/>
  <c r="II70" i="1"/>
  <c r="IK70" i="1"/>
  <c r="IM70" i="1"/>
  <c r="IO70" i="1"/>
  <c r="IQ70" i="1"/>
  <c r="IS70" i="1"/>
  <c r="IU70" i="1"/>
  <c r="IW70" i="1"/>
  <c r="IY70" i="1"/>
  <c r="JA70" i="1"/>
  <c r="JC70" i="1"/>
  <c r="JE70" i="1"/>
  <c r="HE76" i="1"/>
  <c r="HG76" i="1"/>
  <c r="HI76" i="1"/>
  <c r="HK76" i="1"/>
  <c r="HM76" i="1"/>
  <c r="HO76" i="1"/>
  <c r="HQ76" i="1"/>
  <c r="HS76" i="1"/>
  <c r="HU76" i="1"/>
  <c r="HW76" i="1"/>
  <c r="HY76" i="1"/>
  <c r="IA76" i="1"/>
  <c r="IC76" i="1"/>
  <c r="IE76" i="1"/>
  <c r="IG76" i="1"/>
  <c r="II76" i="1"/>
  <c r="IK76" i="1"/>
  <c r="IM76" i="1"/>
  <c r="IO76" i="1"/>
  <c r="IQ76" i="1"/>
  <c r="IS76" i="1"/>
  <c r="IU76" i="1"/>
  <c r="IW76" i="1"/>
  <c r="IY76" i="1"/>
  <c r="JA76" i="1"/>
  <c r="JC76" i="1"/>
  <c r="JE76" i="1"/>
  <c r="HE78" i="1"/>
  <c r="HG78" i="1"/>
  <c r="HI78" i="1"/>
  <c r="HK78" i="1"/>
  <c r="HM78" i="1"/>
  <c r="HO78" i="1"/>
  <c r="HQ78" i="1"/>
  <c r="HS78" i="1"/>
  <c r="HU78" i="1"/>
  <c r="HW78" i="1"/>
  <c r="HY78" i="1"/>
  <c r="IA78" i="1"/>
  <c r="IC78" i="1"/>
  <c r="IE78" i="1"/>
  <c r="IG78" i="1"/>
  <c r="II78" i="1"/>
  <c r="IK78" i="1"/>
  <c r="IM78" i="1"/>
  <c r="IO78" i="1"/>
  <c r="IQ78" i="1"/>
  <c r="IS78" i="1"/>
  <c r="IU78" i="1"/>
  <c r="IW78" i="1"/>
  <c r="IY78" i="1"/>
  <c r="JA78" i="1"/>
  <c r="JC78" i="1"/>
  <c r="JE78" i="1"/>
  <c r="HE81" i="1"/>
  <c r="HG81" i="1"/>
  <c r="HI81" i="1"/>
  <c r="HK81" i="1"/>
  <c r="HM81" i="1"/>
  <c r="HO81" i="1"/>
  <c r="HQ81" i="1"/>
  <c r="HS81" i="1"/>
  <c r="HU81" i="1"/>
  <c r="HW81" i="1"/>
  <c r="HY81" i="1"/>
  <c r="IA81" i="1"/>
  <c r="IC81" i="1"/>
  <c r="IE81" i="1"/>
  <c r="IG81" i="1"/>
  <c r="II81" i="1"/>
  <c r="IK81" i="1"/>
  <c r="IM81" i="1"/>
  <c r="IO81" i="1"/>
  <c r="IQ81" i="1"/>
  <c r="IS81" i="1"/>
  <c r="IU81" i="1"/>
  <c r="IW81" i="1"/>
  <c r="IY81" i="1"/>
  <c r="JA81" i="1"/>
  <c r="JC81" i="1"/>
  <c r="JE81" i="1"/>
  <c r="HE83" i="1"/>
  <c r="HG83" i="1"/>
  <c r="HI83" i="1"/>
  <c r="HK83" i="1"/>
  <c r="HM83" i="1"/>
  <c r="HO83" i="1"/>
  <c r="HQ83" i="1"/>
  <c r="HS83" i="1"/>
  <c r="HU83" i="1"/>
  <c r="HW83" i="1"/>
  <c r="HY83" i="1"/>
  <c r="IA83" i="1"/>
  <c r="IC83" i="1"/>
  <c r="IE83" i="1"/>
  <c r="IG83" i="1"/>
  <c r="II83" i="1"/>
  <c r="IK83" i="1"/>
  <c r="IM83" i="1"/>
  <c r="IO83" i="1"/>
  <c r="HX83" i="1"/>
  <c r="IB83" i="1"/>
  <c r="IF83" i="1"/>
  <c r="IJ83" i="1"/>
  <c r="IN83" i="1"/>
  <c r="IQ83" i="1"/>
  <c r="IS83" i="1"/>
  <c r="IU83" i="1"/>
  <c r="IW83" i="1"/>
  <c r="IY83" i="1"/>
  <c r="JA83" i="1"/>
  <c r="JC83" i="1"/>
  <c r="JE83" i="1"/>
  <c r="HZ83" i="1"/>
  <c r="ID83" i="1"/>
  <c r="IH83" i="1"/>
  <c r="IL83" i="1"/>
  <c r="IP83" i="1"/>
  <c r="IR83" i="1"/>
  <c r="IT83" i="1"/>
  <c r="IV83" i="1"/>
  <c r="IX83" i="1"/>
  <c r="IZ83" i="1"/>
  <c r="JB83" i="1"/>
  <c r="JD83" i="1"/>
  <c r="JF3" i="1"/>
  <c r="V16" i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FD16" i="1" s="1"/>
  <c r="FE16" i="1" s="1"/>
  <c r="FF16" i="1" s="1"/>
  <c r="FG16" i="1" s="1"/>
  <c r="FH16" i="1" s="1"/>
  <c r="FI16" i="1" s="1"/>
  <c r="FJ16" i="1" s="1"/>
  <c r="FK16" i="1" s="1"/>
  <c r="FL16" i="1" s="1"/>
  <c r="FM16" i="1" s="1"/>
  <c r="FN16" i="1" s="1"/>
  <c r="FO16" i="1" s="1"/>
  <c r="FP16" i="1" s="1"/>
  <c r="FQ16" i="1" s="1"/>
  <c r="FR16" i="1" s="1"/>
  <c r="FS16" i="1" s="1"/>
  <c r="FT16" i="1" s="1"/>
  <c r="FU16" i="1" s="1"/>
  <c r="FV16" i="1" s="1"/>
  <c r="FW16" i="1" s="1"/>
  <c r="FX16" i="1" s="1"/>
  <c r="FY16" i="1" s="1"/>
  <c r="FZ16" i="1" s="1"/>
  <c r="GA16" i="1" s="1"/>
  <c r="GB16" i="1" s="1"/>
  <c r="GC16" i="1" s="1"/>
  <c r="GD16" i="1" s="1"/>
  <c r="GE16" i="1" s="1"/>
  <c r="GF16" i="1" s="1"/>
  <c r="GG16" i="1" s="1"/>
  <c r="GH16" i="1" s="1"/>
  <c r="GI16" i="1" s="1"/>
  <c r="GJ16" i="1" s="1"/>
  <c r="GK16" i="1" s="1"/>
  <c r="GL16" i="1" s="1"/>
  <c r="GM16" i="1" s="1"/>
  <c r="GN16" i="1" s="1"/>
  <c r="GO16" i="1" s="1"/>
  <c r="GP16" i="1" s="1"/>
  <c r="GQ16" i="1" s="1"/>
  <c r="GR16" i="1" s="1"/>
  <c r="GS16" i="1" s="1"/>
  <c r="GT16" i="1" s="1"/>
  <c r="GU16" i="1" s="1"/>
  <c r="GV16" i="1" s="1"/>
  <c r="GW16" i="1" s="1"/>
  <c r="GX16" i="1" s="1"/>
  <c r="GY16" i="1" s="1"/>
  <c r="GZ16" i="1" s="1"/>
  <c r="HA16" i="1" s="1"/>
  <c r="HB16" i="1" s="1"/>
  <c r="HC16" i="1" s="1"/>
  <c r="V18" i="1"/>
  <c r="V26" i="1"/>
  <c r="V31" i="1"/>
  <c r="V39" i="1"/>
  <c r="V44" i="1"/>
  <c r="V52" i="1"/>
  <c r="V57" i="1"/>
  <c r="V65" i="1"/>
  <c r="V70" i="1"/>
  <c r="V24" i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CV24" i="1" s="1"/>
  <c r="CW24" i="1" s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V24" i="1" s="1"/>
  <c r="DW24" i="1" s="1"/>
  <c r="DX24" i="1" s="1"/>
  <c r="DY24" i="1" s="1"/>
  <c r="DZ24" i="1" s="1"/>
  <c r="EA24" i="1" s="1"/>
  <c r="EB24" i="1" s="1"/>
  <c r="EC24" i="1" s="1"/>
  <c r="ED24" i="1" s="1"/>
  <c r="EE24" i="1" s="1"/>
  <c r="EF24" i="1" s="1"/>
  <c r="EG24" i="1" s="1"/>
  <c r="EH24" i="1" s="1"/>
  <c r="EI24" i="1" s="1"/>
  <c r="EJ24" i="1" s="1"/>
  <c r="EK24" i="1" s="1"/>
  <c r="EL24" i="1" s="1"/>
  <c r="EM24" i="1" s="1"/>
  <c r="EN24" i="1" s="1"/>
  <c r="EO24" i="1" s="1"/>
  <c r="EP24" i="1" s="1"/>
  <c r="EQ24" i="1" s="1"/>
  <c r="ER24" i="1" s="1"/>
  <c r="ES24" i="1" s="1"/>
  <c r="ET24" i="1" s="1"/>
  <c r="EU24" i="1" s="1"/>
  <c r="EV24" i="1" s="1"/>
  <c r="EW24" i="1" s="1"/>
  <c r="EX24" i="1" s="1"/>
  <c r="EY24" i="1" s="1"/>
  <c r="EZ24" i="1" s="1"/>
  <c r="FA24" i="1" s="1"/>
  <c r="FB24" i="1" s="1"/>
  <c r="FC24" i="1" s="1"/>
  <c r="FD24" i="1" s="1"/>
  <c r="FE24" i="1" s="1"/>
  <c r="FF24" i="1" s="1"/>
  <c r="FG24" i="1" s="1"/>
  <c r="FH24" i="1" s="1"/>
  <c r="FI24" i="1" s="1"/>
  <c r="FJ24" i="1" s="1"/>
  <c r="FK24" i="1" s="1"/>
  <c r="FL24" i="1" s="1"/>
  <c r="FM24" i="1" s="1"/>
  <c r="FN24" i="1" s="1"/>
  <c r="FO24" i="1" s="1"/>
  <c r="FP24" i="1" s="1"/>
  <c r="FQ24" i="1" s="1"/>
  <c r="FR24" i="1" s="1"/>
  <c r="FS24" i="1" s="1"/>
  <c r="FT24" i="1" s="1"/>
  <c r="FU24" i="1" s="1"/>
  <c r="FV24" i="1" s="1"/>
  <c r="FW24" i="1" s="1"/>
  <c r="FX24" i="1" s="1"/>
  <c r="FY24" i="1" s="1"/>
  <c r="FZ24" i="1" s="1"/>
  <c r="GA24" i="1" s="1"/>
  <c r="GB24" i="1" s="1"/>
  <c r="GC24" i="1" s="1"/>
  <c r="GD24" i="1" s="1"/>
  <c r="GE24" i="1" s="1"/>
  <c r="GF24" i="1" s="1"/>
  <c r="GG24" i="1" s="1"/>
  <c r="GH24" i="1" s="1"/>
  <c r="GI24" i="1" s="1"/>
  <c r="GJ24" i="1" s="1"/>
  <c r="GK24" i="1" s="1"/>
  <c r="GL24" i="1" s="1"/>
  <c r="GM24" i="1" s="1"/>
  <c r="GN24" i="1" s="1"/>
  <c r="GO24" i="1" s="1"/>
  <c r="GP24" i="1" s="1"/>
  <c r="GQ24" i="1" s="1"/>
  <c r="GR24" i="1" s="1"/>
  <c r="GS24" i="1" s="1"/>
  <c r="GT24" i="1" s="1"/>
  <c r="GU24" i="1" s="1"/>
  <c r="GV24" i="1" s="1"/>
  <c r="GW24" i="1" s="1"/>
  <c r="GX24" i="1" s="1"/>
  <c r="GY24" i="1" s="1"/>
  <c r="GZ24" i="1" s="1"/>
  <c r="HA24" i="1" s="1"/>
  <c r="HB24" i="1" s="1"/>
  <c r="HC24" i="1" s="1"/>
  <c r="V29" i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G29" i="1" s="1"/>
  <c r="CH29" i="1" s="1"/>
  <c r="CI29" i="1" s="1"/>
  <c r="CJ29" i="1" s="1"/>
  <c r="CK29" i="1" s="1"/>
  <c r="CL29" i="1" s="1"/>
  <c r="CM29" i="1" s="1"/>
  <c r="CN29" i="1" s="1"/>
  <c r="CO29" i="1" s="1"/>
  <c r="CP29" i="1" s="1"/>
  <c r="CQ29" i="1" s="1"/>
  <c r="CR29" i="1" s="1"/>
  <c r="CS29" i="1" s="1"/>
  <c r="CT29" i="1" s="1"/>
  <c r="CU29" i="1" s="1"/>
  <c r="CV29" i="1" s="1"/>
  <c r="CW29" i="1" s="1"/>
  <c r="CX29" i="1" s="1"/>
  <c r="CY29" i="1" s="1"/>
  <c r="CZ29" i="1" s="1"/>
  <c r="DA29" i="1" s="1"/>
  <c r="DB29" i="1" s="1"/>
  <c r="DC29" i="1" s="1"/>
  <c r="DD29" i="1" s="1"/>
  <c r="DE29" i="1" s="1"/>
  <c r="DF29" i="1" s="1"/>
  <c r="DG29" i="1" s="1"/>
  <c r="DH29" i="1" s="1"/>
  <c r="DI29" i="1" s="1"/>
  <c r="DJ29" i="1" s="1"/>
  <c r="DK29" i="1" s="1"/>
  <c r="DL29" i="1" s="1"/>
  <c r="DM29" i="1" s="1"/>
  <c r="DN29" i="1" s="1"/>
  <c r="DO29" i="1" s="1"/>
  <c r="DP29" i="1" s="1"/>
  <c r="DQ29" i="1" s="1"/>
  <c r="DR29" i="1" s="1"/>
  <c r="DS29" i="1" s="1"/>
  <c r="DT29" i="1" s="1"/>
  <c r="DU29" i="1" s="1"/>
  <c r="DV29" i="1" s="1"/>
  <c r="DW29" i="1" s="1"/>
  <c r="DX29" i="1" s="1"/>
  <c r="DY29" i="1" s="1"/>
  <c r="DZ29" i="1" s="1"/>
  <c r="EA29" i="1" s="1"/>
  <c r="EB29" i="1" s="1"/>
  <c r="EC29" i="1" s="1"/>
  <c r="ED29" i="1" s="1"/>
  <c r="EE29" i="1" s="1"/>
  <c r="EF29" i="1" s="1"/>
  <c r="EG29" i="1" s="1"/>
  <c r="EH29" i="1" s="1"/>
  <c r="EI29" i="1" s="1"/>
  <c r="EJ29" i="1" s="1"/>
  <c r="EK29" i="1" s="1"/>
  <c r="EL29" i="1" s="1"/>
  <c r="EM29" i="1" s="1"/>
  <c r="EN29" i="1" s="1"/>
  <c r="EO29" i="1" s="1"/>
  <c r="EP29" i="1" s="1"/>
  <c r="EQ29" i="1" s="1"/>
  <c r="ER29" i="1" s="1"/>
  <c r="ES29" i="1" s="1"/>
  <c r="ET29" i="1" s="1"/>
  <c r="EU29" i="1" s="1"/>
  <c r="EV29" i="1" s="1"/>
  <c r="EW29" i="1" s="1"/>
  <c r="EX29" i="1" s="1"/>
  <c r="EY29" i="1" s="1"/>
  <c r="EZ29" i="1" s="1"/>
  <c r="FA29" i="1" s="1"/>
  <c r="FB29" i="1" s="1"/>
  <c r="FC29" i="1" s="1"/>
  <c r="FD29" i="1" s="1"/>
  <c r="FE29" i="1" s="1"/>
  <c r="FF29" i="1" s="1"/>
  <c r="FG29" i="1" s="1"/>
  <c r="FH29" i="1" s="1"/>
  <c r="FI29" i="1" s="1"/>
  <c r="FJ29" i="1" s="1"/>
  <c r="FK29" i="1" s="1"/>
  <c r="FL29" i="1" s="1"/>
  <c r="FM29" i="1" s="1"/>
  <c r="FN29" i="1" s="1"/>
  <c r="FO29" i="1" s="1"/>
  <c r="FP29" i="1" s="1"/>
  <c r="FQ29" i="1" s="1"/>
  <c r="FR29" i="1" s="1"/>
  <c r="FS29" i="1" s="1"/>
  <c r="FT29" i="1" s="1"/>
  <c r="FU29" i="1" s="1"/>
  <c r="FV29" i="1" s="1"/>
  <c r="FW29" i="1" s="1"/>
  <c r="FX29" i="1" s="1"/>
  <c r="FY29" i="1" s="1"/>
  <c r="FZ29" i="1" s="1"/>
  <c r="GA29" i="1" s="1"/>
  <c r="GB29" i="1" s="1"/>
  <c r="GC29" i="1" s="1"/>
  <c r="GD29" i="1" s="1"/>
  <c r="GE29" i="1" s="1"/>
  <c r="GF29" i="1" s="1"/>
  <c r="GG29" i="1" s="1"/>
  <c r="GH29" i="1" s="1"/>
  <c r="GI29" i="1" s="1"/>
  <c r="GJ29" i="1" s="1"/>
  <c r="GK29" i="1" s="1"/>
  <c r="GL29" i="1" s="1"/>
  <c r="GM29" i="1" s="1"/>
  <c r="GN29" i="1" s="1"/>
  <c r="GO29" i="1" s="1"/>
  <c r="GP29" i="1" s="1"/>
  <c r="GQ29" i="1" s="1"/>
  <c r="GR29" i="1" s="1"/>
  <c r="GS29" i="1" s="1"/>
  <c r="GT29" i="1" s="1"/>
  <c r="GU29" i="1" s="1"/>
  <c r="GV29" i="1" s="1"/>
  <c r="GW29" i="1" s="1"/>
  <c r="GX29" i="1" s="1"/>
  <c r="GY29" i="1" s="1"/>
  <c r="GZ29" i="1" s="1"/>
  <c r="HA29" i="1" s="1"/>
  <c r="HB29" i="1" s="1"/>
  <c r="HC29" i="1" s="1"/>
  <c r="V37" i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DF37" i="1" s="1"/>
  <c r="DG37" i="1" s="1"/>
  <c r="DH37" i="1" s="1"/>
  <c r="DI37" i="1" s="1"/>
  <c r="DJ37" i="1" s="1"/>
  <c r="DK37" i="1" s="1"/>
  <c r="DL37" i="1" s="1"/>
  <c r="DM37" i="1" s="1"/>
  <c r="DN37" i="1" s="1"/>
  <c r="DO37" i="1" s="1"/>
  <c r="DP37" i="1" s="1"/>
  <c r="DQ37" i="1" s="1"/>
  <c r="DR37" i="1" s="1"/>
  <c r="DS37" i="1" s="1"/>
  <c r="DT37" i="1" s="1"/>
  <c r="DU37" i="1" s="1"/>
  <c r="DV37" i="1" s="1"/>
  <c r="DW37" i="1" s="1"/>
  <c r="DX37" i="1" s="1"/>
  <c r="DY37" i="1" s="1"/>
  <c r="DZ37" i="1" s="1"/>
  <c r="EA37" i="1" s="1"/>
  <c r="EB37" i="1" s="1"/>
  <c r="EC37" i="1" s="1"/>
  <c r="ED37" i="1" s="1"/>
  <c r="EE37" i="1" s="1"/>
  <c r="EF37" i="1" s="1"/>
  <c r="EG37" i="1" s="1"/>
  <c r="EH37" i="1" s="1"/>
  <c r="EI37" i="1" s="1"/>
  <c r="EJ37" i="1" s="1"/>
  <c r="EK37" i="1" s="1"/>
  <c r="EL37" i="1" s="1"/>
  <c r="EM37" i="1" s="1"/>
  <c r="EN37" i="1" s="1"/>
  <c r="EO37" i="1" s="1"/>
  <c r="EP37" i="1" s="1"/>
  <c r="EQ37" i="1" s="1"/>
  <c r="ER37" i="1" s="1"/>
  <c r="ES37" i="1" s="1"/>
  <c r="ET37" i="1" s="1"/>
  <c r="EU37" i="1" s="1"/>
  <c r="EV37" i="1" s="1"/>
  <c r="EW37" i="1" s="1"/>
  <c r="EX37" i="1" s="1"/>
  <c r="EY37" i="1" s="1"/>
  <c r="EZ37" i="1" s="1"/>
  <c r="FA37" i="1" s="1"/>
  <c r="FB37" i="1" s="1"/>
  <c r="FC37" i="1" s="1"/>
  <c r="FD37" i="1" s="1"/>
  <c r="FE37" i="1" s="1"/>
  <c r="FF37" i="1" s="1"/>
  <c r="FG37" i="1" s="1"/>
  <c r="FH37" i="1" s="1"/>
  <c r="FI37" i="1" s="1"/>
  <c r="FJ37" i="1" s="1"/>
  <c r="FK37" i="1" s="1"/>
  <c r="FL37" i="1" s="1"/>
  <c r="FM37" i="1" s="1"/>
  <c r="FN37" i="1" s="1"/>
  <c r="FO37" i="1" s="1"/>
  <c r="FP37" i="1" s="1"/>
  <c r="FQ37" i="1" s="1"/>
  <c r="FR37" i="1" s="1"/>
  <c r="FS37" i="1" s="1"/>
  <c r="FT37" i="1" s="1"/>
  <c r="FU37" i="1" s="1"/>
  <c r="FV37" i="1" s="1"/>
  <c r="FW37" i="1" s="1"/>
  <c r="FX37" i="1" s="1"/>
  <c r="FY37" i="1" s="1"/>
  <c r="FZ37" i="1" s="1"/>
  <c r="GA37" i="1" s="1"/>
  <c r="GB37" i="1" s="1"/>
  <c r="GC37" i="1" s="1"/>
  <c r="GD37" i="1" s="1"/>
  <c r="GE37" i="1" s="1"/>
  <c r="GF37" i="1" s="1"/>
  <c r="V42" i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CK42" i="1" s="1"/>
  <c r="CL42" i="1" s="1"/>
  <c r="CM42" i="1" s="1"/>
  <c r="CN42" i="1" s="1"/>
  <c r="CO42" i="1" s="1"/>
  <c r="CP42" i="1" s="1"/>
  <c r="CQ42" i="1" s="1"/>
  <c r="CR42" i="1" s="1"/>
  <c r="CS42" i="1" s="1"/>
  <c r="CT42" i="1" s="1"/>
  <c r="CU42" i="1" s="1"/>
  <c r="CV42" i="1" s="1"/>
  <c r="CW42" i="1" s="1"/>
  <c r="CX42" i="1" s="1"/>
  <c r="CY42" i="1" s="1"/>
  <c r="CZ42" i="1" s="1"/>
  <c r="DA42" i="1" s="1"/>
  <c r="DB42" i="1" s="1"/>
  <c r="DC42" i="1" s="1"/>
  <c r="DD42" i="1" s="1"/>
  <c r="DE42" i="1" s="1"/>
  <c r="DF42" i="1" s="1"/>
  <c r="DG42" i="1" s="1"/>
  <c r="DH42" i="1" s="1"/>
  <c r="DI42" i="1" s="1"/>
  <c r="DJ42" i="1" s="1"/>
  <c r="DK42" i="1" s="1"/>
  <c r="DL42" i="1" s="1"/>
  <c r="DM42" i="1" s="1"/>
  <c r="DN42" i="1" s="1"/>
  <c r="DO42" i="1" s="1"/>
  <c r="DP42" i="1" s="1"/>
  <c r="DQ42" i="1" s="1"/>
  <c r="DR42" i="1" s="1"/>
  <c r="DS42" i="1" s="1"/>
  <c r="DT42" i="1" s="1"/>
  <c r="DU42" i="1" s="1"/>
  <c r="DV42" i="1" s="1"/>
  <c r="DW42" i="1" s="1"/>
  <c r="DX42" i="1" s="1"/>
  <c r="DY42" i="1" s="1"/>
  <c r="DZ42" i="1" s="1"/>
  <c r="EA42" i="1" s="1"/>
  <c r="EB42" i="1" s="1"/>
  <c r="EC42" i="1" s="1"/>
  <c r="ED42" i="1" s="1"/>
  <c r="EE42" i="1" s="1"/>
  <c r="EF42" i="1" s="1"/>
  <c r="EG42" i="1" s="1"/>
  <c r="EH42" i="1" s="1"/>
  <c r="EI42" i="1" s="1"/>
  <c r="EJ42" i="1" s="1"/>
  <c r="EK42" i="1" s="1"/>
  <c r="EL42" i="1" s="1"/>
  <c r="EM42" i="1" s="1"/>
  <c r="EN42" i="1" s="1"/>
  <c r="EO42" i="1" s="1"/>
  <c r="EP42" i="1" s="1"/>
  <c r="EQ42" i="1" s="1"/>
  <c r="ER42" i="1" s="1"/>
  <c r="ES42" i="1" s="1"/>
  <c r="ET42" i="1" s="1"/>
  <c r="EU42" i="1" s="1"/>
  <c r="EV42" i="1" s="1"/>
  <c r="EW42" i="1" s="1"/>
  <c r="EX42" i="1" s="1"/>
  <c r="EY42" i="1" s="1"/>
  <c r="EZ42" i="1" s="1"/>
  <c r="FA42" i="1" s="1"/>
  <c r="FB42" i="1" s="1"/>
  <c r="FC42" i="1" s="1"/>
  <c r="FD42" i="1" s="1"/>
  <c r="FE42" i="1" s="1"/>
  <c r="FF42" i="1" s="1"/>
  <c r="FG42" i="1" s="1"/>
  <c r="FH42" i="1" s="1"/>
  <c r="FI42" i="1" s="1"/>
  <c r="FJ42" i="1" s="1"/>
  <c r="FK42" i="1" s="1"/>
  <c r="FL42" i="1" s="1"/>
  <c r="FM42" i="1" s="1"/>
  <c r="FN42" i="1" s="1"/>
  <c r="FO42" i="1" s="1"/>
  <c r="FP42" i="1" s="1"/>
  <c r="FQ42" i="1" s="1"/>
  <c r="FR42" i="1" s="1"/>
  <c r="FS42" i="1" s="1"/>
  <c r="FT42" i="1" s="1"/>
  <c r="FU42" i="1" s="1"/>
  <c r="FV42" i="1" s="1"/>
  <c r="FW42" i="1" s="1"/>
  <c r="FX42" i="1" s="1"/>
  <c r="FY42" i="1" s="1"/>
  <c r="FZ42" i="1" s="1"/>
  <c r="GA42" i="1" s="1"/>
  <c r="GB42" i="1" s="1"/>
  <c r="GC42" i="1" s="1"/>
  <c r="GD42" i="1" s="1"/>
  <c r="GE42" i="1" s="1"/>
  <c r="GF42" i="1" s="1"/>
  <c r="GG42" i="1" s="1"/>
  <c r="GH42" i="1" s="1"/>
  <c r="GI42" i="1" s="1"/>
  <c r="GJ42" i="1" s="1"/>
  <c r="GK42" i="1" s="1"/>
  <c r="GL42" i="1" s="1"/>
  <c r="GM42" i="1" s="1"/>
  <c r="GN42" i="1" s="1"/>
  <c r="GO42" i="1" s="1"/>
  <c r="GP42" i="1" s="1"/>
  <c r="GQ42" i="1" s="1"/>
  <c r="GR42" i="1" s="1"/>
  <c r="GS42" i="1" s="1"/>
  <c r="GT42" i="1" s="1"/>
  <c r="GU42" i="1" s="1"/>
  <c r="GV42" i="1" s="1"/>
  <c r="GW42" i="1" s="1"/>
  <c r="GX42" i="1" s="1"/>
  <c r="GY42" i="1" s="1"/>
  <c r="GZ42" i="1" s="1"/>
  <c r="HA42" i="1" s="1"/>
  <c r="HB42" i="1" s="1"/>
  <c r="HC42" i="1" s="1"/>
  <c r="V50" i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CV50" i="1" s="1"/>
  <c r="CW50" i="1" s="1"/>
  <c r="CX50" i="1" s="1"/>
  <c r="CY50" i="1" s="1"/>
  <c r="CZ50" i="1" s="1"/>
  <c r="DA50" i="1" s="1"/>
  <c r="DB50" i="1" s="1"/>
  <c r="DC50" i="1" s="1"/>
  <c r="DD50" i="1" s="1"/>
  <c r="DE50" i="1" s="1"/>
  <c r="DF50" i="1" s="1"/>
  <c r="DG50" i="1" s="1"/>
  <c r="DH50" i="1" s="1"/>
  <c r="DI50" i="1" s="1"/>
  <c r="DJ50" i="1" s="1"/>
  <c r="DK50" i="1" s="1"/>
  <c r="DL50" i="1" s="1"/>
  <c r="DM50" i="1" s="1"/>
  <c r="DN50" i="1" s="1"/>
  <c r="DO50" i="1" s="1"/>
  <c r="DP50" i="1" s="1"/>
  <c r="DQ50" i="1" s="1"/>
  <c r="DR50" i="1" s="1"/>
  <c r="DS50" i="1" s="1"/>
  <c r="DT50" i="1" s="1"/>
  <c r="DU50" i="1" s="1"/>
  <c r="DV50" i="1" s="1"/>
  <c r="DW50" i="1" s="1"/>
  <c r="DX50" i="1" s="1"/>
  <c r="DY50" i="1" s="1"/>
  <c r="DZ50" i="1" s="1"/>
  <c r="EA50" i="1" s="1"/>
  <c r="EB50" i="1" s="1"/>
  <c r="EC50" i="1" s="1"/>
  <c r="ED50" i="1" s="1"/>
  <c r="EE50" i="1" s="1"/>
  <c r="EF50" i="1" s="1"/>
  <c r="EG50" i="1" s="1"/>
  <c r="EH50" i="1" s="1"/>
  <c r="EI50" i="1" s="1"/>
  <c r="EJ50" i="1" s="1"/>
  <c r="EK50" i="1" s="1"/>
  <c r="EL50" i="1" s="1"/>
  <c r="EM50" i="1" s="1"/>
  <c r="EN50" i="1" s="1"/>
  <c r="EO50" i="1" s="1"/>
  <c r="EP50" i="1" s="1"/>
  <c r="EQ50" i="1" s="1"/>
  <c r="ER50" i="1" s="1"/>
  <c r="ES50" i="1" s="1"/>
  <c r="ET50" i="1" s="1"/>
  <c r="EU50" i="1" s="1"/>
  <c r="EV50" i="1" s="1"/>
  <c r="EW50" i="1" s="1"/>
  <c r="EX50" i="1" s="1"/>
  <c r="EY50" i="1" s="1"/>
  <c r="EZ50" i="1" s="1"/>
  <c r="FA50" i="1" s="1"/>
  <c r="FB50" i="1" s="1"/>
  <c r="FC50" i="1" s="1"/>
  <c r="FD50" i="1" s="1"/>
  <c r="FE50" i="1" s="1"/>
  <c r="FF50" i="1" s="1"/>
  <c r="FG50" i="1" s="1"/>
  <c r="FH50" i="1" s="1"/>
  <c r="FI50" i="1" s="1"/>
  <c r="FJ50" i="1" s="1"/>
  <c r="FK50" i="1" s="1"/>
  <c r="FL50" i="1" s="1"/>
  <c r="FM50" i="1" s="1"/>
  <c r="FN50" i="1" s="1"/>
  <c r="FO50" i="1" s="1"/>
  <c r="FP50" i="1" s="1"/>
  <c r="FQ50" i="1" s="1"/>
  <c r="FR50" i="1" s="1"/>
  <c r="FS50" i="1" s="1"/>
  <c r="FT50" i="1" s="1"/>
  <c r="FU50" i="1" s="1"/>
  <c r="FV50" i="1" s="1"/>
  <c r="FW50" i="1" s="1"/>
  <c r="FX50" i="1" s="1"/>
  <c r="FY50" i="1" s="1"/>
  <c r="FZ50" i="1" s="1"/>
  <c r="GA50" i="1" s="1"/>
  <c r="GB50" i="1" s="1"/>
  <c r="GC50" i="1" s="1"/>
  <c r="GD50" i="1" s="1"/>
  <c r="GE50" i="1" s="1"/>
  <c r="GF50" i="1" s="1"/>
  <c r="GG50" i="1" s="1"/>
  <c r="GH50" i="1" s="1"/>
  <c r="GI50" i="1" s="1"/>
  <c r="GJ50" i="1" s="1"/>
  <c r="GK50" i="1" s="1"/>
  <c r="GL50" i="1" s="1"/>
  <c r="GM50" i="1" s="1"/>
  <c r="GN50" i="1" s="1"/>
  <c r="GO50" i="1" s="1"/>
  <c r="GP50" i="1" s="1"/>
  <c r="GQ50" i="1" s="1"/>
  <c r="GR50" i="1" s="1"/>
  <c r="GS50" i="1" s="1"/>
  <c r="GT50" i="1" s="1"/>
  <c r="GU50" i="1" s="1"/>
  <c r="GV50" i="1" s="1"/>
  <c r="GW50" i="1" s="1"/>
  <c r="GX50" i="1" s="1"/>
  <c r="GY50" i="1" s="1"/>
  <c r="GZ50" i="1" s="1"/>
  <c r="HA50" i="1" s="1"/>
  <c r="HB50" i="1" s="1"/>
  <c r="HC50" i="1" s="1"/>
  <c r="V55" i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BV55" i="1" s="1"/>
  <c r="BW55" i="1" s="1"/>
  <c r="BX55" i="1" s="1"/>
  <c r="BY55" i="1" s="1"/>
  <c r="BZ55" i="1" s="1"/>
  <c r="CA55" i="1" s="1"/>
  <c r="CB55" i="1" s="1"/>
  <c r="CC55" i="1" s="1"/>
  <c r="CD55" i="1" s="1"/>
  <c r="CE55" i="1" s="1"/>
  <c r="CF55" i="1" s="1"/>
  <c r="CG55" i="1" s="1"/>
  <c r="CH55" i="1" s="1"/>
  <c r="CI55" i="1" s="1"/>
  <c r="CJ55" i="1" s="1"/>
  <c r="CK55" i="1" s="1"/>
  <c r="CL55" i="1" s="1"/>
  <c r="CM55" i="1" s="1"/>
  <c r="CN55" i="1" s="1"/>
  <c r="CO55" i="1" s="1"/>
  <c r="CP55" i="1" s="1"/>
  <c r="CQ55" i="1" s="1"/>
  <c r="CR55" i="1" s="1"/>
  <c r="CS55" i="1" s="1"/>
  <c r="CT55" i="1" s="1"/>
  <c r="CU55" i="1" s="1"/>
  <c r="CV55" i="1" s="1"/>
  <c r="CW55" i="1" s="1"/>
  <c r="CX55" i="1" s="1"/>
  <c r="CY55" i="1" s="1"/>
  <c r="CZ55" i="1" s="1"/>
  <c r="DA55" i="1" s="1"/>
  <c r="DB55" i="1" s="1"/>
  <c r="DC55" i="1" s="1"/>
  <c r="DD55" i="1" s="1"/>
  <c r="DE55" i="1" s="1"/>
  <c r="DF55" i="1" s="1"/>
  <c r="DG55" i="1" s="1"/>
  <c r="DH55" i="1" s="1"/>
  <c r="DI55" i="1" s="1"/>
  <c r="DJ55" i="1" s="1"/>
  <c r="DK55" i="1" s="1"/>
  <c r="DL55" i="1" s="1"/>
  <c r="DM55" i="1" s="1"/>
  <c r="DN55" i="1" s="1"/>
  <c r="DO55" i="1" s="1"/>
  <c r="DP55" i="1" s="1"/>
  <c r="DQ55" i="1" s="1"/>
  <c r="DR55" i="1" s="1"/>
  <c r="DS55" i="1" s="1"/>
  <c r="DT55" i="1" s="1"/>
  <c r="DU55" i="1" s="1"/>
  <c r="DV55" i="1" s="1"/>
  <c r="DW55" i="1" s="1"/>
  <c r="DX55" i="1" s="1"/>
  <c r="DY55" i="1" s="1"/>
  <c r="DZ55" i="1" s="1"/>
  <c r="EA55" i="1" s="1"/>
  <c r="EB55" i="1" s="1"/>
  <c r="EC55" i="1" s="1"/>
  <c r="ED55" i="1" s="1"/>
  <c r="EE55" i="1" s="1"/>
  <c r="EF55" i="1" s="1"/>
  <c r="EG55" i="1" s="1"/>
  <c r="EH55" i="1" s="1"/>
  <c r="EI55" i="1" s="1"/>
  <c r="EJ55" i="1" s="1"/>
  <c r="EK55" i="1" s="1"/>
  <c r="EL55" i="1" s="1"/>
  <c r="EM55" i="1" s="1"/>
  <c r="EN55" i="1" s="1"/>
  <c r="EO55" i="1" s="1"/>
  <c r="EP55" i="1" s="1"/>
  <c r="EQ55" i="1" s="1"/>
  <c r="ER55" i="1" s="1"/>
  <c r="ES55" i="1" s="1"/>
  <c r="ET55" i="1" s="1"/>
  <c r="EU55" i="1" s="1"/>
  <c r="EV55" i="1" s="1"/>
  <c r="EW55" i="1" s="1"/>
  <c r="EX55" i="1" s="1"/>
  <c r="EY55" i="1" s="1"/>
  <c r="EZ55" i="1" s="1"/>
  <c r="FA55" i="1" s="1"/>
  <c r="FB55" i="1" s="1"/>
  <c r="FC55" i="1" s="1"/>
  <c r="FD55" i="1" s="1"/>
  <c r="FE55" i="1" s="1"/>
  <c r="FF55" i="1" s="1"/>
  <c r="FG55" i="1" s="1"/>
  <c r="FH55" i="1" s="1"/>
  <c r="FI55" i="1" s="1"/>
  <c r="FJ55" i="1" s="1"/>
  <c r="FK55" i="1" s="1"/>
  <c r="FL55" i="1" s="1"/>
  <c r="FM55" i="1" s="1"/>
  <c r="FN55" i="1" s="1"/>
  <c r="FO55" i="1" s="1"/>
  <c r="FP55" i="1" s="1"/>
  <c r="FQ55" i="1" s="1"/>
  <c r="FR55" i="1" s="1"/>
  <c r="FS55" i="1" s="1"/>
  <c r="FT55" i="1" s="1"/>
  <c r="FU55" i="1" s="1"/>
  <c r="FV55" i="1" s="1"/>
  <c r="FW55" i="1" s="1"/>
  <c r="FX55" i="1" s="1"/>
  <c r="FY55" i="1" s="1"/>
  <c r="FZ55" i="1" s="1"/>
  <c r="GA55" i="1" s="1"/>
  <c r="GB55" i="1" s="1"/>
  <c r="GC55" i="1" s="1"/>
  <c r="GD55" i="1" s="1"/>
  <c r="GE55" i="1" s="1"/>
  <c r="GF55" i="1" s="1"/>
  <c r="GG55" i="1" s="1"/>
  <c r="GH55" i="1" s="1"/>
  <c r="GI55" i="1" s="1"/>
  <c r="GJ55" i="1" s="1"/>
  <c r="GK55" i="1" s="1"/>
  <c r="GL55" i="1" s="1"/>
  <c r="GM55" i="1" s="1"/>
  <c r="GN55" i="1" s="1"/>
  <c r="GO55" i="1" s="1"/>
  <c r="GP55" i="1" s="1"/>
  <c r="GQ55" i="1" s="1"/>
  <c r="GR55" i="1" s="1"/>
  <c r="GS55" i="1" s="1"/>
  <c r="GT55" i="1" s="1"/>
  <c r="GU55" i="1" s="1"/>
  <c r="GV55" i="1" s="1"/>
  <c r="GW55" i="1" s="1"/>
  <c r="GX55" i="1" s="1"/>
  <c r="GY55" i="1" s="1"/>
  <c r="GZ55" i="1" s="1"/>
  <c r="HA55" i="1" s="1"/>
  <c r="HB55" i="1" s="1"/>
  <c r="HC55" i="1" s="1"/>
  <c r="V63" i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CP63" i="1" s="1"/>
  <c r="CQ63" i="1" s="1"/>
  <c r="CR63" i="1" s="1"/>
  <c r="CS63" i="1" s="1"/>
  <c r="CT63" i="1" s="1"/>
  <c r="CU63" i="1" s="1"/>
  <c r="CV63" i="1" s="1"/>
  <c r="CW63" i="1" s="1"/>
  <c r="CX63" i="1" s="1"/>
  <c r="CY63" i="1" s="1"/>
  <c r="CZ63" i="1" s="1"/>
  <c r="DA63" i="1" s="1"/>
  <c r="DB63" i="1" s="1"/>
  <c r="DC63" i="1" s="1"/>
  <c r="DD63" i="1" s="1"/>
  <c r="DE63" i="1" s="1"/>
  <c r="DF63" i="1" s="1"/>
  <c r="DG63" i="1" s="1"/>
  <c r="DH63" i="1" s="1"/>
  <c r="DI63" i="1" s="1"/>
  <c r="DJ63" i="1" s="1"/>
  <c r="DK63" i="1" s="1"/>
  <c r="DL63" i="1" s="1"/>
  <c r="DM63" i="1" s="1"/>
  <c r="DN63" i="1" s="1"/>
  <c r="DO63" i="1" s="1"/>
  <c r="DP63" i="1" s="1"/>
  <c r="DQ63" i="1" s="1"/>
  <c r="DR63" i="1" s="1"/>
  <c r="DS63" i="1" s="1"/>
  <c r="DT63" i="1" s="1"/>
  <c r="DU63" i="1" s="1"/>
  <c r="DV63" i="1" s="1"/>
  <c r="DW63" i="1" s="1"/>
  <c r="DX63" i="1" s="1"/>
  <c r="DY63" i="1" s="1"/>
  <c r="DZ63" i="1" s="1"/>
  <c r="EA63" i="1" s="1"/>
  <c r="EB63" i="1" s="1"/>
  <c r="EC63" i="1" s="1"/>
  <c r="ED63" i="1" s="1"/>
  <c r="EE63" i="1" s="1"/>
  <c r="EF63" i="1" s="1"/>
  <c r="EG63" i="1" s="1"/>
  <c r="EH63" i="1" s="1"/>
  <c r="EI63" i="1" s="1"/>
  <c r="EJ63" i="1" s="1"/>
  <c r="EK63" i="1" s="1"/>
  <c r="EL63" i="1" s="1"/>
  <c r="EM63" i="1" s="1"/>
  <c r="EN63" i="1" s="1"/>
  <c r="EO63" i="1" s="1"/>
  <c r="EP63" i="1" s="1"/>
  <c r="EQ63" i="1" s="1"/>
  <c r="ER63" i="1" s="1"/>
  <c r="ES63" i="1" s="1"/>
  <c r="ET63" i="1" s="1"/>
  <c r="EU63" i="1" s="1"/>
  <c r="EV63" i="1" s="1"/>
  <c r="EW63" i="1" s="1"/>
  <c r="EX63" i="1" s="1"/>
  <c r="EY63" i="1" s="1"/>
  <c r="EZ63" i="1" s="1"/>
  <c r="FA63" i="1" s="1"/>
  <c r="FB63" i="1" s="1"/>
  <c r="FC63" i="1" s="1"/>
  <c r="FD63" i="1" s="1"/>
  <c r="FE63" i="1" s="1"/>
  <c r="FF63" i="1" s="1"/>
  <c r="FG63" i="1" s="1"/>
  <c r="FH63" i="1" s="1"/>
  <c r="FI63" i="1" s="1"/>
  <c r="FJ63" i="1" s="1"/>
  <c r="FK63" i="1" s="1"/>
  <c r="FL63" i="1" s="1"/>
  <c r="FM63" i="1" s="1"/>
  <c r="FN63" i="1" s="1"/>
  <c r="FO63" i="1" s="1"/>
  <c r="FP63" i="1" s="1"/>
  <c r="FQ63" i="1" s="1"/>
  <c r="FR63" i="1" s="1"/>
  <c r="FS63" i="1" s="1"/>
  <c r="FT63" i="1" s="1"/>
  <c r="FU63" i="1" s="1"/>
  <c r="FV63" i="1" s="1"/>
  <c r="FW63" i="1" s="1"/>
  <c r="FX63" i="1" s="1"/>
  <c r="FY63" i="1" s="1"/>
  <c r="FZ63" i="1" s="1"/>
  <c r="GA63" i="1" s="1"/>
  <c r="GB63" i="1" s="1"/>
  <c r="GC63" i="1" s="1"/>
  <c r="GD63" i="1" s="1"/>
  <c r="GE63" i="1" s="1"/>
  <c r="GF63" i="1" s="1"/>
  <c r="GG63" i="1" s="1"/>
  <c r="GH63" i="1" s="1"/>
  <c r="GI63" i="1" s="1"/>
  <c r="GJ63" i="1" s="1"/>
  <c r="GK63" i="1" s="1"/>
  <c r="GL63" i="1" s="1"/>
  <c r="GM63" i="1" s="1"/>
  <c r="GN63" i="1" s="1"/>
  <c r="GO63" i="1" s="1"/>
  <c r="GP63" i="1" s="1"/>
  <c r="GQ63" i="1" s="1"/>
  <c r="GR63" i="1" s="1"/>
  <c r="GS63" i="1" s="1"/>
  <c r="GT63" i="1" s="1"/>
  <c r="GU63" i="1" s="1"/>
  <c r="GV63" i="1" s="1"/>
  <c r="GW63" i="1" s="1"/>
  <c r="GX63" i="1" s="1"/>
  <c r="GY63" i="1" s="1"/>
  <c r="GZ63" i="1" s="1"/>
  <c r="HA63" i="1" s="1"/>
  <c r="HB63" i="1" s="1"/>
  <c r="HC63" i="1" s="1"/>
  <c r="V68" i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G68" i="1" s="1"/>
  <c r="BH68" i="1" s="1"/>
  <c r="BI68" i="1" s="1"/>
  <c r="BJ68" i="1" s="1"/>
  <c r="BK68" i="1" s="1"/>
  <c r="BL68" i="1" s="1"/>
  <c r="BM68" i="1" s="1"/>
  <c r="BN68" i="1" s="1"/>
  <c r="BO68" i="1" s="1"/>
  <c r="BP68" i="1" s="1"/>
  <c r="BQ68" i="1" s="1"/>
  <c r="BR68" i="1" s="1"/>
  <c r="BS68" i="1" s="1"/>
  <c r="BT68" i="1" s="1"/>
  <c r="BU68" i="1" s="1"/>
  <c r="BV68" i="1" s="1"/>
  <c r="BW68" i="1" s="1"/>
  <c r="BX68" i="1" s="1"/>
  <c r="BY68" i="1" s="1"/>
  <c r="BZ68" i="1" s="1"/>
  <c r="CA68" i="1" s="1"/>
  <c r="CB68" i="1" s="1"/>
  <c r="CC68" i="1" s="1"/>
  <c r="CD68" i="1" s="1"/>
  <c r="CE68" i="1" s="1"/>
  <c r="CF68" i="1" s="1"/>
  <c r="CG68" i="1" s="1"/>
  <c r="CH68" i="1" s="1"/>
  <c r="CI68" i="1" s="1"/>
  <c r="CJ68" i="1" s="1"/>
  <c r="CK68" i="1" s="1"/>
  <c r="CL68" i="1" s="1"/>
  <c r="CM68" i="1" s="1"/>
  <c r="CN68" i="1" s="1"/>
  <c r="CO68" i="1" s="1"/>
  <c r="CP68" i="1" s="1"/>
  <c r="CQ68" i="1" s="1"/>
  <c r="CR68" i="1" s="1"/>
  <c r="CS68" i="1" s="1"/>
  <c r="CT68" i="1" s="1"/>
  <c r="CU68" i="1" s="1"/>
  <c r="CV68" i="1" s="1"/>
  <c r="CW68" i="1" s="1"/>
  <c r="CX68" i="1" s="1"/>
  <c r="CY68" i="1" s="1"/>
  <c r="CZ68" i="1" s="1"/>
  <c r="DA68" i="1" s="1"/>
  <c r="DB68" i="1" s="1"/>
  <c r="DC68" i="1" s="1"/>
  <c r="DD68" i="1" s="1"/>
  <c r="DE68" i="1" s="1"/>
  <c r="DF68" i="1" s="1"/>
  <c r="DG68" i="1" s="1"/>
  <c r="DH68" i="1" s="1"/>
  <c r="DI68" i="1" s="1"/>
  <c r="DJ68" i="1" s="1"/>
  <c r="DK68" i="1" s="1"/>
  <c r="DL68" i="1" s="1"/>
  <c r="DM68" i="1" s="1"/>
  <c r="DN68" i="1" s="1"/>
  <c r="DO68" i="1" s="1"/>
  <c r="DP68" i="1" s="1"/>
  <c r="DQ68" i="1" s="1"/>
  <c r="DR68" i="1" s="1"/>
  <c r="DS68" i="1" s="1"/>
  <c r="DT68" i="1" s="1"/>
  <c r="DU68" i="1" s="1"/>
  <c r="DV68" i="1" s="1"/>
  <c r="DW68" i="1" s="1"/>
  <c r="DX68" i="1" s="1"/>
  <c r="DY68" i="1" s="1"/>
  <c r="DZ68" i="1" s="1"/>
  <c r="EA68" i="1" s="1"/>
  <c r="EB68" i="1" s="1"/>
  <c r="EC68" i="1" s="1"/>
  <c r="ED68" i="1" s="1"/>
  <c r="EE68" i="1" s="1"/>
  <c r="EF68" i="1" s="1"/>
  <c r="EG68" i="1" s="1"/>
  <c r="EH68" i="1" s="1"/>
  <c r="EI68" i="1" s="1"/>
  <c r="EJ68" i="1" s="1"/>
  <c r="EK68" i="1" s="1"/>
  <c r="EL68" i="1" s="1"/>
  <c r="EM68" i="1" s="1"/>
  <c r="EN68" i="1" s="1"/>
  <c r="EO68" i="1" s="1"/>
  <c r="EP68" i="1" s="1"/>
  <c r="EQ68" i="1" s="1"/>
  <c r="ER68" i="1" s="1"/>
  <c r="ES68" i="1" s="1"/>
  <c r="ET68" i="1" s="1"/>
  <c r="EU68" i="1" s="1"/>
  <c r="EV68" i="1" s="1"/>
  <c r="EW68" i="1" s="1"/>
  <c r="EX68" i="1" s="1"/>
  <c r="EY68" i="1" s="1"/>
  <c r="EZ68" i="1" s="1"/>
  <c r="FA68" i="1" s="1"/>
  <c r="FB68" i="1" s="1"/>
  <c r="FC68" i="1" s="1"/>
  <c r="FD68" i="1" s="1"/>
  <c r="FE68" i="1" s="1"/>
  <c r="FF68" i="1" s="1"/>
  <c r="FG68" i="1" s="1"/>
  <c r="FH68" i="1" s="1"/>
  <c r="FI68" i="1" s="1"/>
  <c r="FJ68" i="1" s="1"/>
  <c r="FK68" i="1" s="1"/>
  <c r="FL68" i="1" s="1"/>
  <c r="FM68" i="1" s="1"/>
  <c r="FN68" i="1" s="1"/>
  <c r="FO68" i="1" s="1"/>
  <c r="FP68" i="1" s="1"/>
  <c r="FQ68" i="1" s="1"/>
  <c r="FR68" i="1" s="1"/>
  <c r="FS68" i="1" s="1"/>
  <c r="FT68" i="1" s="1"/>
  <c r="FU68" i="1" s="1"/>
  <c r="FV68" i="1" s="1"/>
  <c r="FW68" i="1" s="1"/>
  <c r="FX68" i="1" s="1"/>
  <c r="FY68" i="1" s="1"/>
  <c r="FZ68" i="1" s="1"/>
  <c r="GA68" i="1" s="1"/>
  <c r="GB68" i="1" s="1"/>
  <c r="GC68" i="1" s="1"/>
  <c r="GD68" i="1" s="1"/>
  <c r="GE68" i="1" s="1"/>
  <c r="GF68" i="1" s="1"/>
  <c r="GG68" i="1" s="1"/>
  <c r="GH68" i="1" s="1"/>
  <c r="GI68" i="1" s="1"/>
  <c r="GJ68" i="1" s="1"/>
  <c r="GK68" i="1" s="1"/>
  <c r="GL68" i="1" s="1"/>
  <c r="GM68" i="1" s="1"/>
  <c r="GN68" i="1" s="1"/>
  <c r="GO68" i="1" s="1"/>
  <c r="GP68" i="1" s="1"/>
  <c r="GQ68" i="1" s="1"/>
  <c r="GR68" i="1" s="1"/>
  <c r="GS68" i="1" s="1"/>
  <c r="GT68" i="1" s="1"/>
  <c r="GU68" i="1" s="1"/>
  <c r="GV68" i="1" s="1"/>
  <c r="GW68" i="1" s="1"/>
  <c r="GX68" i="1" s="1"/>
  <c r="GY68" i="1" s="1"/>
  <c r="GZ68" i="1" s="1"/>
  <c r="HA68" i="1" s="1"/>
  <c r="HB68" i="1" s="1"/>
  <c r="HC68" i="1" s="1"/>
  <c r="V81" i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CF81" i="1" s="1"/>
  <c r="CG81" i="1" s="1"/>
  <c r="CH81" i="1" s="1"/>
  <c r="CI81" i="1" s="1"/>
  <c r="CJ81" i="1" s="1"/>
  <c r="CK81" i="1" s="1"/>
  <c r="CL81" i="1" s="1"/>
  <c r="CM81" i="1" s="1"/>
  <c r="CN81" i="1" s="1"/>
  <c r="CO81" i="1" s="1"/>
  <c r="CP81" i="1" s="1"/>
  <c r="CQ81" i="1" s="1"/>
  <c r="CR81" i="1" s="1"/>
  <c r="CS81" i="1" s="1"/>
  <c r="CT81" i="1" s="1"/>
  <c r="CU81" i="1" s="1"/>
  <c r="CV81" i="1" s="1"/>
  <c r="CW81" i="1" s="1"/>
  <c r="CX81" i="1" s="1"/>
  <c r="CY81" i="1" s="1"/>
  <c r="CZ81" i="1" s="1"/>
  <c r="DA81" i="1" s="1"/>
  <c r="DB81" i="1" s="1"/>
  <c r="DC81" i="1" s="1"/>
  <c r="DD81" i="1" s="1"/>
  <c r="DE81" i="1" s="1"/>
  <c r="DF81" i="1" s="1"/>
  <c r="DG81" i="1" s="1"/>
  <c r="DH81" i="1" s="1"/>
  <c r="DI81" i="1" s="1"/>
  <c r="DJ81" i="1" s="1"/>
  <c r="DK81" i="1" s="1"/>
  <c r="DL81" i="1" s="1"/>
  <c r="DM81" i="1" s="1"/>
  <c r="DN81" i="1" s="1"/>
  <c r="DO81" i="1" s="1"/>
  <c r="DP81" i="1" s="1"/>
  <c r="DQ81" i="1" s="1"/>
  <c r="DR81" i="1" s="1"/>
  <c r="DS81" i="1" s="1"/>
  <c r="DT81" i="1" s="1"/>
  <c r="DU81" i="1" s="1"/>
  <c r="DV81" i="1" s="1"/>
  <c r="DW81" i="1" s="1"/>
  <c r="DX81" i="1" s="1"/>
  <c r="DY81" i="1" s="1"/>
  <c r="DZ81" i="1" s="1"/>
  <c r="EA81" i="1" s="1"/>
  <c r="EB81" i="1" s="1"/>
  <c r="EC81" i="1" s="1"/>
  <c r="ED81" i="1" s="1"/>
  <c r="EE81" i="1" s="1"/>
  <c r="EF81" i="1" s="1"/>
  <c r="EG81" i="1" s="1"/>
  <c r="EH81" i="1" s="1"/>
  <c r="EI81" i="1" s="1"/>
  <c r="EJ81" i="1" s="1"/>
  <c r="EK81" i="1" s="1"/>
  <c r="EL81" i="1" s="1"/>
  <c r="EM81" i="1" s="1"/>
  <c r="EN81" i="1" s="1"/>
  <c r="EO81" i="1" s="1"/>
  <c r="EP81" i="1" s="1"/>
  <c r="EQ81" i="1" s="1"/>
  <c r="ER81" i="1" s="1"/>
  <c r="ES81" i="1" s="1"/>
  <c r="ET81" i="1" s="1"/>
  <c r="EU81" i="1" s="1"/>
  <c r="EV81" i="1" s="1"/>
  <c r="EW81" i="1" s="1"/>
  <c r="EX81" i="1" s="1"/>
  <c r="EY81" i="1" s="1"/>
  <c r="EZ81" i="1" s="1"/>
  <c r="FA81" i="1" s="1"/>
  <c r="FB81" i="1" s="1"/>
  <c r="FC81" i="1" s="1"/>
  <c r="FD81" i="1" s="1"/>
  <c r="FE81" i="1" s="1"/>
  <c r="FF81" i="1" s="1"/>
  <c r="FG81" i="1" s="1"/>
  <c r="FH81" i="1" s="1"/>
  <c r="FI81" i="1" s="1"/>
  <c r="FJ81" i="1" s="1"/>
  <c r="FK81" i="1" s="1"/>
  <c r="FL81" i="1" s="1"/>
  <c r="FM81" i="1" s="1"/>
  <c r="FN81" i="1" s="1"/>
  <c r="FO81" i="1" s="1"/>
  <c r="FP81" i="1" s="1"/>
  <c r="FQ81" i="1" s="1"/>
  <c r="FR81" i="1" s="1"/>
  <c r="FS81" i="1" s="1"/>
  <c r="FT81" i="1" s="1"/>
  <c r="FU81" i="1" s="1"/>
  <c r="FV81" i="1" s="1"/>
  <c r="FW81" i="1" s="1"/>
  <c r="FX81" i="1" s="1"/>
  <c r="FY81" i="1" s="1"/>
  <c r="FZ81" i="1" s="1"/>
  <c r="GA81" i="1" s="1"/>
  <c r="GB81" i="1" s="1"/>
  <c r="GC81" i="1" s="1"/>
  <c r="GD81" i="1" s="1"/>
  <c r="GE81" i="1" s="1"/>
  <c r="GF81" i="1" s="1"/>
  <c r="GG81" i="1" s="1"/>
  <c r="GH81" i="1" s="1"/>
  <c r="GI81" i="1" s="1"/>
  <c r="GJ81" i="1" s="1"/>
  <c r="GK81" i="1" s="1"/>
  <c r="GL81" i="1" s="1"/>
  <c r="GM81" i="1" s="1"/>
  <c r="GN81" i="1" s="1"/>
  <c r="GO81" i="1" s="1"/>
  <c r="GP81" i="1" s="1"/>
  <c r="GQ81" i="1" s="1"/>
  <c r="GR81" i="1" s="1"/>
  <c r="GS81" i="1" s="1"/>
  <c r="GT81" i="1" s="1"/>
  <c r="GU81" i="1" s="1"/>
  <c r="GV81" i="1" s="1"/>
  <c r="GW81" i="1" s="1"/>
  <c r="GX81" i="1" s="1"/>
  <c r="GY81" i="1" s="1"/>
  <c r="GZ81" i="1" s="1"/>
  <c r="HA81" i="1" s="1"/>
  <c r="HB81" i="1" s="1"/>
  <c r="HC81" i="1" s="1"/>
  <c r="V83" i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BL83" i="1" s="1"/>
  <c r="BM83" i="1" s="1"/>
  <c r="BN83" i="1" s="1"/>
  <c r="BO83" i="1" s="1"/>
  <c r="BP83" i="1" s="1"/>
  <c r="BQ83" i="1" s="1"/>
  <c r="BR83" i="1" s="1"/>
  <c r="BS83" i="1" s="1"/>
  <c r="BT83" i="1" s="1"/>
  <c r="BU83" i="1" s="1"/>
  <c r="BV83" i="1" s="1"/>
  <c r="BW83" i="1" s="1"/>
  <c r="BX83" i="1" s="1"/>
  <c r="BY83" i="1" s="1"/>
  <c r="BZ83" i="1" s="1"/>
  <c r="CA83" i="1" s="1"/>
  <c r="CB83" i="1" s="1"/>
  <c r="CC83" i="1" s="1"/>
  <c r="CD83" i="1" s="1"/>
  <c r="CE83" i="1" s="1"/>
  <c r="CF83" i="1" s="1"/>
  <c r="CG83" i="1" s="1"/>
  <c r="CH83" i="1" s="1"/>
  <c r="CI83" i="1" s="1"/>
  <c r="CJ83" i="1" s="1"/>
  <c r="CK83" i="1" s="1"/>
  <c r="CL83" i="1" s="1"/>
  <c r="CM83" i="1" s="1"/>
  <c r="CN83" i="1" s="1"/>
  <c r="CO83" i="1" s="1"/>
  <c r="CP83" i="1" s="1"/>
  <c r="CQ83" i="1" s="1"/>
  <c r="CR83" i="1" s="1"/>
  <c r="CS83" i="1" s="1"/>
  <c r="CT83" i="1" s="1"/>
  <c r="CU83" i="1" s="1"/>
  <c r="CV83" i="1" s="1"/>
  <c r="CW83" i="1" s="1"/>
  <c r="CX83" i="1" s="1"/>
  <c r="CY83" i="1" s="1"/>
  <c r="CZ83" i="1" s="1"/>
  <c r="DA83" i="1" s="1"/>
  <c r="DB83" i="1" s="1"/>
  <c r="DC83" i="1" s="1"/>
  <c r="DD83" i="1" s="1"/>
  <c r="DE83" i="1" s="1"/>
  <c r="DF83" i="1" s="1"/>
  <c r="DG83" i="1" s="1"/>
  <c r="DH83" i="1" s="1"/>
  <c r="DI83" i="1" s="1"/>
  <c r="DJ83" i="1" s="1"/>
  <c r="DK83" i="1" s="1"/>
  <c r="DL83" i="1" s="1"/>
  <c r="DM83" i="1" s="1"/>
  <c r="DN83" i="1" s="1"/>
  <c r="DO83" i="1" s="1"/>
  <c r="DP83" i="1" s="1"/>
  <c r="DQ83" i="1" s="1"/>
  <c r="DR83" i="1" s="1"/>
  <c r="DS83" i="1" s="1"/>
  <c r="DT83" i="1" s="1"/>
  <c r="DU83" i="1" s="1"/>
  <c r="DV83" i="1" s="1"/>
  <c r="DW83" i="1" s="1"/>
  <c r="DX83" i="1" s="1"/>
  <c r="DY83" i="1" s="1"/>
  <c r="DZ83" i="1" s="1"/>
  <c r="EA83" i="1" s="1"/>
  <c r="EB83" i="1" s="1"/>
  <c r="EC83" i="1" s="1"/>
  <c r="ED83" i="1" s="1"/>
  <c r="EE83" i="1" s="1"/>
  <c r="EF83" i="1" s="1"/>
  <c r="EG83" i="1" s="1"/>
  <c r="EH83" i="1" s="1"/>
  <c r="EI83" i="1" s="1"/>
  <c r="EJ83" i="1" s="1"/>
  <c r="EK83" i="1" s="1"/>
  <c r="EL83" i="1" s="1"/>
  <c r="EM83" i="1" s="1"/>
  <c r="EN83" i="1" s="1"/>
  <c r="EO83" i="1" s="1"/>
  <c r="EP83" i="1" s="1"/>
  <c r="EQ83" i="1" s="1"/>
  <c r="ER83" i="1" s="1"/>
  <c r="ES83" i="1" s="1"/>
  <c r="ET83" i="1" s="1"/>
  <c r="EU83" i="1" s="1"/>
  <c r="EV83" i="1" s="1"/>
  <c r="EW83" i="1" s="1"/>
  <c r="EX83" i="1" s="1"/>
  <c r="EY83" i="1" s="1"/>
  <c r="EZ83" i="1" s="1"/>
  <c r="FA83" i="1" s="1"/>
  <c r="FB83" i="1" s="1"/>
  <c r="FC83" i="1" s="1"/>
  <c r="FD83" i="1" s="1"/>
  <c r="FE83" i="1" s="1"/>
  <c r="FF83" i="1" s="1"/>
  <c r="FG83" i="1" s="1"/>
  <c r="FH83" i="1" s="1"/>
  <c r="FI83" i="1" s="1"/>
  <c r="FJ83" i="1" s="1"/>
  <c r="FK83" i="1" s="1"/>
  <c r="FL83" i="1" s="1"/>
  <c r="FM83" i="1" s="1"/>
  <c r="FN83" i="1" s="1"/>
  <c r="FO83" i="1" s="1"/>
  <c r="FP83" i="1" s="1"/>
  <c r="FQ83" i="1" s="1"/>
  <c r="FR83" i="1" s="1"/>
  <c r="FS83" i="1" s="1"/>
  <c r="FT83" i="1" s="1"/>
  <c r="FU83" i="1" s="1"/>
  <c r="FV83" i="1" s="1"/>
  <c r="FW83" i="1" s="1"/>
  <c r="FX83" i="1" s="1"/>
  <c r="FY83" i="1" s="1"/>
  <c r="FZ83" i="1" s="1"/>
  <c r="GA83" i="1" s="1"/>
  <c r="GB83" i="1" s="1"/>
  <c r="GC83" i="1" s="1"/>
  <c r="GD83" i="1" s="1"/>
  <c r="GE83" i="1" s="1"/>
  <c r="GF83" i="1" s="1"/>
  <c r="GG83" i="1" s="1"/>
  <c r="GH83" i="1" s="1"/>
  <c r="GI83" i="1" s="1"/>
  <c r="GJ83" i="1" s="1"/>
  <c r="GK83" i="1" s="1"/>
  <c r="GL83" i="1" s="1"/>
  <c r="GM83" i="1" s="1"/>
  <c r="GN83" i="1" s="1"/>
  <c r="GO83" i="1" s="1"/>
  <c r="GP83" i="1" s="1"/>
  <c r="GQ83" i="1" s="1"/>
  <c r="GR83" i="1" s="1"/>
  <c r="GS83" i="1" s="1"/>
  <c r="GT83" i="1" s="1"/>
  <c r="GU83" i="1" s="1"/>
  <c r="GV83" i="1" s="1"/>
  <c r="GW83" i="1" s="1"/>
  <c r="GX83" i="1" s="1"/>
  <c r="GY83" i="1" s="1"/>
  <c r="GZ83" i="1" s="1"/>
  <c r="HA83" i="1" s="1"/>
  <c r="HB83" i="1" s="1"/>
  <c r="HC83" i="1" s="1"/>
  <c r="V76" i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Z76" i="1" s="1"/>
  <c r="BA76" i="1" s="1"/>
  <c r="BB76" i="1" s="1"/>
  <c r="BC76" i="1" s="1"/>
  <c r="BD76" i="1" s="1"/>
  <c r="BE76" i="1" s="1"/>
  <c r="BF76" i="1" s="1"/>
  <c r="BG76" i="1" s="1"/>
  <c r="BH76" i="1" s="1"/>
  <c r="BI76" i="1" s="1"/>
  <c r="BJ76" i="1" s="1"/>
  <c r="BK76" i="1" s="1"/>
  <c r="BL76" i="1" s="1"/>
  <c r="BM76" i="1" s="1"/>
  <c r="BN76" i="1" s="1"/>
  <c r="BO76" i="1" s="1"/>
  <c r="BP76" i="1" s="1"/>
  <c r="BQ76" i="1" s="1"/>
  <c r="BR76" i="1" s="1"/>
  <c r="BS76" i="1" s="1"/>
  <c r="BT76" i="1" s="1"/>
  <c r="BU76" i="1" s="1"/>
  <c r="BV76" i="1" s="1"/>
  <c r="BW76" i="1" s="1"/>
  <c r="BX76" i="1" s="1"/>
  <c r="BY76" i="1" s="1"/>
  <c r="BZ76" i="1" s="1"/>
  <c r="CA76" i="1" s="1"/>
  <c r="CB76" i="1" s="1"/>
  <c r="CC76" i="1" s="1"/>
  <c r="CD76" i="1" s="1"/>
  <c r="CE76" i="1" s="1"/>
  <c r="CF76" i="1" s="1"/>
  <c r="CG76" i="1" s="1"/>
  <c r="CH76" i="1" s="1"/>
  <c r="CI76" i="1" s="1"/>
  <c r="CJ76" i="1" s="1"/>
  <c r="CK76" i="1" s="1"/>
  <c r="CL76" i="1" s="1"/>
  <c r="CM76" i="1" s="1"/>
  <c r="CN76" i="1" s="1"/>
  <c r="CO76" i="1" s="1"/>
  <c r="CP76" i="1" s="1"/>
  <c r="CQ76" i="1" s="1"/>
  <c r="CR76" i="1" s="1"/>
  <c r="CS76" i="1" s="1"/>
  <c r="CT76" i="1" s="1"/>
  <c r="CU76" i="1" s="1"/>
  <c r="CV76" i="1" s="1"/>
  <c r="CW76" i="1" s="1"/>
  <c r="CX76" i="1" s="1"/>
  <c r="CY76" i="1" s="1"/>
  <c r="CZ76" i="1" s="1"/>
  <c r="DA76" i="1" s="1"/>
  <c r="DB76" i="1" s="1"/>
  <c r="DC76" i="1" s="1"/>
  <c r="DD76" i="1" s="1"/>
  <c r="DE76" i="1" s="1"/>
  <c r="DF76" i="1" s="1"/>
  <c r="DG76" i="1" s="1"/>
  <c r="DH76" i="1" s="1"/>
  <c r="DI76" i="1" s="1"/>
  <c r="DJ76" i="1" s="1"/>
  <c r="DK76" i="1" s="1"/>
  <c r="DL76" i="1" s="1"/>
  <c r="DM76" i="1" s="1"/>
  <c r="DN76" i="1" s="1"/>
  <c r="DO76" i="1" s="1"/>
  <c r="DP76" i="1" s="1"/>
  <c r="DQ76" i="1" s="1"/>
  <c r="DR76" i="1" s="1"/>
  <c r="DS76" i="1" s="1"/>
  <c r="DT76" i="1" s="1"/>
  <c r="DU76" i="1" s="1"/>
  <c r="DV76" i="1" s="1"/>
  <c r="DW76" i="1" s="1"/>
  <c r="DX76" i="1" s="1"/>
  <c r="DY76" i="1" s="1"/>
  <c r="DZ76" i="1" s="1"/>
  <c r="EA76" i="1" s="1"/>
  <c r="EB76" i="1" s="1"/>
  <c r="EC76" i="1" s="1"/>
  <c r="ED76" i="1" s="1"/>
  <c r="EE76" i="1" s="1"/>
  <c r="EF76" i="1" s="1"/>
  <c r="EG76" i="1" s="1"/>
  <c r="EH76" i="1" s="1"/>
  <c r="EI76" i="1" s="1"/>
  <c r="EJ76" i="1" s="1"/>
  <c r="EK76" i="1" s="1"/>
  <c r="EL76" i="1" s="1"/>
  <c r="EM76" i="1" s="1"/>
  <c r="EN76" i="1" s="1"/>
  <c r="EO76" i="1" s="1"/>
  <c r="EP76" i="1" s="1"/>
  <c r="EQ76" i="1" s="1"/>
  <c r="ER76" i="1" s="1"/>
  <c r="ES76" i="1" s="1"/>
  <c r="ET76" i="1" s="1"/>
  <c r="EU76" i="1" s="1"/>
  <c r="EV76" i="1" s="1"/>
  <c r="EW76" i="1" s="1"/>
  <c r="EX76" i="1" s="1"/>
  <c r="EY76" i="1" s="1"/>
  <c r="EZ76" i="1" s="1"/>
  <c r="FA76" i="1" s="1"/>
  <c r="FB76" i="1" s="1"/>
  <c r="FC76" i="1" s="1"/>
  <c r="FD76" i="1" s="1"/>
  <c r="FE76" i="1" s="1"/>
  <c r="FF76" i="1" s="1"/>
  <c r="FG76" i="1" s="1"/>
  <c r="FH76" i="1" s="1"/>
  <c r="FI76" i="1" s="1"/>
  <c r="FJ76" i="1" s="1"/>
  <c r="FK76" i="1" s="1"/>
  <c r="FL76" i="1" s="1"/>
  <c r="FM76" i="1" s="1"/>
  <c r="FN76" i="1" s="1"/>
  <c r="FO76" i="1" s="1"/>
  <c r="FP76" i="1" s="1"/>
  <c r="FQ76" i="1" s="1"/>
  <c r="FR76" i="1" s="1"/>
  <c r="FS76" i="1" s="1"/>
  <c r="FT76" i="1" s="1"/>
  <c r="FU76" i="1" s="1"/>
  <c r="FV76" i="1" s="1"/>
  <c r="FW76" i="1" s="1"/>
  <c r="FX76" i="1" s="1"/>
  <c r="FY76" i="1" s="1"/>
  <c r="FZ76" i="1" s="1"/>
  <c r="GA76" i="1" s="1"/>
  <c r="GB76" i="1" s="1"/>
  <c r="GC76" i="1" s="1"/>
  <c r="GD76" i="1" s="1"/>
  <c r="GE76" i="1" s="1"/>
  <c r="GF76" i="1" s="1"/>
  <c r="GG76" i="1" s="1"/>
  <c r="GH76" i="1" s="1"/>
  <c r="GI76" i="1" s="1"/>
  <c r="GJ76" i="1" s="1"/>
  <c r="GK76" i="1" s="1"/>
  <c r="GL76" i="1" s="1"/>
  <c r="GM76" i="1" s="1"/>
  <c r="GN76" i="1" s="1"/>
  <c r="GO76" i="1" s="1"/>
  <c r="GP76" i="1" s="1"/>
  <c r="GQ76" i="1" s="1"/>
  <c r="GR76" i="1" s="1"/>
  <c r="GS76" i="1" s="1"/>
  <c r="GT76" i="1" s="1"/>
  <c r="GU76" i="1" s="1"/>
  <c r="GV76" i="1" s="1"/>
  <c r="GW76" i="1" s="1"/>
  <c r="GX76" i="1" s="1"/>
  <c r="GY76" i="1" s="1"/>
  <c r="GZ76" i="1" s="1"/>
  <c r="HA76" i="1" s="1"/>
  <c r="HB76" i="1" s="1"/>
  <c r="HC76" i="1" s="1"/>
  <c r="V78" i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BD78" i="1" s="1"/>
  <c r="BE78" i="1" s="1"/>
  <c r="BF78" i="1" s="1"/>
  <c r="BG78" i="1" s="1"/>
  <c r="BH78" i="1" s="1"/>
  <c r="BI78" i="1" s="1"/>
  <c r="BJ78" i="1" s="1"/>
  <c r="BK78" i="1" s="1"/>
  <c r="BL78" i="1" s="1"/>
  <c r="BM78" i="1" s="1"/>
  <c r="BN78" i="1" s="1"/>
  <c r="BO78" i="1" s="1"/>
  <c r="BP78" i="1" s="1"/>
  <c r="BQ78" i="1" s="1"/>
  <c r="BR78" i="1" s="1"/>
  <c r="BS78" i="1" s="1"/>
  <c r="BT78" i="1" s="1"/>
  <c r="BU78" i="1" s="1"/>
  <c r="BV78" i="1" s="1"/>
  <c r="BW78" i="1" s="1"/>
  <c r="BX78" i="1" s="1"/>
  <c r="BY78" i="1" s="1"/>
  <c r="BZ78" i="1" s="1"/>
  <c r="CA78" i="1" s="1"/>
  <c r="CB78" i="1" s="1"/>
  <c r="CC78" i="1" s="1"/>
  <c r="CD78" i="1" s="1"/>
  <c r="CE78" i="1" s="1"/>
  <c r="CF78" i="1" s="1"/>
  <c r="CG78" i="1" s="1"/>
  <c r="CH78" i="1" s="1"/>
  <c r="CI78" i="1" s="1"/>
  <c r="CJ78" i="1" s="1"/>
  <c r="CK78" i="1" s="1"/>
  <c r="CL78" i="1" s="1"/>
  <c r="CM78" i="1" s="1"/>
  <c r="CN78" i="1" s="1"/>
  <c r="CO78" i="1" s="1"/>
  <c r="CP78" i="1" s="1"/>
  <c r="CQ78" i="1" s="1"/>
  <c r="CR78" i="1" s="1"/>
  <c r="CS78" i="1" s="1"/>
  <c r="CT78" i="1" s="1"/>
  <c r="CU78" i="1" s="1"/>
  <c r="CV78" i="1" s="1"/>
  <c r="CW78" i="1" s="1"/>
  <c r="CX78" i="1" s="1"/>
  <c r="CY78" i="1" s="1"/>
  <c r="CZ78" i="1" s="1"/>
  <c r="DA78" i="1" s="1"/>
  <c r="DB78" i="1" s="1"/>
  <c r="DC78" i="1" s="1"/>
  <c r="DD78" i="1" s="1"/>
  <c r="DE78" i="1" s="1"/>
  <c r="DF78" i="1" s="1"/>
  <c r="DG78" i="1" s="1"/>
  <c r="DH78" i="1" s="1"/>
  <c r="DI78" i="1" s="1"/>
  <c r="DJ78" i="1" s="1"/>
  <c r="DK78" i="1" s="1"/>
  <c r="DL78" i="1" s="1"/>
  <c r="DM78" i="1" s="1"/>
  <c r="DN78" i="1" s="1"/>
  <c r="DO78" i="1" s="1"/>
  <c r="DP78" i="1" s="1"/>
  <c r="DQ78" i="1" s="1"/>
  <c r="DR78" i="1" s="1"/>
  <c r="DS78" i="1" s="1"/>
  <c r="DT78" i="1" s="1"/>
  <c r="DU78" i="1" s="1"/>
  <c r="DV78" i="1" s="1"/>
  <c r="DW78" i="1" s="1"/>
  <c r="DX78" i="1" s="1"/>
  <c r="DY78" i="1" s="1"/>
  <c r="DZ78" i="1" s="1"/>
  <c r="EA78" i="1" s="1"/>
  <c r="EB78" i="1" s="1"/>
  <c r="EC78" i="1" s="1"/>
  <c r="ED78" i="1" s="1"/>
  <c r="EE78" i="1" s="1"/>
  <c r="EF78" i="1" s="1"/>
  <c r="EG78" i="1" s="1"/>
  <c r="EH78" i="1" s="1"/>
  <c r="EI78" i="1" s="1"/>
  <c r="EJ78" i="1" s="1"/>
  <c r="EK78" i="1" s="1"/>
  <c r="EL78" i="1" s="1"/>
  <c r="EM78" i="1" s="1"/>
  <c r="EN78" i="1" s="1"/>
  <c r="EO78" i="1" s="1"/>
  <c r="EP78" i="1" s="1"/>
  <c r="EQ78" i="1" s="1"/>
  <c r="ER78" i="1" s="1"/>
  <c r="ES78" i="1" s="1"/>
  <c r="ET78" i="1" s="1"/>
  <c r="EU78" i="1" s="1"/>
  <c r="EV78" i="1" s="1"/>
  <c r="EW78" i="1" s="1"/>
  <c r="EX78" i="1" s="1"/>
  <c r="EY78" i="1" s="1"/>
  <c r="EZ78" i="1" s="1"/>
  <c r="FA78" i="1" s="1"/>
  <c r="FB78" i="1" s="1"/>
  <c r="FC78" i="1" s="1"/>
  <c r="FD78" i="1" s="1"/>
  <c r="FE78" i="1" s="1"/>
  <c r="FF78" i="1" s="1"/>
  <c r="FG78" i="1" s="1"/>
  <c r="FH78" i="1" s="1"/>
  <c r="FI78" i="1" s="1"/>
  <c r="FJ78" i="1" s="1"/>
  <c r="FK78" i="1" s="1"/>
  <c r="FL78" i="1" s="1"/>
  <c r="FM78" i="1" s="1"/>
  <c r="FN78" i="1" s="1"/>
  <c r="FO78" i="1" s="1"/>
  <c r="FP78" i="1" s="1"/>
  <c r="FQ78" i="1" s="1"/>
  <c r="FR78" i="1" s="1"/>
  <c r="FS78" i="1" s="1"/>
  <c r="FT78" i="1" s="1"/>
  <c r="FU78" i="1" s="1"/>
  <c r="FV78" i="1" s="1"/>
  <c r="FW78" i="1" s="1"/>
  <c r="FX78" i="1" s="1"/>
  <c r="FY78" i="1" s="1"/>
  <c r="FZ78" i="1" s="1"/>
  <c r="GA78" i="1" s="1"/>
  <c r="GB78" i="1" s="1"/>
  <c r="GC78" i="1" s="1"/>
  <c r="GD78" i="1" s="1"/>
  <c r="GE78" i="1" s="1"/>
  <c r="GF78" i="1" s="1"/>
  <c r="GG78" i="1" s="1"/>
  <c r="GH78" i="1" s="1"/>
  <c r="GI78" i="1" s="1"/>
  <c r="GJ78" i="1" s="1"/>
  <c r="GK78" i="1" s="1"/>
  <c r="GL78" i="1" s="1"/>
  <c r="GM78" i="1" s="1"/>
  <c r="GN78" i="1" s="1"/>
  <c r="GO78" i="1" s="1"/>
  <c r="GP78" i="1" s="1"/>
  <c r="GQ78" i="1" s="1"/>
  <c r="GR78" i="1" s="1"/>
  <c r="GS78" i="1" s="1"/>
  <c r="GT78" i="1" s="1"/>
  <c r="GU78" i="1" s="1"/>
  <c r="GV78" i="1" s="1"/>
  <c r="GW78" i="1" s="1"/>
  <c r="GX78" i="1" s="1"/>
  <c r="GY78" i="1" s="1"/>
  <c r="GZ78" i="1" s="1"/>
  <c r="HA78" i="1" s="1"/>
  <c r="HB78" i="1" s="1"/>
  <c r="HC78" i="1" s="1"/>
  <c r="W13" i="1"/>
  <c r="W11" i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  <c r="FA11" i="1" s="1"/>
  <c r="FB11" i="1" s="1"/>
  <c r="FC11" i="1" s="1"/>
  <c r="FD11" i="1" s="1"/>
  <c r="FE11" i="1" s="1"/>
  <c r="FF11" i="1" s="1"/>
  <c r="FG11" i="1" s="1"/>
  <c r="FH11" i="1" s="1"/>
  <c r="FI11" i="1" s="1"/>
  <c r="FJ11" i="1" s="1"/>
  <c r="FK11" i="1" s="1"/>
  <c r="FL11" i="1" s="1"/>
  <c r="FM11" i="1" s="1"/>
  <c r="FN11" i="1" s="1"/>
  <c r="FO11" i="1" s="1"/>
  <c r="FP11" i="1" s="1"/>
  <c r="FQ11" i="1" s="1"/>
  <c r="FR11" i="1" s="1"/>
  <c r="FS11" i="1" s="1"/>
  <c r="FT11" i="1" s="1"/>
  <c r="FU11" i="1" s="1"/>
  <c r="FV11" i="1" s="1"/>
  <c r="FW11" i="1" s="1"/>
  <c r="FX11" i="1" s="1"/>
  <c r="FY11" i="1" s="1"/>
  <c r="FZ11" i="1" s="1"/>
  <c r="GA11" i="1" s="1"/>
  <c r="GB11" i="1" s="1"/>
  <c r="GC11" i="1" s="1"/>
  <c r="GD11" i="1" s="1"/>
  <c r="GE11" i="1" s="1"/>
  <c r="GF11" i="1" s="1"/>
  <c r="GG11" i="1" s="1"/>
  <c r="GH11" i="1" s="1"/>
  <c r="GI11" i="1" s="1"/>
  <c r="GJ11" i="1" s="1"/>
  <c r="GK11" i="1" s="1"/>
  <c r="GL11" i="1" s="1"/>
  <c r="GM11" i="1" s="1"/>
  <c r="GN11" i="1" s="1"/>
  <c r="GO11" i="1" s="1"/>
  <c r="GP11" i="1" s="1"/>
  <c r="GQ11" i="1" s="1"/>
  <c r="GR11" i="1" s="1"/>
  <c r="GS11" i="1" s="1"/>
  <c r="GT11" i="1" s="1"/>
  <c r="GU11" i="1" s="1"/>
  <c r="GV11" i="1" s="1"/>
  <c r="GW11" i="1" s="1"/>
  <c r="GX11" i="1" s="1"/>
  <c r="GY11" i="1" s="1"/>
  <c r="GZ11" i="1" s="1"/>
  <c r="HA11" i="1" s="1"/>
  <c r="HB11" i="1" s="1"/>
  <c r="HC11" i="1" s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2" i="1"/>
  <c r="AF2" i="1" s="1"/>
  <c r="AK2" i="1" s="1"/>
  <c r="AP2" i="1" s="1"/>
  <c r="AU2" i="1" s="1"/>
  <c r="AZ2" i="1" s="1"/>
  <c r="BE2" i="1" s="1"/>
  <c r="BJ2" i="1" s="1"/>
  <c r="BO2" i="1" s="1"/>
  <c r="BT2" i="1" s="1"/>
  <c r="BY2" i="1" s="1"/>
  <c r="CD2" i="1" s="1"/>
  <c r="CI2" i="1" s="1"/>
  <c r="CN2" i="1" s="1"/>
  <c r="CS2" i="1" s="1"/>
  <c r="CX2" i="1" s="1"/>
  <c r="DC2" i="1" s="1"/>
  <c r="DH2" i="1" s="1"/>
  <c r="DM2" i="1" s="1"/>
  <c r="DR2" i="1" s="1"/>
  <c r="DW2" i="1" s="1"/>
  <c r="EB2" i="1" s="1"/>
  <c r="EG2" i="1" s="1"/>
  <c r="EL2" i="1" s="1"/>
  <c r="EQ2" i="1" s="1"/>
  <c r="EV2" i="1" s="1"/>
  <c r="FA2" i="1" s="1"/>
  <c r="FF2" i="1" s="1"/>
  <c r="FK2" i="1" s="1"/>
  <c r="FP2" i="1" s="1"/>
  <c r="FU2" i="1" s="1"/>
  <c r="FZ2" i="1" s="1"/>
  <c r="GE2" i="1" s="1"/>
  <c r="GJ2" i="1" s="1"/>
  <c r="GO2" i="1" s="1"/>
  <c r="GT2" i="1" s="1"/>
  <c r="GY2" i="1" s="1"/>
  <c r="HD2" i="1" s="1"/>
  <c r="HI2" i="1" s="1"/>
  <c r="HN2" i="1" s="1"/>
  <c r="HS2" i="1" s="1"/>
  <c r="HX2" i="1" s="1"/>
  <c r="IC2" i="1" s="1"/>
  <c r="IH2" i="1" s="1"/>
  <c r="IM2" i="1" s="1"/>
  <c r="IR2" i="1" s="1"/>
  <c r="IW2" i="1" s="1"/>
  <c r="JB2" i="1" s="1"/>
  <c r="JG2" i="1" s="1"/>
  <c r="JL2" i="1" s="1"/>
  <c r="JQ2" i="1" s="1"/>
  <c r="JV2" i="1" s="1"/>
  <c r="GG37" i="1" l="1"/>
  <c r="GH37" i="1" s="1"/>
  <c r="GI37" i="1" s="1"/>
  <c r="GJ37" i="1" s="1"/>
  <c r="GK37" i="1" s="1"/>
  <c r="GL37" i="1" s="1"/>
  <c r="GM37" i="1" s="1"/>
  <c r="GN37" i="1" s="1"/>
  <c r="GO37" i="1" s="1"/>
  <c r="GP37" i="1" s="1"/>
  <c r="GQ37" i="1" s="1"/>
  <c r="GR37" i="1" s="1"/>
  <c r="GS37" i="1" s="1"/>
  <c r="GT37" i="1" s="1"/>
  <c r="GU37" i="1" s="1"/>
  <c r="GV37" i="1" s="1"/>
  <c r="GW37" i="1" s="1"/>
  <c r="GX37" i="1" s="1"/>
  <c r="GY37" i="1" s="1"/>
  <c r="GZ37" i="1" s="1"/>
  <c r="HA37" i="1" s="1"/>
  <c r="HB37" i="1" s="1"/>
  <c r="HC37" i="1" s="1"/>
  <c r="W70" i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Z70" i="1" s="1"/>
  <c r="BA70" i="1" s="1"/>
  <c r="BB70" i="1" s="1"/>
  <c r="BC70" i="1" s="1"/>
  <c r="BD70" i="1" s="1"/>
  <c r="BE70" i="1" s="1"/>
  <c r="BF70" i="1" s="1"/>
  <c r="BG70" i="1" s="1"/>
  <c r="BH70" i="1" s="1"/>
  <c r="BI70" i="1" s="1"/>
  <c r="BJ70" i="1" s="1"/>
  <c r="BK70" i="1" s="1"/>
  <c r="BL70" i="1" s="1"/>
  <c r="BM70" i="1" s="1"/>
  <c r="BN70" i="1" s="1"/>
  <c r="BO70" i="1" s="1"/>
  <c r="BP70" i="1" s="1"/>
  <c r="BQ70" i="1" s="1"/>
  <c r="BR70" i="1" s="1"/>
  <c r="BS70" i="1" s="1"/>
  <c r="BT70" i="1" s="1"/>
  <c r="BU70" i="1" s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F70" i="1" s="1"/>
  <c r="CG70" i="1" s="1"/>
  <c r="CH70" i="1" s="1"/>
  <c r="CI70" i="1" s="1"/>
  <c r="CJ70" i="1" s="1"/>
  <c r="CK70" i="1" s="1"/>
  <c r="CL70" i="1" s="1"/>
  <c r="CM70" i="1" s="1"/>
  <c r="CN70" i="1" s="1"/>
  <c r="CO70" i="1" s="1"/>
  <c r="CP70" i="1" s="1"/>
  <c r="CQ70" i="1" s="1"/>
  <c r="CR70" i="1" s="1"/>
  <c r="CS70" i="1" s="1"/>
  <c r="CT70" i="1" s="1"/>
  <c r="CU70" i="1" s="1"/>
  <c r="CV70" i="1" s="1"/>
  <c r="CW70" i="1" s="1"/>
  <c r="CX70" i="1" s="1"/>
  <c r="CY70" i="1" s="1"/>
  <c r="CZ70" i="1" s="1"/>
  <c r="DA70" i="1" s="1"/>
  <c r="DB70" i="1" s="1"/>
  <c r="DC70" i="1" s="1"/>
  <c r="DD70" i="1" s="1"/>
  <c r="DE70" i="1" s="1"/>
  <c r="DF70" i="1" s="1"/>
  <c r="DG70" i="1" s="1"/>
  <c r="DH70" i="1" s="1"/>
  <c r="DI70" i="1" s="1"/>
  <c r="DJ70" i="1" s="1"/>
  <c r="DK70" i="1" s="1"/>
  <c r="DL70" i="1" s="1"/>
  <c r="DM70" i="1" s="1"/>
  <c r="DN70" i="1" s="1"/>
  <c r="DO70" i="1" s="1"/>
  <c r="DP70" i="1" s="1"/>
  <c r="DQ70" i="1" s="1"/>
  <c r="DR70" i="1" s="1"/>
  <c r="DS70" i="1" s="1"/>
  <c r="DT70" i="1" s="1"/>
  <c r="DU70" i="1" s="1"/>
  <c r="DV70" i="1" s="1"/>
  <c r="DW70" i="1" s="1"/>
  <c r="DX70" i="1" s="1"/>
  <c r="DY70" i="1" s="1"/>
  <c r="DZ70" i="1" s="1"/>
  <c r="EA70" i="1" s="1"/>
  <c r="EB70" i="1" s="1"/>
  <c r="EC70" i="1" s="1"/>
  <c r="ED70" i="1" s="1"/>
  <c r="EE70" i="1" s="1"/>
  <c r="EF70" i="1" s="1"/>
  <c r="EG70" i="1" s="1"/>
  <c r="EH70" i="1" s="1"/>
  <c r="EI70" i="1" s="1"/>
  <c r="EJ70" i="1" s="1"/>
  <c r="EK70" i="1" s="1"/>
  <c r="EL70" i="1" s="1"/>
  <c r="EM70" i="1" s="1"/>
  <c r="EN70" i="1" s="1"/>
  <c r="EO70" i="1" s="1"/>
  <c r="EP70" i="1" s="1"/>
  <c r="EQ70" i="1" s="1"/>
  <c r="ER70" i="1" s="1"/>
  <c r="ES70" i="1" s="1"/>
  <c r="ET70" i="1" s="1"/>
  <c r="EU70" i="1" s="1"/>
  <c r="EV70" i="1" s="1"/>
  <c r="EW70" i="1" s="1"/>
  <c r="EX70" i="1" s="1"/>
  <c r="EY70" i="1" s="1"/>
  <c r="EZ70" i="1" s="1"/>
  <c r="FA70" i="1" s="1"/>
  <c r="FB70" i="1" s="1"/>
  <c r="FC70" i="1" s="1"/>
  <c r="FD70" i="1" s="1"/>
  <c r="FE70" i="1" s="1"/>
  <c r="FF70" i="1" s="1"/>
  <c r="FG70" i="1" s="1"/>
  <c r="FH70" i="1" s="1"/>
  <c r="FI70" i="1" s="1"/>
  <c r="FJ70" i="1" s="1"/>
  <c r="FK70" i="1" s="1"/>
  <c r="FL70" i="1" s="1"/>
  <c r="FM70" i="1" s="1"/>
  <c r="FN70" i="1" s="1"/>
  <c r="FO70" i="1" s="1"/>
  <c r="FP70" i="1" s="1"/>
  <c r="FQ70" i="1" s="1"/>
  <c r="FR70" i="1" s="1"/>
  <c r="FS70" i="1" s="1"/>
  <c r="FT70" i="1" s="1"/>
  <c r="FU70" i="1" s="1"/>
  <c r="FV70" i="1" s="1"/>
  <c r="FW70" i="1" s="1"/>
  <c r="FX70" i="1" s="1"/>
  <c r="FY70" i="1" s="1"/>
  <c r="FZ70" i="1" s="1"/>
  <c r="GA70" i="1" s="1"/>
  <c r="GB70" i="1" s="1"/>
  <c r="GC70" i="1" s="1"/>
  <c r="GD70" i="1" s="1"/>
  <c r="GE70" i="1" s="1"/>
  <c r="GF70" i="1" s="1"/>
  <c r="GG70" i="1" s="1"/>
  <c r="GH70" i="1" s="1"/>
  <c r="GI70" i="1" s="1"/>
  <c r="GJ70" i="1" s="1"/>
  <c r="GK70" i="1" s="1"/>
  <c r="GL70" i="1" s="1"/>
  <c r="GM70" i="1" s="1"/>
  <c r="GN70" i="1" s="1"/>
  <c r="GO70" i="1" s="1"/>
  <c r="GP70" i="1" s="1"/>
  <c r="GQ70" i="1" s="1"/>
  <c r="GR70" i="1" s="1"/>
  <c r="GS70" i="1" s="1"/>
  <c r="GT70" i="1" s="1"/>
  <c r="GU70" i="1" s="1"/>
  <c r="GV70" i="1" s="1"/>
  <c r="GW70" i="1" s="1"/>
  <c r="GX70" i="1" s="1"/>
  <c r="GY70" i="1" s="1"/>
  <c r="GZ70" i="1" s="1"/>
  <c r="HA70" i="1" s="1"/>
  <c r="HB70" i="1" s="1"/>
  <c r="HC70" i="1" s="1"/>
  <c r="W65" i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BV65" i="1" s="1"/>
  <c r="BW65" i="1" s="1"/>
  <c r="BX65" i="1" s="1"/>
  <c r="BY65" i="1" s="1"/>
  <c r="BZ65" i="1" s="1"/>
  <c r="CA65" i="1" s="1"/>
  <c r="CB65" i="1" s="1"/>
  <c r="CC65" i="1" s="1"/>
  <c r="CD65" i="1" s="1"/>
  <c r="CE65" i="1" s="1"/>
  <c r="CF65" i="1" s="1"/>
  <c r="CG65" i="1" s="1"/>
  <c r="CH65" i="1" s="1"/>
  <c r="CI65" i="1" s="1"/>
  <c r="CJ65" i="1" s="1"/>
  <c r="CK65" i="1" s="1"/>
  <c r="CL65" i="1" s="1"/>
  <c r="CM65" i="1" s="1"/>
  <c r="CN65" i="1" s="1"/>
  <c r="CO65" i="1" s="1"/>
  <c r="CP65" i="1" s="1"/>
  <c r="CQ65" i="1" s="1"/>
  <c r="CR65" i="1" s="1"/>
  <c r="CS65" i="1" s="1"/>
  <c r="CT65" i="1" s="1"/>
  <c r="CU65" i="1" s="1"/>
  <c r="CV65" i="1" s="1"/>
  <c r="CW65" i="1" s="1"/>
  <c r="CX65" i="1" s="1"/>
  <c r="CY65" i="1" s="1"/>
  <c r="CZ65" i="1" s="1"/>
  <c r="DA65" i="1" s="1"/>
  <c r="DB65" i="1" s="1"/>
  <c r="DC65" i="1" s="1"/>
  <c r="DD65" i="1" s="1"/>
  <c r="DE65" i="1" s="1"/>
  <c r="DF65" i="1" s="1"/>
  <c r="DG65" i="1" s="1"/>
  <c r="DH65" i="1" s="1"/>
  <c r="DI65" i="1" s="1"/>
  <c r="DJ65" i="1" s="1"/>
  <c r="DK65" i="1" s="1"/>
  <c r="DL65" i="1" s="1"/>
  <c r="DM65" i="1" s="1"/>
  <c r="DN65" i="1" s="1"/>
  <c r="DO65" i="1" s="1"/>
  <c r="DP65" i="1" s="1"/>
  <c r="DQ65" i="1" s="1"/>
  <c r="DR65" i="1" s="1"/>
  <c r="DS65" i="1" s="1"/>
  <c r="DT65" i="1" s="1"/>
  <c r="DU65" i="1" s="1"/>
  <c r="DV65" i="1" s="1"/>
  <c r="DW65" i="1" s="1"/>
  <c r="DX65" i="1" s="1"/>
  <c r="DY65" i="1" s="1"/>
  <c r="DZ65" i="1" s="1"/>
  <c r="EA65" i="1" s="1"/>
  <c r="EB65" i="1" s="1"/>
  <c r="EC65" i="1" s="1"/>
  <c r="ED65" i="1" s="1"/>
  <c r="EE65" i="1" s="1"/>
  <c r="EF65" i="1" s="1"/>
  <c r="EG65" i="1" s="1"/>
  <c r="EH65" i="1" s="1"/>
  <c r="EI65" i="1" s="1"/>
  <c r="EJ65" i="1" s="1"/>
  <c r="EK65" i="1" s="1"/>
  <c r="EL65" i="1" s="1"/>
  <c r="EM65" i="1" s="1"/>
  <c r="EN65" i="1" s="1"/>
  <c r="EO65" i="1" s="1"/>
  <c r="EP65" i="1" s="1"/>
  <c r="EQ65" i="1" s="1"/>
  <c r="ER65" i="1" s="1"/>
  <c r="ES65" i="1" s="1"/>
  <c r="ET65" i="1" s="1"/>
  <c r="EU65" i="1" s="1"/>
  <c r="EV65" i="1" s="1"/>
  <c r="EW65" i="1" s="1"/>
  <c r="EX65" i="1" s="1"/>
  <c r="EY65" i="1" s="1"/>
  <c r="EZ65" i="1" s="1"/>
  <c r="FA65" i="1" s="1"/>
  <c r="FB65" i="1" s="1"/>
  <c r="FC65" i="1" s="1"/>
  <c r="FD65" i="1" s="1"/>
  <c r="FE65" i="1" s="1"/>
  <c r="FF65" i="1" s="1"/>
  <c r="FG65" i="1" s="1"/>
  <c r="FH65" i="1" s="1"/>
  <c r="FI65" i="1" s="1"/>
  <c r="FJ65" i="1" s="1"/>
  <c r="FK65" i="1" s="1"/>
  <c r="FL65" i="1" s="1"/>
  <c r="FM65" i="1" s="1"/>
  <c r="FN65" i="1" s="1"/>
  <c r="FO65" i="1" s="1"/>
  <c r="FP65" i="1" s="1"/>
  <c r="FQ65" i="1" s="1"/>
  <c r="FR65" i="1" s="1"/>
  <c r="FS65" i="1" s="1"/>
  <c r="FT65" i="1" s="1"/>
  <c r="FU65" i="1" s="1"/>
  <c r="FV65" i="1" s="1"/>
  <c r="FW65" i="1" s="1"/>
  <c r="FX65" i="1" s="1"/>
  <c r="FY65" i="1" s="1"/>
  <c r="FZ65" i="1" s="1"/>
  <c r="GA65" i="1" s="1"/>
  <c r="GB65" i="1" s="1"/>
  <c r="GC65" i="1" s="1"/>
  <c r="GD65" i="1" s="1"/>
  <c r="GE65" i="1" s="1"/>
  <c r="GF65" i="1" s="1"/>
  <c r="GG65" i="1" s="1"/>
  <c r="GH65" i="1" s="1"/>
  <c r="GI65" i="1" s="1"/>
  <c r="GJ65" i="1" s="1"/>
  <c r="GK65" i="1" s="1"/>
  <c r="GL65" i="1" s="1"/>
  <c r="GM65" i="1" s="1"/>
  <c r="GN65" i="1" s="1"/>
  <c r="GO65" i="1" s="1"/>
  <c r="GP65" i="1" s="1"/>
  <c r="GQ65" i="1" s="1"/>
  <c r="GR65" i="1" s="1"/>
  <c r="GS65" i="1" s="1"/>
  <c r="GT65" i="1" s="1"/>
  <c r="GU65" i="1" s="1"/>
  <c r="GV65" i="1" s="1"/>
  <c r="GW65" i="1" s="1"/>
  <c r="GX65" i="1" s="1"/>
  <c r="GY65" i="1" s="1"/>
  <c r="GZ65" i="1" s="1"/>
  <c r="HA65" i="1" s="1"/>
  <c r="HB65" i="1" s="1"/>
  <c r="HC65" i="1" s="1"/>
  <c r="W57" i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BG57" i="1" s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BR57" i="1" s="1"/>
  <c r="BS57" i="1" s="1"/>
  <c r="BT57" i="1" s="1"/>
  <c r="BU57" i="1" s="1"/>
  <c r="BV57" i="1" s="1"/>
  <c r="BW57" i="1" s="1"/>
  <c r="BX57" i="1" s="1"/>
  <c r="BY57" i="1" s="1"/>
  <c r="BZ57" i="1" s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CP57" i="1" s="1"/>
  <c r="CQ57" i="1" s="1"/>
  <c r="CR57" i="1" s="1"/>
  <c r="CS57" i="1" s="1"/>
  <c r="CT57" i="1" s="1"/>
  <c r="CU57" i="1" s="1"/>
  <c r="CV57" i="1" s="1"/>
  <c r="CW57" i="1" s="1"/>
  <c r="CX57" i="1" s="1"/>
  <c r="CY57" i="1" s="1"/>
  <c r="CZ57" i="1" s="1"/>
  <c r="DA57" i="1" s="1"/>
  <c r="DB57" i="1" s="1"/>
  <c r="DC57" i="1" s="1"/>
  <c r="DD57" i="1" s="1"/>
  <c r="DE57" i="1" s="1"/>
  <c r="DF57" i="1" s="1"/>
  <c r="DG57" i="1" s="1"/>
  <c r="DH57" i="1" s="1"/>
  <c r="DI57" i="1" s="1"/>
  <c r="DJ57" i="1" s="1"/>
  <c r="DK57" i="1" s="1"/>
  <c r="DL57" i="1" s="1"/>
  <c r="DM57" i="1" s="1"/>
  <c r="DN57" i="1" s="1"/>
  <c r="DO57" i="1" s="1"/>
  <c r="DP57" i="1" s="1"/>
  <c r="DQ57" i="1" s="1"/>
  <c r="DR57" i="1" s="1"/>
  <c r="DS57" i="1" s="1"/>
  <c r="DT57" i="1" s="1"/>
  <c r="DU57" i="1" s="1"/>
  <c r="DV57" i="1" s="1"/>
  <c r="DW57" i="1" s="1"/>
  <c r="DX57" i="1" s="1"/>
  <c r="DY57" i="1" s="1"/>
  <c r="DZ57" i="1" s="1"/>
  <c r="EA57" i="1" s="1"/>
  <c r="EB57" i="1" s="1"/>
  <c r="EC57" i="1" s="1"/>
  <c r="ED57" i="1" s="1"/>
  <c r="EE57" i="1" s="1"/>
  <c r="EF57" i="1" s="1"/>
  <c r="EG57" i="1" s="1"/>
  <c r="EH57" i="1" s="1"/>
  <c r="EI57" i="1" s="1"/>
  <c r="EJ57" i="1" s="1"/>
  <c r="EK57" i="1" s="1"/>
  <c r="EL57" i="1" s="1"/>
  <c r="EM57" i="1" s="1"/>
  <c r="EN57" i="1" s="1"/>
  <c r="EO57" i="1" s="1"/>
  <c r="EP57" i="1" s="1"/>
  <c r="EQ57" i="1" s="1"/>
  <c r="ER57" i="1" s="1"/>
  <c r="ES57" i="1" s="1"/>
  <c r="ET57" i="1" s="1"/>
  <c r="EU57" i="1" s="1"/>
  <c r="EV57" i="1" s="1"/>
  <c r="EW57" i="1" s="1"/>
  <c r="EX57" i="1" s="1"/>
  <c r="EY57" i="1" s="1"/>
  <c r="EZ57" i="1" s="1"/>
  <c r="FA57" i="1" s="1"/>
  <c r="FB57" i="1" s="1"/>
  <c r="FC57" i="1" s="1"/>
  <c r="FD57" i="1" s="1"/>
  <c r="FE57" i="1" s="1"/>
  <c r="FF57" i="1" s="1"/>
  <c r="FG57" i="1" s="1"/>
  <c r="FH57" i="1" s="1"/>
  <c r="FI57" i="1" s="1"/>
  <c r="FJ57" i="1" s="1"/>
  <c r="FK57" i="1" s="1"/>
  <c r="FL57" i="1" s="1"/>
  <c r="FM57" i="1" s="1"/>
  <c r="FN57" i="1" s="1"/>
  <c r="FO57" i="1" s="1"/>
  <c r="FP57" i="1" s="1"/>
  <c r="FQ57" i="1" s="1"/>
  <c r="FR57" i="1" s="1"/>
  <c r="FS57" i="1" s="1"/>
  <c r="FT57" i="1" s="1"/>
  <c r="FU57" i="1" s="1"/>
  <c r="FV57" i="1" s="1"/>
  <c r="FW57" i="1" s="1"/>
  <c r="FX57" i="1" s="1"/>
  <c r="FY57" i="1" s="1"/>
  <c r="FZ57" i="1" s="1"/>
  <c r="GA57" i="1" s="1"/>
  <c r="GB57" i="1" s="1"/>
  <c r="GC57" i="1" s="1"/>
  <c r="GD57" i="1" s="1"/>
  <c r="GE57" i="1" s="1"/>
  <c r="GF57" i="1" s="1"/>
  <c r="GG57" i="1" s="1"/>
  <c r="GH57" i="1" s="1"/>
  <c r="GI57" i="1" s="1"/>
  <c r="GJ57" i="1" s="1"/>
  <c r="GK57" i="1" s="1"/>
  <c r="GL57" i="1" s="1"/>
  <c r="GM57" i="1" s="1"/>
  <c r="GN57" i="1" s="1"/>
  <c r="GO57" i="1" s="1"/>
  <c r="GP57" i="1" s="1"/>
  <c r="GQ57" i="1" s="1"/>
  <c r="GR57" i="1" s="1"/>
  <c r="GS57" i="1" s="1"/>
  <c r="GT57" i="1" s="1"/>
  <c r="GU57" i="1" s="1"/>
  <c r="GV57" i="1" s="1"/>
  <c r="GW57" i="1" s="1"/>
  <c r="GX57" i="1" s="1"/>
  <c r="GY57" i="1" s="1"/>
  <c r="GZ57" i="1" s="1"/>
  <c r="HA57" i="1" s="1"/>
  <c r="HB57" i="1" s="1"/>
  <c r="HC57" i="1" s="1"/>
  <c r="W52" i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F52" i="1" s="1"/>
  <c r="CG52" i="1" s="1"/>
  <c r="CH52" i="1" s="1"/>
  <c r="CI52" i="1" s="1"/>
  <c r="CJ52" i="1" s="1"/>
  <c r="CK52" i="1" s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DC52" i="1" s="1"/>
  <c r="DD52" i="1" s="1"/>
  <c r="DE52" i="1" s="1"/>
  <c r="DF52" i="1" s="1"/>
  <c r="DG52" i="1" s="1"/>
  <c r="DH52" i="1" s="1"/>
  <c r="DI52" i="1" s="1"/>
  <c r="DJ52" i="1" s="1"/>
  <c r="DK52" i="1" s="1"/>
  <c r="DL52" i="1" s="1"/>
  <c r="DM52" i="1" s="1"/>
  <c r="DN52" i="1" s="1"/>
  <c r="DO52" i="1" s="1"/>
  <c r="DP52" i="1" s="1"/>
  <c r="DQ52" i="1" s="1"/>
  <c r="DR52" i="1" s="1"/>
  <c r="DS52" i="1" s="1"/>
  <c r="DT52" i="1" s="1"/>
  <c r="DU52" i="1" s="1"/>
  <c r="DV52" i="1" s="1"/>
  <c r="DW52" i="1" s="1"/>
  <c r="DX52" i="1" s="1"/>
  <c r="DY52" i="1" s="1"/>
  <c r="DZ52" i="1" s="1"/>
  <c r="EA52" i="1" s="1"/>
  <c r="EB52" i="1" s="1"/>
  <c r="EC52" i="1" s="1"/>
  <c r="ED52" i="1" s="1"/>
  <c r="EE52" i="1" s="1"/>
  <c r="EF52" i="1" s="1"/>
  <c r="EG52" i="1" s="1"/>
  <c r="EH52" i="1" s="1"/>
  <c r="EI52" i="1" s="1"/>
  <c r="EJ52" i="1" s="1"/>
  <c r="EK52" i="1" s="1"/>
  <c r="EL52" i="1" s="1"/>
  <c r="EM52" i="1" s="1"/>
  <c r="EN52" i="1" s="1"/>
  <c r="EO52" i="1" s="1"/>
  <c r="EP52" i="1" s="1"/>
  <c r="EQ52" i="1" s="1"/>
  <c r="ER52" i="1" s="1"/>
  <c r="ES52" i="1" s="1"/>
  <c r="ET52" i="1" s="1"/>
  <c r="EU52" i="1" s="1"/>
  <c r="EV52" i="1" s="1"/>
  <c r="EW52" i="1" s="1"/>
  <c r="EX52" i="1" s="1"/>
  <c r="EY52" i="1" s="1"/>
  <c r="EZ52" i="1" s="1"/>
  <c r="FA52" i="1" s="1"/>
  <c r="FB52" i="1" s="1"/>
  <c r="FC52" i="1" s="1"/>
  <c r="FD52" i="1" s="1"/>
  <c r="FE52" i="1" s="1"/>
  <c r="FF52" i="1" s="1"/>
  <c r="FG52" i="1" s="1"/>
  <c r="FH52" i="1" s="1"/>
  <c r="FI52" i="1" s="1"/>
  <c r="FJ52" i="1" s="1"/>
  <c r="FK52" i="1" s="1"/>
  <c r="FL52" i="1" s="1"/>
  <c r="FM52" i="1" s="1"/>
  <c r="FN52" i="1" s="1"/>
  <c r="FO52" i="1" s="1"/>
  <c r="FP52" i="1" s="1"/>
  <c r="FQ52" i="1" s="1"/>
  <c r="FR52" i="1" s="1"/>
  <c r="FS52" i="1" s="1"/>
  <c r="FT52" i="1" s="1"/>
  <c r="FU52" i="1" s="1"/>
  <c r="FV52" i="1" s="1"/>
  <c r="FW52" i="1" s="1"/>
  <c r="FX52" i="1" s="1"/>
  <c r="FY52" i="1" s="1"/>
  <c r="FZ52" i="1" s="1"/>
  <c r="GA52" i="1" s="1"/>
  <c r="GB52" i="1" s="1"/>
  <c r="GC52" i="1" s="1"/>
  <c r="GD52" i="1" s="1"/>
  <c r="GE52" i="1" s="1"/>
  <c r="GF52" i="1" s="1"/>
  <c r="GG52" i="1" s="1"/>
  <c r="GH52" i="1" s="1"/>
  <c r="GI52" i="1" s="1"/>
  <c r="GJ52" i="1" s="1"/>
  <c r="GK52" i="1" s="1"/>
  <c r="GL52" i="1" s="1"/>
  <c r="GM52" i="1" s="1"/>
  <c r="GN52" i="1" s="1"/>
  <c r="GO52" i="1" s="1"/>
  <c r="GP52" i="1" s="1"/>
  <c r="GQ52" i="1" s="1"/>
  <c r="GR52" i="1" s="1"/>
  <c r="GS52" i="1" s="1"/>
  <c r="GT52" i="1" s="1"/>
  <c r="GU52" i="1" s="1"/>
  <c r="GV52" i="1" s="1"/>
  <c r="GW52" i="1" s="1"/>
  <c r="GX52" i="1" s="1"/>
  <c r="GY52" i="1" s="1"/>
  <c r="GZ52" i="1" s="1"/>
  <c r="HA52" i="1" s="1"/>
  <c r="HB52" i="1" s="1"/>
  <c r="HC52" i="1" s="1"/>
  <c r="W44" i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T44" i="1" s="1"/>
  <c r="CU44" i="1" s="1"/>
  <c r="CV44" i="1" s="1"/>
  <c r="CW44" i="1" s="1"/>
  <c r="CX44" i="1" s="1"/>
  <c r="CY44" i="1" s="1"/>
  <c r="CZ44" i="1" s="1"/>
  <c r="DA44" i="1" s="1"/>
  <c r="DB44" i="1" s="1"/>
  <c r="DC44" i="1" s="1"/>
  <c r="DD44" i="1" s="1"/>
  <c r="DE44" i="1" s="1"/>
  <c r="DF44" i="1" s="1"/>
  <c r="DG44" i="1" s="1"/>
  <c r="DH44" i="1" s="1"/>
  <c r="DI44" i="1" s="1"/>
  <c r="DJ44" i="1" s="1"/>
  <c r="DK44" i="1" s="1"/>
  <c r="DL44" i="1" s="1"/>
  <c r="DM44" i="1" s="1"/>
  <c r="DN44" i="1" s="1"/>
  <c r="DO44" i="1" s="1"/>
  <c r="DP44" i="1" s="1"/>
  <c r="DQ44" i="1" s="1"/>
  <c r="DR44" i="1" s="1"/>
  <c r="DS44" i="1" s="1"/>
  <c r="DT44" i="1" s="1"/>
  <c r="DU44" i="1" s="1"/>
  <c r="DV44" i="1" s="1"/>
  <c r="DW44" i="1" s="1"/>
  <c r="DX44" i="1" s="1"/>
  <c r="DY44" i="1" s="1"/>
  <c r="DZ44" i="1" s="1"/>
  <c r="EA44" i="1" s="1"/>
  <c r="EB44" i="1" s="1"/>
  <c r="EC44" i="1" s="1"/>
  <c r="ED44" i="1" s="1"/>
  <c r="EE44" i="1" s="1"/>
  <c r="EF44" i="1" s="1"/>
  <c r="EG44" i="1" s="1"/>
  <c r="EH44" i="1" s="1"/>
  <c r="EI44" i="1" s="1"/>
  <c r="EJ44" i="1" s="1"/>
  <c r="EK44" i="1" s="1"/>
  <c r="EL44" i="1" s="1"/>
  <c r="EM44" i="1" s="1"/>
  <c r="EN44" i="1" s="1"/>
  <c r="EO44" i="1" s="1"/>
  <c r="EP44" i="1" s="1"/>
  <c r="EQ44" i="1" s="1"/>
  <c r="ER44" i="1" s="1"/>
  <c r="ES44" i="1" s="1"/>
  <c r="ET44" i="1" s="1"/>
  <c r="EU44" i="1" s="1"/>
  <c r="EV44" i="1" s="1"/>
  <c r="EW44" i="1" s="1"/>
  <c r="EX44" i="1" s="1"/>
  <c r="EY44" i="1" s="1"/>
  <c r="EZ44" i="1" s="1"/>
  <c r="FA44" i="1" s="1"/>
  <c r="FB44" i="1" s="1"/>
  <c r="FC44" i="1" s="1"/>
  <c r="FD44" i="1" s="1"/>
  <c r="FE44" i="1" s="1"/>
  <c r="FF44" i="1" s="1"/>
  <c r="FG44" i="1" s="1"/>
  <c r="FH44" i="1" s="1"/>
  <c r="FI44" i="1" s="1"/>
  <c r="FJ44" i="1" s="1"/>
  <c r="FK44" i="1" s="1"/>
  <c r="FL44" i="1" s="1"/>
  <c r="FM44" i="1" s="1"/>
  <c r="FN44" i="1" s="1"/>
  <c r="FO44" i="1" s="1"/>
  <c r="FP44" i="1" s="1"/>
  <c r="FQ44" i="1" s="1"/>
  <c r="FR44" i="1" s="1"/>
  <c r="FS44" i="1" s="1"/>
  <c r="FT44" i="1" s="1"/>
  <c r="FU44" i="1" s="1"/>
  <c r="FV44" i="1" s="1"/>
  <c r="FW44" i="1" s="1"/>
  <c r="FX44" i="1" s="1"/>
  <c r="FY44" i="1" s="1"/>
  <c r="FZ44" i="1" s="1"/>
  <c r="GA44" i="1" s="1"/>
  <c r="GB44" i="1" s="1"/>
  <c r="GC44" i="1" s="1"/>
  <c r="GD44" i="1" s="1"/>
  <c r="GE44" i="1" s="1"/>
  <c r="GF44" i="1" s="1"/>
  <c r="GG44" i="1" s="1"/>
  <c r="GH44" i="1" s="1"/>
  <c r="GI44" i="1" s="1"/>
  <c r="GJ44" i="1" s="1"/>
  <c r="GK44" i="1" s="1"/>
  <c r="GL44" i="1" s="1"/>
  <c r="GM44" i="1" s="1"/>
  <c r="GN44" i="1" s="1"/>
  <c r="GO44" i="1" s="1"/>
  <c r="GP44" i="1" s="1"/>
  <c r="GQ44" i="1" s="1"/>
  <c r="GR44" i="1" s="1"/>
  <c r="GS44" i="1" s="1"/>
  <c r="GT44" i="1" s="1"/>
  <c r="GU44" i="1" s="1"/>
  <c r="GV44" i="1" s="1"/>
  <c r="GW44" i="1" s="1"/>
  <c r="GX44" i="1" s="1"/>
  <c r="GY44" i="1" s="1"/>
  <c r="GZ44" i="1" s="1"/>
  <c r="HA44" i="1" s="1"/>
  <c r="HB44" i="1" s="1"/>
  <c r="HC44" i="1" s="1"/>
  <c r="W39" i="1"/>
  <c r="W31" i="1"/>
  <c r="W26" i="1"/>
  <c r="W18" i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CU18" i="1" s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EG18" i="1" s="1"/>
  <c r="EH18" i="1" s="1"/>
  <c r="EI18" i="1" s="1"/>
  <c r="EJ18" i="1" s="1"/>
  <c r="EK18" i="1" s="1"/>
  <c r="EL18" i="1" s="1"/>
  <c r="EM18" i="1" s="1"/>
  <c r="EN18" i="1" s="1"/>
  <c r="EO18" i="1" s="1"/>
  <c r="EP18" i="1" s="1"/>
  <c r="EQ18" i="1" s="1"/>
  <c r="ER18" i="1" s="1"/>
  <c r="ES18" i="1" s="1"/>
  <c r="ET18" i="1" s="1"/>
  <c r="EU18" i="1" s="1"/>
  <c r="EV18" i="1" s="1"/>
  <c r="EW18" i="1" s="1"/>
  <c r="EX18" i="1" s="1"/>
  <c r="EY18" i="1" s="1"/>
  <c r="EZ18" i="1" s="1"/>
  <c r="FA18" i="1" s="1"/>
  <c r="FB18" i="1" s="1"/>
  <c r="FC18" i="1" s="1"/>
  <c r="FD18" i="1" s="1"/>
  <c r="FE18" i="1" s="1"/>
  <c r="FF18" i="1" s="1"/>
  <c r="FG18" i="1" s="1"/>
  <c r="FH18" i="1" s="1"/>
  <c r="FI18" i="1" s="1"/>
  <c r="FJ18" i="1" s="1"/>
  <c r="FK18" i="1" s="1"/>
  <c r="FL18" i="1" s="1"/>
  <c r="FM18" i="1" s="1"/>
  <c r="FN18" i="1" s="1"/>
  <c r="FO18" i="1" s="1"/>
  <c r="FP18" i="1" s="1"/>
  <c r="FQ18" i="1" s="1"/>
  <c r="FR18" i="1" s="1"/>
  <c r="FS18" i="1" s="1"/>
  <c r="FT18" i="1" s="1"/>
  <c r="FU18" i="1" s="1"/>
  <c r="FV18" i="1" s="1"/>
  <c r="FW18" i="1" s="1"/>
  <c r="FX18" i="1" s="1"/>
  <c r="FY18" i="1" s="1"/>
  <c r="FZ18" i="1" s="1"/>
  <c r="GA18" i="1" s="1"/>
  <c r="GB18" i="1" s="1"/>
  <c r="GC18" i="1" s="1"/>
  <c r="GD18" i="1" s="1"/>
  <c r="GE18" i="1" s="1"/>
  <c r="GF18" i="1" s="1"/>
  <c r="GG18" i="1" s="1"/>
  <c r="GH18" i="1" s="1"/>
  <c r="GI18" i="1" s="1"/>
  <c r="GJ18" i="1" s="1"/>
  <c r="GK18" i="1" s="1"/>
  <c r="GL18" i="1" s="1"/>
  <c r="GM18" i="1" s="1"/>
  <c r="GN18" i="1" s="1"/>
  <c r="GO18" i="1" s="1"/>
  <c r="GP18" i="1" s="1"/>
  <c r="GQ18" i="1" s="1"/>
  <c r="GR18" i="1" s="1"/>
  <c r="GS18" i="1" s="1"/>
  <c r="GT18" i="1" s="1"/>
  <c r="GU18" i="1" s="1"/>
  <c r="GV18" i="1" s="1"/>
  <c r="GW18" i="1" s="1"/>
  <c r="GX18" i="1" s="1"/>
  <c r="GY18" i="1" s="1"/>
  <c r="GZ18" i="1" s="1"/>
  <c r="HA18" i="1" s="1"/>
  <c r="HB18" i="1" s="1"/>
  <c r="HC18" i="1" s="1"/>
  <c r="X13" i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GO13" i="1" s="1"/>
  <c r="GP13" i="1" s="1"/>
  <c r="GQ13" i="1" s="1"/>
  <c r="GR13" i="1" s="1"/>
  <c r="GS13" i="1" s="1"/>
  <c r="GT13" i="1" s="1"/>
  <c r="GU13" i="1" s="1"/>
  <c r="GV13" i="1" s="1"/>
  <c r="GW13" i="1" s="1"/>
  <c r="GX13" i="1" s="1"/>
  <c r="GY13" i="1" s="1"/>
  <c r="GZ13" i="1" s="1"/>
  <c r="HA13" i="1" s="1"/>
  <c r="HB13" i="1" s="1"/>
  <c r="HC13" i="1" s="1"/>
  <c r="JG3" i="1"/>
  <c r="JF13" i="1"/>
  <c r="JF16" i="1"/>
  <c r="JF24" i="1"/>
  <c r="JF26" i="1"/>
  <c r="JF31" i="1"/>
  <c r="JF11" i="1"/>
  <c r="JF18" i="1"/>
  <c r="JF29" i="1"/>
  <c r="JF37" i="1"/>
  <c r="JF42" i="1"/>
  <c r="JF50" i="1"/>
  <c r="JF55" i="1"/>
  <c r="JF39" i="1"/>
  <c r="JF44" i="1"/>
  <c r="JF52" i="1"/>
  <c r="JF57" i="1"/>
  <c r="JF63" i="1"/>
  <c r="JF83" i="1"/>
  <c r="JF78" i="1"/>
  <c r="JF70" i="1"/>
  <c r="JF65" i="1"/>
  <c r="JF81" i="1"/>
  <c r="JF76" i="1"/>
  <c r="JF68" i="1"/>
  <c r="X39" i="1" l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CF39" i="1" s="1"/>
  <c r="CG39" i="1" s="1"/>
  <c r="CH39" i="1" s="1"/>
  <c r="CI39" i="1" s="1"/>
  <c r="CJ39" i="1" s="1"/>
  <c r="CK39" i="1" s="1"/>
  <c r="CL39" i="1" s="1"/>
  <c r="CM39" i="1" s="1"/>
  <c r="CN39" i="1" s="1"/>
  <c r="CO39" i="1" s="1"/>
  <c r="CP39" i="1" s="1"/>
  <c r="CQ39" i="1" s="1"/>
  <c r="CR39" i="1" s="1"/>
  <c r="CS39" i="1" s="1"/>
  <c r="CT39" i="1" s="1"/>
  <c r="CU39" i="1" s="1"/>
  <c r="CV39" i="1" s="1"/>
  <c r="CW39" i="1" s="1"/>
  <c r="CX39" i="1" s="1"/>
  <c r="CY39" i="1" s="1"/>
  <c r="CZ39" i="1" s="1"/>
  <c r="DA39" i="1" s="1"/>
  <c r="DB39" i="1" s="1"/>
  <c r="DC39" i="1" s="1"/>
  <c r="DD39" i="1" s="1"/>
  <c r="DE39" i="1" s="1"/>
  <c r="DF39" i="1" s="1"/>
  <c r="DG39" i="1" s="1"/>
  <c r="DH39" i="1" s="1"/>
  <c r="DI39" i="1" s="1"/>
  <c r="DJ39" i="1" s="1"/>
  <c r="DK39" i="1" s="1"/>
  <c r="DL39" i="1" s="1"/>
  <c r="DM39" i="1" s="1"/>
  <c r="DN39" i="1" s="1"/>
  <c r="DO39" i="1" s="1"/>
  <c r="DP39" i="1" s="1"/>
  <c r="DQ39" i="1" s="1"/>
  <c r="DR39" i="1" s="1"/>
  <c r="DS39" i="1" s="1"/>
  <c r="DT39" i="1" s="1"/>
  <c r="DU39" i="1" s="1"/>
  <c r="DV39" i="1" s="1"/>
  <c r="DW39" i="1" s="1"/>
  <c r="DX39" i="1" s="1"/>
  <c r="DY39" i="1" s="1"/>
  <c r="DZ39" i="1" s="1"/>
  <c r="EA39" i="1" s="1"/>
  <c r="EB39" i="1" s="1"/>
  <c r="EC39" i="1" s="1"/>
  <c r="ED39" i="1" s="1"/>
  <c r="EE39" i="1" s="1"/>
  <c r="EF39" i="1" s="1"/>
  <c r="EG39" i="1" s="1"/>
  <c r="EH39" i="1" s="1"/>
  <c r="EI39" i="1" s="1"/>
  <c r="EJ39" i="1" s="1"/>
  <c r="EK39" i="1" s="1"/>
  <c r="EL39" i="1" s="1"/>
  <c r="EM39" i="1" s="1"/>
  <c r="EN39" i="1" s="1"/>
  <c r="EO39" i="1" s="1"/>
  <c r="EP39" i="1" s="1"/>
  <c r="EQ39" i="1" s="1"/>
  <c r="ER39" i="1" s="1"/>
  <c r="ES39" i="1" s="1"/>
  <c r="ET39" i="1" s="1"/>
  <c r="EU39" i="1" s="1"/>
  <c r="EV39" i="1" s="1"/>
  <c r="EW39" i="1" s="1"/>
  <c r="EX39" i="1" s="1"/>
  <c r="EY39" i="1" s="1"/>
  <c r="EZ39" i="1" s="1"/>
  <c r="FA39" i="1" s="1"/>
  <c r="FB39" i="1" s="1"/>
  <c r="FC39" i="1" s="1"/>
  <c r="FD39" i="1" s="1"/>
  <c r="FE39" i="1" s="1"/>
  <c r="FF39" i="1" s="1"/>
  <c r="FG39" i="1" s="1"/>
  <c r="FH39" i="1" s="1"/>
  <c r="FI39" i="1" s="1"/>
  <c r="FJ39" i="1" s="1"/>
  <c r="FK39" i="1" s="1"/>
  <c r="FL39" i="1" s="1"/>
  <c r="FM39" i="1" s="1"/>
  <c r="FN39" i="1" s="1"/>
  <c r="FO39" i="1" s="1"/>
  <c r="FP39" i="1" s="1"/>
  <c r="FQ39" i="1" s="1"/>
  <c r="FR39" i="1" s="1"/>
  <c r="FS39" i="1" s="1"/>
  <c r="FT39" i="1" s="1"/>
  <c r="FU39" i="1" s="1"/>
  <c r="FV39" i="1" s="1"/>
  <c r="FW39" i="1" s="1"/>
  <c r="FX39" i="1" s="1"/>
  <c r="FY39" i="1" s="1"/>
  <c r="FZ39" i="1" s="1"/>
  <c r="GA39" i="1" s="1"/>
  <c r="GB39" i="1" s="1"/>
  <c r="GC39" i="1" s="1"/>
  <c r="GD39" i="1" s="1"/>
  <c r="GE39" i="1" s="1"/>
  <c r="GF39" i="1" s="1"/>
  <c r="GG39" i="1" s="1"/>
  <c r="GH39" i="1" s="1"/>
  <c r="GI39" i="1" s="1"/>
  <c r="GJ39" i="1" s="1"/>
  <c r="GK39" i="1" s="1"/>
  <c r="GL39" i="1" s="1"/>
  <c r="GM39" i="1" s="1"/>
  <c r="GN39" i="1" s="1"/>
  <c r="GO39" i="1" s="1"/>
  <c r="GP39" i="1" s="1"/>
  <c r="GQ39" i="1" s="1"/>
  <c r="GR39" i="1" s="1"/>
  <c r="GS39" i="1" s="1"/>
  <c r="GT39" i="1" s="1"/>
  <c r="GU39" i="1" s="1"/>
  <c r="GV39" i="1" s="1"/>
  <c r="GW39" i="1" s="1"/>
  <c r="GX39" i="1" s="1"/>
  <c r="GY39" i="1" s="1"/>
  <c r="GZ39" i="1" s="1"/>
  <c r="HA39" i="1" s="1"/>
  <c r="HB39" i="1" s="1"/>
  <c r="HC39" i="1" s="1"/>
  <c r="KC36" i="1"/>
  <c r="X31" i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CV31" i="1" s="1"/>
  <c r="CW31" i="1" s="1"/>
  <c r="CX31" i="1" s="1"/>
  <c r="CY31" i="1" s="1"/>
  <c r="CZ31" i="1" s="1"/>
  <c r="DA31" i="1" s="1"/>
  <c r="DB31" i="1" s="1"/>
  <c r="DC31" i="1" s="1"/>
  <c r="DD31" i="1" s="1"/>
  <c r="DE31" i="1" s="1"/>
  <c r="DF31" i="1" s="1"/>
  <c r="DG31" i="1" s="1"/>
  <c r="DH31" i="1" s="1"/>
  <c r="DI31" i="1" s="1"/>
  <c r="DJ31" i="1" s="1"/>
  <c r="DK31" i="1" s="1"/>
  <c r="DL31" i="1" s="1"/>
  <c r="DM31" i="1" s="1"/>
  <c r="DN31" i="1" s="1"/>
  <c r="DO31" i="1" s="1"/>
  <c r="DP31" i="1" s="1"/>
  <c r="DQ31" i="1" s="1"/>
  <c r="DR31" i="1" s="1"/>
  <c r="DS31" i="1" s="1"/>
  <c r="DT31" i="1" s="1"/>
  <c r="DU31" i="1" s="1"/>
  <c r="DV31" i="1" s="1"/>
  <c r="DW31" i="1" s="1"/>
  <c r="DX31" i="1" s="1"/>
  <c r="DY31" i="1" s="1"/>
  <c r="DZ31" i="1" s="1"/>
  <c r="EA31" i="1" s="1"/>
  <c r="EB31" i="1" s="1"/>
  <c r="EC31" i="1" s="1"/>
  <c r="ED31" i="1" s="1"/>
  <c r="EE31" i="1" s="1"/>
  <c r="EF31" i="1" s="1"/>
  <c r="EG31" i="1" s="1"/>
  <c r="EH31" i="1" s="1"/>
  <c r="EI31" i="1" s="1"/>
  <c r="EJ31" i="1" s="1"/>
  <c r="EK31" i="1" s="1"/>
  <c r="EL31" i="1" s="1"/>
  <c r="EM31" i="1" s="1"/>
  <c r="EN31" i="1" s="1"/>
  <c r="EO31" i="1" s="1"/>
  <c r="EP31" i="1" s="1"/>
  <c r="EQ31" i="1" s="1"/>
  <c r="ER31" i="1" s="1"/>
  <c r="ES31" i="1" s="1"/>
  <c r="ET31" i="1" s="1"/>
  <c r="EU31" i="1" s="1"/>
  <c r="EV31" i="1" s="1"/>
  <c r="EW31" i="1" s="1"/>
  <c r="EX31" i="1" s="1"/>
  <c r="EY31" i="1" s="1"/>
  <c r="EZ31" i="1" s="1"/>
  <c r="FA31" i="1" s="1"/>
  <c r="FB31" i="1" s="1"/>
  <c r="FC31" i="1" s="1"/>
  <c r="FD31" i="1" s="1"/>
  <c r="FE31" i="1" s="1"/>
  <c r="FF31" i="1" s="1"/>
  <c r="FG31" i="1" s="1"/>
  <c r="FH31" i="1" s="1"/>
  <c r="FI31" i="1" s="1"/>
  <c r="FJ31" i="1" s="1"/>
  <c r="FK31" i="1" s="1"/>
  <c r="FL31" i="1" s="1"/>
  <c r="FM31" i="1" s="1"/>
  <c r="FN31" i="1" s="1"/>
  <c r="FO31" i="1" s="1"/>
  <c r="FP31" i="1" s="1"/>
  <c r="FQ31" i="1" s="1"/>
  <c r="FR31" i="1" s="1"/>
  <c r="FS31" i="1" s="1"/>
  <c r="FT31" i="1" s="1"/>
  <c r="FU31" i="1" s="1"/>
  <c r="FV31" i="1" s="1"/>
  <c r="FW31" i="1" s="1"/>
  <c r="FX31" i="1" s="1"/>
  <c r="FY31" i="1" s="1"/>
  <c r="FZ31" i="1" s="1"/>
  <c r="GA31" i="1" s="1"/>
  <c r="GB31" i="1" s="1"/>
  <c r="GC31" i="1" s="1"/>
  <c r="GD31" i="1" s="1"/>
  <c r="GE31" i="1" s="1"/>
  <c r="GF31" i="1" s="1"/>
  <c r="GG31" i="1" s="1"/>
  <c r="GH31" i="1" s="1"/>
  <c r="GI31" i="1" s="1"/>
  <c r="GJ31" i="1" s="1"/>
  <c r="GK31" i="1" s="1"/>
  <c r="GL31" i="1" s="1"/>
  <c r="GM31" i="1" s="1"/>
  <c r="GN31" i="1" s="1"/>
  <c r="GO31" i="1" s="1"/>
  <c r="GP31" i="1" s="1"/>
  <c r="GQ31" i="1" s="1"/>
  <c r="GR31" i="1" s="1"/>
  <c r="GS31" i="1" s="1"/>
  <c r="GT31" i="1" s="1"/>
  <c r="GU31" i="1" s="1"/>
  <c r="GV31" i="1" s="1"/>
  <c r="GW31" i="1" s="1"/>
  <c r="GX31" i="1" s="1"/>
  <c r="GY31" i="1" s="1"/>
  <c r="GZ31" i="1" s="1"/>
  <c r="HA31" i="1" s="1"/>
  <c r="HB31" i="1" s="1"/>
  <c r="HC31" i="1" s="1"/>
  <c r="KC28" i="1"/>
  <c r="X26" i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CV26" i="1" s="1"/>
  <c r="CW26" i="1" s="1"/>
  <c r="CX26" i="1" s="1"/>
  <c r="CY26" i="1" s="1"/>
  <c r="CZ26" i="1" s="1"/>
  <c r="DA26" i="1" s="1"/>
  <c r="DB26" i="1" s="1"/>
  <c r="DC26" i="1" s="1"/>
  <c r="DD26" i="1" s="1"/>
  <c r="DE26" i="1" s="1"/>
  <c r="DF26" i="1" s="1"/>
  <c r="DG26" i="1" s="1"/>
  <c r="DH26" i="1" s="1"/>
  <c r="DI26" i="1" s="1"/>
  <c r="DJ26" i="1" s="1"/>
  <c r="DK26" i="1" s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DV26" i="1" s="1"/>
  <c r="DW26" i="1" s="1"/>
  <c r="DX26" i="1" s="1"/>
  <c r="DY26" i="1" s="1"/>
  <c r="DZ26" i="1" s="1"/>
  <c r="EA26" i="1" s="1"/>
  <c r="EB26" i="1" s="1"/>
  <c r="EC26" i="1" s="1"/>
  <c r="KC23" i="1"/>
  <c r="F10" i="1"/>
  <c r="JH3" i="1"/>
  <c r="JG13" i="1"/>
  <c r="JG16" i="1"/>
  <c r="JG24" i="1"/>
  <c r="JG26" i="1"/>
  <c r="JG11" i="1"/>
  <c r="JG18" i="1"/>
  <c r="JG29" i="1"/>
  <c r="JG31" i="1"/>
  <c r="JG37" i="1"/>
  <c r="JG39" i="1"/>
  <c r="JG44" i="1"/>
  <c r="JG52" i="1"/>
  <c r="JG57" i="1"/>
  <c r="JG42" i="1"/>
  <c r="JG50" i="1"/>
  <c r="JG55" i="1"/>
  <c r="JG65" i="1"/>
  <c r="JG70" i="1"/>
  <c r="JG78" i="1"/>
  <c r="JG63" i="1"/>
  <c r="JG68" i="1"/>
  <c r="JG76" i="1"/>
  <c r="JG81" i="1"/>
  <c r="JG83" i="1"/>
  <c r="KF36" i="1" l="1"/>
  <c r="KJ36" i="1" s="1"/>
  <c r="KG36" i="1"/>
  <c r="KG28" i="1"/>
  <c r="KF28" i="1"/>
  <c r="KJ28" i="1" s="1"/>
  <c r="ED26" i="1"/>
  <c r="EE26" i="1" s="1"/>
  <c r="EF26" i="1" s="1"/>
  <c r="EG26" i="1" s="1"/>
  <c r="EH26" i="1" s="1"/>
  <c r="EI26" i="1" s="1"/>
  <c r="EJ26" i="1" s="1"/>
  <c r="EK26" i="1" s="1"/>
  <c r="EL26" i="1" s="1"/>
  <c r="EM26" i="1" s="1"/>
  <c r="EN26" i="1" s="1"/>
  <c r="EO26" i="1" s="1"/>
  <c r="EP26" i="1" s="1"/>
  <c r="EQ26" i="1" s="1"/>
  <c r="ER26" i="1" s="1"/>
  <c r="ES26" i="1" s="1"/>
  <c r="ET26" i="1" s="1"/>
  <c r="EU26" i="1" s="1"/>
  <c r="EV26" i="1" s="1"/>
  <c r="EW26" i="1" s="1"/>
  <c r="EX26" i="1" s="1"/>
  <c r="EY26" i="1" s="1"/>
  <c r="EZ26" i="1" s="1"/>
  <c r="FA26" i="1" s="1"/>
  <c r="FB26" i="1" s="1"/>
  <c r="FC26" i="1" s="1"/>
  <c r="FD26" i="1" s="1"/>
  <c r="FE26" i="1" s="1"/>
  <c r="FF26" i="1" s="1"/>
  <c r="FG26" i="1" s="1"/>
  <c r="FH26" i="1" s="1"/>
  <c r="FI26" i="1" s="1"/>
  <c r="FJ26" i="1" s="1"/>
  <c r="FK26" i="1" s="1"/>
  <c r="FL26" i="1" s="1"/>
  <c r="FM26" i="1" s="1"/>
  <c r="FN26" i="1" s="1"/>
  <c r="FO26" i="1" s="1"/>
  <c r="FP26" i="1" s="1"/>
  <c r="FQ26" i="1" s="1"/>
  <c r="FR26" i="1" s="1"/>
  <c r="FS26" i="1" s="1"/>
  <c r="FT26" i="1" s="1"/>
  <c r="FU26" i="1" s="1"/>
  <c r="FV26" i="1" s="1"/>
  <c r="FW26" i="1" s="1"/>
  <c r="FX26" i="1" s="1"/>
  <c r="FY26" i="1" s="1"/>
  <c r="FZ26" i="1" s="1"/>
  <c r="GA26" i="1" s="1"/>
  <c r="GB26" i="1" s="1"/>
  <c r="GC26" i="1" s="1"/>
  <c r="GD26" i="1" s="1"/>
  <c r="GE26" i="1" s="1"/>
  <c r="GF26" i="1" s="1"/>
  <c r="GG26" i="1" s="1"/>
  <c r="GH26" i="1" s="1"/>
  <c r="GI26" i="1" s="1"/>
  <c r="GJ26" i="1" s="1"/>
  <c r="GK26" i="1" s="1"/>
  <c r="GL26" i="1" s="1"/>
  <c r="GM26" i="1" s="1"/>
  <c r="GN26" i="1" s="1"/>
  <c r="GO26" i="1" s="1"/>
  <c r="GP26" i="1" s="1"/>
  <c r="GQ26" i="1" s="1"/>
  <c r="GR26" i="1" s="1"/>
  <c r="GS26" i="1" s="1"/>
  <c r="GT26" i="1" s="1"/>
  <c r="GU26" i="1" s="1"/>
  <c r="GV26" i="1" s="1"/>
  <c r="GW26" i="1" s="1"/>
  <c r="GX26" i="1" s="1"/>
  <c r="GY26" i="1" s="1"/>
  <c r="GZ26" i="1" s="1"/>
  <c r="HA26" i="1" s="1"/>
  <c r="HB26" i="1" s="1"/>
  <c r="HC26" i="1" s="1"/>
  <c r="KG23" i="1"/>
  <c r="KF23" i="1"/>
  <c r="KJ23" i="1" s="1"/>
  <c r="JI3" i="1"/>
  <c r="JH11" i="1"/>
  <c r="JH18" i="1"/>
  <c r="JH29" i="1"/>
  <c r="JH37" i="1"/>
  <c r="JH13" i="1"/>
  <c r="JH16" i="1"/>
  <c r="JH24" i="1"/>
  <c r="JH26" i="1"/>
  <c r="JH31" i="1"/>
  <c r="JH39" i="1"/>
  <c r="JH44" i="1"/>
  <c r="JH52" i="1"/>
  <c r="JH57" i="1"/>
  <c r="JH42" i="1"/>
  <c r="JH50" i="1"/>
  <c r="JH55" i="1"/>
  <c r="JH65" i="1"/>
  <c r="JH70" i="1"/>
  <c r="JH78" i="1"/>
  <c r="JH83" i="1"/>
  <c r="JH63" i="1"/>
  <c r="JH68" i="1"/>
  <c r="JH76" i="1"/>
  <c r="JH81" i="1"/>
  <c r="KK36" i="1" l="1"/>
  <c r="KL36" i="1" s="1"/>
  <c r="KC37" i="1"/>
  <c r="KH36" i="1"/>
  <c r="KK28" i="1"/>
  <c r="KL28" i="1" s="1"/>
  <c r="KH28" i="1"/>
  <c r="KC29" i="1"/>
  <c r="KK23" i="1"/>
  <c r="KL23" i="1" s="1"/>
  <c r="KC24" i="1"/>
  <c r="KH23" i="1"/>
  <c r="JJ3" i="1"/>
  <c r="JI11" i="1"/>
  <c r="JI13" i="1"/>
  <c r="JI18" i="1"/>
  <c r="JI16" i="1"/>
  <c r="JI24" i="1"/>
  <c r="JI26" i="1"/>
  <c r="JI31" i="1"/>
  <c r="JI29" i="1"/>
  <c r="JI42" i="1"/>
  <c r="JI50" i="1"/>
  <c r="JI55" i="1"/>
  <c r="JI37" i="1"/>
  <c r="JI39" i="1"/>
  <c r="JI44" i="1"/>
  <c r="JI52" i="1"/>
  <c r="JI57" i="1"/>
  <c r="JI63" i="1"/>
  <c r="JI68" i="1"/>
  <c r="JI76" i="1"/>
  <c r="JI81" i="1"/>
  <c r="JI83" i="1"/>
  <c r="JI65" i="1"/>
  <c r="JI70" i="1"/>
  <c r="JI78" i="1"/>
  <c r="KG37" i="1" l="1"/>
  <c r="KF37" i="1"/>
  <c r="KJ37" i="1" s="1"/>
  <c r="KF29" i="1"/>
  <c r="KG29" i="1"/>
  <c r="KF24" i="1"/>
  <c r="KG24" i="1"/>
  <c r="JJ16" i="1"/>
  <c r="JJ24" i="1"/>
  <c r="JJ26" i="1"/>
  <c r="JJ31" i="1"/>
  <c r="JJ11" i="1"/>
  <c r="JJ13" i="1"/>
  <c r="JJ18" i="1"/>
  <c r="JJ29" i="1"/>
  <c r="JJ37" i="1"/>
  <c r="JJ42" i="1"/>
  <c r="JJ50" i="1"/>
  <c r="JJ55" i="1"/>
  <c r="JJ39" i="1"/>
  <c r="JJ44" i="1"/>
  <c r="JJ52" i="1"/>
  <c r="JJ57" i="1"/>
  <c r="JJ63" i="1"/>
  <c r="JJ68" i="1"/>
  <c r="JJ76" i="1"/>
  <c r="JJ81" i="1"/>
  <c r="JK3" i="1"/>
  <c r="JJ65" i="1"/>
  <c r="JJ70" i="1"/>
  <c r="JJ78" i="1"/>
  <c r="JJ83" i="1"/>
  <c r="KC38" i="1" l="1"/>
  <c r="KH37" i="1"/>
  <c r="KK37" i="1"/>
  <c r="KL37" i="1" s="1"/>
  <c r="KC30" i="1"/>
  <c r="KK29" i="1"/>
  <c r="KL29" i="1" s="1"/>
  <c r="KH29" i="1"/>
  <c r="KJ29" i="1"/>
  <c r="KJ24" i="1"/>
  <c r="KK24" i="1"/>
  <c r="KL24" i="1" s="1"/>
  <c r="KH24" i="1"/>
  <c r="KC25" i="1"/>
  <c r="JL3" i="1"/>
  <c r="JK16" i="1"/>
  <c r="JK24" i="1"/>
  <c r="JK26" i="1"/>
  <c r="JK11" i="1"/>
  <c r="JK13" i="1"/>
  <c r="JK18" i="1"/>
  <c r="JK29" i="1"/>
  <c r="JK37" i="1"/>
  <c r="JK39" i="1"/>
  <c r="JK44" i="1"/>
  <c r="JK52" i="1"/>
  <c r="JK57" i="1"/>
  <c r="JK31" i="1"/>
  <c r="JK42" i="1"/>
  <c r="JK50" i="1"/>
  <c r="JK55" i="1"/>
  <c r="JK65" i="1"/>
  <c r="JK70" i="1"/>
  <c r="JK78" i="1"/>
  <c r="JK63" i="1"/>
  <c r="JK68" i="1"/>
  <c r="JK76" i="1"/>
  <c r="JK81" i="1"/>
  <c r="JK83" i="1"/>
  <c r="KF38" i="1" l="1"/>
  <c r="KG38" i="1"/>
  <c r="KF30" i="1"/>
  <c r="KG30" i="1"/>
  <c r="KG25" i="1"/>
  <c r="KF25" i="1"/>
  <c r="KJ25" i="1" s="1"/>
  <c r="JM3" i="1"/>
  <c r="JL11" i="1"/>
  <c r="JL13" i="1"/>
  <c r="JL18" i="1"/>
  <c r="JL29" i="1"/>
  <c r="JL37" i="1"/>
  <c r="JL16" i="1"/>
  <c r="JL24" i="1"/>
  <c r="JL26" i="1"/>
  <c r="JL31" i="1"/>
  <c r="JL39" i="1"/>
  <c r="JL44" i="1"/>
  <c r="JL52" i="1"/>
  <c r="JL57" i="1"/>
  <c r="JL42" i="1"/>
  <c r="JL50" i="1"/>
  <c r="JL55" i="1"/>
  <c r="JL65" i="1"/>
  <c r="JL70" i="1"/>
  <c r="JL78" i="1"/>
  <c r="JL83" i="1"/>
  <c r="JL63" i="1"/>
  <c r="JL68" i="1"/>
  <c r="JL76" i="1"/>
  <c r="JL81" i="1"/>
  <c r="KK38" i="1" l="1"/>
  <c r="KL38" i="1" s="1"/>
  <c r="KC39" i="1"/>
  <c r="KH38" i="1"/>
  <c r="KJ38" i="1"/>
  <c r="KJ30" i="1"/>
  <c r="KH30" i="1"/>
  <c r="KK30" i="1"/>
  <c r="KL30" i="1" s="1"/>
  <c r="KC31" i="1"/>
  <c r="KK25" i="1"/>
  <c r="KL25" i="1" s="1"/>
  <c r="KH25" i="1"/>
  <c r="KC26" i="1"/>
  <c r="JN3" i="1"/>
  <c r="JM11" i="1"/>
  <c r="JM13" i="1"/>
  <c r="JM18" i="1"/>
  <c r="JM16" i="1"/>
  <c r="JM24" i="1"/>
  <c r="JM26" i="1"/>
  <c r="JM31" i="1"/>
  <c r="JM42" i="1"/>
  <c r="JM50" i="1"/>
  <c r="JM55" i="1"/>
  <c r="JM29" i="1"/>
  <c r="JM37" i="1"/>
  <c r="JM39" i="1"/>
  <c r="JM44" i="1"/>
  <c r="JM52" i="1"/>
  <c r="JM57" i="1"/>
  <c r="JM63" i="1"/>
  <c r="JM68" i="1"/>
  <c r="JM76" i="1"/>
  <c r="JM81" i="1"/>
  <c r="JM83" i="1"/>
  <c r="JM65" i="1"/>
  <c r="JM70" i="1"/>
  <c r="JM78" i="1"/>
  <c r="KG39" i="1" l="1"/>
  <c r="KF39" i="1"/>
  <c r="KF31" i="1"/>
  <c r="KO28" i="1" s="1"/>
  <c r="KG31" i="1"/>
  <c r="KF26" i="1"/>
  <c r="KO23" i="1" s="1"/>
  <c r="KG26" i="1"/>
  <c r="JO3" i="1"/>
  <c r="JN16" i="1"/>
  <c r="JN24" i="1"/>
  <c r="JN26" i="1"/>
  <c r="JN31" i="1"/>
  <c r="JN11" i="1"/>
  <c r="JN13" i="1"/>
  <c r="JN18" i="1"/>
  <c r="JN29" i="1"/>
  <c r="JN37" i="1"/>
  <c r="JN42" i="1"/>
  <c r="JN50" i="1"/>
  <c r="JN55" i="1"/>
  <c r="JN39" i="1"/>
  <c r="JN44" i="1"/>
  <c r="JN52" i="1"/>
  <c r="JN57" i="1"/>
  <c r="JN63" i="1"/>
  <c r="JN68" i="1"/>
  <c r="JN76" i="1"/>
  <c r="JN81" i="1"/>
  <c r="JN65" i="1"/>
  <c r="JN70" i="1"/>
  <c r="JN78" i="1"/>
  <c r="JN83" i="1"/>
  <c r="KJ39" i="1" l="1"/>
  <c r="KO36" i="1"/>
  <c r="KH39" i="1"/>
  <c r="KK39" i="1"/>
  <c r="KL39" i="1" s="1"/>
  <c r="KS28" i="1"/>
  <c r="KR28" i="1"/>
  <c r="KJ31" i="1"/>
  <c r="KH31" i="1"/>
  <c r="KK31" i="1"/>
  <c r="KL31" i="1" s="1"/>
  <c r="KS23" i="1"/>
  <c r="KR23" i="1"/>
  <c r="KV23" i="1" s="1"/>
  <c r="KH26" i="1"/>
  <c r="KK26" i="1"/>
  <c r="KL26" i="1" s="1"/>
  <c r="KJ26" i="1"/>
  <c r="JP3" i="1"/>
  <c r="JO16" i="1"/>
  <c r="JO24" i="1"/>
  <c r="JO26" i="1"/>
  <c r="JO11" i="1"/>
  <c r="JO13" i="1"/>
  <c r="JO18" i="1"/>
  <c r="JO29" i="1"/>
  <c r="JO37" i="1"/>
  <c r="JO39" i="1"/>
  <c r="JO44" i="1"/>
  <c r="JO52" i="1"/>
  <c r="JO57" i="1"/>
  <c r="JO31" i="1"/>
  <c r="JO42" i="1"/>
  <c r="JO50" i="1"/>
  <c r="JO55" i="1"/>
  <c r="JO65" i="1"/>
  <c r="JO70" i="1"/>
  <c r="JO78" i="1"/>
  <c r="JO63" i="1"/>
  <c r="JO68" i="1"/>
  <c r="JO76" i="1"/>
  <c r="JO81" i="1"/>
  <c r="JO83" i="1"/>
  <c r="KS36" i="1" l="1"/>
  <c r="KR36" i="1"/>
  <c r="KV36" i="1" s="1"/>
  <c r="KV28" i="1"/>
  <c r="KO29" i="1"/>
  <c r="KW28" i="1"/>
  <c r="KX28" i="1" s="1"/>
  <c r="KT28" i="1"/>
  <c r="KO24" i="1"/>
  <c r="KW23" i="1"/>
  <c r="KX23" i="1" s="1"/>
  <c r="KT23" i="1"/>
  <c r="JP11" i="1"/>
  <c r="JP13" i="1"/>
  <c r="JP18" i="1"/>
  <c r="JP29" i="1"/>
  <c r="JP37" i="1"/>
  <c r="JP16" i="1"/>
  <c r="JP24" i="1"/>
  <c r="JP26" i="1"/>
  <c r="JP31" i="1"/>
  <c r="JP39" i="1"/>
  <c r="JP44" i="1"/>
  <c r="JP52" i="1"/>
  <c r="JP57" i="1"/>
  <c r="JP42" i="1"/>
  <c r="JP50" i="1"/>
  <c r="JP55" i="1"/>
  <c r="JP65" i="1"/>
  <c r="JP70" i="1"/>
  <c r="JP78" i="1"/>
  <c r="JP83" i="1"/>
  <c r="JP63" i="1"/>
  <c r="JP68" i="1"/>
  <c r="JP76" i="1"/>
  <c r="JP81" i="1"/>
  <c r="JQ3" i="1"/>
  <c r="KO37" i="1" l="1"/>
  <c r="KT36" i="1"/>
  <c r="KW36" i="1"/>
  <c r="KX36" i="1" s="1"/>
  <c r="KR29" i="1"/>
  <c r="KV29" i="1" s="1"/>
  <c r="KS29" i="1"/>
  <c r="KS24" i="1"/>
  <c r="KR24" i="1"/>
  <c r="KV24" i="1" s="1"/>
  <c r="JQ11" i="1"/>
  <c r="JQ13" i="1"/>
  <c r="JQ18" i="1"/>
  <c r="JQ16" i="1"/>
  <c r="JQ24" i="1"/>
  <c r="JQ26" i="1"/>
  <c r="JQ29" i="1"/>
  <c r="JQ31" i="1"/>
  <c r="JQ42" i="1"/>
  <c r="JQ50" i="1"/>
  <c r="JQ55" i="1"/>
  <c r="JQ37" i="1"/>
  <c r="JQ39" i="1"/>
  <c r="JQ44" i="1"/>
  <c r="JQ52" i="1"/>
  <c r="JQ57" i="1"/>
  <c r="JQ63" i="1"/>
  <c r="JQ68" i="1"/>
  <c r="JQ76" i="1"/>
  <c r="JQ81" i="1"/>
  <c r="JQ83" i="1"/>
  <c r="JQ65" i="1"/>
  <c r="JQ70" i="1"/>
  <c r="JQ78" i="1"/>
  <c r="JR3" i="1"/>
  <c r="KS37" i="1" l="1"/>
  <c r="KR37" i="1"/>
  <c r="KV37" i="1" s="1"/>
  <c r="KO30" i="1"/>
  <c r="KW29" i="1"/>
  <c r="KX29" i="1" s="1"/>
  <c r="KT29" i="1"/>
  <c r="KT24" i="1"/>
  <c r="KW24" i="1"/>
  <c r="KX24" i="1" s="1"/>
  <c r="KO25" i="1"/>
  <c r="JR16" i="1"/>
  <c r="JR24" i="1"/>
  <c r="JR26" i="1"/>
  <c r="JR31" i="1"/>
  <c r="JR11" i="1"/>
  <c r="JR13" i="1"/>
  <c r="JR18" i="1"/>
  <c r="JR29" i="1"/>
  <c r="JR37" i="1"/>
  <c r="JR42" i="1"/>
  <c r="JR50" i="1"/>
  <c r="JR55" i="1"/>
  <c r="JR39" i="1"/>
  <c r="JR44" i="1"/>
  <c r="JR52" i="1"/>
  <c r="JR57" i="1"/>
  <c r="JR63" i="1"/>
  <c r="JR68" i="1"/>
  <c r="JR76" i="1"/>
  <c r="JR81" i="1"/>
  <c r="JR65" i="1"/>
  <c r="JR70" i="1"/>
  <c r="JR78" i="1"/>
  <c r="JR83" i="1"/>
  <c r="JS3" i="1"/>
  <c r="KO38" i="1" l="1"/>
  <c r="KT37" i="1"/>
  <c r="KW37" i="1"/>
  <c r="KX37" i="1" s="1"/>
  <c r="KR30" i="1"/>
  <c r="KS30" i="1"/>
  <c r="KS25" i="1"/>
  <c r="KR25" i="1"/>
  <c r="KV25" i="1" s="1"/>
  <c r="JS16" i="1"/>
  <c r="JS24" i="1"/>
  <c r="JS26" i="1"/>
  <c r="JS11" i="1"/>
  <c r="JS13" i="1"/>
  <c r="JS18" i="1"/>
  <c r="JS29" i="1"/>
  <c r="JS37" i="1"/>
  <c r="JS39" i="1"/>
  <c r="JS44" i="1"/>
  <c r="JS52" i="1"/>
  <c r="JS57" i="1"/>
  <c r="JS31" i="1"/>
  <c r="JS42" i="1"/>
  <c r="JS50" i="1"/>
  <c r="JS55" i="1"/>
  <c r="JS65" i="1"/>
  <c r="JS70" i="1"/>
  <c r="JS78" i="1"/>
  <c r="JS63" i="1"/>
  <c r="JS68" i="1"/>
  <c r="JS76" i="1"/>
  <c r="JS81" i="1"/>
  <c r="JS83" i="1"/>
  <c r="JT3" i="1"/>
  <c r="KS38" i="1" l="1"/>
  <c r="KR38" i="1"/>
  <c r="KV38" i="1" s="1"/>
  <c r="KV30" i="1"/>
  <c r="KW30" i="1"/>
  <c r="KX30" i="1" s="1"/>
  <c r="KT30" i="1"/>
  <c r="KO31" i="1"/>
  <c r="KW25" i="1"/>
  <c r="KX25" i="1" s="1"/>
  <c r="KO26" i="1"/>
  <c r="KT25" i="1"/>
  <c r="JT11" i="1"/>
  <c r="JT13" i="1"/>
  <c r="JT18" i="1"/>
  <c r="JT29" i="1"/>
  <c r="JT37" i="1"/>
  <c r="JT16" i="1"/>
  <c r="JT24" i="1"/>
  <c r="JT26" i="1"/>
  <c r="JT31" i="1"/>
  <c r="JT39" i="1"/>
  <c r="JT44" i="1"/>
  <c r="JT52" i="1"/>
  <c r="JT57" i="1"/>
  <c r="JT42" i="1"/>
  <c r="JT50" i="1"/>
  <c r="JT55" i="1"/>
  <c r="JT65" i="1"/>
  <c r="JT70" i="1"/>
  <c r="JT78" i="1"/>
  <c r="JT83" i="1"/>
  <c r="JT63" i="1"/>
  <c r="JT68" i="1"/>
  <c r="JT76" i="1"/>
  <c r="JT81" i="1"/>
  <c r="JU3" i="1"/>
  <c r="KW38" i="1" l="1"/>
  <c r="KX38" i="1" s="1"/>
  <c r="KO39" i="1"/>
  <c r="KT38" i="1"/>
  <c r="KR31" i="1"/>
  <c r="LA28" i="1" s="1"/>
  <c r="KS31" i="1"/>
  <c r="KS26" i="1"/>
  <c r="KR26" i="1"/>
  <c r="JV3" i="1"/>
  <c r="JU11" i="1"/>
  <c r="JU13" i="1"/>
  <c r="JU18" i="1"/>
  <c r="JU16" i="1"/>
  <c r="JU24" i="1"/>
  <c r="JU26" i="1"/>
  <c r="JU31" i="1"/>
  <c r="JU42" i="1"/>
  <c r="JU50" i="1"/>
  <c r="JU55" i="1"/>
  <c r="JU29" i="1"/>
  <c r="JU37" i="1"/>
  <c r="JU39" i="1"/>
  <c r="JU44" i="1"/>
  <c r="JU52" i="1"/>
  <c r="JU57" i="1"/>
  <c r="JU63" i="1"/>
  <c r="JU68" i="1"/>
  <c r="JU76" i="1"/>
  <c r="JU81" i="1"/>
  <c r="JU83" i="1"/>
  <c r="JU65" i="1"/>
  <c r="JU70" i="1"/>
  <c r="JU78" i="1"/>
  <c r="LE28" i="1" l="1"/>
  <c r="LD28" i="1"/>
  <c r="LH28" i="1" s="1"/>
  <c r="KV26" i="1"/>
  <c r="LA23" i="1"/>
  <c r="KR39" i="1"/>
  <c r="KS39" i="1"/>
  <c r="KT31" i="1"/>
  <c r="KW31" i="1"/>
  <c r="KX31" i="1" s="1"/>
  <c r="KV31" i="1"/>
  <c r="KT26" i="1"/>
  <c r="KW26" i="1"/>
  <c r="KX26" i="1" s="1"/>
  <c r="JW3" i="1"/>
  <c r="JV16" i="1"/>
  <c r="JV24" i="1"/>
  <c r="JV26" i="1"/>
  <c r="JV31" i="1"/>
  <c r="JV11" i="1"/>
  <c r="JV13" i="1"/>
  <c r="JV18" i="1"/>
  <c r="JV29" i="1"/>
  <c r="JV37" i="1"/>
  <c r="JV42" i="1"/>
  <c r="JV50" i="1"/>
  <c r="JV55" i="1"/>
  <c r="JV39" i="1"/>
  <c r="JV44" i="1"/>
  <c r="JV52" i="1"/>
  <c r="JV57" i="1"/>
  <c r="JV63" i="1"/>
  <c r="JV68" i="1"/>
  <c r="JV76" i="1"/>
  <c r="JV81" i="1"/>
  <c r="JV65" i="1"/>
  <c r="JV70" i="1"/>
  <c r="JV78" i="1"/>
  <c r="JV83" i="1"/>
  <c r="KV39" i="1" l="1"/>
  <c r="LA36" i="1"/>
  <c r="LF28" i="1"/>
  <c r="LA29" i="1"/>
  <c r="LI28" i="1"/>
  <c r="LJ28" i="1" s="1"/>
  <c r="LE23" i="1"/>
  <c r="LD23" i="1"/>
  <c r="LH23" i="1" s="1"/>
  <c r="KW39" i="1"/>
  <c r="KX39" i="1" s="1"/>
  <c r="KT39" i="1"/>
  <c r="JX3" i="1"/>
  <c r="JW16" i="1"/>
  <c r="JW24" i="1"/>
  <c r="JW26" i="1"/>
  <c r="JW11" i="1"/>
  <c r="JW13" i="1"/>
  <c r="JW18" i="1"/>
  <c r="JW29" i="1"/>
  <c r="JW37" i="1"/>
  <c r="JW39" i="1"/>
  <c r="JW44" i="1"/>
  <c r="JW52" i="1"/>
  <c r="JW57" i="1"/>
  <c r="JW31" i="1"/>
  <c r="JW42" i="1"/>
  <c r="JW50" i="1"/>
  <c r="JW55" i="1"/>
  <c r="JW65" i="1"/>
  <c r="JW70" i="1"/>
  <c r="JW78" i="1"/>
  <c r="JW63" i="1"/>
  <c r="JW68" i="1"/>
  <c r="JW76" i="1"/>
  <c r="JW81" i="1"/>
  <c r="JW83" i="1"/>
  <c r="LE36" i="1" l="1"/>
  <c r="LD36" i="1"/>
  <c r="LD29" i="1"/>
  <c r="LE29" i="1"/>
  <c r="LF23" i="1"/>
  <c r="LI23" i="1"/>
  <c r="LJ23" i="1" s="1"/>
  <c r="LA24" i="1"/>
  <c r="JY3" i="1"/>
  <c r="JX11" i="1"/>
  <c r="JX13" i="1"/>
  <c r="JX18" i="1"/>
  <c r="JX29" i="1"/>
  <c r="JX37" i="1"/>
  <c r="JX16" i="1"/>
  <c r="JX24" i="1"/>
  <c r="JX26" i="1"/>
  <c r="JX31" i="1"/>
  <c r="JX39" i="1"/>
  <c r="JX44" i="1"/>
  <c r="JX52" i="1"/>
  <c r="JX42" i="1"/>
  <c r="JX50" i="1"/>
  <c r="JX55" i="1"/>
  <c r="JX65" i="1"/>
  <c r="JX70" i="1"/>
  <c r="JX78" i="1"/>
  <c r="JX83" i="1"/>
  <c r="JX57" i="1"/>
  <c r="JX63" i="1"/>
  <c r="JX68" i="1"/>
  <c r="JX76" i="1"/>
  <c r="JX81" i="1"/>
  <c r="LA37" i="1" l="1"/>
  <c r="LI36" i="1"/>
  <c r="LJ36" i="1" s="1"/>
  <c r="LF36" i="1"/>
  <c r="LH36" i="1"/>
  <c r="LH29" i="1"/>
  <c r="LA30" i="1"/>
  <c r="LI29" i="1"/>
  <c r="LJ29" i="1" s="1"/>
  <c r="LF29" i="1"/>
  <c r="LE24" i="1"/>
  <c r="LD24" i="1"/>
  <c r="JY11" i="1"/>
  <c r="JY13" i="1"/>
  <c r="JY18" i="1"/>
  <c r="JY16" i="1"/>
  <c r="JY24" i="1"/>
  <c r="JY26" i="1"/>
  <c r="JY29" i="1"/>
  <c r="JY31" i="1"/>
  <c r="JY42" i="1"/>
  <c r="JY50" i="1"/>
  <c r="JY55" i="1"/>
  <c r="JY37" i="1"/>
  <c r="JY39" i="1"/>
  <c r="JY44" i="1"/>
  <c r="JY52" i="1"/>
  <c r="JY57" i="1"/>
  <c r="JY63" i="1"/>
  <c r="JY68" i="1"/>
  <c r="JY76" i="1"/>
  <c r="JY81" i="1"/>
  <c r="JY83" i="1"/>
  <c r="JZ3" i="1"/>
  <c r="JY65" i="1"/>
  <c r="JY70" i="1"/>
  <c r="JY78" i="1"/>
  <c r="LD37" i="1" l="1"/>
  <c r="LE37" i="1"/>
  <c r="LD30" i="1"/>
  <c r="LE30" i="1"/>
  <c r="LI24" i="1"/>
  <c r="LJ24" i="1" s="1"/>
  <c r="LF24" i="1"/>
  <c r="LA25" i="1"/>
  <c r="LH24" i="1"/>
  <c r="JZ16" i="1"/>
  <c r="JZ24" i="1"/>
  <c r="JZ26" i="1"/>
  <c r="JZ31" i="1"/>
  <c r="JZ11" i="1"/>
  <c r="JZ13" i="1"/>
  <c r="JZ18" i="1"/>
  <c r="JZ29" i="1"/>
  <c r="JZ37" i="1"/>
  <c r="JZ42" i="1"/>
  <c r="JZ50" i="1"/>
  <c r="JZ55" i="1"/>
  <c r="JZ39" i="1"/>
  <c r="JZ44" i="1"/>
  <c r="JZ52" i="1"/>
  <c r="JZ57" i="1"/>
  <c r="JZ63" i="1"/>
  <c r="JZ68" i="1"/>
  <c r="JZ76" i="1"/>
  <c r="JZ81" i="1"/>
  <c r="JZ65" i="1"/>
  <c r="JZ70" i="1"/>
  <c r="JZ78" i="1"/>
  <c r="JZ83" i="1"/>
  <c r="LH37" i="1" l="1"/>
  <c r="LI37" i="1"/>
  <c r="LJ37" i="1" s="1"/>
  <c r="LA38" i="1"/>
  <c r="LF37" i="1"/>
  <c r="LH30" i="1"/>
  <c r="LI30" i="1"/>
  <c r="LJ30" i="1" s="1"/>
  <c r="LF30" i="1"/>
  <c r="LA31" i="1"/>
  <c r="LE25" i="1"/>
  <c r="LD25" i="1"/>
  <c r="LH25" i="1" s="1"/>
  <c r="H79" i="1"/>
  <c r="F82" i="1" s="1"/>
  <c r="F80" i="1"/>
  <c r="F75" i="1"/>
  <c r="H74" i="1"/>
  <c r="F77" i="1" s="1"/>
  <c r="F67" i="1"/>
  <c r="H66" i="1"/>
  <c r="F69" i="1" s="1"/>
  <c r="H61" i="1"/>
  <c r="F64" i="1" s="1"/>
  <c r="F62" i="1"/>
  <c r="F54" i="1"/>
  <c r="H53" i="1"/>
  <c r="F56" i="1" s="1"/>
  <c r="F49" i="1"/>
  <c r="H48" i="1"/>
  <c r="F51" i="1" s="1"/>
  <c r="F41" i="1"/>
  <c r="H40" i="1"/>
  <c r="LE38" i="1" l="1"/>
  <c r="LD38" i="1"/>
  <c r="LD31" i="1"/>
  <c r="LE31" i="1"/>
  <c r="LH31" i="1"/>
  <c r="LF25" i="1"/>
  <c r="LA26" i="1"/>
  <c r="LI25" i="1"/>
  <c r="LJ25" i="1" s="1"/>
  <c r="F48" i="1"/>
  <c r="F66" i="1"/>
  <c r="F74" i="1"/>
  <c r="F79" i="1"/>
  <c r="F81" i="1"/>
  <c r="F61" i="1"/>
  <c r="F76" i="1"/>
  <c r="F68" i="1"/>
  <c r="F53" i="1"/>
  <c r="F63" i="1"/>
  <c r="F55" i="1"/>
  <c r="F50" i="1"/>
  <c r="LA39" i="1" l="1"/>
  <c r="LI38" i="1"/>
  <c r="LJ38" i="1" s="1"/>
  <c r="LF38" i="1"/>
  <c r="LH38" i="1"/>
  <c r="LF31" i="1"/>
  <c r="LI31" i="1"/>
  <c r="LJ31" i="1" s="1"/>
  <c r="LD26" i="1"/>
  <c r="LH26" i="1" s="1"/>
  <c r="LE26" i="1"/>
  <c r="LD39" i="1" l="1"/>
  <c r="LH39" i="1" s="1"/>
  <c r="LE39" i="1"/>
  <c r="LI26" i="1"/>
  <c r="LJ26" i="1" s="1"/>
  <c r="LF26" i="1"/>
  <c r="LF39" i="1" l="1"/>
  <c r="LI39" i="1"/>
  <c r="LJ39" i="1" s="1"/>
</calcChain>
</file>

<file path=xl/comments1.xml><?xml version="1.0" encoding="utf-8"?>
<comments xmlns="http://schemas.openxmlformats.org/spreadsheetml/2006/main">
  <authors>
    <author>Milton Ribeiro</author>
  </authors>
  <commentList>
    <comment ref="E9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9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10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11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1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12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E14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14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15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16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6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17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E22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22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23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24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4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25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E27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27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28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29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9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30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E35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35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36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37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7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38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E40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40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41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42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42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43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E48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48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49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50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50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51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E53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53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54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55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55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56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E61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61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62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63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63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64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E66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66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67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68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68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69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E74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74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75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76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76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77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E79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  <comment ref="G79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G80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E81" authorId="0">
      <text>
        <r>
          <rPr>
            <b/>
            <sz val="8"/>
            <color indexed="81"/>
            <rFont val="Tahoma"/>
            <family val="2"/>
          </rPr>
          <t xml:space="preserve">ESTOQUE MINÍMO
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
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81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E82" authorId="0">
      <text>
        <r>
          <rPr>
            <b/>
            <sz val="8"/>
            <color indexed="81"/>
            <rFont val="Tahoma"/>
            <family val="2"/>
          </rPr>
          <t xml:space="preserve">ESTOQUE RESERVA
Estoque de segurança: </t>
        </r>
        <r>
          <rPr>
            <sz val="8"/>
            <color indexed="81"/>
            <rFont val="Tahoma"/>
            <family val="2"/>
          </rPr>
          <t xml:space="preserve">É o estoque mínimo para 
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</commentList>
</comments>
</file>

<file path=xl/comments2.xml><?xml version="1.0" encoding="utf-8"?>
<comments xmlns="http://schemas.openxmlformats.org/spreadsheetml/2006/main">
  <authors>
    <author>Milton Ribeiro</author>
  </authors>
  <commentList>
    <comment ref="B5" authorId="0">
      <text>
        <r>
          <rPr>
            <b/>
            <sz val="8"/>
            <color indexed="81"/>
            <rFont val="Tahoma"/>
            <family val="2"/>
          </rPr>
          <t xml:space="preserve">Desvio padrão </t>
        </r>
        <r>
          <rPr>
            <sz val="8"/>
            <color indexed="81"/>
            <rFont val="Tahoma"/>
            <family val="2"/>
          </rPr>
          <t xml:space="preserve">indica, qual a variação máxima entre os números de uma série, no nosso caso, ele determina que a variação máxima produzida é de 4,58 peças, 
</t>
        </r>
        <r>
          <rPr>
            <sz val="8"/>
            <color indexed="10"/>
            <rFont val="Tahoma"/>
            <family val="2"/>
          </rPr>
          <t>Desvio Padrão= DESVPADPA(C3:L3)</t>
        </r>
      </text>
    </comment>
    <comment ref="B6" authorId="0">
      <text>
        <r>
          <rPr>
            <b/>
            <sz val="8"/>
            <color indexed="81"/>
            <rFont val="Tahoma"/>
            <family val="2"/>
          </rPr>
          <t>Lead time </t>
        </r>
        <r>
          <rPr>
            <sz val="8"/>
            <color indexed="81"/>
            <rFont val="Tahoma"/>
            <family val="2"/>
          </rPr>
          <t xml:space="preserve">identifica o tempo de reabastecimento,  é o tempo entre o pedido e a entrega do produto pelo fornecedor.
</t>
        </r>
      </text>
    </comment>
    <comment ref="B7" authorId="0">
      <text>
        <r>
          <rPr>
            <b/>
            <sz val="8"/>
            <color indexed="81"/>
            <rFont val="Tahoma"/>
            <family val="2"/>
          </rPr>
          <t>Período:</t>
        </r>
        <r>
          <rPr>
            <sz val="8"/>
            <color indexed="81"/>
            <rFont val="Tahoma"/>
            <family val="2"/>
          </rPr>
          <t xml:space="preserve"> quantidade de períodos que utiliza o estoque, no nosso caso 1 mês.
</t>
        </r>
      </text>
    </comment>
    <comment ref="B9" authorId="0">
      <text>
        <r>
          <rPr>
            <b/>
            <sz val="8"/>
            <color indexed="81"/>
            <rFont val="Tahoma"/>
            <family val="2"/>
          </rPr>
          <t xml:space="preserve">Estoque de segurança: </t>
        </r>
        <r>
          <rPr>
            <sz val="8"/>
            <color indexed="81"/>
            <rFont val="Tahoma"/>
            <family val="2"/>
          </rPr>
          <t xml:space="preserve">É o estoque mínimo para evitar que falte matéria-prima para produção/venda.
</t>
        </r>
        <r>
          <rPr>
            <b/>
            <sz val="8"/>
            <color indexed="10"/>
            <rFont val="Tahoma"/>
            <family val="2"/>
          </rPr>
          <t>ES= (FS* Desvio Padrão) * Raiz(Lead time/Periodo)</t>
        </r>
      </text>
    </comment>
    <comment ref="B10" authorId="0">
      <text>
        <r>
          <rPr>
            <b/>
            <sz val="8"/>
            <color indexed="81"/>
            <rFont val="Tahoma"/>
            <family val="2"/>
          </rPr>
          <t xml:space="preserve">Ponto de Ressuprimento: </t>
        </r>
        <r>
          <rPr>
            <sz val="8"/>
            <color indexed="81"/>
            <rFont val="Tahoma"/>
            <family val="2"/>
          </rPr>
          <t xml:space="preserve">É o estoque mínimo do período, quando temos que obrigatoriamente fazer um novo pedido, para que não ocorra a falta do material/produto. 
</t>
        </r>
        <r>
          <rPr>
            <b/>
            <sz val="8"/>
            <color indexed="10"/>
            <rFont val="Tahoma"/>
            <family val="2"/>
          </rPr>
          <t>PR= (Consumo Médio * Lead Time) + Estoque Segurança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1" authorId="0">
      <text>
        <r>
          <rPr>
            <b/>
            <sz val="8"/>
            <color indexed="81"/>
            <rFont val="Tahoma"/>
            <family val="2"/>
          </rPr>
          <t xml:space="preserve">Estoque máximo: </t>
        </r>
        <r>
          <rPr>
            <sz val="8"/>
            <color indexed="81"/>
            <rFont val="Tahoma"/>
            <family val="2"/>
          </rPr>
          <t xml:space="preserve">Define o estoque máximo que teremos ao realizarmos o ressuprimento em um primeiro momento, ou seja, é a soma do estoque de segurança e do ponto de ressuprimento.
</t>
        </r>
        <r>
          <rPr>
            <b/>
            <sz val="8"/>
            <color indexed="10"/>
            <rFont val="Tahoma"/>
            <family val="2"/>
          </rPr>
          <t>Estoque Máximo = (Est.Segurança + Média) * Lead Time</t>
        </r>
      </text>
    </comment>
  </commentList>
</comments>
</file>

<file path=xl/sharedStrings.xml><?xml version="1.0" encoding="utf-8"?>
<sst xmlns="http://schemas.openxmlformats.org/spreadsheetml/2006/main" count="338" uniqueCount="84">
  <si>
    <t>PEDIDO</t>
  </si>
  <si>
    <t>SETOR</t>
  </si>
  <si>
    <t>2ª</t>
  </si>
  <si>
    <t>3ª</t>
  </si>
  <si>
    <t>4ª</t>
  </si>
  <si>
    <t>5ª</t>
  </si>
  <si>
    <t>6ª</t>
  </si>
  <si>
    <t>FER</t>
  </si>
  <si>
    <t>CORTE</t>
  </si>
  <si>
    <t>COSTURA</t>
  </si>
  <si>
    <t>xxx</t>
  </si>
  <si>
    <t>PRODUTOS</t>
  </si>
  <si>
    <t>MARCA</t>
  </si>
  <si>
    <t>MELITTA</t>
  </si>
  <si>
    <t>UNID</t>
  </si>
  <si>
    <t>COMPRAS REALIZADAS</t>
  </si>
  <si>
    <t>RECEBIDO</t>
  </si>
  <si>
    <t>SALDO A RECEBER</t>
  </si>
  <si>
    <t>VENDAS REALIZADAS</t>
  </si>
  <si>
    <t>SALDO EM ESTOQUE</t>
  </si>
  <si>
    <t>UN.MED</t>
  </si>
  <si>
    <t>xx</t>
  </si>
  <si>
    <t>ddd</t>
  </si>
  <si>
    <t>ESTOQUE INICIAL</t>
  </si>
  <si>
    <t>ENTRADAS</t>
  </si>
  <si>
    <t>SAÍDAS</t>
  </si>
  <si>
    <t>ESTOQUE FINAL</t>
  </si>
  <si>
    <t>ESTOQUE MÉDIO</t>
  </si>
  <si>
    <t>MÊS</t>
  </si>
  <si>
    <t>JANEIRO</t>
  </si>
  <si>
    <t>FEVEREIRO</t>
  </si>
  <si>
    <t xml:space="preserve">MARÇO </t>
  </si>
  <si>
    <t>ABRIL</t>
  </si>
  <si>
    <t>MAIO</t>
  </si>
  <si>
    <t>JUNHO</t>
  </si>
  <si>
    <t xml:space="preserve">TOTAL </t>
  </si>
  <si>
    <t>(EI + EF /2)</t>
  </si>
  <si>
    <t>Desvio padrão:</t>
  </si>
  <si>
    <t>Lead Time</t>
  </si>
  <si>
    <t>Período</t>
  </si>
  <si>
    <t>Estoque de segurança</t>
  </si>
  <si>
    <t>Ponto de ressuprimento</t>
  </si>
  <si>
    <t>Estoque máximo</t>
  </si>
  <si>
    <t>Fator de Serviço</t>
  </si>
  <si>
    <t>Estoque médio</t>
  </si>
  <si>
    <t>Nível de Serviço</t>
  </si>
  <si>
    <t xml:space="preserve"> </t>
  </si>
  <si>
    <t>BATERIA</t>
  </si>
  <si>
    <t>GOPE</t>
  </si>
  <si>
    <t>SAX ALTO</t>
  </si>
  <si>
    <t>YAMAHA</t>
  </si>
  <si>
    <t>SAX TENOR</t>
  </si>
  <si>
    <t>GUITARRA</t>
  </si>
  <si>
    <t>GOLDEN</t>
  </si>
  <si>
    <t>ACESSÓRIOS</t>
  </si>
  <si>
    <t>z</t>
  </si>
  <si>
    <t xml:space="preserve"> Fator de Serviço</t>
  </si>
  <si>
    <t>Nível de serviço</t>
  </si>
  <si>
    <t>Demanda</t>
  </si>
  <si>
    <t>Média</t>
  </si>
  <si>
    <t>Total</t>
  </si>
  <si>
    <t>GESTÃO DE ESTOQUES</t>
  </si>
  <si>
    <t>Estoque Inicial</t>
  </si>
  <si>
    <t>Entradas</t>
  </si>
  <si>
    <t>Saídas</t>
  </si>
  <si>
    <t>Estoque Final</t>
  </si>
  <si>
    <t>(EI - EF)/2</t>
  </si>
  <si>
    <t>Estoque Médio</t>
  </si>
  <si>
    <t>cobertura do estoque</t>
  </si>
  <si>
    <t>Giro em estoque</t>
  </si>
  <si>
    <t>Dias mês trab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</si>
  <si>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</si>
  <si>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</si>
  <si>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</si>
  <si>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</si>
  <si>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</si>
  <si>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</si>
  <si>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</si>
  <si>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</si>
  <si>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 xml:space="preserve">Setembro </t>
  </si>
  <si>
    <t>Outubro</t>
  </si>
  <si>
    <t>Novembro</t>
  </si>
  <si>
    <t>Dezembro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</si>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</sst>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SEMANA&quot;\ 00"/>
    <numFmt numFmtId="165" formatCode="d/m"/>
    <numFmt numFmtId="166" formatCode="_(* #,##0.00_);_(* \(#,##0.00\);_(* &quot;-&quot;??_);_(@_)"/>
    <numFmt numFmtId="167" formatCode="&quot;Ped&quot;00"/>
    <numFmt numFmtId="168" formatCode="_(&quot;R$ &quot;* #,##0.00_);_(&quot;R$ &quot;* \(#,##0.00\);_(&quot;R$ &quot;* &quot;-&quot;??_);_(@_)"/>
    <numFmt numFmtId="169" formatCode="_(* #,##0_);_(* \(#,##0\);_(* &quot;-&quot;??_);_(@_)"/>
    <numFmt numFmtId="170" formatCode="_-* #,##0.0000_-;\-* #,##0.0000_-;_-* &quot;-&quot;??_-;_-@_-"/>
    <numFmt numFmtId="171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10"/>
      <name val="Tahoma"/>
      <family val="2"/>
    </font>
    <font>
      <sz val="10"/>
      <color indexed="10"/>
      <name val="Arial"/>
      <family val="2"/>
    </font>
    <font>
      <sz val="9"/>
      <color indexed="63"/>
      <name val="Verdana"/>
      <family val="2"/>
    </font>
    <font>
      <sz val="12"/>
      <color indexed="12"/>
      <name val="Verdana"/>
      <family val="2"/>
    </font>
    <font>
      <sz val="10"/>
      <name val="Arial Narrow"/>
      <family val="2"/>
    </font>
    <font>
      <sz val="9"/>
      <name val="Verdana"/>
      <family val="2"/>
    </font>
    <font>
      <sz val="10"/>
      <color indexed="63"/>
      <name val="Verdana"/>
      <family val="2"/>
    </font>
    <font>
      <sz val="12"/>
      <color indexed="63"/>
      <name val="Verdana"/>
      <family val="2"/>
    </font>
    <font>
      <sz val="11"/>
      <color indexed="8"/>
      <name val="Calibri"/>
      <family val="2"/>
    </font>
    <font>
      <sz val="10"/>
      <name val="Verdana"/>
      <family val="2"/>
    </font>
    <font>
      <sz val="10"/>
      <color theme="0"/>
      <name val="Verdana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b/>
      <sz val="15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0"/>
      <color indexed="63"/>
      <name val="Verdana"/>
      <family val="2"/>
    </font>
    <font>
      <sz val="5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FFFF"/>
      <name val="Arial"/>
      <family val="2"/>
    </font>
    <font>
      <sz val="12"/>
      <color rgb="FF0000FF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/>
      <top style="thin">
        <color theme="4"/>
      </top>
      <bottom style="thin">
        <color theme="0"/>
      </bottom>
      <diagonal/>
    </border>
    <border>
      <left/>
      <right/>
      <top style="thin">
        <color theme="4"/>
      </top>
      <bottom style="thin">
        <color theme="0"/>
      </bottom>
      <diagonal/>
    </border>
    <border>
      <left/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0"/>
      </right>
      <top/>
      <bottom style="thin">
        <color theme="0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n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theme="4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66" fontId="11" fillId="0" borderId="0" applyFont="0" applyFill="0" applyBorder="0" applyAlignment="0" applyProtection="0"/>
    <xf numFmtId="0" fontId="2" fillId="0" borderId="0"/>
    <xf numFmtId="0" fontId="7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7" fillId="0" borderId="0"/>
    <xf numFmtId="0" fontId="2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6" fillId="0" borderId="32" applyNumberFormat="0" applyFill="0" applyAlignment="0" applyProtection="0"/>
    <xf numFmtId="166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306">
    <xf numFmtId="0" fontId="0" fillId="0" borderId="0" xfId="0"/>
    <xf numFmtId="0" fontId="30" fillId="16" borderId="91" xfId="0" applyFont="1" applyFill="1" applyBorder="1" applyAlignment="1">
      <alignment horizontal="center" vertical="center" wrapText="1" readingOrder="1"/>
    </xf>
    <xf numFmtId="0" fontId="30" fillId="16" borderId="92" xfId="0" applyFont="1" applyFill="1" applyBorder="1" applyAlignment="1">
      <alignment horizontal="center" vertical="center" wrapText="1" readingOrder="1"/>
    </xf>
    <xf numFmtId="0" fontId="0" fillId="0" borderId="3" xfId="0" applyBorder="1"/>
    <xf numFmtId="0" fontId="0" fillId="0" borderId="0" xfId="0" applyBorder="1"/>
    <xf numFmtId="0" fontId="1" fillId="4" borderId="34" xfId="0" applyFont="1" applyFill="1" applyBorder="1"/>
    <xf numFmtId="0" fontId="1" fillId="4" borderId="35" xfId="0" applyFont="1" applyFill="1" applyBorder="1"/>
    <xf numFmtId="0" fontId="1" fillId="4" borderId="33" xfId="0" applyFont="1" applyFill="1" applyBorder="1"/>
    <xf numFmtId="0" fontId="1" fillId="8" borderId="37" xfId="0" applyFont="1" applyFill="1" applyBorder="1"/>
    <xf numFmtId="0" fontId="0" fillId="8" borderId="38" xfId="0" applyFill="1" applyBorder="1"/>
    <xf numFmtId="0" fontId="0" fillId="4" borderId="36" xfId="0" applyFont="1" applyFill="1" applyBorder="1"/>
    <xf numFmtId="0" fontId="1" fillId="0" borderId="3" xfId="3" applyNumberFormat="1" applyFont="1" applyBorder="1" applyAlignment="1">
      <alignment horizontal="center"/>
    </xf>
    <xf numFmtId="0" fontId="1" fillId="4" borderId="3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8" borderId="38" xfId="0" applyFont="1" applyFill="1" applyBorder="1" applyAlignment="1">
      <alignment horizontal="center"/>
    </xf>
    <xf numFmtId="0" fontId="3" fillId="0" borderId="1" xfId="4" applyFont="1" applyFill="1" applyBorder="1" applyAlignment="1" applyProtection="1">
      <alignment shrinkToFit="1"/>
      <protection hidden="1"/>
    </xf>
    <xf numFmtId="0" fontId="1" fillId="0" borderId="1" xfId="2" applyFill="1" applyBorder="1" applyAlignment="1" applyProtection="1">
      <alignment shrinkToFit="1"/>
      <protection hidden="1"/>
    </xf>
    <xf numFmtId="0" fontId="2" fillId="0" borderId="0" xfId="4" applyFill="1" applyBorder="1" applyAlignment="1" applyProtection="1">
      <alignment shrinkToFit="1"/>
      <protection hidden="1"/>
    </xf>
    <xf numFmtId="0" fontId="2" fillId="0" borderId="0" xfId="4" applyFill="1" applyBorder="1" applyAlignment="1" applyProtection="1">
      <alignment horizontal="center" shrinkToFit="1"/>
      <protection hidden="1"/>
    </xf>
    <xf numFmtId="0" fontId="4" fillId="0" borderId="0" xfId="4" applyFont="1" applyFill="1" applyBorder="1" applyAlignment="1" applyProtection="1">
      <alignment shrinkToFit="1"/>
      <protection hidden="1"/>
    </xf>
    <xf numFmtId="0" fontId="5" fillId="2" borderId="4" xfId="4" applyFont="1" applyFill="1" applyBorder="1" applyAlignment="1" applyProtection="1">
      <alignment horizontal="center" textRotation="90" shrinkToFit="1"/>
      <protection hidden="1"/>
    </xf>
    <xf numFmtId="0" fontId="6" fillId="0" borderId="0" xfId="4" applyFont="1" applyFill="1" applyBorder="1" applyAlignment="1" applyProtection="1">
      <alignment shrinkToFit="1"/>
      <protection hidden="1"/>
    </xf>
    <xf numFmtId="0" fontId="6" fillId="2" borderId="9" xfId="4" applyFont="1" applyFill="1" applyBorder="1" applyAlignment="1" applyProtection="1">
      <alignment shrinkToFit="1"/>
      <protection hidden="1"/>
    </xf>
    <xf numFmtId="0" fontId="8" fillId="0" borderId="0" xfId="5" applyFont="1" applyBorder="1" applyProtection="1">
      <protection hidden="1"/>
    </xf>
    <xf numFmtId="0" fontId="9" fillId="0" borderId="0" xfId="4" applyFont="1" applyFill="1" applyBorder="1" applyAlignment="1" applyProtection="1">
      <alignment shrinkToFit="1"/>
      <protection hidden="1"/>
    </xf>
    <xf numFmtId="0" fontId="9" fillId="2" borderId="20" xfId="4" applyFont="1" applyFill="1" applyBorder="1" applyAlignment="1" applyProtection="1">
      <alignment shrinkToFit="1"/>
      <protection hidden="1"/>
    </xf>
    <xf numFmtId="0" fontId="8" fillId="0" borderId="1" xfId="5" applyFont="1" applyBorder="1" applyProtection="1">
      <protection hidden="1"/>
    </xf>
    <xf numFmtId="0" fontId="1" fillId="2" borderId="22" xfId="2" applyFill="1" applyBorder="1" applyAlignment="1" applyProtection="1">
      <alignment horizontal="center" shrinkToFit="1"/>
      <protection hidden="1"/>
    </xf>
    <xf numFmtId="0" fontId="10" fillId="2" borderId="23" xfId="4" applyFont="1" applyFill="1" applyBorder="1" applyAlignment="1" applyProtection="1">
      <alignment horizontal="center" shrinkToFit="1"/>
      <protection hidden="1"/>
    </xf>
    <xf numFmtId="0" fontId="10" fillId="2" borderId="24" xfId="4" applyFont="1" applyFill="1" applyBorder="1" applyAlignment="1" applyProtection="1">
      <alignment horizontal="center" shrinkToFit="1"/>
      <protection hidden="1"/>
    </xf>
    <xf numFmtId="0" fontId="10" fillId="2" borderId="22" xfId="4" applyFont="1" applyFill="1" applyBorder="1" applyAlignment="1" applyProtection="1">
      <alignment horizontal="center" shrinkToFit="1"/>
      <protection hidden="1"/>
    </xf>
    <xf numFmtId="0" fontId="10" fillId="2" borderId="1" xfId="4" applyFont="1" applyFill="1" applyBorder="1" applyAlignment="1" applyProtection="1">
      <alignment horizontal="center" shrinkToFit="1"/>
      <protection hidden="1"/>
    </xf>
    <xf numFmtId="0" fontId="10" fillId="2" borderId="21" xfId="4" applyFont="1" applyFill="1" applyBorder="1" applyAlignment="1" applyProtection="1">
      <alignment horizontal="center" shrinkToFit="1"/>
      <protection hidden="1"/>
    </xf>
    <xf numFmtId="0" fontId="10" fillId="2" borderId="25" xfId="4" applyFont="1" applyFill="1" applyBorder="1" applyAlignment="1" applyProtection="1">
      <alignment horizontal="center" shrinkToFit="1"/>
      <protection hidden="1"/>
    </xf>
    <xf numFmtId="0" fontId="10" fillId="2" borderId="31" xfId="4" applyFont="1" applyFill="1" applyBorder="1" applyAlignment="1" applyProtection="1">
      <alignment horizontal="center" shrinkToFit="1"/>
      <protection hidden="1"/>
    </xf>
    <xf numFmtId="0" fontId="10" fillId="0" borderId="0" xfId="4" applyFont="1" applyFill="1" applyBorder="1" applyAlignment="1" applyProtection="1">
      <alignment horizontal="center" shrinkToFit="1"/>
      <protection hidden="1"/>
    </xf>
    <xf numFmtId="0" fontId="10" fillId="0" borderId="0" xfId="4" applyFont="1" applyFill="1" applyBorder="1" applyAlignment="1" applyProtection="1">
      <alignment shrinkToFit="1"/>
      <protection hidden="1"/>
    </xf>
    <xf numFmtId="0" fontId="10" fillId="2" borderId="1" xfId="4" applyFont="1" applyFill="1" applyBorder="1" applyAlignment="1" applyProtection="1">
      <alignment shrinkToFit="1"/>
      <protection hidden="1"/>
    </xf>
    <xf numFmtId="0" fontId="9" fillId="0" borderId="1" xfId="4" applyFont="1" applyFill="1" applyBorder="1" applyAlignment="1" applyProtection="1">
      <alignment textRotation="90" shrinkToFit="1"/>
      <protection hidden="1"/>
    </xf>
    <xf numFmtId="0" fontId="9" fillId="0" borderId="0" xfId="4" applyFont="1" applyFill="1" applyBorder="1" applyAlignment="1" applyProtection="1">
      <alignment horizontal="center" textRotation="90" shrinkToFit="1"/>
      <protection hidden="1"/>
    </xf>
    <xf numFmtId="0" fontId="1" fillId="0" borderId="0" xfId="2" applyFill="1" applyBorder="1" applyAlignment="1" applyProtection="1">
      <alignment horizontal="center" shrinkToFit="1"/>
      <protection hidden="1"/>
    </xf>
    <xf numFmtId="0" fontId="10" fillId="0" borderId="30" xfId="4" applyFont="1" applyFill="1" applyBorder="1" applyAlignment="1" applyProtection="1">
      <alignment horizontal="center" shrinkToFit="1"/>
      <protection hidden="1"/>
    </xf>
    <xf numFmtId="0" fontId="12" fillId="0" borderId="2" xfId="4" applyFont="1" applyFill="1" applyBorder="1" applyAlignment="1" applyProtection="1">
      <alignment shrinkToFit="1"/>
      <protection hidden="1"/>
    </xf>
    <xf numFmtId="0" fontId="12" fillId="3" borderId="4" xfId="4" applyFont="1" applyFill="1" applyBorder="1" applyAlignment="1" applyProtection="1">
      <alignment horizontal="center" vertical="center" textRotation="90"/>
      <protection hidden="1"/>
    </xf>
    <xf numFmtId="0" fontId="9" fillId="5" borderId="2" xfId="4" applyFont="1" applyFill="1" applyBorder="1" applyAlignment="1" applyProtection="1">
      <alignment horizontal="center" vertical="center" shrinkToFit="1"/>
      <protection hidden="1"/>
    </xf>
    <xf numFmtId="0" fontId="1" fillId="5" borderId="2" xfId="2" applyFill="1" applyBorder="1" applyAlignment="1" applyProtection="1">
      <alignment horizontal="center" vertical="center" shrinkToFit="1"/>
      <protection hidden="1"/>
    </xf>
    <xf numFmtId="0" fontId="9" fillId="5" borderId="29" xfId="4" applyFont="1" applyFill="1" applyBorder="1" applyAlignment="1" applyProtection="1">
      <alignment horizontal="center" vertical="center" shrinkToFit="1"/>
      <protection hidden="1"/>
    </xf>
    <xf numFmtId="0" fontId="9" fillId="0" borderId="0" xfId="4" applyFont="1" applyFill="1" applyBorder="1" applyAlignment="1" applyProtection="1">
      <alignment horizontal="center" vertical="center" shrinkToFit="1"/>
      <protection hidden="1"/>
    </xf>
    <xf numFmtId="0" fontId="10" fillId="2" borderId="0" xfId="4" applyFont="1" applyFill="1" applyBorder="1" applyAlignment="1" applyProtection="1">
      <alignment shrinkToFit="1"/>
      <protection hidden="1"/>
    </xf>
    <xf numFmtId="0" fontId="12" fillId="0" borderId="0" xfId="4" applyFont="1" applyFill="1" applyBorder="1" applyAlignment="1" applyProtection="1">
      <alignment shrinkToFit="1"/>
      <protection hidden="1"/>
    </xf>
    <xf numFmtId="0" fontId="12" fillId="3" borderId="10" xfId="4" applyFont="1" applyFill="1" applyBorder="1" applyAlignment="1" applyProtection="1">
      <alignment horizontal="center" vertical="center" textRotation="90"/>
      <protection hidden="1"/>
    </xf>
    <xf numFmtId="0" fontId="1" fillId="0" borderId="0" xfId="2" applyFill="1" applyBorder="1" applyAlignment="1" applyProtection="1">
      <alignment horizontal="center" vertical="center" shrinkToFit="1"/>
      <protection hidden="1"/>
    </xf>
    <xf numFmtId="0" fontId="9" fillId="5" borderId="1" xfId="4" applyFont="1" applyFill="1" applyBorder="1" applyAlignment="1" applyProtection="1">
      <alignment horizontal="center" vertical="center" shrinkToFit="1"/>
      <protection hidden="1"/>
    </xf>
    <xf numFmtId="0" fontId="1" fillId="5" borderId="0" xfId="2" applyFill="1" applyBorder="1" applyAlignment="1" applyProtection="1">
      <alignment horizontal="center" vertical="center" shrinkToFit="1"/>
      <protection hidden="1"/>
    </xf>
    <xf numFmtId="0" fontId="9" fillId="5" borderId="0" xfId="4" applyFont="1" applyFill="1" applyBorder="1" applyAlignment="1" applyProtection="1">
      <alignment horizontal="center" vertical="center" shrinkToFit="1"/>
      <protection hidden="1"/>
    </xf>
    <xf numFmtId="0" fontId="9" fillId="0" borderId="31" xfId="4" applyFont="1" applyFill="1" applyBorder="1" applyAlignment="1" applyProtection="1">
      <alignment horizontal="center" vertical="center" shrinkToFit="1"/>
      <protection hidden="1"/>
    </xf>
    <xf numFmtId="0" fontId="9" fillId="0" borderId="27" xfId="4" applyFont="1" applyFill="1" applyBorder="1" applyAlignment="1" applyProtection="1">
      <alignment horizontal="center" vertical="center" shrinkToFit="1"/>
      <protection hidden="1"/>
    </xf>
    <xf numFmtId="1" fontId="9" fillId="0" borderId="28" xfId="4" applyNumberFormat="1" applyFont="1" applyFill="1" applyBorder="1" applyAlignment="1" applyProtection="1">
      <alignment horizontal="center" vertical="center" shrinkToFit="1"/>
      <protection hidden="1"/>
    </xf>
    <xf numFmtId="1" fontId="9" fillId="0" borderId="3" xfId="4" applyNumberFormat="1" applyFont="1" applyFill="1" applyBorder="1" applyAlignment="1" applyProtection="1">
      <alignment horizontal="center" vertical="center" shrinkToFit="1"/>
      <protection hidden="1"/>
    </xf>
    <xf numFmtId="1" fontId="9" fillId="0" borderId="0" xfId="4" applyNumberFormat="1" applyFont="1" applyFill="1" applyBorder="1" applyAlignment="1" applyProtection="1">
      <alignment horizontal="center" vertical="center" shrinkToFit="1"/>
      <protection hidden="1"/>
    </xf>
    <xf numFmtId="0" fontId="9" fillId="0" borderId="28" xfId="4" applyFont="1" applyFill="1" applyBorder="1" applyAlignment="1" applyProtection="1">
      <alignment horizontal="center" vertical="center" shrinkToFit="1"/>
      <protection hidden="1"/>
    </xf>
    <xf numFmtId="0" fontId="9" fillId="0" borderId="3" xfId="4" applyFont="1" applyFill="1" applyBorder="1" applyAlignment="1" applyProtection="1">
      <alignment horizontal="center" vertical="center" shrinkToFit="1"/>
      <protection hidden="1"/>
    </xf>
    <xf numFmtId="0" fontId="9" fillId="0" borderId="29" xfId="4" applyFont="1" applyFill="1" applyBorder="1" applyAlignment="1" applyProtection="1">
      <alignment horizontal="center" vertical="center" shrinkToFit="1"/>
      <protection hidden="1"/>
    </xf>
    <xf numFmtId="0" fontId="9" fillId="0" borderId="7" xfId="4" applyFont="1" applyFill="1" applyBorder="1" applyAlignment="1" applyProtection="1">
      <alignment horizontal="center" vertical="center" shrinkToFit="1"/>
      <protection hidden="1"/>
    </xf>
    <xf numFmtId="0" fontId="13" fillId="0" borderId="0" xfId="4" applyFont="1" applyFill="1" applyBorder="1" applyAlignment="1" applyProtection="1">
      <alignment shrinkToFit="1"/>
      <protection hidden="1"/>
    </xf>
    <xf numFmtId="0" fontId="2" fillId="0" borderId="0" xfId="4" applyAlignment="1" applyProtection="1">
      <alignment shrinkToFit="1"/>
      <protection hidden="1"/>
    </xf>
    <xf numFmtId="0" fontId="1" fillId="0" borderId="0" xfId="2" applyAlignment="1" applyProtection="1">
      <alignment shrinkToFit="1"/>
      <protection hidden="1"/>
    </xf>
    <xf numFmtId="0" fontId="2" fillId="0" borderId="0" xfId="4" applyAlignment="1" applyProtection="1">
      <alignment horizontal="center" shrinkToFit="1"/>
      <protection hidden="1"/>
    </xf>
    <xf numFmtId="169" fontId="9" fillId="9" borderId="3" xfId="3" applyNumberFormat="1" applyFont="1" applyFill="1" applyBorder="1" applyAlignment="1" applyProtection="1">
      <alignment horizontal="center" vertical="center" shrinkToFit="1"/>
      <protection hidden="1"/>
    </xf>
    <xf numFmtId="169" fontId="9" fillId="0" borderId="35" xfId="3" applyNumberFormat="1" applyFont="1" applyFill="1" applyBorder="1" applyAlignment="1" applyProtection="1">
      <alignment horizontal="center" vertical="center" shrinkToFit="1"/>
      <protection locked="0" hidden="1"/>
    </xf>
    <xf numFmtId="169" fontId="9" fillId="0" borderId="3" xfId="3" applyNumberFormat="1" applyFont="1" applyFill="1" applyBorder="1" applyAlignment="1" applyProtection="1">
      <alignment horizontal="center" vertical="center" shrinkToFit="1"/>
      <protection locked="0" hidden="1"/>
    </xf>
    <xf numFmtId="165" fontId="1" fillId="3" borderId="11" xfId="2" applyNumberFormat="1" applyFill="1" applyBorder="1" applyAlignment="1" applyProtection="1">
      <alignment horizontal="center" shrinkToFit="1"/>
      <protection locked="0" hidden="1"/>
    </xf>
    <xf numFmtId="165" fontId="12" fillId="2" borderId="12" xfId="4" applyNumberFormat="1" applyFont="1" applyFill="1" applyBorder="1" applyAlignment="1" applyProtection="1">
      <alignment horizontal="center" shrinkToFit="1"/>
      <protection locked="0" hidden="1"/>
    </xf>
    <xf numFmtId="165" fontId="9" fillId="2" borderId="12" xfId="4" applyNumberFormat="1" applyFont="1" applyFill="1" applyBorder="1" applyAlignment="1" applyProtection="1">
      <alignment horizontal="center" shrinkToFit="1"/>
      <protection locked="0" hidden="1"/>
    </xf>
    <xf numFmtId="165" fontId="9" fillId="2" borderId="13" xfId="4" applyNumberFormat="1" applyFont="1" applyFill="1" applyBorder="1" applyAlignment="1" applyProtection="1">
      <alignment horizontal="center" shrinkToFit="1"/>
      <protection locked="0" hidden="1"/>
    </xf>
    <xf numFmtId="165" fontId="9" fillId="2" borderId="14" xfId="4" applyNumberFormat="1" applyFont="1" applyFill="1" applyBorder="1" applyAlignment="1" applyProtection="1">
      <alignment horizontal="center" shrinkToFit="1"/>
      <protection locked="0" hidden="1"/>
    </xf>
    <xf numFmtId="165" fontId="9" fillId="2" borderId="15" xfId="4" applyNumberFormat="1" applyFont="1" applyFill="1" applyBorder="1" applyAlignment="1" applyProtection="1">
      <alignment horizontal="center" shrinkToFit="1"/>
      <protection locked="0" hidden="1"/>
    </xf>
    <xf numFmtId="165" fontId="9" fillId="2" borderId="16" xfId="4" applyNumberFormat="1" applyFont="1" applyFill="1" applyBorder="1" applyAlignment="1" applyProtection="1">
      <alignment horizontal="center" shrinkToFit="1"/>
      <protection locked="0" hidden="1"/>
    </xf>
    <xf numFmtId="165" fontId="9" fillId="2" borderId="17" xfId="4" applyNumberFormat="1" applyFont="1" applyFill="1" applyBorder="1" applyAlignment="1" applyProtection="1">
      <alignment horizontal="center" shrinkToFit="1"/>
      <protection locked="0" hidden="1"/>
    </xf>
    <xf numFmtId="165" fontId="9" fillId="2" borderId="18" xfId="4" applyNumberFormat="1" applyFont="1" applyFill="1" applyBorder="1" applyAlignment="1" applyProtection="1">
      <alignment horizontal="center" shrinkToFit="1"/>
      <protection locked="0" hidden="1"/>
    </xf>
    <xf numFmtId="165" fontId="9" fillId="2" borderId="19" xfId="4" applyNumberFormat="1" applyFont="1" applyFill="1" applyBorder="1" applyAlignment="1" applyProtection="1">
      <alignment horizontal="center" shrinkToFit="1"/>
      <protection locked="0" hidden="1"/>
    </xf>
    <xf numFmtId="0" fontId="12" fillId="6" borderId="3" xfId="4" applyNumberFormat="1" applyFont="1" applyFill="1" applyBorder="1" applyAlignment="1" applyProtection="1">
      <alignment shrinkToFit="1"/>
      <protection locked="0" hidden="1"/>
    </xf>
    <xf numFmtId="169" fontId="9" fillId="0" borderId="27" xfId="3" applyNumberFormat="1" applyFont="1" applyFill="1" applyBorder="1" applyAlignment="1" applyProtection="1">
      <alignment horizontal="center" vertical="center" shrinkToFit="1"/>
      <protection locked="0" hidden="1"/>
    </xf>
    <xf numFmtId="16" fontId="1" fillId="7" borderId="3" xfId="2" applyNumberFormat="1" applyFill="1" applyBorder="1" applyAlignment="1" applyProtection="1">
      <alignment horizontal="center" shrinkToFit="1"/>
      <protection hidden="1"/>
    </xf>
    <xf numFmtId="169" fontId="17" fillId="0" borderId="3" xfId="3" applyNumberFormat="1" applyFont="1" applyFill="1" applyBorder="1" applyAlignment="1" applyProtection="1">
      <alignment horizontal="center" vertical="center" shrinkToFit="1"/>
      <protection locked="0" hidden="1"/>
    </xf>
    <xf numFmtId="169" fontId="17" fillId="9" borderId="3" xfId="3" applyNumberFormat="1" applyFont="1" applyFill="1" applyBorder="1" applyAlignment="1" applyProtection="1">
      <alignment horizontal="center" vertical="center" shrinkToFit="1"/>
      <protection hidden="1"/>
    </xf>
    <xf numFmtId="16" fontId="1" fillId="7" borderId="35" xfId="2" applyNumberFormat="1" applyFill="1" applyBorder="1" applyAlignment="1" applyProtection="1">
      <alignment horizontal="center" shrinkToFit="1"/>
      <protection hidden="1"/>
    </xf>
    <xf numFmtId="0" fontId="9" fillId="0" borderId="35" xfId="4" applyFont="1" applyFill="1" applyBorder="1" applyAlignment="1" applyProtection="1">
      <alignment horizontal="center" vertical="center" shrinkToFit="1"/>
      <protection hidden="1"/>
    </xf>
    <xf numFmtId="169" fontId="17" fillId="0" borderId="35" xfId="3" applyNumberFormat="1" applyFont="1" applyFill="1" applyBorder="1" applyAlignment="1" applyProtection="1">
      <alignment horizontal="center" vertical="center" shrinkToFit="1"/>
      <protection locked="0" hidden="1"/>
    </xf>
    <xf numFmtId="0" fontId="9" fillId="0" borderId="40" xfId="4" applyFont="1" applyFill="1" applyBorder="1" applyAlignment="1" applyProtection="1">
      <alignment horizontal="center" vertical="center" shrinkToFit="1"/>
      <protection hidden="1"/>
    </xf>
    <xf numFmtId="16" fontId="1" fillId="7" borderId="7" xfId="2" applyNumberFormat="1" applyFill="1" applyBorder="1" applyAlignment="1" applyProtection="1">
      <alignment horizontal="center" shrinkToFit="1"/>
      <protection hidden="1"/>
    </xf>
    <xf numFmtId="169" fontId="18" fillId="9" borderId="7" xfId="3" applyNumberFormat="1" applyFont="1" applyFill="1" applyBorder="1" applyAlignment="1" applyProtection="1">
      <alignment horizontal="center" vertical="center" shrinkToFit="1"/>
      <protection hidden="1"/>
    </xf>
    <xf numFmtId="0" fontId="1" fillId="0" borderId="3" xfId="2" applyFill="1" applyBorder="1" applyAlignment="1" applyProtection="1">
      <alignment horizontal="center" vertical="center" shrinkToFit="1"/>
      <protection hidden="1"/>
    </xf>
    <xf numFmtId="0" fontId="12" fillId="3" borderId="42" xfId="4" applyFont="1" applyFill="1" applyBorder="1" applyAlignment="1" applyProtection="1">
      <alignment horizontal="center" vertical="center" textRotation="90"/>
      <protection hidden="1"/>
    </xf>
    <xf numFmtId="16" fontId="1" fillId="7" borderId="47" xfId="2" applyNumberFormat="1" applyFill="1" applyBorder="1" applyAlignment="1" applyProtection="1">
      <alignment horizontal="center" shrinkToFit="1"/>
      <protection hidden="1"/>
    </xf>
    <xf numFmtId="0" fontId="9" fillId="0" borderId="49" xfId="4" applyFont="1" applyFill="1" applyBorder="1" applyAlignment="1" applyProtection="1">
      <alignment horizontal="center" vertical="center" shrinkToFit="1"/>
      <protection hidden="1"/>
    </xf>
    <xf numFmtId="0" fontId="9" fillId="0" borderId="47" xfId="4" applyFont="1" applyFill="1" applyBorder="1" applyAlignment="1" applyProtection="1">
      <alignment horizontal="center" vertical="center" shrinkToFit="1"/>
      <protection hidden="1"/>
    </xf>
    <xf numFmtId="169" fontId="9" fillId="0" borderId="47" xfId="3" applyNumberFormat="1" applyFont="1" applyFill="1" applyBorder="1" applyAlignment="1" applyProtection="1">
      <alignment horizontal="center" vertical="center" shrinkToFit="1"/>
      <protection locked="0" hidden="1"/>
    </xf>
    <xf numFmtId="169" fontId="9" fillId="0" borderId="48" xfId="3" applyNumberFormat="1" applyFont="1" applyFill="1" applyBorder="1" applyAlignment="1" applyProtection="1">
      <alignment horizontal="center" vertical="center" shrinkToFit="1"/>
      <protection locked="0" hidden="1"/>
    </xf>
    <xf numFmtId="169" fontId="9" fillId="0" borderId="42" xfId="3" applyNumberFormat="1" applyFont="1" applyFill="1" applyBorder="1" applyAlignment="1" applyProtection="1">
      <alignment horizontal="center" vertical="center" shrinkToFit="1"/>
      <protection locked="0" hidden="1"/>
    </xf>
    <xf numFmtId="169" fontId="9" fillId="9" borderId="42" xfId="3" applyNumberFormat="1" applyFont="1" applyFill="1" applyBorder="1" applyAlignment="1" applyProtection="1">
      <alignment horizontal="center" vertical="center" shrinkToFit="1"/>
      <protection hidden="1"/>
    </xf>
    <xf numFmtId="16" fontId="1" fillId="7" borderId="52" xfId="2" applyNumberFormat="1" applyFill="1" applyBorder="1" applyAlignment="1" applyProtection="1">
      <alignment horizontal="center" shrinkToFit="1"/>
      <protection hidden="1"/>
    </xf>
    <xf numFmtId="0" fontId="9" fillId="0" borderId="54" xfId="4" applyFont="1" applyFill="1" applyBorder="1" applyAlignment="1" applyProtection="1">
      <alignment horizontal="center" vertical="center" shrinkToFit="1"/>
      <protection hidden="1"/>
    </xf>
    <xf numFmtId="0" fontId="9" fillId="0" borderId="52" xfId="4" applyFont="1" applyFill="1" applyBorder="1" applyAlignment="1" applyProtection="1">
      <alignment horizontal="center" vertical="center" shrinkToFit="1"/>
      <protection hidden="1"/>
    </xf>
    <xf numFmtId="169" fontId="18" fillId="9" borderId="52" xfId="3" applyNumberFormat="1" applyFont="1" applyFill="1" applyBorder="1" applyAlignment="1" applyProtection="1">
      <alignment horizontal="center" vertical="center" shrinkToFit="1"/>
      <protection hidden="1"/>
    </xf>
    <xf numFmtId="169" fontId="18" fillId="9" borderId="53" xfId="3" applyNumberFormat="1" applyFont="1" applyFill="1" applyBorder="1" applyAlignment="1" applyProtection="1">
      <alignment horizontal="center" vertical="center" shrinkToFit="1"/>
      <protection hidden="1"/>
    </xf>
    <xf numFmtId="0" fontId="9" fillId="5" borderId="44" xfId="4" applyFont="1" applyFill="1" applyBorder="1" applyAlignment="1" applyProtection="1">
      <alignment horizontal="center" vertical="center" shrinkToFit="1"/>
      <protection hidden="1"/>
    </xf>
    <xf numFmtId="0" fontId="9" fillId="0" borderId="43" xfId="4" applyFont="1" applyFill="1" applyBorder="1" applyAlignment="1" applyProtection="1">
      <alignment horizontal="center" vertical="center" shrinkToFit="1"/>
      <protection hidden="1"/>
    </xf>
    <xf numFmtId="0" fontId="9" fillId="5" borderId="43" xfId="4" applyFont="1" applyFill="1" applyBorder="1" applyAlignment="1" applyProtection="1">
      <alignment horizontal="center" vertical="center" shrinkToFit="1"/>
      <protection hidden="1"/>
    </xf>
    <xf numFmtId="169" fontId="9" fillId="0" borderId="41" xfId="3" applyNumberFormat="1" applyFont="1" applyFill="1" applyBorder="1" applyAlignment="1" applyProtection="1">
      <alignment horizontal="center" vertical="center" shrinkToFit="1"/>
      <protection locked="0" hidden="1"/>
    </xf>
    <xf numFmtId="169" fontId="18" fillId="9" borderId="45" xfId="3" applyNumberFormat="1" applyFont="1" applyFill="1" applyBorder="1" applyAlignment="1" applyProtection="1">
      <alignment horizontal="center" vertical="center" shrinkToFit="1"/>
      <protection hidden="1"/>
    </xf>
    <xf numFmtId="0" fontId="9" fillId="0" borderId="42" xfId="4" applyFont="1" applyFill="1" applyBorder="1" applyAlignment="1" applyProtection="1">
      <alignment horizontal="center" vertical="center" shrinkToFit="1"/>
      <protection hidden="1"/>
    </xf>
    <xf numFmtId="0" fontId="12" fillId="3" borderId="55" xfId="4" applyFont="1" applyFill="1" applyBorder="1" applyAlignment="1" applyProtection="1">
      <alignment horizontal="center" vertical="center" textRotation="90"/>
      <protection hidden="1"/>
    </xf>
    <xf numFmtId="0" fontId="1" fillId="5" borderId="31" xfId="1" applyFill="1" applyBorder="1" applyAlignment="1" applyProtection="1">
      <alignment horizontal="center" vertical="center" shrinkToFit="1"/>
      <protection hidden="1"/>
    </xf>
    <xf numFmtId="0" fontId="1" fillId="5" borderId="27" xfId="1" applyFill="1" applyBorder="1" applyAlignment="1" applyProtection="1">
      <alignment horizontal="center" vertical="center" shrinkToFit="1"/>
      <protection hidden="1"/>
    </xf>
    <xf numFmtId="0" fontId="1" fillId="5" borderId="27" xfId="2" applyFill="1" applyBorder="1" applyAlignment="1" applyProtection="1">
      <alignment horizontal="center" vertical="center" shrinkToFit="1"/>
      <protection hidden="1"/>
    </xf>
    <xf numFmtId="0" fontId="9" fillId="5" borderId="27" xfId="4" applyFont="1" applyFill="1" applyBorder="1" applyAlignment="1" applyProtection="1">
      <alignment horizontal="center" vertical="center" shrinkToFit="1"/>
      <protection hidden="1"/>
    </xf>
    <xf numFmtId="0" fontId="9" fillId="5" borderId="55" xfId="4" applyFont="1" applyFill="1" applyBorder="1" applyAlignment="1" applyProtection="1">
      <alignment horizontal="center" vertical="center" shrinkToFit="1"/>
      <protection hidden="1"/>
    </xf>
    <xf numFmtId="0" fontId="9" fillId="5" borderId="7" xfId="4" applyFont="1" applyFill="1" applyBorder="1" applyAlignment="1" applyProtection="1">
      <alignment horizontal="center" vertical="center" shrinkToFit="1"/>
      <protection hidden="1"/>
    </xf>
    <xf numFmtId="0" fontId="1" fillId="5" borderId="7" xfId="2" applyFill="1" applyBorder="1" applyAlignment="1" applyProtection="1">
      <alignment horizontal="center" vertical="center" shrinkToFit="1"/>
      <protection hidden="1"/>
    </xf>
    <xf numFmtId="0" fontId="9" fillId="5" borderId="45" xfId="4" applyFont="1" applyFill="1" applyBorder="1" applyAlignment="1" applyProtection="1">
      <alignment horizontal="center" vertical="center" shrinkToFit="1"/>
      <protection hidden="1"/>
    </xf>
    <xf numFmtId="16" fontId="1" fillId="7" borderId="27" xfId="2" applyNumberFormat="1" applyFill="1" applyBorder="1" applyAlignment="1" applyProtection="1">
      <alignment horizontal="center" shrinkToFit="1"/>
      <protection hidden="1"/>
    </xf>
    <xf numFmtId="169" fontId="17" fillId="0" borderId="27" xfId="3" applyNumberFormat="1" applyFont="1" applyFill="1" applyBorder="1" applyAlignment="1" applyProtection="1">
      <alignment horizontal="center" vertical="center" shrinkToFit="1"/>
      <protection locked="0" hidden="1"/>
    </xf>
    <xf numFmtId="169" fontId="9" fillId="0" borderId="55" xfId="3" applyNumberFormat="1" applyFont="1" applyFill="1" applyBorder="1" applyAlignment="1" applyProtection="1">
      <alignment horizontal="center" vertical="center" shrinkToFit="1"/>
      <protection locked="0" hidden="1"/>
    </xf>
    <xf numFmtId="0" fontId="9" fillId="5" borderId="31" xfId="4" applyFont="1" applyFill="1" applyBorder="1" applyAlignment="1" applyProtection="1">
      <alignment horizontal="center" vertical="center" shrinkToFit="1"/>
      <protection hidden="1"/>
    </xf>
    <xf numFmtId="0" fontId="1" fillId="0" borderId="0" xfId="1" applyFill="1" applyBorder="1" applyAlignment="1" applyProtection="1">
      <alignment shrinkToFit="1"/>
      <protection hidden="1"/>
    </xf>
    <xf numFmtId="0" fontId="12" fillId="3" borderId="48" xfId="4" applyFont="1" applyFill="1" applyBorder="1" applyAlignment="1" applyProtection="1">
      <alignment horizontal="center" vertical="center" textRotation="90"/>
      <protection hidden="1"/>
    </xf>
    <xf numFmtId="0" fontId="13" fillId="0" borderId="57" xfId="4" applyFont="1" applyFill="1" applyBorder="1" applyAlignment="1" applyProtection="1">
      <alignment shrinkToFit="1"/>
      <protection hidden="1"/>
    </xf>
    <xf numFmtId="0" fontId="12" fillId="3" borderId="53" xfId="4" applyFont="1" applyFill="1" applyBorder="1" applyAlignment="1" applyProtection="1">
      <alignment horizontal="center" vertical="center" textRotation="90"/>
      <protection hidden="1"/>
    </xf>
    <xf numFmtId="0" fontId="12" fillId="0" borderId="65" xfId="4" applyFont="1" applyFill="1" applyBorder="1" applyAlignment="1" applyProtection="1">
      <alignment shrinkToFit="1"/>
      <protection hidden="1"/>
    </xf>
    <xf numFmtId="0" fontId="12" fillId="0" borderId="62" xfId="4" applyFont="1" applyFill="1" applyBorder="1" applyAlignment="1" applyProtection="1">
      <alignment shrinkToFit="1"/>
      <protection hidden="1"/>
    </xf>
    <xf numFmtId="0" fontId="12" fillId="0" borderId="63" xfId="4" applyFont="1" applyFill="1" applyBorder="1" applyAlignment="1" applyProtection="1">
      <alignment shrinkToFit="1"/>
      <protection hidden="1"/>
    </xf>
    <xf numFmtId="0" fontId="12" fillId="0" borderId="57" xfId="4" applyFont="1" applyFill="1" applyBorder="1" applyAlignment="1" applyProtection="1">
      <alignment shrinkToFit="1"/>
      <protection hidden="1"/>
    </xf>
    <xf numFmtId="0" fontId="12" fillId="0" borderId="64" xfId="4" applyFont="1" applyFill="1" applyBorder="1" applyAlignment="1" applyProtection="1">
      <alignment shrinkToFit="1"/>
      <protection hidden="1"/>
    </xf>
    <xf numFmtId="16" fontId="1" fillId="7" borderId="48" xfId="2" applyNumberFormat="1" applyFill="1" applyBorder="1" applyAlignment="1" applyProtection="1">
      <alignment horizontal="center" shrinkToFit="1"/>
      <protection hidden="1"/>
    </xf>
    <xf numFmtId="16" fontId="1" fillId="7" borderId="42" xfId="2" applyNumberFormat="1" applyFill="1" applyBorder="1" applyAlignment="1" applyProtection="1">
      <alignment horizontal="center" shrinkToFit="1"/>
      <protection hidden="1"/>
    </xf>
    <xf numFmtId="16" fontId="1" fillId="7" borderId="53" xfId="2" applyNumberFormat="1" applyFill="1" applyBorder="1" applyAlignment="1" applyProtection="1">
      <alignment horizontal="center" shrinkToFit="1"/>
      <protection hidden="1"/>
    </xf>
    <xf numFmtId="0" fontId="12" fillId="6" borderId="35" xfId="4" applyNumberFormat="1" applyFont="1" applyFill="1" applyBorder="1" applyAlignment="1" applyProtection="1">
      <alignment shrinkToFit="1"/>
      <protection locked="0" hidden="1"/>
    </xf>
    <xf numFmtId="0" fontId="19" fillId="6" borderId="50" xfId="4" applyNumberFormat="1" applyFont="1" applyFill="1" applyBorder="1" applyAlignment="1" applyProtection="1">
      <alignment shrinkToFit="1"/>
      <protection hidden="1"/>
    </xf>
    <xf numFmtId="0" fontId="19" fillId="6" borderId="56" xfId="4" applyNumberFormat="1" applyFont="1" applyFill="1" applyBorder="1" applyAlignment="1" applyProtection="1">
      <alignment shrinkToFit="1"/>
      <protection hidden="1"/>
    </xf>
    <xf numFmtId="0" fontId="19" fillId="6" borderId="46" xfId="4" applyNumberFormat="1" applyFont="1" applyFill="1" applyBorder="1" applyAlignment="1" applyProtection="1">
      <alignment shrinkToFit="1"/>
      <protection hidden="1"/>
    </xf>
    <xf numFmtId="0" fontId="19" fillId="6" borderId="51" xfId="4" applyNumberFormat="1" applyFont="1" applyFill="1" applyBorder="1" applyAlignment="1" applyProtection="1">
      <alignment shrinkToFit="1"/>
      <protection hidden="1"/>
    </xf>
    <xf numFmtId="0" fontId="19" fillId="6" borderId="58" xfId="4" applyNumberFormat="1" applyFont="1" applyFill="1" applyBorder="1" applyAlignment="1" applyProtection="1">
      <alignment shrinkToFit="1"/>
      <protection hidden="1"/>
    </xf>
    <xf numFmtId="0" fontId="9" fillId="0" borderId="30" xfId="4" applyFont="1" applyFill="1" applyBorder="1" applyAlignment="1" applyProtection="1">
      <alignment horizontal="center" vertical="center" shrinkToFit="1"/>
      <protection hidden="1"/>
    </xf>
    <xf numFmtId="0" fontId="9" fillId="5" borderId="30" xfId="4" applyFont="1" applyFill="1" applyBorder="1" applyAlignment="1" applyProtection="1">
      <alignment horizontal="center" vertical="center" shrinkToFit="1"/>
      <protection hidden="1"/>
    </xf>
    <xf numFmtId="0" fontId="5" fillId="2" borderId="7" xfId="4" applyFont="1" applyFill="1" applyBorder="1" applyAlignment="1" applyProtection="1">
      <alignment horizontal="center" textRotation="90" shrinkToFit="1"/>
      <protection hidden="1"/>
    </xf>
    <xf numFmtId="0" fontId="5" fillId="2" borderId="12" xfId="4" applyFont="1" applyFill="1" applyBorder="1" applyAlignment="1" applyProtection="1">
      <alignment horizontal="center" textRotation="90" shrinkToFit="1"/>
      <protection hidden="1"/>
    </xf>
    <xf numFmtId="0" fontId="5" fillId="2" borderId="27" xfId="4" applyFont="1" applyFill="1" applyBorder="1" applyAlignment="1" applyProtection="1">
      <alignment horizontal="center" textRotation="90" shrinkToFit="1"/>
      <protection hidden="1"/>
    </xf>
    <xf numFmtId="16" fontId="1" fillId="7" borderId="28" xfId="2" applyNumberFormat="1" applyFill="1" applyBorder="1" applyAlignment="1" applyProtection="1">
      <alignment horizontal="center" shrinkToFit="1"/>
      <protection hidden="1"/>
    </xf>
    <xf numFmtId="0" fontId="19" fillId="6" borderId="72" xfId="4" applyNumberFormat="1" applyFont="1" applyFill="1" applyBorder="1" applyAlignment="1" applyProtection="1">
      <alignment shrinkToFit="1"/>
      <protection hidden="1"/>
    </xf>
    <xf numFmtId="0" fontId="19" fillId="6" borderId="73" xfId="4" applyNumberFormat="1" applyFont="1" applyFill="1" applyBorder="1" applyAlignment="1" applyProtection="1">
      <alignment shrinkToFit="1"/>
      <protection hidden="1"/>
    </xf>
    <xf numFmtId="0" fontId="19" fillId="6" borderId="74" xfId="4" applyNumberFormat="1" applyFont="1" applyFill="1" applyBorder="1" applyAlignment="1" applyProtection="1">
      <alignment shrinkToFit="1"/>
      <protection hidden="1"/>
    </xf>
    <xf numFmtId="0" fontId="12" fillId="6" borderId="40" xfId="4" applyNumberFormat="1" applyFont="1" applyFill="1" applyBorder="1" applyAlignment="1" applyProtection="1">
      <alignment shrinkToFit="1"/>
      <protection locked="0" hidden="1"/>
    </xf>
    <xf numFmtId="0" fontId="12" fillId="6" borderId="28" xfId="4" applyNumberFormat="1" applyFont="1" applyFill="1" applyBorder="1" applyAlignment="1" applyProtection="1">
      <alignment shrinkToFit="1"/>
      <protection locked="0" hidden="1"/>
    </xf>
    <xf numFmtId="0" fontId="12" fillId="6" borderId="79" xfId="4" applyNumberFormat="1" applyFont="1" applyFill="1" applyBorder="1" applyAlignment="1" applyProtection="1">
      <alignment shrinkToFit="1"/>
      <protection locked="0" hidden="1"/>
    </xf>
    <xf numFmtId="0" fontId="19" fillId="6" borderId="34" xfId="4" applyNumberFormat="1" applyFont="1" applyFill="1" applyBorder="1" applyAlignment="1" applyProtection="1">
      <alignment shrinkToFit="1"/>
      <protection hidden="1"/>
    </xf>
    <xf numFmtId="0" fontId="19" fillId="6" borderId="36" xfId="4" applyNumberFormat="1" applyFont="1" applyFill="1" applyBorder="1" applyAlignment="1" applyProtection="1">
      <alignment shrinkToFit="1"/>
      <protection hidden="1"/>
    </xf>
    <xf numFmtId="0" fontId="19" fillId="6" borderId="37" xfId="4" applyNumberFormat="1" applyFont="1" applyFill="1" applyBorder="1" applyAlignment="1" applyProtection="1">
      <alignment shrinkToFit="1"/>
      <protection hidden="1"/>
    </xf>
    <xf numFmtId="0" fontId="12" fillId="6" borderId="38" xfId="4" applyNumberFormat="1" applyFont="1" applyFill="1" applyBorder="1" applyAlignment="1" applyProtection="1">
      <alignment shrinkToFit="1"/>
      <protection locked="0" hidden="1"/>
    </xf>
    <xf numFmtId="16" fontId="1" fillId="7" borderId="38" xfId="2" applyNumberFormat="1" applyFill="1" applyBorder="1" applyAlignment="1" applyProtection="1">
      <alignment horizontal="center" shrinkToFit="1"/>
      <protection hidden="1"/>
    </xf>
    <xf numFmtId="16" fontId="1" fillId="7" borderId="79" xfId="2" applyNumberFormat="1" applyFill="1" applyBorder="1" applyAlignment="1" applyProtection="1">
      <alignment horizontal="center" shrinkToFit="1"/>
      <protection hidden="1"/>
    </xf>
    <xf numFmtId="0" fontId="19" fillId="6" borderId="82" xfId="4" applyNumberFormat="1" applyFont="1" applyFill="1" applyBorder="1" applyAlignment="1" applyProtection="1">
      <alignment shrinkToFit="1"/>
      <protection hidden="1"/>
    </xf>
    <xf numFmtId="0" fontId="12" fillId="6" borderId="31" xfId="4" applyNumberFormat="1" applyFont="1" applyFill="1" applyBorder="1" applyAlignment="1" applyProtection="1">
      <alignment shrinkToFit="1"/>
      <protection locked="0" hidden="1"/>
    </xf>
    <xf numFmtId="16" fontId="1" fillId="7" borderId="31" xfId="2" applyNumberFormat="1" applyFill="1" applyBorder="1" applyAlignment="1" applyProtection="1">
      <alignment horizontal="center" shrinkToFit="1"/>
      <protection hidden="1"/>
    </xf>
    <xf numFmtId="0" fontId="12" fillId="3" borderId="45" xfId="4" applyFont="1" applyFill="1" applyBorder="1" applyAlignment="1" applyProtection="1">
      <alignment horizontal="center" vertical="center" textRotation="90"/>
      <protection hidden="1"/>
    </xf>
    <xf numFmtId="0" fontId="9" fillId="10" borderId="0" xfId="4" applyFont="1" applyFill="1" applyBorder="1" applyAlignment="1" applyProtection="1">
      <alignment horizontal="center" vertical="center" shrinkToFit="1"/>
      <protection hidden="1"/>
    </xf>
    <xf numFmtId="1" fontId="9" fillId="10" borderId="0" xfId="4" applyNumberFormat="1" applyFont="1" applyFill="1" applyBorder="1" applyAlignment="1" applyProtection="1">
      <alignment horizontal="center" vertical="center" shrinkToFit="1"/>
      <protection hidden="1"/>
    </xf>
    <xf numFmtId="0" fontId="1" fillId="10" borderId="0" xfId="0" applyFont="1" applyFill="1" applyBorder="1" applyAlignment="1" applyProtection="1"/>
    <xf numFmtId="0" fontId="12" fillId="10" borderId="0" xfId="4" applyNumberFormat="1" applyFont="1" applyFill="1" applyBorder="1" applyAlignment="1" applyProtection="1">
      <alignment horizontal="center" vertical="center" shrinkToFit="1"/>
      <protection locked="0" hidden="1"/>
    </xf>
    <xf numFmtId="2" fontId="25" fillId="11" borderId="35" xfId="4" applyNumberFormat="1" applyFont="1" applyFill="1" applyBorder="1" applyAlignment="1" applyProtection="1">
      <alignment horizontal="center" vertical="center" shrinkToFit="1"/>
      <protection locked="0" hidden="1"/>
    </xf>
    <xf numFmtId="0" fontId="25" fillId="11" borderId="3" xfId="4" applyNumberFormat="1" applyFont="1" applyFill="1" applyBorder="1" applyAlignment="1" applyProtection="1">
      <alignment horizontal="center" vertical="center" shrinkToFit="1"/>
      <protection locked="0" hidden="1"/>
    </xf>
    <xf numFmtId="9" fontId="25" fillId="12" borderId="3" xfId="4" applyNumberFormat="1" applyFont="1" applyFill="1" applyBorder="1" applyAlignment="1" applyProtection="1">
      <alignment vertical="center" shrinkToFit="1"/>
      <protection locked="0" hidden="1"/>
    </xf>
    <xf numFmtId="0" fontId="1" fillId="11" borderId="35" xfId="0" applyFont="1" applyFill="1" applyBorder="1" applyAlignment="1" applyProtection="1">
      <protection locked="0"/>
    </xf>
    <xf numFmtId="0" fontId="1" fillId="11" borderId="3" xfId="0" applyFont="1" applyFill="1" applyBorder="1" applyAlignment="1" applyProtection="1">
      <protection locked="0"/>
    </xf>
    <xf numFmtId="0" fontId="1" fillId="11" borderId="68" xfId="0" applyFont="1" applyFill="1" applyBorder="1" applyAlignment="1" applyProtection="1">
      <protection locked="0"/>
    </xf>
    <xf numFmtId="0" fontId="1" fillId="11" borderId="69" xfId="0" applyFont="1" applyFill="1" applyBorder="1" applyAlignment="1" applyProtection="1">
      <protection locked="0"/>
    </xf>
    <xf numFmtId="0" fontId="24" fillId="12" borderId="69" xfId="0" applyFont="1" applyFill="1" applyBorder="1" applyAlignment="1" applyProtection="1">
      <protection locked="0"/>
    </xf>
    <xf numFmtId="0" fontId="26" fillId="11" borderId="38" xfId="4" applyFont="1" applyFill="1" applyBorder="1" applyAlignment="1" applyProtection="1">
      <alignment horizontal="center" vertical="center" shrinkToFit="1"/>
      <protection locked="0" hidden="1"/>
    </xf>
    <xf numFmtId="0" fontId="24" fillId="12" borderId="75" xfId="0" applyFont="1" applyFill="1" applyBorder="1" applyAlignment="1" applyProtection="1">
      <protection locked="0"/>
    </xf>
    <xf numFmtId="170" fontId="25" fillId="12" borderId="3" xfId="3" applyNumberFormat="1" applyFont="1" applyFill="1" applyBorder="1" applyAlignment="1" applyProtection="1">
      <alignment horizontal="center"/>
      <protection locked="0"/>
    </xf>
    <xf numFmtId="1" fontId="0" fillId="11" borderId="84" xfId="0" applyNumberFormat="1" applyFont="1" applyFill="1" applyBorder="1" applyAlignment="1" applyProtection="1">
      <alignment horizontal="center"/>
      <protection locked="0"/>
    </xf>
    <xf numFmtId="1" fontId="0" fillId="11" borderId="3" xfId="0" applyNumberFormat="1" applyFont="1" applyFill="1" applyBorder="1" applyAlignment="1" applyProtection="1">
      <alignment horizontal="center"/>
      <protection locked="0"/>
    </xf>
    <xf numFmtId="1" fontId="25" fillId="11" borderId="68" xfId="4" applyNumberFormat="1" applyFont="1" applyFill="1" applyBorder="1" applyAlignment="1" applyProtection="1">
      <alignment horizontal="center" vertical="center" shrinkToFit="1"/>
      <protection locked="0" hidden="1"/>
    </xf>
    <xf numFmtId="1" fontId="25" fillId="11" borderId="75" xfId="4" applyNumberFormat="1" applyFont="1" applyFill="1" applyBorder="1" applyAlignment="1" applyProtection="1">
      <alignment horizontal="center" vertical="center" shrinkToFit="1"/>
      <protection locked="0" hidden="1"/>
    </xf>
    <xf numFmtId="1" fontId="13" fillId="0" borderId="0" xfId="4" applyNumberFormat="1" applyFont="1" applyFill="1" applyBorder="1" applyAlignment="1" applyProtection="1">
      <alignment shrinkToFit="1"/>
      <protection hidden="1"/>
    </xf>
    <xf numFmtId="1" fontId="12" fillId="0" borderId="0" xfId="4" applyNumberFormat="1" applyFont="1" applyFill="1" applyBorder="1" applyAlignment="1" applyProtection="1">
      <alignment shrinkToFit="1"/>
      <protection hidden="1"/>
    </xf>
    <xf numFmtId="1" fontId="12" fillId="0" borderId="65" xfId="4" applyNumberFormat="1" applyFont="1" applyFill="1" applyBorder="1" applyAlignment="1" applyProtection="1">
      <alignment shrinkToFit="1"/>
      <protection hidden="1"/>
    </xf>
    <xf numFmtId="1" fontId="12" fillId="0" borderId="63" xfId="4" applyNumberFormat="1" applyFont="1" applyFill="1" applyBorder="1" applyAlignment="1" applyProtection="1">
      <alignment shrinkToFit="1"/>
      <protection hidden="1"/>
    </xf>
    <xf numFmtId="1" fontId="1" fillId="0" borderId="0" xfId="1" applyNumberFormat="1" applyFill="1" applyBorder="1" applyAlignment="1" applyProtection="1">
      <alignment shrinkToFit="1"/>
      <protection hidden="1"/>
    </xf>
    <xf numFmtId="169" fontId="0" fillId="0" borderId="35" xfId="3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85" xfId="0" applyBorder="1" applyProtection="1"/>
    <xf numFmtId="0" fontId="0" fillId="0" borderId="86" xfId="0" applyBorder="1" applyProtection="1"/>
    <xf numFmtId="170" fontId="0" fillId="0" borderId="3" xfId="21" applyNumberFormat="1" applyFont="1" applyBorder="1" applyAlignment="1" applyProtection="1">
      <alignment horizontal="center"/>
    </xf>
    <xf numFmtId="10" fontId="0" fillId="0" borderId="3" xfId="22" applyNumberFormat="1" applyFont="1" applyBorder="1" applyProtection="1"/>
    <xf numFmtId="1" fontId="0" fillId="13" borderId="87" xfId="0" applyNumberFormat="1" applyFill="1" applyBorder="1" applyAlignment="1" applyProtection="1">
      <alignment horizontal="left" indent="1"/>
    </xf>
    <xf numFmtId="171" fontId="0" fillId="13" borderId="3" xfId="0" applyNumberFormat="1" applyFill="1" applyBorder="1" applyAlignment="1" applyProtection="1">
      <alignment horizontal="left" indent="1"/>
    </xf>
    <xf numFmtId="9" fontId="0" fillId="0" borderId="3" xfId="22" applyFont="1" applyBorder="1" applyProtection="1"/>
    <xf numFmtId="9" fontId="0" fillId="10" borderId="3" xfId="22" applyFont="1" applyFill="1" applyBorder="1" applyAlignment="1" applyProtection="1">
      <alignment horizontal="left" indent="1"/>
      <protection locked="0"/>
    </xf>
    <xf numFmtId="0" fontId="0" fillId="0" borderId="0" xfId="0" applyAlignment="1" applyProtection="1">
      <alignment horizontal="left" indent="1"/>
    </xf>
    <xf numFmtId="1" fontId="0" fillId="13" borderId="3" xfId="0" applyNumberFormat="1" applyFill="1" applyBorder="1" applyAlignment="1" applyProtection="1">
      <alignment horizontal="left" indent="1"/>
    </xf>
    <xf numFmtId="170" fontId="28" fillId="14" borderId="3" xfId="21" applyNumberFormat="1" applyFont="1" applyFill="1" applyBorder="1" applyAlignment="1" applyProtection="1">
      <alignment horizontal="center"/>
    </xf>
    <xf numFmtId="9" fontId="28" fillId="14" borderId="3" xfId="22" applyFont="1" applyFill="1" applyBorder="1" applyProtection="1"/>
    <xf numFmtId="0" fontId="0" fillId="0" borderId="9" xfId="0" applyBorder="1" applyAlignment="1" applyProtection="1"/>
    <xf numFmtId="0" fontId="0" fillId="0" borderId="3" xfId="0" applyBorder="1" applyAlignment="1" applyProtection="1">
      <alignment horizontal="left" indent="1"/>
      <protection locked="0"/>
    </xf>
    <xf numFmtId="0" fontId="0" fillId="0" borderId="88" xfId="0" applyBorder="1" applyProtection="1"/>
    <xf numFmtId="1" fontId="0" fillId="13" borderId="3" xfId="0" applyNumberFormat="1" applyFill="1" applyBorder="1" applyProtection="1"/>
    <xf numFmtId="0" fontId="0" fillId="0" borderId="3" xfId="0" applyBorder="1" applyProtection="1"/>
    <xf numFmtId="0" fontId="0" fillId="15" borderId="3" xfId="0" applyFill="1" applyBorder="1" applyProtection="1">
      <protection locked="0"/>
    </xf>
    <xf numFmtId="0" fontId="1" fillId="0" borderId="3" xfId="0" applyFont="1" applyBorder="1" applyProtection="1"/>
    <xf numFmtId="170" fontId="27" fillId="14" borderId="3" xfId="21" applyNumberFormat="1" applyFont="1" applyFill="1" applyBorder="1" applyAlignment="1" applyProtection="1">
      <alignment horizontal="center"/>
    </xf>
    <xf numFmtId="9" fontId="27" fillId="14" borderId="3" xfId="22" applyFont="1" applyFill="1" applyBorder="1" applyAlignment="1" applyProtection="1">
      <alignment horizontal="center"/>
    </xf>
    <xf numFmtId="0" fontId="1" fillId="9" borderId="3" xfId="0" applyFont="1" applyFill="1" applyBorder="1" applyAlignment="1" applyProtection="1">
      <alignment horizontal="center"/>
    </xf>
    <xf numFmtId="0" fontId="1" fillId="9" borderId="3" xfId="0" applyFont="1" applyFill="1" applyBorder="1" applyProtection="1"/>
    <xf numFmtId="0" fontId="30" fillId="16" borderId="89" xfId="0" applyFont="1" applyFill="1" applyBorder="1" applyAlignment="1">
      <alignment horizontal="center" vertical="center" wrapText="1" readingOrder="1"/>
    </xf>
    <xf numFmtId="0" fontId="30" fillId="16" borderId="90" xfId="0" applyFont="1" applyFill="1" applyBorder="1" applyAlignment="1">
      <alignment horizontal="center" vertical="center" wrapText="1" readingOrder="1"/>
    </xf>
    <xf numFmtId="0" fontId="30" fillId="16" borderId="94" xfId="0" applyFont="1" applyFill="1" applyBorder="1" applyAlignment="1">
      <alignment horizontal="center" vertical="center" wrapText="1" readingOrder="1"/>
    </xf>
    <xf numFmtId="0" fontId="30" fillId="16" borderId="95" xfId="0" applyFont="1" applyFill="1" applyBorder="1" applyAlignment="1">
      <alignment horizontal="center" vertical="center" wrapText="1" readingOrder="1"/>
    </xf>
    <xf numFmtId="0" fontId="30" fillId="16" borderId="96" xfId="0" applyFont="1" applyFill="1" applyBorder="1" applyAlignment="1">
      <alignment horizontal="left" vertical="center" wrapText="1" indent="1" readingOrder="1"/>
    </xf>
    <xf numFmtId="4" fontId="31" fillId="17" borderId="97" xfId="0" applyNumberFormat="1" applyFont="1" applyFill="1" applyBorder="1" applyAlignment="1">
      <alignment horizontal="right" vertical="center" shrinkToFit="1" readingOrder="1"/>
    </xf>
    <xf numFmtId="4" fontId="31" fillId="17" borderId="98" xfId="0" applyNumberFormat="1" applyFont="1" applyFill="1" applyBorder="1" applyAlignment="1">
      <alignment horizontal="center" vertical="center" shrinkToFit="1" readingOrder="1"/>
    </xf>
    <xf numFmtId="4" fontId="31" fillId="18" borderId="99" xfId="0" applyNumberFormat="1" applyFont="1" applyFill="1" applyBorder="1" applyAlignment="1">
      <alignment horizontal="right" vertical="center" shrinkToFit="1" readingOrder="1"/>
    </xf>
    <xf numFmtId="4" fontId="31" fillId="18" borderId="100" xfId="0" applyNumberFormat="1" applyFont="1" applyFill="1" applyBorder="1" applyAlignment="1">
      <alignment horizontal="center" vertical="center" shrinkToFit="1" readingOrder="1"/>
    </xf>
    <xf numFmtId="4" fontId="31" fillId="17" borderId="101" xfId="0" applyNumberFormat="1" applyFont="1" applyFill="1" applyBorder="1" applyAlignment="1">
      <alignment horizontal="right" vertical="center" shrinkToFit="1" readingOrder="1"/>
    </xf>
    <xf numFmtId="4" fontId="31" fillId="17" borderId="102" xfId="0" applyNumberFormat="1" applyFont="1" applyFill="1" applyBorder="1" applyAlignment="1">
      <alignment horizontal="center" vertical="center" shrinkToFit="1" readingOrder="1"/>
    </xf>
    <xf numFmtId="0" fontId="1" fillId="0" borderId="57" xfId="1" applyFill="1" applyBorder="1" applyAlignment="1" applyProtection="1">
      <alignment shrinkToFit="1"/>
      <protection hidden="1"/>
    </xf>
    <xf numFmtId="0" fontId="1" fillId="3" borderId="55" xfId="1" applyFill="1" applyBorder="1" applyAlignment="1" applyProtection="1">
      <alignment horizontal="center" vertical="center" textRotation="90"/>
      <protection hidden="1"/>
    </xf>
    <xf numFmtId="0" fontId="12" fillId="6" borderId="84" xfId="4" applyNumberFormat="1" applyFont="1" applyFill="1" applyBorder="1" applyAlignment="1" applyProtection="1">
      <alignment vertical="center" shrinkToFit="1"/>
      <protection locked="0" hidden="1"/>
    </xf>
    <xf numFmtId="0" fontId="12" fillId="6" borderId="12" xfId="4" applyNumberFormat="1" applyFont="1" applyFill="1" applyBorder="1" applyAlignment="1" applyProtection="1">
      <alignment vertical="center" shrinkToFit="1"/>
      <protection locked="0" hidden="1"/>
    </xf>
    <xf numFmtId="0" fontId="12" fillId="6" borderId="15" xfId="4" applyNumberFormat="1" applyFont="1" applyFill="1" applyBorder="1" applyAlignment="1" applyProtection="1">
      <alignment vertical="center" shrinkToFit="1"/>
      <protection locked="0" hidden="1"/>
    </xf>
    <xf numFmtId="0" fontId="12" fillId="6" borderId="84" xfId="4" applyNumberFormat="1" applyFont="1" applyFill="1" applyBorder="1" applyAlignment="1" applyProtection="1">
      <alignment horizontal="center" vertical="center" shrinkToFit="1"/>
      <protection locked="0" hidden="1"/>
    </xf>
    <xf numFmtId="0" fontId="12" fillId="6" borderId="12" xfId="4" applyNumberFormat="1" applyFont="1" applyFill="1" applyBorder="1" applyAlignment="1" applyProtection="1">
      <alignment horizontal="center" vertical="center" shrinkToFit="1"/>
      <protection locked="0" hidden="1"/>
    </xf>
    <xf numFmtId="0" fontId="12" fillId="6" borderId="15" xfId="4" applyNumberFormat="1" applyFont="1" applyFill="1" applyBorder="1" applyAlignment="1" applyProtection="1">
      <alignment horizontal="center" vertical="center" shrinkToFit="1"/>
      <protection locked="0" hidden="1"/>
    </xf>
    <xf numFmtId="9" fontId="1" fillId="4" borderId="1" xfId="2" applyNumberFormat="1" applyFill="1" applyBorder="1" applyAlignment="1" applyProtection="1">
      <alignment horizontal="left" shrinkToFit="1"/>
      <protection hidden="1"/>
    </xf>
    <xf numFmtId="1" fontId="1" fillId="7" borderId="77" xfId="2" applyNumberFormat="1" applyFill="1" applyBorder="1" applyAlignment="1" applyProtection="1">
      <alignment horizontal="center" shrinkToFit="1"/>
      <protection hidden="1"/>
    </xf>
    <xf numFmtId="1" fontId="1" fillId="7" borderId="70" xfId="2" applyNumberFormat="1" applyFill="1" applyBorder="1" applyAlignment="1" applyProtection="1">
      <alignment horizontal="center" shrinkToFit="1"/>
      <protection hidden="1"/>
    </xf>
    <xf numFmtId="1" fontId="1" fillId="7" borderId="71" xfId="2" applyNumberFormat="1" applyFill="1" applyBorder="1" applyAlignment="1" applyProtection="1">
      <alignment horizontal="center" shrinkToFit="1"/>
      <protection hidden="1"/>
    </xf>
    <xf numFmtId="1" fontId="1" fillId="7" borderId="83" xfId="2" applyNumberFormat="1" applyFill="1" applyBorder="1" applyAlignment="1" applyProtection="1">
      <alignment horizontal="center" shrinkToFit="1"/>
      <protection hidden="1"/>
    </xf>
    <xf numFmtId="1" fontId="1" fillId="7" borderId="78" xfId="2" applyNumberFormat="1" applyFill="1" applyBorder="1" applyAlignment="1" applyProtection="1">
      <alignment horizontal="center" shrinkToFit="1"/>
      <protection hidden="1"/>
    </xf>
    <xf numFmtId="0" fontId="1" fillId="0" borderId="0" xfId="2" applyFill="1" applyBorder="1" applyAlignment="1" applyProtection="1">
      <alignment shrinkToFit="1"/>
      <protection hidden="1"/>
    </xf>
    <xf numFmtId="1" fontId="1" fillId="7" borderId="35" xfId="2" applyNumberFormat="1" applyFill="1" applyBorder="1" applyAlignment="1" applyProtection="1">
      <alignment horizontal="center" shrinkToFit="1"/>
      <protection hidden="1"/>
    </xf>
    <xf numFmtId="1" fontId="1" fillId="7" borderId="3" xfId="2" applyNumberFormat="1" applyFill="1" applyBorder="1" applyAlignment="1" applyProtection="1">
      <alignment horizontal="center" shrinkToFit="1"/>
      <protection hidden="1"/>
    </xf>
    <xf numFmtId="1" fontId="1" fillId="7" borderId="38" xfId="2" applyNumberFormat="1" applyFill="1" applyBorder="1" applyAlignment="1" applyProtection="1">
      <alignment horizontal="center" shrinkToFit="1"/>
      <protection hidden="1"/>
    </xf>
    <xf numFmtId="0" fontId="1" fillId="0" borderId="65" xfId="2" applyFill="1" applyBorder="1" applyAlignment="1" applyProtection="1">
      <alignment shrinkToFit="1"/>
      <protection hidden="1"/>
    </xf>
    <xf numFmtId="1" fontId="1" fillId="7" borderId="27" xfId="2" applyNumberFormat="1" applyFill="1" applyBorder="1" applyAlignment="1" applyProtection="1">
      <alignment horizontal="center" shrinkToFit="1"/>
      <protection hidden="1"/>
    </xf>
    <xf numFmtId="1" fontId="1" fillId="7" borderId="52" xfId="2" applyNumberFormat="1" applyFill="1" applyBorder="1" applyAlignment="1" applyProtection="1">
      <alignment horizontal="center" shrinkToFit="1"/>
      <protection hidden="1"/>
    </xf>
    <xf numFmtId="1" fontId="1" fillId="7" borderId="47" xfId="2" applyNumberFormat="1" applyFill="1" applyBorder="1" applyAlignment="1" applyProtection="1">
      <alignment horizontal="center" shrinkToFit="1"/>
      <protection hidden="1"/>
    </xf>
    <xf numFmtId="1" fontId="1" fillId="7" borderId="7" xfId="2" applyNumberFormat="1" applyFill="1" applyBorder="1" applyAlignment="1" applyProtection="1">
      <alignment horizontal="center" shrinkToFit="1"/>
      <protection hidden="1"/>
    </xf>
    <xf numFmtId="0" fontId="1" fillId="0" borderId="63" xfId="2" applyFill="1" applyBorder="1" applyAlignment="1" applyProtection="1">
      <alignment shrinkToFit="1"/>
      <protection hidden="1"/>
    </xf>
    <xf numFmtId="0" fontId="30" fillId="16" borderId="93" xfId="0" applyFont="1" applyFill="1" applyBorder="1" applyAlignment="1">
      <alignment horizontal="center" vertical="center" wrapText="1" readingOrder="1"/>
    </xf>
    <xf numFmtId="164" fontId="6" fillId="2" borderId="39" xfId="4" applyNumberFormat="1" applyFont="1" applyFill="1" applyBorder="1" applyAlignment="1" applyProtection="1">
      <alignment horizontal="center" shrinkToFit="1"/>
      <protection hidden="1"/>
    </xf>
    <xf numFmtId="164" fontId="6" fillId="2" borderId="38" xfId="4" applyNumberFormat="1" applyFont="1" applyFill="1" applyBorder="1" applyAlignment="1" applyProtection="1">
      <alignment horizontal="center" shrinkToFit="1"/>
      <protection hidden="1"/>
    </xf>
    <xf numFmtId="0" fontId="5" fillId="2" borderId="3" xfId="4" applyFont="1" applyFill="1" applyBorder="1" applyAlignment="1" applyProtection="1">
      <alignment horizontal="center" vertical="center" shrinkToFit="1"/>
      <protection hidden="1"/>
    </xf>
    <xf numFmtId="0" fontId="12" fillId="6" borderId="35" xfId="4" applyNumberFormat="1" applyFont="1" applyFill="1" applyBorder="1" applyAlignment="1" applyProtection="1">
      <alignment horizontal="center" vertical="center" shrinkToFit="1"/>
      <protection locked="0" hidden="1"/>
    </xf>
    <xf numFmtId="0" fontId="12" fillId="6" borderId="3" xfId="4" applyNumberFormat="1" applyFont="1" applyFill="1" applyBorder="1" applyAlignment="1" applyProtection="1">
      <alignment horizontal="center" vertical="center" shrinkToFit="1"/>
      <protection locked="0" hidden="1"/>
    </xf>
    <xf numFmtId="0" fontId="12" fillId="6" borderId="38" xfId="4" applyNumberFormat="1" applyFont="1" applyFill="1" applyBorder="1" applyAlignment="1" applyProtection="1">
      <alignment horizontal="center" vertical="center" shrinkToFit="1"/>
      <protection locked="0" hidden="1"/>
    </xf>
    <xf numFmtId="0" fontId="12" fillId="6" borderId="40" xfId="4" applyNumberFormat="1" applyFont="1" applyFill="1" applyBorder="1" applyAlignment="1" applyProtection="1">
      <alignment horizontal="center" vertical="center" shrinkToFit="1"/>
      <protection locked="0" hidden="1"/>
    </xf>
    <xf numFmtId="0" fontId="12" fillId="6" borderId="28" xfId="4" applyNumberFormat="1" applyFont="1" applyFill="1" applyBorder="1" applyAlignment="1" applyProtection="1">
      <alignment horizontal="center" vertical="center" shrinkToFit="1"/>
      <protection locked="0" hidden="1"/>
    </xf>
    <xf numFmtId="0" fontId="12" fillId="6" borderId="79" xfId="4" applyNumberFormat="1" applyFont="1" applyFill="1" applyBorder="1" applyAlignment="1" applyProtection="1">
      <alignment horizontal="center" vertical="center" shrinkToFit="1"/>
      <protection locked="0" hidden="1"/>
    </xf>
    <xf numFmtId="0" fontId="12" fillId="6" borderId="27" xfId="4" applyNumberFormat="1" applyFont="1" applyFill="1" applyBorder="1" applyAlignment="1" applyProtection="1">
      <alignment horizontal="center" vertical="center" shrinkToFit="1"/>
      <protection locked="0" hidden="1"/>
    </xf>
    <xf numFmtId="0" fontId="12" fillId="6" borderId="31" xfId="4" applyNumberFormat="1" applyFont="1" applyFill="1" applyBorder="1" applyAlignment="1" applyProtection="1">
      <alignment horizontal="center" vertical="center" shrinkToFit="1"/>
      <protection locked="0" hidden="1"/>
    </xf>
    <xf numFmtId="164" fontId="6" fillId="2" borderId="6" xfId="4" applyNumberFormat="1" applyFont="1" applyFill="1" applyBorder="1" applyAlignment="1" applyProtection="1">
      <alignment horizontal="center" shrinkToFit="1"/>
      <protection hidden="1"/>
    </xf>
    <xf numFmtId="164" fontId="6" fillId="2" borderId="7" xfId="4" applyNumberFormat="1" applyFont="1" applyFill="1" applyBorder="1" applyAlignment="1" applyProtection="1">
      <alignment horizontal="center" shrinkToFit="1"/>
      <protection hidden="1"/>
    </xf>
    <xf numFmtId="164" fontId="6" fillId="2" borderId="8" xfId="4" applyNumberFormat="1" applyFont="1" applyFill="1" applyBorder="1" applyAlignment="1" applyProtection="1">
      <alignment horizontal="center" shrinkToFit="1"/>
      <protection hidden="1"/>
    </xf>
    <xf numFmtId="0" fontId="1" fillId="0" borderId="2" xfId="2" applyFill="1" applyBorder="1" applyAlignment="1" applyProtection="1">
      <alignment horizontal="center" shrinkToFit="1"/>
      <protection hidden="1"/>
    </xf>
    <xf numFmtId="0" fontId="1" fillId="0" borderId="0" xfId="2" applyFill="1" applyBorder="1" applyAlignment="1" applyProtection="1">
      <alignment horizontal="center" shrinkToFit="1"/>
      <protection hidden="1"/>
    </xf>
    <xf numFmtId="0" fontId="1" fillId="2" borderId="7" xfId="2" applyFill="1" applyBorder="1" applyAlignment="1" applyProtection="1">
      <alignment horizontal="center" textRotation="90" wrapText="1"/>
      <protection hidden="1"/>
    </xf>
    <xf numFmtId="0" fontId="1" fillId="2" borderId="12" xfId="2" applyFill="1" applyBorder="1" applyAlignment="1" applyProtection="1">
      <alignment horizontal="center" textRotation="90" wrapText="1"/>
      <protection hidden="1"/>
    </xf>
    <xf numFmtId="0" fontId="1" fillId="2" borderId="27" xfId="2" applyFill="1" applyBorder="1" applyAlignment="1" applyProtection="1">
      <alignment horizontal="center" textRotation="90" wrapText="1"/>
      <protection hidden="1"/>
    </xf>
    <xf numFmtId="0" fontId="1" fillId="2" borderId="2" xfId="2" applyFill="1" applyBorder="1" applyAlignment="1" applyProtection="1">
      <alignment horizontal="center" textRotation="90" shrinkToFit="1"/>
      <protection hidden="1"/>
    </xf>
    <xf numFmtId="0" fontId="1" fillId="2" borderId="0" xfId="2" applyFill="1" applyBorder="1" applyAlignment="1" applyProtection="1">
      <alignment horizontal="center" textRotation="90" shrinkToFit="1"/>
      <protection hidden="1"/>
    </xf>
    <xf numFmtId="0" fontId="1" fillId="2" borderId="1" xfId="2" applyFill="1" applyBorder="1" applyAlignment="1" applyProtection="1">
      <alignment horizontal="center" textRotation="90" shrinkToFit="1"/>
      <protection hidden="1"/>
    </xf>
    <xf numFmtId="0" fontId="5" fillId="2" borderId="3" xfId="4" applyFont="1" applyFill="1" applyBorder="1" applyAlignment="1" applyProtection="1">
      <alignment horizontal="center" textRotation="90" shrinkToFit="1"/>
      <protection hidden="1"/>
    </xf>
    <xf numFmtId="164" fontId="6" fillId="2" borderId="5" xfId="4" applyNumberFormat="1" applyFont="1" applyFill="1" applyBorder="1" applyAlignment="1" applyProtection="1">
      <alignment horizontal="center" shrinkToFit="1"/>
      <protection hidden="1"/>
    </xf>
    <xf numFmtId="0" fontId="5" fillId="2" borderId="4" xfId="4" applyFont="1" applyFill="1" applyBorder="1" applyAlignment="1" applyProtection="1">
      <alignment horizontal="center" textRotation="90" shrinkToFit="1"/>
      <protection hidden="1"/>
    </xf>
    <xf numFmtId="0" fontId="8" fillId="0" borderId="10" xfId="5" applyFont="1" applyBorder="1" applyProtection="1">
      <protection hidden="1"/>
    </xf>
    <xf numFmtId="0" fontId="8" fillId="0" borderId="21" xfId="5" applyFont="1" applyBorder="1" applyProtection="1">
      <protection hidden="1"/>
    </xf>
    <xf numFmtId="14" fontId="9" fillId="0" borderId="9" xfId="4" applyNumberFormat="1" applyFont="1" applyFill="1" applyBorder="1" applyAlignment="1" applyProtection="1">
      <alignment horizontal="center" textRotation="90" shrinkToFit="1"/>
      <protection hidden="1"/>
    </xf>
    <xf numFmtId="0" fontId="9" fillId="0" borderId="26" xfId="4" applyFont="1" applyFill="1" applyBorder="1" applyAlignment="1" applyProtection="1">
      <alignment horizontal="center" textRotation="90" shrinkToFit="1"/>
      <protection hidden="1"/>
    </xf>
    <xf numFmtId="0" fontId="12" fillId="7" borderId="61" xfId="4" applyFont="1" applyFill="1" applyBorder="1" applyAlignment="1" applyProtection="1">
      <alignment horizontal="center" vertical="center" textRotation="90"/>
      <protection hidden="1"/>
    </xf>
    <xf numFmtId="0" fontId="12" fillId="7" borderId="59" xfId="4" applyFont="1" applyFill="1" applyBorder="1" applyAlignment="1" applyProtection="1">
      <alignment horizontal="center" vertical="center" textRotation="90"/>
      <protection hidden="1"/>
    </xf>
    <xf numFmtId="0" fontId="12" fillId="7" borderId="60" xfId="4" applyFont="1" applyFill="1" applyBorder="1" applyAlignment="1" applyProtection="1">
      <alignment horizontal="center" vertical="center" textRotation="90"/>
      <protection hidden="1"/>
    </xf>
    <xf numFmtId="0" fontId="12" fillId="7" borderId="66" xfId="4" applyFont="1" applyFill="1" applyBorder="1" applyAlignment="1" applyProtection="1">
      <alignment horizontal="center" vertical="center" textRotation="90"/>
      <protection hidden="1"/>
    </xf>
    <xf numFmtId="0" fontId="12" fillId="7" borderId="43" xfId="4" applyFont="1" applyFill="1" applyBorder="1" applyAlignment="1" applyProtection="1">
      <alignment horizontal="center" vertical="center" textRotation="90"/>
      <protection hidden="1"/>
    </xf>
    <xf numFmtId="0" fontId="12" fillId="7" borderId="67" xfId="4" applyFont="1" applyFill="1" applyBorder="1" applyAlignment="1" applyProtection="1">
      <alignment horizontal="center" vertical="center" textRotation="90"/>
      <protection hidden="1"/>
    </xf>
    <xf numFmtId="0" fontId="1" fillId="0" borderId="31" xfId="2" applyFill="1" applyBorder="1" applyAlignment="1" applyProtection="1">
      <alignment horizontal="center" shrinkToFit="1"/>
      <protection hidden="1"/>
    </xf>
    <xf numFmtId="0" fontId="1" fillId="0" borderId="28" xfId="2" applyFill="1" applyBorder="1" applyAlignment="1" applyProtection="1">
      <alignment horizontal="center" shrinkToFit="1"/>
      <protection hidden="1"/>
    </xf>
    <xf numFmtId="0" fontId="1" fillId="0" borderId="54" xfId="2" applyFill="1" applyBorder="1" applyAlignment="1" applyProtection="1">
      <alignment horizontal="center" shrinkToFit="1"/>
      <protection hidden="1"/>
    </xf>
    <xf numFmtId="0" fontId="1" fillId="0" borderId="49" xfId="2" applyFill="1" applyBorder="1" applyAlignment="1" applyProtection="1">
      <alignment horizontal="center" shrinkToFit="1"/>
      <protection hidden="1"/>
    </xf>
    <xf numFmtId="0" fontId="12" fillId="7" borderId="7" xfId="4" applyFont="1" applyFill="1" applyBorder="1" applyAlignment="1" applyProtection="1">
      <alignment horizontal="center" vertical="center" textRotation="90"/>
      <protection hidden="1"/>
    </xf>
    <xf numFmtId="0" fontId="12" fillId="7" borderId="12" xfId="4" applyFont="1" applyFill="1" applyBorder="1" applyAlignment="1" applyProtection="1">
      <alignment horizontal="center" vertical="center" textRotation="90"/>
      <protection hidden="1"/>
    </xf>
    <xf numFmtId="0" fontId="12" fillId="7" borderId="27" xfId="4" applyFont="1" applyFill="1" applyBorder="1" applyAlignment="1" applyProtection="1">
      <alignment horizontal="center" vertical="center" textRotation="90"/>
      <protection hidden="1"/>
    </xf>
    <xf numFmtId="0" fontId="12" fillId="7" borderId="80" xfId="4" applyFont="1" applyFill="1" applyBorder="1" applyAlignment="1" applyProtection="1">
      <alignment horizontal="center" vertical="center" textRotation="90"/>
      <protection hidden="1"/>
    </xf>
    <xf numFmtId="0" fontId="12" fillId="7" borderId="81" xfId="4" applyFont="1" applyFill="1" applyBorder="1" applyAlignment="1" applyProtection="1">
      <alignment horizontal="center" vertical="center" textRotation="90"/>
      <protection hidden="1"/>
    </xf>
    <xf numFmtId="0" fontId="12" fillId="7" borderId="76" xfId="4" applyFont="1" applyFill="1" applyBorder="1" applyAlignment="1" applyProtection="1">
      <alignment horizontal="center" vertical="center" textRotation="90"/>
      <protection hidden="1"/>
    </xf>
    <xf numFmtId="0" fontId="1" fillId="0" borderId="31" xfId="1" applyFill="1" applyBorder="1" applyAlignment="1" applyProtection="1">
      <alignment horizontal="center" shrinkToFit="1"/>
      <protection hidden="1"/>
    </xf>
    <xf numFmtId="0" fontId="1" fillId="0" borderId="29" xfId="2" applyFill="1" applyBorder="1" applyAlignment="1" applyProtection="1">
      <alignment horizontal="center" shrinkToFit="1"/>
      <protection hidden="1"/>
    </xf>
    <xf numFmtId="0" fontId="1" fillId="0" borderId="68" xfId="0" applyFont="1" applyBorder="1" applyAlignment="1" applyProtection="1">
      <alignment horizontal="left" indent="1"/>
    </xf>
    <xf numFmtId="0" fontId="1" fillId="0" borderId="9" xfId="0" applyFont="1" applyBorder="1" applyAlignment="1" applyProtection="1">
      <alignment horizontal="left" indent="1"/>
    </xf>
    <xf numFmtId="0" fontId="1" fillId="0" borderId="28" xfId="0" applyFont="1" applyBorder="1" applyAlignment="1" applyProtection="1">
      <alignment horizontal="left" indent="1"/>
    </xf>
    <xf numFmtId="170" fontId="1" fillId="0" borderId="68" xfId="0" applyNumberFormat="1" applyFont="1" applyBorder="1" applyAlignment="1" applyProtection="1">
      <alignment horizontal="left"/>
    </xf>
    <xf numFmtId="0" fontId="1" fillId="0" borderId="9" xfId="0" applyFont="1" applyBorder="1" applyAlignment="1" applyProtection="1">
      <alignment horizontal="left"/>
    </xf>
    <xf numFmtId="0" fontId="1" fillId="0" borderId="28" xfId="0" applyFont="1" applyBorder="1" applyAlignment="1" applyProtection="1">
      <alignment horizontal="left"/>
    </xf>
    <xf numFmtId="0" fontId="29" fillId="0" borderId="1" xfId="0" applyFont="1" applyBorder="1" applyAlignment="1" applyProtection="1">
      <alignment horizontal="left"/>
    </xf>
    <xf numFmtId="0" fontId="1" fillId="9" borderId="3" xfId="0" applyFont="1" applyFill="1" applyBorder="1" applyAlignment="1" applyProtection="1">
      <alignment horizontal="left" indent="1"/>
    </xf>
  </cellXfs>
  <cellStyles count="23">
    <cellStyle name="Hyperlink 2" xfId="6"/>
    <cellStyle name="Hyperlink_PCP-Conceitos" xfId="7"/>
    <cellStyle name="Moeda 2" xfId="8"/>
    <cellStyle name="Moeda 3" xfId="9"/>
    <cellStyle name="NívelCol_1" xfId="2" builtinId="2" iLevel="0"/>
    <cellStyle name="NívelLinha_1" xfId="1" builtinId="1" iLevel="0"/>
    <cellStyle name="Normal" xfId="0" builtinId="0"/>
    <cellStyle name="Normal 2" xfId="10"/>
    <cellStyle name="Normal 3" xfId="11"/>
    <cellStyle name="Normal 4" xfId="12"/>
    <cellStyle name="Normal 5" xfId="13"/>
    <cellStyle name="Normal_Cópia de Cópia de 1-PROG Adicional2" xfId="5"/>
    <cellStyle name="Normal_Programacao_Cópia de Cópia de 1-PROG Adicional2" xfId="4"/>
    <cellStyle name="Normale_Pillar Skill Matrix_example" xfId="14"/>
    <cellStyle name="Porcentagem 2" xfId="15"/>
    <cellStyle name="Porcentagem 3" xfId="16"/>
    <cellStyle name="Porcentagem 4" xfId="22"/>
    <cellStyle name="Separador de milhares 2" xfId="17"/>
    <cellStyle name="Separador de milhares 3" xfId="18"/>
    <cellStyle name="Separador de milhares 4" xfId="21"/>
    <cellStyle name="Título 1 1" xfId="19"/>
    <cellStyle name="Vírgula" xfId="3" builtinId="3"/>
    <cellStyle name="Vírgula 2" xfId="20"/>
  </cellStyles>
  <dxfs count="4">
    <dxf>
      <font>
        <color theme="0"/>
      </font>
      <fill>
        <patternFill>
          <bgColor rgb="FFFF0000"/>
        </patternFill>
      </fill>
    </dxf>
    <dxf>
      <fill>
        <patternFill>
          <bgColor indexed="47"/>
        </patternFill>
      </fill>
    </dxf>
    <dxf>
      <fill>
        <patternFill>
          <bgColor indexed="29"/>
        </patternFill>
      </fill>
    </dxf>
    <dxf>
      <fill>
        <patternFill>
          <bgColor indexed="27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57150</xdr:colOff>
      <xdr:row>0</xdr:row>
      <xdr:rowOff>19050</xdr:rowOff>
    </xdr:from>
    <xdr:to>
      <xdr:col>28</xdr:col>
      <xdr:colOff>247650</xdr:colOff>
      <xdr:row>1</xdr:row>
      <xdr:rowOff>19050</xdr:rowOff>
    </xdr:to>
    <xdr:sp macro="" textlink="">
      <xdr:nvSpPr>
        <xdr:cNvPr id="2" name="AutoShape 1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6248400" y="1905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3-MENU</a:t>
          </a:r>
        </a:p>
      </xdr:txBody>
    </xdr:sp>
    <xdr:clientData/>
  </xdr:twoCellAnchor>
  <xdr:twoCellAnchor>
    <xdr:from>
      <xdr:col>77</xdr:col>
      <xdr:colOff>85725</xdr:colOff>
      <xdr:row>0</xdr:row>
      <xdr:rowOff>0</xdr:rowOff>
    </xdr:from>
    <xdr:to>
      <xdr:col>78</xdr:col>
      <xdr:colOff>276225</xdr:colOff>
      <xdr:row>0</xdr:row>
      <xdr:rowOff>276225</xdr:rowOff>
    </xdr:to>
    <xdr:sp macro="" textlink="">
      <xdr:nvSpPr>
        <xdr:cNvPr id="3" name="AutoShape 26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21993225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53</xdr:col>
      <xdr:colOff>9525</xdr:colOff>
      <xdr:row>0</xdr:row>
      <xdr:rowOff>0</xdr:rowOff>
    </xdr:from>
    <xdr:to>
      <xdr:col>54</xdr:col>
      <xdr:colOff>200025</xdr:colOff>
      <xdr:row>0</xdr:row>
      <xdr:rowOff>276225</xdr:rowOff>
    </xdr:to>
    <xdr:sp macro="" textlink="">
      <xdr:nvSpPr>
        <xdr:cNvPr id="4" name="AutoShape 49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14373225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104</xdr:col>
      <xdr:colOff>85725</xdr:colOff>
      <xdr:row>0</xdr:row>
      <xdr:rowOff>0</xdr:rowOff>
    </xdr:from>
    <xdr:to>
      <xdr:col>105</xdr:col>
      <xdr:colOff>276225</xdr:colOff>
      <xdr:row>0</xdr:row>
      <xdr:rowOff>276225</xdr:rowOff>
    </xdr:to>
    <xdr:sp macro="" textlink="">
      <xdr:nvSpPr>
        <xdr:cNvPr id="5" name="AutoShape 50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30480000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167</xdr:col>
      <xdr:colOff>85725</xdr:colOff>
      <xdr:row>0</xdr:row>
      <xdr:rowOff>0</xdr:rowOff>
    </xdr:from>
    <xdr:to>
      <xdr:col>168</xdr:col>
      <xdr:colOff>276225</xdr:colOff>
      <xdr:row>0</xdr:row>
      <xdr:rowOff>276225</xdr:rowOff>
    </xdr:to>
    <xdr:sp macro="" textlink="">
      <xdr:nvSpPr>
        <xdr:cNvPr id="6" name="AutoShape 51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50282475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217</xdr:col>
      <xdr:colOff>85725</xdr:colOff>
      <xdr:row>0</xdr:row>
      <xdr:rowOff>0</xdr:rowOff>
    </xdr:from>
    <xdr:to>
      <xdr:col>218</xdr:col>
      <xdr:colOff>276225</xdr:colOff>
      <xdr:row>0</xdr:row>
      <xdr:rowOff>276225</xdr:rowOff>
    </xdr:to>
    <xdr:sp macro="" textlink="">
      <xdr:nvSpPr>
        <xdr:cNvPr id="7" name="AutoShape 52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65998725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254</xdr:col>
      <xdr:colOff>28575</xdr:colOff>
      <xdr:row>0</xdr:row>
      <xdr:rowOff>0</xdr:rowOff>
    </xdr:from>
    <xdr:to>
      <xdr:col>255</xdr:col>
      <xdr:colOff>219075</xdr:colOff>
      <xdr:row>1</xdr:row>
      <xdr:rowOff>0</xdr:rowOff>
    </xdr:to>
    <xdr:sp macro="" textlink="">
      <xdr:nvSpPr>
        <xdr:cNvPr id="8" name="AutoShape 53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77571600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242</xdr:col>
      <xdr:colOff>85725</xdr:colOff>
      <xdr:row>0</xdr:row>
      <xdr:rowOff>0</xdr:rowOff>
    </xdr:from>
    <xdr:to>
      <xdr:col>243</xdr:col>
      <xdr:colOff>276225</xdr:colOff>
      <xdr:row>0</xdr:row>
      <xdr:rowOff>276225</xdr:rowOff>
    </xdr:to>
    <xdr:sp macro="" textlink="">
      <xdr:nvSpPr>
        <xdr:cNvPr id="9" name="AutoShape 54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73856850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192</xdr:col>
      <xdr:colOff>85725</xdr:colOff>
      <xdr:row>0</xdr:row>
      <xdr:rowOff>0</xdr:rowOff>
    </xdr:from>
    <xdr:to>
      <xdr:col>193</xdr:col>
      <xdr:colOff>276225</xdr:colOff>
      <xdr:row>0</xdr:row>
      <xdr:rowOff>276225</xdr:rowOff>
    </xdr:to>
    <xdr:sp macro="" textlink="">
      <xdr:nvSpPr>
        <xdr:cNvPr id="10" name="AutoShape 55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58140600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142</xdr:col>
      <xdr:colOff>85725</xdr:colOff>
      <xdr:row>0</xdr:row>
      <xdr:rowOff>0</xdr:rowOff>
    </xdr:from>
    <xdr:to>
      <xdr:col>143</xdr:col>
      <xdr:colOff>276225</xdr:colOff>
      <xdr:row>0</xdr:row>
      <xdr:rowOff>276225</xdr:rowOff>
    </xdr:to>
    <xdr:sp macro="" textlink="">
      <xdr:nvSpPr>
        <xdr:cNvPr id="11" name="AutoShape 56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42424350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92</xdr:col>
      <xdr:colOff>85725</xdr:colOff>
      <xdr:row>0</xdr:row>
      <xdr:rowOff>0</xdr:rowOff>
    </xdr:from>
    <xdr:to>
      <xdr:col>93</xdr:col>
      <xdr:colOff>276225</xdr:colOff>
      <xdr:row>0</xdr:row>
      <xdr:rowOff>276225</xdr:rowOff>
    </xdr:to>
    <xdr:sp macro="" textlink="">
      <xdr:nvSpPr>
        <xdr:cNvPr id="12" name="AutoShape 57">
          <a:hlinkClick xmlns:r="http://schemas.openxmlformats.org/officeDocument/2006/relationships" r:id="rId1" tooltip="IR P/ MENU INICIAL"/>
        </xdr:cNvPr>
        <xdr:cNvSpPr>
          <a:spLocks noChangeArrowheads="1"/>
        </xdr:cNvSpPr>
      </xdr:nvSpPr>
      <xdr:spPr bwMode="auto">
        <a:xfrm>
          <a:off x="26708100" y="0"/>
          <a:ext cx="504825" cy="247650"/>
        </a:xfrm>
        <a:prstGeom prst="leftArrow">
          <a:avLst>
            <a:gd name="adj1" fmla="val 50000"/>
            <a:gd name="adj2" fmla="val 50962"/>
          </a:avLst>
        </a:prstGeom>
        <a:solidFill>
          <a:srgbClr val="333399">
            <a:alpha val="30000"/>
          </a:srgbClr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5-MENU</a:t>
          </a:r>
        </a:p>
      </xdr:txBody>
    </xdr:sp>
    <xdr:clientData/>
  </xdr:twoCellAnchor>
  <xdr:twoCellAnchor>
    <xdr:from>
      <xdr:col>48</xdr:col>
      <xdr:colOff>295276</xdr:colOff>
      <xdr:row>0</xdr:row>
      <xdr:rowOff>9526</xdr:rowOff>
    </xdr:from>
    <xdr:to>
      <xdr:col>51</xdr:col>
      <xdr:colOff>304801</xdr:colOff>
      <xdr:row>0</xdr:row>
      <xdr:rowOff>190500</xdr:rowOff>
    </xdr:to>
    <xdr:sp macro="" textlink="">
      <xdr:nvSpPr>
        <xdr:cNvPr id="13" name="Retângulo 12"/>
        <xdr:cNvSpPr/>
      </xdr:nvSpPr>
      <xdr:spPr>
        <a:xfrm>
          <a:off x="13087351" y="9526"/>
          <a:ext cx="952500" cy="18097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 anchorCtr="0"/>
        <a:lstStyle/>
        <a:p>
          <a:pPr algn="l"/>
          <a:r>
            <a:rPr lang="pt-BR" sz="1200">
              <a:solidFill>
                <a:srgbClr val="FF0000"/>
              </a:solidFill>
              <a:latin typeface="Arial Narrow" pitchFamily="34" charset="0"/>
            </a:rPr>
            <a:t> </a:t>
          </a:r>
          <a:r>
            <a:rPr lang="pt-BR" sz="1200">
              <a:solidFill>
                <a:sysClr val="windowText" lastClr="000000"/>
              </a:solidFill>
              <a:latin typeface="Arial Narrow" pitchFamily="34" charset="0"/>
            </a:rPr>
            <a:t>TERCEIRIZAR</a:t>
          </a:r>
        </a:p>
      </xdr:txBody>
    </xdr:sp>
    <xdr:clientData/>
  </xdr:twoCellAnchor>
  <xdr:twoCellAnchor>
    <xdr:from>
      <xdr:col>46</xdr:col>
      <xdr:colOff>47625</xdr:colOff>
      <xdr:row>0</xdr:row>
      <xdr:rowOff>9525</xdr:rowOff>
    </xdr:from>
    <xdr:to>
      <xdr:col>48</xdr:col>
      <xdr:colOff>228600</xdr:colOff>
      <xdr:row>0</xdr:row>
      <xdr:rowOff>190500</xdr:rowOff>
    </xdr:to>
    <xdr:sp macro="" textlink="">
      <xdr:nvSpPr>
        <xdr:cNvPr id="14" name="Retângulo 13"/>
        <xdr:cNvSpPr/>
      </xdr:nvSpPr>
      <xdr:spPr>
        <a:xfrm>
          <a:off x="12211050" y="9525"/>
          <a:ext cx="809625" cy="180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 anchorCtr="0"/>
        <a:lstStyle/>
        <a:p>
          <a:pPr algn="l"/>
          <a:r>
            <a:rPr lang="pt-BR" sz="1200">
              <a:solidFill>
                <a:srgbClr val="FF0000"/>
              </a:solidFill>
              <a:latin typeface="Arial Narrow" pitchFamily="34" charset="0"/>
            </a:rPr>
            <a:t> </a:t>
          </a:r>
          <a:r>
            <a:rPr lang="pt-BR" sz="1200">
              <a:solidFill>
                <a:sysClr val="windowText" lastClr="000000"/>
              </a:solidFill>
              <a:latin typeface="Arial Narrow" pitchFamily="34" charset="0"/>
            </a:rPr>
            <a:t>HS EXTRAS</a:t>
          </a:r>
        </a:p>
      </xdr:txBody>
    </xdr:sp>
    <xdr:clientData/>
  </xdr:twoCellAnchor>
  <xdr:twoCellAnchor>
    <xdr:from>
      <xdr:col>2</xdr:col>
      <xdr:colOff>9526</xdr:colOff>
      <xdr:row>5</xdr:row>
      <xdr:rowOff>9527</xdr:rowOff>
    </xdr:from>
    <xdr:to>
      <xdr:col>4</xdr:col>
      <xdr:colOff>0</xdr:colOff>
      <xdr:row>8</xdr:row>
      <xdr:rowOff>0</xdr:rowOff>
    </xdr:to>
    <xdr:sp macro="" textlink="">
      <xdr:nvSpPr>
        <xdr:cNvPr id="15" name="Retângulo 14"/>
        <xdr:cNvSpPr/>
      </xdr:nvSpPr>
      <xdr:spPr>
        <a:xfrm>
          <a:off x="323851" y="1019177"/>
          <a:ext cx="676274" cy="133348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l"/>
          <a:r>
            <a:rPr lang="pt-BR" sz="1000" b="1">
              <a:solidFill>
                <a:srgbClr val="FF0000"/>
              </a:solidFill>
              <a:latin typeface="Arial Narrow" pitchFamily="34" charset="0"/>
            </a:rPr>
            <a:t> x</a:t>
          </a:r>
          <a:endParaRPr lang="pt-BR" sz="1000" b="1">
            <a:solidFill>
              <a:sysClr val="windowText" lastClr="000000"/>
            </a:solidFill>
            <a:latin typeface="Arial Narrow" pitchFamily="34" charset="0"/>
          </a:endParaRPr>
        </a:p>
      </xdr:txBody>
    </xdr:sp>
    <xdr:clientData/>
  </xdr:twoCellAnchor>
  <xdr:twoCellAnchor>
    <xdr:from>
      <xdr:col>2</xdr:col>
      <xdr:colOff>9526</xdr:colOff>
      <xdr:row>31</xdr:row>
      <xdr:rowOff>9527</xdr:rowOff>
    </xdr:from>
    <xdr:to>
      <xdr:col>4</xdr:col>
      <xdr:colOff>0</xdr:colOff>
      <xdr:row>34</xdr:row>
      <xdr:rowOff>0</xdr:rowOff>
    </xdr:to>
    <xdr:sp macro="" textlink="">
      <xdr:nvSpPr>
        <xdr:cNvPr id="17" name="Retângulo 16"/>
        <xdr:cNvSpPr/>
      </xdr:nvSpPr>
      <xdr:spPr>
        <a:xfrm>
          <a:off x="2057401" y="1019177"/>
          <a:ext cx="981074" cy="133348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l"/>
          <a:r>
            <a:rPr lang="pt-BR" sz="1000" b="1">
              <a:solidFill>
                <a:srgbClr val="FF0000"/>
              </a:solidFill>
              <a:latin typeface="Arial Narrow" pitchFamily="34" charset="0"/>
            </a:rPr>
            <a:t> x</a:t>
          </a:r>
          <a:endParaRPr lang="pt-BR" sz="1000" b="1">
            <a:solidFill>
              <a:sysClr val="windowText" lastClr="000000"/>
            </a:solidFill>
            <a:latin typeface="Arial Narrow" pitchFamily="34" charset="0"/>
          </a:endParaRPr>
        </a:p>
      </xdr:txBody>
    </xdr:sp>
    <xdr:clientData/>
  </xdr:twoCellAnchor>
  <xdr:twoCellAnchor>
    <xdr:from>
      <xdr:col>2</xdr:col>
      <xdr:colOff>9526</xdr:colOff>
      <xdr:row>44</xdr:row>
      <xdr:rowOff>9527</xdr:rowOff>
    </xdr:from>
    <xdr:to>
      <xdr:col>4</xdr:col>
      <xdr:colOff>0</xdr:colOff>
      <xdr:row>47</xdr:row>
      <xdr:rowOff>0</xdr:rowOff>
    </xdr:to>
    <xdr:sp macro="" textlink="">
      <xdr:nvSpPr>
        <xdr:cNvPr id="18" name="Retângulo 17"/>
        <xdr:cNvSpPr/>
      </xdr:nvSpPr>
      <xdr:spPr>
        <a:xfrm>
          <a:off x="2057401" y="1019177"/>
          <a:ext cx="981074" cy="133348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l"/>
          <a:r>
            <a:rPr lang="pt-BR" sz="1000" b="1">
              <a:solidFill>
                <a:srgbClr val="FF0000"/>
              </a:solidFill>
              <a:latin typeface="Arial Narrow" pitchFamily="34" charset="0"/>
            </a:rPr>
            <a:t> x</a:t>
          </a:r>
          <a:endParaRPr lang="pt-BR" sz="1000" b="1">
            <a:solidFill>
              <a:sysClr val="windowText" lastClr="000000"/>
            </a:solidFill>
            <a:latin typeface="Arial Narrow" pitchFamily="34" charset="0"/>
          </a:endParaRPr>
        </a:p>
      </xdr:txBody>
    </xdr:sp>
    <xdr:clientData/>
  </xdr:twoCellAnchor>
  <xdr:twoCellAnchor>
    <xdr:from>
      <xdr:col>2</xdr:col>
      <xdr:colOff>9526</xdr:colOff>
      <xdr:row>57</xdr:row>
      <xdr:rowOff>9527</xdr:rowOff>
    </xdr:from>
    <xdr:to>
      <xdr:col>4</xdr:col>
      <xdr:colOff>0</xdr:colOff>
      <xdr:row>60</xdr:row>
      <xdr:rowOff>0</xdr:rowOff>
    </xdr:to>
    <xdr:sp macro="" textlink="">
      <xdr:nvSpPr>
        <xdr:cNvPr id="19" name="Retângulo 18"/>
        <xdr:cNvSpPr/>
      </xdr:nvSpPr>
      <xdr:spPr>
        <a:xfrm>
          <a:off x="2057401" y="1019177"/>
          <a:ext cx="981074" cy="133348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l"/>
          <a:r>
            <a:rPr lang="pt-BR" sz="1000" b="1">
              <a:solidFill>
                <a:srgbClr val="FF0000"/>
              </a:solidFill>
              <a:latin typeface="Arial Narrow" pitchFamily="34" charset="0"/>
            </a:rPr>
            <a:t> x</a:t>
          </a:r>
          <a:endParaRPr lang="pt-BR" sz="1000" b="1">
            <a:solidFill>
              <a:sysClr val="windowText" lastClr="000000"/>
            </a:solidFill>
            <a:latin typeface="Arial Narrow" pitchFamily="34" charset="0"/>
          </a:endParaRPr>
        </a:p>
      </xdr:txBody>
    </xdr:sp>
    <xdr:clientData/>
  </xdr:twoCellAnchor>
  <xdr:twoCellAnchor>
    <xdr:from>
      <xdr:col>2</xdr:col>
      <xdr:colOff>9526</xdr:colOff>
      <xdr:row>70</xdr:row>
      <xdr:rowOff>9527</xdr:rowOff>
    </xdr:from>
    <xdr:to>
      <xdr:col>4</xdr:col>
      <xdr:colOff>0</xdr:colOff>
      <xdr:row>73</xdr:row>
      <xdr:rowOff>0</xdr:rowOff>
    </xdr:to>
    <xdr:sp macro="" textlink="">
      <xdr:nvSpPr>
        <xdr:cNvPr id="20" name="Retângulo 19"/>
        <xdr:cNvSpPr/>
      </xdr:nvSpPr>
      <xdr:spPr>
        <a:xfrm>
          <a:off x="2057401" y="1019177"/>
          <a:ext cx="981074" cy="133348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l"/>
          <a:r>
            <a:rPr lang="pt-BR" sz="1000" b="1">
              <a:solidFill>
                <a:srgbClr val="FF0000"/>
              </a:solidFill>
              <a:latin typeface="Arial Narrow" pitchFamily="34" charset="0"/>
            </a:rPr>
            <a:t> x</a:t>
          </a:r>
          <a:endParaRPr lang="pt-BR" sz="1000" b="1">
            <a:solidFill>
              <a:sysClr val="windowText" lastClr="000000"/>
            </a:solidFill>
            <a:latin typeface="Arial Narrow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180976</xdr:rowOff>
    </xdr:from>
    <xdr:to>
      <xdr:col>12</xdr:col>
      <xdr:colOff>609599</xdr:colOff>
      <xdr:row>20</xdr:row>
      <xdr:rowOff>9526</xdr:rowOff>
    </xdr:to>
    <xdr:grpSp>
      <xdr:nvGrpSpPr>
        <xdr:cNvPr id="2" name="Grupo 1"/>
        <xdr:cNvGrpSpPr/>
      </xdr:nvGrpSpPr>
      <xdr:grpSpPr>
        <a:xfrm>
          <a:off x="2762250" y="752476"/>
          <a:ext cx="4676774" cy="3067050"/>
          <a:chOff x="2705100" y="838200"/>
          <a:chExt cx="5445937" cy="3066667"/>
        </a:xfrm>
      </xdr:grpSpPr>
      <xdr:grpSp>
        <xdr:nvGrpSpPr>
          <xdr:cNvPr id="3" name="Grupo 12"/>
          <xdr:cNvGrpSpPr/>
        </xdr:nvGrpSpPr>
        <xdr:grpSpPr>
          <a:xfrm>
            <a:off x="2705100" y="838200"/>
            <a:ext cx="5445937" cy="3066667"/>
            <a:chOff x="2705100" y="838200"/>
            <a:chExt cx="5445937" cy="3066667"/>
          </a:xfrm>
        </xdr:grpSpPr>
        <xdr:pic>
          <xdr:nvPicPr>
            <xdr:cNvPr id="8" name="Imagem 1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05100" y="838200"/>
              <a:ext cx="5390477" cy="3066667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9" name="CaixaDeTexto 8"/>
            <xdr:cNvSpPr txBox="1"/>
          </xdr:nvSpPr>
          <xdr:spPr>
            <a:xfrm>
              <a:off x="7108435" y="1076325"/>
              <a:ext cx="1042602" cy="219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lIns="0" tIns="0" rIns="0" bIns="0" rtlCol="0" anchor="ctr" anchorCtr="0"/>
            <a:lstStyle/>
            <a:p>
              <a:r>
                <a:rPr lang="pt-BR" sz="900">
                  <a:solidFill>
                    <a:srgbClr val="002060"/>
                  </a:solidFill>
                </a:rPr>
                <a:t>Estoque Máximo</a:t>
              </a:r>
            </a:p>
          </xdr:txBody>
        </xdr:sp>
      </xdr:grpSp>
      <xdr:sp macro="" textlink="">
        <xdr:nvSpPr>
          <xdr:cNvPr id="4" name="Seta para a direita 3"/>
          <xdr:cNvSpPr/>
        </xdr:nvSpPr>
        <xdr:spPr>
          <a:xfrm>
            <a:off x="7143749" y="1257300"/>
            <a:ext cx="900000" cy="46800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Seta para a direita 7"/>
          <xdr:cNvSpPr/>
        </xdr:nvSpPr>
        <xdr:spPr>
          <a:xfrm>
            <a:off x="7134514" y="1609725"/>
            <a:ext cx="900000" cy="45719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Seta para a direita 5"/>
          <xdr:cNvSpPr/>
        </xdr:nvSpPr>
        <xdr:spPr>
          <a:xfrm>
            <a:off x="7139416" y="2057400"/>
            <a:ext cx="900000" cy="45719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Seta para a direita 6"/>
          <xdr:cNvSpPr/>
        </xdr:nvSpPr>
        <xdr:spPr>
          <a:xfrm>
            <a:off x="7143751" y="2790825"/>
            <a:ext cx="900000" cy="45719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%20Prof.Oriebir\TURMA%20L122\Trab\Documents%20and%20Settings\User\Meus%20documentos\GESPRO\09.Pcp\Calend&#225;r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TFINBETA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%20Prof.Oriebir\Planilhas\TURMA%20L122\Trab\Documents%20and%20Settings\User\Meus%20documentos\GESPRO\09.Pcp\Calend&#225;ri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Oriebir13\XLS.-PCP\PCP.Programa&#231;&#227;o\Documents%20and%20Settings\User\Meus%20documentos\GESPRO\09.Pcp\Calend&#225;ri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ser\Meus%20documentos\GESPRO\09.Pcp\Calend&#225;ri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%20Prof.Oriebir\Planilhas\TURMA%20L122\Trab\Documents%20and%20Settings\professor\Dados%20de%20aplicativos\Microsoft\Excel\2010-Calendario%2520infinito(1)%20(version%20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infinitaweb.com.br/disco1/albruni/planilhas/Livros/VELHOS/L1_MF_new/matfinanceira/ATUALIZ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%20Prof.Oriebir\Planilhas\TURMA%20L122\Trab\DOCUME~1\Antonio\CONFIG~1\Temp\IncrediMail\Calend&#225;ri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Pro2006\08.LeiauteFacil\Relogi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Oriebir13\XLS.-PCP\PCP.Programa&#231;&#227;o\Pedrive1-Milton\ARQGerais\5E.CincoEstrelas1\5E.MatDidatico\5E-PCP\Programa&#231;&#227;o\5E.Programaca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%20Prof.Oriebir\Planilhas\2011-Prof.Milton-DesingD112%20-%20SENAI\Projetos2011\4.PlanGerais\6.PROF\7.PCP\TrabProgramacao\MR.XLS-Nov2010\XLS-PCP\Prof%20MR\Prof.Milton-%20C511%202&#186;Semestre-24.11%20B\Nova%20pasta\09.Programacao.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&#243;pia%20de%20CD-Programac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ual"/>
      <sheetName val="Feriados"/>
    </sheetNames>
    <sheetDataSet>
      <sheetData sheetId="0"/>
      <sheetData sheetId="1">
        <row r="4">
          <cell r="B4">
            <v>38718</v>
          </cell>
        </row>
        <row r="5">
          <cell r="B5">
            <v>38823</v>
          </cell>
        </row>
        <row r="6">
          <cell r="B6">
            <v>38825</v>
          </cell>
        </row>
        <row r="7">
          <cell r="B7">
            <v>38828</v>
          </cell>
        </row>
        <row r="8">
          <cell r="B8">
            <v>38838</v>
          </cell>
        </row>
        <row r="9">
          <cell r="B9">
            <v>38885</v>
          </cell>
        </row>
        <row r="10">
          <cell r="B10">
            <v>38967</v>
          </cell>
        </row>
        <row r="11">
          <cell r="B11">
            <v>39002</v>
          </cell>
        </row>
        <row r="12">
          <cell r="B12">
            <v>39023</v>
          </cell>
        </row>
        <row r="13">
          <cell r="B13">
            <v>39036</v>
          </cell>
        </row>
        <row r="14">
          <cell r="B14">
            <v>39076</v>
          </cell>
        </row>
        <row r="17">
          <cell r="B17">
            <v>38778</v>
          </cell>
        </row>
        <row r="18">
          <cell r="B18">
            <v>38818</v>
          </cell>
        </row>
        <row r="19">
          <cell r="B19">
            <v>38824</v>
          </cell>
        </row>
        <row r="20">
          <cell r="B20">
            <v>38851</v>
          </cell>
        </row>
        <row r="21">
          <cell r="B21">
            <v>38880</v>
          </cell>
        </row>
        <row r="22">
          <cell r="B22">
            <v>39002</v>
          </cell>
        </row>
        <row r="23">
          <cell r="B23">
            <v>38942</v>
          </cell>
        </row>
        <row r="24">
          <cell r="B24">
            <v>38990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ício"/>
      <sheetName val="Menu"/>
      <sheetName val="Ser-Price"/>
      <sheetName val="Ser-Sac"/>
      <sheetName val="T Desiguais"/>
      <sheetName val="Geral"/>
      <sheetName val="Desenhos"/>
    </sheetNames>
    <sheetDataSet>
      <sheetData sheetId="0">
        <row r="2">
          <cell r="E2" t="str">
            <v>Planilha MATFINBETA.XLS</v>
          </cell>
        </row>
        <row r="3">
          <cell r="E3" t="str">
            <v>Versão simplificada da MATFIN.XLS</v>
          </cell>
        </row>
        <row r="4">
          <cell r="E4" t="str">
            <v>Modelo completo apenas no CD do livro "Matemática Financeira com HP 12C e Excel</v>
          </cell>
        </row>
        <row r="5">
          <cell r="E5" t="str">
            <v>Por Adriano Leal Bruni e Rubens Famá</v>
          </cell>
        </row>
        <row r="7">
          <cell r="E7" t="str">
            <v>Atenção : os modelos aqui apresentados destinam-se exclusivamente</v>
          </cell>
        </row>
        <row r="8">
          <cell r="E8" t="str">
            <v>a dar suporte didático ao texto Matemática Financeira com HP 12C e Excel,</v>
          </cell>
        </row>
        <row r="9">
          <cell r="E9" t="str">
            <v>publicado pela Editora Atlas. Embora os melhores esforços tenham sido</v>
          </cell>
        </row>
        <row r="10">
          <cell r="E10" t="str">
            <v>colocados na sua elaboração, os autores e a editora não dão nenhum tipo</v>
          </cell>
        </row>
        <row r="11">
          <cell r="E11" t="str">
            <v>de garantia, implícita ou explícita, sobre todo o material, incluindo modelos, textos,</v>
          </cell>
        </row>
        <row r="12">
          <cell r="E12" t="str">
            <v xml:space="preserve">documentos e programas. Os autores e a editora não se responsabilizam por </v>
          </cell>
        </row>
        <row r="13">
          <cell r="E13" t="str">
            <v>quaisquer incidentes ou danos decorrentes da compra, da performance ou do uso</v>
          </cell>
        </row>
        <row r="14">
          <cell r="E14" t="str">
            <v>dos modelos, teorias e/ou exemplos apresentados no livro ou nesta planilha.</v>
          </cell>
        </row>
      </sheetData>
      <sheetData sheetId="1">
        <row r="2">
          <cell r="G2" t="str">
            <v>Menu simplificado</v>
          </cell>
        </row>
        <row r="4">
          <cell r="C4" t="str">
            <v>Versão completa no CD do livro</v>
          </cell>
        </row>
      </sheetData>
      <sheetData sheetId="2">
        <row r="4">
          <cell r="B4" t="str">
            <v>Price - Prestações Iguais</v>
          </cell>
        </row>
        <row r="6">
          <cell r="D6">
            <v>90000</v>
          </cell>
        </row>
        <row r="7">
          <cell r="D7">
            <v>1</v>
          </cell>
        </row>
        <row r="8">
          <cell r="D8">
            <v>0.04</v>
          </cell>
        </row>
        <row r="9">
          <cell r="D9">
            <v>15</v>
          </cell>
        </row>
        <row r="13">
          <cell r="B13">
            <v>1</v>
          </cell>
          <cell r="C13">
            <v>90000</v>
          </cell>
          <cell r="D13">
            <v>-3600</v>
          </cell>
          <cell r="E13">
            <v>-4494.699033387581</v>
          </cell>
          <cell r="F13">
            <v>-8094.699033387581</v>
          </cell>
          <cell r="G13">
            <v>85505.300966612413</v>
          </cell>
        </row>
        <row r="14">
          <cell r="B14">
            <v>2</v>
          </cell>
          <cell r="C14">
            <v>85505.300966612413</v>
          </cell>
          <cell r="D14">
            <v>-3420.2120386644965</v>
          </cell>
          <cell r="E14">
            <v>-4674.4869947230845</v>
          </cell>
          <cell r="F14">
            <v>-8094.699033387581</v>
          </cell>
          <cell r="G14">
            <v>80830.813971889322</v>
          </cell>
        </row>
        <row r="15">
          <cell r="B15">
            <v>3</v>
          </cell>
          <cell r="C15">
            <v>80830.813971889322</v>
          </cell>
          <cell r="D15">
            <v>-3233.232558875573</v>
          </cell>
          <cell r="E15">
            <v>-4861.4664745120081</v>
          </cell>
          <cell r="F15">
            <v>-8094.699033387581</v>
          </cell>
          <cell r="G15">
            <v>75969.347497377312</v>
          </cell>
        </row>
        <row r="16">
          <cell r="B16">
            <v>4</v>
          </cell>
          <cell r="C16">
            <v>75969.347497377312</v>
          </cell>
          <cell r="D16">
            <v>-3038.7738998950927</v>
          </cell>
          <cell r="E16">
            <v>-5055.9251334924884</v>
          </cell>
          <cell r="F16">
            <v>-8094.699033387581</v>
          </cell>
          <cell r="G16">
            <v>70913.42236388482</v>
          </cell>
        </row>
        <row r="17">
          <cell r="B17">
            <v>5</v>
          </cell>
          <cell r="C17">
            <v>70913.42236388482</v>
          </cell>
          <cell r="D17">
            <v>-2836.5368945553928</v>
          </cell>
          <cell r="E17">
            <v>-5258.1621388321882</v>
          </cell>
          <cell r="F17">
            <v>-8094.699033387581</v>
          </cell>
          <cell r="G17">
            <v>65655.260225052625</v>
          </cell>
        </row>
        <row r="18">
          <cell r="B18">
            <v>6</v>
          </cell>
          <cell r="C18">
            <v>65655.260225052625</v>
          </cell>
          <cell r="D18">
            <v>-2626.2104090021053</v>
          </cell>
          <cell r="E18">
            <v>-5468.4886243854762</v>
          </cell>
          <cell r="F18">
            <v>-8094.699033387581</v>
          </cell>
          <cell r="G18">
            <v>60186.771600667147</v>
          </cell>
        </row>
        <row r="19">
          <cell r="B19">
            <v>7</v>
          </cell>
          <cell r="C19">
            <v>60186.771600667147</v>
          </cell>
          <cell r="D19">
            <v>-2407.4708640266858</v>
          </cell>
          <cell r="E19">
            <v>-5687.2281693608948</v>
          </cell>
          <cell r="F19">
            <v>-8094.699033387581</v>
          </cell>
          <cell r="G19">
            <v>54499.543431306251</v>
          </cell>
        </row>
        <row r="20">
          <cell r="B20">
            <v>8</v>
          </cell>
          <cell r="C20">
            <v>54499.543431306251</v>
          </cell>
          <cell r="D20">
            <v>-2179.9817372522502</v>
          </cell>
          <cell r="E20">
            <v>-5914.7172961353308</v>
          </cell>
          <cell r="F20">
            <v>-8094.699033387581</v>
          </cell>
          <cell r="G20">
            <v>48584.826135170922</v>
          </cell>
        </row>
        <row r="21">
          <cell r="B21">
            <v>9</v>
          </cell>
          <cell r="C21">
            <v>48584.826135170922</v>
          </cell>
          <cell r="D21">
            <v>-1943.393045406837</v>
          </cell>
          <cell r="E21">
            <v>-6151.3059879807442</v>
          </cell>
          <cell r="F21">
            <v>-8094.699033387581</v>
          </cell>
          <cell r="G21">
            <v>42433.520147190182</v>
          </cell>
        </row>
        <row r="22">
          <cell r="B22">
            <v>10</v>
          </cell>
          <cell r="C22">
            <v>42433.520147190182</v>
          </cell>
          <cell r="D22">
            <v>-1697.3408058876073</v>
          </cell>
          <cell r="E22">
            <v>-6397.3582274999735</v>
          </cell>
          <cell r="F22">
            <v>-8094.699033387581</v>
          </cell>
          <cell r="G22">
            <v>36036.16191969021</v>
          </cell>
        </row>
        <row r="23">
          <cell r="B23">
            <v>11</v>
          </cell>
          <cell r="C23">
            <v>36036.16191969021</v>
          </cell>
          <cell r="D23">
            <v>-1441.4464767876084</v>
          </cell>
          <cell r="E23">
            <v>-6653.2525565999731</v>
          </cell>
          <cell r="F23">
            <v>-8094.699033387581</v>
          </cell>
          <cell r="G23">
            <v>29382.909363090235</v>
          </cell>
        </row>
        <row r="24">
          <cell r="B24">
            <v>12</v>
          </cell>
          <cell r="C24">
            <v>29382.909363090235</v>
          </cell>
          <cell r="D24">
            <v>-1175.3163745236095</v>
          </cell>
          <cell r="E24">
            <v>-6919.3826588639713</v>
          </cell>
          <cell r="F24">
            <v>-8094.699033387581</v>
          </cell>
          <cell r="G24">
            <v>22463.526704226264</v>
          </cell>
        </row>
        <row r="25">
          <cell r="B25">
            <v>13</v>
          </cell>
          <cell r="C25">
            <v>22463.526704226264</v>
          </cell>
          <cell r="D25">
            <v>-898.54106816905062</v>
          </cell>
          <cell r="E25">
            <v>-7196.1579652185301</v>
          </cell>
          <cell r="F25">
            <v>-8094.699033387581</v>
          </cell>
          <cell r="G25">
            <v>15267.368739007734</v>
          </cell>
        </row>
        <row r="26">
          <cell r="B26">
            <v>14</v>
          </cell>
          <cell r="C26">
            <v>15267.368739007734</v>
          </cell>
          <cell r="D26">
            <v>-610.69474956030933</v>
          </cell>
          <cell r="E26">
            <v>-7484.004283827272</v>
          </cell>
          <cell r="F26">
            <v>-8094.699033387581</v>
          </cell>
          <cell r="G26">
            <v>7783.3644551804618</v>
          </cell>
        </row>
        <row r="27">
          <cell r="B27">
            <v>15</v>
          </cell>
          <cell r="C27">
            <v>7783.3644551804618</v>
          </cell>
          <cell r="D27">
            <v>-311.3345782072185</v>
          </cell>
          <cell r="E27">
            <v>-7783.3644551803627</v>
          </cell>
          <cell r="F27">
            <v>-8094.699033387581</v>
          </cell>
          <cell r="G27">
            <v>9.9134922493249178E-11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</row>
      </sheetData>
      <sheetData sheetId="3">
        <row r="2">
          <cell r="B2" t="str">
            <v>Séries de Pagamento</v>
          </cell>
        </row>
        <row r="4">
          <cell r="B4" t="str">
            <v>SAC - Amortizações Constantes</v>
          </cell>
        </row>
        <row r="6">
          <cell r="B6" t="str">
            <v>Valor Presente</v>
          </cell>
          <cell r="D6">
            <v>40000</v>
          </cell>
        </row>
        <row r="7">
          <cell r="B7" t="str">
            <v>Carência (m+1)</v>
          </cell>
          <cell r="D7">
            <v>1</v>
          </cell>
        </row>
        <row r="8">
          <cell r="B8" t="str">
            <v>Taxa ao período (%)</v>
          </cell>
          <cell r="D8">
            <v>0.05</v>
          </cell>
        </row>
        <row r="9">
          <cell r="B9" t="str">
            <v>Número de Pagamentos</v>
          </cell>
          <cell r="D9">
            <v>5</v>
          </cell>
        </row>
        <row r="11">
          <cell r="B11" t="str">
            <v>Período</v>
          </cell>
          <cell r="C11" t="str">
            <v>Saldo</v>
          </cell>
          <cell r="D11" t="str">
            <v>Pagamento</v>
          </cell>
          <cell r="G11" t="str">
            <v>Saldo</v>
          </cell>
        </row>
        <row r="12">
          <cell r="B12" t="str">
            <v>N</v>
          </cell>
          <cell r="C12" t="str">
            <v>Inicial</v>
          </cell>
          <cell r="D12" t="str">
            <v>Juros</v>
          </cell>
          <cell r="E12" t="str">
            <v>Amortização</v>
          </cell>
          <cell r="F12" t="str">
            <v>Total</v>
          </cell>
          <cell r="G12" t="str">
            <v>Final</v>
          </cell>
        </row>
        <row r="13">
          <cell r="B13">
            <v>1</v>
          </cell>
          <cell r="C13">
            <v>40000</v>
          </cell>
          <cell r="D13">
            <v>-2000</v>
          </cell>
          <cell r="E13">
            <v>-8000</v>
          </cell>
          <cell r="F13">
            <v>-10000</v>
          </cell>
          <cell r="G13">
            <v>32000</v>
          </cell>
        </row>
        <row r="14">
          <cell r="B14">
            <v>2</v>
          </cell>
          <cell r="C14">
            <v>32000</v>
          </cell>
          <cell r="D14">
            <v>-1600</v>
          </cell>
          <cell r="E14">
            <v>-8000</v>
          </cell>
          <cell r="F14">
            <v>-9600</v>
          </cell>
          <cell r="G14">
            <v>24000</v>
          </cell>
        </row>
        <row r="15">
          <cell r="B15">
            <v>3</v>
          </cell>
          <cell r="C15">
            <v>24000</v>
          </cell>
          <cell r="D15">
            <v>-1200</v>
          </cell>
          <cell r="E15">
            <v>-8000</v>
          </cell>
          <cell r="F15">
            <v>-9200</v>
          </cell>
          <cell r="G15">
            <v>16000</v>
          </cell>
        </row>
        <row r="16">
          <cell r="B16">
            <v>4</v>
          </cell>
          <cell r="C16">
            <v>16000</v>
          </cell>
          <cell r="D16">
            <v>-800</v>
          </cell>
          <cell r="E16">
            <v>-8000</v>
          </cell>
          <cell r="F16">
            <v>-8800</v>
          </cell>
          <cell r="G16">
            <v>8000</v>
          </cell>
        </row>
        <row r="17">
          <cell r="B17">
            <v>5</v>
          </cell>
          <cell r="C17">
            <v>8000</v>
          </cell>
          <cell r="D17">
            <v>-400</v>
          </cell>
          <cell r="E17">
            <v>-8000</v>
          </cell>
          <cell r="F17">
            <v>-8400</v>
          </cell>
          <cell r="G17">
            <v>0</v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</row>
        <row r="95">
          <cell r="B95" t="str">
            <v>Gráficos (a ser melhorado em breve !!!)</v>
          </cell>
        </row>
      </sheetData>
      <sheetData sheetId="4">
        <row r="2">
          <cell r="B2" t="str">
            <v>Séries de Pagamento</v>
          </cell>
        </row>
        <row r="4">
          <cell r="B4" t="str">
            <v>Séries Não Uniformes - Tempos Desiguais</v>
          </cell>
        </row>
        <row r="6">
          <cell r="B6" t="str">
            <v>k</v>
          </cell>
          <cell r="F6" t="str">
            <v>Soma VP</v>
          </cell>
          <cell r="G6">
            <v>0</v>
          </cell>
        </row>
        <row r="8">
          <cell r="B8" t="str">
            <v>Período</v>
          </cell>
          <cell r="C8" t="str">
            <v xml:space="preserve">Fluxo de </v>
          </cell>
          <cell r="D8" t="str">
            <v xml:space="preserve">Fluxo de </v>
          </cell>
        </row>
        <row r="9">
          <cell r="B9" t="str">
            <v>N</v>
          </cell>
          <cell r="C9" t="str">
            <v>Caixa (VF)</v>
          </cell>
          <cell r="D9" t="str">
            <v>Caixa (VP)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</sheetData>
      <sheetData sheetId="5">
        <row r="1">
          <cell r="B1" t="str">
            <v>Modelo Geral de Matemática Financeira</v>
          </cell>
          <cell r="G1" t="str">
            <v>Bruni &amp; Famá</v>
          </cell>
        </row>
        <row r="3">
          <cell r="B3" t="str">
            <v>Coloque um "?" no valor que deseja obter.</v>
          </cell>
        </row>
        <row r="4">
          <cell r="F4" t="str">
            <v>Juros Compostos</v>
          </cell>
        </row>
        <row r="5">
          <cell r="B5" t="str">
            <v>Cálculos Financeiros Básicos</v>
          </cell>
          <cell r="F5" t="str">
            <v>Juros Compostos</v>
          </cell>
        </row>
        <row r="6">
          <cell r="B6" t="str">
            <v>Regime</v>
          </cell>
          <cell r="C6" t="str">
            <v>N</v>
          </cell>
          <cell r="D6" t="str">
            <v>I</v>
          </cell>
          <cell r="E6" t="str">
            <v>PV</v>
          </cell>
          <cell r="F6" t="str">
            <v>PMT</v>
          </cell>
          <cell r="G6" t="str">
            <v>FV</v>
          </cell>
          <cell r="H6" t="str">
            <v>TIPO</v>
          </cell>
        </row>
        <row r="7">
          <cell r="B7">
            <v>3</v>
          </cell>
          <cell r="C7">
            <v>6</v>
          </cell>
          <cell r="D7">
            <v>0.02</v>
          </cell>
          <cell r="E7">
            <v>53060.4</v>
          </cell>
          <cell r="F7" t="str">
            <v>?</v>
          </cell>
        </row>
        <row r="8">
          <cell r="B8" t="str">
            <v>Juros Compostos</v>
          </cell>
          <cell r="C8" t="str">
            <v/>
          </cell>
          <cell r="D8" t="str">
            <v/>
          </cell>
          <cell r="E8" t="str">
            <v/>
          </cell>
          <cell r="F8">
            <v>-9472.6510128307746</v>
          </cell>
          <cell r="G8" t="str">
            <v/>
          </cell>
          <cell r="H8" t="str">
            <v>Post</v>
          </cell>
          <cell r="I8" t="str">
            <v>Tipo : 0 = postecipado, sem entrada</v>
          </cell>
        </row>
        <row r="9">
          <cell r="D9" t="str">
            <v>Operações</v>
          </cell>
          <cell r="E9" t="str">
            <v>[f] [REG] 6 [n] 2 [i] 53060,4 [PV] [g] [END] [PMT] Visor =&gt; -9472,651</v>
          </cell>
          <cell r="I9" t="str">
            <v xml:space="preserve">            1 = antecipado, com entrada</v>
          </cell>
        </row>
        <row r="10">
          <cell r="D10" t="str">
            <v>na HP:</v>
          </cell>
        </row>
        <row r="12">
          <cell r="B12" t="str">
            <v>Equivalência de Taxas</v>
          </cell>
          <cell r="G12">
            <v>320</v>
          </cell>
        </row>
        <row r="13">
          <cell r="B13" t="str">
            <v>Taxa A</v>
          </cell>
          <cell r="C13" t="str">
            <v>Nper A</v>
          </cell>
          <cell r="D13" t="str">
            <v>Taxa B</v>
          </cell>
          <cell r="E13" t="str">
            <v>Nper B</v>
          </cell>
          <cell r="F13">
            <v>5000</v>
          </cell>
          <cell r="G13">
            <v>-9152.6510128307746</v>
          </cell>
        </row>
        <row r="14">
          <cell r="B14">
            <v>0.08</v>
          </cell>
          <cell r="C14">
            <v>12</v>
          </cell>
          <cell r="D14" t="str">
            <v>?</v>
          </cell>
          <cell r="E14">
            <v>1</v>
          </cell>
          <cell r="G14">
            <v>9152.6510128307746</v>
          </cell>
        </row>
        <row r="15">
          <cell r="D15">
            <v>1.5181701168189798</v>
          </cell>
          <cell r="E15" t="str">
            <v/>
          </cell>
          <cell r="F15">
            <v>1100</v>
          </cell>
        </row>
        <row r="17">
          <cell r="B17" t="str">
            <v>Contagem de dias</v>
          </cell>
        </row>
        <row r="18">
          <cell r="B18" t="str">
            <v>Início :  quinta</v>
          </cell>
          <cell r="C18" t="str">
            <v>Fim :  sexta</v>
          </cell>
          <cell r="D18" t="str">
            <v>Dias úteis</v>
          </cell>
          <cell r="E18" t="str">
            <v>Dias corridos</v>
          </cell>
        </row>
        <row r="19">
          <cell r="B19">
            <v>37350</v>
          </cell>
          <cell r="C19">
            <v>37554</v>
          </cell>
          <cell r="D19" t="str">
            <v>?</v>
          </cell>
          <cell r="E19" t="str">
            <v>?</v>
          </cell>
        </row>
        <row r="20">
          <cell r="B20" t="str">
            <v/>
          </cell>
          <cell r="C20" t="str">
            <v/>
          </cell>
          <cell r="D20">
            <v>144</v>
          </cell>
          <cell r="E20">
            <v>204</v>
          </cell>
        </row>
        <row r="21">
          <cell r="B21" t="str">
            <v>Lembre-se : os feriados devem estar abastecidos.</v>
          </cell>
        </row>
        <row r="22">
          <cell r="B22" t="str">
            <v>Último feriado fornecido =</v>
          </cell>
          <cell r="D22">
            <v>37615</v>
          </cell>
          <cell r="E22" t="str">
            <v>Ok</v>
          </cell>
        </row>
        <row r="23">
          <cell r="B23" t="str">
            <v>Primeiro feriado fornecido =</v>
          </cell>
          <cell r="D23">
            <v>36892</v>
          </cell>
          <cell r="E23" t="str">
            <v>Ok</v>
          </cell>
        </row>
        <row r="24">
          <cell r="B24" t="str">
            <v>a) 13/03/02 e 22/04/02</v>
          </cell>
        </row>
        <row r="36">
          <cell r="B36" t="str">
            <v>Relação de feriados bancários (importante para a contagem de dias úteis).</v>
          </cell>
        </row>
        <row r="37">
          <cell r="B37">
            <v>36892</v>
          </cell>
          <cell r="C37">
            <v>37257</v>
          </cell>
        </row>
        <row r="38">
          <cell r="B38">
            <v>36948</v>
          </cell>
          <cell r="C38">
            <v>37298</v>
          </cell>
        </row>
        <row r="39">
          <cell r="B39">
            <v>36949</v>
          </cell>
          <cell r="C39">
            <v>37299</v>
          </cell>
        </row>
        <row r="40">
          <cell r="B40">
            <v>36994</v>
          </cell>
          <cell r="C40">
            <v>37344</v>
          </cell>
        </row>
        <row r="41">
          <cell r="B41">
            <v>37002</v>
          </cell>
          <cell r="C41">
            <v>37367</v>
          </cell>
        </row>
        <row r="42">
          <cell r="B42">
            <v>37012</v>
          </cell>
          <cell r="C42">
            <v>37377</v>
          </cell>
        </row>
        <row r="43">
          <cell r="B43">
            <v>37056</v>
          </cell>
          <cell r="C43">
            <v>37406</v>
          </cell>
        </row>
        <row r="44">
          <cell r="B44">
            <v>37141</v>
          </cell>
          <cell r="C44">
            <v>37506</v>
          </cell>
        </row>
        <row r="45">
          <cell r="B45">
            <v>37176</v>
          </cell>
          <cell r="C45">
            <v>37602</v>
          </cell>
        </row>
        <row r="46">
          <cell r="B46">
            <v>37197</v>
          </cell>
          <cell r="C46">
            <v>37562</v>
          </cell>
        </row>
        <row r="47">
          <cell r="B47">
            <v>37210</v>
          </cell>
          <cell r="C47">
            <v>37575</v>
          </cell>
        </row>
        <row r="48">
          <cell r="B48">
            <v>37250</v>
          </cell>
          <cell r="C48">
            <v>37615</v>
          </cell>
        </row>
        <row r="54">
          <cell r="C54" t="e">
            <v>#VALUE!</v>
          </cell>
          <cell r="D54" t="e">
            <v>#VALUE!</v>
          </cell>
          <cell r="E54" t="e">
            <v>#VALUE!</v>
          </cell>
          <cell r="F54" t="str">
            <v>Não existe</v>
          </cell>
          <cell r="G54" t="e">
            <v>#VALUE!</v>
          </cell>
        </row>
        <row r="55">
          <cell r="C55" t="e">
            <v>#VALUE!</v>
          </cell>
          <cell r="D55" t="e">
            <v>#VALUE!</v>
          </cell>
          <cell r="E55" t="e">
            <v>#VALUE!</v>
          </cell>
          <cell r="F55" t="str">
            <v>Não existe</v>
          </cell>
          <cell r="G55" t="e">
            <v>#VALUE!</v>
          </cell>
        </row>
        <row r="56">
          <cell r="C56" t="e">
            <v>#VALUE!</v>
          </cell>
          <cell r="D56" t="e">
            <v>#VALUE!</v>
          </cell>
          <cell r="E56" t="e">
            <v>#VALUE!</v>
          </cell>
          <cell r="F56" t="str">
            <v>[f] [REG] 6 [n] 2 [i] 53060,4 [PV] [g] [END] [PMT] Visor =&gt; -9472,651</v>
          </cell>
          <cell r="G56" t="e">
            <v>#VALUE!</v>
          </cell>
        </row>
      </sheetData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ual"/>
      <sheetName val="Feriados"/>
    </sheetNames>
    <sheetDataSet>
      <sheetData sheetId="0"/>
      <sheetData sheetId="1">
        <row r="4">
          <cell r="B4">
            <v>38718</v>
          </cell>
        </row>
        <row r="5">
          <cell r="B5">
            <v>38823</v>
          </cell>
        </row>
        <row r="6">
          <cell r="B6">
            <v>38825</v>
          </cell>
        </row>
        <row r="7">
          <cell r="B7">
            <v>38828</v>
          </cell>
        </row>
        <row r="8">
          <cell r="B8">
            <v>38838</v>
          </cell>
        </row>
        <row r="9">
          <cell r="B9">
            <v>38885</v>
          </cell>
        </row>
        <row r="10">
          <cell r="B10">
            <v>38967</v>
          </cell>
        </row>
        <row r="11">
          <cell r="B11">
            <v>39002</v>
          </cell>
        </row>
        <row r="12">
          <cell r="B12">
            <v>39023</v>
          </cell>
        </row>
        <row r="13">
          <cell r="B13">
            <v>39036</v>
          </cell>
        </row>
        <row r="14">
          <cell r="B14">
            <v>39076</v>
          </cell>
        </row>
        <row r="17">
          <cell r="B17">
            <v>38778</v>
          </cell>
        </row>
        <row r="18">
          <cell r="B18">
            <v>38818</v>
          </cell>
        </row>
        <row r="19">
          <cell r="B19">
            <v>38824</v>
          </cell>
        </row>
        <row r="20">
          <cell r="B20">
            <v>38851</v>
          </cell>
        </row>
        <row r="21">
          <cell r="B21">
            <v>38880</v>
          </cell>
        </row>
        <row r="22">
          <cell r="B22">
            <v>39002</v>
          </cell>
        </row>
        <row r="23">
          <cell r="B23">
            <v>38942</v>
          </cell>
        </row>
        <row r="24">
          <cell r="B24">
            <v>38990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ual"/>
      <sheetName val="Feriados"/>
    </sheetNames>
    <sheetDataSet>
      <sheetData sheetId="0"/>
      <sheetData sheetId="1">
        <row r="4">
          <cell r="B4">
            <v>38718</v>
          </cell>
        </row>
        <row r="5">
          <cell r="B5">
            <v>38823</v>
          </cell>
        </row>
        <row r="6">
          <cell r="B6">
            <v>38825</v>
          </cell>
        </row>
        <row r="7">
          <cell r="B7">
            <v>38828</v>
          </cell>
        </row>
        <row r="8">
          <cell r="B8">
            <v>38838</v>
          </cell>
        </row>
        <row r="9">
          <cell r="B9">
            <v>38885</v>
          </cell>
        </row>
        <row r="10">
          <cell r="B10">
            <v>38967</v>
          </cell>
        </row>
        <row r="11">
          <cell r="B11">
            <v>39002</v>
          </cell>
        </row>
        <row r="12">
          <cell r="B12">
            <v>39023</v>
          </cell>
        </row>
        <row r="13">
          <cell r="B13">
            <v>39036</v>
          </cell>
        </row>
        <row r="14">
          <cell r="B14">
            <v>39076</v>
          </cell>
        </row>
        <row r="17">
          <cell r="B17">
            <v>38778</v>
          </cell>
        </row>
        <row r="18">
          <cell r="B18">
            <v>38818</v>
          </cell>
        </row>
        <row r="19">
          <cell r="B19">
            <v>38824</v>
          </cell>
        </row>
        <row r="20">
          <cell r="B20">
            <v>38851</v>
          </cell>
        </row>
        <row r="21">
          <cell r="B21">
            <v>38880</v>
          </cell>
        </row>
        <row r="22">
          <cell r="B22">
            <v>39002</v>
          </cell>
        </row>
        <row r="23">
          <cell r="B23">
            <v>38942</v>
          </cell>
        </row>
        <row r="24">
          <cell r="B24">
            <v>38990</v>
          </cell>
        </row>
        <row r="27">
          <cell r="B27">
            <v>38733</v>
          </cell>
        </row>
        <row r="28">
          <cell r="B28">
            <v>38768</v>
          </cell>
        </row>
        <row r="29">
          <cell r="B29">
            <v>38866</v>
          </cell>
        </row>
        <row r="30">
          <cell r="B30">
            <v>38902</v>
          </cell>
        </row>
        <row r="31">
          <cell r="B31">
            <v>38964</v>
          </cell>
        </row>
        <row r="32">
          <cell r="B32">
            <v>38999</v>
          </cell>
        </row>
        <row r="33">
          <cell r="B33">
            <v>39032</v>
          </cell>
        </row>
        <row r="34">
          <cell r="B34">
            <v>39044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ual"/>
      <sheetName val="Feriados"/>
    </sheetNames>
    <sheetDataSet>
      <sheetData sheetId="0"/>
      <sheetData sheetId="1">
        <row r="4">
          <cell r="B4">
            <v>38718</v>
          </cell>
        </row>
        <row r="5">
          <cell r="B5">
            <v>38823</v>
          </cell>
        </row>
        <row r="6">
          <cell r="B6">
            <v>38825</v>
          </cell>
        </row>
        <row r="7">
          <cell r="B7">
            <v>38828</v>
          </cell>
        </row>
        <row r="8">
          <cell r="B8">
            <v>38838</v>
          </cell>
        </row>
        <row r="9">
          <cell r="B9">
            <v>38885</v>
          </cell>
        </row>
        <row r="10">
          <cell r="B10">
            <v>38967</v>
          </cell>
        </row>
        <row r="11">
          <cell r="B11">
            <v>39002</v>
          </cell>
        </row>
        <row r="12">
          <cell r="B12">
            <v>39023</v>
          </cell>
        </row>
        <row r="13">
          <cell r="B13">
            <v>39036</v>
          </cell>
        </row>
        <row r="14">
          <cell r="B14">
            <v>39076</v>
          </cell>
        </row>
        <row r="17">
          <cell r="B17">
            <v>38778</v>
          </cell>
        </row>
        <row r="18">
          <cell r="B18">
            <v>38818</v>
          </cell>
        </row>
        <row r="19">
          <cell r="B19">
            <v>38824</v>
          </cell>
        </row>
        <row r="20">
          <cell r="B20">
            <v>38851</v>
          </cell>
        </row>
        <row r="21">
          <cell r="B21">
            <v>38880</v>
          </cell>
        </row>
        <row r="22">
          <cell r="B22">
            <v>39002</v>
          </cell>
        </row>
        <row r="23">
          <cell r="B23">
            <v>38942</v>
          </cell>
        </row>
        <row r="24">
          <cell r="B24">
            <v>38990</v>
          </cell>
        </row>
        <row r="27">
          <cell r="B27">
            <v>38733</v>
          </cell>
        </row>
        <row r="28">
          <cell r="B28">
            <v>38768</v>
          </cell>
        </row>
        <row r="29">
          <cell r="B29">
            <v>38866</v>
          </cell>
        </row>
        <row r="30">
          <cell r="B30">
            <v>38902</v>
          </cell>
        </row>
        <row r="31">
          <cell r="B31">
            <v>38964</v>
          </cell>
        </row>
        <row r="32">
          <cell r="B32">
            <v>38999</v>
          </cell>
        </row>
        <row r="33">
          <cell r="B33">
            <v>39032</v>
          </cell>
        </row>
        <row r="34">
          <cell r="B34">
            <v>39044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Feriado"/>
    </sheetNames>
    <sheetDataSet>
      <sheetData sheetId="0" refreshError="1"/>
      <sheetData sheetId="1" refreshError="1">
        <row r="5">
          <cell r="A5">
            <v>40544</v>
          </cell>
          <cell r="B5" t="str">
            <v>Confraternização Universal</v>
          </cell>
          <cell r="D5">
            <v>40544</v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</row>
        <row r="6">
          <cell r="A6">
            <v>40582</v>
          </cell>
          <cell r="B6" t="str">
            <v xml:space="preserve">Carnaval </v>
          </cell>
          <cell r="D6" t="str">
            <v/>
          </cell>
          <cell r="E6">
            <v>40582</v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</row>
        <row r="7">
          <cell r="A7">
            <v>40624</v>
          </cell>
          <cell r="B7" t="str">
            <v>Paixão de Cristo</v>
          </cell>
          <cell r="D7" t="str">
            <v/>
          </cell>
          <cell r="E7" t="str">
            <v/>
          </cell>
          <cell r="F7">
            <v>40624</v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</row>
        <row r="8">
          <cell r="A8">
            <v>40638</v>
          </cell>
          <cell r="B8" t="str">
            <v>Emancipação NH</v>
          </cell>
          <cell r="D8" t="str">
            <v/>
          </cell>
          <cell r="E8" t="str">
            <v/>
          </cell>
          <cell r="F8" t="str">
            <v/>
          </cell>
          <cell r="G8">
            <v>40638</v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</row>
        <row r="9">
          <cell r="A9">
            <v>40654</v>
          </cell>
          <cell r="B9" t="str">
            <v>Tiradentes</v>
          </cell>
          <cell r="D9" t="str">
            <v/>
          </cell>
          <cell r="E9" t="str">
            <v/>
          </cell>
          <cell r="F9" t="str">
            <v/>
          </cell>
          <cell r="G9">
            <v>40654</v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</row>
        <row r="10">
          <cell r="A10">
            <v>40664</v>
          </cell>
          <cell r="B10" t="str">
            <v>Dia do Trabalho</v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>
            <v>40664</v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</row>
        <row r="11">
          <cell r="A11">
            <v>40684</v>
          </cell>
          <cell r="B11" t="str">
            <v>Corpus Christi</v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>
            <v>40684</v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A12">
            <v>40793</v>
          </cell>
          <cell r="B12" t="str">
            <v>Independência do Brasil</v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>
            <v>40793</v>
          </cell>
          <cell r="M12" t="str">
            <v/>
          </cell>
          <cell r="N12" t="str">
            <v/>
          </cell>
          <cell r="O12" t="str">
            <v/>
          </cell>
        </row>
        <row r="13">
          <cell r="A13">
            <v>40806</v>
          </cell>
          <cell r="B13" t="str">
            <v>Revolução Farroupilha</v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>
            <v>40806</v>
          </cell>
          <cell r="M13" t="str">
            <v/>
          </cell>
          <cell r="N13" t="str">
            <v/>
          </cell>
          <cell r="O13" t="str">
            <v/>
          </cell>
        </row>
        <row r="14">
          <cell r="A14">
            <v>40828</v>
          </cell>
          <cell r="B14" t="str">
            <v>Nsa. Senhora Aparecida</v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>
            <v>40828</v>
          </cell>
          <cell r="N14" t="str">
            <v/>
          </cell>
          <cell r="O14" t="str">
            <v/>
          </cell>
        </row>
        <row r="15">
          <cell r="A15">
            <v>40849</v>
          </cell>
          <cell r="B15" t="str">
            <v>Finados</v>
          </cell>
        </row>
        <row r="16">
          <cell r="A16">
            <v>40862</v>
          </cell>
          <cell r="B16" t="str">
            <v>Proclamação da República</v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>
            <v>40862</v>
          </cell>
          <cell r="O16" t="str">
            <v/>
          </cell>
        </row>
        <row r="17">
          <cell r="A17">
            <v>40902</v>
          </cell>
          <cell r="B17" t="str">
            <v>Natal</v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>
            <v>40902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atualizacao"/>
      <sheetName val="Plan1"/>
      <sheetName val="Plan2"/>
      <sheetName val="Plan3"/>
    </sheetNames>
    <sheetDataSet>
      <sheetData sheetId="0"/>
      <sheetData sheetId="1">
        <row r="6">
          <cell r="C6">
            <v>34700</v>
          </cell>
        </row>
        <row r="7">
          <cell r="C7">
            <v>37059</v>
          </cell>
        </row>
        <row r="8">
          <cell r="C8">
            <v>0.01</v>
          </cell>
        </row>
        <row r="12">
          <cell r="C12">
            <v>1500</v>
          </cell>
        </row>
        <row r="1504">
          <cell r="R1504">
            <v>1</v>
          </cell>
          <cell r="S1504" t="str">
            <v>CDI (% a.m.o.)</v>
          </cell>
        </row>
        <row r="1505">
          <cell r="R1505">
            <v>2</v>
          </cell>
          <cell r="S1505" t="str">
            <v>Dólar Ptax Venda</v>
          </cell>
        </row>
        <row r="1506">
          <cell r="R1506">
            <v>3</v>
          </cell>
          <cell r="S1506" t="str">
            <v>FGV 100</v>
          </cell>
        </row>
        <row r="1507">
          <cell r="R1507">
            <v>4</v>
          </cell>
          <cell r="S1507" t="str">
            <v>Ibovespa</v>
          </cell>
        </row>
        <row r="1508">
          <cell r="R1508">
            <v>5</v>
          </cell>
          <cell r="S1508" t="str">
            <v>IGPDI (Mês)</v>
          </cell>
        </row>
        <row r="1509">
          <cell r="B1509">
            <v>32875</v>
          </cell>
          <cell r="C1509">
            <v>79.674000000000007</v>
          </cell>
          <cell r="D1509">
            <v>4.2109090000000002E-6</v>
          </cell>
          <cell r="E1509">
            <v>5.9630000000000002E-2</v>
          </cell>
          <cell r="F1509">
            <v>6.3736000000000001E-3</v>
          </cell>
          <cell r="J1509">
            <v>1.0265580000000001</v>
          </cell>
          <cell r="K1509">
            <v>4.2109090000000002E-6</v>
          </cell>
          <cell r="L1509">
            <v>5.9630000000000002E-2</v>
          </cell>
          <cell r="M1509">
            <v>6.3736000000000001E-3</v>
          </cell>
          <cell r="N1509">
            <v>1</v>
          </cell>
          <cell r="O1509">
            <v>1</v>
          </cell>
          <cell r="P1509">
            <v>6.3903129999999997E-4</v>
          </cell>
          <cell r="R1509">
            <v>6</v>
          </cell>
          <cell r="S1509" t="str">
            <v>IGPM (Mês)</v>
          </cell>
        </row>
        <row r="1510">
          <cell r="B1510">
            <v>32876</v>
          </cell>
          <cell r="C1510">
            <v>79.478999999999999</v>
          </cell>
          <cell r="D1510">
            <v>4.2945460000000001E-6</v>
          </cell>
          <cell r="E1510">
            <v>6.2539999999999998E-2</v>
          </cell>
          <cell r="F1510">
            <v>6.7340999999999998E-3</v>
          </cell>
          <cell r="J1510">
            <v>1.0537546010940002</v>
          </cell>
          <cell r="K1510">
            <v>4.2945460000000001E-6</v>
          </cell>
          <cell r="L1510">
            <v>6.2539999999999998E-2</v>
          </cell>
          <cell r="M1510">
            <v>6.7340999999999998E-3</v>
          </cell>
          <cell r="N1510">
            <v>1</v>
          </cell>
          <cell r="O1510">
            <v>1</v>
          </cell>
          <cell r="P1510">
            <v>6.3903129999999997E-4</v>
          </cell>
          <cell r="R1510">
            <v>7</v>
          </cell>
          <cell r="S1510" t="str">
            <v>Poupança (Mês)</v>
          </cell>
        </row>
        <row r="1511">
          <cell r="B1511">
            <v>32877</v>
          </cell>
          <cell r="C1511">
            <v>66.768000000000001</v>
          </cell>
          <cell r="D1511">
            <v>4.3781819999999998E-6</v>
          </cell>
          <cell r="E1511">
            <v>6.8150000000000002E-2</v>
          </cell>
          <cell r="F1511">
            <v>7.1621999999999996E-3</v>
          </cell>
          <cell r="J1511">
            <v>1.0772069634959482</v>
          </cell>
          <cell r="K1511">
            <v>4.3781819999999998E-6</v>
          </cell>
          <cell r="L1511">
            <v>6.8150000000000002E-2</v>
          </cell>
          <cell r="M1511">
            <v>7.1621999999999996E-3</v>
          </cell>
          <cell r="N1511">
            <v>1</v>
          </cell>
          <cell r="O1511">
            <v>1</v>
          </cell>
          <cell r="P1511">
            <v>6.3903129999999997E-4</v>
          </cell>
        </row>
        <row r="1512">
          <cell r="B1512">
            <v>32878</v>
          </cell>
          <cell r="C1512">
            <v>67.278000000000006</v>
          </cell>
          <cell r="D1512">
            <v>4.4618180000000003E-6</v>
          </cell>
          <cell r="E1512">
            <v>7.2410000000000002E-2</v>
          </cell>
          <cell r="F1512">
            <v>7.5637999999999999E-3</v>
          </cell>
          <cell r="J1512">
            <v>1.1013644068593085</v>
          </cell>
          <cell r="K1512">
            <v>4.4618180000000003E-6</v>
          </cell>
          <cell r="L1512">
            <v>7.2410000000000002E-2</v>
          </cell>
          <cell r="M1512">
            <v>7.5637999999999999E-3</v>
          </cell>
          <cell r="N1512">
            <v>1</v>
          </cell>
          <cell r="O1512">
            <v>1</v>
          </cell>
          <cell r="P1512">
            <v>6.3903129999999997E-4</v>
          </cell>
        </row>
        <row r="1513">
          <cell r="B1513">
            <v>32881</v>
          </cell>
          <cell r="C1513">
            <v>67.659000000000006</v>
          </cell>
          <cell r="D1513">
            <v>4.5454550000000002E-6</v>
          </cell>
          <cell r="E1513">
            <v>7.7630000000000005E-2</v>
          </cell>
          <cell r="F1513">
            <v>8.2314999999999992E-3</v>
          </cell>
          <cell r="J1513">
            <v>1.1262034783272066</v>
          </cell>
          <cell r="K1513">
            <v>4.5454550000000002E-6</v>
          </cell>
          <cell r="L1513">
            <v>7.7630000000000005E-2</v>
          </cell>
          <cell r="M1513">
            <v>8.2314999999999992E-3</v>
          </cell>
          <cell r="N1513">
            <v>1</v>
          </cell>
          <cell r="O1513">
            <v>1</v>
          </cell>
          <cell r="P1513">
            <v>6.3903129999999997E-4</v>
          </cell>
        </row>
        <row r="1514">
          <cell r="B1514">
            <v>32882</v>
          </cell>
          <cell r="C1514">
            <v>67.802999999999997</v>
          </cell>
          <cell r="D1514">
            <v>4.6327270000000002E-6</v>
          </cell>
          <cell r="E1514">
            <v>7.8520000000000006E-2</v>
          </cell>
          <cell r="F1514">
            <v>8.6796000000000009E-3</v>
          </cell>
          <cell r="J1514">
            <v>1.1516568031408798</v>
          </cell>
          <cell r="K1514">
            <v>4.6327270000000002E-6</v>
          </cell>
          <cell r="L1514">
            <v>7.8520000000000006E-2</v>
          </cell>
          <cell r="M1514">
            <v>8.6796000000000009E-3</v>
          </cell>
          <cell r="N1514">
            <v>1</v>
          </cell>
          <cell r="O1514">
            <v>1</v>
          </cell>
          <cell r="P1514">
            <v>6.3903129999999997E-4</v>
          </cell>
        </row>
        <row r="1515">
          <cell r="B1515">
            <v>32883</v>
          </cell>
          <cell r="C1515">
            <v>67.334999999999994</v>
          </cell>
          <cell r="D1515">
            <v>4.7199999999999997E-6</v>
          </cell>
          <cell r="E1515">
            <v>7.8299999999999995E-2</v>
          </cell>
          <cell r="F1515">
            <v>8.9659000000000006E-3</v>
          </cell>
          <cell r="J1515">
            <v>1.177505740087377</v>
          </cell>
          <cell r="K1515">
            <v>4.7199999999999997E-6</v>
          </cell>
          <cell r="L1515">
            <v>7.8299999999999995E-2</v>
          </cell>
          <cell r="M1515">
            <v>8.9659000000000006E-3</v>
          </cell>
          <cell r="N1515">
            <v>1</v>
          </cell>
          <cell r="O1515">
            <v>1</v>
          </cell>
          <cell r="P1515">
            <v>6.3903129999999997E-4</v>
          </cell>
        </row>
        <row r="1516">
          <cell r="B1516">
            <v>32884</v>
          </cell>
          <cell r="C1516">
            <v>67.89</v>
          </cell>
          <cell r="D1516">
            <v>4.807273E-6</v>
          </cell>
          <cell r="E1516">
            <v>7.9339999999999994E-2</v>
          </cell>
          <cell r="F1516">
            <v>8.8891000000000005E-3</v>
          </cell>
          <cell r="J1516">
            <v>1.2041526949855543</v>
          </cell>
          <cell r="K1516">
            <v>4.807273E-6</v>
          </cell>
          <cell r="L1516">
            <v>7.9339999999999994E-2</v>
          </cell>
          <cell r="M1516">
            <v>8.8891000000000005E-3</v>
          </cell>
          <cell r="N1516">
            <v>1</v>
          </cell>
          <cell r="O1516">
            <v>1</v>
          </cell>
          <cell r="P1516">
            <v>6.3903129999999997E-4</v>
          </cell>
        </row>
        <row r="1517">
          <cell r="B1517">
            <v>32885</v>
          </cell>
          <cell r="C1517">
            <v>70.299000000000007</v>
          </cell>
          <cell r="D1517">
            <v>4.8981819999999999E-6</v>
          </cell>
          <cell r="E1517">
            <v>7.868E-2</v>
          </cell>
          <cell r="F1517">
            <v>8.7790000000000003E-3</v>
          </cell>
          <cell r="J1517">
            <v>1.2323696050871509</v>
          </cell>
          <cell r="K1517">
            <v>4.8981819999999999E-6</v>
          </cell>
          <cell r="L1517">
            <v>7.868E-2</v>
          </cell>
          <cell r="M1517">
            <v>8.7790000000000003E-3</v>
          </cell>
          <cell r="N1517">
            <v>1</v>
          </cell>
          <cell r="O1517">
            <v>1</v>
          </cell>
          <cell r="P1517">
            <v>6.3903129999999997E-4</v>
          </cell>
        </row>
        <row r="1518">
          <cell r="B1518">
            <v>32888</v>
          </cell>
          <cell r="C1518">
            <v>70.421999999999997</v>
          </cell>
          <cell r="D1518">
            <v>4.9927270000000002E-6</v>
          </cell>
          <cell r="E1518">
            <v>7.7299999999999994E-2</v>
          </cell>
          <cell r="F1518">
            <v>8.6990000000000001E-3</v>
          </cell>
          <cell r="J1518">
            <v>1.2612982491969666</v>
          </cell>
          <cell r="K1518">
            <v>4.9927270000000002E-6</v>
          </cell>
          <cell r="L1518">
            <v>7.7299999999999994E-2</v>
          </cell>
          <cell r="M1518">
            <v>8.6990000000000001E-3</v>
          </cell>
          <cell r="N1518">
            <v>1</v>
          </cell>
          <cell r="O1518">
            <v>1</v>
          </cell>
          <cell r="P1518">
            <v>6.3903129999999997E-4</v>
          </cell>
        </row>
        <row r="1519">
          <cell r="B1519">
            <v>32889</v>
          </cell>
          <cell r="C1519">
            <v>62.930999999999997</v>
          </cell>
          <cell r="D1519">
            <v>5.0872729999999999E-6</v>
          </cell>
          <cell r="E1519">
            <v>7.8899999999999998E-2</v>
          </cell>
          <cell r="F1519">
            <v>8.8100000000000001E-3</v>
          </cell>
          <cell r="J1519">
            <v>1.2877565025703714</v>
          </cell>
          <cell r="K1519">
            <v>5.0872729999999999E-6</v>
          </cell>
          <cell r="L1519">
            <v>7.8899999999999998E-2</v>
          </cell>
          <cell r="M1519">
            <v>8.8100000000000001E-3</v>
          </cell>
          <cell r="N1519">
            <v>1</v>
          </cell>
          <cell r="O1519">
            <v>1</v>
          </cell>
          <cell r="P1519">
            <v>6.3903129999999997E-4</v>
          </cell>
        </row>
        <row r="1520">
          <cell r="B1520">
            <v>32890</v>
          </cell>
          <cell r="C1520">
            <v>63.588000000000001</v>
          </cell>
          <cell r="D1520">
            <v>5.185455E-6</v>
          </cell>
          <cell r="E1520">
            <v>8.0189999999999997E-2</v>
          </cell>
          <cell r="F1520">
            <v>8.9259999999999999E-3</v>
          </cell>
          <cell r="J1520">
            <v>1.3150517893988529</v>
          </cell>
          <cell r="K1520">
            <v>5.185455E-6</v>
          </cell>
          <cell r="L1520">
            <v>8.0189999999999997E-2</v>
          </cell>
          <cell r="M1520">
            <v>8.9259999999999999E-3</v>
          </cell>
          <cell r="N1520">
            <v>1</v>
          </cell>
          <cell r="O1520">
            <v>1</v>
          </cell>
          <cell r="P1520">
            <v>6.3903129999999997E-4</v>
          </cell>
        </row>
        <row r="1521">
          <cell r="B1521">
            <v>32891</v>
          </cell>
          <cell r="C1521">
            <v>64.343999999999994</v>
          </cell>
          <cell r="D1521">
            <v>5.2836359999999998E-6</v>
          </cell>
          <cell r="E1521">
            <v>8.3710000000000007E-2</v>
          </cell>
          <cell r="F1521">
            <v>9.6430000000000005E-3</v>
          </cell>
          <cell r="J1521">
            <v>1.3432570201778795</v>
          </cell>
          <cell r="K1521">
            <v>5.2836359999999998E-6</v>
          </cell>
          <cell r="L1521">
            <v>8.3710000000000007E-2</v>
          </cell>
          <cell r="M1521">
            <v>9.6430000000000005E-3</v>
          </cell>
          <cell r="N1521">
            <v>1</v>
          </cell>
          <cell r="O1521">
            <v>1</v>
          </cell>
          <cell r="P1521">
            <v>6.3903129999999997E-4</v>
          </cell>
        </row>
        <row r="1522">
          <cell r="B1522">
            <v>32892</v>
          </cell>
          <cell r="C1522">
            <v>66.323999999999998</v>
          </cell>
          <cell r="D1522">
            <v>5.3818179999999999E-6</v>
          </cell>
          <cell r="E1522">
            <v>8.7889999999999996E-2</v>
          </cell>
          <cell r="F1522">
            <v>1.0194E-2</v>
          </cell>
          <cell r="J1522">
            <v>1.3729537463799721</v>
          </cell>
          <cell r="K1522">
            <v>5.3818179999999999E-6</v>
          </cell>
          <cell r="L1522">
            <v>8.7889999999999996E-2</v>
          </cell>
          <cell r="M1522">
            <v>1.0194E-2</v>
          </cell>
          <cell r="N1522">
            <v>1</v>
          </cell>
          <cell r="O1522">
            <v>1</v>
          </cell>
          <cell r="P1522">
            <v>6.3903129999999997E-4</v>
          </cell>
        </row>
        <row r="1523">
          <cell r="B1523">
            <v>32895</v>
          </cell>
          <cell r="C1523">
            <v>69.894000000000005</v>
          </cell>
          <cell r="D1523">
            <v>5.5018179999999996E-6</v>
          </cell>
          <cell r="E1523">
            <v>9.1899999999999996E-2</v>
          </cell>
          <cell r="F1523">
            <v>1.0637000000000001E-2</v>
          </cell>
          <cell r="J1523">
            <v>1.4049408227631328</v>
          </cell>
          <cell r="K1523">
            <v>5.5018179999999996E-6</v>
          </cell>
          <cell r="L1523">
            <v>9.1899999999999996E-2</v>
          </cell>
          <cell r="M1523">
            <v>1.0637000000000001E-2</v>
          </cell>
          <cell r="N1523">
            <v>1</v>
          </cell>
          <cell r="O1523">
            <v>1</v>
          </cell>
          <cell r="P1523">
            <v>6.3903129999999997E-4</v>
          </cell>
        </row>
        <row r="1524">
          <cell r="B1524">
            <v>32896</v>
          </cell>
          <cell r="C1524">
            <v>70.856999999999999</v>
          </cell>
          <cell r="D1524">
            <v>5.6218180000000002E-6</v>
          </cell>
          <cell r="E1524">
            <v>9.3399999999999997E-2</v>
          </cell>
          <cell r="F1524">
            <v>1.0591E-2</v>
          </cell>
          <cell r="J1524">
            <v>1.4381241200559753</v>
          </cell>
          <cell r="K1524">
            <v>5.6218180000000002E-6</v>
          </cell>
          <cell r="L1524">
            <v>9.3399999999999997E-2</v>
          </cell>
          <cell r="M1524">
            <v>1.0591E-2</v>
          </cell>
          <cell r="N1524">
            <v>1</v>
          </cell>
          <cell r="O1524">
            <v>1</v>
          </cell>
          <cell r="P1524">
            <v>6.3903129999999997E-4</v>
          </cell>
        </row>
        <row r="1525">
          <cell r="B1525">
            <v>32897</v>
          </cell>
          <cell r="C1525">
            <v>73.343999999999994</v>
          </cell>
          <cell r="D1525">
            <v>5.7418179999999999E-6</v>
          </cell>
          <cell r="E1525">
            <v>9.4490000000000005E-2</v>
          </cell>
          <cell r="F1525">
            <v>1.0368E-2</v>
          </cell>
          <cell r="J1525">
            <v>1.4732833785431039</v>
          </cell>
          <cell r="K1525">
            <v>5.7418179999999999E-6</v>
          </cell>
          <cell r="L1525">
            <v>9.4490000000000005E-2</v>
          </cell>
          <cell r="M1525">
            <v>1.0368E-2</v>
          </cell>
          <cell r="N1525">
            <v>1</v>
          </cell>
          <cell r="O1525">
            <v>1</v>
          </cell>
          <cell r="P1525">
            <v>6.3903129999999997E-4</v>
          </cell>
        </row>
        <row r="1526">
          <cell r="B1526">
            <v>32898</v>
          </cell>
          <cell r="C1526">
            <v>75.698999999999998</v>
          </cell>
          <cell r="D1526">
            <v>5.8690909999999998E-6</v>
          </cell>
          <cell r="J1526">
            <v>1.5104587380338821</v>
          </cell>
          <cell r="K1526">
            <v>5.8690909999999998E-6</v>
          </cell>
          <cell r="L1526">
            <v>9.4490000000000005E-2</v>
          </cell>
          <cell r="M1526">
            <v>1.0368E-2</v>
          </cell>
          <cell r="N1526">
            <v>1</v>
          </cell>
          <cell r="O1526">
            <v>1</v>
          </cell>
          <cell r="P1526">
            <v>6.3903129999999997E-4</v>
          </cell>
        </row>
        <row r="1527">
          <cell r="B1527">
            <v>32899</v>
          </cell>
          <cell r="C1527">
            <v>78.057000000000002</v>
          </cell>
          <cell r="D1527">
            <v>6.0036359999999997E-6</v>
          </cell>
          <cell r="E1527">
            <v>9.6809999999999993E-2</v>
          </cell>
          <cell r="F1527">
            <v>1.0489E-2</v>
          </cell>
          <cell r="J1527">
            <v>1.5497593639387857</v>
          </cell>
          <cell r="K1527">
            <v>6.0036359999999997E-6</v>
          </cell>
          <cell r="L1527">
            <v>9.6809999999999993E-2</v>
          </cell>
          <cell r="M1527">
            <v>1.0489E-2</v>
          </cell>
          <cell r="N1527">
            <v>1</v>
          </cell>
          <cell r="O1527">
            <v>1</v>
          </cell>
          <cell r="P1527">
            <v>6.3903129999999997E-4</v>
          </cell>
        </row>
        <row r="1528">
          <cell r="B1528">
            <v>32902</v>
          </cell>
          <cell r="C1528">
            <v>79.787999999999997</v>
          </cell>
          <cell r="D1528">
            <v>6.1381819999999999E-6</v>
          </cell>
          <cell r="E1528">
            <v>9.5909999999999995E-2</v>
          </cell>
          <cell r="F1528">
            <v>1.0045E-2</v>
          </cell>
          <cell r="J1528">
            <v>1.5909767639821017</v>
          </cell>
          <cell r="K1528">
            <v>6.1381819999999999E-6</v>
          </cell>
          <cell r="L1528">
            <v>9.5909999999999995E-2</v>
          </cell>
          <cell r="M1528">
            <v>1.0045E-2</v>
          </cell>
          <cell r="N1528">
            <v>1</v>
          </cell>
          <cell r="O1528">
            <v>1</v>
          </cell>
          <cell r="P1528">
            <v>6.3903129999999997E-4</v>
          </cell>
        </row>
        <row r="1529">
          <cell r="B1529">
            <v>32903</v>
          </cell>
          <cell r="C1529">
            <v>82.53</v>
          </cell>
          <cell r="D1529">
            <v>6.28E-6</v>
          </cell>
          <cell r="E1529">
            <v>9.6030000000000004E-2</v>
          </cell>
          <cell r="F1529">
            <v>1.0185E-2</v>
          </cell>
          <cell r="J1529">
            <v>1.6347445347592493</v>
          </cell>
          <cell r="K1529">
            <v>6.28E-6</v>
          </cell>
          <cell r="L1529">
            <v>9.6030000000000004E-2</v>
          </cell>
          <cell r="M1529">
            <v>1.0185E-2</v>
          </cell>
          <cell r="N1529">
            <v>1</v>
          </cell>
          <cell r="O1529">
            <v>1</v>
          </cell>
          <cell r="P1529">
            <v>6.3903129999999997E-4</v>
          </cell>
        </row>
        <row r="1530">
          <cell r="B1530">
            <v>32904</v>
          </cell>
          <cell r="C1530">
            <v>87.302999999999997</v>
          </cell>
          <cell r="D1530">
            <v>6.4472730000000004E-6</v>
          </cell>
          <cell r="E1530">
            <v>9.6409999999999996E-2</v>
          </cell>
          <cell r="F1530">
            <v>1.0049000000000001E-2</v>
          </cell>
          <cell r="G1530">
            <v>71.900000000000006</v>
          </cell>
          <cell r="H1530">
            <v>61.46</v>
          </cell>
          <cell r="I1530">
            <v>6.3903129999999997E-4</v>
          </cell>
          <cell r="J1530">
            <v>1.6823172354652782</v>
          </cell>
          <cell r="K1530">
            <v>6.4472730000000004E-6</v>
          </cell>
          <cell r="L1530">
            <v>9.6409999999999996E-2</v>
          </cell>
          <cell r="M1530">
            <v>1.0049000000000001E-2</v>
          </cell>
          <cell r="N1530">
            <v>1.7190000000000001</v>
          </cell>
          <cell r="O1530">
            <v>1.6146</v>
          </cell>
          <cell r="P1530">
            <v>6.3903129999999997E-4</v>
          </cell>
        </row>
        <row r="1531">
          <cell r="B1531">
            <v>32905</v>
          </cell>
          <cell r="C1531">
            <v>88.494</v>
          </cell>
          <cell r="D1531">
            <v>6.6072729999999997E-6</v>
          </cell>
          <cell r="E1531">
            <v>9.776E-2</v>
          </cell>
          <cell r="F1531">
            <v>1.0403000000000001E-2</v>
          </cell>
          <cell r="J1531">
            <v>1.731942229277033</v>
          </cell>
          <cell r="K1531">
            <v>6.6072729999999997E-6</v>
          </cell>
          <cell r="L1531">
            <v>9.776E-2</v>
          </cell>
          <cell r="M1531">
            <v>1.0403000000000001E-2</v>
          </cell>
          <cell r="N1531">
            <v>1.7190000000000001</v>
          </cell>
          <cell r="O1531">
            <v>1.6146</v>
          </cell>
          <cell r="P1531">
            <v>6.3903129999999997E-4</v>
          </cell>
        </row>
        <row r="1532">
          <cell r="B1532">
            <v>32906</v>
          </cell>
          <cell r="C1532">
            <v>92.07</v>
          </cell>
          <cell r="D1532">
            <v>6.7745449999999999E-6</v>
          </cell>
          <cell r="E1532">
            <v>0.10229000000000001</v>
          </cell>
          <cell r="F1532">
            <v>1.1155E-2</v>
          </cell>
          <cell r="J1532">
            <v>1.7850955362935452</v>
          </cell>
          <cell r="K1532">
            <v>6.7745449999999999E-6</v>
          </cell>
          <cell r="L1532">
            <v>0.10229000000000001</v>
          </cell>
          <cell r="M1532">
            <v>1.1155E-2</v>
          </cell>
          <cell r="N1532">
            <v>1.7190000000000001</v>
          </cell>
          <cell r="O1532">
            <v>1.6146</v>
          </cell>
          <cell r="P1532">
            <v>6.3903129999999997E-4</v>
          </cell>
        </row>
        <row r="1533">
          <cell r="B1533">
            <v>32909</v>
          </cell>
          <cell r="C1533">
            <v>95.468999999999994</v>
          </cell>
          <cell r="D1533">
            <v>6.9418180000000003E-6</v>
          </cell>
          <cell r="E1533">
            <v>0.10667</v>
          </cell>
          <cell r="F1533">
            <v>1.1644E-2</v>
          </cell>
          <cell r="J1533">
            <v>1.8419026315450147</v>
          </cell>
          <cell r="K1533">
            <v>6.9418180000000003E-6</v>
          </cell>
          <cell r="L1533">
            <v>0.10667</v>
          </cell>
          <cell r="M1533">
            <v>1.1644E-2</v>
          </cell>
          <cell r="N1533">
            <v>1.7190000000000001</v>
          </cell>
          <cell r="O1533">
            <v>1.6146</v>
          </cell>
          <cell r="P1533">
            <v>6.3903129999999997E-4</v>
          </cell>
        </row>
        <row r="1534">
          <cell r="B1534">
            <v>32910</v>
          </cell>
          <cell r="C1534">
            <v>98.945999999999998</v>
          </cell>
          <cell r="D1534">
            <v>7.1490910000000003E-6</v>
          </cell>
          <cell r="E1534">
            <v>0.11206000000000001</v>
          </cell>
          <cell r="F1534">
            <v>1.1946E-2</v>
          </cell>
          <cell r="J1534">
            <v>1.9026522641386325</v>
          </cell>
          <cell r="K1534">
            <v>7.1490910000000003E-6</v>
          </cell>
          <cell r="L1534">
            <v>0.11206000000000001</v>
          </cell>
          <cell r="M1534">
            <v>1.1946E-2</v>
          </cell>
          <cell r="N1534">
            <v>1.7190000000000001</v>
          </cell>
          <cell r="O1534">
            <v>1.6146</v>
          </cell>
          <cell r="P1534">
            <v>6.3903129999999997E-4</v>
          </cell>
        </row>
        <row r="1535">
          <cell r="B1535">
            <v>32911</v>
          </cell>
          <cell r="C1535">
            <v>99.656999999999996</v>
          </cell>
          <cell r="D1535">
            <v>7.3599999999999998E-6</v>
          </cell>
          <cell r="E1535">
            <v>0.1208</v>
          </cell>
          <cell r="F1535">
            <v>1.2770999999999999E-2</v>
          </cell>
          <cell r="J1535">
            <v>1.9658564697010537</v>
          </cell>
          <cell r="K1535">
            <v>7.3599999999999998E-6</v>
          </cell>
          <cell r="L1535">
            <v>0.1208</v>
          </cell>
          <cell r="M1535">
            <v>1.2770999999999999E-2</v>
          </cell>
          <cell r="N1535">
            <v>1.7190000000000001</v>
          </cell>
          <cell r="O1535">
            <v>1.6146</v>
          </cell>
          <cell r="P1535">
            <v>6.3903129999999997E-4</v>
          </cell>
        </row>
        <row r="1536">
          <cell r="B1536">
            <v>32912</v>
          </cell>
          <cell r="C1536">
            <v>99.519000000000005</v>
          </cell>
          <cell r="D1536">
            <v>7.5781819999999996E-6</v>
          </cell>
          <cell r="E1536">
            <v>0.12936</v>
          </cell>
          <cell r="F1536">
            <v>1.3682E-2</v>
          </cell>
          <cell r="J1536">
            <v>2.0310698263704463</v>
          </cell>
          <cell r="K1536">
            <v>7.5781819999999996E-6</v>
          </cell>
          <cell r="L1536">
            <v>0.12936</v>
          </cell>
          <cell r="M1536">
            <v>1.3682E-2</v>
          </cell>
          <cell r="N1536">
            <v>1.7190000000000001</v>
          </cell>
          <cell r="O1536">
            <v>1.6146</v>
          </cell>
          <cell r="P1536">
            <v>6.3903129999999997E-4</v>
          </cell>
        </row>
        <row r="1537">
          <cell r="B1537">
            <v>32913</v>
          </cell>
          <cell r="C1537">
            <v>99.956999999999994</v>
          </cell>
          <cell r="D1537">
            <v>7.8036359999999994E-6</v>
          </cell>
          <cell r="E1537">
            <v>0.13714000000000001</v>
          </cell>
          <cell r="F1537">
            <v>1.4534999999999999E-2</v>
          </cell>
          <cell r="J1537">
            <v>2.0987430419152835</v>
          </cell>
          <cell r="K1537">
            <v>7.8036359999999994E-6</v>
          </cell>
          <cell r="L1537">
            <v>0.13714000000000001</v>
          </cell>
          <cell r="M1537">
            <v>1.4534999999999999E-2</v>
          </cell>
          <cell r="N1537">
            <v>1.7190000000000001</v>
          </cell>
          <cell r="O1537">
            <v>1.6146</v>
          </cell>
          <cell r="P1537">
            <v>6.3903129999999997E-4</v>
          </cell>
        </row>
        <row r="1538">
          <cell r="B1538">
            <v>32916</v>
          </cell>
          <cell r="C1538">
            <v>101.508</v>
          </cell>
          <cell r="D1538">
            <v>8.0363639999999997E-6</v>
          </cell>
          <cell r="E1538">
            <v>0.14502000000000001</v>
          </cell>
          <cell r="F1538">
            <v>1.5608E-2</v>
          </cell>
          <cell r="J1538">
            <v>2.1697561114815289</v>
          </cell>
          <cell r="K1538">
            <v>8.0363639999999997E-6</v>
          </cell>
          <cell r="L1538">
            <v>0.14502000000000001</v>
          </cell>
          <cell r="M1538">
            <v>1.5608E-2</v>
          </cell>
          <cell r="N1538">
            <v>1.7190000000000001</v>
          </cell>
          <cell r="O1538">
            <v>1.6146</v>
          </cell>
          <cell r="P1538">
            <v>6.3903129999999997E-4</v>
          </cell>
        </row>
        <row r="1539">
          <cell r="B1539">
            <v>32917</v>
          </cell>
          <cell r="C1539">
            <v>104.184</v>
          </cell>
          <cell r="D1539">
            <v>8.2981820000000004E-6</v>
          </cell>
          <cell r="E1539">
            <v>0.14663999999999999</v>
          </cell>
          <cell r="F1539">
            <v>1.5069000000000001E-2</v>
          </cell>
          <cell r="J1539">
            <v>2.2451074017210595</v>
          </cell>
          <cell r="K1539">
            <v>8.2981820000000004E-6</v>
          </cell>
          <cell r="L1539">
            <v>0.14663999999999999</v>
          </cell>
          <cell r="M1539">
            <v>1.5069000000000001E-2</v>
          </cell>
          <cell r="N1539">
            <v>1.7190000000000001</v>
          </cell>
          <cell r="O1539">
            <v>1.6146</v>
          </cell>
          <cell r="P1539">
            <v>6.3903129999999997E-4</v>
          </cell>
        </row>
        <row r="1540">
          <cell r="B1540">
            <v>32918</v>
          </cell>
          <cell r="C1540">
            <v>104.61</v>
          </cell>
          <cell r="D1540">
            <v>8.5709089999999992E-6</v>
          </cell>
          <cell r="E1540">
            <v>0.14663000000000001</v>
          </cell>
          <cell r="F1540">
            <v>1.525E-2</v>
          </cell>
          <cell r="J1540">
            <v>2.3233942968190728</v>
          </cell>
          <cell r="K1540">
            <v>8.5709089999999992E-6</v>
          </cell>
          <cell r="L1540">
            <v>0.14663000000000001</v>
          </cell>
          <cell r="M1540">
            <v>1.525E-2</v>
          </cell>
          <cell r="N1540">
            <v>1.7190000000000001</v>
          </cell>
          <cell r="O1540">
            <v>1.6146</v>
          </cell>
          <cell r="P1540">
            <v>6.3903129999999997E-4</v>
          </cell>
        </row>
        <row r="1541">
          <cell r="B1541">
            <v>32919</v>
          </cell>
          <cell r="C1541">
            <v>105.378</v>
          </cell>
          <cell r="D1541">
            <v>8.8509089999999999E-6</v>
          </cell>
          <cell r="E1541">
            <v>0.15565999999999999</v>
          </cell>
          <cell r="F1541">
            <v>1.6792000000000001E-2</v>
          </cell>
          <cell r="J1541">
            <v>2.4050058448891396</v>
          </cell>
          <cell r="K1541">
            <v>8.8509089999999999E-6</v>
          </cell>
          <cell r="L1541">
            <v>0.15565999999999999</v>
          </cell>
          <cell r="M1541">
            <v>1.6792000000000001E-2</v>
          </cell>
          <cell r="N1541">
            <v>1.7190000000000001</v>
          </cell>
          <cell r="O1541">
            <v>1.6146</v>
          </cell>
          <cell r="P1541">
            <v>6.3903129999999997E-4</v>
          </cell>
        </row>
        <row r="1542">
          <cell r="B1542">
            <v>32920</v>
          </cell>
          <cell r="C1542">
            <v>105.54</v>
          </cell>
          <cell r="D1542">
            <v>9.1418180000000004E-6</v>
          </cell>
          <cell r="E1542">
            <v>0.16092999999999999</v>
          </cell>
          <cell r="F1542">
            <v>1.7392999999999999E-2</v>
          </cell>
          <cell r="J1542">
            <v>2.4896139505123394</v>
          </cell>
          <cell r="K1542">
            <v>9.1418180000000004E-6</v>
          </cell>
          <cell r="L1542">
            <v>0.16092999999999999</v>
          </cell>
          <cell r="M1542">
            <v>1.7392999999999999E-2</v>
          </cell>
          <cell r="N1542">
            <v>1.7190000000000001</v>
          </cell>
          <cell r="O1542">
            <v>1.6146</v>
          </cell>
          <cell r="P1542">
            <v>6.3903129999999997E-4</v>
          </cell>
        </row>
        <row r="1543">
          <cell r="B1543">
            <v>32923</v>
          </cell>
          <cell r="C1543">
            <v>106.30500000000001</v>
          </cell>
          <cell r="D1543">
            <v>9.4472729999999996E-6</v>
          </cell>
          <cell r="E1543">
            <v>0.16516</v>
          </cell>
          <cell r="F1543">
            <v>1.7930000000000001E-2</v>
          </cell>
          <cell r="J1543">
            <v>2.5778334208487443</v>
          </cell>
          <cell r="K1543">
            <v>9.4472729999999996E-6</v>
          </cell>
          <cell r="L1543">
            <v>0.16516</v>
          </cell>
          <cell r="M1543">
            <v>1.7930000000000001E-2</v>
          </cell>
          <cell r="N1543">
            <v>1.7190000000000001</v>
          </cell>
          <cell r="O1543">
            <v>1.6146</v>
          </cell>
          <cell r="P1543">
            <v>6.3903129999999997E-4</v>
          </cell>
        </row>
        <row r="1544">
          <cell r="B1544">
            <v>32924</v>
          </cell>
          <cell r="C1544">
            <v>106.35599999999999</v>
          </cell>
          <cell r="D1544">
            <v>9.7709089999999995E-6</v>
          </cell>
          <cell r="E1544">
            <v>0.16486000000000001</v>
          </cell>
          <cell r="F1544">
            <v>1.7645000000000001E-2</v>
          </cell>
          <cell r="J1544">
            <v>2.6692227712846743</v>
          </cell>
          <cell r="K1544">
            <v>9.7709089999999995E-6</v>
          </cell>
          <cell r="L1544">
            <v>0.16486000000000001</v>
          </cell>
          <cell r="M1544">
            <v>1.7645000000000001E-2</v>
          </cell>
          <cell r="N1544">
            <v>1.7190000000000001</v>
          </cell>
          <cell r="O1544">
            <v>1.6146</v>
          </cell>
          <cell r="P1544">
            <v>6.3903129999999997E-4</v>
          </cell>
        </row>
        <row r="1545">
          <cell r="B1545">
            <v>32925</v>
          </cell>
          <cell r="C1545">
            <v>102.96</v>
          </cell>
          <cell r="D1545">
            <v>1.010545E-5</v>
          </cell>
          <cell r="E1545">
            <v>0.16314999999999999</v>
          </cell>
          <cell r="F1545">
            <v>1.7722000000000002E-2</v>
          </cell>
          <cell r="J1545">
            <v>2.760830496795164</v>
          </cell>
          <cell r="K1545">
            <v>1.010545E-5</v>
          </cell>
          <cell r="L1545">
            <v>0.16314999999999999</v>
          </cell>
          <cell r="M1545">
            <v>1.7722000000000002E-2</v>
          </cell>
          <cell r="N1545">
            <v>1.7190000000000001</v>
          </cell>
          <cell r="O1545">
            <v>1.6146</v>
          </cell>
          <cell r="P1545">
            <v>6.3903129999999997E-4</v>
          </cell>
        </row>
        <row r="1546">
          <cell r="B1546">
            <v>32926</v>
          </cell>
          <cell r="C1546">
            <v>100.038</v>
          </cell>
          <cell r="D1546">
            <v>1.04509E-5</v>
          </cell>
          <cell r="E1546">
            <v>0.16114999999999999</v>
          </cell>
          <cell r="F1546">
            <v>1.6945999999999999E-2</v>
          </cell>
          <cell r="J1546">
            <v>2.8528931505412958</v>
          </cell>
          <cell r="K1546">
            <v>1.04509E-5</v>
          </cell>
          <cell r="L1546">
            <v>0.16114999999999999</v>
          </cell>
          <cell r="M1546">
            <v>1.6945999999999999E-2</v>
          </cell>
          <cell r="N1546">
            <v>1.7190000000000001</v>
          </cell>
          <cell r="O1546">
            <v>1.6146</v>
          </cell>
          <cell r="P1546">
            <v>6.3903129999999997E-4</v>
          </cell>
        </row>
        <row r="1547">
          <cell r="B1547">
            <v>32927</v>
          </cell>
          <cell r="C1547">
            <v>90.251999999999995</v>
          </cell>
          <cell r="D1547">
            <v>1.080727E-5</v>
          </cell>
          <cell r="E1547">
            <v>0.16261</v>
          </cell>
          <cell r="F1547">
            <v>1.6597000000000001E-2</v>
          </cell>
          <cell r="J1547">
            <v>2.9387195880821801</v>
          </cell>
          <cell r="K1547">
            <v>1.080727E-5</v>
          </cell>
          <cell r="L1547">
            <v>0.16261</v>
          </cell>
          <cell r="M1547">
            <v>1.6597000000000001E-2</v>
          </cell>
          <cell r="N1547">
            <v>1.7190000000000001</v>
          </cell>
          <cell r="O1547">
            <v>1.6146</v>
          </cell>
          <cell r="P1547">
            <v>6.3903129999999997E-4</v>
          </cell>
        </row>
        <row r="1548">
          <cell r="B1548">
            <v>32932</v>
          </cell>
          <cell r="C1548">
            <v>90.251999999999995</v>
          </cell>
          <cell r="D1548">
            <v>1.113818E-5</v>
          </cell>
          <cell r="G1548">
            <v>71.680000000000007</v>
          </cell>
          <cell r="H1548">
            <v>81.290000000000006</v>
          </cell>
          <cell r="I1548">
            <v>1.109638E-3</v>
          </cell>
          <cell r="J1548">
            <v>3.0271280281700443</v>
          </cell>
          <cell r="K1548">
            <v>1.113818E-5</v>
          </cell>
          <cell r="L1548">
            <v>0.16261</v>
          </cell>
          <cell r="M1548">
            <v>1.6597000000000001E-2</v>
          </cell>
          <cell r="N1548">
            <v>2.9511792000000003</v>
          </cell>
          <cell r="O1548">
            <v>2.9271083400000002</v>
          </cell>
          <cell r="P1548">
            <v>1.109638E-3</v>
          </cell>
        </row>
        <row r="1549">
          <cell r="B1549">
            <v>32933</v>
          </cell>
          <cell r="C1549">
            <v>84.771000000000001</v>
          </cell>
          <cell r="D1549">
            <v>1.1418180000000001E-5</v>
          </cell>
          <cell r="E1549">
            <v>0.16519</v>
          </cell>
          <cell r="F1549">
            <v>1.7208000000000001E-2</v>
          </cell>
          <cell r="J1549">
            <v>3.1126655848620453</v>
          </cell>
          <cell r="K1549">
            <v>1.1418180000000001E-5</v>
          </cell>
          <cell r="L1549">
            <v>0.16519</v>
          </cell>
          <cell r="M1549">
            <v>1.7208000000000001E-2</v>
          </cell>
          <cell r="N1549">
            <v>2.9511792000000003</v>
          </cell>
          <cell r="O1549">
            <v>2.9271083400000002</v>
          </cell>
          <cell r="P1549">
            <v>1.109638E-3</v>
          </cell>
        </row>
        <row r="1550">
          <cell r="B1550">
            <v>32934</v>
          </cell>
          <cell r="C1550">
            <v>85.760999999999996</v>
          </cell>
          <cell r="D1550">
            <v>1.170545E-5</v>
          </cell>
          <cell r="E1550">
            <v>0.17094000000000001</v>
          </cell>
          <cell r="F1550">
            <v>1.8100000000000002E-2</v>
          </cell>
          <cell r="J1550">
            <v>3.2016473559364962</v>
          </cell>
          <cell r="K1550">
            <v>1.170545E-5</v>
          </cell>
          <cell r="L1550">
            <v>0.17094000000000001</v>
          </cell>
          <cell r="M1550">
            <v>1.8100000000000002E-2</v>
          </cell>
          <cell r="N1550">
            <v>2.9511792000000003</v>
          </cell>
          <cell r="O1550">
            <v>2.9271083400000002</v>
          </cell>
          <cell r="P1550">
            <v>1.109638E-3</v>
          </cell>
        </row>
        <row r="1551">
          <cell r="B1551">
            <v>32937</v>
          </cell>
          <cell r="C1551">
            <v>85.935000000000002</v>
          </cell>
          <cell r="D1551">
            <v>1.2E-5</v>
          </cell>
          <cell r="E1551">
            <v>0.18212999999999999</v>
          </cell>
          <cell r="F1551">
            <v>2.0055E-2</v>
          </cell>
          <cell r="J1551">
            <v>3.293358544447297</v>
          </cell>
          <cell r="K1551">
            <v>1.2E-5</v>
          </cell>
          <cell r="L1551">
            <v>0.18212999999999999</v>
          </cell>
          <cell r="M1551">
            <v>2.0055E-2</v>
          </cell>
          <cell r="N1551">
            <v>2.9511792000000003</v>
          </cell>
          <cell r="O1551">
            <v>2.9271083400000002</v>
          </cell>
          <cell r="P1551">
            <v>1.109638E-3</v>
          </cell>
        </row>
        <row r="1552">
          <cell r="B1552">
            <v>32938</v>
          </cell>
          <cell r="C1552">
            <v>84.986999999999995</v>
          </cell>
          <cell r="D1552">
            <v>1.230181E-5</v>
          </cell>
          <cell r="E1552">
            <v>0.19483</v>
          </cell>
          <cell r="F1552">
            <v>2.1904E-2</v>
          </cell>
          <cell r="J1552">
            <v>3.3866560986529448</v>
          </cell>
          <cell r="K1552">
            <v>1.230181E-5</v>
          </cell>
          <cell r="L1552">
            <v>0.19483</v>
          </cell>
          <cell r="M1552">
            <v>2.1904E-2</v>
          </cell>
          <cell r="N1552">
            <v>2.9511792000000003</v>
          </cell>
          <cell r="O1552">
            <v>2.9271083400000002</v>
          </cell>
          <cell r="P1552">
            <v>1.109638E-3</v>
          </cell>
        </row>
        <row r="1553">
          <cell r="B1553">
            <v>32939</v>
          </cell>
          <cell r="C1553">
            <v>84.045000000000002</v>
          </cell>
          <cell r="D1553">
            <v>1.261454E-5</v>
          </cell>
          <cell r="E1553">
            <v>0.19220000000000001</v>
          </cell>
          <cell r="F1553">
            <v>2.0455000000000001E-2</v>
          </cell>
          <cell r="J1553">
            <v>3.4815332692567069</v>
          </cell>
          <cell r="K1553">
            <v>1.261454E-5</v>
          </cell>
          <cell r="L1553">
            <v>0.19220000000000001</v>
          </cell>
          <cell r="M1553">
            <v>2.0455000000000001E-2</v>
          </cell>
          <cell r="N1553">
            <v>2.9511792000000003</v>
          </cell>
          <cell r="O1553">
            <v>2.9271083400000002</v>
          </cell>
          <cell r="P1553">
            <v>1.109638E-3</v>
          </cell>
        </row>
        <row r="1554">
          <cell r="B1554">
            <v>32940</v>
          </cell>
          <cell r="C1554">
            <v>82.965000000000003</v>
          </cell>
          <cell r="D1554">
            <v>1.2930909999999999E-5</v>
          </cell>
          <cell r="E1554">
            <v>0.19156999999999999</v>
          </cell>
          <cell r="F1554">
            <v>2.0324999999999999E-2</v>
          </cell>
          <cell r="J1554">
            <v>3.5778150718180011</v>
          </cell>
          <cell r="K1554">
            <v>1.2930909999999999E-5</v>
          </cell>
          <cell r="L1554">
            <v>0.19156999999999999</v>
          </cell>
          <cell r="M1554">
            <v>2.0324999999999999E-2</v>
          </cell>
          <cell r="N1554">
            <v>2.9511792000000003</v>
          </cell>
          <cell r="O1554">
            <v>2.9271083400000002</v>
          </cell>
          <cell r="P1554">
            <v>1.109638E-3</v>
          </cell>
        </row>
        <row r="1555">
          <cell r="B1555">
            <v>32941</v>
          </cell>
          <cell r="C1555">
            <v>80.379000000000005</v>
          </cell>
          <cell r="D1555">
            <v>1.326545E-5</v>
          </cell>
          <cell r="E1555">
            <v>0.18625</v>
          </cell>
          <cell r="F1555">
            <v>1.8841E-2</v>
          </cell>
          <cell r="J1555">
            <v>3.673675471037221</v>
          </cell>
          <cell r="K1555">
            <v>1.326545E-5</v>
          </cell>
          <cell r="L1555">
            <v>0.18625</v>
          </cell>
          <cell r="M1555">
            <v>1.8841E-2</v>
          </cell>
          <cell r="N1555">
            <v>2.9511792000000003</v>
          </cell>
          <cell r="O1555">
            <v>2.9271083400000002</v>
          </cell>
          <cell r="P1555">
            <v>1.109638E-3</v>
          </cell>
        </row>
        <row r="1556">
          <cell r="B1556">
            <v>32944</v>
          </cell>
          <cell r="C1556">
            <v>76.460999999999999</v>
          </cell>
          <cell r="D1556">
            <v>1.3607270000000001E-5</v>
          </cell>
          <cell r="E1556">
            <v>0.18210999999999999</v>
          </cell>
          <cell r="F1556">
            <v>1.8657E-2</v>
          </cell>
          <cell r="J1556">
            <v>3.7673064377675467</v>
          </cell>
          <cell r="K1556">
            <v>1.3607270000000001E-5</v>
          </cell>
          <cell r="L1556">
            <v>0.18210999999999999</v>
          </cell>
          <cell r="M1556">
            <v>1.8657E-2</v>
          </cell>
          <cell r="N1556">
            <v>2.9511792000000003</v>
          </cell>
          <cell r="O1556">
            <v>2.9271083400000002</v>
          </cell>
          <cell r="P1556">
            <v>1.109638E-3</v>
          </cell>
        </row>
        <row r="1557">
          <cell r="B1557">
            <v>32945</v>
          </cell>
          <cell r="C1557">
            <v>78.873000000000005</v>
          </cell>
          <cell r="D1557">
            <v>1.395636E-5</v>
          </cell>
          <cell r="E1557">
            <v>0.18348</v>
          </cell>
          <cell r="F1557">
            <v>1.8652999999999999E-2</v>
          </cell>
          <cell r="J1557">
            <v>3.8663526913228936</v>
          </cell>
          <cell r="K1557">
            <v>1.395636E-5</v>
          </cell>
          <cell r="L1557">
            <v>0.18348</v>
          </cell>
          <cell r="M1557">
            <v>1.8652999999999999E-2</v>
          </cell>
          <cell r="N1557">
            <v>2.9511792000000003</v>
          </cell>
          <cell r="O1557">
            <v>2.9271083400000002</v>
          </cell>
          <cell r="P1557">
            <v>1.109638E-3</v>
          </cell>
        </row>
        <row r="1558">
          <cell r="B1558">
            <v>32951</v>
          </cell>
          <cell r="C1558">
            <v>18.759</v>
          </cell>
          <cell r="D1558">
            <v>1.454545E-5</v>
          </cell>
          <cell r="E1558">
            <v>0.18157999999999999</v>
          </cell>
          <cell r="F1558">
            <v>1.6383999999999999E-2</v>
          </cell>
          <cell r="J1558">
            <v>3.8905289947017359</v>
          </cell>
          <cell r="K1558">
            <v>1.454545E-5</v>
          </cell>
          <cell r="L1558">
            <v>0.18157999999999999</v>
          </cell>
          <cell r="M1558">
            <v>1.6383999999999999E-2</v>
          </cell>
          <cell r="N1558">
            <v>2.9511792000000003</v>
          </cell>
          <cell r="O1558">
            <v>2.9271083400000002</v>
          </cell>
          <cell r="P1558">
            <v>1.109638E-3</v>
          </cell>
        </row>
        <row r="1559">
          <cell r="B1559">
            <v>32952</v>
          </cell>
          <cell r="C1559">
            <v>18.728999999999999</v>
          </cell>
          <cell r="D1559">
            <v>1.490909E-5</v>
          </cell>
          <cell r="E1559">
            <v>0.16309999999999999</v>
          </cell>
          <cell r="F1559">
            <v>1.2952E-2</v>
          </cell>
          <cell r="J1559">
            <v>3.9148175672156587</v>
          </cell>
          <cell r="K1559">
            <v>1.490909E-5</v>
          </cell>
          <cell r="L1559">
            <v>0.16309999999999999</v>
          </cell>
          <cell r="M1559">
            <v>1.2952E-2</v>
          </cell>
          <cell r="N1559">
            <v>2.9511792000000003</v>
          </cell>
          <cell r="O1559">
            <v>2.9271083400000002</v>
          </cell>
          <cell r="P1559">
            <v>1.109638E-3</v>
          </cell>
        </row>
        <row r="1560">
          <cell r="B1560">
            <v>32953</v>
          </cell>
          <cell r="C1560">
            <v>18.669</v>
          </cell>
          <cell r="D1560">
            <v>1.381818E-5</v>
          </cell>
          <cell r="E1560">
            <v>0.14318</v>
          </cell>
          <cell r="F1560">
            <v>1.0067E-2</v>
          </cell>
          <cell r="J1560">
            <v>3.9391794769364421</v>
          </cell>
          <cell r="K1560">
            <v>1.381818E-5</v>
          </cell>
          <cell r="L1560">
            <v>0.14318</v>
          </cell>
          <cell r="M1560">
            <v>1.0067E-2</v>
          </cell>
          <cell r="N1560">
            <v>2.9511792000000003</v>
          </cell>
          <cell r="O1560">
            <v>2.9271083400000002</v>
          </cell>
          <cell r="P1560">
            <v>1.109638E-3</v>
          </cell>
        </row>
        <row r="1561">
          <cell r="B1561">
            <v>32954</v>
          </cell>
          <cell r="C1561">
            <v>18.600000000000001</v>
          </cell>
          <cell r="D1561">
            <v>1.381818E-5</v>
          </cell>
          <cell r="E1561">
            <v>0.12914</v>
          </cell>
          <cell r="F1561">
            <v>9.3329999999999993E-3</v>
          </cell>
          <cell r="J1561">
            <v>3.963602389693448</v>
          </cell>
          <cell r="K1561">
            <v>1.381818E-5</v>
          </cell>
          <cell r="L1561">
            <v>0.12914</v>
          </cell>
          <cell r="M1561">
            <v>9.3329999999999993E-3</v>
          </cell>
          <cell r="N1561">
            <v>2.9511792000000003</v>
          </cell>
          <cell r="O1561">
            <v>2.9271083400000002</v>
          </cell>
          <cell r="P1561">
            <v>1.109638E-3</v>
          </cell>
        </row>
        <row r="1562">
          <cell r="B1562">
            <v>32955</v>
          </cell>
          <cell r="C1562">
            <v>18.939</v>
          </cell>
          <cell r="D1562">
            <v>1.3927269999999999E-5</v>
          </cell>
          <cell r="E1562">
            <v>0.11823</v>
          </cell>
          <cell r="F1562">
            <v>9.4359999999999999E-3</v>
          </cell>
          <cell r="J1562">
            <v>3.9886246115795827</v>
          </cell>
          <cell r="K1562">
            <v>1.3927269999999999E-5</v>
          </cell>
          <cell r="L1562">
            <v>0.11823</v>
          </cell>
          <cell r="M1562">
            <v>9.4359999999999999E-3</v>
          </cell>
          <cell r="N1562">
            <v>2.9511792000000003</v>
          </cell>
          <cell r="O1562">
            <v>2.9271083400000002</v>
          </cell>
          <cell r="P1562">
            <v>1.109638E-3</v>
          </cell>
        </row>
        <row r="1563">
          <cell r="B1563">
            <v>32958</v>
          </cell>
          <cell r="C1563">
            <v>18.920999999999999</v>
          </cell>
          <cell r="D1563">
            <v>1.4218180000000001E-5</v>
          </cell>
          <cell r="E1563">
            <v>0.11398</v>
          </cell>
          <cell r="F1563">
            <v>8.8090000000000009E-3</v>
          </cell>
          <cell r="J1563">
            <v>4.0137808670048152</v>
          </cell>
          <cell r="K1563">
            <v>1.4218180000000001E-5</v>
          </cell>
          <cell r="L1563">
            <v>0.11398</v>
          </cell>
          <cell r="M1563">
            <v>8.8090000000000009E-3</v>
          </cell>
          <cell r="N1563">
            <v>2.9511792000000003</v>
          </cell>
          <cell r="O1563">
            <v>2.9271083400000002</v>
          </cell>
          <cell r="P1563">
            <v>1.109638E-3</v>
          </cell>
        </row>
        <row r="1564">
          <cell r="B1564">
            <v>32959</v>
          </cell>
          <cell r="C1564">
            <v>19.280999999999999</v>
          </cell>
          <cell r="D1564">
            <v>1.470909E-5</v>
          </cell>
          <cell r="E1564">
            <v>0.10667</v>
          </cell>
          <cell r="F1564">
            <v>8.2059999999999998E-3</v>
          </cell>
          <cell r="J1564">
            <v>4.0395774366370549</v>
          </cell>
          <cell r="K1564">
            <v>1.470909E-5</v>
          </cell>
          <cell r="L1564">
            <v>0.10667</v>
          </cell>
          <cell r="M1564">
            <v>8.2059999999999998E-3</v>
          </cell>
          <cell r="N1564">
            <v>2.9511792000000003</v>
          </cell>
          <cell r="O1564">
            <v>2.9271083400000002</v>
          </cell>
          <cell r="P1564">
            <v>1.109638E-3</v>
          </cell>
        </row>
        <row r="1565">
          <cell r="B1565">
            <v>32960</v>
          </cell>
          <cell r="C1565">
            <v>20.798999999999999</v>
          </cell>
          <cell r="D1565">
            <v>1.4690909999999999E-5</v>
          </cell>
          <cell r="E1565">
            <v>9.733E-2</v>
          </cell>
          <cell r="F1565">
            <v>7.3899999999999999E-3</v>
          </cell>
          <cell r="J1565">
            <v>4.0675838270052598</v>
          </cell>
          <cell r="K1565">
            <v>1.4690909999999999E-5</v>
          </cell>
          <cell r="L1565">
            <v>9.733E-2</v>
          </cell>
          <cell r="M1565">
            <v>7.3899999999999999E-3</v>
          </cell>
          <cell r="N1565">
            <v>2.9511792000000003</v>
          </cell>
          <cell r="O1565">
            <v>2.9271083400000002</v>
          </cell>
          <cell r="P1565">
            <v>1.109638E-3</v>
          </cell>
        </row>
        <row r="1566">
          <cell r="B1566">
            <v>32961</v>
          </cell>
          <cell r="C1566">
            <v>22.401</v>
          </cell>
          <cell r="D1566">
            <v>1.5454549999999999E-5</v>
          </cell>
          <cell r="E1566">
            <v>9.11E-2</v>
          </cell>
          <cell r="F1566">
            <v>6.8560000000000001E-3</v>
          </cell>
          <cell r="J1566">
            <v>4.0979564754415074</v>
          </cell>
          <cell r="K1566">
            <v>1.5454549999999999E-5</v>
          </cell>
          <cell r="L1566">
            <v>9.11E-2</v>
          </cell>
          <cell r="M1566">
            <v>6.8560000000000001E-3</v>
          </cell>
          <cell r="N1566">
            <v>2.9511792000000003</v>
          </cell>
          <cell r="O1566">
            <v>2.9271083400000002</v>
          </cell>
          <cell r="P1566">
            <v>1.109638E-3</v>
          </cell>
        </row>
        <row r="1567">
          <cell r="B1567">
            <v>32962</v>
          </cell>
          <cell r="C1567">
            <v>22.460999999999999</v>
          </cell>
          <cell r="D1567">
            <v>1.5527270000000001E-5</v>
          </cell>
          <cell r="E1567">
            <v>9.0819999999999998E-2</v>
          </cell>
          <cell r="F1567">
            <v>7.2750000000000002E-3</v>
          </cell>
          <cell r="G1567">
            <v>81.319999999999993</v>
          </cell>
          <cell r="H1567">
            <v>83.95</v>
          </cell>
          <cell r="I1567">
            <v>2.0555130000000001E-3</v>
          </cell>
          <cell r="J1567">
            <v>4.1286378755731379</v>
          </cell>
          <cell r="K1567">
            <v>1.5527270000000001E-5</v>
          </cell>
          <cell r="L1567">
            <v>9.0819999999999998E-2</v>
          </cell>
          <cell r="M1567">
            <v>7.2750000000000002E-3</v>
          </cell>
          <cell r="N1567">
            <v>5.3510781254399999</v>
          </cell>
          <cell r="O1567">
            <v>5.3844157914300004</v>
          </cell>
          <cell r="P1567">
            <v>2.0555130000000001E-3</v>
          </cell>
        </row>
        <row r="1568">
          <cell r="B1568">
            <v>32965</v>
          </cell>
          <cell r="C1568">
            <v>13.29</v>
          </cell>
          <cell r="D1568">
            <v>1.5454549999999999E-5</v>
          </cell>
          <cell r="E1568">
            <v>9.3350000000000002E-2</v>
          </cell>
          <cell r="F1568">
            <v>7.6639999999999998E-3</v>
          </cell>
          <cell r="J1568">
            <v>4.1469277413619263</v>
          </cell>
          <cell r="K1568">
            <v>1.5454549999999999E-5</v>
          </cell>
          <cell r="L1568">
            <v>9.3350000000000002E-2</v>
          </cell>
          <cell r="M1568">
            <v>7.6639999999999998E-3</v>
          </cell>
          <cell r="N1568">
            <v>5.3510781254399999</v>
          </cell>
          <cell r="O1568">
            <v>5.3844157914300004</v>
          </cell>
          <cell r="P1568">
            <v>2.0555130000000001E-3</v>
          </cell>
        </row>
        <row r="1569">
          <cell r="B1569">
            <v>32966</v>
          </cell>
          <cell r="C1569">
            <v>12.831</v>
          </cell>
          <cell r="D1569">
            <v>1.5454549999999999E-5</v>
          </cell>
          <cell r="E1569">
            <v>0.1095</v>
          </cell>
          <cell r="F1569">
            <v>9.4640000000000002E-3</v>
          </cell>
          <cell r="J1569">
            <v>4.1646641513117313</v>
          </cell>
          <cell r="K1569">
            <v>1.5454549999999999E-5</v>
          </cell>
          <cell r="L1569">
            <v>0.1095</v>
          </cell>
          <cell r="M1569">
            <v>9.4640000000000002E-3</v>
          </cell>
          <cell r="N1569">
            <v>5.3510781254399999</v>
          </cell>
          <cell r="O1569">
            <v>5.3844157914300004</v>
          </cell>
          <cell r="P1569">
            <v>2.0555130000000001E-3</v>
          </cell>
        </row>
        <row r="1570">
          <cell r="B1570">
            <v>32967</v>
          </cell>
          <cell r="C1570">
            <v>11.49</v>
          </cell>
          <cell r="D1570">
            <v>1.5418179999999999E-5</v>
          </cell>
          <cell r="E1570">
            <v>0.1119</v>
          </cell>
          <cell r="F1570">
            <v>9.8329999999999997E-3</v>
          </cell>
          <cell r="J1570">
            <v>4.1806148150112552</v>
          </cell>
          <cell r="K1570">
            <v>1.5418179999999999E-5</v>
          </cell>
          <cell r="L1570">
            <v>0.1119</v>
          </cell>
          <cell r="M1570">
            <v>9.8329999999999997E-3</v>
          </cell>
          <cell r="N1570">
            <v>5.3510781254399999</v>
          </cell>
          <cell r="O1570">
            <v>5.3844157914300004</v>
          </cell>
          <cell r="P1570">
            <v>2.0555130000000001E-3</v>
          </cell>
        </row>
        <row r="1571">
          <cell r="B1571">
            <v>32968</v>
          </cell>
          <cell r="C1571">
            <v>10.239000000000001</v>
          </cell>
          <cell r="D1571">
            <v>1.538182E-5</v>
          </cell>
          <cell r="E1571">
            <v>0.12138</v>
          </cell>
          <cell r="F1571">
            <v>1.1315E-2</v>
          </cell>
          <cell r="J1571">
            <v>4.194883253374889</v>
          </cell>
          <cell r="K1571">
            <v>1.538182E-5</v>
          </cell>
          <cell r="L1571">
            <v>0.12138</v>
          </cell>
          <cell r="M1571">
            <v>1.1315E-2</v>
          </cell>
          <cell r="N1571">
            <v>5.3510781254399999</v>
          </cell>
          <cell r="O1571">
            <v>5.3844157914300004</v>
          </cell>
          <cell r="P1571">
            <v>2.0555130000000001E-3</v>
          </cell>
        </row>
        <row r="1572">
          <cell r="B1572">
            <v>32969</v>
          </cell>
          <cell r="C1572">
            <v>9.5909999999999993</v>
          </cell>
          <cell r="D1572">
            <v>1.5418179999999999E-5</v>
          </cell>
          <cell r="E1572">
            <v>0.11940000000000001</v>
          </cell>
          <cell r="F1572">
            <v>1.0435E-2</v>
          </cell>
          <cell r="J1572">
            <v>4.2082942951359277</v>
          </cell>
          <cell r="K1572">
            <v>1.5418179999999999E-5</v>
          </cell>
          <cell r="L1572">
            <v>0.11940000000000001</v>
          </cell>
          <cell r="M1572">
            <v>1.0435E-2</v>
          </cell>
          <cell r="N1572">
            <v>5.3510781254399999</v>
          </cell>
          <cell r="O1572">
            <v>5.3844157914300004</v>
          </cell>
          <cell r="P1572">
            <v>2.0555130000000001E-3</v>
          </cell>
        </row>
        <row r="1573">
          <cell r="B1573">
            <v>32972</v>
          </cell>
          <cell r="C1573">
            <v>10.191000000000001</v>
          </cell>
          <cell r="D1573">
            <v>1.5454549999999999E-5</v>
          </cell>
          <cell r="E1573">
            <v>0.11197</v>
          </cell>
          <cell r="F1573">
            <v>9.2809999999999993E-3</v>
          </cell>
          <cell r="J1573">
            <v>4.2225898708565044</v>
          </cell>
          <cell r="K1573">
            <v>1.5454549999999999E-5</v>
          </cell>
          <cell r="L1573">
            <v>0.11197</v>
          </cell>
          <cell r="M1573">
            <v>9.2809999999999993E-3</v>
          </cell>
          <cell r="N1573">
            <v>5.3510781254399999</v>
          </cell>
          <cell r="O1573">
            <v>5.3844157914300004</v>
          </cell>
          <cell r="P1573">
            <v>2.0555130000000001E-3</v>
          </cell>
        </row>
        <row r="1574">
          <cell r="B1574">
            <v>32973</v>
          </cell>
          <cell r="C1574">
            <v>10.989000000000001</v>
          </cell>
          <cell r="D1574">
            <v>1.672727E-5</v>
          </cell>
          <cell r="E1574">
            <v>0.11433</v>
          </cell>
          <cell r="F1574">
            <v>1.0082000000000001E-2</v>
          </cell>
          <cell r="J1574">
            <v>4.2380572175534512</v>
          </cell>
          <cell r="K1574">
            <v>1.672727E-5</v>
          </cell>
          <cell r="L1574">
            <v>0.11433</v>
          </cell>
          <cell r="M1574">
            <v>1.0082000000000001E-2</v>
          </cell>
          <cell r="N1574">
            <v>5.3510781254399999</v>
          </cell>
          <cell r="O1574">
            <v>5.3844157914300004</v>
          </cell>
          <cell r="P1574">
            <v>2.0555130000000001E-3</v>
          </cell>
        </row>
        <row r="1575">
          <cell r="B1575">
            <v>32974</v>
          </cell>
          <cell r="C1575">
            <v>12.18</v>
          </cell>
          <cell r="D1575">
            <v>1.7381820000000002E-5</v>
          </cell>
          <cell r="E1575">
            <v>0.11842</v>
          </cell>
          <cell r="F1575">
            <v>1.0614999999999999E-2</v>
          </cell>
          <cell r="J1575">
            <v>4.2552637298567184</v>
          </cell>
          <cell r="K1575">
            <v>1.7381820000000002E-5</v>
          </cell>
          <cell r="L1575">
            <v>0.11842</v>
          </cell>
          <cell r="M1575">
            <v>1.0614999999999999E-2</v>
          </cell>
          <cell r="N1575">
            <v>5.3510781254399999</v>
          </cell>
          <cell r="O1575">
            <v>5.3844157914300004</v>
          </cell>
          <cell r="P1575">
            <v>2.0555130000000001E-3</v>
          </cell>
        </row>
        <row r="1576">
          <cell r="B1576">
            <v>32979</v>
          </cell>
          <cell r="C1576">
            <v>8.3369999999999997</v>
          </cell>
          <cell r="D1576">
            <v>1.803636E-5</v>
          </cell>
          <cell r="E1576">
            <v>0.12485</v>
          </cell>
          <cell r="F1576">
            <v>1.1403999999999999E-2</v>
          </cell>
          <cell r="J1576">
            <v>4.2670891077619908</v>
          </cell>
          <cell r="K1576">
            <v>1.803636E-5</v>
          </cell>
          <cell r="L1576">
            <v>0.12485</v>
          </cell>
          <cell r="M1576">
            <v>1.1403999999999999E-2</v>
          </cell>
          <cell r="N1576">
            <v>5.3510781254399999</v>
          </cell>
          <cell r="O1576">
            <v>5.3844157914300004</v>
          </cell>
          <cell r="P1576">
            <v>2.0555130000000001E-3</v>
          </cell>
        </row>
        <row r="1577">
          <cell r="B1577">
            <v>32980</v>
          </cell>
          <cell r="C1577">
            <v>6.819</v>
          </cell>
          <cell r="D1577">
            <v>1.9454550000000002E-5</v>
          </cell>
          <cell r="E1577">
            <v>0.14560000000000001</v>
          </cell>
          <cell r="F1577">
            <v>1.3722E-2</v>
          </cell>
          <cell r="J1577">
            <v>4.2767882013039333</v>
          </cell>
          <cell r="K1577">
            <v>1.9454550000000002E-5</v>
          </cell>
          <cell r="L1577">
            <v>0.14560000000000001</v>
          </cell>
          <cell r="M1577">
            <v>1.3722E-2</v>
          </cell>
          <cell r="N1577">
            <v>5.3510781254399999</v>
          </cell>
          <cell r="O1577">
            <v>5.3844157914300004</v>
          </cell>
          <cell r="P1577">
            <v>2.0555130000000001E-3</v>
          </cell>
        </row>
        <row r="1578">
          <cell r="B1578">
            <v>32981</v>
          </cell>
          <cell r="C1578">
            <v>5.61</v>
          </cell>
          <cell r="D1578">
            <v>1.8363640000000001E-5</v>
          </cell>
          <cell r="E1578">
            <v>0.15284</v>
          </cell>
          <cell r="F1578">
            <v>1.3901999999999999E-2</v>
          </cell>
          <cell r="J1578">
            <v>4.2847857952403716</v>
          </cell>
          <cell r="K1578">
            <v>1.8363640000000001E-5</v>
          </cell>
          <cell r="L1578">
            <v>0.15284</v>
          </cell>
          <cell r="M1578">
            <v>1.3901999999999999E-2</v>
          </cell>
          <cell r="N1578">
            <v>5.3510781254399999</v>
          </cell>
          <cell r="O1578">
            <v>5.3844157914300004</v>
          </cell>
          <cell r="P1578">
            <v>2.0555130000000001E-3</v>
          </cell>
        </row>
        <row r="1579">
          <cell r="B1579">
            <v>32982</v>
          </cell>
          <cell r="C1579">
            <v>4.6589999999999998</v>
          </cell>
          <cell r="D1579">
            <v>1.854545E-5</v>
          </cell>
          <cell r="E1579">
            <v>0.16070000000000001</v>
          </cell>
          <cell r="F1579">
            <v>1.4669E-2</v>
          </cell>
          <cell r="J1579">
            <v>4.2914400675803792</v>
          </cell>
          <cell r="K1579">
            <v>1.854545E-5</v>
          </cell>
          <cell r="L1579">
            <v>0.16070000000000001</v>
          </cell>
          <cell r="M1579">
            <v>1.4669E-2</v>
          </cell>
          <cell r="N1579">
            <v>5.3510781254399999</v>
          </cell>
          <cell r="O1579">
            <v>5.3844157914300004</v>
          </cell>
          <cell r="P1579">
            <v>2.0555130000000001E-3</v>
          </cell>
        </row>
        <row r="1580">
          <cell r="B1580">
            <v>32983</v>
          </cell>
          <cell r="C1580">
            <v>4.5990000000000002</v>
          </cell>
          <cell r="D1580">
            <v>1.854545E-5</v>
          </cell>
          <cell r="E1580">
            <v>0.16505</v>
          </cell>
          <cell r="F1580">
            <v>1.4697999999999999E-2</v>
          </cell>
          <cell r="J1580">
            <v>4.2980188452039796</v>
          </cell>
          <cell r="K1580">
            <v>1.854545E-5</v>
          </cell>
          <cell r="L1580">
            <v>0.16505</v>
          </cell>
          <cell r="M1580">
            <v>1.4697999999999999E-2</v>
          </cell>
          <cell r="N1580">
            <v>5.3510781254399999</v>
          </cell>
          <cell r="O1580">
            <v>5.3844157914300004</v>
          </cell>
          <cell r="P1580">
            <v>2.0555130000000001E-3</v>
          </cell>
        </row>
        <row r="1581">
          <cell r="B1581">
            <v>32986</v>
          </cell>
          <cell r="C1581">
            <v>4.4009999999999998</v>
          </cell>
          <cell r="D1581">
            <v>1.8509090000000001E-5</v>
          </cell>
          <cell r="E1581">
            <v>0.16600999999999999</v>
          </cell>
          <cell r="F1581">
            <v>1.4811E-2</v>
          </cell>
          <cell r="J1581">
            <v>4.3043240388498942</v>
          </cell>
          <cell r="K1581">
            <v>1.8509090000000001E-5</v>
          </cell>
          <cell r="L1581">
            <v>0.16600999999999999</v>
          </cell>
          <cell r="M1581">
            <v>1.4811E-2</v>
          </cell>
          <cell r="N1581">
            <v>5.3510781254399999</v>
          </cell>
          <cell r="O1581">
            <v>5.3844157914300004</v>
          </cell>
          <cell r="P1581">
            <v>2.0555130000000001E-3</v>
          </cell>
        </row>
        <row r="1582">
          <cell r="B1582">
            <v>32987</v>
          </cell>
          <cell r="C1582">
            <v>4.5599999999999996</v>
          </cell>
          <cell r="D1582">
            <v>1.8527269999999999E-5</v>
          </cell>
          <cell r="E1582">
            <v>0.17055000000000001</v>
          </cell>
          <cell r="F1582">
            <v>1.5272000000000001E-2</v>
          </cell>
          <cell r="J1582">
            <v>4.3108666113889456</v>
          </cell>
          <cell r="K1582">
            <v>1.8527269999999999E-5</v>
          </cell>
          <cell r="L1582">
            <v>0.17055000000000001</v>
          </cell>
          <cell r="M1582">
            <v>1.5272000000000001E-2</v>
          </cell>
          <cell r="N1582">
            <v>5.3510781254399999</v>
          </cell>
          <cell r="O1582">
            <v>5.3844157914300004</v>
          </cell>
          <cell r="P1582">
            <v>2.0555130000000001E-3</v>
          </cell>
        </row>
        <row r="1583">
          <cell r="B1583">
            <v>32988</v>
          </cell>
          <cell r="C1583">
            <v>4.431</v>
          </cell>
          <cell r="D1583">
            <v>1.8509090000000001E-5</v>
          </cell>
          <cell r="E1583">
            <v>0.17662</v>
          </cell>
          <cell r="F1583">
            <v>1.5776999999999999E-2</v>
          </cell>
          <cell r="J1583">
            <v>4.3172337613739664</v>
          </cell>
          <cell r="K1583">
            <v>1.8509090000000001E-5</v>
          </cell>
          <cell r="L1583">
            <v>0.17662</v>
          </cell>
          <cell r="M1583">
            <v>1.5776999999999999E-2</v>
          </cell>
          <cell r="N1583">
            <v>5.3510781254399999</v>
          </cell>
          <cell r="O1583">
            <v>5.3844157914300004</v>
          </cell>
          <cell r="P1583">
            <v>2.0555130000000001E-3</v>
          </cell>
        </row>
        <row r="1584">
          <cell r="B1584">
            <v>32989</v>
          </cell>
          <cell r="C1584">
            <v>4.4610000000000003</v>
          </cell>
          <cell r="D1584">
            <v>1.8509090000000001E-5</v>
          </cell>
          <cell r="E1584">
            <v>0.18645</v>
          </cell>
          <cell r="F1584">
            <v>1.6914999999999999E-2</v>
          </cell>
          <cell r="J1584">
            <v>4.32365348797713</v>
          </cell>
          <cell r="K1584">
            <v>1.8509090000000001E-5</v>
          </cell>
          <cell r="L1584">
            <v>0.18645</v>
          </cell>
          <cell r="M1584">
            <v>1.6914999999999999E-2</v>
          </cell>
          <cell r="N1584">
            <v>5.3510781254399999</v>
          </cell>
          <cell r="O1584">
            <v>5.3844157914300004</v>
          </cell>
          <cell r="P1584">
            <v>2.0555130000000001E-3</v>
          </cell>
        </row>
        <row r="1585">
          <cell r="B1585">
            <v>32990</v>
          </cell>
          <cell r="C1585">
            <v>4.7309999999999999</v>
          </cell>
          <cell r="D1585">
            <v>1.8509090000000001E-5</v>
          </cell>
          <cell r="E1585">
            <v>0.18601000000000001</v>
          </cell>
          <cell r="F1585">
            <v>1.6091999999999999E-2</v>
          </cell>
          <cell r="J1585">
            <v>4.3304718895276695</v>
          </cell>
          <cell r="K1585">
            <v>1.8509090000000001E-5</v>
          </cell>
          <cell r="L1585">
            <v>0.18601000000000001</v>
          </cell>
          <cell r="M1585">
            <v>1.6091999999999999E-2</v>
          </cell>
          <cell r="N1585">
            <v>5.3510781254399999</v>
          </cell>
          <cell r="O1585">
            <v>5.3844157914300004</v>
          </cell>
          <cell r="P1585">
            <v>2.0555130000000001E-3</v>
          </cell>
        </row>
        <row r="1586">
          <cell r="B1586">
            <v>32993</v>
          </cell>
          <cell r="C1586">
            <v>6.69</v>
          </cell>
          <cell r="D1586">
            <v>1.8509090000000001E-5</v>
          </cell>
          <cell r="E1586">
            <v>0.18146999999999999</v>
          </cell>
          <cell r="F1586">
            <v>1.5587E-2</v>
          </cell>
          <cell r="G1586">
            <v>11.33</v>
          </cell>
          <cell r="H1586">
            <v>28.35</v>
          </cell>
          <cell r="I1586">
            <v>2.0657900000000001E-3</v>
          </cell>
          <cell r="J1586">
            <v>4.3401288418413158</v>
          </cell>
          <cell r="K1586">
            <v>1.8509090000000001E-5</v>
          </cell>
          <cell r="L1586">
            <v>0.18146999999999999</v>
          </cell>
          <cell r="M1586">
            <v>1.5587E-2</v>
          </cell>
          <cell r="N1586">
            <v>5.9573552770523515</v>
          </cell>
          <cell r="O1586">
            <v>6.9108976683004055</v>
          </cell>
          <cell r="P1586">
            <v>2.0657900000000001E-3</v>
          </cell>
        </row>
        <row r="1587">
          <cell r="B1587">
            <v>32995</v>
          </cell>
          <cell r="C1587">
            <v>8.1300000000000008</v>
          </cell>
          <cell r="D1587">
            <v>1.849091E-5</v>
          </cell>
          <cell r="E1587">
            <v>0.18146999999999999</v>
          </cell>
          <cell r="F1587">
            <v>1.5363999999999999E-2</v>
          </cell>
          <cell r="J1587">
            <v>4.3518905910027055</v>
          </cell>
          <cell r="K1587">
            <v>1.849091E-5</v>
          </cell>
          <cell r="L1587">
            <v>0.18146999999999999</v>
          </cell>
          <cell r="M1587">
            <v>1.5363999999999999E-2</v>
          </cell>
          <cell r="N1587">
            <v>5.9573552770523515</v>
          </cell>
          <cell r="O1587">
            <v>6.9108976683004055</v>
          </cell>
          <cell r="P1587">
            <v>2.0657900000000001E-3</v>
          </cell>
        </row>
        <row r="1588">
          <cell r="B1588">
            <v>32996</v>
          </cell>
          <cell r="C1588">
            <v>7.7610000000000001</v>
          </cell>
          <cell r="D1588">
            <v>1.8527269999999999E-5</v>
          </cell>
          <cell r="E1588">
            <v>0.19119</v>
          </cell>
          <cell r="F1588">
            <v>1.6778999999999999E-2</v>
          </cell>
          <cell r="J1588">
            <v>4.3631489319616295</v>
          </cell>
          <cell r="K1588">
            <v>1.8527269999999999E-5</v>
          </cell>
          <cell r="L1588">
            <v>0.19119</v>
          </cell>
          <cell r="M1588">
            <v>1.6778999999999999E-2</v>
          </cell>
          <cell r="N1588">
            <v>5.9573552770523515</v>
          </cell>
          <cell r="O1588">
            <v>6.9108976683004055</v>
          </cell>
          <cell r="P1588">
            <v>2.0657900000000001E-3</v>
          </cell>
        </row>
        <row r="1589">
          <cell r="B1589">
            <v>32997</v>
          </cell>
          <cell r="C1589">
            <v>7.2809999999999997</v>
          </cell>
          <cell r="D1589">
            <v>1.849091E-5</v>
          </cell>
          <cell r="E1589">
            <v>0.18905</v>
          </cell>
          <cell r="F1589">
            <v>1.5925999999999999E-2</v>
          </cell>
          <cell r="J1589">
            <v>4.3737382944194998</v>
          </cell>
          <cell r="K1589">
            <v>1.849091E-5</v>
          </cell>
          <cell r="L1589">
            <v>0.18905</v>
          </cell>
          <cell r="M1589">
            <v>1.5925999999999999E-2</v>
          </cell>
          <cell r="N1589">
            <v>5.9573552770523515</v>
          </cell>
          <cell r="O1589">
            <v>6.9108976683004055</v>
          </cell>
          <cell r="P1589">
            <v>2.0657900000000001E-3</v>
          </cell>
        </row>
        <row r="1590">
          <cell r="B1590">
            <v>33000</v>
          </cell>
          <cell r="C1590">
            <v>7.26</v>
          </cell>
          <cell r="D1590">
            <v>1.8509090000000001E-5</v>
          </cell>
          <cell r="E1590">
            <v>0.18243999999999999</v>
          </cell>
          <cell r="F1590">
            <v>1.5186E-2</v>
          </cell>
          <cell r="J1590">
            <v>4.3843227410919949</v>
          </cell>
          <cell r="K1590">
            <v>1.8509090000000001E-5</v>
          </cell>
          <cell r="L1590">
            <v>0.18243999999999999</v>
          </cell>
          <cell r="M1590">
            <v>1.5186E-2</v>
          </cell>
          <cell r="N1590">
            <v>5.9573552770523515</v>
          </cell>
          <cell r="O1590">
            <v>6.9108976683004055</v>
          </cell>
          <cell r="P1590">
            <v>2.0657900000000001E-3</v>
          </cell>
        </row>
        <row r="1591">
          <cell r="B1591">
            <v>33001</v>
          </cell>
          <cell r="C1591">
            <v>7.0410000000000004</v>
          </cell>
          <cell r="D1591">
            <v>1.8527269999999999E-5</v>
          </cell>
          <cell r="E1591">
            <v>0.17523</v>
          </cell>
          <cell r="F1591">
            <v>1.4636E-2</v>
          </cell>
          <cell r="J1591">
            <v>4.394612746565338</v>
          </cell>
          <cell r="K1591">
            <v>1.8527269999999999E-5</v>
          </cell>
          <cell r="L1591">
            <v>0.17523</v>
          </cell>
          <cell r="M1591">
            <v>1.4636E-2</v>
          </cell>
          <cell r="N1591">
            <v>5.9573552770523515</v>
          </cell>
          <cell r="O1591">
            <v>6.9108976683004055</v>
          </cell>
          <cell r="P1591">
            <v>2.0657900000000001E-3</v>
          </cell>
        </row>
        <row r="1592">
          <cell r="B1592">
            <v>33002</v>
          </cell>
          <cell r="C1592">
            <v>7.0890000000000004</v>
          </cell>
          <cell r="D1592">
            <v>1.8527269999999999E-5</v>
          </cell>
          <cell r="E1592">
            <v>0.17204</v>
          </cell>
          <cell r="F1592">
            <v>1.4644000000000001E-2</v>
          </cell>
          <cell r="J1592">
            <v>4.4049972164854712</v>
          </cell>
          <cell r="K1592">
            <v>1.8527269999999999E-5</v>
          </cell>
          <cell r="L1592">
            <v>0.17204</v>
          </cell>
          <cell r="M1592">
            <v>1.4644000000000001E-2</v>
          </cell>
          <cell r="N1592">
            <v>5.9573552770523515</v>
          </cell>
          <cell r="O1592">
            <v>6.9108976683004055</v>
          </cell>
          <cell r="P1592">
            <v>2.0657900000000001E-3</v>
          </cell>
        </row>
        <row r="1593">
          <cell r="B1593">
            <v>33003</v>
          </cell>
          <cell r="C1593">
            <v>7.149</v>
          </cell>
          <cell r="D1593">
            <v>1.853818E-5</v>
          </cell>
          <cell r="E1593">
            <v>0.17507</v>
          </cell>
          <cell r="F1593">
            <v>1.4933999999999999E-2</v>
          </cell>
          <cell r="J1593">
            <v>4.4154943248523564</v>
          </cell>
          <cell r="K1593">
            <v>1.853818E-5</v>
          </cell>
          <cell r="L1593">
            <v>0.17507</v>
          </cell>
          <cell r="M1593">
            <v>1.4933999999999999E-2</v>
          </cell>
          <cell r="N1593">
            <v>5.9573552770523515</v>
          </cell>
          <cell r="O1593">
            <v>6.9108976683004055</v>
          </cell>
          <cell r="P1593">
            <v>2.0657900000000001E-3</v>
          </cell>
        </row>
        <row r="1594">
          <cell r="B1594">
            <v>33004</v>
          </cell>
          <cell r="C1594">
            <v>7.4009999999999998</v>
          </cell>
          <cell r="D1594">
            <v>1.8527269999999999E-5</v>
          </cell>
          <cell r="E1594">
            <v>0.16955999999999999</v>
          </cell>
          <cell r="F1594">
            <v>1.4177E-2</v>
          </cell>
          <cell r="J1594">
            <v>4.4263873493517671</v>
          </cell>
          <cell r="K1594">
            <v>1.8527269999999999E-5</v>
          </cell>
          <cell r="L1594">
            <v>0.16955999999999999</v>
          </cell>
          <cell r="M1594">
            <v>1.4177E-2</v>
          </cell>
          <cell r="N1594">
            <v>5.9573552770523515</v>
          </cell>
          <cell r="O1594">
            <v>6.9108976683004055</v>
          </cell>
          <cell r="P1594">
            <v>2.0657900000000001E-3</v>
          </cell>
        </row>
        <row r="1595">
          <cell r="B1595">
            <v>33007</v>
          </cell>
          <cell r="C1595">
            <v>8.0009999999999994</v>
          </cell>
          <cell r="D1595">
            <v>1.858182E-5</v>
          </cell>
          <cell r="E1595">
            <v>0.16614999999999999</v>
          </cell>
          <cell r="F1595">
            <v>1.3831E-2</v>
          </cell>
          <cell r="J1595">
            <v>4.4381925244124885</v>
          </cell>
          <cell r="K1595">
            <v>1.858182E-5</v>
          </cell>
          <cell r="L1595">
            <v>0.16614999999999999</v>
          </cell>
          <cell r="M1595">
            <v>1.3831E-2</v>
          </cell>
          <cell r="N1595">
            <v>5.9573552770523515</v>
          </cell>
          <cell r="O1595">
            <v>6.9108976683004055</v>
          </cell>
          <cell r="P1595">
            <v>2.0657900000000001E-3</v>
          </cell>
        </row>
        <row r="1596">
          <cell r="B1596">
            <v>33008</v>
          </cell>
          <cell r="C1596">
            <v>7.7610000000000001</v>
          </cell>
          <cell r="D1596">
            <v>1.8618179999999999E-5</v>
          </cell>
          <cell r="E1596">
            <v>0.15608</v>
          </cell>
          <cell r="F1596">
            <v>1.2376E-2</v>
          </cell>
          <cell r="J1596">
            <v>4.4496741284731431</v>
          </cell>
          <cell r="K1596">
            <v>1.8618179999999999E-5</v>
          </cell>
          <cell r="L1596">
            <v>0.15608</v>
          </cell>
          <cell r="M1596">
            <v>1.2376E-2</v>
          </cell>
          <cell r="N1596">
            <v>5.9573552770523515</v>
          </cell>
          <cell r="O1596">
            <v>6.9108976683004055</v>
          </cell>
          <cell r="P1596">
            <v>2.0657900000000001E-3</v>
          </cell>
        </row>
        <row r="1597">
          <cell r="B1597">
            <v>33009</v>
          </cell>
          <cell r="C1597">
            <v>7.641</v>
          </cell>
          <cell r="D1597">
            <v>1.8618179999999999E-5</v>
          </cell>
          <cell r="E1597">
            <v>0.15553</v>
          </cell>
          <cell r="F1597">
            <v>1.2999999999999999E-2</v>
          </cell>
          <cell r="J1597">
            <v>4.4610074484783642</v>
          </cell>
          <cell r="K1597">
            <v>1.8618179999999999E-5</v>
          </cell>
          <cell r="L1597">
            <v>0.15553</v>
          </cell>
          <cell r="M1597">
            <v>1.2999999999999999E-2</v>
          </cell>
          <cell r="N1597">
            <v>5.9573552770523515</v>
          </cell>
          <cell r="O1597">
            <v>6.9108976683004055</v>
          </cell>
          <cell r="P1597">
            <v>2.0657900000000001E-3</v>
          </cell>
        </row>
        <row r="1598">
          <cell r="B1598">
            <v>33010</v>
          </cell>
          <cell r="C1598">
            <v>7.8390000000000004</v>
          </cell>
          <cell r="D1598">
            <v>1.8636360000000001E-5</v>
          </cell>
          <cell r="E1598">
            <v>0.15779000000000001</v>
          </cell>
          <cell r="F1598">
            <v>1.3100000000000001E-2</v>
          </cell>
          <cell r="J1598">
            <v>4.4726640609412378</v>
          </cell>
          <cell r="K1598">
            <v>1.8636360000000001E-5</v>
          </cell>
          <cell r="L1598">
            <v>0.15779000000000001</v>
          </cell>
          <cell r="M1598">
            <v>1.3100000000000001E-2</v>
          </cell>
          <cell r="N1598">
            <v>5.9573552770523515</v>
          </cell>
          <cell r="O1598">
            <v>6.9108976683004055</v>
          </cell>
          <cell r="P1598">
            <v>2.0657900000000001E-3</v>
          </cell>
        </row>
        <row r="1599">
          <cell r="B1599">
            <v>33011</v>
          </cell>
          <cell r="C1599">
            <v>7.9889999999999999</v>
          </cell>
          <cell r="D1599">
            <v>1.862182E-5</v>
          </cell>
          <cell r="E1599">
            <v>0.15598000000000001</v>
          </cell>
          <cell r="F1599">
            <v>1.3063999999999999E-2</v>
          </cell>
          <cell r="J1599">
            <v>4.484574765335525</v>
          </cell>
          <cell r="K1599">
            <v>1.862182E-5</v>
          </cell>
          <cell r="L1599">
            <v>0.15598000000000001</v>
          </cell>
          <cell r="M1599">
            <v>1.3063999999999999E-2</v>
          </cell>
          <cell r="N1599">
            <v>5.9573552770523515</v>
          </cell>
          <cell r="O1599">
            <v>6.9108976683004055</v>
          </cell>
          <cell r="P1599">
            <v>2.0657900000000001E-3</v>
          </cell>
        </row>
        <row r="1600">
          <cell r="B1600">
            <v>33014</v>
          </cell>
          <cell r="C1600">
            <v>7.9290000000000003</v>
          </cell>
          <cell r="D1600">
            <v>1.8709089999999999E-5</v>
          </cell>
          <cell r="E1600">
            <v>0.15981000000000001</v>
          </cell>
          <cell r="F1600">
            <v>1.3688000000000001E-2</v>
          </cell>
          <cell r="J1600">
            <v>4.4964274964403064</v>
          </cell>
          <cell r="K1600">
            <v>1.8709089999999999E-5</v>
          </cell>
          <cell r="L1600">
            <v>0.15981000000000001</v>
          </cell>
          <cell r="M1600">
            <v>1.3688000000000001E-2</v>
          </cell>
          <cell r="N1600">
            <v>5.9573552770523515</v>
          </cell>
          <cell r="O1600">
            <v>6.9108976683004055</v>
          </cell>
          <cell r="P1600">
            <v>2.0657900000000001E-3</v>
          </cell>
        </row>
        <row r="1601">
          <cell r="B1601">
            <v>33015</v>
          </cell>
          <cell r="C1601">
            <v>8.0009999999999994</v>
          </cell>
          <cell r="D1601">
            <v>1.9290909999999999E-5</v>
          </cell>
          <cell r="E1601">
            <v>0.16236</v>
          </cell>
          <cell r="F1601">
            <v>1.4441000000000001E-2</v>
          </cell>
          <cell r="J1601">
            <v>4.5084194685733125</v>
          </cell>
          <cell r="K1601">
            <v>1.9290909999999999E-5</v>
          </cell>
          <cell r="L1601">
            <v>0.16236</v>
          </cell>
          <cell r="M1601">
            <v>1.4441000000000001E-2</v>
          </cell>
          <cell r="N1601">
            <v>5.9573552770523515</v>
          </cell>
          <cell r="O1601">
            <v>6.9108976683004055</v>
          </cell>
          <cell r="P1601">
            <v>2.0657900000000001E-3</v>
          </cell>
        </row>
        <row r="1602">
          <cell r="B1602">
            <v>33016</v>
          </cell>
          <cell r="C1602">
            <v>7.9409999999999998</v>
          </cell>
          <cell r="D1602">
            <v>1.9199999999999999E-5</v>
          </cell>
          <cell r="E1602">
            <v>0.16586999999999999</v>
          </cell>
          <cell r="F1602">
            <v>1.4782E-2</v>
          </cell>
          <cell r="J1602">
            <v>4.5203532549066265</v>
          </cell>
          <cell r="K1602">
            <v>1.9199999999999999E-5</v>
          </cell>
          <cell r="L1602">
            <v>0.16586999999999999</v>
          </cell>
          <cell r="M1602">
            <v>1.4782E-2</v>
          </cell>
          <cell r="N1602">
            <v>5.9573552770523515</v>
          </cell>
          <cell r="O1602">
            <v>6.9108976683004055</v>
          </cell>
          <cell r="P1602">
            <v>2.0657900000000001E-3</v>
          </cell>
        </row>
        <row r="1603">
          <cell r="B1603">
            <v>33017</v>
          </cell>
          <cell r="C1603">
            <v>7.9589999999999996</v>
          </cell>
          <cell r="D1603">
            <v>1.930909E-5</v>
          </cell>
          <cell r="E1603">
            <v>0.16628000000000001</v>
          </cell>
          <cell r="F1603">
            <v>1.5011E-2</v>
          </cell>
          <cell r="J1603">
            <v>4.5323457520918939</v>
          </cell>
          <cell r="K1603">
            <v>1.930909E-5</v>
          </cell>
          <cell r="L1603">
            <v>0.16628000000000001</v>
          </cell>
          <cell r="M1603">
            <v>1.5011E-2</v>
          </cell>
          <cell r="N1603">
            <v>5.9573552770523515</v>
          </cell>
          <cell r="O1603">
            <v>6.9108976683004055</v>
          </cell>
          <cell r="P1603">
            <v>2.0657900000000001E-3</v>
          </cell>
        </row>
        <row r="1604">
          <cell r="B1604">
            <v>33018</v>
          </cell>
          <cell r="C1604">
            <v>8.3190000000000008</v>
          </cell>
          <cell r="D1604">
            <v>1.970909E-5</v>
          </cell>
          <cell r="E1604">
            <v>0.16949</v>
          </cell>
          <cell r="F1604">
            <v>1.4916E-2</v>
          </cell>
          <cell r="J1604">
            <v>4.5449139468624447</v>
          </cell>
          <cell r="K1604">
            <v>1.970909E-5</v>
          </cell>
          <cell r="L1604">
            <v>0.16949</v>
          </cell>
          <cell r="M1604">
            <v>1.4916E-2</v>
          </cell>
          <cell r="N1604">
            <v>5.9573552770523515</v>
          </cell>
          <cell r="O1604">
            <v>6.9108976683004055</v>
          </cell>
          <cell r="P1604">
            <v>2.0657900000000001E-3</v>
          </cell>
        </row>
        <row r="1605">
          <cell r="B1605">
            <v>33021</v>
          </cell>
          <cell r="C1605">
            <v>8.3610000000000007</v>
          </cell>
          <cell r="D1605">
            <v>1.9963639999999999E-5</v>
          </cell>
          <cell r="E1605">
            <v>0.16646</v>
          </cell>
          <cell r="F1605">
            <v>1.4548999999999999E-2</v>
          </cell>
          <cell r="J1605">
            <v>4.5575806220323507</v>
          </cell>
          <cell r="K1605">
            <v>1.9963639999999999E-5</v>
          </cell>
          <cell r="L1605">
            <v>0.16646</v>
          </cell>
          <cell r="M1605">
            <v>1.4548999999999999E-2</v>
          </cell>
          <cell r="N1605">
            <v>5.9573552770523515</v>
          </cell>
          <cell r="O1605">
            <v>6.9108976683004055</v>
          </cell>
          <cell r="P1605">
            <v>2.0657900000000001E-3</v>
          </cell>
        </row>
        <row r="1606">
          <cell r="B1606">
            <v>33022</v>
          </cell>
          <cell r="C1606">
            <v>8.5500000000000007</v>
          </cell>
          <cell r="D1606">
            <v>2.0036360000000001E-5</v>
          </cell>
          <cell r="E1606">
            <v>0.16625999999999999</v>
          </cell>
          <cell r="F1606">
            <v>1.4569E-2</v>
          </cell>
          <cell r="J1606">
            <v>4.5705697268051431</v>
          </cell>
          <cell r="K1606">
            <v>2.0036360000000001E-5</v>
          </cell>
          <cell r="L1606">
            <v>0.16625999999999999</v>
          </cell>
          <cell r="M1606">
            <v>1.4569E-2</v>
          </cell>
          <cell r="N1606">
            <v>5.9573552770523515</v>
          </cell>
          <cell r="O1606">
            <v>6.9108976683004055</v>
          </cell>
          <cell r="P1606">
            <v>2.0657900000000001E-3</v>
          </cell>
        </row>
        <row r="1607">
          <cell r="B1607">
            <v>33023</v>
          </cell>
          <cell r="C1607">
            <v>8.5890000000000004</v>
          </cell>
          <cell r="D1607">
            <v>2.0054549999999999E-5</v>
          </cell>
          <cell r="E1607">
            <v>0.16727</v>
          </cell>
          <cell r="F1607">
            <v>1.4874E-2</v>
          </cell>
          <cell r="J1607">
            <v>4.5836552679329863</v>
          </cell>
          <cell r="K1607">
            <v>2.0054549999999999E-5</v>
          </cell>
          <cell r="L1607">
            <v>0.16727</v>
          </cell>
          <cell r="M1607">
            <v>1.4874E-2</v>
          </cell>
          <cell r="N1607">
            <v>5.9573552770523515</v>
          </cell>
          <cell r="O1607">
            <v>6.9108976683004055</v>
          </cell>
          <cell r="P1607">
            <v>2.0657900000000001E-3</v>
          </cell>
        </row>
        <row r="1608">
          <cell r="B1608">
            <v>33024</v>
          </cell>
          <cell r="C1608">
            <v>9.2910000000000004</v>
          </cell>
          <cell r="D1608">
            <v>2.0036360000000001E-5</v>
          </cell>
          <cell r="E1608">
            <v>0.17016000000000001</v>
          </cell>
          <cell r="F1608">
            <v>1.4643E-2</v>
          </cell>
          <cell r="G1608">
            <v>9.07</v>
          </cell>
          <cell r="H1608">
            <v>5.93</v>
          </cell>
          <cell r="I1608">
            <v>2.1878150000000001E-3</v>
          </cell>
          <cell r="J1608">
            <v>4.5978508482977745</v>
          </cell>
          <cell r="K1608">
            <v>2.0036360000000001E-5</v>
          </cell>
          <cell r="L1608">
            <v>0.17016000000000001</v>
          </cell>
          <cell r="M1608">
            <v>1.4643E-2</v>
          </cell>
          <cell r="N1608">
            <v>6.4976874006809995</v>
          </cell>
          <cell r="O1608">
            <v>7.3207139000306185</v>
          </cell>
          <cell r="P1608">
            <v>2.1878150000000001E-3</v>
          </cell>
        </row>
        <row r="1609">
          <cell r="B1609">
            <v>33025</v>
          </cell>
          <cell r="C1609">
            <v>10.959</v>
          </cell>
          <cell r="D1609">
            <v>2.0000000000000002E-5</v>
          </cell>
          <cell r="E1609">
            <v>0.17024</v>
          </cell>
          <cell r="F1609">
            <v>1.4831E-2</v>
          </cell>
          <cell r="J1609">
            <v>4.6146467974466061</v>
          </cell>
          <cell r="K1609">
            <v>2.0000000000000002E-5</v>
          </cell>
          <cell r="L1609">
            <v>0.17024</v>
          </cell>
          <cell r="M1609">
            <v>1.4831E-2</v>
          </cell>
          <cell r="N1609">
            <v>6.4976874006809995</v>
          </cell>
          <cell r="O1609">
            <v>7.3207139000306185</v>
          </cell>
          <cell r="P1609">
            <v>2.1878150000000001E-3</v>
          </cell>
        </row>
        <row r="1610">
          <cell r="B1610">
            <v>33028</v>
          </cell>
          <cell r="C1610">
            <v>10.68</v>
          </cell>
          <cell r="D1610">
            <v>2.0036360000000001E-5</v>
          </cell>
          <cell r="E1610">
            <v>0.16789000000000001</v>
          </cell>
          <cell r="F1610">
            <v>1.4239999999999999E-2</v>
          </cell>
          <cell r="J1610">
            <v>4.631074940045516</v>
          </cell>
          <cell r="K1610">
            <v>2.0036360000000001E-5</v>
          </cell>
          <cell r="L1610">
            <v>0.16789000000000001</v>
          </cell>
          <cell r="M1610">
            <v>1.4239999999999999E-2</v>
          </cell>
          <cell r="N1610">
            <v>6.4976874006809995</v>
          </cell>
          <cell r="O1610">
            <v>7.3207139000306185</v>
          </cell>
          <cell r="P1610">
            <v>2.1878150000000001E-3</v>
          </cell>
        </row>
        <row r="1611">
          <cell r="B1611">
            <v>33029</v>
          </cell>
          <cell r="C1611">
            <v>10.509</v>
          </cell>
          <cell r="D1611">
            <v>2.010909E-5</v>
          </cell>
          <cell r="E1611">
            <v>0.16633999999999999</v>
          </cell>
          <cell r="F1611">
            <v>1.4298999999999999E-2</v>
          </cell>
          <cell r="J1611">
            <v>4.647297595560496</v>
          </cell>
          <cell r="K1611">
            <v>2.010909E-5</v>
          </cell>
          <cell r="L1611">
            <v>0.16633999999999999</v>
          </cell>
          <cell r="M1611">
            <v>1.4298999999999999E-2</v>
          </cell>
          <cell r="N1611">
            <v>6.4976874006809995</v>
          </cell>
          <cell r="O1611">
            <v>7.3207139000306185</v>
          </cell>
          <cell r="P1611">
            <v>2.1878150000000001E-3</v>
          </cell>
        </row>
        <row r="1612">
          <cell r="B1612">
            <v>33030</v>
          </cell>
          <cell r="C1612">
            <v>10.71</v>
          </cell>
          <cell r="D1612">
            <v>2.0272729999999999E-5</v>
          </cell>
          <cell r="E1612">
            <v>0.16752</v>
          </cell>
          <cell r="F1612">
            <v>1.4959E-2</v>
          </cell>
          <cell r="J1612">
            <v>4.6638884479766469</v>
          </cell>
          <cell r="K1612">
            <v>2.0272729999999999E-5</v>
          </cell>
          <cell r="L1612">
            <v>0.16752</v>
          </cell>
          <cell r="M1612">
            <v>1.4959E-2</v>
          </cell>
          <cell r="N1612">
            <v>6.4976874006809995</v>
          </cell>
          <cell r="O1612">
            <v>7.3207139000306185</v>
          </cell>
          <cell r="P1612">
            <v>2.1878150000000001E-3</v>
          </cell>
        </row>
        <row r="1613">
          <cell r="B1613">
            <v>33031</v>
          </cell>
          <cell r="C1613">
            <v>11.507999999999999</v>
          </cell>
          <cell r="D1613">
            <v>2.0254550000000001E-5</v>
          </cell>
          <cell r="E1613">
            <v>0.16994999999999999</v>
          </cell>
          <cell r="F1613">
            <v>1.5299999999999999E-2</v>
          </cell>
          <cell r="J1613">
            <v>4.6817791240630848</v>
          </cell>
          <cell r="K1613">
            <v>2.0254550000000001E-5</v>
          </cell>
          <cell r="L1613">
            <v>0.16994999999999999</v>
          </cell>
          <cell r="M1613">
            <v>1.5299999999999999E-2</v>
          </cell>
          <cell r="N1613">
            <v>6.4976874006809995</v>
          </cell>
          <cell r="O1613">
            <v>7.3207139000306185</v>
          </cell>
          <cell r="P1613">
            <v>2.1878150000000001E-3</v>
          </cell>
        </row>
        <row r="1614">
          <cell r="B1614">
            <v>33032</v>
          </cell>
          <cell r="C1614">
            <v>11.958</v>
          </cell>
          <cell r="D1614">
            <v>2.0236359999999999E-5</v>
          </cell>
          <cell r="E1614">
            <v>0.17035</v>
          </cell>
          <cell r="F1614">
            <v>1.5188E-2</v>
          </cell>
          <cell r="J1614">
            <v>4.7004406956516007</v>
          </cell>
          <cell r="K1614">
            <v>2.0236359999999999E-5</v>
          </cell>
          <cell r="L1614">
            <v>0.17035</v>
          </cell>
          <cell r="M1614">
            <v>1.5188E-2</v>
          </cell>
          <cell r="N1614">
            <v>6.4976874006809995</v>
          </cell>
          <cell r="O1614">
            <v>7.3207139000306185</v>
          </cell>
          <cell r="P1614">
            <v>2.1878150000000001E-3</v>
          </cell>
        </row>
        <row r="1615">
          <cell r="B1615">
            <v>33035</v>
          </cell>
          <cell r="C1615">
            <v>12.978</v>
          </cell>
          <cell r="D1615">
            <v>2.0254550000000001E-5</v>
          </cell>
          <cell r="E1615">
            <v>0.16656000000000001</v>
          </cell>
          <cell r="F1615">
            <v>1.4614E-2</v>
          </cell>
          <cell r="J1615">
            <v>4.7207748021009897</v>
          </cell>
          <cell r="K1615">
            <v>2.0254550000000001E-5</v>
          </cell>
          <cell r="L1615">
            <v>0.16656000000000001</v>
          </cell>
          <cell r="M1615">
            <v>1.4614E-2</v>
          </cell>
          <cell r="N1615">
            <v>6.4976874006809995</v>
          </cell>
          <cell r="O1615">
            <v>7.3207139000306185</v>
          </cell>
          <cell r="P1615">
            <v>2.1878150000000001E-3</v>
          </cell>
        </row>
        <row r="1616">
          <cell r="B1616">
            <v>33036</v>
          </cell>
          <cell r="C1616">
            <v>13.41</v>
          </cell>
          <cell r="D1616">
            <v>2.0218180000000001E-5</v>
          </cell>
          <cell r="E1616">
            <v>0.16447000000000001</v>
          </cell>
          <cell r="F1616">
            <v>1.44E-2</v>
          </cell>
          <cell r="J1616">
            <v>4.7418766654663811</v>
          </cell>
          <cell r="K1616">
            <v>2.0218180000000001E-5</v>
          </cell>
          <cell r="L1616">
            <v>0.16447000000000001</v>
          </cell>
          <cell r="M1616">
            <v>1.44E-2</v>
          </cell>
          <cell r="N1616">
            <v>6.4976874006809995</v>
          </cell>
          <cell r="O1616">
            <v>7.3207139000306185</v>
          </cell>
          <cell r="P1616">
            <v>2.1878150000000001E-3</v>
          </cell>
        </row>
        <row r="1617">
          <cell r="B1617">
            <v>33037</v>
          </cell>
          <cell r="C1617">
            <v>12.87</v>
          </cell>
          <cell r="D1617">
            <v>2.0236359999999999E-5</v>
          </cell>
          <cell r="E1617">
            <v>0.15972</v>
          </cell>
          <cell r="F1617">
            <v>1.4045E-2</v>
          </cell>
          <cell r="J1617">
            <v>4.7622193163612314</v>
          </cell>
          <cell r="K1617">
            <v>2.0236359999999999E-5</v>
          </cell>
          <cell r="L1617">
            <v>0.15972</v>
          </cell>
          <cell r="M1617">
            <v>1.4045E-2</v>
          </cell>
          <cell r="N1617">
            <v>6.4976874006809995</v>
          </cell>
          <cell r="O1617">
            <v>7.3207139000306185</v>
          </cell>
          <cell r="P1617">
            <v>2.1878150000000001E-3</v>
          </cell>
        </row>
        <row r="1618">
          <cell r="B1618">
            <v>33039</v>
          </cell>
          <cell r="C1618">
            <v>12.45</v>
          </cell>
          <cell r="D1618">
            <v>2.038182E-5</v>
          </cell>
          <cell r="E1618">
            <v>0.15867000000000001</v>
          </cell>
          <cell r="F1618">
            <v>1.4064999999999999E-2</v>
          </cell>
          <cell r="J1618">
            <v>4.7819825265241311</v>
          </cell>
          <cell r="K1618">
            <v>2.038182E-5</v>
          </cell>
          <cell r="L1618">
            <v>0.15867000000000001</v>
          </cell>
          <cell r="M1618">
            <v>1.4064999999999999E-2</v>
          </cell>
          <cell r="N1618">
            <v>6.4976874006809995</v>
          </cell>
          <cell r="O1618">
            <v>7.3207139000306185</v>
          </cell>
          <cell r="P1618">
            <v>2.1878150000000001E-3</v>
          </cell>
        </row>
        <row r="1619">
          <cell r="B1619">
            <v>33042</v>
          </cell>
          <cell r="C1619">
            <v>13.989000000000001</v>
          </cell>
          <cell r="D1619">
            <v>2.047273E-5</v>
          </cell>
          <cell r="E1619">
            <v>0.15554000000000001</v>
          </cell>
          <cell r="F1619">
            <v>1.3773000000000001E-2</v>
          </cell>
          <cell r="J1619">
            <v>4.8042809110453133</v>
          </cell>
          <cell r="K1619">
            <v>2.047273E-5</v>
          </cell>
          <cell r="L1619">
            <v>0.15554000000000001</v>
          </cell>
          <cell r="M1619">
            <v>1.3773000000000001E-2</v>
          </cell>
          <cell r="N1619">
            <v>6.4976874006809995</v>
          </cell>
          <cell r="O1619">
            <v>7.3207139000306185</v>
          </cell>
          <cell r="P1619">
            <v>2.1878150000000001E-3</v>
          </cell>
        </row>
        <row r="1620">
          <cell r="B1620">
            <v>33043</v>
          </cell>
          <cell r="C1620">
            <v>13.058999999999999</v>
          </cell>
          <cell r="D1620">
            <v>2.0599999999999999E-5</v>
          </cell>
          <cell r="E1620">
            <v>0.15779000000000001</v>
          </cell>
          <cell r="F1620">
            <v>1.4415000000000001E-2</v>
          </cell>
          <cell r="J1620">
            <v>4.825193945851094</v>
          </cell>
          <cell r="K1620">
            <v>2.0599999999999999E-5</v>
          </cell>
          <cell r="L1620">
            <v>0.15779000000000001</v>
          </cell>
          <cell r="M1620">
            <v>1.4415000000000001E-2</v>
          </cell>
          <cell r="N1620">
            <v>6.4976874006809995</v>
          </cell>
          <cell r="O1620">
            <v>7.3207139000306185</v>
          </cell>
          <cell r="P1620">
            <v>2.1878150000000001E-3</v>
          </cell>
        </row>
        <row r="1621">
          <cell r="B1621">
            <v>33044</v>
          </cell>
          <cell r="C1621">
            <v>13.089</v>
          </cell>
          <cell r="D1621">
            <v>2.0672730000000002E-5</v>
          </cell>
          <cell r="E1621">
            <v>0.16361999999999999</v>
          </cell>
          <cell r="F1621">
            <v>1.4930000000000001E-2</v>
          </cell>
          <cell r="J1621">
            <v>4.8462462670368414</v>
          </cell>
          <cell r="K1621">
            <v>2.0672730000000002E-5</v>
          </cell>
          <cell r="L1621">
            <v>0.16361999999999999</v>
          </cell>
          <cell r="M1621">
            <v>1.4930000000000001E-2</v>
          </cell>
          <cell r="N1621">
            <v>6.4976874006809995</v>
          </cell>
          <cell r="O1621">
            <v>7.3207139000306185</v>
          </cell>
          <cell r="P1621">
            <v>2.1878150000000001E-3</v>
          </cell>
        </row>
        <row r="1622">
          <cell r="B1622">
            <v>33045</v>
          </cell>
          <cell r="C1622">
            <v>12.78</v>
          </cell>
          <cell r="D1622">
            <v>2.105455E-5</v>
          </cell>
          <cell r="E1622">
            <v>0.17050999999999999</v>
          </cell>
          <cell r="F1622">
            <v>1.5789000000000001E-2</v>
          </cell>
          <cell r="J1622">
            <v>4.8668912761344183</v>
          </cell>
          <cell r="K1622">
            <v>2.105455E-5</v>
          </cell>
          <cell r="L1622">
            <v>0.17050999999999999</v>
          </cell>
          <cell r="M1622">
            <v>1.5789000000000001E-2</v>
          </cell>
          <cell r="N1622">
            <v>6.4976874006809995</v>
          </cell>
          <cell r="O1622">
            <v>7.3207139000306185</v>
          </cell>
          <cell r="P1622">
            <v>2.1878150000000001E-3</v>
          </cell>
        </row>
        <row r="1623">
          <cell r="B1623">
            <v>33046</v>
          </cell>
          <cell r="C1623">
            <v>14.829000000000001</v>
          </cell>
          <cell r="D1623">
            <v>2.1490909999999999E-5</v>
          </cell>
          <cell r="E1623">
            <v>0.17563999999999999</v>
          </cell>
          <cell r="F1623">
            <v>1.5996E-2</v>
          </cell>
          <cell r="J1623">
            <v>4.8909483197123507</v>
          </cell>
          <cell r="K1623">
            <v>2.1490909999999999E-5</v>
          </cell>
          <cell r="L1623">
            <v>0.17563999999999999</v>
          </cell>
          <cell r="M1623">
            <v>1.5996E-2</v>
          </cell>
          <cell r="N1623">
            <v>6.4976874006809995</v>
          </cell>
          <cell r="O1623">
            <v>7.3207139000306185</v>
          </cell>
          <cell r="P1623">
            <v>2.1878150000000001E-3</v>
          </cell>
        </row>
        <row r="1624">
          <cell r="B1624">
            <v>33049</v>
          </cell>
          <cell r="C1624">
            <v>16.178999999999998</v>
          </cell>
          <cell r="D1624">
            <v>2.178182E-5</v>
          </cell>
          <cell r="E1624">
            <v>0.18065999999999999</v>
          </cell>
          <cell r="F1624">
            <v>1.6639000000000001E-2</v>
          </cell>
          <cell r="J1624">
            <v>4.9173252040005595</v>
          </cell>
          <cell r="K1624">
            <v>2.178182E-5</v>
          </cell>
          <cell r="L1624">
            <v>0.18065999999999999</v>
          </cell>
          <cell r="M1624">
            <v>1.6639000000000001E-2</v>
          </cell>
          <cell r="N1624">
            <v>6.4976874006809995</v>
          </cell>
          <cell r="O1624">
            <v>7.3207139000306185</v>
          </cell>
          <cell r="P1624">
            <v>2.1878150000000001E-3</v>
          </cell>
        </row>
        <row r="1625">
          <cell r="B1625">
            <v>33050</v>
          </cell>
          <cell r="C1625">
            <v>15.15</v>
          </cell>
          <cell r="D1625">
            <v>2.1854540000000002E-5</v>
          </cell>
          <cell r="E1625">
            <v>0.19152</v>
          </cell>
          <cell r="F1625">
            <v>1.7454000000000001E-2</v>
          </cell>
          <cell r="J1625">
            <v>4.9421576962807627</v>
          </cell>
          <cell r="K1625">
            <v>2.1854540000000002E-5</v>
          </cell>
          <cell r="L1625">
            <v>0.19152</v>
          </cell>
          <cell r="M1625">
            <v>1.7454000000000001E-2</v>
          </cell>
          <cell r="N1625">
            <v>6.4976874006809995</v>
          </cell>
          <cell r="O1625">
            <v>7.3207139000306185</v>
          </cell>
          <cell r="P1625">
            <v>2.1878150000000001E-3</v>
          </cell>
        </row>
        <row r="1626">
          <cell r="B1626">
            <v>33051</v>
          </cell>
          <cell r="C1626">
            <v>16.149000000000001</v>
          </cell>
          <cell r="D1626">
            <v>2.1807269999999998E-5</v>
          </cell>
          <cell r="E1626">
            <v>0.19571</v>
          </cell>
          <cell r="F1626">
            <v>1.7413999999999999E-2</v>
          </cell>
          <cell r="J1626">
            <v>4.9687613311598415</v>
          </cell>
          <cell r="K1626">
            <v>2.1807269999999998E-5</v>
          </cell>
          <cell r="L1626">
            <v>0.19571</v>
          </cell>
          <cell r="M1626">
            <v>1.7413999999999999E-2</v>
          </cell>
          <cell r="N1626">
            <v>6.4976874006809995</v>
          </cell>
          <cell r="O1626">
            <v>7.3207139000306185</v>
          </cell>
          <cell r="P1626">
            <v>2.1878150000000001E-3</v>
          </cell>
        </row>
        <row r="1627">
          <cell r="B1627">
            <v>33052</v>
          </cell>
          <cell r="C1627">
            <v>16.899000000000001</v>
          </cell>
          <cell r="D1627">
            <v>2.196364E-5</v>
          </cell>
          <cell r="E1627">
            <v>0.19549</v>
          </cell>
          <cell r="F1627">
            <v>1.7264999999999999E-2</v>
          </cell>
          <cell r="J1627">
            <v>4.9967503637382649</v>
          </cell>
          <cell r="K1627">
            <v>2.196364E-5</v>
          </cell>
          <cell r="L1627">
            <v>0.19549</v>
          </cell>
          <cell r="M1627">
            <v>1.7264999999999999E-2</v>
          </cell>
          <cell r="N1627">
            <v>6.4976874006809995</v>
          </cell>
          <cell r="O1627">
            <v>7.3207139000306185</v>
          </cell>
          <cell r="P1627">
            <v>2.1878150000000001E-3</v>
          </cell>
        </row>
        <row r="1628">
          <cell r="B1628">
            <v>33053</v>
          </cell>
          <cell r="C1628">
            <v>19.488</v>
          </cell>
          <cell r="D1628">
            <v>2.223636E-5</v>
          </cell>
          <cell r="E1628">
            <v>0.19816</v>
          </cell>
          <cell r="F1628">
            <v>1.7618000000000002E-2</v>
          </cell>
          <cell r="G1628">
            <v>9.02</v>
          </cell>
          <cell r="H1628">
            <v>9.94</v>
          </cell>
          <cell r="I1628">
            <v>2.4100530000000001E-3</v>
          </cell>
          <cell r="J1628">
            <v>5.0292092541011089</v>
          </cell>
          <cell r="K1628">
            <v>2.223636E-5</v>
          </cell>
          <cell r="L1628">
            <v>0.19816</v>
          </cell>
          <cell r="M1628">
            <v>1.7618000000000002E-2</v>
          </cell>
          <cell r="N1628">
            <v>7.0837788042224261</v>
          </cell>
          <cell r="O1628">
            <v>8.048392861693662</v>
          </cell>
          <cell r="P1628">
            <v>2.4100530000000001E-3</v>
          </cell>
        </row>
        <row r="1629">
          <cell r="B1629">
            <v>33056</v>
          </cell>
          <cell r="C1629">
            <v>17.25</v>
          </cell>
          <cell r="D1629">
            <v>2.2581819999999999E-5</v>
          </cell>
          <cell r="E1629">
            <v>0.20745</v>
          </cell>
          <cell r="F1629">
            <v>1.8557000000000001E-2</v>
          </cell>
          <cell r="J1629">
            <v>5.0581272073121895</v>
          </cell>
          <cell r="K1629">
            <v>2.2581819999999999E-5</v>
          </cell>
          <cell r="L1629">
            <v>0.20745</v>
          </cell>
          <cell r="M1629">
            <v>1.8557000000000001E-2</v>
          </cell>
          <cell r="N1629">
            <v>7.0837788042224261</v>
          </cell>
          <cell r="O1629">
            <v>8.048392861693662</v>
          </cell>
          <cell r="P1629">
            <v>2.4100530000000001E-3</v>
          </cell>
        </row>
        <row r="1630">
          <cell r="B1630">
            <v>33057</v>
          </cell>
          <cell r="C1630">
            <v>17.91</v>
          </cell>
          <cell r="D1630">
            <v>2.2745450000000001E-5</v>
          </cell>
          <cell r="E1630">
            <v>0.22006000000000001</v>
          </cell>
          <cell r="F1630">
            <v>1.9959000000000001E-2</v>
          </cell>
          <cell r="J1630">
            <v>5.088324226739843</v>
          </cell>
          <cell r="K1630">
            <v>2.2745450000000001E-5</v>
          </cell>
          <cell r="L1630">
            <v>0.22006000000000001</v>
          </cell>
          <cell r="M1630">
            <v>1.9959000000000001E-2</v>
          </cell>
          <cell r="N1630">
            <v>7.0837788042224261</v>
          </cell>
          <cell r="O1630">
            <v>8.048392861693662</v>
          </cell>
          <cell r="P1630">
            <v>2.4100530000000001E-3</v>
          </cell>
        </row>
        <row r="1631">
          <cell r="B1631">
            <v>33058</v>
          </cell>
          <cell r="C1631">
            <v>19.05</v>
          </cell>
          <cell r="D1631">
            <v>2.318182E-5</v>
          </cell>
          <cell r="E1631">
            <v>0.22309000000000001</v>
          </cell>
          <cell r="F1631">
            <v>1.9894999999999999E-2</v>
          </cell>
          <cell r="J1631">
            <v>5.1206350855796412</v>
          </cell>
          <cell r="K1631">
            <v>2.318182E-5</v>
          </cell>
          <cell r="L1631">
            <v>0.22309000000000001</v>
          </cell>
          <cell r="M1631">
            <v>1.9894999999999999E-2</v>
          </cell>
          <cell r="N1631">
            <v>7.0837788042224261</v>
          </cell>
          <cell r="O1631">
            <v>8.048392861693662</v>
          </cell>
          <cell r="P1631">
            <v>2.4100530000000001E-3</v>
          </cell>
        </row>
        <row r="1632">
          <cell r="B1632">
            <v>33059</v>
          </cell>
          <cell r="C1632">
            <v>19.41</v>
          </cell>
          <cell r="D1632">
            <v>2.4145459999999998E-5</v>
          </cell>
          <cell r="E1632">
            <v>0.22988</v>
          </cell>
          <cell r="F1632">
            <v>2.0698999999999999E-2</v>
          </cell>
          <cell r="J1632">
            <v>5.1537655945833416</v>
          </cell>
          <cell r="K1632">
            <v>2.4145459999999998E-5</v>
          </cell>
          <cell r="L1632">
            <v>0.22988</v>
          </cell>
          <cell r="M1632">
            <v>2.0698999999999999E-2</v>
          </cell>
          <cell r="N1632">
            <v>7.0837788042224261</v>
          </cell>
          <cell r="O1632">
            <v>8.048392861693662</v>
          </cell>
          <cell r="P1632">
            <v>2.4100530000000001E-3</v>
          </cell>
        </row>
        <row r="1633">
          <cell r="B1633">
            <v>33060</v>
          </cell>
          <cell r="C1633">
            <v>19.838999999999999</v>
          </cell>
          <cell r="D1633">
            <v>2.4072729999999999E-5</v>
          </cell>
          <cell r="E1633">
            <v>0.23011000000000001</v>
          </cell>
          <cell r="F1633">
            <v>2.0296999999999999E-2</v>
          </cell>
          <cell r="J1633">
            <v>5.1878474464603208</v>
          </cell>
          <cell r="K1633">
            <v>2.4072729999999999E-5</v>
          </cell>
          <cell r="L1633">
            <v>0.23011000000000001</v>
          </cell>
          <cell r="M1633">
            <v>2.0296999999999999E-2</v>
          </cell>
          <cell r="N1633">
            <v>7.0837788042224261</v>
          </cell>
          <cell r="O1633">
            <v>8.048392861693662</v>
          </cell>
          <cell r="P1633">
            <v>2.4100530000000001E-3</v>
          </cell>
        </row>
        <row r="1634">
          <cell r="B1634">
            <v>33063</v>
          </cell>
          <cell r="C1634">
            <v>19.509</v>
          </cell>
          <cell r="D1634">
            <v>2.4112729999999999E-5</v>
          </cell>
          <cell r="E1634">
            <v>0.23136999999999999</v>
          </cell>
          <cell r="F1634">
            <v>2.0357E-2</v>
          </cell>
          <cell r="J1634">
            <v>5.221584018404652</v>
          </cell>
          <cell r="K1634">
            <v>2.4112729999999999E-5</v>
          </cell>
          <cell r="L1634">
            <v>0.23136999999999999</v>
          </cell>
          <cell r="M1634">
            <v>2.0357E-2</v>
          </cell>
          <cell r="N1634">
            <v>7.0837788042224261</v>
          </cell>
          <cell r="O1634">
            <v>8.048392861693662</v>
          </cell>
          <cell r="P1634">
            <v>2.4100530000000001E-3</v>
          </cell>
        </row>
        <row r="1635">
          <cell r="B1635">
            <v>33064</v>
          </cell>
          <cell r="C1635">
            <v>18.498000000000001</v>
          </cell>
          <cell r="D1635">
            <v>2.3927269999999998E-5</v>
          </cell>
          <cell r="E1635">
            <v>0.23671</v>
          </cell>
          <cell r="F1635">
            <v>2.137E-2</v>
          </cell>
          <cell r="J1635">
            <v>5.2537803054621346</v>
          </cell>
          <cell r="K1635">
            <v>2.3927269999999998E-5</v>
          </cell>
          <cell r="L1635">
            <v>0.23671</v>
          </cell>
          <cell r="M1635">
            <v>2.137E-2</v>
          </cell>
          <cell r="N1635">
            <v>7.0837788042224261</v>
          </cell>
          <cell r="O1635">
            <v>8.048392861693662</v>
          </cell>
          <cell r="P1635">
            <v>2.4100530000000001E-3</v>
          </cell>
        </row>
        <row r="1636">
          <cell r="B1636">
            <v>33065</v>
          </cell>
          <cell r="C1636">
            <v>19.638000000000002</v>
          </cell>
          <cell r="D1636">
            <v>2.3836360000000002E-5</v>
          </cell>
          <cell r="E1636">
            <v>0.24934000000000001</v>
          </cell>
          <cell r="F1636">
            <v>2.2241E-2</v>
          </cell>
          <cell r="J1636">
            <v>5.2881715513416898</v>
          </cell>
          <cell r="K1636">
            <v>2.3836360000000002E-5</v>
          </cell>
          <cell r="L1636">
            <v>0.24934000000000001</v>
          </cell>
          <cell r="M1636">
            <v>2.2241E-2</v>
          </cell>
          <cell r="N1636">
            <v>7.0837788042224261</v>
          </cell>
          <cell r="O1636">
            <v>8.048392861693662</v>
          </cell>
          <cell r="P1636">
            <v>2.4100530000000001E-3</v>
          </cell>
        </row>
        <row r="1637">
          <cell r="B1637">
            <v>33066</v>
          </cell>
          <cell r="C1637">
            <v>18.167999999999999</v>
          </cell>
          <cell r="D1637">
            <v>2.3927269999999998E-5</v>
          </cell>
          <cell r="E1637">
            <v>0.25774000000000002</v>
          </cell>
          <cell r="F1637">
            <v>2.3363999999999999E-2</v>
          </cell>
          <cell r="J1637">
            <v>5.3201967182566152</v>
          </cell>
          <cell r="K1637">
            <v>2.3927269999999998E-5</v>
          </cell>
          <cell r="L1637">
            <v>0.25774000000000002</v>
          </cell>
          <cell r="M1637">
            <v>2.3363999999999999E-2</v>
          </cell>
          <cell r="N1637">
            <v>7.0837788042224261</v>
          </cell>
          <cell r="O1637">
            <v>8.048392861693662</v>
          </cell>
          <cell r="P1637">
            <v>2.4100530000000001E-3</v>
          </cell>
        </row>
        <row r="1638">
          <cell r="B1638">
            <v>33067</v>
          </cell>
          <cell r="C1638">
            <v>20.148</v>
          </cell>
          <cell r="D1638">
            <v>2.4181820000000001E-5</v>
          </cell>
          <cell r="E1638">
            <v>0.25814999999999999</v>
          </cell>
          <cell r="F1638">
            <v>2.2907E-2</v>
          </cell>
          <cell r="J1638">
            <v>5.3559271594164262</v>
          </cell>
          <cell r="K1638">
            <v>2.4181820000000001E-5</v>
          </cell>
          <cell r="L1638">
            <v>0.25814999999999999</v>
          </cell>
          <cell r="M1638">
            <v>2.2907E-2</v>
          </cell>
          <cell r="N1638">
            <v>7.0837788042224261</v>
          </cell>
          <cell r="O1638">
            <v>8.048392861693662</v>
          </cell>
          <cell r="P1638">
            <v>2.4100530000000001E-3</v>
          </cell>
        </row>
        <row r="1639">
          <cell r="B1639">
            <v>33070</v>
          </cell>
          <cell r="C1639">
            <v>19.698</v>
          </cell>
          <cell r="D1639">
            <v>2.421818E-5</v>
          </cell>
          <cell r="E1639">
            <v>0.25758999999999999</v>
          </cell>
          <cell r="F1639">
            <v>2.3734999999999999E-2</v>
          </cell>
          <cell r="J1639">
            <v>5.3910941771451544</v>
          </cell>
          <cell r="K1639">
            <v>2.421818E-5</v>
          </cell>
          <cell r="L1639">
            <v>0.25758999999999999</v>
          </cell>
          <cell r="M1639">
            <v>2.3734999999999999E-2</v>
          </cell>
          <cell r="N1639">
            <v>7.0837788042224261</v>
          </cell>
          <cell r="O1639">
            <v>8.048392861693662</v>
          </cell>
          <cell r="P1639">
            <v>2.4100530000000001E-3</v>
          </cell>
        </row>
        <row r="1640">
          <cell r="B1640">
            <v>33071</v>
          </cell>
          <cell r="C1640">
            <v>19.248000000000001</v>
          </cell>
          <cell r="D1640">
            <v>2.421818E-5</v>
          </cell>
          <cell r="E1640">
            <v>0.26432</v>
          </cell>
          <cell r="F1640">
            <v>2.4523E-2</v>
          </cell>
          <cell r="J1640">
            <v>5.4256834373857172</v>
          </cell>
          <cell r="K1640">
            <v>2.421818E-5</v>
          </cell>
          <cell r="L1640">
            <v>0.26432</v>
          </cell>
          <cell r="M1640">
            <v>2.4523E-2</v>
          </cell>
          <cell r="N1640">
            <v>7.0837788042224261</v>
          </cell>
          <cell r="O1640">
            <v>8.048392861693662</v>
          </cell>
          <cell r="P1640">
            <v>2.4100530000000001E-3</v>
          </cell>
        </row>
        <row r="1641">
          <cell r="B1641">
            <v>33072</v>
          </cell>
          <cell r="C1641">
            <v>19.218</v>
          </cell>
          <cell r="D1641">
            <v>2.44E-5</v>
          </cell>
          <cell r="E1641">
            <v>0.27289000000000002</v>
          </cell>
          <cell r="F1641">
            <v>2.5347999999999999E-2</v>
          </cell>
          <cell r="J1641">
            <v>5.46044036548561</v>
          </cell>
          <cell r="K1641">
            <v>2.44E-5</v>
          </cell>
          <cell r="L1641">
            <v>0.27289000000000002</v>
          </cell>
          <cell r="M1641">
            <v>2.5347999999999999E-2</v>
          </cell>
          <cell r="N1641">
            <v>7.0837788042224261</v>
          </cell>
          <cell r="O1641">
            <v>8.048392861693662</v>
          </cell>
          <cell r="P1641">
            <v>2.4100530000000001E-3</v>
          </cell>
        </row>
        <row r="1642">
          <cell r="B1642">
            <v>33073</v>
          </cell>
          <cell r="C1642">
            <v>18.039000000000001</v>
          </cell>
          <cell r="D1642">
            <v>2.4563639999999999E-5</v>
          </cell>
          <cell r="E1642">
            <v>0.27661000000000002</v>
          </cell>
          <cell r="F1642">
            <v>2.6016999999999998E-2</v>
          </cell>
          <cell r="J1642">
            <v>5.4932739934032755</v>
          </cell>
          <cell r="K1642">
            <v>2.4563639999999999E-5</v>
          </cell>
          <cell r="L1642">
            <v>0.27661000000000002</v>
          </cell>
          <cell r="M1642">
            <v>2.6016999999999998E-2</v>
          </cell>
          <cell r="N1642">
            <v>7.0837788042224261</v>
          </cell>
          <cell r="O1642">
            <v>8.048392861693662</v>
          </cell>
          <cell r="P1642">
            <v>2.4100530000000001E-3</v>
          </cell>
        </row>
        <row r="1643">
          <cell r="B1643">
            <v>33074</v>
          </cell>
          <cell r="C1643">
            <v>18.420000000000002</v>
          </cell>
          <cell r="D1643">
            <v>2.4745459999999999E-5</v>
          </cell>
          <cell r="E1643">
            <v>0.28391</v>
          </cell>
          <cell r="F1643">
            <v>2.7358E-2</v>
          </cell>
          <cell r="J1643">
            <v>5.5270026957227714</v>
          </cell>
          <cell r="K1643">
            <v>2.4745459999999999E-5</v>
          </cell>
          <cell r="L1643">
            <v>0.28391</v>
          </cell>
          <cell r="M1643">
            <v>2.7358E-2</v>
          </cell>
          <cell r="N1643">
            <v>7.0837788042224261</v>
          </cell>
          <cell r="O1643">
            <v>8.048392861693662</v>
          </cell>
          <cell r="P1643">
            <v>2.4100530000000001E-3</v>
          </cell>
        </row>
        <row r="1644">
          <cell r="B1644">
            <v>33077</v>
          </cell>
          <cell r="C1644">
            <v>18.3</v>
          </cell>
          <cell r="D1644">
            <v>2.4745459999999999E-5</v>
          </cell>
          <cell r="E1644">
            <v>0.28384999999999999</v>
          </cell>
          <cell r="F1644">
            <v>2.6797000000000001E-2</v>
          </cell>
          <cell r="J1644">
            <v>5.5607174121666798</v>
          </cell>
          <cell r="K1644">
            <v>2.4745459999999999E-5</v>
          </cell>
          <cell r="L1644">
            <v>0.28384999999999999</v>
          </cell>
          <cell r="M1644">
            <v>2.6797000000000001E-2</v>
          </cell>
          <cell r="N1644">
            <v>7.0837788042224261</v>
          </cell>
          <cell r="O1644">
            <v>8.048392861693662</v>
          </cell>
          <cell r="P1644">
            <v>2.4100530000000001E-3</v>
          </cell>
        </row>
        <row r="1645">
          <cell r="B1645">
            <v>33078</v>
          </cell>
          <cell r="C1645">
            <v>17.238</v>
          </cell>
          <cell r="D1645">
            <v>2.4781819999999998E-5</v>
          </cell>
          <cell r="E1645">
            <v>0.28431000000000001</v>
          </cell>
          <cell r="F1645">
            <v>2.8021999999999998E-2</v>
          </cell>
          <cell r="J1645">
            <v>5.5926692944169893</v>
          </cell>
          <cell r="K1645">
            <v>2.4781819999999998E-5</v>
          </cell>
          <cell r="L1645">
            <v>0.28431000000000001</v>
          </cell>
          <cell r="M1645">
            <v>2.8021999999999998E-2</v>
          </cell>
          <cell r="N1645">
            <v>7.0837788042224261</v>
          </cell>
          <cell r="O1645">
            <v>8.048392861693662</v>
          </cell>
          <cell r="P1645">
            <v>2.4100530000000001E-3</v>
          </cell>
        </row>
        <row r="1646">
          <cell r="B1646">
            <v>33079</v>
          </cell>
          <cell r="C1646">
            <v>16.847999999999999</v>
          </cell>
          <cell r="D1646">
            <v>2.48E-5</v>
          </cell>
          <cell r="E1646">
            <v>0.28483999999999998</v>
          </cell>
          <cell r="F1646">
            <v>2.7862000000000001E-2</v>
          </cell>
          <cell r="J1646">
            <v>5.6240777251744358</v>
          </cell>
          <cell r="K1646">
            <v>2.48E-5</v>
          </cell>
          <cell r="L1646">
            <v>0.28483999999999998</v>
          </cell>
          <cell r="M1646">
            <v>2.7862000000000001E-2</v>
          </cell>
          <cell r="N1646">
            <v>7.0837788042224261</v>
          </cell>
          <cell r="O1646">
            <v>8.048392861693662</v>
          </cell>
          <cell r="P1646">
            <v>2.4100530000000001E-3</v>
          </cell>
        </row>
        <row r="1647">
          <cell r="B1647">
            <v>33080</v>
          </cell>
          <cell r="C1647">
            <v>16.68</v>
          </cell>
          <cell r="D1647">
            <v>2.48E-5</v>
          </cell>
          <cell r="E1647">
            <v>0.28138999999999997</v>
          </cell>
          <cell r="F1647">
            <v>2.7168000000000001E-2</v>
          </cell>
          <cell r="J1647">
            <v>5.655347597326406</v>
          </cell>
          <cell r="K1647">
            <v>2.48E-5</v>
          </cell>
          <cell r="L1647">
            <v>0.28138999999999997</v>
          </cell>
          <cell r="M1647">
            <v>2.7168000000000001E-2</v>
          </cell>
          <cell r="N1647">
            <v>7.0837788042224261</v>
          </cell>
          <cell r="O1647">
            <v>8.048392861693662</v>
          </cell>
          <cell r="P1647">
            <v>2.4100530000000001E-3</v>
          </cell>
        </row>
        <row r="1648">
          <cell r="B1648">
            <v>33081</v>
          </cell>
          <cell r="C1648">
            <v>17.709</v>
          </cell>
          <cell r="D1648">
            <v>2.4836359999999999E-5</v>
          </cell>
          <cell r="E1648">
            <v>0.27892</v>
          </cell>
          <cell r="F1648">
            <v>2.7011E-2</v>
          </cell>
          <cell r="J1648">
            <v>5.6887311141934234</v>
          </cell>
          <cell r="K1648">
            <v>2.4836359999999999E-5</v>
          </cell>
          <cell r="L1648">
            <v>0.27892</v>
          </cell>
          <cell r="M1648">
            <v>2.7011E-2</v>
          </cell>
          <cell r="N1648">
            <v>7.0837788042224261</v>
          </cell>
          <cell r="O1648">
            <v>8.048392861693662</v>
          </cell>
          <cell r="P1648">
            <v>2.4100530000000001E-3</v>
          </cell>
        </row>
        <row r="1649">
          <cell r="B1649">
            <v>33084</v>
          </cell>
          <cell r="C1649">
            <v>16.8</v>
          </cell>
          <cell r="D1649">
            <v>2.498182E-5</v>
          </cell>
          <cell r="E1649">
            <v>0.27906999999999998</v>
          </cell>
          <cell r="F1649">
            <v>2.7157000000000001E-2</v>
          </cell>
          <cell r="J1649">
            <v>5.720588008432907</v>
          </cell>
          <cell r="K1649">
            <v>2.498182E-5</v>
          </cell>
          <cell r="L1649">
            <v>0.27906999999999998</v>
          </cell>
          <cell r="M1649">
            <v>2.7157000000000001E-2</v>
          </cell>
          <cell r="N1649">
            <v>7.0837788042224261</v>
          </cell>
          <cell r="O1649">
            <v>8.048392861693662</v>
          </cell>
          <cell r="P1649">
            <v>2.4100530000000001E-3</v>
          </cell>
        </row>
        <row r="1650">
          <cell r="B1650">
            <v>33085</v>
          </cell>
          <cell r="C1650">
            <v>15.678000000000001</v>
          </cell>
          <cell r="D1650">
            <v>2.512727E-5</v>
          </cell>
          <cell r="E1650">
            <v>0.29035</v>
          </cell>
          <cell r="F1650">
            <v>2.9822000000000001E-2</v>
          </cell>
          <cell r="G1650">
            <v>12.98</v>
          </cell>
          <cell r="H1650">
            <v>12.01</v>
          </cell>
          <cell r="I1650">
            <v>2.6834469999999998E-3</v>
          </cell>
          <cell r="J1650">
            <v>5.7504838013649771</v>
          </cell>
          <cell r="K1650">
            <v>2.512727E-5</v>
          </cell>
          <cell r="L1650">
            <v>0.29035</v>
          </cell>
          <cell r="M1650">
            <v>2.9822000000000001E-2</v>
          </cell>
          <cell r="N1650">
            <v>8.0032532930104967</v>
          </cell>
          <cell r="O1650">
            <v>9.0150048443830713</v>
          </cell>
          <cell r="P1650">
            <v>2.6834469999999998E-3</v>
          </cell>
        </row>
        <row r="1651">
          <cell r="B1651">
            <v>33086</v>
          </cell>
          <cell r="C1651">
            <v>14.837999999999999</v>
          </cell>
          <cell r="D1651">
            <v>2.556364E-5</v>
          </cell>
          <cell r="E1651">
            <v>0.29435</v>
          </cell>
          <cell r="F1651">
            <v>3.0261E-2</v>
          </cell>
          <cell r="J1651">
            <v>5.7789256942465279</v>
          </cell>
          <cell r="K1651">
            <v>2.556364E-5</v>
          </cell>
          <cell r="L1651">
            <v>0.29435</v>
          </cell>
          <cell r="M1651">
            <v>3.0261E-2</v>
          </cell>
          <cell r="N1651">
            <v>8.0032532930104967</v>
          </cell>
          <cell r="O1651">
            <v>9.0150048443830713</v>
          </cell>
          <cell r="P1651">
            <v>2.6834469999999998E-3</v>
          </cell>
        </row>
        <row r="1652">
          <cell r="B1652">
            <v>33087</v>
          </cell>
          <cell r="C1652">
            <v>15.609</v>
          </cell>
          <cell r="D1652">
            <v>2.5872729999999999E-5</v>
          </cell>
          <cell r="E1652">
            <v>0.30853000000000003</v>
          </cell>
          <cell r="F1652">
            <v>3.2087999999999998E-2</v>
          </cell>
          <cell r="J1652">
            <v>5.8089934446336926</v>
          </cell>
          <cell r="K1652">
            <v>2.5872729999999999E-5</v>
          </cell>
          <cell r="L1652">
            <v>0.30853000000000003</v>
          </cell>
          <cell r="M1652">
            <v>3.2087999999999998E-2</v>
          </cell>
          <cell r="N1652">
            <v>8.0032532930104967</v>
          </cell>
          <cell r="O1652">
            <v>9.0150048443830713</v>
          </cell>
          <cell r="P1652">
            <v>2.6834469999999998E-3</v>
          </cell>
        </row>
        <row r="1653">
          <cell r="B1653">
            <v>33088</v>
          </cell>
          <cell r="C1653">
            <v>16.23</v>
          </cell>
          <cell r="D1653">
            <v>2.5872729999999999E-5</v>
          </cell>
          <cell r="E1653">
            <v>0.30424000000000001</v>
          </cell>
          <cell r="F1653">
            <v>3.0315000000000002E-2</v>
          </cell>
          <cell r="J1653">
            <v>5.8404200991691608</v>
          </cell>
          <cell r="K1653">
            <v>2.5872729999999999E-5</v>
          </cell>
          <cell r="L1653">
            <v>0.30424000000000001</v>
          </cell>
          <cell r="M1653">
            <v>3.0315000000000002E-2</v>
          </cell>
          <cell r="N1653">
            <v>8.0032532930104967</v>
          </cell>
          <cell r="O1653">
            <v>9.0150048443830713</v>
          </cell>
          <cell r="P1653">
            <v>2.6834469999999998E-3</v>
          </cell>
        </row>
        <row r="1654">
          <cell r="B1654">
            <v>33091</v>
          </cell>
          <cell r="C1654">
            <v>15.618</v>
          </cell>
          <cell r="D1654">
            <v>2.5945450000000001E-5</v>
          </cell>
          <cell r="E1654">
            <v>0.30042000000000002</v>
          </cell>
          <cell r="F1654">
            <v>2.9926000000000001E-2</v>
          </cell>
          <cell r="J1654">
            <v>5.870825326205436</v>
          </cell>
          <cell r="K1654">
            <v>2.5945450000000001E-5</v>
          </cell>
          <cell r="L1654">
            <v>0.30042000000000002</v>
          </cell>
          <cell r="M1654">
            <v>2.9926000000000001E-2</v>
          </cell>
          <cell r="N1654">
            <v>8.0032532930104967</v>
          </cell>
          <cell r="O1654">
            <v>9.0150048443830713</v>
          </cell>
          <cell r="P1654">
            <v>2.6834469999999998E-3</v>
          </cell>
        </row>
        <row r="1655">
          <cell r="B1655">
            <v>33092</v>
          </cell>
          <cell r="C1655">
            <v>15.69</v>
          </cell>
          <cell r="D1655">
            <v>2.5999999999999998E-5</v>
          </cell>
          <cell r="E1655">
            <v>0.29520000000000002</v>
          </cell>
          <cell r="F1655">
            <v>2.9038999999999999E-2</v>
          </cell>
          <cell r="J1655">
            <v>5.9015297426614906</v>
          </cell>
          <cell r="K1655">
            <v>2.5999999999999998E-5</v>
          </cell>
          <cell r="L1655">
            <v>0.29520000000000002</v>
          </cell>
          <cell r="M1655">
            <v>2.9038999999999999E-2</v>
          </cell>
          <cell r="N1655">
            <v>8.0032532930104967</v>
          </cell>
          <cell r="O1655">
            <v>9.0150048443830713</v>
          </cell>
          <cell r="P1655">
            <v>2.6834469999999998E-3</v>
          </cell>
        </row>
        <row r="1656">
          <cell r="B1656">
            <v>33093</v>
          </cell>
          <cell r="C1656">
            <v>14.79</v>
          </cell>
          <cell r="D1656">
            <v>2.5981820000000001E-5</v>
          </cell>
          <cell r="E1656">
            <v>0.30246000000000001</v>
          </cell>
          <cell r="F1656">
            <v>3.1158000000000002E-2</v>
          </cell>
          <cell r="J1656">
            <v>5.9306242842928123</v>
          </cell>
          <cell r="K1656">
            <v>2.5981820000000001E-5</v>
          </cell>
          <cell r="L1656">
            <v>0.30246000000000001</v>
          </cell>
          <cell r="M1656">
            <v>3.1158000000000002E-2</v>
          </cell>
          <cell r="N1656">
            <v>8.0032532930104967</v>
          </cell>
          <cell r="O1656">
            <v>9.0150048443830713</v>
          </cell>
          <cell r="P1656">
            <v>2.6834469999999998E-3</v>
          </cell>
        </row>
        <row r="1657">
          <cell r="B1657">
            <v>33094</v>
          </cell>
          <cell r="C1657">
            <v>15.84</v>
          </cell>
          <cell r="D1657">
            <v>2.601818E-5</v>
          </cell>
          <cell r="E1657">
            <v>0.29668</v>
          </cell>
          <cell r="F1657">
            <v>2.9356E-2</v>
          </cell>
          <cell r="J1657">
            <v>5.9619379805138779</v>
          </cell>
          <cell r="K1657">
            <v>2.601818E-5</v>
          </cell>
          <cell r="L1657">
            <v>0.29668</v>
          </cell>
          <cell r="M1657">
            <v>2.9356E-2</v>
          </cell>
          <cell r="N1657">
            <v>8.0032532930104967</v>
          </cell>
          <cell r="O1657">
            <v>9.0150048443830713</v>
          </cell>
          <cell r="P1657">
            <v>2.6834469999999998E-3</v>
          </cell>
        </row>
        <row r="1658">
          <cell r="B1658">
            <v>33095</v>
          </cell>
          <cell r="C1658">
            <v>15.939</v>
          </cell>
          <cell r="D1658">
            <v>2.601818E-5</v>
          </cell>
          <cell r="E1658">
            <v>0.29137999999999997</v>
          </cell>
          <cell r="F1658">
            <v>2.8257999999999998E-2</v>
          </cell>
          <cell r="J1658">
            <v>5.993613757004348</v>
          </cell>
          <cell r="K1658">
            <v>2.601818E-5</v>
          </cell>
          <cell r="L1658">
            <v>0.29137999999999997</v>
          </cell>
          <cell r="M1658">
            <v>2.8257999999999998E-2</v>
          </cell>
          <cell r="N1658">
            <v>8.0032532930104967</v>
          </cell>
          <cell r="O1658">
            <v>9.0150048443830713</v>
          </cell>
          <cell r="P1658">
            <v>2.6834469999999998E-3</v>
          </cell>
        </row>
        <row r="1659">
          <cell r="B1659">
            <v>33098</v>
          </cell>
          <cell r="C1659">
            <v>14.769</v>
          </cell>
          <cell r="D1659">
            <v>2.6090909999999999E-5</v>
          </cell>
          <cell r="E1659">
            <v>0.28605000000000003</v>
          </cell>
          <cell r="F1659">
            <v>2.8391E-2</v>
          </cell>
          <cell r="J1659">
            <v>6.02312031753008</v>
          </cell>
          <cell r="K1659">
            <v>2.6090909999999999E-5</v>
          </cell>
          <cell r="L1659">
            <v>0.28605000000000003</v>
          </cell>
          <cell r="M1659">
            <v>2.8391E-2</v>
          </cell>
          <cell r="N1659">
            <v>8.0032532930104967</v>
          </cell>
          <cell r="O1659">
            <v>9.0150048443830713</v>
          </cell>
          <cell r="P1659">
            <v>2.6834469999999998E-3</v>
          </cell>
        </row>
        <row r="1660">
          <cell r="B1660">
            <v>33099</v>
          </cell>
          <cell r="C1660">
            <v>15.939</v>
          </cell>
          <cell r="D1660">
            <v>2.610909E-5</v>
          </cell>
          <cell r="E1660">
            <v>0.29128999999999999</v>
          </cell>
          <cell r="F1660">
            <v>2.9562000000000001E-2</v>
          </cell>
          <cell r="J1660">
            <v>6.0551211557771172</v>
          </cell>
          <cell r="K1660">
            <v>2.610909E-5</v>
          </cell>
          <cell r="L1660">
            <v>0.29128999999999999</v>
          </cell>
          <cell r="M1660">
            <v>2.9562000000000001E-2</v>
          </cell>
          <cell r="N1660">
            <v>8.0032532930104967</v>
          </cell>
          <cell r="O1660">
            <v>9.0150048443830713</v>
          </cell>
          <cell r="P1660">
            <v>2.6834469999999998E-3</v>
          </cell>
        </row>
        <row r="1661">
          <cell r="B1661">
            <v>33100</v>
          </cell>
          <cell r="C1661">
            <v>15.069000000000001</v>
          </cell>
          <cell r="D1661">
            <v>2.6181819999999999E-5</v>
          </cell>
          <cell r="E1661">
            <v>0.29569000000000001</v>
          </cell>
          <cell r="F1661">
            <v>2.9444999999999999E-2</v>
          </cell>
          <cell r="J1661">
            <v>6.0855360293425855</v>
          </cell>
          <cell r="K1661">
            <v>2.6181819999999999E-5</v>
          </cell>
          <cell r="L1661">
            <v>0.29569000000000001</v>
          </cell>
          <cell r="M1661">
            <v>2.9444999999999999E-2</v>
          </cell>
          <cell r="N1661">
            <v>8.0032532930104967</v>
          </cell>
          <cell r="O1661">
            <v>9.0150048443830713</v>
          </cell>
          <cell r="P1661">
            <v>2.6834469999999998E-3</v>
          </cell>
        </row>
        <row r="1662">
          <cell r="B1662">
            <v>33101</v>
          </cell>
          <cell r="C1662">
            <v>15.96</v>
          </cell>
          <cell r="D1662">
            <v>2.629091E-5</v>
          </cell>
          <cell r="E1662">
            <v>0.29293999999999998</v>
          </cell>
          <cell r="F1662">
            <v>2.8905E-2</v>
          </cell>
          <cell r="J1662">
            <v>6.1179110810186881</v>
          </cell>
          <cell r="K1662">
            <v>2.629091E-5</v>
          </cell>
          <cell r="L1662">
            <v>0.29293999999999998</v>
          </cell>
          <cell r="M1662">
            <v>2.8905E-2</v>
          </cell>
          <cell r="N1662">
            <v>8.0032532930104967</v>
          </cell>
          <cell r="O1662">
            <v>9.0150048443830713</v>
          </cell>
          <cell r="P1662">
            <v>2.6834469999999998E-3</v>
          </cell>
        </row>
        <row r="1663">
          <cell r="B1663">
            <v>33102</v>
          </cell>
          <cell r="C1663">
            <v>17.79</v>
          </cell>
          <cell r="D1663">
            <v>2.634545E-5</v>
          </cell>
          <cell r="E1663">
            <v>0.28821999999999998</v>
          </cell>
          <cell r="F1663">
            <v>2.8257999999999998E-2</v>
          </cell>
          <cell r="J1663">
            <v>6.1541902937291288</v>
          </cell>
          <cell r="K1663">
            <v>2.634545E-5</v>
          </cell>
          <cell r="L1663">
            <v>0.28821999999999998</v>
          </cell>
          <cell r="M1663">
            <v>2.8257999999999998E-2</v>
          </cell>
          <cell r="N1663">
            <v>8.0032532930104967</v>
          </cell>
          <cell r="O1663">
            <v>9.0150048443830713</v>
          </cell>
          <cell r="P1663">
            <v>2.6834469999999998E-3</v>
          </cell>
        </row>
        <row r="1664">
          <cell r="B1664">
            <v>33105</v>
          </cell>
          <cell r="C1664">
            <v>17.07</v>
          </cell>
          <cell r="D1664">
            <v>2.6309090000000001E-5</v>
          </cell>
          <cell r="E1664">
            <v>0.28364</v>
          </cell>
          <cell r="F1664">
            <v>2.7054000000000002E-2</v>
          </cell>
          <cell r="J1664">
            <v>6.1892076365004476</v>
          </cell>
          <cell r="K1664">
            <v>2.6309090000000001E-5</v>
          </cell>
          <cell r="L1664">
            <v>0.28364</v>
          </cell>
          <cell r="M1664">
            <v>2.7054000000000002E-2</v>
          </cell>
          <cell r="N1664">
            <v>8.0032532930104967</v>
          </cell>
          <cell r="O1664">
            <v>9.0150048443830713</v>
          </cell>
          <cell r="P1664">
            <v>2.6834469999999998E-3</v>
          </cell>
        </row>
        <row r="1665">
          <cell r="B1665">
            <v>33106</v>
          </cell>
          <cell r="C1665">
            <v>19.338000000000001</v>
          </cell>
          <cell r="D1665">
            <v>2.62E-5</v>
          </cell>
          <cell r="E1665">
            <v>0.27672000000000002</v>
          </cell>
          <cell r="F1665">
            <v>2.6678E-2</v>
          </cell>
          <cell r="J1665">
            <v>6.2291032689253294</v>
          </cell>
          <cell r="K1665">
            <v>2.62E-5</v>
          </cell>
          <cell r="L1665">
            <v>0.27672000000000002</v>
          </cell>
          <cell r="M1665">
            <v>2.6678E-2</v>
          </cell>
          <cell r="N1665">
            <v>8.0032532930104967</v>
          </cell>
          <cell r="O1665">
            <v>9.0150048443830713</v>
          </cell>
          <cell r="P1665">
            <v>2.6834469999999998E-3</v>
          </cell>
        </row>
        <row r="1666">
          <cell r="B1666">
            <v>33107</v>
          </cell>
          <cell r="C1666">
            <v>14.73</v>
          </cell>
          <cell r="D1666">
            <v>2.6181819999999999E-5</v>
          </cell>
          <cell r="E1666">
            <v>0.26667000000000002</v>
          </cell>
          <cell r="F1666">
            <v>2.4615999999999999E-2</v>
          </cell>
          <cell r="J1666">
            <v>6.2596881659757528</v>
          </cell>
          <cell r="K1666">
            <v>2.6181819999999999E-5</v>
          </cell>
          <cell r="L1666">
            <v>0.26667000000000002</v>
          </cell>
          <cell r="M1666">
            <v>2.4615999999999999E-2</v>
          </cell>
          <cell r="N1666">
            <v>8.0032532930104967</v>
          </cell>
          <cell r="O1666">
            <v>9.0150048443830713</v>
          </cell>
          <cell r="P1666">
            <v>2.6834469999999998E-3</v>
          </cell>
        </row>
        <row r="1667">
          <cell r="B1667">
            <v>33108</v>
          </cell>
          <cell r="C1667">
            <v>13.29</v>
          </cell>
          <cell r="D1667">
            <v>2.6218180000000001E-5</v>
          </cell>
          <cell r="E1667">
            <v>0.26583000000000001</v>
          </cell>
          <cell r="F1667">
            <v>2.5297E-2</v>
          </cell>
          <cell r="J1667">
            <v>6.2874185845510251</v>
          </cell>
          <cell r="K1667">
            <v>2.6218180000000001E-5</v>
          </cell>
          <cell r="L1667">
            <v>0.26583000000000001</v>
          </cell>
          <cell r="M1667">
            <v>2.5297E-2</v>
          </cell>
          <cell r="N1667">
            <v>8.0032532930104967</v>
          </cell>
          <cell r="O1667">
            <v>9.0150048443830713</v>
          </cell>
          <cell r="P1667">
            <v>2.6834469999999998E-3</v>
          </cell>
        </row>
        <row r="1668">
          <cell r="B1668">
            <v>33109</v>
          </cell>
          <cell r="C1668">
            <v>12.909000000000001</v>
          </cell>
          <cell r="D1668">
            <v>2.6309090000000001E-5</v>
          </cell>
          <cell r="E1668">
            <v>0.26418999999999998</v>
          </cell>
          <cell r="F1668">
            <v>2.5079000000000001E-2</v>
          </cell>
          <cell r="J1668">
            <v>6.314473346720348</v>
          </cell>
          <cell r="K1668">
            <v>2.6309090000000001E-5</v>
          </cell>
          <cell r="L1668">
            <v>0.26418999999999998</v>
          </cell>
          <cell r="M1668">
            <v>2.5079000000000001E-2</v>
          </cell>
          <cell r="N1668">
            <v>8.0032532930104967</v>
          </cell>
          <cell r="O1668">
            <v>9.0150048443830713</v>
          </cell>
          <cell r="P1668">
            <v>2.6834469999999998E-3</v>
          </cell>
        </row>
        <row r="1669">
          <cell r="B1669">
            <v>33112</v>
          </cell>
          <cell r="C1669">
            <v>15.099</v>
          </cell>
          <cell r="D1669">
            <v>2.6309090000000001E-5</v>
          </cell>
          <cell r="E1669">
            <v>0.27773999999999999</v>
          </cell>
          <cell r="F1669">
            <v>2.7841999999999999E-2</v>
          </cell>
          <cell r="J1669">
            <v>6.3462540910743916</v>
          </cell>
          <cell r="K1669">
            <v>2.6309090000000001E-5</v>
          </cell>
          <cell r="L1669">
            <v>0.27773999999999999</v>
          </cell>
          <cell r="M1669">
            <v>2.7841999999999999E-2</v>
          </cell>
          <cell r="N1669">
            <v>8.0032532930104967</v>
          </cell>
          <cell r="O1669">
            <v>9.0150048443830713</v>
          </cell>
          <cell r="P1669">
            <v>2.6834469999999998E-3</v>
          </cell>
        </row>
        <row r="1670">
          <cell r="B1670">
            <v>33113</v>
          </cell>
          <cell r="C1670">
            <v>12.968999999999999</v>
          </cell>
          <cell r="D1670">
            <v>2.6327269999999999E-5</v>
          </cell>
          <cell r="E1670">
            <v>0.28062999999999999</v>
          </cell>
          <cell r="F1670">
            <v>2.7165999999999999E-2</v>
          </cell>
          <cell r="J1670">
            <v>6.3736889475101064</v>
          </cell>
          <cell r="K1670">
            <v>2.6327269999999999E-5</v>
          </cell>
          <cell r="L1670">
            <v>0.28062999999999999</v>
          </cell>
          <cell r="M1670">
            <v>2.7165999999999999E-2</v>
          </cell>
          <cell r="N1670">
            <v>8.0032532930104967</v>
          </cell>
          <cell r="O1670">
            <v>9.0150048443830713</v>
          </cell>
          <cell r="P1670">
            <v>2.6834469999999998E-3</v>
          </cell>
        </row>
        <row r="1671">
          <cell r="B1671">
            <v>33114</v>
          </cell>
          <cell r="C1671">
            <v>13.218</v>
          </cell>
          <cell r="D1671">
            <v>2.6236359999999999E-5</v>
          </cell>
          <cell r="E1671">
            <v>0.27782000000000001</v>
          </cell>
          <cell r="F1671">
            <v>2.6793999999999998E-2</v>
          </cell>
          <cell r="J1671">
            <v>6.4017714210128354</v>
          </cell>
          <cell r="K1671">
            <v>2.6236359999999999E-5</v>
          </cell>
          <cell r="L1671">
            <v>0.27782000000000001</v>
          </cell>
          <cell r="M1671">
            <v>2.6793999999999998E-2</v>
          </cell>
          <cell r="N1671">
            <v>8.0032532930104967</v>
          </cell>
          <cell r="O1671">
            <v>9.0150048443830713</v>
          </cell>
          <cell r="P1671">
            <v>2.6834469999999998E-3</v>
          </cell>
        </row>
        <row r="1672">
          <cell r="B1672">
            <v>33115</v>
          </cell>
          <cell r="C1672">
            <v>16.209</v>
          </cell>
          <cell r="D1672">
            <v>2.601818E-5</v>
          </cell>
          <cell r="E1672">
            <v>0.27592</v>
          </cell>
          <cell r="F1672">
            <v>2.6068999999999998E-2</v>
          </cell>
          <cell r="J1672">
            <v>6.436360192000568</v>
          </cell>
          <cell r="K1672">
            <v>2.601818E-5</v>
          </cell>
          <cell r="L1672">
            <v>0.27592</v>
          </cell>
          <cell r="M1672">
            <v>2.6068999999999998E-2</v>
          </cell>
          <cell r="N1672">
            <v>8.0032532930104967</v>
          </cell>
          <cell r="O1672">
            <v>9.0150048443830713</v>
          </cell>
          <cell r="P1672">
            <v>2.6834469999999998E-3</v>
          </cell>
        </row>
        <row r="1673">
          <cell r="B1673">
            <v>33116</v>
          </cell>
          <cell r="C1673">
            <v>19.359000000000002</v>
          </cell>
          <cell r="D1673">
            <v>2.601818E-5</v>
          </cell>
          <cell r="E1673">
            <v>0.27076</v>
          </cell>
          <cell r="F1673">
            <v>2.5071E-2</v>
          </cell>
          <cell r="G1673">
            <v>12.93</v>
          </cell>
          <cell r="H1673">
            <v>13.62</v>
          </cell>
          <cell r="I1673">
            <v>2.9821919999999998E-3</v>
          </cell>
          <cell r="J1673">
            <v>6.4778940243195482</v>
          </cell>
          <cell r="K1673">
            <v>2.601818E-5</v>
          </cell>
          <cell r="L1673">
            <v>0.27076</v>
          </cell>
          <cell r="M1673">
            <v>2.5071E-2</v>
          </cell>
          <cell r="N1673">
            <v>9.0380739437967534</v>
          </cell>
          <cell r="O1673">
            <v>10.242848504188046</v>
          </cell>
          <cell r="P1673">
            <v>2.9821919999999998E-3</v>
          </cell>
        </row>
        <row r="1674">
          <cell r="B1674">
            <v>33119</v>
          </cell>
          <cell r="C1674">
            <v>18.45</v>
          </cell>
          <cell r="D1674">
            <v>2.556364E-5</v>
          </cell>
          <cell r="E1674">
            <v>0.25962000000000002</v>
          </cell>
          <cell r="F1674">
            <v>2.2898999999999999E-2</v>
          </cell>
          <cell r="J1674">
            <v>6.5177330725691141</v>
          </cell>
          <cell r="K1674">
            <v>2.556364E-5</v>
          </cell>
          <cell r="L1674">
            <v>0.25962000000000002</v>
          </cell>
          <cell r="M1674">
            <v>2.2898999999999999E-2</v>
          </cell>
          <cell r="N1674">
            <v>9.0380739437967534</v>
          </cell>
          <cell r="O1674">
            <v>10.242848504188046</v>
          </cell>
          <cell r="P1674">
            <v>2.9821919999999998E-3</v>
          </cell>
        </row>
        <row r="1675">
          <cell r="B1675">
            <v>33120</v>
          </cell>
          <cell r="C1675">
            <v>18.588000000000001</v>
          </cell>
          <cell r="D1675">
            <v>2.4636360000000001E-5</v>
          </cell>
          <cell r="E1675">
            <v>0.25907999999999998</v>
          </cell>
          <cell r="F1675">
            <v>2.3304999999999999E-2</v>
          </cell>
          <cell r="J1675">
            <v>6.558116946686753</v>
          </cell>
          <cell r="K1675">
            <v>2.4636360000000001E-5</v>
          </cell>
          <cell r="L1675">
            <v>0.25907999999999998</v>
          </cell>
          <cell r="M1675">
            <v>2.3304999999999999E-2</v>
          </cell>
          <cell r="N1675">
            <v>9.0380739437967534</v>
          </cell>
          <cell r="O1675">
            <v>10.242848504188046</v>
          </cell>
          <cell r="P1675">
            <v>2.9821919999999998E-3</v>
          </cell>
        </row>
        <row r="1676">
          <cell r="B1676">
            <v>33121</v>
          </cell>
          <cell r="C1676">
            <v>18.158999999999999</v>
          </cell>
          <cell r="D1676">
            <v>2.4818180000000001E-5</v>
          </cell>
          <cell r="E1676">
            <v>0.25746999999999998</v>
          </cell>
          <cell r="F1676">
            <v>2.3178000000000001E-2</v>
          </cell>
          <cell r="J1676">
            <v>6.5978132285650481</v>
          </cell>
          <cell r="K1676">
            <v>2.4818180000000001E-5</v>
          </cell>
          <cell r="L1676">
            <v>0.25746999999999998</v>
          </cell>
          <cell r="M1676">
            <v>2.3178000000000001E-2</v>
          </cell>
          <cell r="N1676">
            <v>9.0380739437967534</v>
          </cell>
          <cell r="O1676">
            <v>10.242848504188046</v>
          </cell>
          <cell r="P1676">
            <v>2.9821919999999998E-3</v>
          </cell>
        </row>
        <row r="1677">
          <cell r="B1677">
            <v>33122</v>
          </cell>
          <cell r="C1677">
            <v>20.16</v>
          </cell>
          <cell r="D1677">
            <v>2.4690909999999998E-5</v>
          </cell>
          <cell r="E1677">
            <v>0.24968000000000001</v>
          </cell>
          <cell r="F1677">
            <v>2.2006999999999999E-2</v>
          </cell>
          <cell r="J1677">
            <v>6.642150533461006</v>
          </cell>
          <cell r="K1677">
            <v>2.4690909999999998E-5</v>
          </cell>
          <cell r="L1677">
            <v>0.24968000000000001</v>
          </cell>
          <cell r="M1677">
            <v>2.2006999999999999E-2</v>
          </cell>
          <cell r="N1677">
            <v>9.0380739437967534</v>
          </cell>
          <cell r="O1677">
            <v>10.242848504188046</v>
          </cell>
          <cell r="P1677">
            <v>2.9821919999999998E-3</v>
          </cell>
        </row>
        <row r="1678">
          <cell r="B1678">
            <v>33126</v>
          </cell>
          <cell r="C1678">
            <v>23.559000000000001</v>
          </cell>
          <cell r="D1678">
            <v>2.4618179999999999E-5</v>
          </cell>
          <cell r="E1678">
            <v>0.24853</v>
          </cell>
          <cell r="F1678">
            <v>2.2519999999999998E-2</v>
          </cell>
          <cell r="J1678">
            <v>6.694311341600276</v>
          </cell>
          <cell r="K1678">
            <v>2.4618179999999999E-5</v>
          </cell>
          <cell r="L1678">
            <v>0.24853</v>
          </cell>
          <cell r="M1678">
            <v>2.2519999999999998E-2</v>
          </cell>
          <cell r="N1678">
            <v>9.0380739437967534</v>
          </cell>
          <cell r="O1678">
            <v>10.242848504188046</v>
          </cell>
          <cell r="P1678">
            <v>2.9821919999999998E-3</v>
          </cell>
        </row>
        <row r="1679">
          <cell r="B1679">
            <v>33127</v>
          </cell>
          <cell r="C1679">
            <v>26.379000000000001</v>
          </cell>
          <cell r="D1679">
            <v>2.4600000000000002E-5</v>
          </cell>
          <cell r="E1679">
            <v>0.24331</v>
          </cell>
          <cell r="F1679">
            <v>2.2301000000000001E-2</v>
          </cell>
          <cell r="J1679">
            <v>6.7531744212269675</v>
          </cell>
          <cell r="K1679">
            <v>2.4600000000000002E-5</v>
          </cell>
          <cell r="L1679">
            <v>0.24331</v>
          </cell>
          <cell r="M1679">
            <v>2.2301000000000001E-2</v>
          </cell>
          <cell r="N1679">
            <v>9.0380739437967534</v>
          </cell>
          <cell r="O1679">
            <v>10.242848504188046</v>
          </cell>
          <cell r="P1679">
            <v>2.9821919999999998E-3</v>
          </cell>
        </row>
        <row r="1680">
          <cell r="B1680">
            <v>33128</v>
          </cell>
          <cell r="C1680">
            <v>23.97</v>
          </cell>
          <cell r="D1680">
            <v>2.5672730000000001E-5</v>
          </cell>
          <cell r="E1680">
            <v>0.25657999999999997</v>
          </cell>
          <cell r="F1680">
            <v>2.4764000000000001E-2</v>
          </cell>
          <cell r="J1680">
            <v>6.807132284852571</v>
          </cell>
          <cell r="K1680">
            <v>2.5672730000000001E-5</v>
          </cell>
          <cell r="L1680">
            <v>0.25657999999999997</v>
          </cell>
          <cell r="M1680">
            <v>2.4764000000000001E-2</v>
          </cell>
          <cell r="N1680">
            <v>9.0380739437967534</v>
          </cell>
          <cell r="O1680">
            <v>10.242848504188046</v>
          </cell>
          <cell r="P1680">
            <v>2.9821919999999998E-3</v>
          </cell>
        </row>
        <row r="1681">
          <cell r="B1681">
            <v>33129</v>
          </cell>
          <cell r="C1681">
            <v>24.279</v>
          </cell>
          <cell r="D1681">
            <v>2.7272729999999999E-5</v>
          </cell>
          <cell r="E1681">
            <v>0.26229000000000002</v>
          </cell>
          <cell r="F1681">
            <v>2.5083000000000001E-2</v>
          </cell>
          <cell r="J1681">
            <v>6.8622224064338821</v>
          </cell>
          <cell r="K1681">
            <v>2.7272729999999999E-5</v>
          </cell>
          <cell r="L1681">
            <v>0.26229000000000002</v>
          </cell>
          <cell r="M1681">
            <v>2.5083000000000001E-2</v>
          </cell>
          <cell r="N1681">
            <v>9.0380739437967534</v>
          </cell>
          <cell r="O1681">
            <v>10.242848504188046</v>
          </cell>
          <cell r="P1681">
            <v>2.9821919999999998E-3</v>
          </cell>
        </row>
        <row r="1682">
          <cell r="B1682">
            <v>33130</v>
          </cell>
          <cell r="C1682">
            <v>25.86</v>
          </cell>
          <cell r="D1682">
            <v>2.745455E-5</v>
          </cell>
          <cell r="E1682">
            <v>0.26022000000000001</v>
          </cell>
          <cell r="F1682">
            <v>2.4476999999999999E-2</v>
          </cell>
          <cell r="J1682">
            <v>6.9213747635773428</v>
          </cell>
          <cell r="K1682">
            <v>2.745455E-5</v>
          </cell>
          <cell r="L1682">
            <v>0.26022000000000001</v>
          </cell>
          <cell r="M1682">
            <v>2.4476999999999999E-2</v>
          </cell>
          <cell r="N1682">
            <v>9.0380739437967534</v>
          </cell>
          <cell r="O1682">
            <v>10.242848504188046</v>
          </cell>
          <cell r="P1682">
            <v>2.9821919999999998E-3</v>
          </cell>
        </row>
        <row r="1683">
          <cell r="B1683">
            <v>33133</v>
          </cell>
          <cell r="C1683">
            <v>33.798000000000002</v>
          </cell>
          <cell r="D1683">
            <v>2.7309089999999998E-5</v>
          </cell>
          <cell r="E1683">
            <v>0.25366</v>
          </cell>
          <cell r="F1683">
            <v>2.3331000000000001E-2</v>
          </cell>
          <cell r="J1683">
            <v>6.9993509716638052</v>
          </cell>
          <cell r="K1683">
            <v>2.7309089999999998E-5</v>
          </cell>
          <cell r="L1683">
            <v>0.25366</v>
          </cell>
          <cell r="M1683">
            <v>2.3331000000000001E-2</v>
          </cell>
          <cell r="N1683">
            <v>9.0380739437967534</v>
          </cell>
          <cell r="O1683">
            <v>10.242848504188046</v>
          </cell>
          <cell r="P1683">
            <v>2.9821919999999998E-3</v>
          </cell>
        </row>
        <row r="1684">
          <cell r="B1684">
            <v>33134</v>
          </cell>
          <cell r="C1684">
            <v>29.439</v>
          </cell>
          <cell r="D1684">
            <v>2.8E-5</v>
          </cell>
          <cell r="E1684">
            <v>0.25702999999999998</v>
          </cell>
          <cell r="F1684">
            <v>2.3873999999999999E-2</v>
          </cell>
          <cell r="J1684">
            <v>7.0680356027487425</v>
          </cell>
          <cell r="K1684">
            <v>2.8E-5</v>
          </cell>
          <cell r="L1684">
            <v>0.25702999999999998</v>
          </cell>
          <cell r="M1684">
            <v>2.3873999999999999E-2</v>
          </cell>
          <cell r="N1684">
            <v>9.0380739437967534</v>
          </cell>
          <cell r="O1684">
            <v>10.242848504188046</v>
          </cell>
          <cell r="P1684">
            <v>2.9821919999999998E-3</v>
          </cell>
        </row>
        <row r="1685">
          <cell r="B1685">
            <v>33135</v>
          </cell>
          <cell r="C1685">
            <v>28.869</v>
          </cell>
          <cell r="D1685">
            <v>2.854545E-5</v>
          </cell>
          <cell r="E1685">
            <v>0.26062999999999997</v>
          </cell>
          <cell r="F1685">
            <v>2.3879999999999998E-2</v>
          </cell>
          <cell r="J1685">
            <v>7.1360513093539932</v>
          </cell>
          <cell r="K1685">
            <v>2.854545E-5</v>
          </cell>
          <cell r="L1685">
            <v>0.26062999999999997</v>
          </cell>
          <cell r="M1685">
            <v>2.3879999999999998E-2</v>
          </cell>
          <cell r="N1685">
            <v>9.0380739437967534</v>
          </cell>
          <cell r="O1685">
            <v>10.242848504188046</v>
          </cell>
          <cell r="P1685">
            <v>2.9821919999999998E-3</v>
          </cell>
        </row>
        <row r="1686">
          <cell r="B1686">
            <v>33136</v>
          </cell>
          <cell r="C1686">
            <v>27.248999999999999</v>
          </cell>
          <cell r="D1686">
            <v>2.949091E-5</v>
          </cell>
          <cell r="E1686">
            <v>0.27483999999999997</v>
          </cell>
          <cell r="F1686">
            <v>2.5166999999999998E-2</v>
          </cell>
          <cell r="J1686">
            <v>7.2008680633968556</v>
          </cell>
          <cell r="K1686">
            <v>2.949091E-5</v>
          </cell>
          <cell r="L1686">
            <v>0.27483999999999997</v>
          </cell>
          <cell r="M1686">
            <v>2.5166999999999998E-2</v>
          </cell>
          <cell r="N1686">
            <v>9.0380739437967534</v>
          </cell>
          <cell r="O1686">
            <v>10.242848504188046</v>
          </cell>
          <cell r="P1686">
            <v>2.9821919999999998E-3</v>
          </cell>
        </row>
        <row r="1687">
          <cell r="B1687">
            <v>33137</v>
          </cell>
          <cell r="C1687">
            <v>30.228000000000002</v>
          </cell>
          <cell r="D1687">
            <v>2.9890909999999999E-5</v>
          </cell>
          <cell r="E1687">
            <v>0.27790999999999999</v>
          </cell>
          <cell r="F1687">
            <v>2.5132000000000002E-2</v>
          </cell>
          <cell r="J1687">
            <v>7.2734240100036418</v>
          </cell>
          <cell r="K1687">
            <v>2.9890909999999999E-5</v>
          </cell>
          <cell r="L1687">
            <v>0.27790999999999999</v>
          </cell>
          <cell r="M1687">
            <v>2.5132000000000002E-2</v>
          </cell>
          <cell r="N1687">
            <v>9.0380739437967534</v>
          </cell>
          <cell r="O1687">
            <v>10.242848504188046</v>
          </cell>
          <cell r="P1687">
            <v>2.9821919999999998E-3</v>
          </cell>
        </row>
        <row r="1688">
          <cell r="B1688">
            <v>33140</v>
          </cell>
          <cell r="C1688">
            <v>26.88</v>
          </cell>
          <cell r="D1688">
            <v>2.9963640000000002E-5</v>
          </cell>
          <cell r="E1688">
            <v>0.27457999999999999</v>
          </cell>
          <cell r="F1688">
            <v>2.4131E-2</v>
          </cell>
          <cell r="J1688">
            <v>7.3385938891332749</v>
          </cell>
          <cell r="K1688">
            <v>2.9963640000000002E-5</v>
          </cell>
          <cell r="L1688">
            <v>0.27457999999999999</v>
          </cell>
          <cell r="M1688">
            <v>2.4131E-2</v>
          </cell>
          <cell r="N1688">
            <v>9.0380739437967534</v>
          </cell>
          <cell r="O1688">
            <v>10.242848504188046</v>
          </cell>
          <cell r="P1688">
            <v>2.9821919999999998E-3</v>
          </cell>
        </row>
        <row r="1689">
          <cell r="B1689">
            <v>33141</v>
          </cell>
          <cell r="C1689">
            <v>24.437999999999999</v>
          </cell>
          <cell r="D1689">
            <v>3.0018179999999999E-5</v>
          </cell>
          <cell r="E1689">
            <v>0.27438000000000001</v>
          </cell>
          <cell r="F1689">
            <v>2.4140999999999999E-2</v>
          </cell>
          <cell r="J1689">
            <v>7.3983740749541544</v>
          </cell>
          <cell r="K1689">
            <v>3.0018179999999999E-5</v>
          </cell>
          <cell r="L1689">
            <v>0.27438000000000001</v>
          </cell>
          <cell r="M1689">
            <v>2.4140999999999999E-2</v>
          </cell>
          <cell r="N1689">
            <v>9.0380739437967534</v>
          </cell>
          <cell r="O1689">
            <v>10.242848504188046</v>
          </cell>
          <cell r="P1689">
            <v>2.9821919999999998E-3</v>
          </cell>
        </row>
        <row r="1690">
          <cell r="B1690">
            <v>33142</v>
          </cell>
          <cell r="C1690">
            <v>27.018000000000001</v>
          </cell>
          <cell r="D1690">
            <v>3.007273E-5</v>
          </cell>
          <cell r="E1690">
            <v>0.26843</v>
          </cell>
          <cell r="F1690">
            <v>2.282E-2</v>
          </cell>
          <cell r="J1690">
            <v>7.4650038318731919</v>
          </cell>
          <cell r="K1690">
            <v>3.007273E-5</v>
          </cell>
          <cell r="L1690">
            <v>0.26843</v>
          </cell>
          <cell r="M1690">
            <v>2.282E-2</v>
          </cell>
          <cell r="N1690">
            <v>9.0380739437967534</v>
          </cell>
          <cell r="O1690">
            <v>10.242848504188046</v>
          </cell>
          <cell r="P1690">
            <v>2.9821919999999998E-3</v>
          </cell>
        </row>
        <row r="1691">
          <cell r="B1691">
            <v>33143</v>
          </cell>
          <cell r="C1691">
            <v>27.579000000000001</v>
          </cell>
          <cell r="D1691">
            <v>3.0618180000000003E-5</v>
          </cell>
          <cell r="E1691">
            <v>0.26518000000000003</v>
          </cell>
          <cell r="F1691">
            <v>2.2332000000000001E-2</v>
          </cell>
          <cell r="J1691">
            <v>7.5336296120996025</v>
          </cell>
          <cell r="K1691">
            <v>3.0618180000000003E-5</v>
          </cell>
          <cell r="L1691">
            <v>0.26518000000000003</v>
          </cell>
          <cell r="M1691">
            <v>2.2332000000000001E-2</v>
          </cell>
          <cell r="N1691">
            <v>9.0380739437967534</v>
          </cell>
          <cell r="O1691">
            <v>10.242848504188046</v>
          </cell>
          <cell r="P1691">
            <v>2.9821919999999998E-3</v>
          </cell>
        </row>
        <row r="1692">
          <cell r="B1692">
            <v>33144</v>
          </cell>
          <cell r="C1692">
            <v>30.998999999999999</v>
          </cell>
          <cell r="D1692">
            <v>3.0618180000000003E-5</v>
          </cell>
          <cell r="E1692">
            <v>0.27028000000000002</v>
          </cell>
          <cell r="F1692">
            <v>2.3099000000000001E-2</v>
          </cell>
          <cell r="G1692">
            <v>11.72</v>
          </cell>
          <cell r="H1692">
            <v>12.8</v>
          </cell>
          <cell r="I1692">
            <v>3.38223E-3</v>
          </cell>
          <cell r="J1692">
            <v>7.6114746068814272</v>
          </cell>
          <cell r="K1692">
            <v>3.0618180000000003E-5</v>
          </cell>
          <cell r="L1692">
            <v>0.27028000000000002</v>
          </cell>
          <cell r="M1692">
            <v>2.3099000000000001E-2</v>
          </cell>
          <cell r="N1692">
            <v>10.097336210009733</v>
          </cell>
          <cell r="O1692">
            <v>11.553933112724117</v>
          </cell>
          <cell r="P1692">
            <v>3.38223E-3</v>
          </cell>
        </row>
        <row r="1693">
          <cell r="B1693">
            <v>33147</v>
          </cell>
          <cell r="C1693">
            <v>25.83</v>
          </cell>
          <cell r="D1693">
            <v>3.0818180000000001E-5</v>
          </cell>
          <cell r="E1693">
            <v>0.26987</v>
          </cell>
          <cell r="F1693">
            <v>2.3650000000000001E-2</v>
          </cell>
          <cell r="J1693">
            <v>7.677009403246676</v>
          </cell>
          <cell r="K1693">
            <v>3.0818180000000001E-5</v>
          </cell>
          <cell r="L1693">
            <v>0.26987</v>
          </cell>
          <cell r="M1693">
            <v>2.3650000000000001E-2</v>
          </cell>
          <cell r="N1693">
            <v>10.097336210009733</v>
          </cell>
          <cell r="O1693">
            <v>11.553933112724117</v>
          </cell>
          <cell r="P1693">
            <v>3.38223E-3</v>
          </cell>
        </row>
        <row r="1694">
          <cell r="B1694">
            <v>33148</v>
          </cell>
          <cell r="C1694">
            <v>29.58</v>
          </cell>
          <cell r="D1694">
            <v>3.0854539999999997E-5</v>
          </cell>
          <cell r="E1694">
            <v>0.26846999999999999</v>
          </cell>
          <cell r="F1694">
            <v>2.3025E-2</v>
          </cell>
          <cell r="J1694">
            <v>7.7527047159626878</v>
          </cell>
          <cell r="K1694">
            <v>3.0854539999999997E-5</v>
          </cell>
          <cell r="L1694">
            <v>0.26846999999999999</v>
          </cell>
          <cell r="M1694">
            <v>2.3025E-2</v>
          </cell>
          <cell r="N1694">
            <v>10.097336210009733</v>
          </cell>
          <cell r="O1694">
            <v>11.553933112724117</v>
          </cell>
          <cell r="P1694">
            <v>3.38223E-3</v>
          </cell>
        </row>
        <row r="1695">
          <cell r="B1695">
            <v>33150</v>
          </cell>
          <cell r="C1695">
            <v>26.04</v>
          </cell>
          <cell r="D1695">
            <v>3.094545E-5</v>
          </cell>
          <cell r="E1695">
            <v>0.26726</v>
          </cell>
          <cell r="F1695">
            <v>2.3182999999999999E-2</v>
          </cell>
          <cell r="J1695">
            <v>7.819998192897244</v>
          </cell>
          <cell r="K1695">
            <v>3.094545E-5</v>
          </cell>
          <cell r="L1695">
            <v>0.26726</v>
          </cell>
          <cell r="M1695">
            <v>2.3182999999999999E-2</v>
          </cell>
          <cell r="N1695">
            <v>10.097336210009733</v>
          </cell>
          <cell r="O1695">
            <v>11.553933112724117</v>
          </cell>
          <cell r="P1695">
            <v>3.38223E-3</v>
          </cell>
        </row>
        <row r="1696">
          <cell r="B1696">
            <v>33151</v>
          </cell>
          <cell r="C1696">
            <v>30.827999999999999</v>
          </cell>
          <cell r="D1696">
            <v>3.1999999999999999E-5</v>
          </cell>
          <cell r="E1696">
            <v>0.26407999999999998</v>
          </cell>
          <cell r="F1696">
            <v>2.2561999999999999E-2</v>
          </cell>
          <cell r="J1696">
            <v>7.9003564943274558</v>
          </cell>
          <cell r="K1696">
            <v>3.1999999999999999E-5</v>
          </cell>
          <cell r="L1696">
            <v>0.26407999999999998</v>
          </cell>
          <cell r="M1696">
            <v>2.2561999999999999E-2</v>
          </cell>
          <cell r="N1696">
            <v>10.097336210009733</v>
          </cell>
          <cell r="O1696">
            <v>11.553933112724117</v>
          </cell>
          <cell r="P1696">
            <v>3.38223E-3</v>
          </cell>
        </row>
        <row r="1697">
          <cell r="B1697">
            <v>33155</v>
          </cell>
          <cell r="C1697">
            <v>31.209</v>
          </cell>
          <cell r="D1697">
            <v>3.2654550000000001E-5</v>
          </cell>
          <cell r="E1697">
            <v>0.25591999999999998</v>
          </cell>
          <cell r="F1697">
            <v>2.1288999999999999E-2</v>
          </cell>
          <cell r="J1697">
            <v>7.9825439029379437</v>
          </cell>
          <cell r="K1697">
            <v>3.2654550000000001E-5</v>
          </cell>
          <cell r="L1697">
            <v>0.25591999999999998</v>
          </cell>
          <cell r="M1697">
            <v>2.1288999999999999E-2</v>
          </cell>
          <cell r="N1697">
            <v>10.097336210009733</v>
          </cell>
          <cell r="O1697">
            <v>11.553933112724117</v>
          </cell>
          <cell r="P1697">
            <v>3.38223E-3</v>
          </cell>
        </row>
        <row r="1698">
          <cell r="B1698">
            <v>33156</v>
          </cell>
          <cell r="C1698">
            <v>31.029</v>
          </cell>
          <cell r="D1698">
            <v>3.2909089999999999E-5</v>
          </cell>
          <cell r="E1698">
            <v>0.25202000000000002</v>
          </cell>
          <cell r="F1698">
            <v>2.0666E-2</v>
          </cell>
          <cell r="J1698">
            <v>8.065107354526031</v>
          </cell>
          <cell r="K1698">
            <v>3.2909089999999999E-5</v>
          </cell>
          <cell r="L1698">
            <v>0.25202000000000002</v>
          </cell>
          <cell r="M1698">
            <v>2.0666E-2</v>
          </cell>
          <cell r="N1698">
            <v>10.097336210009733</v>
          </cell>
          <cell r="O1698">
            <v>11.553933112724117</v>
          </cell>
          <cell r="P1698">
            <v>3.38223E-3</v>
          </cell>
        </row>
        <row r="1699">
          <cell r="B1699">
            <v>33157</v>
          </cell>
          <cell r="C1699">
            <v>26.058</v>
          </cell>
          <cell r="D1699">
            <v>3.3072730000000001E-5</v>
          </cell>
          <cell r="E1699">
            <v>0.25442999999999999</v>
          </cell>
          <cell r="F1699">
            <v>2.1145000000000001E-2</v>
          </cell>
          <cell r="J1699">
            <v>8.1351608770074435</v>
          </cell>
          <cell r="K1699">
            <v>3.3072730000000001E-5</v>
          </cell>
          <cell r="L1699">
            <v>0.25442999999999999</v>
          </cell>
          <cell r="M1699">
            <v>2.1145000000000001E-2</v>
          </cell>
          <cell r="N1699">
            <v>10.097336210009733</v>
          </cell>
          <cell r="O1699">
            <v>11.553933112724117</v>
          </cell>
          <cell r="P1699">
            <v>3.38223E-3</v>
          </cell>
        </row>
        <row r="1700">
          <cell r="B1700">
            <v>33158</v>
          </cell>
          <cell r="C1700">
            <v>27.279</v>
          </cell>
          <cell r="D1700">
            <v>3.3200000000000001E-5</v>
          </cell>
          <cell r="E1700">
            <v>0.25035000000000002</v>
          </cell>
          <cell r="F1700">
            <v>2.0582E-2</v>
          </cell>
          <cell r="J1700">
            <v>8.209133894862072</v>
          </cell>
          <cell r="K1700">
            <v>3.3200000000000001E-5</v>
          </cell>
          <cell r="L1700">
            <v>0.25035000000000002</v>
          </cell>
          <cell r="M1700">
            <v>2.0582E-2</v>
          </cell>
          <cell r="N1700">
            <v>10.097336210009733</v>
          </cell>
          <cell r="O1700">
            <v>11.553933112724117</v>
          </cell>
          <cell r="P1700">
            <v>3.38223E-3</v>
          </cell>
        </row>
        <row r="1701">
          <cell r="B1701">
            <v>33161</v>
          </cell>
          <cell r="C1701">
            <v>30.84</v>
          </cell>
          <cell r="D1701">
            <v>3.3599999999999997E-5</v>
          </cell>
          <cell r="E1701">
            <v>0.24964</v>
          </cell>
          <cell r="F1701">
            <v>2.0604000000000001E-2</v>
          </cell>
          <cell r="J1701">
            <v>8.2935237913012543</v>
          </cell>
          <cell r="K1701">
            <v>3.3599999999999997E-5</v>
          </cell>
          <cell r="L1701">
            <v>0.24964</v>
          </cell>
          <cell r="M1701">
            <v>2.0604000000000001E-2</v>
          </cell>
          <cell r="N1701">
            <v>10.097336210009733</v>
          </cell>
          <cell r="O1701">
            <v>11.553933112724117</v>
          </cell>
          <cell r="P1701">
            <v>3.38223E-3</v>
          </cell>
        </row>
        <row r="1702">
          <cell r="B1702">
            <v>33162</v>
          </cell>
          <cell r="C1702">
            <v>33.137999999999998</v>
          </cell>
          <cell r="D1702">
            <v>3.4E-5</v>
          </cell>
          <cell r="E1702">
            <v>0.25452000000000002</v>
          </cell>
          <cell r="F1702">
            <v>2.0967E-2</v>
          </cell>
          <cell r="J1702">
            <v>8.3851340550999662</v>
          </cell>
          <cell r="K1702">
            <v>3.4E-5</v>
          </cell>
          <cell r="L1702">
            <v>0.25452000000000002</v>
          </cell>
          <cell r="M1702">
            <v>2.0967E-2</v>
          </cell>
          <cell r="N1702">
            <v>10.097336210009733</v>
          </cell>
          <cell r="O1702">
            <v>11.553933112724117</v>
          </cell>
          <cell r="P1702">
            <v>3.38223E-3</v>
          </cell>
        </row>
        <row r="1703">
          <cell r="B1703">
            <v>33163</v>
          </cell>
          <cell r="C1703">
            <v>32.898000000000003</v>
          </cell>
          <cell r="D1703">
            <v>3.4254539999999998E-5</v>
          </cell>
          <cell r="E1703">
            <v>0.25352999999999998</v>
          </cell>
          <cell r="F1703">
            <v>2.0514999999999999E-2</v>
          </cell>
          <cell r="J1703">
            <v>8.4770854351481919</v>
          </cell>
          <cell r="K1703">
            <v>3.4254539999999998E-5</v>
          </cell>
          <cell r="L1703">
            <v>0.25352999999999998</v>
          </cell>
          <cell r="M1703">
            <v>2.0514999999999999E-2</v>
          </cell>
          <cell r="N1703">
            <v>10.097336210009733</v>
          </cell>
          <cell r="O1703">
            <v>11.553933112724117</v>
          </cell>
          <cell r="P1703">
            <v>3.38223E-3</v>
          </cell>
        </row>
        <row r="1704">
          <cell r="B1704">
            <v>33164</v>
          </cell>
          <cell r="C1704">
            <v>30.57</v>
          </cell>
          <cell r="D1704">
            <v>3.563636E-5</v>
          </cell>
          <cell r="E1704">
            <v>0.24934000000000001</v>
          </cell>
          <cell r="F1704">
            <v>1.9643000000000001E-2</v>
          </cell>
          <cell r="J1704">
            <v>8.5634669357323521</v>
          </cell>
          <cell r="K1704">
            <v>3.563636E-5</v>
          </cell>
          <cell r="L1704">
            <v>0.24934000000000001</v>
          </cell>
          <cell r="M1704">
            <v>1.9643000000000001E-2</v>
          </cell>
          <cell r="N1704">
            <v>10.097336210009733</v>
          </cell>
          <cell r="O1704">
            <v>11.553933112724117</v>
          </cell>
          <cell r="P1704">
            <v>3.38223E-3</v>
          </cell>
        </row>
        <row r="1705">
          <cell r="B1705">
            <v>33165</v>
          </cell>
          <cell r="C1705">
            <v>33.287999999999997</v>
          </cell>
          <cell r="D1705">
            <v>3.5963639999999998E-5</v>
          </cell>
          <cell r="E1705">
            <v>0.24435000000000001</v>
          </cell>
          <cell r="F1705">
            <v>1.9392E-2</v>
          </cell>
          <cell r="J1705">
            <v>8.6584871648512376</v>
          </cell>
          <cell r="K1705">
            <v>3.5963639999999998E-5</v>
          </cell>
          <cell r="L1705">
            <v>0.24435000000000001</v>
          </cell>
          <cell r="M1705">
            <v>1.9392E-2</v>
          </cell>
          <cell r="N1705">
            <v>10.097336210009733</v>
          </cell>
          <cell r="O1705">
            <v>11.553933112724117</v>
          </cell>
          <cell r="P1705">
            <v>3.38223E-3</v>
          </cell>
        </row>
        <row r="1706">
          <cell r="B1706">
            <v>33168</v>
          </cell>
          <cell r="C1706">
            <v>32.58</v>
          </cell>
          <cell r="D1706">
            <v>3.6254539999999999E-5</v>
          </cell>
          <cell r="E1706">
            <v>0.24263999999999999</v>
          </cell>
          <cell r="F1706">
            <v>1.9140999999999998E-2</v>
          </cell>
          <cell r="J1706">
            <v>8.7525183354615237</v>
          </cell>
          <cell r="K1706">
            <v>3.6254539999999999E-5</v>
          </cell>
          <cell r="L1706">
            <v>0.24263999999999999</v>
          </cell>
          <cell r="M1706">
            <v>1.9140999999999998E-2</v>
          </cell>
          <cell r="N1706">
            <v>10.097336210009733</v>
          </cell>
          <cell r="O1706">
            <v>11.553933112724117</v>
          </cell>
          <cell r="P1706">
            <v>3.38223E-3</v>
          </cell>
        </row>
        <row r="1707">
          <cell r="B1707">
            <v>33169</v>
          </cell>
          <cell r="C1707">
            <v>31.608000000000001</v>
          </cell>
          <cell r="D1707">
            <v>3.6054550000000002E-5</v>
          </cell>
          <cell r="E1707">
            <v>0.23977999999999999</v>
          </cell>
          <cell r="F1707">
            <v>1.8482999999999999E-2</v>
          </cell>
          <cell r="J1707">
            <v>8.8447348686439469</v>
          </cell>
          <cell r="K1707">
            <v>3.6054550000000002E-5</v>
          </cell>
          <cell r="L1707">
            <v>0.23977999999999999</v>
          </cell>
          <cell r="M1707">
            <v>1.8482999999999999E-2</v>
          </cell>
          <cell r="N1707">
            <v>10.097336210009733</v>
          </cell>
          <cell r="O1707">
            <v>11.553933112724117</v>
          </cell>
          <cell r="P1707">
            <v>3.38223E-3</v>
          </cell>
        </row>
        <row r="1708">
          <cell r="B1708">
            <v>33170</v>
          </cell>
          <cell r="C1708">
            <v>28.867999999999999</v>
          </cell>
          <cell r="D1708">
            <v>3.6345450000000003E-5</v>
          </cell>
          <cell r="E1708">
            <v>0.23974999999999999</v>
          </cell>
          <cell r="F1708">
            <v>1.8575000000000001E-2</v>
          </cell>
          <cell r="J1708">
            <v>8.9298448040399503</v>
          </cell>
          <cell r="K1708">
            <v>3.6345450000000003E-5</v>
          </cell>
          <cell r="L1708">
            <v>0.23974999999999999</v>
          </cell>
          <cell r="M1708">
            <v>1.8575000000000001E-2</v>
          </cell>
          <cell r="N1708">
            <v>10.097336210009733</v>
          </cell>
          <cell r="O1708">
            <v>11.553933112724117</v>
          </cell>
          <cell r="P1708">
            <v>3.38223E-3</v>
          </cell>
        </row>
        <row r="1709">
          <cell r="B1709">
            <v>33171</v>
          </cell>
          <cell r="C1709">
            <v>22.71</v>
          </cell>
          <cell r="D1709">
            <v>3.7218180000000001E-5</v>
          </cell>
          <cell r="E1709">
            <v>0.24404000000000001</v>
          </cell>
          <cell r="F1709">
            <v>1.9473000000000001E-2</v>
          </cell>
          <cell r="J1709">
            <v>8.9974437292065339</v>
          </cell>
          <cell r="K1709">
            <v>3.7218180000000001E-5</v>
          </cell>
          <cell r="L1709">
            <v>0.24404000000000001</v>
          </cell>
          <cell r="M1709">
            <v>1.9473000000000001E-2</v>
          </cell>
          <cell r="N1709">
            <v>10.097336210009733</v>
          </cell>
          <cell r="O1709">
            <v>11.553933112724117</v>
          </cell>
          <cell r="P1709">
            <v>3.38223E-3</v>
          </cell>
        </row>
        <row r="1710">
          <cell r="B1710">
            <v>33172</v>
          </cell>
          <cell r="C1710">
            <v>24.03</v>
          </cell>
          <cell r="D1710">
            <v>3.8218179999999998E-5</v>
          </cell>
          <cell r="E1710">
            <v>0.24157000000000001</v>
          </cell>
          <cell r="F1710">
            <v>1.9158999999999999E-2</v>
          </cell>
          <cell r="J1710">
            <v>9.0695132534774796</v>
          </cell>
          <cell r="K1710">
            <v>3.8218179999999998E-5</v>
          </cell>
          <cell r="L1710">
            <v>0.24157000000000001</v>
          </cell>
          <cell r="M1710">
            <v>1.9158999999999999E-2</v>
          </cell>
          <cell r="N1710">
            <v>10.097336210009733</v>
          </cell>
          <cell r="O1710">
            <v>11.553933112724117</v>
          </cell>
          <cell r="P1710">
            <v>3.38223E-3</v>
          </cell>
        </row>
        <row r="1711">
          <cell r="B1711">
            <v>33175</v>
          </cell>
          <cell r="C1711">
            <v>25.937999999999999</v>
          </cell>
          <cell r="D1711">
            <v>3.8236360000000003E-5</v>
          </cell>
          <cell r="E1711">
            <v>0.23859</v>
          </cell>
          <cell r="F1711">
            <v>1.8095E-2</v>
          </cell>
          <cell r="J1711">
            <v>9.1479282650670459</v>
          </cell>
          <cell r="K1711">
            <v>3.8236360000000003E-5</v>
          </cell>
          <cell r="L1711">
            <v>0.23859</v>
          </cell>
          <cell r="M1711">
            <v>1.8095E-2</v>
          </cell>
          <cell r="N1711">
            <v>10.097336210009733</v>
          </cell>
          <cell r="O1711">
            <v>11.553933112724117</v>
          </cell>
          <cell r="P1711">
            <v>3.38223E-3</v>
          </cell>
        </row>
        <row r="1712">
          <cell r="B1712">
            <v>33176</v>
          </cell>
          <cell r="C1712">
            <v>23.048999999999999</v>
          </cell>
          <cell r="D1712">
            <v>3.8490910000000002E-5</v>
          </cell>
          <cell r="E1712">
            <v>0.23682</v>
          </cell>
          <cell r="F1712">
            <v>1.806E-2</v>
          </cell>
          <cell r="H1712">
            <v>12.97</v>
          </cell>
          <cell r="J1712">
            <v>9.2182117979275571</v>
          </cell>
          <cell r="K1712">
            <v>3.8490910000000002E-5</v>
          </cell>
          <cell r="L1712">
            <v>0.23682</v>
          </cell>
          <cell r="M1712">
            <v>1.806E-2</v>
          </cell>
          <cell r="N1712">
            <v>10.097336210009733</v>
          </cell>
          <cell r="O1712">
            <v>13.052478237444435</v>
          </cell>
          <cell r="P1712">
            <v>3.38223E-3</v>
          </cell>
        </row>
        <row r="1713">
          <cell r="B1713">
            <v>33177</v>
          </cell>
          <cell r="C1713">
            <v>23.241</v>
          </cell>
          <cell r="D1713">
            <v>3.8836359999999997E-5</v>
          </cell>
          <cell r="E1713">
            <v>0.23677000000000001</v>
          </cell>
          <cell r="F1713">
            <v>1.7847999999999999E-2</v>
          </cell>
          <cell r="G1713">
            <v>14.16</v>
          </cell>
          <cell r="I1713">
            <v>3.8651610000000002E-3</v>
          </cell>
          <cell r="J1713">
            <v>9.2896252847261014</v>
          </cell>
          <cell r="K1713">
            <v>3.8836359999999997E-5</v>
          </cell>
          <cell r="L1713">
            <v>0.23677000000000001</v>
          </cell>
          <cell r="M1713">
            <v>1.7847999999999999E-2</v>
          </cell>
          <cell r="N1713">
            <v>11.527119017347109</v>
          </cell>
          <cell r="O1713">
            <v>13.052478237444435</v>
          </cell>
          <cell r="P1713">
            <v>3.8651610000000002E-3</v>
          </cell>
        </row>
        <row r="1714">
          <cell r="B1714">
            <v>33178</v>
          </cell>
          <cell r="C1714">
            <v>26.379000000000001</v>
          </cell>
          <cell r="D1714">
            <v>3.9854539999999999E-5</v>
          </cell>
          <cell r="E1714">
            <v>0.24134</v>
          </cell>
          <cell r="F1714">
            <v>1.8964000000000002E-2</v>
          </cell>
          <cell r="J1714">
            <v>9.3713089598546979</v>
          </cell>
          <cell r="K1714">
            <v>3.9854539999999999E-5</v>
          </cell>
          <cell r="L1714">
            <v>0.24134</v>
          </cell>
          <cell r="M1714">
            <v>1.8964000000000002E-2</v>
          </cell>
          <cell r="N1714">
            <v>11.527119017347109</v>
          </cell>
          <cell r="O1714">
            <v>13.052478237444435</v>
          </cell>
          <cell r="P1714">
            <v>3.8651610000000002E-3</v>
          </cell>
        </row>
        <row r="1715">
          <cell r="B1715">
            <v>33182</v>
          </cell>
          <cell r="C1715">
            <v>31.847999999999999</v>
          </cell>
          <cell r="D1715">
            <v>4.1418180000000001E-5</v>
          </cell>
          <cell r="E1715">
            <v>0.23773</v>
          </cell>
          <cell r="F1715">
            <v>1.7794999999999998E-2</v>
          </cell>
          <cell r="J1715">
            <v>9.4707947757725144</v>
          </cell>
          <cell r="K1715">
            <v>4.1418180000000001E-5</v>
          </cell>
          <cell r="L1715">
            <v>0.23773</v>
          </cell>
          <cell r="M1715">
            <v>1.7794999999999998E-2</v>
          </cell>
          <cell r="N1715">
            <v>11.527119017347109</v>
          </cell>
          <cell r="O1715">
            <v>13.052478237444435</v>
          </cell>
          <cell r="P1715">
            <v>3.8651610000000002E-3</v>
          </cell>
        </row>
        <row r="1716">
          <cell r="B1716">
            <v>33183</v>
          </cell>
          <cell r="C1716">
            <v>31.308</v>
          </cell>
          <cell r="D1716">
            <v>4.2072730000000003E-5</v>
          </cell>
          <cell r="E1716">
            <v>0.23871999999999999</v>
          </cell>
          <cell r="F1716">
            <v>1.8384000000000001E-2</v>
          </cell>
          <cell r="J1716">
            <v>9.5696319900524749</v>
          </cell>
          <cell r="K1716">
            <v>4.2072730000000003E-5</v>
          </cell>
          <cell r="L1716">
            <v>0.23871999999999999</v>
          </cell>
          <cell r="M1716">
            <v>1.8384000000000001E-2</v>
          </cell>
          <cell r="N1716">
            <v>11.527119017347109</v>
          </cell>
          <cell r="O1716">
            <v>13.052478237444435</v>
          </cell>
          <cell r="P1716">
            <v>3.8651610000000002E-3</v>
          </cell>
        </row>
        <row r="1717">
          <cell r="B1717">
            <v>33184</v>
          </cell>
          <cell r="C1717">
            <v>26.709</v>
          </cell>
          <cell r="D1717">
            <v>4.1636359999999997E-5</v>
          </cell>
          <cell r="E1717">
            <v>0.25164999999999998</v>
          </cell>
          <cell r="F1717">
            <v>2.0441999999999998E-2</v>
          </cell>
          <cell r="J1717">
            <v>9.654830423659913</v>
          </cell>
          <cell r="K1717">
            <v>4.1636359999999997E-5</v>
          </cell>
          <cell r="L1717">
            <v>0.25164999999999998</v>
          </cell>
          <cell r="M1717">
            <v>2.0441999999999998E-2</v>
          </cell>
          <cell r="N1717">
            <v>11.527119017347109</v>
          </cell>
          <cell r="O1717">
            <v>13.052478237444435</v>
          </cell>
          <cell r="P1717">
            <v>3.8651610000000002E-3</v>
          </cell>
        </row>
        <row r="1718">
          <cell r="B1718">
            <v>33185</v>
          </cell>
          <cell r="C1718">
            <v>28.59</v>
          </cell>
          <cell r="D1718">
            <v>4.1654550000000003E-5</v>
          </cell>
          <cell r="E1718">
            <v>0.27040999999999998</v>
          </cell>
          <cell r="F1718">
            <v>2.1696E-2</v>
          </cell>
          <cell r="J1718">
            <v>9.7468409575973922</v>
          </cell>
          <cell r="K1718">
            <v>4.1654550000000003E-5</v>
          </cell>
          <cell r="L1718">
            <v>0.27040999999999998</v>
          </cell>
          <cell r="M1718">
            <v>2.1696E-2</v>
          </cell>
          <cell r="N1718">
            <v>11.527119017347109</v>
          </cell>
          <cell r="O1718">
            <v>13.052478237444435</v>
          </cell>
          <cell r="P1718">
            <v>3.8651610000000002E-3</v>
          </cell>
        </row>
        <row r="1719">
          <cell r="B1719">
            <v>33186</v>
          </cell>
          <cell r="C1719">
            <v>28.638000000000002</v>
          </cell>
          <cell r="D1719">
            <v>4.18E-5</v>
          </cell>
          <cell r="E1719">
            <v>0.27311999999999997</v>
          </cell>
          <cell r="F1719">
            <v>2.1995000000000001E-2</v>
          </cell>
          <cell r="J1719">
            <v>9.8398843013786177</v>
          </cell>
          <cell r="K1719">
            <v>4.18E-5</v>
          </cell>
          <cell r="L1719">
            <v>0.27311999999999997</v>
          </cell>
          <cell r="M1719">
            <v>2.1995000000000001E-2</v>
          </cell>
          <cell r="N1719">
            <v>11.527119017347109</v>
          </cell>
          <cell r="O1719">
            <v>13.052478237444435</v>
          </cell>
          <cell r="P1719">
            <v>3.8651610000000002E-3</v>
          </cell>
        </row>
        <row r="1720">
          <cell r="B1720">
            <v>33189</v>
          </cell>
          <cell r="C1720">
            <v>32.369999999999997</v>
          </cell>
          <cell r="D1720">
            <v>4.2254540000000003E-5</v>
          </cell>
          <cell r="E1720">
            <v>0.27265</v>
          </cell>
          <cell r="F1720">
            <v>2.2699E-2</v>
          </cell>
          <cell r="J1720">
            <v>9.9460566529904941</v>
          </cell>
          <cell r="K1720">
            <v>4.2254540000000003E-5</v>
          </cell>
          <cell r="L1720">
            <v>0.27265</v>
          </cell>
          <cell r="M1720">
            <v>2.2699E-2</v>
          </cell>
          <cell r="N1720">
            <v>11.527119017347109</v>
          </cell>
          <cell r="O1720">
            <v>13.052478237444435</v>
          </cell>
          <cell r="P1720">
            <v>3.8651610000000002E-3</v>
          </cell>
        </row>
        <row r="1721">
          <cell r="B1721">
            <v>33190</v>
          </cell>
          <cell r="C1721">
            <v>29.22</v>
          </cell>
          <cell r="D1721">
            <v>4.3000000000000002E-5</v>
          </cell>
          <cell r="E1721">
            <v>0.28517999999999999</v>
          </cell>
          <cell r="F1721">
            <v>2.3555E-2</v>
          </cell>
          <cell r="J1721">
            <v>10.042931244790623</v>
          </cell>
          <cell r="K1721">
            <v>4.3000000000000002E-5</v>
          </cell>
          <cell r="L1721">
            <v>0.28517999999999999</v>
          </cell>
          <cell r="M1721">
            <v>2.3555E-2</v>
          </cell>
          <cell r="N1721">
            <v>11.527119017347109</v>
          </cell>
          <cell r="O1721">
            <v>13.052478237444435</v>
          </cell>
          <cell r="P1721">
            <v>3.8651610000000002E-3</v>
          </cell>
        </row>
        <row r="1722">
          <cell r="B1722">
            <v>33191</v>
          </cell>
          <cell r="C1722">
            <v>33.36</v>
          </cell>
          <cell r="D1722">
            <v>4.2981819999999997E-5</v>
          </cell>
          <cell r="E1722">
            <v>0.28689999999999999</v>
          </cell>
          <cell r="F1722">
            <v>2.3612000000000001E-2</v>
          </cell>
          <cell r="J1722">
            <v>10.154608640232695</v>
          </cell>
          <cell r="K1722">
            <v>4.2981819999999997E-5</v>
          </cell>
          <cell r="L1722">
            <v>0.28689999999999999</v>
          </cell>
          <cell r="M1722">
            <v>2.3612000000000001E-2</v>
          </cell>
          <cell r="N1722">
            <v>11.527119017347109</v>
          </cell>
          <cell r="O1722">
            <v>13.052478237444435</v>
          </cell>
          <cell r="P1722">
            <v>3.8651610000000002E-3</v>
          </cell>
        </row>
        <row r="1723">
          <cell r="B1723">
            <v>33193</v>
          </cell>
          <cell r="C1723">
            <v>39.579000000000001</v>
          </cell>
          <cell r="D1723">
            <v>4.2854539999999997E-5</v>
          </cell>
          <cell r="E1723">
            <v>0.29219000000000001</v>
          </cell>
          <cell r="F1723">
            <v>2.3935000000000001E-2</v>
          </cell>
          <cell r="J1723">
            <v>10.288578392023284</v>
          </cell>
          <cell r="K1723">
            <v>4.2854539999999997E-5</v>
          </cell>
          <cell r="L1723">
            <v>0.29219000000000001</v>
          </cell>
          <cell r="M1723">
            <v>2.3935000000000001E-2</v>
          </cell>
          <cell r="N1723">
            <v>11.527119017347109</v>
          </cell>
          <cell r="O1723">
            <v>13.052478237444435</v>
          </cell>
          <cell r="P1723">
            <v>3.8651610000000002E-3</v>
          </cell>
        </row>
        <row r="1724">
          <cell r="B1724">
            <v>33196</v>
          </cell>
          <cell r="C1724">
            <v>41.25</v>
          </cell>
          <cell r="D1724">
            <v>4.3181820000000002E-5</v>
          </cell>
          <cell r="E1724">
            <v>0.29289999999999999</v>
          </cell>
          <cell r="F1724">
            <v>2.3996E-2</v>
          </cell>
          <cell r="J1724">
            <v>10.430046344913604</v>
          </cell>
          <cell r="K1724">
            <v>4.3181820000000002E-5</v>
          </cell>
          <cell r="L1724">
            <v>0.29289999999999999</v>
          </cell>
          <cell r="M1724">
            <v>2.3996E-2</v>
          </cell>
          <cell r="N1724">
            <v>11.527119017347109</v>
          </cell>
          <cell r="O1724">
            <v>13.052478237444435</v>
          </cell>
          <cell r="P1724">
            <v>3.8651610000000002E-3</v>
          </cell>
        </row>
        <row r="1725">
          <cell r="B1725">
            <v>33197</v>
          </cell>
          <cell r="C1725">
            <v>33.107999999999997</v>
          </cell>
          <cell r="D1725">
            <v>4.5054549999999997E-5</v>
          </cell>
          <cell r="E1725">
            <v>0.30363000000000001</v>
          </cell>
          <cell r="F1725">
            <v>2.5647E-2</v>
          </cell>
          <cell r="J1725">
            <v>10.545152336376072</v>
          </cell>
          <cell r="K1725">
            <v>4.5054549999999997E-5</v>
          </cell>
          <cell r="L1725">
            <v>0.30363000000000001</v>
          </cell>
          <cell r="M1725">
            <v>2.5647E-2</v>
          </cell>
          <cell r="N1725">
            <v>11.527119017347109</v>
          </cell>
          <cell r="O1725">
            <v>13.052478237444435</v>
          </cell>
          <cell r="P1725">
            <v>3.8651610000000002E-3</v>
          </cell>
        </row>
        <row r="1726">
          <cell r="B1726">
            <v>33198</v>
          </cell>
          <cell r="C1726">
            <v>29.28</v>
          </cell>
          <cell r="D1726">
            <v>4.5854540000000002E-5</v>
          </cell>
          <cell r="E1726">
            <v>0.31174000000000002</v>
          </cell>
          <cell r="F1726">
            <v>2.6485000000000002E-2</v>
          </cell>
          <cell r="J1726">
            <v>10.648073023179101</v>
          </cell>
          <cell r="K1726">
            <v>4.5854540000000002E-5</v>
          </cell>
          <cell r="L1726">
            <v>0.31174000000000002</v>
          </cell>
          <cell r="M1726">
            <v>2.6485000000000002E-2</v>
          </cell>
          <cell r="N1726">
            <v>11.527119017347109</v>
          </cell>
          <cell r="O1726">
            <v>13.052478237444435</v>
          </cell>
          <cell r="P1726">
            <v>3.8651610000000002E-3</v>
          </cell>
        </row>
        <row r="1727">
          <cell r="B1727">
            <v>33199</v>
          </cell>
          <cell r="C1727">
            <v>28.298999999999999</v>
          </cell>
          <cell r="D1727">
            <v>4.6981819999999999E-5</v>
          </cell>
          <cell r="E1727">
            <v>0.31164999999999998</v>
          </cell>
          <cell r="F1727">
            <v>2.6636E-2</v>
          </cell>
          <cell r="J1727">
            <v>10.74851629600675</v>
          </cell>
          <cell r="K1727">
            <v>4.6981819999999999E-5</v>
          </cell>
          <cell r="L1727">
            <v>0.31164999999999998</v>
          </cell>
          <cell r="M1727">
            <v>2.6636E-2</v>
          </cell>
          <cell r="N1727">
            <v>11.527119017347109</v>
          </cell>
          <cell r="O1727">
            <v>13.052478237444435</v>
          </cell>
          <cell r="P1727">
            <v>3.8651610000000002E-3</v>
          </cell>
        </row>
        <row r="1728">
          <cell r="B1728">
            <v>33200</v>
          </cell>
          <cell r="C1728">
            <v>29.628</v>
          </cell>
          <cell r="D1728">
            <v>4.7254540000000002E-5</v>
          </cell>
          <cell r="E1728">
            <v>0.31276999999999999</v>
          </cell>
          <cell r="F1728">
            <v>2.6110000000000001E-2</v>
          </cell>
          <cell r="J1728">
            <v>10.854668642946113</v>
          </cell>
          <cell r="K1728">
            <v>4.7254540000000002E-5</v>
          </cell>
          <cell r="L1728">
            <v>0.31276999999999999</v>
          </cell>
          <cell r="M1728">
            <v>2.6110000000000001E-2</v>
          </cell>
          <cell r="N1728">
            <v>11.527119017347109</v>
          </cell>
          <cell r="O1728">
            <v>13.052478237444435</v>
          </cell>
          <cell r="P1728">
            <v>3.8651610000000002E-3</v>
          </cell>
        </row>
        <row r="1729">
          <cell r="B1729">
            <v>33203</v>
          </cell>
          <cell r="C1729">
            <v>29.687999999999999</v>
          </cell>
          <cell r="D1729">
            <v>4.7909089999999998E-5</v>
          </cell>
          <cell r="E1729">
            <v>0.30460999999999999</v>
          </cell>
          <cell r="F1729">
            <v>2.4756E-2</v>
          </cell>
          <cell r="J1729">
            <v>10.962086443836705</v>
          </cell>
          <cell r="K1729">
            <v>4.7909089999999998E-5</v>
          </cell>
          <cell r="L1729">
            <v>0.30460999999999999</v>
          </cell>
          <cell r="M1729">
            <v>2.4756E-2</v>
          </cell>
          <cell r="N1729">
            <v>11.527119017347109</v>
          </cell>
          <cell r="O1729">
            <v>13.052478237444435</v>
          </cell>
          <cell r="P1729">
            <v>3.8651610000000002E-3</v>
          </cell>
        </row>
        <row r="1730">
          <cell r="B1730">
            <v>33204</v>
          </cell>
          <cell r="C1730">
            <v>28.128</v>
          </cell>
          <cell r="D1730">
            <v>4.8781820000000002E-5</v>
          </cell>
          <cell r="E1730">
            <v>0.31163000000000002</v>
          </cell>
          <cell r="F1730">
            <v>2.6301000000000001E-2</v>
          </cell>
          <cell r="J1730">
            <v>11.064866966334119</v>
          </cell>
          <cell r="K1730">
            <v>4.8781820000000002E-5</v>
          </cell>
          <cell r="L1730">
            <v>0.31163000000000002</v>
          </cell>
          <cell r="M1730">
            <v>2.6301000000000001E-2</v>
          </cell>
          <cell r="N1730">
            <v>11.527119017347109</v>
          </cell>
          <cell r="O1730">
            <v>13.052478237444435</v>
          </cell>
          <cell r="P1730">
            <v>3.8651610000000002E-3</v>
          </cell>
        </row>
        <row r="1731">
          <cell r="B1731">
            <v>33205</v>
          </cell>
          <cell r="C1731">
            <v>31.847999999999999</v>
          </cell>
          <cell r="D1731">
            <v>5.0181820000000003E-5</v>
          </cell>
          <cell r="E1731">
            <v>0.31291999999999998</v>
          </cell>
          <cell r="F1731">
            <v>2.5735000000000001E-2</v>
          </cell>
          <cell r="J1731">
            <v>11.182331594048721</v>
          </cell>
          <cell r="K1731">
            <v>5.0181820000000003E-5</v>
          </cell>
          <cell r="L1731">
            <v>0.31291999999999998</v>
          </cell>
          <cell r="M1731">
            <v>2.5735000000000001E-2</v>
          </cell>
          <cell r="N1731">
            <v>11.527119017347109</v>
          </cell>
          <cell r="O1731">
            <v>13.052478237444435</v>
          </cell>
          <cell r="P1731">
            <v>3.8651610000000002E-3</v>
          </cell>
        </row>
        <row r="1732">
          <cell r="B1732">
            <v>33206</v>
          </cell>
          <cell r="C1732">
            <v>30.759</v>
          </cell>
          <cell r="D1732">
            <v>5.1600000000000001E-5</v>
          </cell>
          <cell r="E1732">
            <v>0.31440000000000001</v>
          </cell>
          <cell r="F1732">
            <v>2.6478999999999999E-2</v>
          </cell>
          <cell r="J1732">
            <v>11.296984039882503</v>
          </cell>
          <cell r="K1732">
            <v>5.1600000000000001E-5</v>
          </cell>
          <cell r="L1732">
            <v>0.31440000000000001</v>
          </cell>
          <cell r="M1732">
            <v>2.6478999999999999E-2</v>
          </cell>
          <cell r="N1732">
            <v>11.527119017347109</v>
          </cell>
          <cell r="O1732">
            <v>13.052478237444435</v>
          </cell>
          <cell r="P1732">
            <v>3.8651610000000002E-3</v>
          </cell>
        </row>
        <row r="1733">
          <cell r="B1733">
            <v>33207</v>
          </cell>
          <cell r="C1733">
            <v>35.619</v>
          </cell>
          <cell r="D1733">
            <v>5.3199999999999999E-5</v>
          </cell>
          <cell r="E1733">
            <v>0.31334000000000001</v>
          </cell>
          <cell r="F1733">
            <v>2.6509999999999999E-2</v>
          </cell>
          <cell r="G1733">
            <v>17.45</v>
          </cell>
          <cell r="H1733">
            <v>16.86</v>
          </cell>
          <cell r="I1733">
            <v>4.5308650000000002E-3</v>
          </cell>
          <cell r="J1733">
            <v>11.431113131388027</v>
          </cell>
          <cell r="K1733">
            <v>5.3199999999999999E-5</v>
          </cell>
          <cell r="L1733">
            <v>0.31334000000000001</v>
          </cell>
          <cell r="M1733">
            <v>2.6509999999999999E-2</v>
          </cell>
          <cell r="N1733">
            <v>13.538601285874181</v>
          </cell>
          <cell r="O1733">
            <v>15.253126068277567</v>
          </cell>
          <cell r="P1733">
            <v>4.5308650000000002E-3</v>
          </cell>
        </row>
        <row r="1734">
          <cell r="B1734">
            <v>33210</v>
          </cell>
          <cell r="C1734">
            <v>28.449000000000002</v>
          </cell>
          <cell r="D1734">
            <v>5.3545450000000001E-5</v>
          </cell>
          <cell r="E1734">
            <v>0.31606000000000001</v>
          </cell>
          <cell r="F1734">
            <v>2.7149E-2</v>
          </cell>
          <cell r="J1734">
            <v>11.53951437721298</v>
          </cell>
          <cell r="K1734">
            <v>5.3545450000000001E-5</v>
          </cell>
          <cell r="L1734">
            <v>0.31606000000000001</v>
          </cell>
          <cell r="M1734">
            <v>2.7149E-2</v>
          </cell>
          <cell r="N1734">
            <v>13.538601285874181</v>
          </cell>
          <cell r="O1734">
            <v>15.253126068277567</v>
          </cell>
          <cell r="P1734">
            <v>4.5308650000000002E-3</v>
          </cell>
        </row>
        <row r="1735">
          <cell r="B1735">
            <v>33211</v>
          </cell>
          <cell r="C1735">
            <v>28.698</v>
          </cell>
          <cell r="D1735">
            <v>5.3672730000000001E-5</v>
          </cell>
          <cell r="E1735">
            <v>0.31446000000000002</v>
          </cell>
          <cell r="F1735">
            <v>2.6401000000000001E-2</v>
          </cell>
          <cell r="J1735">
            <v>11.649901371745399</v>
          </cell>
          <cell r="K1735">
            <v>5.3672730000000001E-5</v>
          </cell>
          <cell r="L1735">
            <v>0.31446000000000002</v>
          </cell>
          <cell r="M1735">
            <v>2.6401000000000001E-2</v>
          </cell>
          <cell r="N1735">
            <v>13.538601285874181</v>
          </cell>
          <cell r="O1735">
            <v>15.253126068277567</v>
          </cell>
          <cell r="P1735">
            <v>4.5308650000000002E-3</v>
          </cell>
        </row>
        <row r="1736">
          <cell r="B1736">
            <v>33212</v>
          </cell>
          <cell r="C1736">
            <v>32.25</v>
          </cell>
          <cell r="D1736">
            <v>5.374546E-5</v>
          </cell>
          <cell r="E1736">
            <v>0.31329000000000001</v>
          </cell>
          <cell r="F1736">
            <v>2.5994E-2</v>
          </cell>
          <cell r="J1736">
            <v>11.775137811491662</v>
          </cell>
          <cell r="K1736">
            <v>5.374546E-5</v>
          </cell>
          <cell r="L1736">
            <v>0.31329000000000001</v>
          </cell>
          <cell r="M1736">
            <v>2.5994E-2</v>
          </cell>
          <cell r="N1736">
            <v>13.538601285874181</v>
          </cell>
          <cell r="O1736">
            <v>15.253126068277567</v>
          </cell>
          <cell r="P1736">
            <v>4.5308650000000002E-3</v>
          </cell>
        </row>
        <row r="1737">
          <cell r="B1737">
            <v>33213</v>
          </cell>
          <cell r="C1737">
            <v>30.498000000000001</v>
          </cell>
          <cell r="D1737">
            <v>5.4109089999999999E-5</v>
          </cell>
          <cell r="E1737">
            <v>0.30954999999999999</v>
          </cell>
          <cell r="F1737">
            <v>2.5824E-2</v>
          </cell>
          <cell r="J1737">
            <v>11.894843862483285</v>
          </cell>
          <cell r="K1737">
            <v>5.4109089999999999E-5</v>
          </cell>
          <cell r="L1737">
            <v>0.30954999999999999</v>
          </cell>
          <cell r="M1737">
            <v>2.5824E-2</v>
          </cell>
          <cell r="N1737">
            <v>13.538601285874181</v>
          </cell>
          <cell r="O1737">
            <v>15.253126068277567</v>
          </cell>
          <cell r="P1737">
            <v>4.5308650000000002E-3</v>
          </cell>
        </row>
        <row r="1738">
          <cell r="B1738">
            <v>33214</v>
          </cell>
          <cell r="C1738">
            <v>34.35</v>
          </cell>
          <cell r="D1738">
            <v>5.4509090000000002E-5</v>
          </cell>
          <cell r="E1738">
            <v>0.30760999999999999</v>
          </cell>
          <cell r="F1738">
            <v>2.4978E-2</v>
          </cell>
          <cell r="J1738">
            <v>12.031039824708717</v>
          </cell>
          <cell r="K1738">
            <v>5.4509090000000002E-5</v>
          </cell>
          <cell r="L1738">
            <v>0.30760999999999999</v>
          </cell>
          <cell r="M1738">
            <v>2.4978E-2</v>
          </cell>
          <cell r="N1738">
            <v>13.538601285874181</v>
          </cell>
          <cell r="O1738">
            <v>15.253126068277567</v>
          </cell>
          <cell r="P1738">
            <v>4.5308650000000002E-3</v>
          </cell>
        </row>
        <row r="1739">
          <cell r="B1739">
            <v>33217</v>
          </cell>
          <cell r="C1739">
            <v>34.71</v>
          </cell>
          <cell r="D1739">
            <v>5.483636E-5</v>
          </cell>
          <cell r="E1739">
            <v>0.30493999999999999</v>
          </cell>
          <cell r="F1739">
            <v>2.5193E-2</v>
          </cell>
          <cell r="J1739">
            <v>12.170238955480597</v>
          </cell>
          <cell r="K1739">
            <v>5.483636E-5</v>
          </cell>
          <cell r="L1739">
            <v>0.30493999999999999</v>
          </cell>
          <cell r="M1739">
            <v>2.5193E-2</v>
          </cell>
          <cell r="N1739">
            <v>13.538601285874181</v>
          </cell>
          <cell r="O1739">
            <v>15.253126068277567</v>
          </cell>
          <cell r="P1739">
            <v>4.5308650000000002E-3</v>
          </cell>
        </row>
        <row r="1740">
          <cell r="B1740">
            <v>33218</v>
          </cell>
          <cell r="C1740">
            <v>34.847999999999999</v>
          </cell>
          <cell r="D1740">
            <v>5.4254540000000003E-5</v>
          </cell>
          <cell r="E1740">
            <v>0.30116999999999999</v>
          </cell>
          <cell r="F1740">
            <v>2.4813999999999999E-2</v>
          </cell>
          <cell r="J1740">
            <v>12.31160845118746</v>
          </cell>
          <cell r="K1740">
            <v>5.4254540000000003E-5</v>
          </cell>
          <cell r="L1740">
            <v>0.30116999999999999</v>
          </cell>
          <cell r="M1740">
            <v>2.4813999999999999E-2</v>
          </cell>
          <cell r="N1740">
            <v>13.538601285874181</v>
          </cell>
          <cell r="O1740">
            <v>15.253126068277567</v>
          </cell>
          <cell r="P1740">
            <v>4.5308650000000002E-3</v>
          </cell>
        </row>
        <row r="1741">
          <cell r="B1741">
            <v>33219</v>
          </cell>
          <cell r="C1741">
            <v>33.728999999999999</v>
          </cell>
          <cell r="D1741">
            <v>5.452727E-5</v>
          </cell>
          <cell r="E1741">
            <v>0.29252</v>
          </cell>
          <cell r="F1741">
            <v>2.3484999999999999E-2</v>
          </cell>
          <cell r="J1741">
            <v>12.450027865004159</v>
          </cell>
          <cell r="K1741">
            <v>5.452727E-5</v>
          </cell>
          <cell r="L1741">
            <v>0.29252</v>
          </cell>
          <cell r="M1741">
            <v>2.3484999999999999E-2</v>
          </cell>
          <cell r="N1741">
            <v>13.538601285874181</v>
          </cell>
          <cell r="O1741">
            <v>15.253126068277567</v>
          </cell>
          <cell r="P1741">
            <v>4.5308650000000002E-3</v>
          </cell>
        </row>
        <row r="1742">
          <cell r="B1742">
            <v>33220</v>
          </cell>
          <cell r="C1742">
            <v>31.56</v>
          </cell>
          <cell r="D1742">
            <v>5.4872730000000003E-5</v>
          </cell>
          <cell r="E1742">
            <v>0.29499999999999998</v>
          </cell>
          <cell r="F1742">
            <v>2.4365999999999999E-2</v>
          </cell>
          <cell r="J1742">
            <v>12.581002158144004</v>
          </cell>
          <cell r="K1742">
            <v>5.4872730000000003E-5</v>
          </cell>
          <cell r="L1742">
            <v>0.29499999999999998</v>
          </cell>
          <cell r="M1742">
            <v>2.4365999999999999E-2</v>
          </cell>
          <cell r="N1742">
            <v>13.538601285874181</v>
          </cell>
          <cell r="O1742">
            <v>15.253126068277567</v>
          </cell>
          <cell r="P1742">
            <v>4.5308650000000002E-3</v>
          </cell>
        </row>
        <row r="1743">
          <cell r="B1743">
            <v>33221</v>
          </cell>
          <cell r="C1743">
            <v>30.18</v>
          </cell>
          <cell r="D1743">
            <v>5.501818E-5</v>
          </cell>
          <cell r="E1743">
            <v>0.29371000000000003</v>
          </cell>
          <cell r="F1743">
            <v>2.4351000000000001E-2</v>
          </cell>
          <cell r="J1743">
            <v>12.707567039854933</v>
          </cell>
          <cell r="K1743">
            <v>5.501818E-5</v>
          </cell>
          <cell r="L1743">
            <v>0.29371000000000003</v>
          </cell>
          <cell r="M1743">
            <v>2.4351000000000001E-2</v>
          </cell>
          <cell r="N1743">
            <v>13.538601285874181</v>
          </cell>
          <cell r="O1743">
            <v>15.253126068277567</v>
          </cell>
          <cell r="P1743">
            <v>4.5308650000000002E-3</v>
          </cell>
        </row>
        <row r="1744">
          <cell r="B1744">
            <v>33224</v>
          </cell>
          <cell r="C1744">
            <v>33.677999999999997</v>
          </cell>
          <cell r="D1744">
            <v>5.5072730000000001E-5</v>
          </cell>
          <cell r="E1744">
            <v>0.29221000000000003</v>
          </cell>
          <cell r="F1744">
            <v>2.3800000000000002E-2</v>
          </cell>
          <cell r="J1744">
            <v>12.850222187444343</v>
          </cell>
          <cell r="K1744">
            <v>5.5072730000000001E-5</v>
          </cell>
          <cell r="L1744">
            <v>0.29221000000000003</v>
          </cell>
          <cell r="M1744">
            <v>2.3800000000000002E-2</v>
          </cell>
          <cell r="N1744">
            <v>13.538601285874181</v>
          </cell>
          <cell r="O1744">
            <v>15.253126068277567</v>
          </cell>
          <cell r="P1744">
            <v>4.5308650000000002E-3</v>
          </cell>
        </row>
        <row r="1745">
          <cell r="B1745">
            <v>33225</v>
          </cell>
          <cell r="C1745">
            <v>33.828000000000003</v>
          </cell>
          <cell r="D1745">
            <v>5.6727269999999999E-5</v>
          </cell>
          <cell r="E1745">
            <v>0.29113</v>
          </cell>
          <cell r="F1745">
            <v>2.3245999999999999E-2</v>
          </cell>
          <cell r="J1745">
            <v>12.995121292829966</v>
          </cell>
          <cell r="K1745">
            <v>5.6727269999999999E-5</v>
          </cell>
          <cell r="L1745">
            <v>0.29113</v>
          </cell>
          <cell r="M1745">
            <v>2.3245999999999999E-2</v>
          </cell>
          <cell r="N1745">
            <v>13.538601285874181</v>
          </cell>
          <cell r="O1745">
            <v>15.253126068277567</v>
          </cell>
          <cell r="P1745">
            <v>4.5308650000000002E-3</v>
          </cell>
        </row>
        <row r="1746">
          <cell r="B1746">
            <v>33226</v>
          </cell>
          <cell r="C1746">
            <v>34.179000000000002</v>
          </cell>
          <cell r="D1746">
            <v>5.7345449999999998E-5</v>
          </cell>
          <cell r="E1746">
            <v>0.29520000000000002</v>
          </cell>
          <cell r="F1746">
            <v>2.3571999999999999E-2</v>
          </cell>
          <cell r="J1746">
            <v>13.143174709719178</v>
          </cell>
          <cell r="K1746">
            <v>5.7345449999999998E-5</v>
          </cell>
          <cell r="L1746">
            <v>0.29520000000000002</v>
          </cell>
          <cell r="M1746">
            <v>2.3571999999999999E-2</v>
          </cell>
          <cell r="N1746">
            <v>13.538601285874181</v>
          </cell>
          <cell r="O1746">
            <v>15.253126068277567</v>
          </cell>
          <cell r="P1746">
            <v>4.5308650000000002E-3</v>
          </cell>
        </row>
        <row r="1747">
          <cell r="B1747">
            <v>33227</v>
          </cell>
          <cell r="C1747">
            <v>75.528000000000006</v>
          </cell>
          <cell r="D1747">
            <v>5.7963629999999997E-5</v>
          </cell>
          <cell r="E1747">
            <v>0.30821999999999999</v>
          </cell>
          <cell r="F1747">
            <v>2.5189E-2</v>
          </cell>
          <cell r="J1747">
            <v>13.47406727621107</v>
          </cell>
          <cell r="K1747">
            <v>5.7963629999999997E-5</v>
          </cell>
          <cell r="L1747">
            <v>0.30821999999999999</v>
          </cell>
          <cell r="M1747">
            <v>2.5189E-2</v>
          </cell>
          <cell r="N1747">
            <v>13.538601285874181</v>
          </cell>
          <cell r="O1747">
            <v>15.253126068277567</v>
          </cell>
          <cell r="P1747">
            <v>4.5308650000000002E-3</v>
          </cell>
        </row>
        <row r="1748">
          <cell r="B1748">
            <v>33228</v>
          </cell>
          <cell r="C1748">
            <v>74.459999999999994</v>
          </cell>
          <cell r="D1748">
            <v>5.898182E-5</v>
          </cell>
          <cell r="E1748">
            <v>0.30947000000000002</v>
          </cell>
          <cell r="F1748">
            <v>2.4972000000000001E-2</v>
          </cell>
          <cell r="J1748">
            <v>13.80849362600663</v>
          </cell>
          <cell r="K1748">
            <v>5.898182E-5</v>
          </cell>
          <cell r="L1748">
            <v>0.30947000000000002</v>
          </cell>
          <cell r="M1748">
            <v>2.4972000000000001E-2</v>
          </cell>
          <cell r="N1748">
            <v>13.538601285874181</v>
          </cell>
          <cell r="O1748">
            <v>15.253126068277567</v>
          </cell>
          <cell r="P1748">
            <v>4.5308650000000002E-3</v>
          </cell>
        </row>
        <row r="1749">
          <cell r="B1749">
            <v>33233</v>
          </cell>
          <cell r="C1749">
            <v>50.798999999999999</v>
          </cell>
          <cell r="D1749">
            <v>5.9854549999999998E-5</v>
          </cell>
          <cell r="E1749">
            <v>0.30714000000000002</v>
          </cell>
          <cell r="F1749">
            <v>2.4152E-2</v>
          </cell>
          <cell r="J1749">
            <v>14.042312848575801</v>
          </cell>
          <cell r="K1749">
            <v>5.9854549999999998E-5</v>
          </cell>
          <cell r="L1749">
            <v>0.30714000000000002</v>
          </cell>
          <cell r="M1749">
            <v>2.4152E-2</v>
          </cell>
          <cell r="N1749">
            <v>13.538601285874181</v>
          </cell>
          <cell r="O1749">
            <v>15.253126068277567</v>
          </cell>
          <cell r="P1749">
            <v>4.5308650000000002E-3</v>
          </cell>
        </row>
        <row r="1750">
          <cell r="B1750">
            <v>33234</v>
          </cell>
          <cell r="C1750">
            <v>33.96</v>
          </cell>
          <cell r="D1750">
            <v>6.0654549999999997E-5</v>
          </cell>
          <cell r="E1750">
            <v>0.31491000000000002</v>
          </cell>
          <cell r="F1750">
            <v>2.5526E-2</v>
          </cell>
          <cell r="J1750">
            <v>14.201271830021678</v>
          </cell>
          <cell r="K1750">
            <v>6.0654549999999997E-5</v>
          </cell>
          <cell r="L1750">
            <v>0.31491000000000002</v>
          </cell>
          <cell r="M1750">
            <v>2.5526E-2</v>
          </cell>
          <cell r="N1750">
            <v>13.538601285874181</v>
          </cell>
          <cell r="O1750">
            <v>15.253126068277567</v>
          </cell>
          <cell r="P1750">
            <v>4.5308650000000002E-3</v>
          </cell>
        </row>
        <row r="1751">
          <cell r="B1751">
            <v>33235</v>
          </cell>
          <cell r="C1751">
            <v>85.569000000000003</v>
          </cell>
          <cell r="D1751">
            <v>6.1672729999999999E-5</v>
          </cell>
          <cell r="E1751">
            <v>0.31236000000000003</v>
          </cell>
          <cell r="F1751">
            <v>2.5156000000000001E-2</v>
          </cell>
          <cell r="J1751">
            <v>14.606334706429388</v>
          </cell>
          <cell r="K1751">
            <v>6.1672729999999999E-5</v>
          </cell>
          <cell r="L1751">
            <v>0.31236000000000003</v>
          </cell>
          <cell r="M1751">
            <v>2.5156000000000001E-2</v>
          </cell>
          <cell r="N1751">
            <v>13.538601285874181</v>
          </cell>
          <cell r="O1751">
            <v>15.253126068277567</v>
          </cell>
          <cell r="P1751">
            <v>4.5308650000000002E-3</v>
          </cell>
        </row>
        <row r="1752">
          <cell r="B1752">
            <v>33238</v>
          </cell>
          <cell r="G1752">
            <v>16.46</v>
          </cell>
          <cell r="H1752">
            <v>18</v>
          </cell>
          <cell r="I1752">
            <v>5.4364449999999998E-3</v>
          </cell>
          <cell r="J1752">
            <v>14.606334706429388</v>
          </cell>
          <cell r="K1752">
            <v>6.1672729999999999E-5</v>
          </cell>
          <cell r="L1752">
            <v>0.31236000000000003</v>
          </cell>
          <cell r="M1752">
            <v>2.5156000000000001E-2</v>
          </cell>
          <cell r="N1752">
            <v>15.767055057529072</v>
          </cell>
          <cell r="O1752">
            <v>17.998688760567529</v>
          </cell>
          <cell r="P1752">
            <v>5.4364449999999998E-3</v>
          </cell>
        </row>
        <row r="1753">
          <cell r="B1753">
            <v>33240</v>
          </cell>
          <cell r="C1753">
            <v>27.99</v>
          </cell>
          <cell r="D1753">
            <v>6.2727270000000003E-5</v>
          </cell>
          <cell r="E1753">
            <v>0.31156</v>
          </cell>
          <cell r="F1753">
            <v>2.5321E-2</v>
          </cell>
          <cell r="J1753">
            <v>14.742611809240376</v>
          </cell>
          <cell r="K1753">
            <v>6.2727270000000003E-5</v>
          </cell>
          <cell r="L1753">
            <v>0.31156</v>
          </cell>
          <cell r="M1753">
            <v>2.5321E-2</v>
          </cell>
          <cell r="N1753">
            <v>15.767055057529072</v>
          </cell>
          <cell r="O1753">
            <v>17.998688760567529</v>
          </cell>
          <cell r="P1753">
            <v>5.4364449999999998E-3</v>
          </cell>
        </row>
        <row r="1754">
          <cell r="B1754">
            <v>33241</v>
          </cell>
          <cell r="C1754">
            <v>28.568999999999999</v>
          </cell>
          <cell r="D1754">
            <v>6.3200000000000005E-5</v>
          </cell>
          <cell r="E1754">
            <v>0.32851000000000002</v>
          </cell>
          <cell r="F1754">
            <v>2.8221E-2</v>
          </cell>
          <cell r="J1754">
            <v>14.883005701499771</v>
          </cell>
          <cell r="K1754">
            <v>6.3200000000000005E-5</v>
          </cell>
          <cell r="L1754">
            <v>0.32851000000000002</v>
          </cell>
          <cell r="M1754">
            <v>2.8221E-2</v>
          </cell>
          <cell r="N1754">
            <v>15.767055057529072</v>
          </cell>
          <cell r="O1754">
            <v>17.998688760567529</v>
          </cell>
          <cell r="P1754">
            <v>5.4364449999999998E-3</v>
          </cell>
        </row>
        <row r="1755">
          <cell r="B1755">
            <v>33242</v>
          </cell>
          <cell r="C1755">
            <v>25.968</v>
          </cell>
          <cell r="D1755">
            <v>6.3527269999999995E-5</v>
          </cell>
          <cell r="E1755">
            <v>0.34044999999999997</v>
          </cell>
          <cell r="F1755">
            <v>2.9853000000000001E-2</v>
          </cell>
          <cell r="J1755">
            <v>15.011832998851952</v>
          </cell>
          <cell r="K1755">
            <v>6.3527269999999995E-5</v>
          </cell>
          <cell r="L1755">
            <v>0.34044999999999997</v>
          </cell>
          <cell r="M1755">
            <v>2.9853000000000001E-2</v>
          </cell>
          <cell r="N1755">
            <v>15.767055057529072</v>
          </cell>
          <cell r="O1755">
            <v>17.998688760567529</v>
          </cell>
          <cell r="P1755">
            <v>5.4364449999999998E-3</v>
          </cell>
        </row>
        <row r="1756">
          <cell r="B1756">
            <v>33245</v>
          </cell>
          <cell r="C1756">
            <v>24.369</v>
          </cell>
          <cell r="D1756">
            <v>6.4800000000000003E-5</v>
          </cell>
          <cell r="E1756">
            <v>0.35524</v>
          </cell>
          <cell r="F1756">
            <v>3.014E-2</v>
          </cell>
          <cell r="J1756">
            <v>15.133774118301629</v>
          </cell>
          <cell r="K1756">
            <v>6.4800000000000003E-5</v>
          </cell>
          <cell r="L1756">
            <v>0.35524</v>
          </cell>
          <cell r="M1756">
            <v>3.014E-2</v>
          </cell>
          <cell r="N1756">
            <v>15.767055057529072</v>
          </cell>
          <cell r="O1756">
            <v>17.998688760567529</v>
          </cell>
          <cell r="P1756">
            <v>5.4364449999999998E-3</v>
          </cell>
        </row>
        <row r="1757">
          <cell r="B1757">
            <v>33246</v>
          </cell>
          <cell r="C1757">
            <v>27.009</v>
          </cell>
          <cell r="D1757">
            <v>6.5927269999999999E-5</v>
          </cell>
          <cell r="E1757">
            <v>0.35507</v>
          </cell>
          <cell r="F1757">
            <v>2.8237999999999999E-2</v>
          </cell>
          <cell r="J1757">
            <v>15.2700234866887</v>
          </cell>
          <cell r="K1757">
            <v>6.5927269999999999E-5</v>
          </cell>
          <cell r="L1757">
            <v>0.35507</v>
          </cell>
          <cell r="M1757">
            <v>2.8237999999999999E-2</v>
          </cell>
          <cell r="N1757">
            <v>15.767055057529072</v>
          </cell>
          <cell r="O1757">
            <v>17.998688760567529</v>
          </cell>
          <cell r="P1757">
            <v>5.4364449999999998E-3</v>
          </cell>
        </row>
        <row r="1758">
          <cell r="B1758">
            <v>33247</v>
          </cell>
          <cell r="C1758">
            <v>27.617999999999999</v>
          </cell>
          <cell r="D1758">
            <v>6.6218179999999994E-5</v>
          </cell>
          <cell r="E1758">
            <v>0.37059999999999998</v>
          </cell>
          <cell r="F1758">
            <v>3.0383E-2</v>
          </cell>
          <cell r="J1758">
            <v>15.410599322907157</v>
          </cell>
          <cell r="K1758">
            <v>6.6218179999999994E-5</v>
          </cell>
          <cell r="L1758">
            <v>0.37059999999999998</v>
          </cell>
          <cell r="M1758">
            <v>3.0383E-2</v>
          </cell>
          <cell r="N1758">
            <v>15.767055057529072</v>
          </cell>
          <cell r="O1758">
            <v>17.998688760567529</v>
          </cell>
          <cell r="P1758">
            <v>5.4364449999999998E-3</v>
          </cell>
        </row>
        <row r="1759">
          <cell r="B1759">
            <v>33248</v>
          </cell>
          <cell r="C1759">
            <v>26.448</v>
          </cell>
          <cell r="D1759">
            <v>6.6381820000000003E-5</v>
          </cell>
          <cell r="E1759">
            <v>0.36232999999999999</v>
          </cell>
          <cell r="F1759">
            <v>2.8105000000000002E-2</v>
          </cell>
          <cell r="J1759">
            <v>15.546459166537906</v>
          </cell>
          <cell r="K1759">
            <v>6.6381820000000003E-5</v>
          </cell>
          <cell r="L1759">
            <v>0.36232999999999999</v>
          </cell>
          <cell r="M1759">
            <v>2.8105000000000002E-2</v>
          </cell>
          <cell r="N1759">
            <v>15.767055057529072</v>
          </cell>
          <cell r="O1759">
            <v>17.998688760567529</v>
          </cell>
          <cell r="P1759">
            <v>5.4364449999999998E-3</v>
          </cell>
        </row>
        <row r="1760">
          <cell r="B1760">
            <v>33249</v>
          </cell>
          <cell r="C1760">
            <v>28.029</v>
          </cell>
          <cell r="D1760">
            <v>6.7236360000000003E-5</v>
          </cell>
          <cell r="E1760">
            <v>0.36832999999999999</v>
          </cell>
          <cell r="F1760">
            <v>2.8233999999999999E-2</v>
          </cell>
          <cell r="J1760">
            <v>15.691709734530871</v>
          </cell>
          <cell r="K1760">
            <v>6.7236360000000003E-5</v>
          </cell>
          <cell r="L1760">
            <v>0.36832999999999999</v>
          </cell>
          <cell r="M1760">
            <v>2.8233999999999999E-2</v>
          </cell>
          <cell r="N1760">
            <v>15.767055057529072</v>
          </cell>
          <cell r="O1760">
            <v>17.998688760567529</v>
          </cell>
          <cell r="P1760">
            <v>5.4364449999999998E-3</v>
          </cell>
        </row>
        <row r="1761">
          <cell r="B1761">
            <v>33252</v>
          </cell>
          <cell r="C1761">
            <v>32.1</v>
          </cell>
          <cell r="D1761">
            <v>6.8690910000000004E-5</v>
          </cell>
          <cell r="E1761">
            <v>0.35733999999999999</v>
          </cell>
          <cell r="F1761">
            <v>2.6485000000000002E-2</v>
          </cell>
          <cell r="J1761">
            <v>15.859611028690351</v>
          </cell>
          <cell r="K1761">
            <v>6.8690910000000004E-5</v>
          </cell>
          <cell r="L1761">
            <v>0.35733999999999999</v>
          </cell>
          <cell r="M1761">
            <v>2.6485000000000002E-2</v>
          </cell>
          <cell r="N1761">
            <v>15.767055057529072</v>
          </cell>
          <cell r="O1761">
            <v>17.998688760567529</v>
          </cell>
          <cell r="P1761">
            <v>5.4364449999999998E-3</v>
          </cell>
        </row>
        <row r="1762">
          <cell r="B1762">
            <v>33253</v>
          </cell>
          <cell r="C1762">
            <v>29.73</v>
          </cell>
          <cell r="D1762">
            <v>6.9927270000000002E-5</v>
          </cell>
          <cell r="E1762">
            <v>0.36258000000000001</v>
          </cell>
          <cell r="F1762">
            <v>2.7622000000000001E-2</v>
          </cell>
          <cell r="J1762">
            <v>16.016779773984673</v>
          </cell>
          <cell r="K1762">
            <v>6.9927270000000002E-5</v>
          </cell>
          <cell r="L1762">
            <v>0.36258000000000001</v>
          </cell>
          <cell r="M1762">
            <v>2.7622000000000001E-2</v>
          </cell>
          <cell r="N1762">
            <v>15.767055057529072</v>
          </cell>
          <cell r="O1762">
            <v>17.998688760567529</v>
          </cell>
          <cell r="P1762">
            <v>5.4364449999999998E-3</v>
          </cell>
        </row>
        <row r="1763">
          <cell r="B1763">
            <v>33254</v>
          </cell>
          <cell r="C1763">
            <v>30.437999999999999</v>
          </cell>
          <cell r="D1763">
            <v>7.1345450000000007E-5</v>
          </cell>
          <cell r="E1763">
            <v>0.37885999999999997</v>
          </cell>
          <cell r="F1763">
            <v>2.8341000000000002E-2</v>
          </cell>
          <cell r="J1763">
            <v>16.179286021571521</v>
          </cell>
          <cell r="K1763">
            <v>7.1345450000000007E-5</v>
          </cell>
          <cell r="L1763">
            <v>0.37885999999999997</v>
          </cell>
          <cell r="M1763">
            <v>2.8341000000000002E-2</v>
          </cell>
          <cell r="N1763">
            <v>15.767055057529072</v>
          </cell>
          <cell r="O1763">
            <v>17.998688760567529</v>
          </cell>
          <cell r="P1763">
            <v>5.4364449999999998E-3</v>
          </cell>
        </row>
        <row r="1764">
          <cell r="B1764">
            <v>33255</v>
          </cell>
          <cell r="C1764">
            <v>36.78</v>
          </cell>
          <cell r="D1764">
            <v>7.2618180000000001E-5</v>
          </cell>
          <cell r="E1764">
            <v>0.41517999999999999</v>
          </cell>
          <cell r="F1764">
            <v>3.1932000000000002E-2</v>
          </cell>
          <cell r="J1764">
            <v>16.377644068195988</v>
          </cell>
          <cell r="K1764">
            <v>7.2618180000000001E-5</v>
          </cell>
          <cell r="L1764">
            <v>0.41517999999999999</v>
          </cell>
          <cell r="M1764">
            <v>3.1932000000000002E-2</v>
          </cell>
          <cell r="N1764">
            <v>15.767055057529072</v>
          </cell>
          <cell r="O1764">
            <v>17.998688760567529</v>
          </cell>
          <cell r="P1764">
            <v>5.4364449999999998E-3</v>
          </cell>
        </row>
        <row r="1765">
          <cell r="B1765">
            <v>33256</v>
          </cell>
          <cell r="C1765">
            <v>35.22</v>
          </cell>
          <cell r="D1765">
            <v>7.2727270000000002E-5</v>
          </cell>
          <cell r="E1765">
            <v>0.42869000000000002</v>
          </cell>
          <cell r="F1765">
            <v>3.2735E-2</v>
          </cell>
          <cell r="J1765">
            <v>16.569917609556612</v>
          </cell>
          <cell r="K1765">
            <v>7.2727270000000002E-5</v>
          </cell>
          <cell r="L1765">
            <v>0.42869000000000002</v>
          </cell>
          <cell r="M1765">
            <v>3.2735E-2</v>
          </cell>
          <cell r="N1765">
            <v>15.767055057529072</v>
          </cell>
          <cell r="O1765">
            <v>17.998688760567529</v>
          </cell>
          <cell r="P1765">
            <v>5.4364449999999998E-3</v>
          </cell>
        </row>
        <row r="1766">
          <cell r="B1766">
            <v>33259</v>
          </cell>
          <cell r="C1766">
            <v>28.478999999999999</v>
          </cell>
          <cell r="D1766">
            <v>7.2363640000000002E-5</v>
          </cell>
          <cell r="E1766">
            <v>0.46446999999999999</v>
          </cell>
          <cell r="F1766">
            <v>3.4845000000000001E-2</v>
          </cell>
          <cell r="J1766">
            <v>16.727215837424133</v>
          </cell>
          <cell r="K1766">
            <v>7.2363640000000002E-5</v>
          </cell>
          <cell r="L1766">
            <v>0.46446999999999999</v>
          </cell>
          <cell r="M1766">
            <v>3.4845000000000001E-2</v>
          </cell>
          <cell r="N1766">
            <v>15.767055057529072</v>
          </cell>
          <cell r="O1766">
            <v>17.998688760567529</v>
          </cell>
          <cell r="P1766">
            <v>5.4364449999999998E-3</v>
          </cell>
        </row>
        <row r="1767">
          <cell r="B1767">
            <v>33260</v>
          </cell>
          <cell r="C1767">
            <v>25.98</v>
          </cell>
          <cell r="D1767">
            <v>7.1636360000000001E-5</v>
          </cell>
          <cell r="E1767">
            <v>0.46840999999999999</v>
          </cell>
          <cell r="F1767">
            <v>3.3840000000000002E-2</v>
          </cell>
          <cell r="J1767">
            <v>16.872073526576223</v>
          </cell>
          <cell r="K1767">
            <v>7.1636360000000001E-5</v>
          </cell>
          <cell r="L1767">
            <v>0.46840999999999999</v>
          </cell>
          <cell r="M1767">
            <v>3.3840000000000002E-2</v>
          </cell>
          <cell r="N1767">
            <v>15.767055057529072</v>
          </cell>
          <cell r="O1767">
            <v>17.998688760567529</v>
          </cell>
          <cell r="P1767">
            <v>5.4364449999999998E-3</v>
          </cell>
        </row>
        <row r="1768">
          <cell r="B1768">
            <v>33261</v>
          </cell>
          <cell r="C1768">
            <v>25.928999999999998</v>
          </cell>
          <cell r="D1768">
            <v>7.2090910000000005E-5</v>
          </cell>
          <cell r="E1768">
            <v>0.47737000000000002</v>
          </cell>
          <cell r="F1768">
            <v>3.3703999999999998E-2</v>
          </cell>
          <cell r="J1768">
            <v>17.01789885806642</v>
          </cell>
          <cell r="K1768">
            <v>7.2090910000000005E-5</v>
          </cell>
          <cell r="L1768">
            <v>0.47737000000000002</v>
          </cell>
          <cell r="M1768">
            <v>3.3703999999999998E-2</v>
          </cell>
          <cell r="N1768">
            <v>15.767055057529072</v>
          </cell>
          <cell r="O1768">
            <v>17.998688760567529</v>
          </cell>
          <cell r="P1768">
            <v>5.4364449999999998E-3</v>
          </cell>
        </row>
        <row r="1769">
          <cell r="B1769">
            <v>33262</v>
          </cell>
          <cell r="C1769">
            <v>28.419</v>
          </cell>
          <cell r="D1769">
            <v>7.2836360000000003E-5</v>
          </cell>
          <cell r="E1769">
            <v>0.51276999999999995</v>
          </cell>
          <cell r="F1769">
            <v>3.7733999999999997E-2</v>
          </cell>
          <cell r="J1769">
            <v>17.179109413948886</v>
          </cell>
          <cell r="K1769">
            <v>7.2836360000000003E-5</v>
          </cell>
          <cell r="L1769">
            <v>0.51276999999999995</v>
          </cell>
          <cell r="M1769">
            <v>3.7733999999999997E-2</v>
          </cell>
          <cell r="N1769">
            <v>15.767055057529072</v>
          </cell>
          <cell r="O1769">
            <v>17.998688760567529</v>
          </cell>
          <cell r="P1769">
            <v>5.4364449999999998E-3</v>
          </cell>
        </row>
        <row r="1770">
          <cell r="B1770">
            <v>33263</v>
          </cell>
          <cell r="C1770">
            <v>26.46</v>
          </cell>
          <cell r="J1770">
            <v>17.330629158979917</v>
          </cell>
          <cell r="K1770">
            <v>7.2836360000000003E-5</v>
          </cell>
          <cell r="L1770">
            <v>0.51276999999999995</v>
          </cell>
          <cell r="M1770">
            <v>3.7733999999999997E-2</v>
          </cell>
          <cell r="N1770">
            <v>15.767055057529072</v>
          </cell>
          <cell r="O1770">
            <v>17.998688760567529</v>
          </cell>
          <cell r="P1770">
            <v>5.4364449999999998E-3</v>
          </cell>
        </row>
        <row r="1771">
          <cell r="B1771">
            <v>33266</v>
          </cell>
          <cell r="C1771">
            <v>27.69</v>
          </cell>
          <cell r="D1771">
            <v>7.5781820000000001E-5</v>
          </cell>
          <cell r="E1771">
            <v>0.56040000000000001</v>
          </cell>
          <cell r="F1771">
            <v>4.0065000000000003E-2</v>
          </cell>
          <cell r="J1771">
            <v>17.490590866117302</v>
          </cell>
          <cell r="K1771">
            <v>7.5781820000000001E-5</v>
          </cell>
          <cell r="L1771">
            <v>0.56040000000000001</v>
          </cell>
          <cell r="M1771">
            <v>4.0065000000000003E-2</v>
          </cell>
          <cell r="N1771">
            <v>15.767055057529072</v>
          </cell>
          <cell r="O1771">
            <v>17.998688760567529</v>
          </cell>
          <cell r="P1771">
            <v>5.4364449999999998E-3</v>
          </cell>
        </row>
        <row r="1772">
          <cell r="B1772">
            <v>33267</v>
          </cell>
          <cell r="C1772">
            <v>26.538</v>
          </cell>
          <cell r="D1772">
            <v>7.7636359999999998E-5</v>
          </cell>
          <cell r="E1772">
            <v>0.57974999999999999</v>
          </cell>
          <cell r="F1772">
            <v>4.2514999999999997E-2</v>
          </cell>
          <cell r="J1772">
            <v>17.645312632918973</v>
          </cell>
          <cell r="K1772">
            <v>7.7636359999999998E-5</v>
          </cell>
          <cell r="L1772">
            <v>0.57974999999999999</v>
          </cell>
          <cell r="M1772">
            <v>4.2514999999999997E-2</v>
          </cell>
          <cell r="N1772">
            <v>15.767055057529072</v>
          </cell>
          <cell r="O1772">
            <v>17.998688760567529</v>
          </cell>
          <cell r="P1772">
            <v>5.4364449999999998E-3</v>
          </cell>
        </row>
        <row r="1773">
          <cell r="B1773">
            <v>33268</v>
          </cell>
          <cell r="C1773">
            <v>30.468</v>
          </cell>
          <cell r="D1773">
            <v>7.9127269999999995E-5</v>
          </cell>
          <cell r="E1773">
            <v>0.62878999999999996</v>
          </cell>
          <cell r="F1773">
            <v>4.5918E-2</v>
          </cell>
          <cell r="J1773">
            <v>17.824518428018898</v>
          </cell>
          <cell r="K1773">
            <v>7.9127269999999995E-5</v>
          </cell>
          <cell r="L1773">
            <v>0.62878999999999996</v>
          </cell>
          <cell r="M1773">
            <v>4.5918E-2</v>
          </cell>
          <cell r="N1773">
            <v>15.767055057529072</v>
          </cell>
          <cell r="O1773">
            <v>17.998688760567529</v>
          </cell>
          <cell r="P1773">
            <v>5.4364449999999998E-3</v>
          </cell>
        </row>
        <row r="1774">
          <cell r="B1774">
            <v>33269</v>
          </cell>
          <cell r="C1774">
            <v>35.04</v>
          </cell>
          <cell r="D1774">
            <v>8.005454E-5</v>
          </cell>
          <cell r="E1774">
            <v>0.6411</v>
          </cell>
          <cell r="F1774">
            <v>4.7480000000000001E-2</v>
          </cell>
          <cell r="G1774">
            <v>19.93</v>
          </cell>
          <cell r="H1774">
            <v>17.7</v>
          </cell>
          <cell r="I1774">
            <v>6.5678239999999999E-3</v>
          </cell>
          <cell r="J1774">
            <v>18.032708803258156</v>
          </cell>
          <cell r="K1774">
            <v>8.005454E-5</v>
          </cell>
          <cell r="L1774">
            <v>0.6411</v>
          </cell>
          <cell r="M1774">
            <v>4.7480000000000001E-2</v>
          </cell>
          <cell r="N1774">
            <v>18.909429130494615</v>
          </cell>
          <cell r="O1774">
            <v>21.184456671187981</v>
          </cell>
          <cell r="P1774">
            <v>6.5678239999999999E-3</v>
          </cell>
        </row>
        <row r="1775">
          <cell r="B1775">
            <v>33273</v>
          </cell>
          <cell r="C1775">
            <v>13.44</v>
          </cell>
          <cell r="D1775">
            <v>8.0400000000000003E-5</v>
          </cell>
          <cell r="E1775">
            <v>0.79981000000000002</v>
          </cell>
          <cell r="F1775">
            <v>6.4601000000000006E-2</v>
          </cell>
          <cell r="J1775">
            <v>18.113495338696755</v>
          </cell>
          <cell r="K1775">
            <v>8.0400000000000003E-5</v>
          </cell>
          <cell r="L1775">
            <v>0.79981000000000002</v>
          </cell>
          <cell r="M1775">
            <v>6.4601000000000006E-2</v>
          </cell>
          <cell r="N1775">
            <v>18.909429130494615</v>
          </cell>
          <cell r="O1775">
            <v>21.184456671187981</v>
          </cell>
          <cell r="P1775">
            <v>6.5678239999999999E-3</v>
          </cell>
        </row>
        <row r="1776">
          <cell r="B1776">
            <v>33274</v>
          </cell>
          <cell r="C1776">
            <v>13.62</v>
          </cell>
          <cell r="D1776">
            <v>8.018182E-5</v>
          </cell>
          <cell r="E1776">
            <v>0.80796999999999997</v>
          </cell>
          <cell r="F1776">
            <v>6.1931E-2</v>
          </cell>
          <cell r="J1776">
            <v>18.195730607534436</v>
          </cell>
          <cell r="K1776">
            <v>8.018182E-5</v>
          </cell>
          <cell r="L1776">
            <v>0.80796999999999997</v>
          </cell>
          <cell r="M1776">
            <v>6.1931E-2</v>
          </cell>
          <cell r="N1776">
            <v>18.909429130494615</v>
          </cell>
          <cell r="O1776">
            <v>21.184456671187981</v>
          </cell>
          <cell r="P1776">
            <v>6.5678239999999999E-3</v>
          </cell>
        </row>
        <row r="1777">
          <cell r="B1777">
            <v>33275</v>
          </cell>
          <cell r="C1777">
            <v>11.97</v>
          </cell>
          <cell r="D1777">
            <v>8.0254540000000005E-5</v>
          </cell>
          <cell r="E1777">
            <v>0.79812000000000005</v>
          </cell>
          <cell r="F1777">
            <v>6.2487000000000001E-2</v>
          </cell>
          <cell r="J1777">
            <v>18.268331572658496</v>
          </cell>
          <cell r="K1777">
            <v>8.0254540000000005E-5</v>
          </cell>
          <cell r="L1777">
            <v>0.79812000000000005</v>
          </cell>
          <cell r="M1777">
            <v>6.2487000000000001E-2</v>
          </cell>
          <cell r="N1777">
            <v>18.909429130494615</v>
          </cell>
          <cell r="O1777">
            <v>21.184456671187981</v>
          </cell>
          <cell r="P1777">
            <v>6.5678239999999999E-3</v>
          </cell>
        </row>
        <row r="1778">
          <cell r="B1778">
            <v>33276</v>
          </cell>
          <cell r="C1778">
            <v>11.19</v>
          </cell>
          <cell r="D1778">
            <v>8.0363639999999993E-5</v>
          </cell>
          <cell r="E1778">
            <v>0.78851000000000004</v>
          </cell>
          <cell r="F1778">
            <v>5.9612999999999999E-2</v>
          </cell>
          <cell r="J1778">
            <v>18.336472449424512</v>
          </cell>
          <cell r="K1778">
            <v>8.0363639999999993E-5</v>
          </cell>
          <cell r="L1778">
            <v>0.78851000000000004</v>
          </cell>
          <cell r="M1778">
            <v>5.9612999999999999E-2</v>
          </cell>
          <cell r="N1778">
            <v>18.909429130494615</v>
          </cell>
          <cell r="O1778">
            <v>21.184456671187981</v>
          </cell>
          <cell r="P1778">
            <v>6.5678239999999999E-3</v>
          </cell>
        </row>
        <row r="1779">
          <cell r="B1779">
            <v>33277</v>
          </cell>
          <cell r="C1779">
            <v>10.95</v>
          </cell>
          <cell r="D1779">
            <v>8.0709089999999995E-5</v>
          </cell>
          <cell r="E1779">
            <v>0.74880999999999998</v>
          </cell>
          <cell r="F1779">
            <v>5.3900000000000003E-2</v>
          </cell>
          <cell r="J1779">
            <v>18.403400573864911</v>
          </cell>
          <cell r="K1779">
            <v>8.0709089999999995E-5</v>
          </cell>
          <cell r="L1779">
            <v>0.74880999999999998</v>
          </cell>
          <cell r="M1779">
            <v>5.3900000000000003E-2</v>
          </cell>
          <cell r="N1779">
            <v>18.909429130494615</v>
          </cell>
          <cell r="O1779">
            <v>21.184456671187981</v>
          </cell>
          <cell r="P1779">
            <v>6.5678239999999999E-3</v>
          </cell>
        </row>
        <row r="1780">
          <cell r="B1780">
            <v>33282</v>
          </cell>
          <cell r="C1780">
            <v>10.95</v>
          </cell>
          <cell r="D1780">
            <v>8.0799999999999999E-5</v>
          </cell>
          <cell r="J1780">
            <v>18.470572985959517</v>
          </cell>
          <cell r="K1780">
            <v>8.0799999999999999E-5</v>
          </cell>
          <cell r="L1780">
            <v>0.74880999999999998</v>
          </cell>
          <cell r="M1780">
            <v>5.3900000000000003E-2</v>
          </cell>
          <cell r="N1780">
            <v>18.909429130494615</v>
          </cell>
          <cell r="O1780">
            <v>21.184456671187981</v>
          </cell>
          <cell r="P1780">
            <v>6.5678239999999999E-3</v>
          </cell>
        </row>
        <row r="1781">
          <cell r="B1781">
            <v>33283</v>
          </cell>
          <cell r="C1781">
            <v>16.260000000000002</v>
          </cell>
          <cell r="D1781">
            <v>8.0618180000000005E-5</v>
          </cell>
          <cell r="E1781">
            <v>0.76339000000000001</v>
          </cell>
          <cell r="F1781">
            <v>5.8559E-2</v>
          </cell>
          <cell r="J1781">
            <v>18.570683491543416</v>
          </cell>
          <cell r="K1781">
            <v>8.0618180000000005E-5</v>
          </cell>
          <cell r="L1781">
            <v>0.76339000000000001</v>
          </cell>
          <cell r="M1781">
            <v>5.8559E-2</v>
          </cell>
          <cell r="N1781">
            <v>18.909429130494615</v>
          </cell>
          <cell r="O1781">
            <v>21.184456671187981</v>
          </cell>
          <cell r="P1781">
            <v>6.5678239999999999E-3</v>
          </cell>
        </row>
        <row r="1782">
          <cell r="B1782">
            <v>33284</v>
          </cell>
          <cell r="C1782">
            <v>19.89</v>
          </cell>
          <cell r="D1782">
            <v>8.0363639999999993E-5</v>
          </cell>
          <cell r="E1782">
            <v>0.78432000000000002</v>
          </cell>
          <cell r="F1782">
            <v>6.1984999999999998E-2</v>
          </cell>
          <cell r="J1782">
            <v>18.693807123092348</v>
          </cell>
          <cell r="K1782">
            <v>8.0363639999999993E-5</v>
          </cell>
          <cell r="L1782">
            <v>0.78432000000000002</v>
          </cell>
          <cell r="M1782">
            <v>6.1984999999999998E-2</v>
          </cell>
          <cell r="N1782">
            <v>18.909429130494615</v>
          </cell>
          <cell r="O1782">
            <v>21.184456671187981</v>
          </cell>
          <cell r="P1782">
            <v>6.5678239999999999E-3</v>
          </cell>
        </row>
        <row r="1783">
          <cell r="B1783">
            <v>33287</v>
          </cell>
          <cell r="C1783">
            <v>25.29</v>
          </cell>
          <cell r="D1783">
            <v>8.0218179999999996E-5</v>
          </cell>
          <cell r="E1783">
            <v>0.78940999999999995</v>
          </cell>
          <cell r="F1783">
            <v>6.3048999999999994E-2</v>
          </cell>
          <cell r="J1783">
            <v>18.851395917140017</v>
          </cell>
          <cell r="K1783">
            <v>8.0218179999999996E-5</v>
          </cell>
          <cell r="L1783">
            <v>0.78940999999999995</v>
          </cell>
          <cell r="M1783">
            <v>6.3048999999999994E-2</v>
          </cell>
          <cell r="N1783">
            <v>18.909429130494615</v>
          </cell>
          <cell r="O1783">
            <v>21.184456671187981</v>
          </cell>
          <cell r="P1783">
            <v>6.5678239999999999E-3</v>
          </cell>
        </row>
        <row r="1784">
          <cell r="B1784">
            <v>33288</v>
          </cell>
          <cell r="C1784">
            <v>18.21</v>
          </cell>
          <cell r="D1784">
            <v>8.0509090000000004E-5</v>
          </cell>
          <cell r="E1784">
            <v>0.79430999999999996</v>
          </cell>
          <cell r="F1784">
            <v>6.2274999999999997E-2</v>
          </cell>
          <cell r="J1784">
            <v>18.965823890357058</v>
          </cell>
          <cell r="K1784">
            <v>8.0509090000000004E-5</v>
          </cell>
          <cell r="L1784">
            <v>0.79430999999999996</v>
          </cell>
          <cell r="M1784">
            <v>6.2274999999999997E-2</v>
          </cell>
          <cell r="N1784">
            <v>18.909429130494615</v>
          </cell>
          <cell r="O1784">
            <v>21.184456671187981</v>
          </cell>
          <cell r="P1784">
            <v>6.5678239999999999E-3</v>
          </cell>
        </row>
        <row r="1785">
          <cell r="B1785">
            <v>33289</v>
          </cell>
          <cell r="C1785">
            <v>17.7</v>
          </cell>
          <cell r="D1785">
            <v>8.067273E-5</v>
          </cell>
          <cell r="E1785">
            <v>0.76731000000000005</v>
          </cell>
          <cell r="F1785">
            <v>5.9447E-2</v>
          </cell>
          <cell r="J1785">
            <v>19.077722251310163</v>
          </cell>
          <cell r="K1785">
            <v>8.067273E-5</v>
          </cell>
          <cell r="L1785">
            <v>0.76731000000000005</v>
          </cell>
          <cell r="M1785">
            <v>5.9447E-2</v>
          </cell>
          <cell r="N1785">
            <v>18.909429130494615</v>
          </cell>
          <cell r="O1785">
            <v>21.184456671187981</v>
          </cell>
          <cell r="P1785">
            <v>6.5678239999999999E-3</v>
          </cell>
        </row>
        <row r="1786">
          <cell r="B1786">
            <v>33290</v>
          </cell>
          <cell r="C1786">
            <v>15.39</v>
          </cell>
          <cell r="D1786">
            <v>8.067273E-5</v>
          </cell>
          <cell r="E1786">
            <v>0.75344999999999995</v>
          </cell>
          <cell r="F1786">
            <v>5.8247E-2</v>
          </cell>
          <cell r="J1786">
            <v>19.175590966459385</v>
          </cell>
          <cell r="K1786">
            <v>8.067273E-5</v>
          </cell>
          <cell r="L1786">
            <v>0.75344999999999995</v>
          </cell>
          <cell r="M1786">
            <v>5.8247E-2</v>
          </cell>
          <cell r="N1786">
            <v>18.909429130494615</v>
          </cell>
          <cell r="O1786">
            <v>21.184456671187981</v>
          </cell>
          <cell r="P1786">
            <v>6.5678239999999999E-3</v>
          </cell>
        </row>
        <row r="1787">
          <cell r="B1787">
            <v>33291</v>
          </cell>
          <cell r="C1787">
            <v>14.01</v>
          </cell>
          <cell r="D1787">
            <v>8.0781820000000001E-5</v>
          </cell>
          <cell r="E1787">
            <v>0.78422999999999998</v>
          </cell>
          <cell r="F1787">
            <v>6.2944E-2</v>
          </cell>
          <cell r="J1787">
            <v>19.26514097627275</v>
          </cell>
          <cell r="K1787">
            <v>8.0781820000000001E-5</v>
          </cell>
          <cell r="L1787">
            <v>0.78422999999999998</v>
          </cell>
          <cell r="M1787">
            <v>6.2944E-2</v>
          </cell>
          <cell r="N1787">
            <v>18.909429130494615</v>
          </cell>
          <cell r="O1787">
            <v>21.184456671187981</v>
          </cell>
          <cell r="P1787">
            <v>6.5678239999999999E-3</v>
          </cell>
        </row>
        <row r="1788">
          <cell r="B1788">
            <v>33294</v>
          </cell>
          <cell r="C1788">
            <v>13.5</v>
          </cell>
          <cell r="D1788">
            <v>8.0981820000000006E-5</v>
          </cell>
          <cell r="E1788">
            <v>0.76141999999999999</v>
          </cell>
          <cell r="F1788">
            <v>6.0345999999999997E-2</v>
          </cell>
          <cell r="J1788">
            <v>19.351834110665976</v>
          </cell>
          <cell r="K1788">
            <v>8.0981820000000006E-5</v>
          </cell>
          <cell r="L1788">
            <v>0.76141999999999999</v>
          </cell>
          <cell r="M1788">
            <v>6.0345999999999997E-2</v>
          </cell>
          <cell r="N1788">
            <v>18.909429130494615</v>
          </cell>
          <cell r="O1788">
            <v>21.184456671187981</v>
          </cell>
          <cell r="P1788">
            <v>6.5678239999999999E-3</v>
          </cell>
        </row>
        <row r="1789">
          <cell r="B1789">
            <v>33295</v>
          </cell>
          <cell r="C1789">
            <v>13.2</v>
          </cell>
          <cell r="D1789">
            <v>8.1163639999999999E-5</v>
          </cell>
          <cell r="E1789">
            <v>0.76612000000000002</v>
          </cell>
          <cell r="F1789">
            <v>6.2335000000000002E-2</v>
          </cell>
          <cell r="J1789">
            <v>19.436982180752906</v>
          </cell>
          <cell r="K1789">
            <v>8.1163639999999999E-5</v>
          </cell>
          <cell r="L1789">
            <v>0.76612000000000002</v>
          </cell>
          <cell r="M1789">
            <v>6.2335000000000002E-2</v>
          </cell>
          <cell r="N1789">
            <v>18.909429130494615</v>
          </cell>
          <cell r="O1789">
            <v>21.184456671187981</v>
          </cell>
          <cell r="P1789">
            <v>6.5678239999999999E-3</v>
          </cell>
        </row>
        <row r="1790">
          <cell r="B1790">
            <v>33296</v>
          </cell>
          <cell r="C1790">
            <v>13.47</v>
          </cell>
          <cell r="D1790">
            <v>8.1272730000000001E-5</v>
          </cell>
          <cell r="E1790">
            <v>0.79037999999999997</v>
          </cell>
          <cell r="F1790">
            <v>6.7262000000000002E-2</v>
          </cell>
          <cell r="J1790">
            <v>19.524254230744489</v>
          </cell>
          <cell r="K1790">
            <v>8.1272730000000001E-5</v>
          </cell>
          <cell r="L1790">
            <v>0.79037999999999997</v>
          </cell>
          <cell r="M1790">
            <v>6.7262000000000002E-2</v>
          </cell>
          <cell r="N1790">
            <v>18.909429130494615</v>
          </cell>
          <cell r="O1790">
            <v>21.184456671187981</v>
          </cell>
          <cell r="P1790">
            <v>6.5678239999999999E-3</v>
          </cell>
        </row>
        <row r="1791">
          <cell r="B1791">
            <v>33297</v>
          </cell>
          <cell r="C1791">
            <v>12.33</v>
          </cell>
          <cell r="D1791">
            <v>8.1418179999999998E-5</v>
          </cell>
          <cell r="E1791">
            <v>0.82877000000000001</v>
          </cell>
          <cell r="F1791">
            <v>7.2596999999999995E-2</v>
          </cell>
          <cell r="G1791">
            <v>21.11</v>
          </cell>
          <cell r="H1791">
            <v>21.02</v>
          </cell>
          <cell r="I1791">
            <v>7.0627090000000003E-3</v>
          </cell>
          <cell r="J1791">
            <v>19.604498915632849</v>
          </cell>
          <cell r="K1791">
            <v>8.1418179999999998E-5</v>
          </cell>
          <cell r="L1791">
            <v>0.82877000000000001</v>
          </cell>
          <cell r="M1791">
            <v>7.2596999999999995E-2</v>
          </cell>
          <cell r="N1791">
            <v>22.90120961994203</v>
          </cell>
          <cell r="O1791">
            <v>25.637429463471694</v>
          </cell>
          <cell r="P1791">
            <v>7.0627090000000003E-3</v>
          </cell>
        </row>
        <row r="1792">
          <cell r="B1792">
            <v>33298</v>
          </cell>
          <cell r="C1792">
            <v>13.2</v>
          </cell>
          <cell r="D1792">
            <v>8.1854550000000004E-5</v>
          </cell>
          <cell r="E1792">
            <v>0.81496000000000002</v>
          </cell>
          <cell r="F1792">
            <v>7.0194000000000006E-2</v>
          </cell>
          <cell r="J1792">
            <v>19.690758710861633</v>
          </cell>
          <cell r="K1792">
            <v>8.1854550000000004E-5</v>
          </cell>
          <cell r="L1792">
            <v>0.81496000000000002</v>
          </cell>
          <cell r="M1792">
            <v>7.0194000000000006E-2</v>
          </cell>
          <cell r="N1792">
            <v>22.90120961994203</v>
          </cell>
          <cell r="O1792">
            <v>25.637429463471694</v>
          </cell>
          <cell r="P1792">
            <v>7.0627090000000003E-3</v>
          </cell>
        </row>
        <row r="1793">
          <cell r="B1793">
            <v>33301</v>
          </cell>
          <cell r="C1793">
            <v>13.47</v>
          </cell>
          <cell r="D1793">
            <v>8.2000000000000001E-5</v>
          </cell>
          <cell r="E1793">
            <v>0.79913000000000001</v>
          </cell>
          <cell r="F1793">
            <v>6.9792999999999994E-2</v>
          </cell>
          <cell r="J1793">
            <v>19.779170217473403</v>
          </cell>
          <cell r="K1793">
            <v>8.2000000000000001E-5</v>
          </cell>
          <cell r="L1793">
            <v>0.79913000000000001</v>
          </cell>
          <cell r="M1793">
            <v>6.9792999999999994E-2</v>
          </cell>
          <cell r="N1793">
            <v>22.90120961994203</v>
          </cell>
          <cell r="O1793">
            <v>25.637429463471694</v>
          </cell>
          <cell r="P1793">
            <v>7.0627090000000003E-3</v>
          </cell>
        </row>
        <row r="1794">
          <cell r="B1794">
            <v>33302</v>
          </cell>
          <cell r="C1794">
            <v>13.14</v>
          </cell>
          <cell r="D1794">
            <v>8.2072730000000007E-5</v>
          </cell>
          <cell r="E1794">
            <v>0.81540999999999997</v>
          </cell>
          <cell r="F1794">
            <v>7.2694999999999996E-2</v>
          </cell>
          <cell r="J1794">
            <v>19.865802983025937</v>
          </cell>
          <cell r="K1794">
            <v>8.2072730000000007E-5</v>
          </cell>
          <cell r="L1794">
            <v>0.81540999999999997</v>
          </cell>
          <cell r="M1794">
            <v>7.2694999999999996E-2</v>
          </cell>
          <cell r="N1794">
            <v>22.90120961994203</v>
          </cell>
          <cell r="O1794">
            <v>25.637429463471694</v>
          </cell>
          <cell r="P1794">
            <v>7.0627090000000003E-3</v>
          </cell>
        </row>
        <row r="1795">
          <cell r="B1795">
            <v>33303</v>
          </cell>
          <cell r="C1795">
            <v>13.02</v>
          </cell>
          <cell r="D1795">
            <v>8.2218180000000004E-5</v>
          </cell>
          <cell r="E1795">
            <v>0.78985000000000005</v>
          </cell>
          <cell r="F1795">
            <v>6.8905999999999995E-2</v>
          </cell>
          <cell r="J1795">
            <v>19.952020567972269</v>
          </cell>
          <cell r="K1795">
            <v>8.2218180000000004E-5</v>
          </cell>
          <cell r="L1795">
            <v>0.78985000000000005</v>
          </cell>
          <cell r="M1795">
            <v>6.8905999999999995E-2</v>
          </cell>
          <cell r="N1795">
            <v>22.90120961994203</v>
          </cell>
          <cell r="O1795">
            <v>25.637429463471694</v>
          </cell>
          <cell r="P1795">
            <v>7.0627090000000003E-3</v>
          </cell>
        </row>
        <row r="1796">
          <cell r="B1796">
            <v>33304</v>
          </cell>
          <cell r="C1796">
            <v>13.2</v>
          </cell>
          <cell r="D1796">
            <v>8.2363640000000001E-5</v>
          </cell>
          <cell r="E1796">
            <v>0.79342999999999997</v>
          </cell>
          <cell r="F1796">
            <v>6.9703000000000001E-2</v>
          </cell>
          <cell r="J1796">
            <v>20.039809458471346</v>
          </cell>
          <cell r="K1796">
            <v>8.2363640000000001E-5</v>
          </cell>
          <cell r="L1796">
            <v>0.79342999999999997</v>
          </cell>
          <cell r="M1796">
            <v>6.9703000000000001E-2</v>
          </cell>
          <cell r="N1796">
            <v>22.90120961994203</v>
          </cell>
          <cell r="O1796">
            <v>25.637429463471694</v>
          </cell>
          <cell r="P1796">
            <v>7.0627090000000003E-3</v>
          </cell>
        </row>
        <row r="1797">
          <cell r="B1797">
            <v>33305</v>
          </cell>
          <cell r="C1797">
            <v>13.29</v>
          </cell>
          <cell r="D1797">
            <v>8.2381819999999999E-5</v>
          </cell>
          <cell r="E1797">
            <v>0.77517999999999998</v>
          </cell>
          <cell r="F1797">
            <v>6.4516000000000004E-2</v>
          </cell>
          <cell r="J1797">
            <v>20.128585814372371</v>
          </cell>
          <cell r="K1797">
            <v>8.2381819999999999E-5</v>
          </cell>
          <cell r="L1797">
            <v>0.77517999999999998</v>
          </cell>
          <cell r="M1797">
            <v>6.4516000000000004E-2</v>
          </cell>
          <cell r="N1797">
            <v>22.90120961994203</v>
          </cell>
          <cell r="O1797">
            <v>25.637429463471694</v>
          </cell>
          <cell r="P1797">
            <v>7.0627090000000003E-3</v>
          </cell>
        </row>
        <row r="1798">
          <cell r="B1798">
            <v>33308</v>
          </cell>
          <cell r="C1798">
            <v>13.98</v>
          </cell>
          <cell r="D1798">
            <v>8.274546E-5</v>
          </cell>
          <cell r="E1798">
            <v>0.75753999999999999</v>
          </cell>
          <cell r="F1798">
            <v>6.1850000000000002E-2</v>
          </cell>
          <cell r="J1798">
            <v>20.22238502426735</v>
          </cell>
          <cell r="K1798">
            <v>8.274546E-5</v>
          </cell>
          <cell r="L1798">
            <v>0.75753999999999999</v>
          </cell>
          <cell r="M1798">
            <v>6.1850000000000002E-2</v>
          </cell>
          <cell r="N1798">
            <v>22.90120961994203</v>
          </cell>
          <cell r="O1798">
            <v>25.637429463471694</v>
          </cell>
          <cell r="P1798">
            <v>7.0627090000000003E-3</v>
          </cell>
        </row>
        <row r="1799">
          <cell r="B1799">
            <v>33309</v>
          </cell>
          <cell r="C1799">
            <v>16.170000000000002</v>
          </cell>
          <cell r="D1799">
            <v>8.2963630000000002E-5</v>
          </cell>
          <cell r="E1799">
            <v>0.75868999999999998</v>
          </cell>
          <cell r="F1799">
            <v>6.3626000000000002E-2</v>
          </cell>
          <cell r="J1799">
            <v>20.33138367954815</v>
          </cell>
          <cell r="K1799">
            <v>8.2963630000000002E-5</v>
          </cell>
          <cell r="L1799">
            <v>0.75868999999999998</v>
          </cell>
          <cell r="M1799">
            <v>6.3626000000000002E-2</v>
          </cell>
          <cell r="N1799">
            <v>22.90120961994203</v>
          </cell>
          <cell r="O1799">
            <v>25.637429463471694</v>
          </cell>
          <cell r="P1799">
            <v>7.0627090000000003E-3</v>
          </cell>
        </row>
        <row r="1800">
          <cell r="B1800">
            <v>33310</v>
          </cell>
          <cell r="C1800">
            <v>15.63</v>
          </cell>
          <cell r="D1800">
            <v>8.3236359999999999E-5</v>
          </cell>
          <cell r="E1800">
            <v>0.76566000000000001</v>
          </cell>
          <cell r="F1800">
            <v>6.3866000000000006E-2</v>
          </cell>
          <cell r="J1800">
            <v>20.437310188518595</v>
          </cell>
          <cell r="K1800">
            <v>8.3236359999999999E-5</v>
          </cell>
          <cell r="L1800">
            <v>0.76566000000000001</v>
          </cell>
          <cell r="M1800">
            <v>6.3866000000000006E-2</v>
          </cell>
          <cell r="N1800">
            <v>22.90120961994203</v>
          </cell>
          <cell r="O1800">
            <v>25.637429463471694</v>
          </cell>
          <cell r="P1800">
            <v>7.0627090000000003E-3</v>
          </cell>
        </row>
        <row r="1801">
          <cell r="B1801">
            <v>33311</v>
          </cell>
          <cell r="C1801">
            <v>14.64</v>
          </cell>
          <cell r="D1801">
            <v>8.3236359999999999E-5</v>
          </cell>
          <cell r="E1801">
            <v>0.73643999999999998</v>
          </cell>
          <cell r="F1801">
            <v>6.0118999999999999E-2</v>
          </cell>
          <cell r="J1801">
            <v>20.537044262238567</v>
          </cell>
          <cell r="K1801">
            <v>8.3236359999999999E-5</v>
          </cell>
          <cell r="L1801">
            <v>0.73643999999999998</v>
          </cell>
          <cell r="M1801">
            <v>6.0118999999999999E-2</v>
          </cell>
          <cell r="N1801">
            <v>22.90120961994203</v>
          </cell>
          <cell r="O1801">
            <v>25.637429463471694</v>
          </cell>
          <cell r="P1801">
            <v>7.0627090000000003E-3</v>
          </cell>
        </row>
        <row r="1802">
          <cell r="B1802">
            <v>33312</v>
          </cell>
          <cell r="C1802">
            <v>14.73</v>
          </cell>
          <cell r="D1802">
            <v>8.3309090000000004E-5</v>
          </cell>
          <cell r="E1802">
            <v>0.73558999999999997</v>
          </cell>
          <cell r="F1802">
            <v>6.0214999999999998E-2</v>
          </cell>
          <cell r="J1802">
            <v>20.637881149566159</v>
          </cell>
          <cell r="K1802">
            <v>8.3309090000000004E-5</v>
          </cell>
          <cell r="L1802">
            <v>0.73558999999999997</v>
          </cell>
          <cell r="M1802">
            <v>6.0214999999999998E-2</v>
          </cell>
          <cell r="N1802">
            <v>22.90120961994203</v>
          </cell>
          <cell r="O1802">
            <v>25.637429463471694</v>
          </cell>
          <cell r="P1802">
            <v>7.0627090000000003E-3</v>
          </cell>
        </row>
        <row r="1803">
          <cell r="B1803">
            <v>33315</v>
          </cell>
          <cell r="C1803">
            <v>18.87</v>
          </cell>
          <cell r="D1803">
            <v>8.3781820000000006E-5</v>
          </cell>
          <cell r="E1803">
            <v>0.72836000000000001</v>
          </cell>
          <cell r="F1803">
            <v>5.9472999999999998E-2</v>
          </cell>
          <cell r="J1803">
            <v>20.767693421996928</v>
          </cell>
          <cell r="K1803">
            <v>8.3781820000000006E-5</v>
          </cell>
          <cell r="L1803">
            <v>0.72836000000000001</v>
          </cell>
          <cell r="M1803">
            <v>5.9472999999999998E-2</v>
          </cell>
          <cell r="N1803">
            <v>22.90120961994203</v>
          </cell>
          <cell r="O1803">
            <v>25.637429463471694</v>
          </cell>
          <cell r="P1803">
            <v>7.0627090000000003E-3</v>
          </cell>
        </row>
        <row r="1804">
          <cell r="B1804">
            <v>33316</v>
          </cell>
          <cell r="C1804">
            <v>15.45</v>
          </cell>
          <cell r="D1804">
            <v>8.4145450000000006E-5</v>
          </cell>
          <cell r="E1804">
            <v>0.73880000000000001</v>
          </cell>
          <cell r="F1804">
            <v>6.2606999999999996E-2</v>
          </cell>
          <cell r="J1804">
            <v>20.874647043120213</v>
          </cell>
          <cell r="K1804">
            <v>8.4145450000000006E-5</v>
          </cell>
          <cell r="L1804">
            <v>0.73880000000000001</v>
          </cell>
          <cell r="M1804">
            <v>6.2606999999999996E-2</v>
          </cell>
          <cell r="N1804">
            <v>22.90120961994203</v>
          </cell>
          <cell r="O1804">
            <v>25.637429463471694</v>
          </cell>
          <cell r="P1804">
            <v>7.0627090000000003E-3</v>
          </cell>
        </row>
        <row r="1805">
          <cell r="B1805">
            <v>33317</v>
          </cell>
          <cell r="C1805">
            <v>15.42</v>
          </cell>
          <cell r="D1805">
            <v>8.603637E-5</v>
          </cell>
          <cell r="E1805">
            <v>0.73923000000000005</v>
          </cell>
          <cell r="F1805">
            <v>6.0461000000000001E-2</v>
          </cell>
          <cell r="J1805">
            <v>20.981942728921847</v>
          </cell>
          <cell r="K1805">
            <v>8.603637E-5</v>
          </cell>
          <cell r="L1805">
            <v>0.73923000000000005</v>
          </cell>
          <cell r="M1805">
            <v>6.0461000000000001E-2</v>
          </cell>
          <cell r="N1805">
            <v>22.90120961994203</v>
          </cell>
          <cell r="O1805">
            <v>25.637429463471694</v>
          </cell>
          <cell r="P1805">
            <v>7.0627090000000003E-3</v>
          </cell>
        </row>
        <row r="1806">
          <cell r="B1806">
            <v>33318</v>
          </cell>
          <cell r="C1806">
            <v>15.84</v>
          </cell>
          <cell r="D1806">
            <v>8.4945459999999999E-5</v>
          </cell>
          <cell r="E1806">
            <v>0.72796000000000005</v>
          </cell>
          <cell r="F1806">
            <v>6.0972999999999999E-2</v>
          </cell>
          <cell r="J1806">
            <v>21.092727386530555</v>
          </cell>
          <cell r="K1806">
            <v>8.4945459999999999E-5</v>
          </cell>
          <cell r="L1806">
            <v>0.72796000000000005</v>
          </cell>
          <cell r="M1806">
            <v>6.0972999999999999E-2</v>
          </cell>
          <cell r="N1806">
            <v>22.90120961994203</v>
          </cell>
          <cell r="O1806">
            <v>25.637429463471694</v>
          </cell>
          <cell r="P1806">
            <v>7.0627090000000003E-3</v>
          </cell>
        </row>
        <row r="1807">
          <cell r="B1807">
            <v>33319</v>
          </cell>
          <cell r="C1807">
            <v>17.16</v>
          </cell>
          <cell r="D1807">
            <v>8.5272730000000003E-5</v>
          </cell>
          <cell r="E1807">
            <v>0.72857000000000005</v>
          </cell>
          <cell r="F1807">
            <v>5.9268000000000001E-2</v>
          </cell>
          <cell r="J1807">
            <v>21.213377787181507</v>
          </cell>
          <cell r="K1807">
            <v>8.5272730000000003E-5</v>
          </cell>
          <cell r="L1807">
            <v>0.72857000000000005</v>
          </cell>
          <cell r="M1807">
            <v>5.9268000000000001E-2</v>
          </cell>
          <cell r="N1807">
            <v>22.90120961994203</v>
          </cell>
          <cell r="O1807">
            <v>25.637429463471694</v>
          </cell>
          <cell r="P1807">
            <v>7.0627090000000003E-3</v>
          </cell>
        </row>
        <row r="1808">
          <cell r="B1808">
            <v>33322</v>
          </cell>
          <cell r="C1808">
            <v>16.920000000000002</v>
          </cell>
          <cell r="D1808">
            <v>8.5636360000000003E-5</v>
          </cell>
          <cell r="E1808">
            <v>0.72553999999999996</v>
          </cell>
          <cell r="F1808">
            <v>5.9948000000000001E-2</v>
          </cell>
          <cell r="J1808">
            <v>21.333021237901214</v>
          </cell>
          <cell r="K1808">
            <v>8.5636360000000003E-5</v>
          </cell>
          <cell r="L1808">
            <v>0.72553999999999996</v>
          </cell>
          <cell r="M1808">
            <v>5.9948000000000001E-2</v>
          </cell>
          <cell r="N1808">
            <v>22.90120961994203</v>
          </cell>
          <cell r="O1808">
            <v>25.637429463471694</v>
          </cell>
          <cell r="P1808">
            <v>7.0627090000000003E-3</v>
          </cell>
        </row>
        <row r="1809">
          <cell r="B1809">
            <v>33323</v>
          </cell>
          <cell r="C1809">
            <v>15.87</v>
          </cell>
          <cell r="D1809">
            <v>8.6309089999999996E-5</v>
          </cell>
          <cell r="E1809">
            <v>0.74755000000000005</v>
          </cell>
          <cell r="F1809">
            <v>6.3173000000000007E-2</v>
          </cell>
          <cell r="J1809">
            <v>21.445872920249712</v>
          </cell>
          <cell r="K1809">
            <v>8.6309089999999996E-5</v>
          </cell>
          <cell r="L1809">
            <v>0.74755000000000005</v>
          </cell>
          <cell r="M1809">
            <v>6.3173000000000007E-2</v>
          </cell>
          <cell r="N1809">
            <v>22.90120961994203</v>
          </cell>
          <cell r="O1809">
            <v>25.637429463471694</v>
          </cell>
          <cell r="P1809">
            <v>7.0627090000000003E-3</v>
          </cell>
        </row>
        <row r="1810">
          <cell r="B1810">
            <v>33324</v>
          </cell>
          <cell r="C1810">
            <v>16.89</v>
          </cell>
          <cell r="D1810">
            <v>8.6909089999999997E-5</v>
          </cell>
          <cell r="E1810">
            <v>0.75456000000000001</v>
          </cell>
          <cell r="F1810">
            <v>6.4241000000000006E-2</v>
          </cell>
          <cell r="J1810">
            <v>21.566613184790718</v>
          </cell>
          <cell r="K1810">
            <v>8.6909089999999997E-5</v>
          </cell>
          <cell r="L1810">
            <v>0.75456000000000001</v>
          </cell>
          <cell r="M1810">
            <v>6.4241000000000006E-2</v>
          </cell>
          <cell r="N1810">
            <v>22.90120961994203</v>
          </cell>
          <cell r="O1810">
            <v>25.637429463471694</v>
          </cell>
          <cell r="P1810">
            <v>7.0627090000000003E-3</v>
          </cell>
        </row>
        <row r="1811">
          <cell r="B1811">
            <v>33326</v>
          </cell>
          <cell r="G1811">
            <v>7.25</v>
          </cell>
          <cell r="H1811">
            <v>9.19</v>
          </cell>
          <cell r="I1811">
            <v>7.701355E-3</v>
          </cell>
          <cell r="J1811">
            <v>21.566613184790718</v>
          </cell>
          <cell r="K1811">
            <v>8.6909089999999997E-5</v>
          </cell>
          <cell r="L1811">
            <v>0.75456000000000001</v>
          </cell>
          <cell r="M1811">
            <v>6.4241000000000006E-2</v>
          </cell>
          <cell r="N1811">
            <v>24.561547317387827</v>
          </cell>
          <cell r="O1811">
            <v>27.993509231164744</v>
          </cell>
          <cell r="P1811">
            <v>7.701355E-3</v>
          </cell>
        </row>
        <row r="1812">
          <cell r="B1812">
            <v>33329</v>
          </cell>
          <cell r="C1812">
            <v>14.52</v>
          </cell>
          <cell r="D1812">
            <v>8.8163639999999993E-5</v>
          </cell>
          <cell r="E1812">
            <v>0.77173999999999998</v>
          </cell>
          <cell r="F1812">
            <v>6.7070000000000005E-2</v>
          </cell>
          <cell r="J1812">
            <v>21.670995592605106</v>
          </cell>
          <cell r="K1812">
            <v>8.8163639999999993E-5</v>
          </cell>
          <cell r="L1812">
            <v>0.77173999999999998</v>
          </cell>
          <cell r="M1812">
            <v>6.7070000000000005E-2</v>
          </cell>
          <cell r="N1812">
            <v>24.561547317387827</v>
          </cell>
          <cell r="O1812">
            <v>27.993509231164744</v>
          </cell>
          <cell r="P1812">
            <v>7.701355E-3</v>
          </cell>
        </row>
        <row r="1813">
          <cell r="B1813">
            <v>33330</v>
          </cell>
          <cell r="C1813">
            <v>18</v>
          </cell>
          <cell r="D1813">
            <v>8.9127269999999994E-5</v>
          </cell>
          <cell r="E1813">
            <v>0.78724000000000005</v>
          </cell>
          <cell r="F1813">
            <v>6.8143999999999996E-2</v>
          </cell>
          <cell r="J1813">
            <v>21.801021566160738</v>
          </cell>
          <cell r="K1813">
            <v>8.9127269999999994E-5</v>
          </cell>
          <cell r="L1813">
            <v>0.78724000000000005</v>
          </cell>
          <cell r="M1813">
            <v>6.8143999999999996E-2</v>
          </cell>
          <cell r="N1813">
            <v>24.561547317387827</v>
          </cell>
          <cell r="O1813">
            <v>27.993509231164744</v>
          </cell>
          <cell r="P1813">
            <v>7.701355E-3</v>
          </cell>
        </row>
        <row r="1814">
          <cell r="B1814">
            <v>33331</v>
          </cell>
          <cell r="C1814">
            <v>14.79</v>
          </cell>
          <cell r="D1814">
            <v>8.9545450000000002E-5</v>
          </cell>
          <cell r="E1814">
            <v>0.81503000000000003</v>
          </cell>
          <cell r="F1814">
            <v>7.0694000000000007E-2</v>
          </cell>
          <cell r="J1814">
            <v>21.908500602481912</v>
          </cell>
          <cell r="K1814">
            <v>8.9545450000000002E-5</v>
          </cell>
          <cell r="L1814">
            <v>0.81503000000000003</v>
          </cell>
          <cell r="M1814">
            <v>7.0694000000000007E-2</v>
          </cell>
          <cell r="N1814">
            <v>24.561547317387827</v>
          </cell>
          <cell r="O1814">
            <v>27.993509231164744</v>
          </cell>
          <cell r="P1814">
            <v>7.701355E-3</v>
          </cell>
        </row>
        <row r="1815">
          <cell r="B1815">
            <v>33332</v>
          </cell>
          <cell r="C1815">
            <v>15.24</v>
          </cell>
          <cell r="D1815">
            <v>8.9345449999999997E-5</v>
          </cell>
          <cell r="E1815">
            <v>0.82803000000000004</v>
          </cell>
          <cell r="F1815">
            <v>6.9099999999999995E-2</v>
          </cell>
          <cell r="J1815">
            <v>22.01979578554252</v>
          </cell>
          <cell r="K1815">
            <v>8.9345449999999997E-5</v>
          </cell>
          <cell r="L1815">
            <v>0.82803000000000004</v>
          </cell>
          <cell r="M1815">
            <v>6.9099999999999995E-2</v>
          </cell>
          <cell r="N1815">
            <v>24.561547317387827</v>
          </cell>
          <cell r="O1815">
            <v>27.993509231164744</v>
          </cell>
          <cell r="P1815">
            <v>7.701355E-3</v>
          </cell>
        </row>
        <row r="1816">
          <cell r="B1816">
            <v>33333</v>
          </cell>
          <cell r="C1816">
            <v>15.21</v>
          </cell>
          <cell r="D1816">
            <v>8.9490909999999995E-5</v>
          </cell>
          <cell r="E1816">
            <v>0.83572999999999997</v>
          </cell>
          <cell r="F1816">
            <v>7.0684999999999998E-2</v>
          </cell>
          <cell r="J1816">
            <v>22.131436150175219</v>
          </cell>
          <cell r="K1816">
            <v>8.9490909999999995E-5</v>
          </cell>
          <cell r="L1816">
            <v>0.83572999999999997</v>
          </cell>
          <cell r="M1816">
            <v>7.0684999999999998E-2</v>
          </cell>
          <cell r="N1816">
            <v>24.561547317387827</v>
          </cell>
          <cell r="O1816">
            <v>27.993509231164744</v>
          </cell>
          <cell r="P1816">
            <v>7.701355E-3</v>
          </cell>
        </row>
        <row r="1817">
          <cell r="B1817">
            <v>33336</v>
          </cell>
          <cell r="C1817">
            <v>17.46</v>
          </cell>
          <cell r="D1817">
            <v>8.9818179999999999E-5</v>
          </cell>
          <cell r="E1817">
            <v>0.84177000000000002</v>
          </cell>
          <cell r="F1817">
            <v>7.0045999999999997E-2</v>
          </cell>
          <cell r="J1817">
            <v>22.260241108569236</v>
          </cell>
          <cell r="K1817">
            <v>8.9818179999999999E-5</v>
          </cell>
          <cell r="L1817">
            <v>0.84177000000000002</v>
          </cell>
          <cell r="M1817">
            <v>7.0045999999999997E-2</v>
          </cell>
          <cell r="N1817">
            <v>24.561547317387827</v>
          </cell>
          <cell r="O1817">
            <v>27.993509231164744</v>
          </cell>
          <cell r="P1817">
            <v>7.701355E-3</v>
          </cell>
        </row>
        <row r="1818">
          <cell r="B1818">
            <v>33337</v>
          </cell>
          <cell r="C1818">
            <v>17.399999999999999</v>
          </cell>
          <cell r="D1818">
            <v>9.0454549999999996E-5</v>
          </cell>
          <cell r="E1818">
            <v>0.83131999999999995</v>
          </cell>
          <cell r="F1818">
            <v>6.7969000000000002E-2</v>
          </cell>
          <cell r="J1818">
            <v>22.389350506998937</v>
          </cell>
          <cell r="K1818">
            <v>9.0454549999999996E-5</v>
          </cell>
          <cell r="L1818">
            <v>0.83131999999999995</v>
          </cell>
          <cell r="M1818">
            <v>6.7969000000000002E-2</v>
          </cell>
          <cell r="N1818">
            <v>24.561547317387827</v>
          </cell>
          <cell r="O1818">
            <v>27.993509231164744</v>
          </cell>
          <cell r="P1818">
            <v>7.701355E-3</v>
          </cell>
        </row>
        <row r="1819">
          <cell r="B1819">
            <v>33338</v>
          </cell>
          <cell r="C1819">
            <v>17.100000000000001</v>
          </cell>
          <cell r="D1819">
            <v>9.0872730000000004E-5</v>
          </cell>
          <cell r="E1819">
            <v>0.82565</v>
          </cell>
          <cell r="F1819">
            <v>6.6698999999999994E-2</v>
          </cell>
          <cell r="J1819">
            <v>22.516969804888831</v>
          </cell>
          <cell r="K1819">
            <v>9.0872730000000004E-5</v>
          </cell>
          <cell r="L1819">
            <v>0.82565</v>
          </cell>
          <cell r="M1819">
            <v>6.6698999999999994E-2</v>
          </cell>
          <cell r="N1819">
            <v>24.561547317387827</v>
          </cell>
          <cell r="O1819">
            <v>27.993509231164744</v>
          </cell>
          <cell r="P1819">
            <v>7.701355E-3</v>
          </cell>
        </row>
        <row r="1820">
          <cell r="B1820">
            <v>33339</v>
          </cell>
          <cell r="C1820">
            <v>18.510000000000002</v>
          </cell>
          <cell r="D1820">
            <v>9.1199999999999994E-5</v>
          </cell>
          <cell r="E1820">
            <v>0.81810000000000005</v>
          </cell>
          <cell r="F1820">
            <v>6.4051999999999998E-2</v>
          </cell>
          <cell r="J1820">
            <v>22.655899508584994</v>
          </cell>
          <cell r="K1820">
            <v>9.1199999999999994E-5</v>
          </cell>
          <cell r="L1820">
            <v>0.81810000000000005</v>
          </cell>
          <cell r="M1820">
            <v>6.4051999999999998E-2</v>
          </cell>
          <cell r="N1820">
            <v>24.561547317387827</v>
          </cell>
          <cell r="O1820">
            <v>27.993509231164744</v>
          </cell>
          <cell r="P1820">
            <v>7.701355E-3</v>
          </cell>
        </row>
        <row r="1821">
          <cell r="B1821">
            <v>33340</v>
          </cell>
          <cell r="C1821">
            <v>18.3</v>
          </cell>
          <cell r="D1821">
            <v>9.1309089999999996E-5</v>
          </cell>
          <cell r="E1821">
            <v>0.83709999999999996</v>
          </cell>
          <cell r="F1821">
            <v>6.6999000000000003E-2</v>
          </cell>
          <cell r="J1821">
            <v>22.794100495587362</v>
          </cell>
          <cell r="K1821">
            <v>9.1309089999999996E-5</v>
          </cell>
          <cell r="L1821">
            <v>0.83709999999999996</v>
          </cell>
          <cell r="M1821">
            <v>6.6999000000000003E-2</v>
          </cell>
          <cell r="N1821">
            <v>24.561547317387827</v>
          </cell>
          <cell r="O1821">
            <v>27.993509231164744</v>
          </cell>
          <cell r="P1821">
            <v>7.701355E-3</v>
          </cell>
        </row>
        <row r="1822">
          <cell r="B1822">
            <v>33343</v>
          </cell>
          <cell r="C1822">
            <v>19.649999999999999</v>
          </cell>
          <cell r="D1822">
            <v>9.1600000000000004E-5</v>
          </cell>
          <cell r="E1822">
            <v>0.83130999999999999</v>
          </cell>
          <cell r="F1822">
            <v>6.5129000000000006E-2</v>
          </cell>
          <cell r="J1822">
            <v>22.943401853833461</v>
          </cell>
          <cell r="K1822">
            <v>9.1600000000000004E-5</v>
          </cell>
          <cell r="L1822">
            <v>0.83130999999999999</v>
          </cell>
          <cell r="M1822">
            <v>6.5129000000000006E-2</v>
          </cell>
          <cell r="N1822">
            <v>24.561547317387827</v>
          </cell>
          <cell r="O1822">
            <v>27.993509231164744</v>
          </cell>
          <cell r="P1822">
            <v>7.701355E-3</v>
          </cell>
        </row>
        <row r="1823">
          <cell r="B1823">
            <v>33344</v>
          </cell>
          <cell r="C1823">
            <v>22.59</v>
          </cell>
          <cell r="D1823">
            <v>9.2109090000000001E-5</v>
          </cell>
          <cell r="E1823">
            <v>0.85401000000000005</v>
          </cell>
          <cell r="F1823">
            <v>6.8820000000000006E-2</v>
          </cell>
          <cell r="J1823">
            <v>23.116165669792828</v>
          </cell>
          <cell r="K1823">
            <v>9.2109090000000001E-5</v>
          </cell>
          <cell r="L1823">
            <v>0.85401000000000005</v>
          </cell>
          <cell r="M1823">
            <v>6.8820000000000006E-2</v>
          </cell>
          <cell r="N1823">
            <v>24.561547317387827</v>
          </cell>
          <cell r="O1823">
            <v>27.993509231164744</v>
          </cell>
          <cell r="P1823">
            <v>7.701355E-3</v>
          </cell>
        </row>
        <row r="1824">
          <cell r="B1824">
            <v>33345</v>
          </cell>
          <cell r="C1824">
            <v>17.97</v>
          </cell>
          <cell r="D1824">
            <v>9.2345450000000002E-5</v>
          </cell>
          <cell r="E1824">
            <v>0.86614999999999998</v>
          </cell>
          <cell r="F1824">
            <v>6.9550000000000001E-2</v>
          </cell>
          <cell r="J1824">
            <v>23.254631502154886</v>
          </cell>
          <cell r="K1824">
            <v>9.2345450000000002E-5</v>
          </cell>
          <cell r="L1824">
            <v>0.86614999999999998</v>
          </cell>
          <cell r="M1824">
            <v>6.9550000000000001E-2</v>
          </cell>
          <cell r="N1824">
            <v>24.561547317387827</v>
          </cell>
          <cell r="O1824">
            <v>27.993509231164744</v>
          </cell>
          <cell r="P1824">
            <v>7.701355E-3</v>
          </cell>
        </row>
        <row r="1825">
          <cell r="B1825">
            <v>33346</v>
          </cell>
          <cell r="C1825">
            <v>16.739999999999998</v>
          </cell>
          <cell r="D1825">
            <v>9.2909089999999994E-5</v>
          </cell>
          <cell r="E1825">
            <v>0.86475999999999997</v>
          </cell>
          <cell r="F1825">
            <v>6.9196999999999995E-2</v>
          </cell>
          <cell r="J1825">
            <v>23.384392345936909</v>
          </cell>
          <cell r="K1825">
            <v>9.2909089999999994E-5</v>
          </cell>
          <cell r="L1825">
            <v>0.86475999999999997</v>
          </cell>
          <cell r="M1825">
            <v>6.9196999999999995E-2</v>
          </cell>
          <cell r="N1825">
            <v>24.561547317387827</v>
          </cell>
          <cell r="O1825">
            <v>27.993509231164744</v>
          </cell>
          <cell r="P1825">
            <v>7.701355E-3</v>
          </cell>
        </row>
        <row r="1826">
          <cell r="B1826">
            <v>33347</v>
          </cell>
          <cell r="C1826">
            <v>17.13</v>
          </cell>
          <cell r="D1826">
            <v>9.2963630000000001E-5</v>
          </cell>
          <cell r="E1826">
            <v>0.86722999999999995</v>
          </cell>
          <cell r="F1826">
            <v>6.9098000000000007E-2</v>
          </cell>
          <cell r="J1826">
            <v>23.51791722623221</v>
          </cell>
          <cell r="K1826">
            <v>9.2963630000000001E-5</v>
          </cell>
          <cell r="L1826">
            <v>0.86722999999999995</v>
          </cell>
          <cell r="M1826">
            <v>6.9098000000000007E-2</v>
          </cell>
          <cell r="N1826">
            <v>24.561547317387827</v>
          </cell>
          <cell r="O1826">
            <v>27.993509231164744</v>
          </cell>
          <cell r="P1826">
            <v>7.701355E-3</v>
          </cell>
        </row>
        <row r="1827">
          <cell r="B1827">
            <v>33350</v>
          </cell>
          <cell r="C1827">
            <v>15.99</v>
          </cell>
          <cell r="D1827">
            <v>9.3054540000000004E-5</v>
          </cell>
          <cell r="E1827">
            <v>0.88207000000000002</v>
          </cell>
          <cell r="F1827">
            <v>7.0525000000000004E-2</v>
          </cell>
          <cell r="J1827">
            <v>23.64326772504803</v>
          </cell>
          <cell r="K1827">
            <v>9.3054540000000004E-5</v>
          </cell>
          <cell r="L1827">
            <v>0.88207000000000002</v>
          </cell>
          <cell r="M1827">
            <v>7.0525000000000004E-2</v>
          </cell>
          <cell r="N1827">
            <v>24.561547317387827</v>
          </cell>
          <cell r="O1827">
            <v>27.993509231164744</v>
          </cell>
          <cell r="P1827">
            <v>7.701355E-3</v>
          </cell>
        </row>
        <row r="1828">
          <cell r="B1828">
            <v>33351</v>
          </cell>
          <cell r="C1828">
            <v>13.68</v>
          </cell>
          <cell r="D1828">
            <v>9.3254549999999996E-5</v>
          </cell>
          <cell r="E1828">
            <v>0.88278000000000001</v>
          </cell>
          <cell r="F1828">
            <v>6.9348000000000007E-2</v>
          </cell>
          <cell r="J1828">
            <v>23.751081025874246</v>
          </cell>
          <cell r="K1828">
            <v>9.3254549999999996E-5</v>
          </cell>
          <cell r="L1828">
            <v>0.88278000000000001</v>
          </cell>
          <cell r="M1828">
            <v>6.9348000000000007E-2</v>
          </cell>
          <cell r="N1828">
            <v>24.561547317387827</v>
          </cell>
          <cell r="O1828">
            <v>27.993509231164744</v>
          </cell>
          <cell r="P1828">
            <v>7.701355E-3</v>
          </cell>
        </row>
        <row r="1829">
          <cell r="B1829">
            <v>33352</v>
          </cell>
          <cell r="C1829">
            <v>12.72</v>
          </cell>
          <cell r="D1829">
            <v>9.3636359999999994E-5</v>
          </cell>
          <cell r="E1829">
            <v>0.89432</v>
          </cell>
          <cell r="F1829">
            <v>7.1900000000000006E-2</v>
          </cell>
          <cell r="J1829">
            <v>23.851785609423953</v>
          </cell>
          <cell r="K1829">
            <v>9.3636359999999994E-5</v>
          </cell>
          <cell r="L1829">
            <v>0.89432</v>
          </cell>
          <cell r="M1829">
            <v>7.1900000000000006E-2</v>
          </cell>
          <cell r="N1829">
            <v>24.561547317387827</v>
          </cell>
          <cell r="O1829">
            <v>27.993509231164744</v>
          </cell>
          <cell r="P1829">
            <v>7.701355E-3</v>
          </cell>
        </row>
        <row r="1830">
          <cell r="B1830">
            <v>33353</v>
          </cell>
          <cell r="C1830">
            <v>12.57</v>
          </cell>
          <cell r="D1830">
            <v>9.4036370000000004E-5</v>
          </cell>
          <cell r="E1830">
            <v>0.89475000000000005</v>
          </cell>
          <cell r="F1830">
            <v>7.0892999999999998E-2</v>
          </cell>
          <cell r="J1830">
            <v>23.951724591127437</v>
          </cell>
          <cell r="K1830">
            <v>9.4036370000000004E-5</v>
          </cell>
          <cell r="L1830">
            <v>0.89475000000000005</v>
          </cell>
          <cell r="M1830">
            <v>7.0892999999999998E-2</v>
          </cell>
          <cell r="N1830">
            <v>24.561547317387827</v>
          </cell>
          <cell r="O1830">
            <v>27.993509231164744</v>
          </cell>
          <cell r="P1830">
            <v>7.701355E-3</v>
          </cell>
        </row>
        <row r="1831">
          <cell r="B1831">
            <v>33354</v>
          </cell>
          <cell r="C1831">
            <v>12.75</v>
          </cell>
          <cell r="D1831">
            <v>9.4345459999999997E-5</v>
          </cell>
          <cell r="E1831">
            <v>0.89885000000000004</v>
          </cell>
          <cell r="F1831">
            <v>7.0101999999999998E-2</v>
          </cell>
          <cell r="J1831">
            <v>24.053519420639731</v>
          </cell>
          <cell r="K1831">
            <v>9.4345459999999997E-5</v>
          </cell>
          <cell r="L1831">
            <v>0.89885000000000004</v>
          </cell>
          <cell r="M1831">
            <v>7.0101999999999998E-2</v>
          </cell>
          <cell r="N1831">
            <v>24.561547317387827</v>
          </cell>
          <cell r="O1831">
            <v>27.993509231164744</v>
          </cell>
          <cell r="P1831">
            <v>7.701355E-3</v>
          </cell>
        </row>
        <row r="1832">
          <cell r="B1832">
            <v>33357</v>
          </cell>
          <cell r="C1832">
            <v>12.63</v>
          </cell>
          <cell r="D1832">
            <v>9.4763640000000005E-5</v>
          </cell>
          <cell r="E1832">
            <v>0.89049</v>
          </cell>
          <cell r="F1832">
            <v>6.8232000000000001E-2</v>
          </cell>
          <cell r="J1832">
            <v>24.154784737400625</v>
          </cell>
          <cell r="K1832">
            <v>9.4763640000000005E-5</v>
          </cell>
          <cell r="L1832">
            <v>0.89049</v>
          </cell>
          <cell r="M1832">
            <v>6.8232000000000001E-2</v>
          </cell>
          <cell r="N1832">
            <v>24.561547317387827</v>
          </cell>
          <cell r="O1832">
            <v>27.993509231164744</v>
          </cell>
          <cell r="P1832">
            <v>7.701355E-3</v>
          </cell>
        </row>
        <row r="1833">
          <cell r="B1833">
            <v>33358</v>
          </cell>
          <cell r="C1833">
            <v>13.08</v>
          </cell>
          <cell r="D1833">
            <v>9.4909090000000002E-5</v>
          </cell>
          <cell r="E1833">
            <v>0.89305000000000001</v>
          </cell>
          <cell r="F1833">
            <v>6.6753000000000007E-2</v>
          </cell>
          <cell r="G1833">
            <v>8.74</v>
          </cell>
          <cell r="H1833">
            <v>7.81</v>
          </cell>
          <cell r="I1833">
            <v>8.4310270000000007E-3</v>
          </cell>
          <cell r="J1833">
            <v>24.260099598855689</v>
          </cell>
          <cell r="K1833">
            <v>9.4909090000000002E-5</v>
          </cell>
          <cell r="L1833">
            <v>0.89305000000000001</v>
          </cell>
          <cell r="M1833">
            <v>6.6753000000000007E-2</v>
          </cell>
          <cell r="N1833">
            <v>26.70822655292752</v>
          </cell>
          <cell r="O1833">
            <v>30.179802302118713</v>
          </cell>
          <cell r="P1833">
            <v>8.4310270000000007E-3</v>
          </cell>
        </row>
        <row r="1834">
          <cell r="B1834">
            <v>33360</v>
          </cell>
          <cell r="C1834">
            <v>14.22</v>
          </cell>
          <cell r="D1834">
            <v>9.5236360000000006E-5</v>
          </cell>
          <cell r="E1834">
            <v>0.88749</v>
          </cell>
          <cell r="F1834">
            <v>6.7239999999999994E-2</v>
          </cell>
          <cell r="J1834">
            <v>24.375092470954264</v>
          </cell>
          <cell r="K1834">
            <v>9.5236360000000006E-5</v>
          </cell>
          <cell r="L1834">
            <v>0.88749</v>
          </cell>
          <cell r="M1834">
            <v>6.7239999999999994E-2</v>
          </cell>
          <cell r="N1834">
            <v>26.70822655292752</v>
          </cell>
          <cell r="O1834">
            <v>30.179802302118713</v>
          </cell>
          <cell r="P1834">
            <v>8.4310270000000007E-3</v>
          </cell>
        </row>
        <row r="1835">
          <cell r="B1835">
            <v>33361</v>
          </cell>
          <cell r="C1835">
            <v>15.15</v>
          </cell>
          <cell r="D1835">
            <v>9.5418179999999999E-5</v>
          </cell>
          <cell r="E1835">
            <v>0.89068999999999998</v>
          </cell>
          <cell r="F1835">
            <v>6.8278000000000005E-2</v>
          </cell>
          <cell r="J1835">
            <v>24.498186687932584</v>
          </cell>
          <cell r="K1835">
            <v>9.5418179999999999E-5</v>
          </cell>
          <cell r="L1835">
            <v>0.89068999999999998</v>
          </cell>
          <cell r="M1835">
            <v>6.8278000000000005E-2</v>
          </cell>
          <cell r="N1835">
            <v>26.70822655292752</v>
          </cell>
          <cell r="O1835">
            <v>30.179802302118713</v>
          </cell>
          <cell r="P1835">
            <v>8.4310270000000007E-3</v>
          </cell>
        </row>
        <row r="1836">
          <cell r="B1836">
            <v>33364</v>
          </cell>
          <cell r="C1836">
            <v>17.670000000000002</v>
          </cell>
          <cell r="D1836">
            <v>9.578182E-5</v>
          </cell>
          <cell r="E1836">
            <v>0.89115</v>
          </cell>
          <cell r="F1836">
            <v>6.6352999999999995E-2</v>
          </cell>
          <cell r="J1836">
            <v>24.642481007524506</v>
          </cell>
          <cell r="K1836">
            <v>9.578182E-5</v>
          </cell>
          <cell r="L1836">
            <v>0.89115</v>
          </cell>
          <cell r="M1836">
            <v>6.6352999999999995E-2</v>
          </cell>
          <cell r="N1836">
            <v>26.70822655292752</v>
          </cell>
          <cell r="O1836">
            <v>30.179802302118713</v>
          </cell>
          <cell r="P1836">
            <v>8.4310270000000007E-3</v>
          </cell>
        </row>
        <row r="1837">
          <cell r="B1837">
            <v>33365</v>
          </cell>
          <cell r="C1837">
            <v>17.670000000000002</v>
          </cell>
          <cell r="D1837">
            <v>9.6072729999999995E-5</v>
          </cell>
          <cell r="E1837">
            <v>0.90693000000000001</v>
          </cell>
          <cell r="F1837">
            <v>6.8373000000000003E-2</v>
          </cell>
          <cell r="J1837">
            <v>24.787625220658825</v>
          </cell>
          <cell r="K1837">
            <v>9.6072729999999995E-5</v>
          </cell>
          <cell r="L1837">
            <v>0.90693000000000001</v>
          </cell>
          <cell r="M1837">
            <v>6.8373000000000003E-2</v>
          </cell>
          <cell r="N1837">
            <v>26.70822655292752</v>
          </cell>
          <cell r="O1837">
            <v>30.179802302118713</v>
          </cell>
          <cell r="P1837">
            <v>8.4310270000000007E-3</v>
          </cell>
        </row>
        <row r="1838">
          <cell r="B1838">
            <v>33366</v>
          </cell>
          <cell r="C1838">
            <v>15.66</v>
          </cell>
          <cell r="D1838">
            <v>9.6654539999999997E-5</v>
          </cell>
          <cell r="E1838">
            <v>0.92303999999999997</v>
          </cell>
          <cell r="F1838">
            <v>7.0212999999999998E-2</v>
          </cell>
          <cell r="J1838">
            <v>24.917016624310666</v>
          </cell>
          <cell r="K1838">
            <v>9.6654539999999997E-5</v>
          </cell>
          <cell r="L1838">
            <v>0.92303999999999997</v>
          </cell>
          <cell r="M1838">
            <v>7.0212999999999998E-2</v>
          </cell>
          <cell r="N1838">
            <v>26.70822655292752</v>
          </cell>
          <cell r="O1838">
            <v>30.179802302118713</v>
          </cell>
          <cell r="P1838">
            <v>8.4310270000000007E-3</v>
          </cell>
        </row>
        <row r="1839">
          <cell r="B1839">
            <v>33367</v>
          </cell>
          <cell r="C1839">
            <v>16.86</v>
          </cell>
          <cell r="D1839">
            <v>9.7527279999999996E-5</v>
          </cell>
          <cell r="E1839">
            <v>0.97609000000000001</v>
          </cell>
          <cell r="F1839">
            <v>7.4301000000000006E-2</v>
          </cell>
          <cell r="J1839">
            <v>25.057050257739292</v>
          </cell>
          <cell r="K1839">
            <v>9.7527279999999996E-5</v>
          </cell>
          <cell r="L1839">
            <v>0.97609000000000001</v>
          </cell>
          <cell r="M1839">
            <v>7.4301000000000006E-2</v>
          </cell>
          <cell r="N1839">
            <v>26.70822655292752</v>
          </cell>
          <cell r="O1839">
            <v>30.179802302118713</v>
          </cell>
          <cell r="P1839">
            <v>8.4310270000000007E-3</v>
          </cell>
        </row>
        <row r="1840">
          <cell r="B1840">
            <v>33368</v>
          </cell>
          <cell r="C1840">
            <v>23.13</v>
          </cell>
          <cell r="D1840">
            <v>9.8163640000000006E-5</v>
          </cell>
          <cell r="E1840">
            <v>0.98265000000000002</v>
          </cell>
          <cell r="F1840">
            <v>7.3446999999999998E-2</v>
          </cell>
          <cell r="J1840">
            <v>25.250240115226465</v>
          </cell>
          <cell r="K1840">
            <v>9.8163640000000006E-5</v>
          </cell>
          <cell r="L1840">
            <v>0.98265000000000002</v>
          </cell>
          <cell r="M1840">
            <v>7.3446999999999998E-2</v>
          </cell>
          <cell r="N1840">
            <v>26.70822655292752</v>
          </cell>
          <cell r="O1840">
            <v>30.179802302118713</v>
          </cell>
          <cell r="P1840">
            <v>8.4310270000000007E-3</v>
          </cell>
        </row>
        <row r="1841">
          <cell r="B1841">
            <v>33371</v>
          </cell>
          <cell r="C1841">
            <v>37.68</v>
          </cell>
          <cell r="D1841">
            <v>9.8181820000000004E-5</v>
          </cell>
          <cell r="E1841">
            <v>0.96545999999999998</v>
          </cell>
          <cell r="F1841">
            <v>7.0889999999999995E-2</v>
          </cell>
          <cell r="J1841">
            <v>25.567383131073708</v>
          </cell>
          <cell r="K1841">
            <v>9.8181820000000004E-5</v>
          </cell>
          <cell r="L1841">
            <v>0.96545999999999998</v>
          </cell>
          <cell r="M1841">
            <v>7.0889999999999995E-2</v>
          </cell>
          <cell r="N1841">
            <v>26.70822655292752</v>
          </cell>
          <cell r="O1841">
            <v>30.179802302118713</v>
          </cell>
          <cell r="P1841">
            <v>8.4310270000000007E-3</v>
          </cell>
        </row>
        <row r="1842">
          <cell r="B1842">
            <v>33372</v>
          </cell>
          <cell r="C1842">
            <v>24.15</v>
          </cell>
          <cell r="D1842">
            <v>9.87091E-5</v>
          </cell>
          <cell r="E1842">
            <v>1.0078499999999999</v>
          </cell>
          <cell r="F1842">
            <v>7.417E-2</v>
          </cell>
          <cell r="J1842">
            <v>25.773200565278849</v>
          </cell>
          <cell r="K1842">
            <v>9.87091E-5</v>
          </cell>
          <cell r="L1842">
            <v>1.0078499999999999</v>
          </cell>
          <cell r="M1842">
            <v>7.417E-2</v>
          </cell>
          <cell r="N1842">
            <v>26.70822655292752</v>
          </cell>
          <cell r="O1842">
            <v>30.179802302118713</v>
          </cell>
          <cell r="P1842">
            <v>8.4310270000000007E-3</v>
          </cell>
        </row>
        <row r="1843">
          <cell r="B1843">
            <v>33373</v>
          </cell>
          <cell r="C1843">
            <v>16.440000000000001</v>
          </cell>
          <cell r="D1843">
            <v>9.9199999999999999E-5</v>
          </cell>
          <cell r="E1843">
            <v>1.01702</v>
          </cell>
          <cell r="F1843">
            <v>7.4302999999999994E-2</v>
          </cell>
          <cell r="J1843">
            <v>25.914437704376574</v>
          </cell>
          <cell r="K1843">
            <v>9.9199999999999999E-5</v>
          </cell>
          <cell r="L1843">
            <v>1.01702</v>
          </cell>
          <cell r="M1843">
            <v>7.4302999999999994E-2</v>
          </cell>
          <cell r="N1843">
            <v>26.70822655292752</v>
          </cell>
          <cell r="O1843">
            <v>30.179802302118713</v>
          </cell>
          <cell r="P1843">
            <v>8.4310270000000007E-3</v>
          </cell>
        </row>
        <row r="1844">
          <cell r="B1844">
            <v>33374</v>
          </cell>
          <cell r="C1844">
            <v>21.06</v>
          </cell>
          <cell r="D1844">
            <v>9.9781820000000002E-5</v>
          </cell>
          <cell r="E1844">
            <v>1.0605199999999999</v>
          </cell>
          <cell r="F1844">
            <v>7.9659999999999995E-2</v>
          </cell>
          <cell r="J1844">
            <v>26.096357057061297</v>
          </cell>
          <cell r="K1844">
            <v>9.9781820000000002E-5</v>
          </cell>
          <cell r="L1844">
            <v>1.0605199999999999</v>
          </cell>
          <cell r="M1844">
            <v>7.9659999999999995E-2</v>
          </cell>
          <cell r="N1844">
            <v>26.70822655292752</v>
          </cell>
          <cell r="O1844">
            <v>30.179802302118713</v>
          </cell>
          <cell r="P1844">
            <v>8.4310270000000007E-3</v>
          </cell>
        </row>
        <row r="1845">
          <cell r="B1845">
            <v>33375</v>
          </cell>
          <cell r="C1845">
            <v>17.22</v>
          </cell>
          <cell r="D1845">
            <v>1.000363E-4</v>
          </cell>
          <cell r="E1845">
            <v>1.07437</v>
          </cell>
          <cell r="F1845">
            <v>8.0592999999999998E-2</v>
          </cell>
          <cell r="J1845">
            <v>26.24615014656883</v>
          </cell>
          <cell r="K1845">
            <v>1.000363E-4</v>
          </cell>
          <cell r="L1845">
            <v>1.07437</v>
          </cell>
          <cell r="M1845">
            <v>8.0592999999999998E-2</v>
          </cell>
          <cell r="N1845">
            <v>26.70822655292752</v>
          </cell>
          <cell r="O1845">
            <v>30.179802302118713</v>
          </cell>
          <cell r="P1845">
            <v>8.4310270000000007E-3</v>
          </cell>
        </row>
        <row r="1846">
          <cell r="B1846">
            <v>33378</v>
          </cell>
          <cell r="C1846">
            <v>14.76</v>
          </cell>
          <cell r="D1846">
            <v>1.001818E-4</v>
          </cell>
          <cell r="E1846">
            <v>1.09853</v>
          </cell>
          <cell r="F1846">
            <v>8.1025E-2</v>
          </cell>
          <cell r="J1846">
            <v>26.375281205289948</v>
          </cell>
          <cell r="K1846">
            <v>1.001818E-4</v>
          </cell>
          <cell r="L1846">
            <v>1.09853</v>
          </cell>
          <cell r="M1846">
            <v>8.1025E-2</v>
          </cell>
          <cell r="N1846">
            <v>26.70822655292752</v>
          </cell>
          <cell r="O1846">
            <v>30.179802302118713</v>
          </cell>
          <cell r="P1846">
            <v>8.4310270000000007E-3</v>
          </cell>
        </row>
        <row r="1847">
          <cell r="B1847">
            <v>33379</v>
          </cell>
          <cell r="C1847">
            <v>14.43</v>
          </cell>
          <cell r="D1847">
            <v>1.0058180000000001E-4</v>
          </cell>
          <cell r="E1847">
            <v>1.13182</v>
          </cell>
          <cell r="F1847">
            <v>8.387E-2</v>
          </cell>
          <cell r="J1847">
            <v>26.502146307887394</v>
          </cell>
          <cell r="K1847">
            <v>1.0058180000000001E-4</v>
          </cell>
          <cell r="L1847">
            <v>1.13182</v>
          </cell>
          <cell r="M1847">
            <v>8.387E-2</v>
          </cell>
          <cell r="N1847">
            <v>26.70822655292752</v>
          </cell>
          <cell r="O1847">
            <v>30.179802302118713</v>
          </cell>
          <cell r="P1847">
            <v>8.4310270000000007E-3</v>
          </cell>
        </row>
        <row r="1848">
          <cell r="B1848">
            <v>33380</v>
          </cell>
          <cell r="C1848">
            <v>13.02</v>
          </cell>
          <cell r="D1848">
            <v>1.008727E-4</v>
          </cell>
          <cell r="E1848">
            <v>1.1739200000000001</v>
          </cell>
          <cell r="F1848">
            <v>8.5833000000000007E-2</v>
          </cell>
          <cell r="J1848">
            <v>26.617165622863624</v>
          </cell>
          <cell r="K1848">
            <v>1.008727E-4</v>
          </cell>
          <cell r="L1848">
            <v>1.1739200000000001</v>
          </cell>
          <cell r="M1848">
            <v>8.5833000000000007E-2</v>
          </cell>
          <cell r="N1848">
            <v>26.70822655292752</v>
          </cell>
          <cell r="O1848">
            <v>30.179802302118713</v>
          </cell>
          <cell r="P1848">
            <v>8.4310270000000007E-3</v>
          </cell>
        </row>
        <row r="1849">
          <cell r="B1849">
            <v>33381</v>
          </cell>
          <cell r="C1849">
            <v>12.93</v>
          </cell>
          <cell r="D1849">
            <v>1.017818E-4</v>
          </cell>
          <cell r="E1849">
            <v>1.2097199999999999</v>
          </cell>
          <cell r="F1849">
            <v>8.7633000000000003E-2</v>
          </cell>
          <cell r="J1849">
            <v>26.731885606698167</v>
          </cell>
          <cell r="K1849">
            <v>1.017818E-4</v>
          </cell>
          <cell r="L1849">
            <v>1.2097199999999999</v>
          </cell>
          <cell r="M1849">
            <v>8.7633000000000003E-2</v>
          </cell>
          <cell r="N1849">
            <v>26.70822655292752</v>
          </cell>
          <cell r="O1849">
            <v>30.179802302118713</v>
          </cell>
          <cell r="P1849">
            <v>8.4310270000000007E-3</v>
          </cell>
        </row>
        <row r="1850">
          <cell r="B1850">
            <v>33382</v>
          </cell>
          <cell r="C1850">
            <v>12.9</v>
          </cell>
          <cell r="D1850">
            <v>1.017818E-4</v>
          </cell>
          <cell r="E1850">
            <v>1.2575000000000001</v>
          </cell>
          <cell r="F1850">
            <v>9.0987999999999999E-2</v>
          </cell>
          <cell r="J1850">
            <v>26.846832714806968</v>
          </cell>
          <cell r="K1850">
            <v>1.017818E-4</v>
          </cell>
          <cell r="L1850">
            <v>1.2575000000000001</v>
          </cell>
          <cell r="M1850">
            <v>9.0987999999999999E-2</v>
          </cell>
          <cell r="N1850">
            <v>26.70822655292752</v>
          </cell>
          <cell r="O1850">
            <v>30.179802302118713</v>
          </cell>
          <cell r="P1850">
            <v>8.4310270000000007E-3</v>
          </cell>
        </row>
        <row r="1851">
          <cell r="B1851">
            <v>33385</v>
          </cell>
          <cell r="C1851">
            <v>12.96</v>
          </cell>
          <cell r="D1851">
            <v>1.038E-4</v>
          </cell>
          <cell r="E1851">
            <v>1.31514</v>
          </cell>
          <cell r="F1851">
            <v>9.6676999999999999E-2</v>
          </cell>
          <cell r="J1851">
            <v>26.962811032134937</v>
          </cell>
          <cell r="K1851">
            <v>1.038E-4</v>
          </cell>
          <cell r="L1851">
            <v>1.31514</v>
          </cell>
          <cell r="M1851">
            <v>9.6676999999999999E-2</v>
          </cell>
          <cell r="N1851">
            <v>26.70822655292752</v>
          </cell>
          <cell r="O1851">
            <v>30.179802302118713</v>
          </cell>
          <cell r="P1851">
            <v>8.4310270000000007E-3</v>
          </cell>
        </row>
        <row r="1852">
          <cell r="B1852">
            <v>33386</v>
          </cell>
          <cell r="C1852">
            <v>13.05</v>
          </cell>
          <cell r="D1852">
            <v>1.026545E-4</v>
          </cell>
          <cell r="E1852">
            <v>1.3084499999999999</v>
          </cell>
          <cell r="F1852">
            <v>9.4619999999999996E-2</v>
          </cell>
          <cell r="J1852">
            <v>27.080099260124726</v>
          </cell>
          <cell r="K1852">
            <v>1.026545E-4</v>
          </cell>
          <cell r="L1852">
            <v>1.3084499999999999</v>
          </cell>
          <cell r="M1852">
            <v>9.4619999999999996E-2</v>
          </cell>
          <cell r="N1852">
            <v>26.70822655292752</v>
          </cell>
          <cell r="O1852">
            <v>30.179802302118713</v>
          </cell>
          <cell r="P1852">
            <v>8.4310270000000007E-3</v>
          </cell>
        </row>
        <row r="1853">
          <cell r="B1853">
            <v>33387</v>
          </cell>
          <cell r="C1853">
            <v>13.23</v>
          </cell>
          <cell r="D1853">
            <v>1.030545E-4</v>
          </cell>
          <cell r="E1853">
            <v>1.3963099999999999</v>
          </cell>
          <cell r="F1853">
            <v>0.10396</v>
          </cell>
          <cell r="J1853">
            <v>27.199522497861878</v>
          </cell>
          <cell r="K1853">
            <v>1.030545E-4</v>
          </cell>
          <cell r="L1853">
            <v>1.3963099999999999</v>
          </cell>
          <cell r="M1853">
            <v>0.10396</v>
          </cell>
          <cell r="N1853">
            <v>26.70822655292752</v>
          </cell>
          <cell r="O1853">
            <v>30.179802302118713</v>
          </cell>
          <cell r="P1853">
            <v>8.4310270000000007E-3</v>
          </cell>
        </row>
        <row r="1854">
          <cell r="B1854">
            <v>33389</v>
          </cell>
          <cell r="C1854">
            <v>14.04</v>
          </cell>
          <cell r="D1854">
            <v>1.037454E-4</v>
          </cell>
          <cell r="E1854">
            <v>1.48688</v>
          </cell>
          <cell r="F1854">
            <v>0.11168</v>
          </cell>
          <cell r="G1854">
            <v>6.52</v>
          </cell>
          <cell r="H1854">
            <v>7.48</v>
          </cell>
          <cell r="I1854">
            <v>9.2349170000000005E-3</v>
          </cell>
          <cell r="J1854">
            <v>27.326816263151873</v>
          </cell>
          <cell r="K1854">
            <v>1.037454E-4</v>
          </cell>
          <cell r="L1854">
            <v>1.48688</v>
          </cell>
          <cell r="M1854">
            <v>0.11168</v>
          </cell>
          <cell r="N1854">
            <v>28.449602924178393</v>
          </cell>
          <cell r="O1854">
            <v>32.43725151431719</v>
          </cell>
          <cell r="P1854">
            <v>9.2349170000000005E-3</v>
          </cell>
        </row>
        <row r="1855">
          <cell r="B1855">
            <v>33392</v>
          </cell>
          <cell r="C1855">
            <v>15.99</v>
          </cell>
          <cell r="D1855">
            <v>1.041454E-4</v>
          </cell>
          <cell r="E1855">
            <v>1.4996799999999999</v>
          </cell>
          <cell r="F1855">
            <v>0.11251</v>
          </cell>
          <cell r="J1855">
            <v>27.472468193834473</v>
          </cell>
          <cell r="K1855">
            <v>1.041454E-4</v>
          </cell>
          <cell r="L1855">
            <v>1.4996799999999999</v>
          </cell>
          <cell r="M1855">
            <v>0.11251</v>
          </cell>
          <cell r="N1855">
            <v>28.449602924178393</v>
          </cell>
          <cell r="O1855">
            <v>32.43725151431719</v>
          </cell>
          <cell r="P1855">
            <v>9.2349170000000005E-3</v>
          </cell>
        </row>
        <row r="1856">
          <cell r="B1856">
            <v>33393</v>
          </cell>
          <cell r="C1856">
            <v>14.52</v>
          </cell>
          <cell r="D1856">
            <v>1.04509E-4</v>
          </cell>
          <cell r="E1856">
            <v>1.4923900000000001</v>
          </cell>
          <cell r="F1856">
            <v>0.11447</v>
          </cell>
          <cell r="J1856">
            <v>27.605434939892632</v>
          </cell>
          <cell r="K1856">
            <v>1.04509E-4</v>
          </cell>
          <cell r="L1856">
            <v>1.4923900000000001</v>
          </cell>
          <cell r="M1856">
            <v>0.11447</v>
          </cell>
          <cell r="N1856">
            <v>28.449602924178393</v>
          </cell>
          <cell r="O1856">
            <v>32.43725151431719</v>
          </cell>
          <cell r="P1856">
            <v>9.2349170000000005E-3</v>
          </cell>
        </row>
        <row r="1857">
          <cell r="B1857">
            <v>33394</v>
          </cell>
          <cell r="C1857">
            <v>14.19</v>
          </cell>
          <cell r="D1857">
            <v>1.05E-4</v>
          </cell>
          <cell r="E1857">
            <v>1.4824299999999999</v>
          </cell>
          <cell r="F1857">
            <v>0.11246</v>
          </cell>
          <cell r="J1857">
            <v>27.736008647158322</v>
          </cell>
          <cell r="K1857">
            <v>1.05E-4</v>
          </cell>
          <cell r="L1857">
            <v>1.4824299999999999</v>
          </cell>
          <cell r="M1857">
            <v>0.11246</v>
          </cell>
          <cell r="N1857">
            <v>28.449602924178393</v>
          </cell>
          <cell r="O1857">
            <v>32.43725151431719</v>
          </cell>
          <cell r="P1857">
            <v>9.2349170000000005E-3</v>
          </cell>
        </row>
        <row r="1858">
          <cell r="B1858">
            <v>33395</v>
          </cell>
          <cell r="C1858">
            <v>14.34</v>
          </cell>
          <cell r="D1858">
            <v>1.0509089999999999E-4</v>
          </cell>
          <cell r="E1858">
            <v>1.4348799999999999</v>
          </cell>
          <cell r="F1858">
            <v>0.10727</v>
          </cell>
          <cell r="J1858">
            <v>27.868586768491738</v>
          </cell>
          <cell r="K1858">
            <v>1.0509089999999999E-4</v>
          </cell>
          <cell r="L1858">
            <v>1.4348799999999999</v>
          </cell>
          <cell r="M1858">
            <v>0.10727</v>
          </cell>
          <cell r="N1858">
            <v>28.449602924178393</v>
          </cell>
          <cell r="O1858">
            <v>32.43725151431719</v>
          </cell>
          <cell r="P1858">
            <v>9.2349170000000005E-3</v>
          </cell>
        </row>
        <row r="1859">
          <cell r="B1859">
            <v>33396</v>
          </cell>
          <cell r="C1859">
            <v>14.22</v>
          </cell>
          <cell r="D1859">
            <v>1.0556359999999999E-4</v>
          </cell>
          <cell r="E1859">
            <v>1.4726999999999999</v>
          </cell>
          <cell r="F1859">
            <v>0.11537</v>
          </cell>
          <cell r="J1859">
            <v>28.000683869774388</v>
          </cell>
          <cell r="K1859">
            <v>1.0556359999999999E-4</v>
          </cell>
          <cell r="L1859">
            <v>1.4726999999999999</v>
          </cell>
          <cell r="M1859">
            <v>0.11537</v>
          </cell>
          <cell r="N1859">
            <v>28.449602924178393</v>
          </cell>
          <cell r="O1859">
            <v>32.43725151431719</v>
          </cell>
          <cell r="P1859">
            <v>9.2349170000000005E-3</v>
          </cell>
        </row>
        <row r="1860">
          <cell r="B1860">
            <v>33399</v>
          </cell>
          <cell r="C1860">
            <v>16.68</v>
          </cell>
          <cell r="D1860">
            <v>1.059636E-4</v>
          </cell>
          <cell r="E1860">
            <v>1.4732799999999999</v>
          </cell>
          <cell r="F1860">
            <v>0.11543</v>
          </cell>
          <cell r="J1860">
            <v>28.156367672090333</v>
          </cell>
          <cell r="K1860">
            <v>1.059636E-4</v>
          </cell>
          <cell r="L1860">
            <v>1.4732799999999999</v>
          </cell>
          <cell r="M1860">
            <v>0.11543</v>
          </cell>
          <cell r="N1860">
            <v>28.449602924178393</v>
          </cell>
          <cell r="O1860">
            <v>32.43725151431719</v>
          </cell>
          <cell r="P1860">
            <v>9.2349170000000005E-3</v>
          </cell>
        </row>
        <row r="1861">
          <cell r="B1861">
            <v>33400</v>
          </cell>
          <cell r="C1861">
            <v>14.85</v>
          </cell>
          <cell r="D1861">
            <v>1.063636E-4</v>
          </cell>
          <cell r="E1861">
            <v>1.5065900000000001</v>
          </cell>
          <cell r="F1861">
            <v>0.12323000000000001</v>
          </cell>
          <cell r="J1861">
            <v>28.295741692067182</v>
          </cell>
          <cell r="K1861">
            <v>1.063636E-4</v>
          </cell>
          <cell r="L1861">
            <v>1.5065900000000001</v>
          </cell>
          <cell r="M1861">
            <v>0.12323000000000001</v>
          </cell>
          <cell r="N1861">
            <v>28.449602924178393</v>
          </cell>
          <cell r="O1861">
            <v>32.43725151431719</v>
          </cell>
          <cell r="P1861">
            <v>9.2349170000000005E-3</v>
          </cell>
        </row>
        <row r="1862">
          <cell r="B1862">
            <v>33401</v>
          </cell>
          <cell r="C1862">
            <v>14.82</v>
          </cell>
          <cell r="D1862">
            <v>1.068363E-4</v>
          </cell>
          <cell r="E1862">
            <v>1.5108999999999999</v>
          </cell>
          <cell r="F1862">
            <v>0.1226</v>
          </cell>
          <cell r="J1862">
            <v>28.435522656025991</v>
          </cell>
          <cell r="K1862">
            <v>1.068363E-4</v>
          </cell>
          <cell r="L1862">
            <v>1.5108999999999999</v>
          </cell>
          <cell r="M1862">
            <v>0.1226</v>
          </cell>
          <cell r="N1862">
            <v>28.449602924178393</v>
          </cell>
          <cell r="O1862">
            <v>32.43725151431719</v>
          </cell>
          <cell r="P1862">
            <v>9.2349170000000005E-3</v>
          </cell>
        </row>
        <row r="1863">
          <cell r="B1863">
            <v>33402</v>
          </cell>
          <cell r="C1863">
            <v>14.94</v>
          </cell>
          <cell r="D1863">
            <v>1.0727269999999999E-4</v>
          </cell>
          <cell r="E1863">
            <v>1.5103</v>
          </cell>
          <cell r="F1863">
            <v>0.12194000000000001</v>
          </cell>
          <cell r="J1863">
            <v>28.577131558853001</v>
          </cell>
          <cell r="K1863">
            <v>1.0727269999999999E-4</v>
          </cell>
          <cell r="L1863">
            <v>1.5103</v>
          </cell>
          <cell r="M1863">
            <v>0.12194000000000001</v>
          </cell>
          <cell r="N1863">
            <v>28.449602924178393</v>
          </cell>
          <cell r="O1863">
            <v>32.43725151431719</v>
          </cell>
          <cell r="P1863">
            <v>9.2349170000000005E-3</v>
          </cell>
        </row>
        <row r="1864">
          <cell r="B1864">
            <v>33403</v>
          </cell>
          <cell r="C1864">
            <v>15.27</v>
          </cell>
          <cell r="D1864">
            <v>1.078545E-4</v>
          </cell>
          <cell r="E1864">
            <v>1.51925</v>
          </cell>
          <cell r="F1864">
            <v>0.12598999999999999</v>
          </cell>
          <cell r="J1864">
            <v>28.722589158487565</v>
          </cell>
          <cell r="K1864">
            <v>1.078545E-4</v>
          </cell>
          <cell r="L1864">
            <v>1.51925</v>
          </cell>
          <cell r="M1864">
            <v>0.12598999999999999</v>
          </cell>
          <cell r="N1864">
            <v>28.449602924178393</v>
          </cell>
          <cell r="O1864">
            <v>32.43725151431719</v>
          </cell>
          <cell r="P1864">
            <v>9.2349170000000005E-3</v>
          </cell>
        </row>
        <row r="1865">
          <cell r="B1865">
            <v>33406</v>
          </cell>
          <cell r="C1865">
            <v>16.05</v>
          </cell>
          <cell r="D1865">
            <v>1.085454E-4</v>
          </cell>
          <cell r="E1865">
            <v>1.5017400000000001</v>
          </cell>
          <cell r="F1865">
            <v>0.12182999999999999</v>
          </cell>
          <cell r="J1865">
            <v>28.876255010485472</v>
          </cell>
          <cell r="K1865">
            <v>1.085454E-4</v>
          </cell>
          <cell r="L1865">
            <v>1.5017400000000001</v>
          </cell>
          <cell r="M1865">
            <v>0.12182999999999999</v>
          </cell>
          <cell r="N1865">
            <v>28.449602924178393</v>
          </cell>
          <cell r="O1865">
            <v>32.43725151431719</v>
          </cell>
          <cell r="P1865">
            <v>9.2349170000000005E-3</v>
          </cell>
        </row>
        <row r="1866">
          <cell r="B1866">
            <v>33407</v>
          </cell>
          <cell r="C1866">
            <v>16.38</v>
          </cell>
          <cell r="D1866">
            <v>1.094181E-4</v>
          </cell>
          <cell r="E1866">
            <v>1.4934700000000001</v>
          </cell>
          <cell r="F1866">
            <v>0.11990000000000001</v>
          </cell>
          <cell r="J1866">
            <v>29.033919362842724</v>
          </cell>
          <cell r="K1866">
            <v>1.094181E-4</v>
          </cell>
          <cell r="L1866">
            <v>1.4934700000000001</v>
          </cell>
          <cell r="M1866">
            <v>0.11990000000000001</v>
          </cell>
          <cell r="N1866">
            <v>28.449602924178393</v>
          </cell>
          <cell r="O1866">
            <v>32.43725151431719</v>
          </cell>
          <cell r="P1866">
            <v>9.2349170000000005E-3</v>
          </cell>
        </row>
        <row r="1867">
          <cell r="B1867">
            <v>33408</v>
          </cell>
          <cell r="C1867">
            <v>15.21</v>
          </cell>
          <cell r="D1867">
            <v>1.095272E-4</v>
          </cell>
          <cell r="E1867">
            <v>1.5125299999999999</v>
          </cell>
          <cell r="F1867">
            <v>0.12898999999999999</v>
          </cell>
          <cell r="J1867">
            <v>29.181121334012335</v>
          </cell>
          <cell r="K1867">
            <v>1.095272E-4</v>
          </cell>
          <cell r="L1867">
            <v>1.5125299999999999</v>
          </cell>
          <cell r="M1867">
            <v>0.12898999999999999</v>
          </cell>
          <cell r="N1867">
            <v>28.449602924178393</v>
          </cell>
          <cell r="O1867">
            <v>32.43725151431719</v>
          </cell>
          <cell r="P1867">
            <v>9.2349170000000005E-3</v>
          </cell>
        </row>
        <row r="1868">
          <cell r="B1868">
            <v>33409</v>
          </cell>
          <cell r="C1868">
            <v>15.18</v>
          </cell>
          <cell r="D1868">
            <v>1.098909E-4</v>
          </cell>
          <cell r="E1868">
            <v>1.53979</v>
          </cell>
          <cell r="F1868">
            <v>0.13456000000000001</v>
          </cell>
          <cell r="J1868">
            <v>29.328777807962439</v>
          </cell>
          <cell r="K1868">
            <v>1.098909E-4</v>
          </cell>
          <cell r="L1868">
            <v>1.53979</v>
          </cell>
          <cell r="M1868">
            <v>0.13456000000000001</v>
          </cell>
          <cell r="N1868">
            <v>28.449602924178393</v>
          </cell>
          <cell r="O1868">
            <v>32.43725151431719</v>
          </cell>
          <cell r="P1868">
            <v>9.2349170000000005E-3</v>
          </cell>
        </row>
        <row r="1869">
          <cell r="B1869">
            <v>33410</v>
          </cell>
          <cell r="C1869">
            <v>16.23</v>
          </cell>
          <cell r="D1869">
            <v>1.104727E-4</v>
          </cell>
          <cell r="E1869">
            <v>1.5768800000000001</v>
          </cell>
          <cell r="F1869">
            <v>0.14041000000000001</v>
          </cell>
          <cell r="J1869">
            <v>29.487446495903512</v>
          </cell>
          <cell r="K1869">
            <v>1.104727E-4</v>
          </cell>
          <cell r="L1869">
            <v>1.5768800000000001</v>
          </cell>
          <cell r="M1869">
            <v>0.14041000000000001</v>
          </cell>
          <cell r="N1869">
            <v>28.449602924178393</v>
          </cell>
          <cell r="O1869">
            <v>32.43725151431719</v>
          </cell>
          <cell r="P1869">
            <v>9.2349170000000005E-3</v>
          </cell>
        </row>
        <row r="1870">
          <cell r="B1870">
            <v>33413</v>
          </cell>
          <cell r="C1870">
            <v>15.33</v>
          </cell>
          <cell r="D1870">
            <v>1.1116359999999999E-4</v>
          </cell>
          <cell r="E1870">
            <v>1.5668299999999999</v>
          </cell>
          <cell r="F1870">
            <v>0.13607</v>
          </cell>
          <cell r="J1870">
            <v>29.638127347497576</v>
          </cell>
          <cell r="K1870">
            <v>1.1116359999999999E-4</v>
          </cell>
          <cell r="L1870">
            <v>1.5668299999999999</v>
          </cell>
          <cell r="M1870">
            <v>0.13607</v>
          </cell>
          <cell r="N1870">
            <v>28.449602924178393</v>
          </cell>
          <cell r="O1870">
            <v>32.43725151431719</v>
          </cell>
          <cell r="P1870">
            <v>9.2349170000000005E-3</v>
          </cell>
        </row>
        <row r="1871">
          <cell r="B1871">
            <v>33414</v>
          </cell>
          <cell r="C1871">
            <v>15.21</v>
          </cell>
          <cell r="D1871">
            <v>1.118545E-4</v>
          </cell>
          <cell r="E1871">
            <v>1.6144000000000001</v>
          </cell>
          <cell r="F1871">
            <v>0.14168</v>
          </cell>
          <cell r="J1871">
            <v>29.788392653149387</v>
          </cell>
          <cell r="K1871">
            <v>1.118545E-4</v>
          </cell>
          <cell r="L1871">
            <v>1.6144000000000001</v>
          </cell>
          <cell r="M1871">
            <v>0.14168</v>
          </cell>
          <cell r="N1871">
            <v>28.449602924178393</v>
          </cell>
          <cell r="O1871">
            <v>32.43725151431719</v>
          </cell>
          <cell r="P1871">
            <v>9.2349170000000005E-3</v>
          </cell>
        </row>
        <row r="1872">
          <cell r="B1872">
            <v>33415</v>
          </cell>
          <cell r="C1872">
            <v>15.18</v>
          </cell>
          <cell r="D1872">
            <v>1.126545E-4</v>
          </cell>
          <cell r="E1872">
            <v>1.6150199999999999</v>
          </cell>
          <cell r="F1872">
            <v>0.14111000000000001</v>
          </cell>
          <cell r="J1872">
            <v>29.939121919974326</v>
          </cell>
          <cell r="K1872">
            <v>1.126545E-4</v>
          </cell>
          <cell r="L1872">
            <v>1.6150199999999999</v>
          </cell>
          <cell r="M1872">
            <v>0.14111000000000001</v>
          </cell>
          <cell r="N1872">
            <v>28.449602924178393</v>
          </cell>
          <cell r="O1872">
            <v>32.43725151431719</v>
          </cell>
          <cell r="P1872">
            <v>9.2349170000000005E-3</v>
          </cell>
        </row>
        <row r="1873">
          <cell r="B1873">
            <v>33416</v>
          </cell>
          <cell r="C1873">
            <v>15</v>
          </cell>
          <cell r="D1873">
            <v>1.1334539999999999E-4</v>
          </cell>
          <cell r="E1873">
            <v>1.6194900000000001</v>
          </cell>
          <cell r="F1873">
            <v>0.14149999999999999</v>
          </cell>
          <cell r="J1873">
            <v>30.088817529574193</v>
          </cell>
          <cell r="K1873">
            <v>1.1334539999999999E-4</v>
          </cell>
          <cell r="L1873">
            <v>1.6194900000000001</v>
          </cell>
          <cell r="M1873">
            <v>0.14149999999999999</v>
          </cell>
          <cell r="N1873">
            <v>28.449602924178393</v>
          </cell>
          <cell r="O1873">
            <v>32.43725151431719</v>
          </cell>
          <cell r="P1873">
            <v>9.2349170000000005E-3</v>
          </cell>
        </row>
        <row r="1874">
          <cell r="B1874">
            <v>33417</v>
          </cell>
          <cell r="C1874">
            <v>15.03</v>
          </cell>
          <cell r="D1874">
            <v>1.136909E-4</v>
          </cell>
          <cell r="E1874">
            <v>1.60941</v>
          </cell>
          <cell r="F1874">
            <v>0.13531000000000001</v>
          </cell>
          <cell r="G1874">
            <v>9.86</v>
          </cell>
          <cell r="H1874">
            <v>8.48</v>
          </cell>
          <cell r="I1874">
            <v>1.0153509999999999E-2</v>
          </cell>
          <cell r="J1874">
            <v>30.239562505397359</v>
          </cell>
          <cell r="K1874">
            <v>1.136909E-4</v>
          </cell>
          <cell r="L1874">
            <v>1.60941</v>
          </cell>
          <cell r="M1874">
            <v>0.13531000000000001</v>
          </cell>
          <cell r="N1874">
            <v>31.254733772502384</v>
          </cell>
          <cell r="O1874">
            <v>35.187930442731286</v>
          </cell>
          <cell r="P1874">
            <v>1.0153509999999999E-2</v>
          </cell>
        </row>
        <row r="1875">
          <cell r="B1875">
            <v>33420</v>
          </cell>
          <cell r="C1875">
            <v>15.48</v>
          </cell>
          <cell r="D1875">
            <v>1.1396359999999999E-4</v>
          </cell>
          <cell r="E1875">
            <v>1.56806</v>
          </cell>
          <cell r="F1875">
            <v>0.12906000000000001</v>
          </cell>
          <cell r="J1875">
            <v>30.395598647925212</v>
          </cell>
          <cell r="K1875">
            <v>1.1396359999999999E-4</v>
          </cell>
          <cell r="L1875">
            <v>1.56806</v>
          </cell>
          <cell r="M1875">
            <v>0.12906000000000001</v>
          </cell>
          <cell r="N1875">
            <v>31.254733772502384</v>
          </cell>
          <cell r="O1875">
            <v>35.187930442731286</v>
          </cell>
          <cell r="P1875">
            <v>1.0153509999999999E-2</v>
          </cell>
        </row>
        <row r="1876">
          <cell r="B1876">
            <v>33421</v>
          </cell>
          <cell r="C1876">
            <v>15.03</v>
          </cell>
          <cell r="D1876">
            <v>1.148363E-4</v>
          </cell>
          <cell r="E1876">
            <v>1.5461100000000001</v>
          </cell>
          <cell r="F1876">
            <v>0.13144</v>
          </cell>
          <cell r="J1876">
            <v>30.547880597151316</v>
          </cell>
          <cell r="K1876">
            <v>1.148363E-4</v>
          </cell>
          <cell r="L1876">
            <v>1.5461100000000001</v>
          </cell>
          <cell r="M1876">
            <v>0.13144</v>
          </cell>
          <cell r="N1876">
            <v>31.254733772502384</v>
          </cell>
          <cell r="O1876">
            <v>35.187930442731286</v>
          </cell>
          <cell r="P1876">
            <v>1.0153509999999999E-2</v>
          </cell>
        </row>
        <row r="1877">
          <cell r="B1877">
            <v>33422</v>
          </cell>
          <cell r="C1877">
            <v>15.06</v>
          </cell>
          <cell r="D1877">
            <v>1.148363E-4</v>
          </cell>
          <cell r="E1877">
            <v>1.54993</v>
          </cell>
          <cell r="F1877">
            <v>0.13316</v>
          </cell>
          <cell r="J1877">
            <v>30.701230957749015</v>
          </cell>
          <cell r="K1877">
            <v>1.148363E-4</v>
          </cell>
          <cell r="L1877">
            <v>1.54993</v>
          </cell>
          <cell r="M1877">
            <v>0.13316</v>
          </cell>
          <cell r="N1877">
            <v>31.254733772502384</v>
          </cell>
          <cell r="O1877">
            <v>35.187930442731286</v>
          </cell>
          <cell r="P1877">
            <v>1.0153509999999999E-2</v>
          </cell>
        </row>
        <row r="1878">
          <cell r="B1878">
            <v>33423</v>
          </cell>
          <cell r="C1878">
            <v>15.18</v>
          </cell>
          <cell r="D1878">
            <v>1.1552719999999999E-4</v>
          </cell>
          <cell r="E1878">
            <v>1.5463199999999999</v>
          </cell>
          <cell r="F1878">
            <v>0.13261000000000001</v>
          </cell>
          <cell r="J1878">
            <v>30.856579186395226</v>
          </cell>
          <cell r="K1878">
            <v>1.1552719999999999E-4</v>
          </cell>
          <cell r="L1878">
            <v>1.5463199999999999</v>
          </cell>
          <cell r="M1878">
            <v>0.13261000000000001</v>
          </cell>
          <cell r="N1878">
            <v>31.254733772502384</v>
          </cell>
          <cell r="O1878">
            <v>35.187930442731286</v>
          </cell>
          <cell r="P1878">
            <v>1.0153509999999999E-2</v>
          </cell>
        </row>
        <row r="1879">
          <cell r="B1879">
            <v>33424</v>
          </cell>
          <cell r="C1879">
            <v>15.81</v>
          </cell>
          <cell r="D1879">
            <v>1.159272E-4</v>
          </cell>
          <cell r="E1879">
            <v>1.5336000000000001</v>
          </cell>
          <cell r="F1879">
            <v>0.13000999999999999</v>
          </cell>
          <cell r="J1879">
            <v>31.019193358707533</v>
          </cell>
          <cell r="K1879">
            <v>1.159272E-4</v>
          </cell>
          <cell r="L1879">
            <v>1.5336000000000001</v>
          </cell>
          <cell r="M1879">
            <v>0.13000999999999999</v>
          </cell>
          <cell r="N1879">
            <v>31.254733772502384</v>
          </cell>
          <cell r="O1879">
            <v>35.187930442731286</v>
          </cell>
          <cell r="P1879">
            <v>1.0153509999999999E-2</v>
          </cell>
        </row>
        <row r="1880">
          <cell r="B1880">
            <v>33427</v>
          </cell>
          <cell r="C1880">
            <v>16.440000000000001</v>
          </cell>
          <cell r="D1880">
            <v>1.166909E-4</v>
          </cell>
          <cell r="E1880">
            <v>1.54603</v>
          </cell>
          <cell r="F1880">
            <v>0.13583000000000001</v>
          </cell>
          <cell r="J1880">
            <v>31.189178538313246</v>
          </cell>
          <cell r="K1880">
            <v>1.166909E-4</v>
          </cell>
          <cell r="L1880">
            <v>1.54603</v>
          </cell>
          <cell r="M1880">
            <v>0.13583000000000001</v>
          </cell>
          <cell r="N1880">
            <v>31.254733772502384</v>
          </cell>
          <cell r="O1880">
            <v>35.187930442731286</v>
          </cell>
          <cell r="P1880">
            <v>1.0153509999999999E-2</v>
          </cell>
        </row>
        <row r="1881">
          <cell r="B1881">
            <v>33428</v>
          </cell>
          <cell r="C1881">
            <v>15.99</v>
          </cell>
          <cell r="D1881">
            <v>1.1723629999999999E-4</v>
          </cell>
          <cell r="E1881">
            <v>1.5530900000000001</v>
          </cell>
          <cell r="F1881">
            <v>0.13424</v>
          </cell>
          <cell r="J1881">
            <v>31.355416859922457</v>
          </cell>
          <cell r="K1881">
            <v>1.1723629999999999E-4</v>
          </cell>
          <cell r="L1881">
            <v>1.5530900000000001</v>
          </cell>
          <cell r="M1881">
            <v>0.13424</v>
          </cell>
          <cell r="N1881">
            <v>31.254733772502384</v>
          </cell>
          <cell r="O1881">
            <v>35.187930442731286</v>
          </cell>
          <cell r="P1881">
            <v>1.0153509999999999E-2</v>
          </cell>
        </row>
        <row r="1882">
          <cell r="B1882">
            <v>33429</v>
          </cell>
          <cell r="C1882">
            <v>15.63</v>
          </cell>
          <cell r="D1882">
            <v>1.175636E-4</v>
          </cell>
          <cell r="E1882">
            <v>1.58199</v>
          </cell>
          <cell r="F1882">
            <v>0.13891999999999999</v>
          </cell>
          <cell r="J1882">
            <v>31.51877858176265</v>
          </cell>
          <cell r="K1882">
            <v>1.175636E-4</v>
          </cell>
          <cell r="L1882">
            <v>1.58199</v>
          </cell>
          <cell r="M1882">
            <v>0.13891999999999999</v>
          </cell>
          <cell r="N1882">
            <v>31.254733772502384</v>
          </cell>
          <cell r="O1882">
            <v>35.187930442731286</v>
          </cell>
          <cell r="P1882">
            <v>1.0153509999999999E-2</v>
          </cell>
        </row>
        <row r="1883">
          <cell r="B1883">
            <v>33430</v>
          </cell>
          <cell r="C1883">
            <v>16.739999999999998</v>
          </cell>
          <cell r="D1883">
            <v>1.179272E-4</v>
          </cell>
          <cell r="E1883">
            <v>1.6084700000000001</v>
          </cell>
          <cell r="F1883">
            <v>0.14263000000000001</v>
          </cell>
          <cell r="J1883">
            <v>31.694653366248883</v>
          </cell>
          <cell r="K1883">
            <v>1.179272E-4</v>
          </cell>
          <cell r="L1883">
            <v>1.6084700000000001</v>
          </cell>
          <cell r="M1883">
            <v>0.14263000000000001</v>
          </cell>
          <cell r="N1883">
            <v>31.254733772502384</v>
          </cell>
          <cell r="O1883">
            <v>35.187930442731286</v>
          </cell>
          <cell r="P1883">
            <v>1.0153509999999999E-2</v>
          </cell>
        </row>
        <row r="1884">
          <cell r="B1884">
            <v>33431</v>
          </cell>
          <cell r="C1884">
            <v>17.28</v>
          </cell>
          <cell r="D1884">
            <v>1.184E-4</v>
          </cell>
          <cell r="E1884">
            <v>1.6080300000000001</v>
          </cell>
          <cell r="F1884">
            <v>0.14385999999999999</v>
          </cell>
          <cell r="J1884">
            <v>31.877214569638475</v>
          </cell>
          <cell r="K1884">
            <v>1.184E-4</v>
          </cell>
          <cell r="L1884">
            <v>1.6080300000000001</v>
          </cell>
          <cell r="M1884">
            <v>0.14385999999999999</v>
          </cell>
          <cell r="N1884">
            <v>31.254733772502384</v>
          </cell>
          <cell r="O1884">
            <v>35.187930442731286</v>
          </cell>
          <cell r="P1884">
            <v>1.0153509999999999E-2</v>
          </cell>
        </row>
        <row r="1885">
          <cell r="B1885">
            <v>33434</v>
          </cell>
          <cell r="C1885">
            <v>18.93</v>
          </cell>
          <cell r="D1885">
            <v>1.190909E-4</v>
          </cell>
          <cell r="E1885">
            <v>1.5702499999999999</v>
          </cell>
          <cell r="F1885">
            <v>0.13705999999999999</v>
          </cell>
          <cell r="J1885">
            <v>32.078359793572893</v>
          </cell>
          <cell r="K1885">
            <v>1.190909E-4</v>
          </cell>
          <cell r="L1885">
            <v>1.5702499999999999</v>
          </cell>
          <cell r="M1885">
            <v>0.13705999999999999</v>
          </cell>
          <cell r="N1885">
            <v>31.254733772502384</v>
          </cell>
          <cell r="O1885">
            <v>35.187930442731286</v>
          </cell>
          <cell r="P1885">
            <v>1.0153509999999999E-2</v>
          </cell>
        </row>
        <row r="1886">
          <cell r="B1886">
            <v>33435</v>
          </cell>
          <cell r="C1886">
            <v>20.97</v>
          </cell>
          <cell r="D1886">
            <v>1.196181E-4</v>
          </cell>
          <cell r="E1886">
            <v>1.6001799999999999</v>
          </cell>
          <cell r="F1886">
            <v>0.14233999999999999</v>
          </cell>
          <cell r="J1886">
            <v>32.302587528529969</v>
          </cell>
          <cell r="K1886">
            <v>1.196181E-4</v>
          </cell>
          <cell r="L1886">
            <v>1.6001799999999999</v>
          </cell>
          <cell r="M1886">
            <v>0.14233999999999999</v>
          </cell>
          <cell r="N1886">
            <v>31.254733772502384</v>
          </cell>
          <cell r="O1886">
            <v>35.187930442731286</v>
          </cell>
          <cell r="P1886">
            <v>1.0153509999999999E-2</v>
          </cell>
        </row>
        <row r="1887">
          <cell r="B1887">
            <v>33436</v>
          </cell>
          <cell r="C1887">
            <v>16.649999999999999</v>
          </cell>
          <cell r="D1887">
            <v>1.2003629999999999E-4</v>
          </cell>
          <cell r="E1887">
            <v>1.59921</v>
          </cell>
          <cell r="F1887">
            <v>0.14163999999999999</v>
          </cell>
          <cell r="J1887">
            <v>32.481866889313309</v>
          </cell>
          <cell r="K1887">
            <v>1.2003629999999999E-4</v>
          </cell>
          <cell r="L1887">
            <v>1.59921</v>
          </cell>
          <cell r="M1887">
            <v>0.14163999999999999</v>
          </cell>
          <cell r="N1887">
            <v>31.254733772502384</v>
          </cell>
          <cell r="O1887">
            <v>35.187930442731286</v>
          </cell>
          <cell r="P1887">
            <v>1.0153509999999999E-2</v>
          </cell>
        </row>
        <row r="1888">
          <cell r="B1888">
            <v>33437</v>
          </cell>
          <cell r="C1888">
            <v>15.33</v>
          </cell>
          <cell r="D1888">
            <v>1.206181E-4</v>
          </cell>
          <cell r="E1888">
            <v>1.58893</v>
          </cell>
          <cell r="F1888">
            <v>0.14208999999999999</v>
          </cell>
          <cell r="J1888">
            <v>32.647849229117696</v>
          </cell>
          <cell r="K1888">
            <v>1.206181E-4</v>
          </cell>
          <cell r="L1888">
            <v>1.58893</v>
          </cell>
          <cell r="M1888">
            <v>0.14208999999999999</v>
          </cell>
          <cell r="N1888">
            <v>31.254733772502384</v>
          </cell>
          <cell r="O1888">
            <v>35.187930442731286</v>
          </cell>
          <cell r="P1888">
            <v>1.0153509999999999E-2</v>
          </cell>
        </row>
        <row r="1889">
          <cell r="B1889">
            <v>33438</v>
          </cell>
          <cell r="C1889">
            <v>15.81</v>
          </cell>
          <cell r="D1889">
            <v>1.212727E-4</v>
          </cell>
          <cell r="E1889">
            <v>1.64649</v>
          </cell>
          <cell r="F1889">
            <v>0.15182999999999999</v>
          </cell>
          <cell r="J1889">
            <v>32.819903394555148</v>
          </cell>
          <cell r="K1889">
            <v>1.212727E-4</v>
          </cell>
          <cell r="L1889">
            <v>1.64649</v>
          </cell>
          <cell r="M1889">
            <v>0.15182999999999999</v>
          </cell>
          <cell r="N1889">
            <v>31.254733772502384</v>
          </cell>
          <cell r="O1889">
            <v>35.187930442731286</v>
          </cell>
          <cell r="P1889">
            <v>1.0153509999999999E-2</v>
          </cell>
        </row>
        <row r="1890">
          <cell r="B1890">
            <v>33441</v>
          </cell>
          <cell r="C1890">
            <v>15.42</v>
          </cell>
          <cell r="D1890">
            <v>1.218545E-4</v>
          </cell>
          <cell r="E1890">
            <v>1.6947300000000001</v>
          </cell>
          <cell r="F1890">
            <v>0.15806999999999999</v>
          </cell>
          <cell r="J1890">
            <v>32.988597698003161</v>
          </cell>
          <cell r="K1890">
            <v>1.218545E-4</v>
          </cell>
          <cell r="L1890">
            <v>1.6947300000000001</v>
          </cell>
          <cell r="M1890">
            <v>0.15806999999999999</v>
          </cell>
          <cell r="N1890">
            <v>31.254733772502384</v>
          </cell>
          <cell r="O1890">
            <v>35.187930442731286</v>
          </cell>
          <cell r="P1890">
            <v>1.0153509999999999E-2</v>
          </cell>
        </row>
        <row r="1891">
          <cell r="B1891">
            <v>33442</v>
          </cell>
          <cell r="C1891">
            <v>16.079999999999998</v>
          </cell>
          <cell r="D1891">
            <v>1.223273E-4</v>
          </cell>
          <cell r="E1891">
            <v>1.7113</v>
          </cell>
          <cell r="F1891">
            <v>0.15809999999999999</v>
          </cell>
          <cell r="J1891">
            <v>33.165416581664459</v>
          </cell>
          <cell r="K1891">
            <v>1.223273E-4</v>
          </cell>
          <cell r="L1891">
            <v>1.7113</v>
          </cell>
          <cell r="M1891">
            <v>0.15809999999999999</v>
          </cell>
          <cell r="N1891">
            <v>31.254733772502384</v>
          </cell>
          <cell r="O1891">
            <v>35.187930442731286</v>
          </cell>
          <cell r="P1891">
            <v>1.0153509999999999E-2</v>
          </cell>
        </row>
        <row r="1892">
          <cell r="B1892">
            <v>33443</v>
          </cell>
          <cell r="C1892">
            <v>15.6</v>
          </cell>
          <cell r="D1892">
            <v>1.2298180000000001E-4</v>
          </cell>
          <cell r="E1892">
            <v>1.6920900000000001</v>
          </cell>
          <cell r="F1892">
            <v>0.15701000000000001</v>
          </cell>
          <cell r="J1892">
            <v>33.337876747889119</v>
          </cell>
          <cell r="K1892">
            <v>1.2298180000000001E-4</v>
          </cell>
          <cell r="L1892">
            <v>1.6920900000000001</v>
          </cell>
          <cell r="M1892">
            <v>0.15701000000000001</v>
          </cell>
          <cell r="N1892">
            <v>31.254733772502384</v>
          </cell>
          <cell r="O1892">
            <v>35.187930442731286</v>
          </cell>
          <cell r="P1892">
            <v>1.0153509999999999E-2</v>
          </cell>
        </row>
        <row r="1893">
          <cell r="B1893">
            <v>33444</v>
          </cell>
          <cell r="C1893">
            <v>15.42</v>
          </cell>
          <cell r="D1893">
            <v>1.2370910000000001E-4</v>
          </cell>
          <cell r="E1893">
            <v>1.7404900000000001</v>
          </cell>
          <cell r="F1893">
            <v>0.16803000000000001</v>
          </cell>
          <cell r="J1893">
            <v>33.509233434373265</v>
          </cell>
          <cell r="K1893">
            <v>1.2370910000000001E-4</v>
          </cell>
          <cell r="L1893">
            <v>1.7404900000000001</v>
          </cell>
          <cell r="M1893">
            <v>0.16803000000000001</v>
          </cell>
          <cell r="N1893">
            <v>31.254733772502384</v>
          </cell>
          <cell r="O1893">
            <v>35.187930442731286</v>
          </cell>
          <cell r="P1893">
            <v>1.0153509999999999E-2</v>
          </cell>
        </row>
        <row r="1894">
          <cell r="B1894">
            <v>33445</v>
          </cell>
          <cell r="C1894">
            <v>15.66</v>
          </cell>
          <cell r="D1894">
            <v>1.2421820000000001E-4</v>
          </cell>
          <cell r="E1894">
            <v>1.7446299999999999</v>
          </cell>
          <cell r="F1894">
            <v>0.16558</v>
          </cell>
          <cell r="J1894">
            <v>33.684151632900694</v>
          </cell>
          <cell r="K1894">
            <v>1.2421820000000001E-4</v>
          </cell>
          <cell r="L1894">
            <v>1.7446299999999999</v>
          </cell>
          <cell r="M1894">
            <v>0.16558</v>
          </cell>
          <cell r="N1894">
            <v>31.254733772502384</v>
          </cell>
          <cell r="O1894">
            <v>35.187930442731286</v>
          </cell>
          <cell r="P1894">
            <v>1.0153509999999999E-2</v>
          </cell>
        </row>
        <row r="1895">
          <cell r="B1895">
            <v>33448</v>
          </cell>
          <cell r="C1895">
            <v>16.2</v>
          </cell>
          <cell r="D1895">
            <v>1.2487269999999999E-4</v>
          </cell>
          <cell r="E1895">
            <v>1.74834</v>
          </cell>
          <cell r="F1895">
            <v>0.16524</v>
          </cell>
          <cell r="J1895">
            <v>33.866046051718357</v>
          </cell>
          <cell r="K1895">
            <v>1.2487269999999999E-4</v>
          </cell>
          <cell r="L1895">
            <v>1.74834</v>
          </cell>
          <cell r="M1895">
            <v>0.16524</v>
          </cell>
          <cell r="N1895">
            <v>31.254733772502384</v>
          </cell>
          <cell r="O1895">
            <v>35.187930442731286</v>
          </cell>
          <cell r="P1895">
            <v>1.0153509999999999E-2</v>
          </cell>
        </row>
        <row r="1896">
          <cell r="B1896">
            <v>33449</v>
          </cell>
          <cell r="C1896">
            <v>16.739999999999998</v>
          </cell>
          <cell r="D1896">
            <v>1.2563639999999999E-4</v>
          </cell>
          <cell r="E1896">
            <v>1.78905</v>
          </cell>
          <cell r="F1896">
            <v>0.17330999999999999</v>
          </cell>
          <cell r="J1896">
            <v>34.055018588686941</v>
          </cell>
          <cell r="K1896">
            <v>1.2563639999999999E-4</v>
          </cell>
          <cell r="L1896">
            <v>1.78905</v>
          </cell>
          <cell r="M1896">
            <v>0.17330999999999999</v>
          </cell>
          <cell r="N1896">
            <v>31.254733772502384</v>
          </cell>
          <cell r="O1896">
            <v>35.187930442731286</v>
          </cell>
          <cell r="P1896">
            <v>1.0153509999999999E-2</v>
          </cell>
        </row>
        <row r="1897">
          <cell r="B1897">
            <v>33450</v>
          </cell>
          <cell r="C1897">
            <v>17.22</v>
          </cell>
          <cell r="D1897">
            <v>1.2629089999999999E-4</v>
          </cell>
          <cell r="E1897">
            <v>1.8222700000000001</v>
          </cell>
          <cell r="F1897">
            <v>0.18013999999999999</v>
          </cell>
          <cell r="G1897">
            <v>12.83</v>
          </cell>
          <cell r="H1897">
            <v>13.22</v>
          </cell>
          <cell r="I1897">
            <v>1.12298E-2</v>
          </cell>
          <cell r="J1897">
            <v>34.250494395386006</v>
          </cell>
          <cell r="K1897">
            <v>1.2629089999999999E-4</v>
          </cell>
          <cell r="L1897">
            <v>1.8222700000000001</v>
          </cell>
          <cell r="M1897">
            <v>0.18013999999999999</v>
          </cell>
          <cell r="N1897">
            <v>35.264716115514439</v>
          </cell>
          <cell r="O1897">
            <v>39.839774847260365</v>
          </cell>
          <cell r="P1897">
            <v>1.12298E-2</v>
          </cell>
        </row>
        <row r="1898">
          <cell r="B1898">
            <v>33451</v>
          </cell>
          <cell r="C1898">
            <v>18</v>
          </cell>
          <cell r="D1898">
            <v>1.2709090000000001E-4</v>
          </cell>
          <cell r="E1898">
            <v>1.8584099999999999</v>
          </cell>
          <cell r="F1898">
            <v>0.1925</v>
          </cell>
          <cell r="J1898">
            <v>34.455997361758321</v>
          </cell>
          <cell r="K1898">
            <v>1.2709090000000001E-4</v>
          </cell>
          <cell r="L1898">
            <v>1.8584099999999999</v>
          </cell>
          <cell r="M1898">
            <v>0.1925</v>
          </cell>
          <cell r="N1898">
            <v>35.264716115514439</v>
          </cell>
          <cell r="O1898">
            <v>39.839774847260365</v>
          </cell>
          <cell r="P1898">
            <v>1.12298E-2</v>
          </cell>
        </row>
        <row r="1899">
          <cell r="B1899">
            <v>33452</v>
          </cell>
          <cell r="C1899">
            <v>17.670000000000002</v>
          </cell>
          <cell r="D1899">
            <v>1.2779999999999999E-4</v>
          </cell>
          <cell r="E1899">
            <v>1.84707</v>
          </cell>
          <cell r="F1899">
            <v>0.19072</v>
          </cell>
          <cell r="J1899">
            <v>34.658943186219076</v>
          </cell>
          <cell r="K1899">
            <v>1.2779999999999999E-4</v>
          </cell>
          <cell r="L1899">
            <v>1.84707</v>
          </cell>
          <cell r="M1899">
            <v>0.19072</v>
          </cell>
          <cell r="N1899">
            <v>35.264716115514439</v>
          </cell>
          <cell r="O1899">
            <v>39.839774847260365</v>
          </cell>
          <cell r="P1899">
            <v>1.12298E-2</v>
          </cell>
        </row>
        <row r="1900">
          <cell r="B1900">
            <v>33455</v>
          </cell>
          <cell r="C1900">
            <v>17.91</v>
          </cell>
          <cell r="D1900">
            <v>1.2856360000000001E-4</v>
          </cell>
          <cell r="E1900">
            <v>1.8288</v>
          </cell>
          <cell r="F1900">
            <v>0.19086</v>
          </cell>
          <cell r="J1900">
            <v>34.865857077040808</v>
          </cell>
          <cell r="K1900">
            <v>1.2856360000000001E-4</v>
          </cell>
          <cell r="L1900">
            <v>1.8288</v>
          </cell>
          <cell r="M1900">
            <v>0.19086</v>
          </cell>
          <cell r="N1900">
            <v>35.264716115514439</v>
          </cell>
          <cell r="O1900">
            <v>39.839774847260365</v>
          </cell>
          <cell r="P1900">
            <v>1.12298E-2</v>
          </cell>
        </row>
        <row r="1901">
          <cell r="B1901">
            <v>33456</v>
          </cell>
          <cell r="C1901">
            <v>18.09</v>
          </cell>
          <cell r="D1901">
            <v>1.2847269999999999E-4</v>
          </cell>
          <cell r="E1901">
            <v>1.8098099999999999</v>
          </cell>
          <cell r="F1901">
            <v>0.18371000000000001</v>
          </cell>
          <cell r="J1901">
            <v>35.076098195215366</v>
          </cell>
          <cell r="K1901">
            <v>1.2847269999999999E-4</v>
          </cell>
          <cell r="L1901">
            <v>1.8098099999999999</v>
          </cell>
          <cell r="M1901">
            <v>0.18371000000000001</v>
          </cell>
          <cell r="N1901">
            <v>35.264716115514439</v>
          </cell>
          <cell r="O1901">
            <v>39.839774847260365</v>
          </cell>
          <cell r="P1901">
            <v>1.12298E-2</v>
          </cell>
        </row>
        <row r="1902">
          <cell r="B1902">
            <v>33457</v>
          </cell>
          <cell r="C1902">
            <v>18.03</v>
          </cell>
          <cell r="D1902">
            <v>1.2996359999999999E-4</v>
          </cell>
          <cell r="E1902">
            <v>1.77586</v>
          </cell>
          <cell r="F1902">
            <v>0.17444000000000001</v>
          </cell>
          <cell r="J1902">
            <v>35.286905545368612</v>
          </cell>
          <cell r="K1902">
            <v>1.2996359999999999E-4</v>
          </cell>
          <cell r="L1902">
            <v>1.77586</v>
          </cell>
          <cell r="M1902">
            <v>0.17444000000000001</v>
          </cell>
          <cell r="N1902">
            <v>35.264716115514439</v>
          </cell>
          <cell r="O1902">
            <v>39.839774847260365</v>
          </cell>
          <cell r="P1902">
            <v>1.12298E-2</v>
          </cell>
        </row>
        <row r="1903">
          <cell r="B1903">
            <v>33458</v>
          </cell>
          <cell r="C1903">
            <v>18.12</v>
          </cell>
          <cell r="D1903">
            <v>1.3069089999999999E-4</v>
          </cell>
          <cell r="E1903">
            <v>1.73769</v>
          </cell>
          <cell r="F1903">
            <v>0.16829</v>
          </cell>
          <cell r="J1903">
            <v>35.50003845486264</v>
          </cell>
          <cell r="K1903">
            <v>1.3069089999999999E-4</v>
          </cell>
          <cell r="L1903">
            <v>1.73769</v>
          </cell>
          <cell r="M1903">
            <v>0.16829</v>
          </cell>
          <cell r="N1903">
            <v>35.264716115514439</v>
          </cell>
          <cell r="O1903">
            <v>39.839774847260365</v>
          </cell>
          <cell r="P1903">
            <v>1.12298E-2</v>
          </cell>
        </row>
        <row r="1904">
          <cell r="B1904">
            <v>33459</v>
          </cell>
          <cell r="C1904">
            <v>18.809999999999999</v>
          </cell>
          <cell r="D1904">
            <v>1.3149090000000001E-4</v>
          </cell>
          <cell r="E1904">
            <v>1.73525</v>
          </cell>
          <cell r="F1904">
            <v>0.17347000000000001</v>
          </cell>
          <cell r="J1904">
            <v>35.722623695974626</v>
          </cell>
          <cell r="K1904">
            <v>1.3149090000000001E-4</v>
          </cell>
          <cell r="L1904">
            <v>1.73525</v>
          </cell>
          <cell r="M1904">
            <v>0.17347000000000001</v>
          </cell>
          <cell r="N1904">
            <v>35.264716115514439</v>
          </cell>
          <cell r="O1904">
            <v>39.839774847260365</v>
          </cell>
          <cell r="P1904">
            <v>1.12298E-2</v>
          </cell>
        </row>
        <row r="1905">
          <cell r="B1905">
            <v>33462</v>
          </cell>
          <cell r="C1905">
            <v>18.78</v>
          </cell>
          <cell r="D1905">
            <v>1.323455E-4</v>
          </cell>
          <cell r="E1905">
            <v>1.6973800000000001</v>
          </cell>
          <cell r="F1905">
            <v>0.16744999999999999</v>
          </cell>
          <cell r="J1905">
            <v>35.946247320311421</v>
          </cell>
          <cell r="K1905">
            <v>1.323455E-4</v>
          </cell>
          <cell r="L1905">
            <v>1.6973800000000001</v>
          </cell>
          <cell r="M1905">
            <v>0.16744999999999999</v>
          </cell>
          <cell r="N1905">
            <v>35.264716115514439</v>
          </cell>
          <cell r="O1905">
            <v>39.839774847260365</v>
          </cell>
          <cell r="P1905">
            <v>1.12298E-2</v>
          </cell>
        </row>
        <row r="1906">
          <cell r="B1906">
            <v>33463</v>
          </cell>
          <cell r="C1906">
            <v>20.43</v>
          </cell>
          <cell r="D1906">
            <v>1.3318180000000001E-4</v>
          </cell>
          <cell r="E1906">
            <v>1.6608700000000001</v>
          </cell>
          <cell r="F1906">
            <v>0.16239999999999999</v>
          </cell>
          <cell r="J1906">
            <v>36.191041264562742</v>
          </cell>
          <cell r="K1906">
            <v>1.3318180000000001E-4</v>
          </cell>
          <cell r="L1906">
            <v>1.6608700000000001</v>
          </cell>
          <cell r="M1906">
            <v>0.16239999999999999</v>
          </cell>
          <cell r="N1906">
            <v>35.264716115514439</v>
          </cell>
          <cell r="O1906">
            <v>39.839774847260365</v>
          </cell>
          <cell r="P1906">
            <v>1.12298E-2</v>
          </cell>
        </row>
        <row r="1907">
          <cell r="B1907">
            <v>33464</v>
          </cell>
          <cell r="C1907">
            <v>19.5</v>
          </cell>
          <cell r="D1907">
            <v>1.3416360000000001E-4</v>
          </cell>
          <cell r="E1907">
            <v>1.67777</v>
          </cell>
          <cell r="F1907">
            <v>0.17008999999999999</v>
          </cell>
          <cell r="J1907">
            <v>36.426283032782401</v>
          </cell>
          <cell r="K1907">
            <v>1.3416360000000001E-4</v>
          </cell>
          <cell r="L1907">
            <v>1.67777</v>
          </cell>
          <cell r="M1907">
            <v>0.17008999999999999</v>
          </cell>
          <cell r="N1907">
            <v>35.264716115514439</v>
          </cell>
          <cell r="O1907">
            <v>39.839774847260365</v>
          </cell>
          <cell r="P1907">
            <v>1.12298E-2</v>
          </cell>
        </row>
        <row r="1908">
          <cell r="B1908">
            <v>33465</v>
          </cell>
          <cell r="C1908">
            <v>19.41</v>
          </cell>
          <cell r="D1908">
            <v>1.347636E-4</v>
          </cell>
          <cell r="E1908">
            <v>1.71163</v>
          </cell>
          <cell r="F1908">
            <v>0.18386</v>
          </cell>
          <cell r="J1908">
            <v>36.661961084004503</v>
          </cell>
          <cell r="K1908">
            <v>1.347636E-4</v>
          </cell>
          <cell r="L1908">
            <v>1.71163</v>
          </cell>
          <cell r="M1908">
            <v>0.18386</v>
          </cell>
          <cell r="N1908">
            <v>35.264716115514439</v>
          </cell>
          <cell r="O1908">
            <v>39.839774847260365</v>
          </cell>
          <cell r="P1908">
            <v>1.12298E-2</v>
          </cell>
        </row>
        <row r="1909">
          <cell r="B1909">
            <v>33466</v>
          </cell>
          <cell r="C1909">
            <v>21.42</v>
          </cell>
          <cell r="D1909">
            <v>1.3563639999999999E-4</v>
          </cell>
          <cell r="E1909">
            <v>1.73743</v>
          </cell>
          <cell r="F1909">
            <v>0.18906000000000001</v>
          </cell>
          <cell r="J1909">
            <v>36.923727486144294</v>
          </cell>
          <cell r="K1909">
            <v>1.3563639999999999E-4</v>
          </cell>
          <cell r="L1909">
            <v>1.73743</v>
          </cell>
          <cell r="M1909">
            <v>0.18906000000000001</v>
          </cell>
          <cell r="N1909">
            <v>35.264716115514439</v>
          </cell>
          <cell r="O1909">
            <v>39.839774847260365</v>
          </cell>
          <cell r="P1909">
            <v>1.12298E-2</v>
          </cell>
        </row>
        <row r="1910">
          <cell r="B1910">
            <v>33469</v>
          </cell>
          <cell r="C1910">
            <v>20.04</v>
          </cell>
          <cell r="D1910">
            <v>1.364545E-4</v>
          </cell>
          <cell r="E1910">
            <v>1.70556</v>
          </cell>
          <cell r="F1910">
            <v>0.17602000000000001</v>
          </cell>
          <cell r="J1910">
            <v>37.170377985751742</v>
          </cell>
          <cell r="K1910">
            <v>1.364545E-4</v>
          </cell>
          <cell r="L1910">
            <v>1.70556</v>
          </cell>
          <cell r="M1910">
            <v>0.17602000000000001</v>
          </cell>
          <cell r="N1910">
            <v>35.264716115514439</v>
          </cell>
          <cell r="O1910">
            <v>39.839774847260365</v>
          </cell>
          <cell r="P1910">
            <v>1.12298E-2</v>
          </cell>
        </row>
        <row r="1911">
          <cell r="B1911">
            <v>33470</v>
          </cell>
          <cell r="C1911">
            <v>20.28</v>
          </cell>
          <cell r="D1911">
            <v>1.3732729999999999E-4</v>
          </cell>
          <cell r="E1911">
            <v>1.7074800000000001</v>
          </cell>
          <cell r="F1911">
            <v>0.18848999999999999</v>
          </cell>
          <cell r="J1911">
            <v>37.421649740935429</v>
          </cell>
          <cell r="K1911">
            <v>1.3732729999999999E-4</v>
          </cell>
          <cell r="L1911">
            <v>1.7074800000000001</v>
          </cell>
          <cell r="M1911">
            <v>0.18848999999999999</v>
          </cell>
          <cell r="N1911">
            <v>35.264716115514439</v>
          </cell>
          <cell r="O1911">
            <v>39.839774847260365</v>
          </cell>
          <cell r="P1911">
            <v>1.12298E-2</v>
          </cell>
        </row>
        <row r="1912">
          <cell r="B1912">
            <v>33471</v>
          </cell>
          <cell r="C1912">
            <v>19.89</v>
          </cell>
          <cell r="D1912">
            <v>1.3809090000000001E-4</v>
          </cell>
          <cell r="E1912">
            <v>1.72787</v>
          </cell>
          <cell r="F1912">
            <v>0.20249</v>
          </cell>
          <cell r="J1912">
            <v>37.66975527871783</v>
          </cell>
          <cell r="K1912">
            <v>1.3809090000000001E-4</v>
          </cell>
          <cell r="L1912">
            <v>1.72787</v>
          </cell>
          <cell r="M1912">
            <v>0.20249</v>
          </cell>
          <cell r="N1912">
            <v>35.264716115514439</v>
          </cell>
          <cell r="O1912">
            <v>39.839774847260365</v>
          </cell>
          <cell r="P1912">
            <v>1.12298E-2</v>
          </cell>
        </row>
        <row r="1913">
          <cell r="B1913">
            <v>33472</v>
          </cell>
          <cell r="C1913">
            <v>19.95</v>
          </cell>
          <cell r="D1913">
            <v>1.3903639999999999E-4</v>
          </cell>
          <cell r="E1913">
            <v>1.7324299999999999</v>
          </cell>
          <cell r="F1913">
            <v>0.19980999999999999</v>
          </cell>
          <cell r="J1913">
            <v>37.920259151321304</v>
          </cell>
          <cell r="K1913">
            <v>1.3903639999999999E-4</v>
          </cell>
          <cell r="L1913">
            <v>1.7324299999999999</v>
          </cell>
          <cell r="M1913">
            <v>0.19980999999999999</v>
          </cell>
          <cell r="N1913">
            <v>35.264716115514439</v>
          </cell>
          <cell r="O1913">
            <v>39.839774847260365</v>
          </cell>
          <cell r="P1913">
            <v>1.12298E-2</v>
          </cell>
        </row>
        <row r="1914">
          <cell r="B1914">
            <v>33473</v>
          </cell>
          <cell r="C1914">
            <v>20.85</v>
          </cell>
          <cell r="D1914">
            <v>1.393636E-4</v>
          </cell>
          <cell r="E1914">
            <v>1.73614</v>
          </cell>
          <cell r="F1914">
            <v>0.20508999999999999</v>
          </cell>
          <cell r="J1914">
            <v>38.183804952422989</v>
          </cell>
          <cell r="K1914">
            <v>1.393636E-4</v>
          </cell>
          <cell r="L1914">
            <v>1.73614</v>
          </cell>
          <cell r="M1914">
            <v>0.20508999999999999</v>
          </cell>
          <cell r="N1914">
            <v>35.264716115514439</v>
          </cell>
          <cell r="O1914">
            <v>39.839774847260365</v>
          </cell>
          <cell r="P1914">
            <v>1.12298E-2</v>
          </cell>
        </row>
        <row r="1915">
          <cell r="B1915">
            <v>33476</v>
          </cell>
          <cell r="C1915">
            <v>21.36</v>
          </cell>
          <cell r="D1915">
            <v>1.401273E-4</v>
          </cell>
          <cell r="E1915">
            <v>1.7484200000000001</v>
          </cell>
          <cell r="F1915">
            <v>0.20491999999999999</v>
          </cell>
          <cell r="J1915">
            <v>38.455673643684243</v>
          </cell>
          <cell r="K1915">
            <v>1.401273E-4</v>
          </cell>
          <cell r="L1915">
            <v>1.7484200000000001</v>
          </cell>
          <cell r="M1915">
            <v>0.20491999999999999</v>
          </cell>
          <cell r="N1915">
            <v>35.264716115514439</v>
          </cell>
          <cell r="O1915">
            <v>39.839774847260365</v>
          </cell>
          <cell r="P1915">
            <v>1.12298E-2</v>
          </cell>
        </row>
        <row r="1916">
          <cell r="B1916">
            <v>33477</v>
          </cell>
          <cell r="C1916">
            <v>23.76</v>
          </cell>
          <cell r="D1916">
            <v>1.408545E-4</v>
          </cell>
          <cell r="E1916">
            <v>1.76139</v>
          </cell>
          <cell r="F1916">
            <v>0.21922</v>
          </cell>
          <cell r="J1916">
            <v>38.760242578942218</v>
          </cell>
          <cell r="K1916">
            <v>1.408545E-4</v>
          </cell>
          <cell r="L1916">
            <v>1.76139</v>
          </cell>
          <cell r="M1916">
            <v>0.21922</v>
          </cell>
          <cell r="N1916">
            <v>35.264716115514439</v>
          </cell>
          <cell r="O1916">
            <v>39.839774847260365</v>
          </cell>
          <cell r="P1916">
            <v>1.12298E-2</v>
          </cell>
        </row>
        <row r="1917">
          <cell r="B1917">
            <v>33478</v>
          </cell>
          <cell r="C1917">
            <v>24.21</v>
          </cell>
          <cell r="D1917">
            <v>1.4169089999999999E-4</v>
          </cell>
          <cell r="E1917">
            <v>1.7479100000000001</v>
          </cell>
          <cell r="F1917">
            <v>0.20966000000000001</v>
          </cell>
          <cell r="J1917">
            <v>39.073037736554284</v>
          </cell>
          <cell r="K1917">
            <v>1.4169089999999999E-4</v>
          </cell>
          <cell r="L1917">
            <v>1.7479100000000001</v>
          </cell>
          <cell r="M1917">
            <v>0.20966000000000001</v>
          </cell>
          <cell r="N1917">
            <v>35.264716115514439</v>
          </cell>
          <cell r="O1917">
            <v>39.839774847260365</v>
          </cell>
          <cell r="P1917">
            <v>1.12298E-2</v>
          </cell>
        </row>
        <row r="1918">
          <cell r="B1918">
            <v>33479</v>
          </cell>
          <cell r="C1918">
            <v>24.87</v>
          </cell>
          <cell r="D1918">
            <v>1.4372730000000001E-4</v>
          </cell>
          <cell r="E1918">
            <v>1.7376499999999999</v>
          </cell>
          <cell r="F1918">
            <v>0.20502999999999999</v>
          </cell>
          <cell r="J1918">
            <v>39.396953219390312</v>
          </cell>
          <cell r="K1918">
            <v>1.4372730000000001E-4</v>
          </cell>
          <cell r="L1918">
            <v>1.7376499999999999</v>
          </cell>
          <cell r="M1918">
            <v>0.20502999999999999</v>
          </cell>
          <cell r="N1918">
            <v>35.264716115514439</v>
          </cell>
          <cell r="O1918">
            <v>39.839774847260365</v>
          </cell>
          <cell r="P1918">
            <v>1.12298E-2</v>
          </cell>
        </row>
        <row r="1919">
          <cell r="B1919">
            <v>33480</v>
          </cell>
          <cell r="C1919">
            <v>24.69</v>
          </cell>
          <cell r="D1919">
            <v>1.4341819999999999E-4</v>
          </cell>
          <cell r="E1919">
            <v>1.76894</v>
          </cell>
          <cell r="F1919">
            <v>0.20868999999999999</v>
          </cell>
          <cell r="G1919">
            <v>15.49</v>
          </cell>
          <cell r="H1919">
            <v>15.25</v>
          </cell>
          <cell r="I1919">
            <v>1.2634619999999999E-2</v>
          </cell>
          <cell r="J1919">
            <v>39.721190144385893</v>
          </cell>
          <cell r="K1919">
            <v>1.4341819999999999E-4</v>
          </cell>
          <cell r="L1919">
            <v>1.76894</v>
          </cell>
          <cell r="M1919">
            <v>0.20868999999999999</v>
          </cell>
          <cell r="N1919">
            <v>40.727220641807627</v>
          </cell>
          <cell r="O1919">
            <v>45.915340511467576</v>
          </cell>
          <cell r="P1919">
            <v>1.2634619999999999E-2</v>
          </cell>
        </row>
        <row r="1920">
          <cell r="B1920">
            <v>33483</v>
          </cell>
          <cell r="C1920">
            <v>25.41</v>
          </cell>
          <cell r="D1920">
            <v>1.4463639999999999E-4</v>
          </cell>
          <cell r="E1920">
            <v>1.7742</v>
          </cell>
          <cell r="F1920">
            <v>0.21310999999999999</v>
          </cell>
          <cell r="J1920">
            <v>40.057628624908844</v>
          </cell>
          <cell r="K1920">
            <v>1.4463639999999999E-4</v>
          </cell>
          <cell r="L1920">
            <v>1.7742</v>
          </cell>
          <cell r="M1920">
            <v>0.21310999999999999</v>
          </cell>
          <cell r="N1920">
            <v>40.727220641807627</v>
          </cell>
          <cell r="O1920">
            <v>45.915340511467576</v>
          </cell>
          <cell r="P1920">
            <v>1.2634619999999999E-2</v>
          </cell>
        </row>
        <row r="1921">
          <cell r="B1921">
            <v>33484</v>
          </cell>
          <cell r="C1921">
            <v>25.32</v>
          </cell>
          <cell r="D1921">
            <v>1.4567270000000001E-4</v>
          </cell>
          <cell r="E1921">
            <v>1.7645500000000001</v>
          </cell>
          <cell r="F1921">
            <v>0.21182999999999999</v>
          </cell>
          <cell r="J1921">
            <v>40.395715010503075</v>
          </cell>
          <cell r="K1921">
            <v>1.4567270000000001E-4</v>
          </cell>
          <cell r="L1921">
            <v>1.7645500000000001</v>
          </cell>
          <cell r="M1921">
            <v>0.21182999999999999</v>
          </cell>
          <cell r="N1921">
            <v>40.727220641807627</v>
          </cell>
          <cell r="O1921">
            <v>45.915340511467576</v>
          </cell>
          <cell r="P1921">
            <v>1.2634619999999999E-2</v>
          </cell>
        </row>
        <row r="1922">
          <cell r="B1922">
            <v>33485</v>
          </cell>
          <cell r="C1922">
            <v>25.32</v>
          </cell>
          <cell r="D1922">
            <v>1.466545E-4</v>
          </cell>
          <cell r="E1922">
            <v>1.7552000000000001</v>
          </cell>
          <cell r="F1922">
            <v>0.21426000000000001</v>
          </cell>
          <cell r="J1922">
            <v>40.736654845191723</v>
          </cell>
          <cell r="K1922">
            <v>1.466545E-4</v>
          </cell>
          <cell r="L1922">
            <v>1.7552000000000001</v>
          </cell>
          <cell r="M1922">
            <v>0.21426000000000001</v>
          </cell>
          <cell r="N1922">
            <v>40.727220641807627</v>
          </cell>
          <cell r="O1922">
            <v>45.915340511467576</v>
          </cell>
          <cell r="P1922">
            <v>1.2634619999999999E-2</v>
          </cell>
        </row>
        <row r="1923">
          <cell r="B1923">
            <v>33486</v>
          </cell>
          <cell r="C1923">
            <v>25.41</v>
          </cell>
          <cell r="D1923">
            <v>1.477273E-4</v>
          </cell>
          <cell r="E1923">
            <v>1.74617</v>
          </cell>
          <cell r="F1923">
            <v>0.21944</v>
          </cell>
          <cell r="J1923">
            <v>41.081694311730494</v>
          </cell>
          <cell r="K1923">
            <v>1.477273E-4</v>
          </cell>
          <cell r="L1923">
            <v>1.74617</v>
          </cell>
          <cell r="M1923">
            <v>0.21944</v>
          </cell>
          <cell r="N1923">
            <v>40.727220641807627</v>
          </cell>
          <cell r="O1923">
            <v>45.915340511467576</v>
          </cell>
          <cell r="P1923">
            <v>1.2634619999999999E-2</v>
          </cell>
        </row>
        <row r="1924">
          <cell r="B1924">
            <v>33487</v>
          </cell>
          <cell r="C1924">
            <v>25.38</v>
          </cell>
          <cell r="D1924">
            <v>1.488727E-4</v>
          </cell>
          <cell r="E1924">
            <v>1.7812300000000001</v>
          </cell>
          <cell r="F1924">
            <v>0.23515</v>
          </cell>
          <cell r="J1924">
            <v>41.429245445607734</v>
          </cell>
          <cell r="K1924">
            <v>1.488727E-4</v>
          </cell>
          <cell r="L1924">
            <v>1.7812300000000001</v>
          </cell>
          <cell r="M1924">
            <v>0.23515</v>
          </cell>
          <cell r="N1924">
            <v>40.727220641807627</v>
          </cell>
          <cell r="O1924">
            <v>45.915340511467576</v>
          </cell>
          <cell r="P1924">
            <v>1.2634619999999999E-2</v>
          </cell>
        </row>
        <row r="1925">
          <cell r="B1925">
            <v>33490</v>
          </cell>
          <cell r="C1925">
            <v>26.28</v>
          </cell>
          <cell r="D1925">
            <v>1.501455E-4</v>
          </cell>
          <cell r="E1925">
            <v>1.8365899999999999</v>
          </cell>
          <cell r="F1925">
            <v>0.24717</v>
          </cell>
          <cell r="J1925">
            <v>41.792165635711264</v>
          </cell>
          <cell r="K1925">
            <v>1.501455E-4</v>
          </cell>
          <cell r="L1925">
            <v>1.8365899999999999</v>
          </cell>
          <cell r="M1925">
            <v>0.24717</v>
          </cell>
          <cell r="N1925">
            <v>40.727220641807627</v>
          </cell>
          <cell r="O1925">
            <v>45.915340511467576</v>
          </cell>
          <cell r="P1925">
            <v>1.2634619999999999E-2</v>
          </cell>
        </row>
        <row r="1926">
          <cell r="B1926">
            <v>33491</v>
          </cell>
          <cell r="C1926">
            <v>25.59</v>
          </cell>
          <cell r="D1926">
            <v>1.5125450000000001E-4</v>
          </cell>
          <cell r="E1926">
            <v>1.8694999999999999</v>
          </cell>
          <cell r="F1926">
            <v>0.24759</v>
          </cell>
          <cell r="J1926">
            <v>42.148652808583876</v>
          </cell>
          <cell r="K1926">
            <v>1.5125450000000001E-4</v>
          </cell>
          <cell r="L1926">
            <v>1.8694999999999999</v>
          </cell>
          <cell r="M1926">
            <v>0.24759</v>
          </cell>
          <cell r="N1926">
            <v>40.727220641807627</v>
          </cell>
          <cell r="O1926">
            <v>45.915340511467576</v>
          </cell>
          <cell r="P1926">
            <v>1.2634619999999999E-2</v>
          </cell>
        </row>
        <row r="1927">
          <cell r="B1927">
            <v>33492</v>
          </cell>
          <cell r="C1927">
            <v>26.58</v>
          </cell>
          <cell r="D1927">
            <v>1.5250910000000001E-4</v>
          </cell>
          <cell r="E1927">
            <v>1.9155199999999999</v>
          </cell>
          <cell r="F1927">
            <v>0.25847999999999999</v>
          </cell>
          <cell r="J1927">
            <v>42.52208987246793</v>
          </cell>
          <cell r="K1927">
            <v>1.5250910000000001E-4</v>
          </cell>
          <cell r="L1927">
            <v>1.9155199999999999</v>
          </cell>
          <cell r="M1927">
            <v>0.25847999999999999</v>
          </cell>
          <cell r="N1927">
            <v>40.727220641807627</v>
          </cell>
          <cell r="O1927">
            <v>45.915340511467576</v>
          </cell>
          <cell r="P1927">
            <v>1.2634619999999999E-2</v>
          </cell>
        </row>
        <row r="1928">
          <cell r="B1928">
            <v>33493</v>
          </cell>
          <cell r="C1928">
            <v>26.7</v>
          </cell>
          <cell r="D1928">
            <v>1.540182E-4</v>
          </cell>
          <cell r="E1928">
            <v>2.03565</v>
          </cell>
          <cell r="F1928">
            <v>0.27383000000000002</v>
          </cell>
          <cell r="J1928">
            <v>42.900536472332888</v>
          </cell>
          <cell r="K1928">
            <v>1.540182E-4</v>
          </cell>
          <cell r="L1928">
            <v>2.03565</v>
          </cell>
          <cell r="M1928">
            <v>0.27383000000000002</v>
          </cell>
          <cell r="N1928">
            <v>40.727220641807627</v>
          </cell>
          <cell r="O1928">
            <v>45.915340511467576</v>
          </cell>
          <cell r="P1928">
            <v>1.2634619999999999E-2</v>
          </cell>
        </row>
        <row r="1929">
          <cell r="B1929">
            <v>33494</v>
          </cell>
          <cell r="C1929">
            <v>26.46</v>
          </cell>
          <cell r="D1929">
            <v>1.5532729999999999E-4</v>
          </cell>
          <cell r="E1929">
            <v>2.0409999999999999</v>
          </cell>
          <cell r="F1929">
            <v>0.26950000000000002</v>
          </cell>
          <cell r="J1929">
            <v>43.278919204018869</v>
          </cell>
          <cell r="K1929">
            <v>1.5532729999999999E-4</v>
          </cell>
          <cell r="L1929">
            <v>2.0409999999999999</v>
          </cell>
          <cell r="M1929">
            <v>0.26950000000000002</v>
          </cell>
          <cell r="N1929">
            <v>40.727220641807627</v>
          </cell>
          <cell r="O1929">
            <v>45.915340511467576</v>
          </cell>
          <cell r="P1929">
            <v>1.2634619999999999E-2</v>
          </cell>
        </row>
        <row r="1930">
          <cell r="B1930">
            <v>33497</v>
          </cell>
          <cell r="C1930">
            <v>28.86</v>
          </cell>
          <cell r="D1930">
            <v>1.5661820000000001E-4</v>
          </cell>
          <cell r="E1930">
            <v>2.0401500000000001</v>
          </cell>
          <cell r="F1930">
            <v>0.26122000000000001</v>
          </cell>
          <cell r="J1930">
            <v>43.695262406761529</v>
          </cell>
          <cell r="K1930">
            <v>1.5661820000000001E-4</v>
          </cell>
          <cell r="L1930">
            <v>2.0401500000000001</v>
          </cell>
          <cell r="M1930">
            <v>0.26122000000000001</v>
          </cell>
          <cell r="N1930">
            <v>40.727220641807627</v>
          </cell>
          <cell r="O1930">
            <v>45.915340511467576</v>
          </cell>
          <cell r="P1930">
            <v>1.2634619999999999E-2</v>
          </cell>
        </row>
        <row r="1931">
          <cell r="B1931">
            <v>33498</v>
          </cell>
          <cell r="C1931">
            <v>29.76</v>
          </cell>
          <cell r="D1931">
            <v>1.576727E-4</v>
          </cell>
          <cell r="E1931">
            <v>2.05776</v>
          </cell>
          <cell r="F1931">
            <v>0.26613999999999999</v>
          </cell>
          <cell r="J1931">
            <v>44.128719409836599</v>
          </cell>
          <cell r="K1931">
            <v>1.576727E-4</v>
          </cell>
          <cell r="L1931">
            <v>2.05776</v>
          </cell>
          <cell r="M1931">
            <v>0.26613999999999999</v>
          </cell>
          <cell r="N1931">
            <v>40.727220641807627</v>
          </cell>
          <cell r="O1931">
            <v>45.915340511467576</v>
          </cell>
          <cell r="P1931">
            <v>1.2634619999999999E-2</v>
          </cell>
        </row>
        <row r="1932">
          <cell r="B1932">
            <v>33499</v>
          </cell>
          <cell r="C1932">
            <v>27.51</v>
          </cell>
          <cell r="D1932">
            <v>1.589455E-4</v>
          </cell>
          <cell r="E1932">
            <v>2.0611799999999998</v>
          </cell>
          <cell r="F1932">
            <v>0.26622000000000001</v>
          </cell>
          <cell r="J1932">
            <v>44.533379766824794</v>
          </cell>
          <cell r="K1932">
            <v>1.589455E-4</v>
          </cell>
          <cell r="L1932">
            <v>2.0611799999999998</v>
          </cell>
          <cell r="M1932">
            <v>0.26622000000000001</v>
          </cell>
          <cell r="N1932">
            <v>40.727220641807627</v>
          </cell>
          <cell r="O1932">
            <v>45.915340511467576</v>
          </cell>
          <cell r="P1932">
            <v>1.2634619999999999E-2</v>
          </cell>
        </row>
        <row r="1933">
          <cell r="B1933">
            <v>33500</v>
          </cell>
          <cell r="C1933">
            <v>25.89</v>
          </cell>
          <cell r="D1933">
            <v>1.6021819999999999E-4</v>
          </cell>
          <cell r="E1933">
            <v>2.0759400000000001</v>
          </cell>
          <cell r="F1933">
            <v>0.27312999999999998</v>
          </cell>
          <cell r="J1933">
            <v>44.917702834212491</v>
          </cell>
          <cell r="K1933">
            <v>1.6021819999999999E-4</v>
          </cell>
          <cell r="L1933">
            <v>2.0759400000000001</v>
          </cell>
          <cell r="M1933">
            <v>0.27312999999999998</v>
          </cell>
          <cell r="N1933">
            <v>40.727220641807627</v>
          </cell>
          <cell r="O1933">
            <v>45.915340511467576</v>
          </cell>
          <cell r="P1933">
            <v>1.2634619999999999E-2</v>
          </cell>
        </row>
        <row r="1934">
          <cell r="B1934">
            <v>33501</v>
          </cell>
          <cell r="C1934">
            <v>25.77</v>
          </cell>
          <cell r="D1934">
            <v>1.6136359999999999E-4</v>
          </cell>
          <cell r="E1934">
            <v>2.0946099999999999</v>
          </cell>
          <cell r="F1934">
            <v>0.27165</v>
          </cell>
          <cell r="J1934">
            <v>45.30354590155838</v>
          </cell>
          <cell r="K1934">
            <v>1.6136359999999999E-4</v>
          </cell>
          <cell r="L1934">
            <v>2.0946099999999999</v>
          </cell>
          <cell r="M1934">
            <v>0.27165</v>
          </cell>
          <cell r="N1934">
            <v>40.727220641807627</v>
          </cell>
          <cell r="O1934">
            <v>45.915340511467576</v>
          </cell>
          <cell r="P1934">
            <v>1.2634619999999999E-2</v>
          </cell>
        </row>
        <row r="1935">
          <cell r="B1935">
            <v>33504</v>
          </cell>
          <cell r="C1935">
            <v>25.53</v>
          </cell>
          <cell r="D1935">
            <v>1.6241819999999999E-4</v>
          </cell>
          <cell r="E1935">
            <v>2.0822099999999999</v>
          </cell>
          <cell r="F1935">
            <v>0.26743</v>
          </cell>
          <cell r="J1935">
            <v>45.689079077180644</v>
          </cell>
          <cell r="K1935">
            <v>1.6241819999999999E-4</v>
          </cell>
          <cell r="L1935">
            <v>2.0822099999999999</v>
          </cell>
          <cell r="M1935">
            <v>0.26743</v>
          </cell>
          <cell r="N1935">
            <v>40.727220641807627</v>
          </cell>
          <cell r="O1935">
            <v>45.915340511467576</v>
          </cell>
          <cell r="P1935">
            <v>1.2634619999999999E-2</v>
          </cell>
        </row>
        <row r="1936">
          <cell r="B1936">
            <v>33505</v>
          </cell>
          <cell r="C1936">
            <v>25.71</v>
          </cell>
          <cell r="D1936">
            <v>1.6359999999999999E-4</v>
          </cell>
          <cell r="E1936">
            <v>2.0518200000000002</v>
          </cell>
          <cell r="F1936">
            <v>0.25245000000000001</v>
          </cell>
          <cell r="J1936">
            <v>46.080634484872078</v>
          </cell>
          <cell r="K1936">
            <v>1.6359999999999999E-4</v>
          </cell>
          <cell r="L1936">
            <v>2.0518200000000002</v>
          </cell>
          <cell r="M1936">
            <v>0.25245000000000001</v>
          </cell>
          <cell r="N1936">
            <v>40.727220641807627</v>
          </cell>
          <cell r="O1936">
            <v>45.915340511467576</v>
          </cell>
          <cell r="P1936">
            <v>1.2634619999999999E-2</v>
          </cell>
        </row>
        <row r="1937">
          <cell r="B1937">
            <v>33506</v>
          </cell>
          <cell r="C1937">
            <v>25.608000000000001</v>
          </cell>
          <cell r="D1937">
            <v>1.6490910000000001E-4</v>
          </cell>
          <cell r="E1937">
            <v>2.0604499999999999</v>
          </cell>
          <cell r="F1937">
            <v>0.25800000000000001</v>
          </cell>
          <cell r="J1937">
            <v>46.473978780834948</v>
          </cell>
          <cell r="K1937">
            <v>1.6490910000000001E-4</v>
          </cell>
          <cell r="L1937">
            <v>2.0604499999999999</v>
          </cell>
          <cell r="M1937">
            <v>0.25800000000000001</v>
          </cell>
          <cell r="N1937">
            <v>40.727220641807627</v>
          </cell>
          <cell r="O1937">
            <v>45.915340511467576</v>
          </cell>
          <cell r="P1937">
            <v>1.2634619999999999E-2</v>
          </cell>
        </row>
        <row r="1938">
          <cell r="B1938">
            <v>33507</v>
          </cell>
          <cell r="C1938">
            <v>25.53</v>
          </cell>
          <cell r="D1938">
            <v>1.662364E-4</v>
          </cell>
          <cell r="E1938">
            <v>2.0168300000000001</v>
          </cell>
          <cell r="F1938">
            <v>0.23916000000000001</v>
          </cell>
          <cell r="J1938">
            <v>46.869472340259854</v>
          </cell>
          <cell r="K1938">
            <v>1.662364E-4</v>
          </cell>
          <cell r="L1938">
            <v>2.0168300000000001</v>
          </cell>
          <cell r="M1938">
            <v>0.23916000000000001</v>
          </cell>
          <cell r="N1938">
            <v>40.727220641807627</v>
          </cell>
          <cell r="O1938">
            <v>45.915340511467576</v>
          </cell>
          <cell r="P1938">
            <v>1.2634619999999999E-2</v>
          </cell>
        </row>
        <row r="1939">
          <cell r="B1939">
            <v>33508</v>
          </cell>
          <cell r="C1939">
            <v>25.44</v>
          </cell>
          <cell r="D1939">
            <v>1.6754549999999999E-4</v>
          </cell>
          <cell r="E1939">
            <v>2.0225499999999998</v>
          </cell>
          <cell r="F1939">
            <v>0.24134</v>
          </cell>
          <cell r="J1939">
            <v>47.266925465705256</v>
          </cell>
          <cell r="K1939">
            <v>1.6754549999999999E-4</v>
          </cell>
          <cell r="L1939">
            <v>2.0225499999999998</v>
          </cell>
          <cell r="M1939">
            <v>0.24134</v>
          </cell>
          <cell r="N1939">
            <v>40.727220641807627</v>
          </cell>
          <cell r="O1939">
            <v>45.915340511467576</v>
          </cell>
          <cell r="P1939">
            <v>1.2634619999999999E-2</v>
          </cell>
        </row>
        <row r="1940">
          <cell r="B1940">
            <v>33511</v>
          </cell>
          <cell r="C1940">
            <v>25.47</v>
          </cell>
          <cell r="D1940">
            <v>1.9272730000000001E-4</v>
          </cell>
          <cell r="E1940">
            <v>2.0271300000000001</v>
          </cell>
          <cell r="F1940">
            <v>0.24473</v>
          </cell>
          <cell r="G1940">
            <v>16.190000000000001</v>
          </cell>
          <cell r="H1940">
            <v>14.93</v>
          </cell>
          <cell r="I1940">
            <v>1.482848E-2</v>
          </cell>
          <cell r="J1940">
            <v>47.668221662909097</v>
          </cell>
          <cell r="K1940">
            <v>1.9272730000000001E-4</v>
          </cell>
          <cell r="L1940">
            <v>2.0271300000000001</v>
          </cell>
          <cell r="M1940">
            <v>0.24473</v>
          </cell>
          <cell r="N1940">
            <v>47.320957663716278</v>
          </cell>
          <cell r="O1940">
            <v>52.770500849829688</v>
          </cell>
          <cell r="P1940">
            <v>1.482848E-2</v>
          </cell>
        </row>
        <row r="1941">
          <cell r="B1941">
            <v>33512</v>
          </cell>
          <cell r="C1941">
            <v>25.92</v>
          </cell>
          <cell r="D1941">
            <v>1.934545E-4</v>
          </cell>
          <cell r="E1941">
            <v>2.1059100000000002</v>
          </cell>
          <cell r="F1941">
            <v>0.26991999999999999</v>
          </cell>
          <cell r="J1941">
            <v>48.080075098076634</v>
          </cell>
          <cell r="K1941">
            <v>1.934545E-4</v>
          </cell>
          <cell r="L1941">
            <v>2.1059100000000002</v>
          </cell>
          <cell r="M1941">
            <v>0.26991999999999999</v>
          </cell>
          <cell r="N1941">
            <v>47.320957663716278</v>
          </cell>
          <cell r="O1941">
            <v>52.770500849829688</v>
          </cell>
          <cell r="P1941">
            <v>1.482848E-2</v>
          </cell>
        </row>
        <row r="1942">
          <cell r="B1942">
            <v>33513</v>
          </cell>
          <cell r="C1942">
            <v>25.629000000000001</v>
          </cell>
          <cell r="D1942">
            <v>1.956545E-4</v>
          </cell>
          <cell r="E1942">
            <v>2.0645600000000002</v>
          </cell>
          <cell r="F1942">
            <v>0.25022</v>
          </cell>
          <cell r="J1942">
            <v>48.490823179639499</v>
          </cell>
          <cell r="K1942">
            <v>1.956545E-4</v>
          </cell>
          <cell r="L1942">
            <v>2.0645600000000002</v>
          </cell>
          <cell r="M1942">
            <v>0.25022</v>
          </cell>
          <cell r="N1942">
            <v>47.320957663716278</v>
          </cell>
          <cell r="O1942">
            <v>52.770500849829688</v>
          </cell>
          <cell r="P1942">
            <v>1.482848E-2</v>
          </cell>
        </row>
        <row r="1943">
          <cell r="B1943">
            <v>33514</v>
          </cell>
          <cell r="C1943">
            <v>25.457999999999998</v>
          </cell>
          <cell r="D1943">
            <v>1.9701819999999999E-4</v>
          </cell>
          <cell r="E1943">
            <v>2.0651099999999998</v>
          </cell>
          <cell r="F1943">
            <v>0.25306000000000001</v>
          </cell>
          <cell r="J1943">
            <v>48.902316305141916</v>
          </cell>
          <cell r="K1943">
            <v>1.9701819999999999E-4</v>
          </cell>
          <cell r="L1943">
            <v>2.0651099999999998</v>
          </cell>
          <cell r="M1943">
            <v>0.25306000000000001</v>
          </cell>
          <cell r="N1943">
            <v>47.320957663716278</v>
          </cell>
          <cell r="O1943">
            <v>52.770500849829688</v>
          </cell>
          <cell r="P1943">
            <v>1.482848E-2</v>
          </cell>
        </row>
        <row r="1944">
          <cell r="B1944">
            <v>33515</v>
          </cell>
          <cell r="C1944">
            <v>26.01</v>
          </cell>
          <cell r="D1944">
            <v>1.9832730000000001E-4</v>
          </cell>
          <cell r="E1944">
            <v>2.0835699999999999</v>
          </cell>
          <cell r="F1944">
            <v>0.26855000000000001</v>
          </cell>
          <cell r="J1944">
            <v>49.326299387507497</v>
          </cell>
          <cell r="K1944">
            <v>1.9832730000000001E-4</v>
          </cell>
          <cell r="L1944">
            <v>2.0835699999999999</v>
          </cell>
          <cell r="M1944">
            <v>0.26855000000000001</v>
          </cell>
          <cell r="N1944">
            <v>47.320957663716278</v>
          </cell>
          <cell r="O1944">
            <v>52.770500849829688</v>
          </cell>
          <cell r="P1944">
            <v>1.482848E-2</v>
          </cell>
        </row>
        <row r="1945">
          <cell r="B1945">
            <v>33518</v>
          </cell>
          <cell r="C1945">
            <v>27.047999999999998</v>
          </cell>
          <cell r="D1945">
            <v>1.998182E-4</v>
          </cell>
          <cell r="E1945">
            <v>2.1339199999999998</v>
          </cell>
          <cell r="F1945">
            <v>0.27126</v>
          </cell>
          <cell r="J1945">
            <v>49.771025302785262</v>
          </cell>
          <cell r="K1945">
            <v>1.998182E-4</v>
          </cell>
          <cell r="L1945">
            <v>2.1339199999999998</v>
          </cell>
          <cell r="M1945">
            <v>0.27126</v>
          </cell>
          <cell r="N1945">
            <v>47.320957663716278</v>
          </cell>
          <cell r="O1945">
            <v>52.770500849829688</v>
          </cell>
          <cell r="P1945">
            <v>1.482848E-2</v>
          </cell>
        </row>
        <row r="1946">
          <cell r="B1946">
            <v>33519</v>
          </cell>
          <cell r="C1946">
            <v>28.809000000000001</v>
          </cell>
          <cell r="D1946">
            <v>2.015455E-4</v>
          </cell>
          <cell r="E1946">
            <v>2.1216400000000002</v>
          </cell>
          <cell r="F1946">
            <v>0.26713999999999999</v>
          </cell>
          <cell r="J1946">
            <v>50.248976458767913</v>
          </cell>
          <cell r="K1946">
            <v>2.015455E-4</v>
          </cell>
          <cell r="L1946">
            <v>2.1216400000000002</v>
          </cell>
          <cell r="M1946">
            <v>0.26713999999999999</v>
          </cell>
          <cell r="N1946">
            <v>47.320957663716278</v>
          </cell>
          <cell r="O1946">
            <v>52.770500849829688</v>
          </cell>
          <cell r="P1946">
            <v>1.482848E-2</v>
          </cell>
        </row>
        <row r="1947">
          <cell r="B1947">
            <v>33520</v>
          </cell>
          <cell r="C1947">
            <v>26.97</v>
          </cell>
          <cell r="D1947">
            <v>2.0314549999999999E-4</v>
          </cell>
          <cell r="E1947">
            <v>2.1019399999999999</v>
          </cell>
          <cell r="F1947">
            <v>0.25780999999999998</v>
          </cell>
          <cell r="J1947">
            <v>50.700714757132239</v>
          </cell>
          <cell r="K1947">
            <v>2.0314549999999999E-4</v>
          </cell>
          <cell r="L1947">
            <v>2.1019399999999999</v>
          </cell>
          <cell r="M1947">
            <v>0.25780999999999998</v>
          </cell>
          <cell r="N1947">
            <v>47.320957663716278</v>
          </cell>
          <cell r="O1947">
            <v>52.770500849829688</v>
          </cell>
          <cell r="P1947">
            <v>1.482848E-2</v>
          </cell>
        </row>
        <row r="1948">
          <cell r="B1948">
            <v>33521</v>
          </cell>
          <cell r="C1948">
            <v>27.27</v>
          </cell>
          <cell r="D1948">
            <v>2.0654549999999999E-4</v>
          </cell>
          <cell r="E1948">
            <v>2.0475400000000001</v>
          </cell>
          <cell r="F1948">
            <v>0.24102000000000001</v>
          </cell>
          <cell r="J1948">
            <v>51.161584254274572</v>
          </cell>
          <cell r="K1948">
            <v>2.0654549999999999E-4</v>
          </cell>
          <cell r="L1948">
            <v>2.0475400000000001</v>
          </cell>
          <cell r="M1948">
            <v>0.24102000000000001</v>
          </cell>
          <cell r="N1948">
            <v>47.320957663716278</v>
          </cell>
          <cell r="O1948">
            <v>52.770500849829688</v>
          </cell>
          <cell r="P1948">
            <v>1.482848E-2</v>
          </cell>
        </row>
        <row r="1949">
          <cell r="B1949">
            <v>33522</v>
          </cell>
          <cell r="C1949">
            <v>28.02</v>
          </cell>
          <cell r="D1949">
            <v>2.0647269999999999E-4</v>
          </cell>
          <cell r="E1949">
            <v>2.14852</v>
          </cell>
          <cell r="F1949">
            <v>0.26263999999999998</v>
          </cell>
          <cell r="J1949">
            <v>51.639433451209491</v>
          </cell>
          <cell r="K1949">
            <v>2.0647269999999999E-4</v>
          </cell>
          <cell r="L1949">
            <v>2.14852</v>
          </cell>
          <cell r="M1949">
            <v>0.26263999999999998</v>
          </cell>
          <cell r="N1949">
            <v>47.320957663716278</v>
          </cell>
          <cell r="O1949">
            <v>52.770500849829688</v>
          </cell>
          <cell r="P1949">
            <v>1.482848E-2</v>
          </cell>
        </row>
        <row r="1950">
          <cell r="B1950">
            <v>33525</v>
          </cell>
          <cell r="C1950">
            <v>28.577999999999999</v>
          </cell>
          <cell r="D1950">
            <v>2.085818E-4</v>
          </cell>
          <cell r="E1950">
            <v>2.1322000000000001</v>
          </cell>
          <cell r="F1950">
            <v>0.25358999999999998</v>
          </cell>
          <cell r="J1950">
            <v>52.131350694265706</v>
          </cell>
          <cell r="K1950">
            <v>2.085818E-4</v>
          </cell>
          <cell r="L1950">
            <v>2.1322000000000001</v>
          </cell>
          <cell r="M1950">
            <v>0.25358999999999998</v>
          </cell>
          <cell r="N1950">
            <v>47.320957663716278</v>
          </cell>
          <cell r="O1950">
            <v>52.770500849829688</v>
          </cell>
          <cell r="P1950">
            <v>1.482848E-2</v>
          </cell>
        </row>
        <row r="1951">
          <cell r="B1951">
            <v>33526</v>
          </cell>
          <cell r="C1951">
            <v>27.75</v>
          </cell>
          <cell r="D1951">
            <v>2.1019999999999999E-4</v>
          </cell>
          <cell r="E1951">
            <v>2.2389199999999998</v>
          </cell>
          <cell r="F1951">
            <v>0.27898000000000001</v>
          </cell>
          <cell r="J1951">
            <v>52.613565688187663</v>
          </cell>
          <cell r="K1951">
            <v>2.1019999999999999E-4</v>
          </cell>
          <cell r="L1951">
            <v>2.2389199999999998</v>
          </cell>
          <cell r="M1951">
            <v>0.27898000000000001</v>
          </cell>
          <cell r="N1951">
            <v>47.320957663716278</v>
          </cell>
          <cell r="O1951">
            <v>52.770500849829688</v>
          </cell>
          <cell r="P1951">
            <v>1.482848E-2</v>
          </cell>
        </row>
        <row r="1952">
          <cell r="B1952">
            <v>33527</v>
          </cell>
          <cell r="C1952">
            <v>27.489000000000001</v>
          </cell>
          <cell r="D1952">
            <v>2.1192730000000001E-4</v>
          </cell>
          <cell r="E1952">
            <v>2.2419699999999998</v>
          </cell>
          <cell r="F1952">
            <v>0.27543000000000001</v>
          </cell>
          <cell r="J1952">
            <v>53.095663790588524</v>
          </cell>
          <cell r="K1952">
            <v>2.1192730000000001E-4</v>
          </cell>
          <cell r="L1952">
            <v>2.2419699999999998</v>
          </cell>
          <cell r="M1952">
            <v>0.27543000000000001</v>
          </cell>
          <cell r="N1952">
            <v>47.320957663716278</v>
          </cell>
          <cell r="O1952">
            <v>52.770500849829688</v>
          </cell>
          <cell r="P1952">
            <v>1.482848E-2</v>
          </cell>
        </row>
        <row r="1953">
          <cell r="B1953">
            <v>33528</v>
          </cell>
          <cell r="C1953">
            <v>27.45</v>
          </cell>
          <cell r="D1953">
            <v>2.137455E-4</v>
          </cell>
          <cell r="E1953">
            <v>2.31392</v>
          </cell>
          <cell r="F1953">
            <v>0.29104000000000002</v>
          </cell>
          <cell r="J1953">
            <v>53.581489114272408</v>
          </cell>
          <cell r="K1953">
            <v>2.137455E-4</v>
          </cell>
          <cell r="L1953">
            <v>2.31392</v>
          </cell>
          <cell r="M1953">
            <v>0.29104000000000002</v>
          </cell>
          <cell r="N1953">
            <v>47.320957663716278</v>
          </cell>
          <cell r="O1953">
            <v>52.770500849829688</v>
          </cell>
          <cell r="P1953">
            <v>1.482848E-2</v>
          </cell>
        </row>
        <row r="1954">
          <cell r="B1954">
            <v>33529</v>
          </cell>
          <cell r="C1954">
            <v>27.72</v>
          </cell>
          <cell r="D1954">
            <v>2.156909E-4</v>
          </cell>
          <cell r="E1954">
            <v>2.3263500000000001</v>
          </cell>
          <cell r="F1954">
            <v>0.28428999999999999</v>
          </cell>
          <cell r="J1954">
            <v>54.076582073688279</v>
          </cell>
          <cell r="K1954">
            <v>2.156909E-4</v>
          </cell>
          <cell r="L1954">
            <v>2.3263500000000001</v>
          </cell>
          <cell r="M1954">
            <v>0.28428999999999999</v>
          </cell>
          <cell r="N1954">
            <v>47.320957663716278</v>
          </cell>
          <cell r="O1954">
            <v>52.770500849829688</v>
          </cell>
          <cell r="P1954">
            <v>1.482848E-2</v>
          </cell>
        </row>
        <row r="1955">
          <cell r="B1955">
            <v>33532</v>
          </cell>
          <cell r="C1955">
            <v>28.359000000000002</v>
          </cell>
          <cell r="D1955">
            <v>2.1801820000000001E-4</v>
          </cell>
          <cell r="E1955">
            <v>2.3340299999999998</v>
          </cell>
          <cell r="F1955">
            <v>0.28506999999999999</v>
          </cell>
          <cell r="J1955">
            <v>54.587768004030849</v>
          </cell>
          <cell r="K1955">
            <v>2.1801820000000001E-4</v>
          </cell>
          <cell r="L1955">
            <v>2.3340299999999998</v>
          </cell>
          <cell r="M1955">
            <v>0.28506999999999999</v>
          </cell>
          <cell r="N1955">
            <v>47.320957663716278</v>
          </cell>
          <cell r="O1955">
            <v>52.770500849829688</v>
          </cell>
          <cell r="P1955">
            <v>1.482848E-2</v>
          </cell>
        </row>
        <row r="1956">
          <cell r="B1956">
            <v>33533</v>
          </cell>
          <cell r="C1956">
            <v>28.98</v>
          </cell>
          <cell r="D1956">
            <v>2.202909E-4</v>
          </cell>
          <cell r="E1956">
            <v>2.391</v>
          </cell>
          <cell r="F1956">
            <v>0.30037999999999998</v>
          </cell>
          <cell r="J1956">
            <v>55.115085842949789</v>
          </cell>
          <cell r="K1956">
            <v>2.202909E-4</v>
          </cell>
          <cell r="L1956">
            <v>2.391</v>
          </cell>
          <cell r="M1956">
            <v>0.30037999999999998</v>
          </cell>
          <cell r="N1956">
            <v>47.320957663716278</v>
          </cell>
          <cell r="O1956">
            <v>52.770500849829688</v>
          </cell>
          <cell r="P1956">
            <v>1.482848E-2</v>
          </cell>
        </row>
        <row r="1957">
          <cell r="B1957">
            <v>33534</v>
          </cell>
          <cell r="C1957">
            <v>29.888999999999999</v>
          </cell>
          <cell r="D1957">
            <v>2.222545E-4</v>
          </cell>
          <cell r="E1957">
            <v>2.5214500000000002</v>
          </cell>
          <cell r="F1957">
            <v>0.32586999999999999</v>
          </cell>
          <cell r="J1957">
            <v>55.664197443203093</v>
          </cell>
          <cell r="K1957">
            <v>2.222545E-4</v>
          </cell>
          <cell r="L1957">
            <v>2.5214500000000002</v>
          </cell>
          <cell r="M1957">
            <v>0.32586999999999999</v>
          </cell>
          <cell r="N1957">
            <v>47.320957663716278</v>
          </cell>
          <cell r="O1957">
            <v>52.770500849829688</v>
          </cell>
          <cell r="P1957">
            <v>1.482848E-2</v>
          </cell>
        </row>
        <row r="1958">
          <cell r="B1958">
            <v>33535</v>
          </cell>
          <cell r="C1958">
            <v>32.109000000000002</v>
          </cell>
          <cell r="D1958">
            <v>2.2410910000000001E-4</v>
          </cell>
          <cell r="E1958">
            <v>2.5498099999999999</v>
          </cell>
          <cell r="F1958">
            <v>0.33437</v>
          </cell>
          <cell r="J1958">
            <v>56.259971348437688</v>
          </cell>
          <cell r="K1958">
            <v>2.2410910000000001E-4</v>
          </cell>
          <cell r="L1958">
            <v>2.5498099999999999</v>
          </cell>
          <cell r="M1958">
            <v>0.33437</v>
          </cell>
          <cell r="N1958">
            <v>47.320957663716278</v>
          </cell>
          <cell r="O1958">
            <v>52.770500849829688</v>
          </cell>
          <cell r="P1958">
            <v>1.482848E-2</v>
          </cell>
        </row>
        <row r="1959">
          <cell r="B1959">
            <v>33536</v>
          </cell>
          <cell r="C1959">
            <v>35.31</v>
          </cell>
          <cell r="D1959">
            <v>2.231527E-4</v>
          </cell>
          <cell r="E1959">
            <v>2.52704</v>
          </cell>
          <cell r="F1959">
            <v>0.31466</v>
          </cell>
          <cell r="J1959">
            <v>56.922151211208799</v>
          </cell>
          <cell r="K1959">
            <v>2.231527E-4</v>
          </cell>
          <cell r="L1959">
            <v>2.52704</v>
          </cell>
          <cell r="M1959">
            <v>0.31466</v>
          </cell>
          <cell r="N1959">
            <v>47.320957663716278</v>
          </cell>
          <cell r="O1959">
            <v>52.770500849829688</v>
          </cell>
          <cell r="P1959">
            <v>1.482848E-2</v>
          </cell>
        </row>
        <row r="1960">
          <cell r="B1960">
            <v>33539</v>
          </cell>
          <cell r="C1960">
            <v>41.148000000000003</v>
          </cell>
          <cell r="D1960">
            <v>2.2745449999999999E-4</v>
          </cell>
          <cell r="E1960">
            <v>2.46685</v>
          </cell>
          <cell r="F1960">
            <v>0.29092000000000001</v>
          </cell>
          <cell r="J1960">
            <v>57.702895437221741</v>
          </cell>
          <cell r="K1960">
            <v>2.2745449999999999E-4</v>
          </cell>
          <cell r="L1960">
            <v>2.46685</v>
          </cell>
          <cell r="M1960">
            <v>0.29092000000000001</v>
          </cell>
          <cell r="N1960">
            <v>47.320957663716278</v>
          </cell>
          <cell r="O1960">
            <v>52.770500849829688</v>
          </cell>
          <cell r="P1960">
            <v>1.482848E-2</v>
          </cell>
        </row>
        <row r="1961">
          <cell r="B1961">
            <v>33540</v>
          </cell>
          <cell r="C1961">
            <v>41.018999999999998</v>
          </cell>
          <cell r="D1961">
            <v>2.2975639999999999E-4</v>
          </cell>
          <cell r="E1961">
            <v>2.5075500000000002</v>
          </cell>
          <cell r="F1961">
            <v>0.31223000000000001</v>
          </cell>
          <cell r="J1961">
            <v>58.491867126534878</v>
          </cell>
          <cell r="K1961">
            <v>2.2975639999999999E-4</v>
          </cell>
          <cell r="L1961">
            <v>2.5075500000000002</v>
          </cell>
          <cell r="M1961">
            <v>0.31223000000000001</v>
          </cell>
          <cell r="N1961">
            <v>47.320957663716278</v>
          </cell>
          <cell r="O1961">
            <v>52.770500849829688</v>
          </cell>
          <cell r="P1961">
            <v>1.482848E-2</v>
          </cell>
        </row>
        <row r="1962">
          <cell r="B1962">
            <v>33541</v>
          </cell>
          <cell r="C1962">
            <v>41.018999999999998</v>
          </cell>
          <cell r="D1962">
            <v>2.331636E-4</v>
          </cell>
          <cell r="E1962">
            <v>2.5123799999999998</v>
          </cell>
          <cell r="F1962">
            <v>0.30941999999999997</v>
          </cell>
          <cell r="J1962">
            <v>59.291626425755993</v>
          </cell>
          <cell r="K1962">
            <v>2.331636E-4</v>
          </cell>
          <cell r="L1962">
            <v>2.5123799999999998</v>
          </cell>
          <cell r="M1962">
            <v>0.30941999999999997</v>
          </cell>
          <cell r="N1962">
            <v>47.320957663716278</v>
          </cell>
          <cell r="O1962">
            <v>52.770500849829688</v>
          </cell>
          <cell r="P1962">
            <v>1.482848E-2</v>
          </cell>
        </row>
        <row r="1963">
          <cell r="B1963">
            <v>33542</v>
          </cell>
          <cell r="C1963">
            <v>41.268000000000001</v>
          </cell>
          <cell r="D1963">
            <v>2.3558180000000001E-4</v>
          </cell>
          <cell r="E1963">
            <v>2.5545300000000002</v>
          </cell>
          <cell r="F1963">
            <v>0.32091999999999998</v>
          </cell>
          <cell r="G1963">
            <v>25.85</v>
          </cell>
          <cell r="H1963">
            <v>22.63</v>
          </cell>
          <cell r="I1963">
            <v>1.7848869999999999E-2</v>
          </cell>
          <cell r="J1963">
            <v>60.107242038868698</v>
          </cell>
          <cell r="K1963">
            <v>2.3558180000000001E-4</v>
          </cell>
          <cell r="L1963">
            <v>2.5545300000000002</v>
          </cell>
          <cell r="M1963">
            <v>0.32091999999999998</v>
          </cell>
          <cell r="N1963">
            <v>59.553425219786931</v>
          </cell>
          <cell r="O1963">
            <v>64.712465192146141</v>
          </cell>
          <cell r="P1963">
            <v>1.7848869999999999E-2</v>
          </cell>
        </row>
        <row r="1964">
          <cell r="B1964">
            <v>33543</v>
          </cell>
          <cell r="C1964">
            <v>42.558</v>
          </cell>
          <cell r="D1964">
            <v>2.381273E-4</v>
          </cell>
          <cell r="E1964">
            <v>2.5344600000000002</v>
          </cell>
          <cell r="F1964">
            <v>0.31159999999999999</v>
          </cell>
          <cell r="J1964">
            <v>60.959923374432094</v>
          </cell>
          <cell r="K1964">
            <v>2.381273E-4</v>
          </cell>
          <cell r="L1964">
            <v>2.5344600000000002</v>
          </cell>
          <cell r="M1964">
            <v>0.31159999999999999</v>
          </cell>
          <cell r="N1964">
            <v>59.553425219786931</v>
          </cell>
          <cell r="O1964">
            <v>64.712465192146141</v>
          </cell>
          <cell r="P1964">
            <v>1.7848869999999999E-2</v>
          </cell>
        </row>
        <row r="1965">
          <cell r="B1965">
            <v>33546</v>
          </cell>
          <cell r="C1965">
            <v>41.58</v>
          </cell>
          <cell r="D1965">
            <v>2.409818E-4</v>
          </cell>
          <cell r="E1965">
            <v>2.51139</v>
          </cell>
          <cell r="F1965">
            <v>0.30153999999999997</v>
          </cell>
          <cell r="J1965">
            <v>61.80482791240172</v>
          </cell>
          <cell r="K1965">
            <v>2.409818E-4</v>
          </cell>
          <cell r="L1965">
            <v>2.51139</v>
          </cell>
          <cell r="M1965">
            <v>0.30153999999999997</v>
          </cell>
          <cell r="N1965">
            <v>59.553425219786931</v>
          </cell>
          <cell r="O1965">
            <v>64.712465192146141</v>
          </cell>
          <cell r="P1965">
            <v>1.7848869999999999E-2</v>
          </cell>
        </row>
        <row r="1966">
          <cell r="B1966">
            <v>33547</v>
          </cell>
          <cell r="C1966">
            <v>41.918999999999997</v>
          </cell>
          <cell r="D1966">
            <v>2.403091E-4</v>
          </cell>
          <cell r="E1966">
            <v>2.50061</v>
          </cell>
          <cell r="F1966">
            <v>0.29984</v>
          </cell>
          <cell r="J1966">
            <v>62.668426772821711</v>
          </cell>
          <cell r="K1966">
            <v>2.403091E-4</v>
          </cell>
          <cell r="L1966">
            <v>2.50061</v>
          </cell>
          <cell r="M1966">
            <v>0.29984</v>
          </cell>
          <cell r="N1966">
            <v>59.553425219786931</v>
          </cell>
          <cell r="O1966">
            <v>64.712465192146141</v>
          </cell>
          <cell r="P1966">
            <v>1.7848869999999999E-2</v>
          </cell>
        </row>
        <row r="1967">
          <cell r="B1967">
            <v>33548</v>
          </cell>
          <cell r="C1967">
            <v>41.927999999999997</v>
          </cell>
          <cell r="D1967">
            <v>2.4701820000000001E-4</v>
          </cell>
          <cell r="E1967">
            <v>2.4931800000000002</v>
          </cell>
          <cell r="F1967">
            <v>0.30085000000000001</v>
          </cell>
          <cell r="J1967">
            <v>63.54428070539867</v>
          </cell>
          <cell r="K1967">
            <v>2.4701820000000001E-4</v>
          </cell>
          <cell r="L1967">
            <v>2.4931800000000002</v>
          </cell>
          <cell r="M1967">
            <v>0.30085000000000001</v>
          </cell>
          <cell r="N1967">
            <v>59.553425219786931</v>
          </cell>
          <cell r="O1967">
            <v>64.712465192146141</v>
          </cell>
          <cell r="P1967">
            <v>1.7848869999999999E-2</v>
          </cell>
        </row>
        <row r="1968">
          <cell r="B1968">
            <v>33549</v>
          </cell>
          <cell r="C1968">
            <v>41.85</v>
          </cell>
          <cell r="D1968">
            <v>2.5398180000000002E-4</v>
          </cell>
          <cell r="E1968">
            <v>2.4873799999999999</v>
          </cell>
          <cell r="F1968">
            <v>0.31151000000000001</v>
          </cell>
          <cell r="J1968">
            <v>64.43072342123898</v>
          </cell>
          <cell r="K1968">
            <v>2.5398180000000002E-4</v>
          </cell>
          <cell r="L1968">
            <v>2.4873799999999999</v>
          </cell>
          <cell r="M1968">
            <v>0.31151000000000001</v>
          </cell>
          <cell r="N1968">
            <v>59.553425219786931</v>
          </cell>
          <cell r="O1968">
            <v>64.712465192146141</v>
          </cell>
          <cell r="P1968">
            <v>1.7848869999999999E-2</v>
          </cell>
        </row>
        <row r="1969">
          <cell r="B1969">
            <v>33550</v>
          </cell>
          <cell r="C1969">
            <v>43.029000000000003</v>
          </cell>
          <cell r="D1969">
            <v>2.537455E-4</v>
          </cell>
          <cell r="E1969">
            <v>2.44034</v>
          </cell>
          <cell r="F1969">
            <v>0.31308999999999998</v>
          </cell>
          <cell r="J1969">
            <v>65.354853287269805</v>
          </cell>
          <cell r="K1969">
            <v>2.537455E-4</v>
          </cell>
          <cell r="L1969">
            <v>2.44034</v>
          </cell>
          <cell r="M1969">
            <v>0.31308999999999998</v>
          </cell>
          <cell r="N1969">
            <v>59.553425219786931</v>
          </cell>
          <cell r="O1969">
            <v>64.712465192146141</v>
          </cell>
          <cell r="P1969">
            <v>1.7848869999999999E-2</v>
          </cell>
        </row>
        <row r="1970">
          <cell r="B1970">
            <v>33553</v>
          </cell>
          <cell r="C1970">
            <v>41.94</v>
          </cell>
          <cell r="D1970">
            <v>2.5698179999999999E-4</v>
          </cell>
          <cell r="E1970">
            <v>2.4609299999999998</v>
          </cell>
          <cell r="F1970">
            <v>0.31989000000000001</v>
          </cell>
          <cell r="J1970">
            <v>66.268514136225846</v>
          </cell>
          <cell r="K1970">
            <v>2.5698179999999999E-4</v>
          </cell>
          <cell r="L1970">
            <v>2.4609299999999998</v>
          </cell>
          <cell r="M1970">
            <v>0.31989000000000001</v>
          </cell>
          <cell r="N1970">
            <v>59.553425219786931</v>
          </cell>
          <cell r="O1970">
            <v>64.712465192146141</v>
          </cell>
          <cell r="P1970">
            <v>1.7848869999999999E-2</v>
          </cell>
        </row>
        <row r="1971">
          <cell r="B1971">
            <v>33554</v>
          </cell>
          <cell r="C1971">
            <v>42.158999999999999</v>
          </cell>
          <cell r="D1971">
            <v>2.6043639999999999E-4</v>
          </cell>
          <cell r="E1971">
            <v>2.4787599999999999</v>
          </cell>
          <cell r="F1971">
            <v>0.33826000000000001</v>
          </cell>
          <cell r="J1971">
            <v>67.199785565382228</v>
          </cell>
          <cell r="K1971">
            <v>2.6043639999999999E-4</v>
          </cell>
          <cell r="L1971">
            <v>2.4787599999999999</v>
          </cell>
          <cell r="M1971">
            <v>0.33826000000000001</v>
          </cell>
          <cell r="N1971">
            <v>59.553425219786931</v>
          </cell>
          <cell r="O1971">
            <v>64.712465192146141</v>
          </cell>
          <cell r="P1971">
            <v>1.7848869999999999E-2</v>
          </cell>
        </row>
        <row r="1972">
          <cell r="B1972">
            <v>33555</v>
          </cell>
          <cell r="C1972">
            <v>42.36</v>
          </cell>
          <cell r="D1972">
            <v>2.6378179999999999E-4</v>
          </cell>
          <cell r="E1972">
            <v>2.4730099999999999</v>
          </cell>
          <cell r="F1972">
            <v>0.33783999999999997</v>
          </cell>
          <cell r="J1972">
            <v>68.148646537565426</v>
          </cell>
          <cell r="K1972">
            <v>2.6378179999999999E-4</v>
          </cell>
          <cell r="L1972">
            <v>2.4730099999999999</v>
          </cell>
          <cell r="M1972">
            <v>0.33783999999999997</v>
          </cell>
          <cell r="N1972">
            <v>59.553425219786931</v>
          </cell>
          <cell r="O1972">
            <v>64.712465192146141</v>
          </cell>
          <cell r="P1972">
            <v>1.7848869999999999E-2</v>
          </cell>
        </row>
        <row r="1973">
          <cell r="B1973">
            <v>33556</v>
          </cell>
          <cell r="C1973">
            <v>43.037999999999997</v>
          </cell>
          <cell r="D1973">
            <v>2.6727270000000001E-4</v>
          </cell>
          <cell r="E1973">
            <v>2.51397</v>
          </cell>
          <cell r="F1973">
            <v>0.35037000000000001</v>
          </cell>
          <cell r="J1973">
            <v>69.126307020793334</v>
          </cell>
          <cell r="K1973">
            <v>2.6727270000000001E-4</v>
          </cell>
          <cell r="L1973">
            <v>2.51397</v>
          </cell>
          <cell r="M1973">
            <v>0.35037000000000001</v>
          </cell>
          <cell r="N1973">
            <v>59.553425219786931</v>
          </cell>
          <cell r="O1973">
            <v>64.712465192146141</v>
          </cell>
          <cell r="P1973">
            <v>1.7848869999999999E-2</v>
          </cell>
        </row>
        <row r="1974">
          <cell r="B1974">
            <v>33560</v>
          </cell>
          <cell r="C1974">
            <v>42.69</v>
          </cell>
          <cell r="D1974">
            <v>2.7085450000000001E-4</v>
          </cell>
          <cell r="E1974">
            <v>2.4764599999999999</v>
          </cell>
          <cell r="F1974">
            <v>0.33872999999999998</v>
          </cell>
          <cell r="J1974">
            <v>70.109974369699216</v>
          </cell>
          <cell r="K1974">
            <v>2.7085450000000001E-4</v>
          </cell>
          <cell r="L1974">
            <v>2.4764599999999999</v>
          </cell>
          <cell r="M1974">
            <v>0.33872999999999998</v>
          </cell>
          <cell r="N1974">
            <v>59.553425219786931</v>
          </cell>
          <cell r="O1974">
            <v>64.712465192146141</v>
          </cell>
          <cell r="P1974">
            <v>1.7848869999999999E-2</v>
          </cell>
        </row>
        <row r="1975">
          <cell r="B1975">
            <v>33561</v>
          </cell>
          <cell r="C1975">
            <v>42.09</v>
          </cell>
          <cell r="D1975">
            <v>2.7452729999999999E-4</v>
          </cell>
          <cell r="E1975">
            <v>2.50061</v>
          </cell>
          <cell r="F1975">
            <v>0.32972000000000001</v>
          </cell>
          <cell r="J1975">
            <v>71.093617310106097</v>
          </cell>
          <cell r="K1975">
            <v>2.7452729999999999E-4</v>
          </cell>
          <cell r="L1975">
            <v>2.50061</v>
          </cell>
          <cell r="M1975">
            <v>0.32972000000000001</v>
          </cell>
          <cell r="N1975">
            <v>59.553425219786931</v>
          </cell>
          <cell r="O1975">
            <v>64.712465192146141</v>
          </cell>
          <cell r="P1975">
            <v>1.7848869999999999E-2</v>
          </cell>
        </row>
        <row r="1976">
          <cell r="B1976">
            <v>33562</v>
          </cell>
          <cell r="C1976">
            <v>41.588999999999999</v>
          </cell>
          <cell r="D1976">
            <v>2.7836359999999999E-4</v>
          </cell>
          <cell r="E1976">
            <v>2.44652</v>
          </cell>
          <cell r="F1976">
            <v>0.32290000000000002</v>
          </cell>
          <cell r="J1976">
            <v>72.07918812687609</v>
          </cell>
          <cell r="K1976">
            <v>2.7836359999999999E-4</v>
          </cell>
          <cell r="L1976">
            <v>2.44652</v>
          </cell>
          <cell r="M1976">
            <v>0.32290000000000002</v>
          </cell>
          <cell r="N1976">
            <v>59.553425219786931</v>
          </cell>
          <cell r="O1976">
            <v>64.712465192146141</v>
          </cell>
          <cell r="P1976">
            <v>1.7848869999999999E-2</v>
          </cell>
        </row>
        <row r="1977">
          <cell r="B1977">
            <v>33563</v>
          </cell>
          <cell r="C1977">
            <v>41.58</v>
          </cell>
          <cell r="D1977">
            <v>2.8189090000000001E-4</v>
          </cell>
          <cell r="E1977">
            <v>2.4491000000000001</v>
          </cell>
          <cell r="F1977">
            <v>0.30893999999999999</v>
          </cell>
          <cell r="J1977">
            <v>73.078205674314589</v>
          </cell>
          <cell r="K1977">
            <v>2.8189090000000001E-4</v>
          </cell>
          <cell r="L1977">
            <v>2.4491000000000001</v>
          </cell>
          <cell r="M1977">
            <v>0.30893999999999999</v>
          </cell>
          <cell r="N1977">
            <v>59.553425219786931</v>
          </cell>
          <cell r="O1977">
            <v>64.712465192146141</v>
          </cell>
          <cell r="P1977">
            <v>1.7848869999999999E-2</v>
          </cell>
        </row>
        <row r="1978">
          <cell r="B1978">
            <v>33564</v>
          </cell>
          <cell r="C1978">
            <v>41.378999999999998</v>
          </cell>
          <cell r="D1978">
            <v>2.8580000000000001E-4</v>
          </cell>
          <cell r="E1978">
            <v>2.45642</v>
          </cell>
          <cell r="F1978">
            <v>0.30628</v>
          </cell>
          <cell r="J1978">
            <v>74.0861733651804</v>
          </cell>
          <cell r="K1978">
            <v>2.8580000000000001E-4</v>
          </cell>
          <cell r="L1978">
            <v>2.45642</v>
          </cell>
          <cell r="M1978">
            <v>0.30628</v>
          </cell>
          <cell r="N1978">
            <v>59.553425219786931</v>
          </cell>
          <cell r="O1978">
            <v>64.712465192146141</v>
          </cell>
          <cell r="P1978">
            <v>1.7848869999999999E-2</v>
          </cell>
        </row>
        <row r="1979">
          <cell r="B1979">
            <v>33567</v>
          </cell>
          <cell r="C1979">
            <v>41.238</v>
          </cell>
          <cell r="D1979">
            <v>2.8965449999999998E-4</v>
          </cell>
          <cell r="E1979">
            <v>2.4487800000000002</v>
          </cell>
          <cell r="F1979">
            <v>0.31330999999999998</v>
          </cell>
          <cell r="J1979">
            <v>75.104561904258176</v>
          </cell>
          <cell r="K1979">
            <v>2.8965449999999998E-4</v>
          </cell>
          <cell r="L1979">
            <v>2.4487800000000002</v>
          </cell>
          <cell r="M1979">
            <v>0.31330999999999998</v>
          </cell>
          <cell r="N1979">
            <v>59.553425219786931</v>
          </cell>
          <cell r="O1979">
            <v>64.712465192146141</v>
          </cell>
          <cell r="P1979">
            <v>1.7848869999999999E-2</v>
          </cell>
        </row>
        <row r="1980">
          <cell r="B1980">
            <v>33568</v>
          </cell>
          <cell r="C1980">
            <v>41.228999999999999</v>
          </cell>
          <cell r="D1980">
            <v>2.9752730000000001E-4</v>
          </cell>
          <cell r="E1980">
            <v>2.4484499999999998</v>
          </cell>
          <cell r="F1980">
            <v>0.30219000000000001</v>
          </cell>
          <cell r="J1980">
            <v>76.136723898508407</v>
          </cell>
          <cell r="K1980">
            <v>2.9752730000000001E-4</v>
          </cell>
          <cell r="L1980">
            <v>2.4484499999999998</v>
          </cell>
          <cell r="M1980">
            <v>0.30219000000000001</v>
          </cell>
          <cell r="N1980">
            <v>59.553425219786931</v>
          </cell>
          <cell r="O1980">
            <v>64.712465192146141</v>
          </cell>
          <cell r="P1980">
            <v>1.7848869999999999E-2</v>
          </cell>
        </row>
        <row r="1981">
          <cell r="B1981">
            <v>33569</v>
          </cell>
          <cell r="C1981">
            <v>41.22</v>
          </cell>
          <cell r="D1981">
            <v>2.9745450000000001E-4</v>
          </cell>
          <cell r="E1981">
            <v>2.4799500000000001</v>
          </cell>
          <cell r="F1981">
            <v>0.30968000000000001</v>
          </cell>
          <cell r="J1981">
            <v>77.182842484873916</v>
          </cell>
          <cell r="K1981">
            <v>2.9745450000000001E-4</v>
          </cell>
          <cell r="L1981">
            <v>2.4799500000000001</v>
          </cell>
          <cell r="M1981">
            <v>0.30968000000000001</v>
          </cell>
          <cell r="N1981">
            <v>59.553425219786931</v>
          </cell>
          <cell r="O1981">
            <v>64.712465192146141</v>
          </cell>
          <cell r="P1981">
            <v>1.7848869999999999E-2</v>
          </cell>
        </row>
        <row r="1982">
          <cell r="B1982">
            <v>33570</v>
          </cell>
          <cell r="C1982">
            <v>41.328000000000003</v>
          </cell>
          <cell r="D1982">
            <v>3.0154550000000002E-4</v>
          </cell>
          <cell r="E1982">
            <v>2.5387900000000001</v>
          </cell>
          <cell r="F1982">
            <v>0.32351000000000002</v>
          </cell>
          <cell r="J1982">
            <v>78.246113322945547</v>
          </cell>
          <cell r="K1982">
            <v>3.0154550000000002E-4</v>
          </cell>
          <cell r="L1982">
            <v>2.5387900000000001</v>
          </cell>
          <cell r="M1982">
            <v>0.32351000000000002</v>
          </cell>
          <cell r="N1982">
            <v>59.553425219786931</v>
          </cell>
          <cell r="O1982">
            <v>64.712465192146141</v>
          </cell>
          <cell r="P1982">
            <v>1.7848869999999999E-2</v>
          </cell>
        </row>
        <row r="1983">
          <cell r="B1983">
            <v>33571</v>
          </cell>
          <cell r="C1983">
            <v>41.499000000000002</v>
          </cell>
          <cell r="D1983">
            <v>3.056E-4</v>
          </cell>
          <cell r="E1983">
            <v>2.5819399999999999</v>
          </cell>
          <cell r="F1983">
            <v>0.32307999999999998</v>
          </cell>
          <cell r="G1983">
            <v>25.76</v>
          </cell>
          <cell r="H1983">
            <v>25.62</v>
          </cell>
          <cell r="I1983">
            <v>2.3412829999999999E-2</v>
          </cell>
          <cell r="J1983">
            <v>79.328491808541855</v>
          </cell>
          <cell r="K1983">
            <v>3.056E-4</v>
          </cell>
          <cell r="L1983">
            <v>2.5819399999999999</v>
          </cell>
          <cell r="M1983">
            <v>0.32307999999999998</v>
          </cell>
          <cell r="N1983">
            <v>74.894387556404041</v>
          </cell>
          <cell r="O1983">
            <v>81.291798774373987</v>
          </cell>
          <cell r="P1983">
            <v>2.3412829999999999E-2</v>
          </cell>
        </row>
        <row r="1984">
          <cell r="B1984">
            <v>33574</v>
          </cell>
          <cell r="C1984">
            <v>41.328000000000003</v>
          </cell>
          <cell r="D1984">
            <v>3.0949089999999997E-4</v>
          </cell>
          <cell r="E1984">
            <v>2.5548299999999999</v>
          </cell>
          <cell r="F1984">
            <v>0.31176999999999999</v>
          </cell>
          <cell r="J1984">
            <v>80.421321111696329</v>
          </cell>
          <cell r="K1984">
            <v>3.0949089999999997E-4</v>
          </cell>
          <cell r="L1984">
            <v>2.5548299999999999</v>
          </cell>
          <cell r="M1984">
            <v>0.31176999999999999</v>
          </cell>
          <cell r="N1984">
            <v>74.894387556404041</v>
          </cell>
          <cell r="O1984">
            <v>81.291798774373987</v>
          </cell>
          <cell r="P1984">
            <v>2.3412829999999999E-2</v>
          </cell>
        </row>
        <row r="1985">
          <cell r="B1985">
            <v>33575</v>
          </cell>
          <cell r="C1985">
            <v>41.319000000000003</v>
          </cell>
          <cell r="D1985">
            <v>3.1316360000000003E-4</v>
          </cell>
          <cell r="E1985">
            <v>2.6225200000000002</v>
          </cell>
          <cell r="F1985">
            <v>0.33123000000000002</v>
          </cell>
          <cell r="J1985">
            <v>81.52896396736773</v>
          </cell>
          <cell r="K1985">
            <v>3.1316360000000003E-4</v>
          </cell>
          <cell r="L1985">
            <v>2.6225200000000002</v>
          </cell>
          <cell r="M1985">
            <v>0.33123000000000002</v>
          </cell>
          <cell r="N1985">
            <v>74.894387556404041</v>
          </cell>
          <cell r="O1985">
            <v>81.291798774373987</v>
          </cell>
          <cell r="P1985">
            <v>2.3412829999999999E-2</v>
          </cell>
        </row>
        <row r="1986">
          <cell r="B1986">
            <v>33576</v>
          </cell>
          <cell r="C1986">
            <v>41.22</v>
          </cell>
          <cell r="D1986">
            <v>3.1707270000000002E-4</v>
          </cell>
          <cell r="E1986">
            <v>2.7206700000000001</v>
          </cell>
          <cell r="F1986">
            <v>0.35820000000000002</v>
          </cell>
          <cell r="J1986">
            <v>82.649171932279373</v>
          </cell>
          <cell r="K1986">
            <v>3.1707270000000002E-4</v>
          </cell>
          <cell r="L1986">
            <v>2.7206700000000001</v>
          </cell>
          <cell r="M1986">
            <v>0.35820000000000002</v>
          </cell>
          <cell r="N1986">
            <v>74.894387556404041</v>
          </cell>
          <cell r="O1986">
            <v>81.291798774373987</v>
          </cell>
          <cell r="P1986">
            <v>2.3412829999999999E-2</v>
          </cell>
        </row>
        <row r="1987">
          <cell r="B1987">
            <v>33577</v>
          </cell>
          <cell r="C1987">
            <v>41.207999999999998</v>
          </cell>
          <cell r="D1987">
            <v>3.2089089999999998E-4</v>
          </cell>
          <cell r="E1987">
            <v>2.7912499999999998</v>
          </cell>
          <cell r="F1987">
            <v>0.36670000000000003</v>
          </cell>
          <cell r="J1987">
            <v>83.784440957941158</v>
          </cell>
          <cell r="K1987">
            <v>3.2089089999999998E-4</v>
          </cell>
          <cell r="L1987">
            <v>2.7912499999999998</v>
          </cell>
          <cell r="M1987">
            <v>0.36670000000000003</v>
          </cell>
          <cell r="N1987">
            <v>74.894387556404041</v>
          </cell>
          <cell r="O1987">
            <v>81.291798774373987</v>
          </cell>
          <cell r="P1987">
            <v>2.3412829999999999E-2</v>
          </cell>
        </row>
        <row r="1988">
          <cell r="B1988">
            <v>33578</v>
          </cell>
          <cell r="C1988">
            <v>41.348999999999997</v>
          </cell>
          <cell r="D1988">
            <v>3.2483639999999998E-4</v>
          </cell>
          <cell r="E1988">
            <v>2.82585</v>
          </cell>
          <cell r="F1988">
            <v>0.37628</v>
          </cell>
          <cell r="J1988">
            <v>84.939241907664467</v>
          </cell>
          <cell r="K1988">
            <v>3.2483639999999998E-4</v>
          </cell>
          <cell r="L1988">
            <v>2.82585</v>
          </cell>
          <cell r="M1988">
            <v>0.37628</v>
          </cell>
          <cell r="N1988">
            <v>74.894387556404041</v>
          </cell>
          <cell r="O1988">
            <v>81.291798774373987</v>
          </cell>
          <cell r="P1988">
            <v>2.3412829999999999E-2</v>
          </cell>
        </row>
        <row r="1989">
          <cell r="B1989">
            <v>33581</v>
          </cell>
          <cell r="C1989">
            <v>41.798999999999999</v>
          </cell>
          <cell r="D1989">
            <v>3.2865450000000001E-4</v>
          </cell>
          <cell r="E1989">
            <v>2.9796299999999998</v>
          </cell>
          <cell r="F1989">
            <v>0.40575</v>
          </cell>
          <cell r="J1989">
            <v>86.122700365163951</v>
          </cell>
          <cell r="K1989">
            <v>3.2865450000000001E-4</v>
          </cell>
          <cell r="L1989">
            <v>2.9796299999999998</v>
          </cell>
          <cell r="M1989">
            <v>0.40575</v>
          </cell>
          <cell r="N1989">
            <v>74.894387556404041</v>
          </cell>
          <cell r="O1989">
            <v>81.291798774373987</v>
          </cell>
          <cell r="P1989">
            <v>2.3412829999999999E-2</v>
          </cell>
        </row>
        <row r="1990">
          <cell r="B1990">
            <v>33582</v>
          </cell>
          <cell r="C1990">
            <v>40.308</v>
          </cell>
          <cell r="D1990">
            <v>3.323636E-4</v>
          </cell>
          <cell r="E1990">
            <v>2.98176</v>
          </cell>
          <cell r="F1990">
            <v>0.40172000000000002</v>
          </cell>
          <cell r="J1990">
            <v>87.279844967270293</v>
          </cell>
          <cell r="K1990">
            <v>3.323636E-4</v>
          </cell>
          <cell r="L1990">
            <v>2.98176</v>
          </cell>
          <cell r="M1990">
            <v>0.40172000000000002</v>
          </cell>
          <cell r="N1990">
            <v>74.894387556404041</v>
          </cell>
          <cell r="O1990">
            <v>81.291798774373987</v>
          </cell>
          <cell r="P1990">
            <v>2.3412829999999999E-2</v>
          </cell>
        </row>
        <row r="1991">
          <cell r="B1991">
            <v>33583</v>
          </cell>
          <cell r="C1991">
            <v>40.35</v>
          </cell>
          <cell r="D1991">
            <v>3.3625449999999998E-4</v>
          </cell>
          <cell r="E1991">
            <v>2.9401799999999998</v>
          </cell>
          <cell r="F1991">
            <v>0.39165</v>
          </cell>
          <cell r="J1991">
            <v>88.453758882080081</v>
          </cell>
          <cell r="K1991">
            <v>3.3625449999999998E-4</v>
          </cell>
          <cell r="L1991">
            <v>2.9401799999999998</v>
          </cell>
          <cell r="M1991">
            <v>0.39165</v>
          </cell>
          <cell r="N1991">
            <v>74.894387556404041</v>
          </cell>
          <cell r="O1991">
            <v>81.291798774373987</v>
          </cell>
          <cell r="P1991">
            <v>2.3412829999999999E-2</v>
          </cell>
        </row>
        <row r="1992">
          <cell r="B1992">
            <v>33584</v>
          </cell>
          <cell r="C1992">
            <v>39.518999999999998</v>
          </cell>
          <cell r="D1992">
            <v>3.4016359999999998E-4</v>
          </cell>
          <cell r="E1992">
            <v>3.0310100000000002</v>
          </cell>
          <cell r="F1992">
            <v>0.43617</v>
          </cell>
          <cell r="J1992">
            <v>89.618960247833726</v>
          </cell>
          <cell r="K1992">
            <v>3.4016359999999998E-4</v>
          </cell>
          <cell r="L1992">
            <v>3.0310100000000002</v>
          </cell>
          <cell r="M1992">
            <v>0.43617</v>
          </cell>
          <cell r="N1992">
            <v>74.894387556404041</v>
          </cell>
          <cell r="O1992">
            <v>81.291798774373987</v>
          </cell>
          <cell r="P1992">
            <v>2.3412829999999999E-2</v>
          </cell>
        </row>
        <row r="1993">
          <cell r="B1993">
            <v>33585</v>
          </cell>
          <cell r="C1993">
            <v>39.21</v>
          </cell>
          <cell r="D1993">
            <v>3.4390910000000002E-4</v>
          </cell>
          <cell r="E1993">
            <v>3.0724499999999999</v>
          </cell>
          <cell r="F1993">
            <v>0.43469999999999998</v>
          </cell>
          <cell r="J1993">
            <v>90.790280058272899</v>
          </cell>
          <cell r="K1993">
            <v>3.4390910000000002E-4</v>
          </cell>
          <cell r="L1993">
            <v>3.0724499999999999</v>
          </cell>
          <cell r="M1993">
            <v>0.43469999999999998</v>
          </cell>
          <cell r="N1993">
            <v>74.894387556404041</v>
          </cell>
          <cell r="O1993">
            <v>81.291798774373987</v>
          </cell>
          <cell r="P1993">
            <v>2.3412829999999999E-2</v>
          </cell>
        </row>
        <row r="1994">
          <cell r="B1994">
            <v>33588</v>
          </cell>
          <cell r="C1994">
            <v>38.469000000000001</v>
          </cell>
          <cell r="D1994">
            <v>3.478364E-4</v>
          </cell>
          <cell r="E1994">
            <v>3.0700599999999998</v>
          </cell>
          <cell r="F1994">
            <v>0.43396000000000001</v>
          </cell>
          <cell r="J1994">
            <v>91.954483819460137</v>
          </cell>
          <cell r="K1994">
            <v>3.478364E-4</v>
          </cell>
          <cell r="L1994">
            <v>3.0700599999999998</v>
          </cell>
          <cell r="M1994">
            <v>0.43396000000000001</v>
          </cell>
          <cell r="N1994">
            <v>74.894387556404041</v>
          </cell>
          <cell r="O1994">
            <v>81.291798774373987</v>
          </cell>
          <cell r="P1994">
            <v>2.3412829999999999E-2</v>
          </cell>
        </row>
        <row r="1995">
          <cell r="B1995">
            <v>33589</v>
          </cell>
          <cell r="C1995">
            <v>37.808999999999997</v>
          </cell>
          <cell r="D1995">
            <v>3.5172730000000002E-4</v>
          </cell>
          <cell r="E1995">
            <v>3.1605300000000001</v>
          </cell>
          <cell r="F1995">
            <v>0.46906999999999999</v>
          </cell>
          <cell r="J1995">
            <v>93.11338617903678</v>
          </cell>
          <cell r="K1995">
            <v>3.5172730000000002E-4</v>
          </cell>
          <cell r="L1995">
            <v>3.1605300000000001</v>
          </cell>
          <cell r="M1995">
            <v>0.46906999999999999</v>
          </cell>
          <cell r="N1995">
            <v>74.894387556404041</v>
          </cell>
          <cell r="O1995">
            <v>81.291798774373987</v>
          </cell>
          <cell r="P1995">
            <v>2.3412829999999999E-2</v>
          </cell>
        </row>
        <row r="1996">
          <cell r="B1996">
            <v>33590</v>
          </cell>
          <cell r="C1996">
            <v>36.917999999999999</v>
          </cell>
          <cell r="D1996">
            <v>3.5576359999999998E-4</v>
          </cell>
          <cell r="E1996">
            <v>3.1880999999999999</v>
          </cell>
          <cell r="F1996">
            <v>0.47004000000000001</v>
          </cell>
          <cell r="J1996">
            <v>94.259239509356007</v>
          </cell>
          <cell r="K1996">
            <v>3.5576359999999998E-4</v>
          </cell>
          <cell r="L1996">
            <v>3.1880999999999999</v>
          </cell>
          <cell r="M1996">
            <v>0.47004000000000001</v>
          </cell>
          <cell r="N1996">
            <v>74.894387556404041</v>
          </cell>
          <cell r="O1996">
            <v>81.291798774373987</v>
          </cell>
          <cell r="P1996">
            <v>2.3412829999999999E-2</v>
          </cell>
        </row>
        <row r="1997">
          <cell r="B1997">
            <v>33591</v>
          </cell>
          <cell r="C1997">
            <v>36.39</v>
          </cell>
          <cell r="D1997">
            <v>3.5983640000000002E-4</v>
          </cell>
          <cell r="E1997">
            <v>3.27929</v>
          </cell>
          <cell r="F1997">
            <v>0.48692000000000002</v>
          </cell>
          <cell r="J1997">
            <v>95.402604084604491</v>
          </cell>
          <cell r="K1997">
            <v>3.5983640000000002E-4</v>
          </cell>
          <cell r="L1997">
            <v>3.27929</v>
          </cell>
          <cell r="M1997">
            <v>0.48692000000000002</v>
          </cell>
          <cell r="N1997">
            <v>74.894387556404041</v>
          </cell>
          <cell r="O1997">
            <v>81.291798774373987</v>
          </cell>
          <cell r="P1997">
            <v>2.3412829999999999E-2</v>
          </cell>
        </row>
        <row r="1998">
          <cell r="B1998">
            <v>33592</v>
          </cell>
          <cell r="C1998">
            <v>71.099999999999994</v>
          </cell>
          <cell r="D1998">
            <v>3.6380000000000001E-4</v>
          </cell>
          <cell r="E1998">
            <v>3.3313299999999999</v>
          </cell>
          <cell r="F1998">
            <v>0.51327999999999996</v>
          </cell>
          <cell r="J1998">
            <v>97.663645801409629</v>
          </cell>
          <cell r="K1998">
            <v>3.6380000000000001E-4</v>
          </cell>
          <cell r="L1998">
            <v>3.3313299999999999</v>
          </cell>
          <cell r="M1998">
            <v>0.51327999999999996</v>
          </cell>
          <cell r="N1998">
            <v>74.894387556404041</v>
          </cell>
          <cell r="O1998">
            <v>81.291798774373987</v>
          </cell>
          <cell r="P1998">
            <v>2.3412829999999999E-2</v>
          </cell>
        </row>
        <row r="1999">
          <cell r="B1999">
            <v>33595</v>
          </cell>
          <cell r="C1999">
            <v>34.938000000000002</v>
          </cell>
          <cell r="D1999">
            <v>3.6787270000000001E-4</v>
          </cell>
          <cell r="E1999">
            <v>3.43269</v>
          </cell>
          <cell r="F1999">
            <v>0.53649999999999998</v>
          </cell>
          <cell r="J1999">
            <v>98.801036620412845</v>
          </cell>
          <cell r="K1999">
            <v>3.6787270000000001E-4</v>
          </cell>
          <cell r="L1999">
            <v>3.43269</v>
          </cell>
          <cell r="M1999">
            <v>0.53649999999999998</v>
          </cell>
          <cell r="N1999">
            <v>74.894387556404041</v>
          </cell>
          <cell r="O1999">
            <v>81.291798774373987</v>
          </cell>
          <cell r="P1999">
            <v>2.3412829999999999E-2</v>
          </cell>
        </row>
        <row r="2000">
          <cell r="B2000">
            <v>33596</v>
          </cell>
          <cell r="D2000">
            <v>3.7199269999999999E-4</v>
          </cell>
          <cell r="J2000">
            <v>98.801036620412845</v>
          </cell>
          <cell r="K2000">
            <v>3.7199269999999999E-4</v>
          </cell>
          <cell r="L2000">
            <v>3.43269</v>
          </cell>
          <cell r="M2000">
            <v>0.53649999999999998</v>
          </cell>
          <cell r="N2000">
            <v>74.894387556404041</v>
          </cell>
          <cell r="O2000">
            <v>81.291798774373987</v>
          </cell>
          <cell r="P2000">
            <v>2.3412829999999999E-2</v>
          </cell>
        </row>
        <row r="2001">
          <cell r="B2001">
            <v>33598</v>
          </cell>
          <cell r="C2001">
            <v>35.01</v>
          </cell>
          <cell r="D2001">
            <v>3.760182E-4</v>
          </cell>
          <cell r="E2001">
            <v>3.4685000000000001</v>
          </cell>
          <cell r="F2001">
            <v>0.52676000000000001</v>
          </cell>
          <cell r="J2001">
            <v>99.954044717773073</v>
          </cell>
          <cell r="K2001">
            <v>3.760182E-4</v>
          </cell>
          <cell r="L2001">
            <v>3.4685000000000001</v>
          </cell>
          <cell r="M2001">
            <v>0.52676000000000001</v>
          </cell>
          <cell r="N2001">
            <v>74.894387556404041</v>
          </cell>
          <cell r="O2001">
            <v>81.291798774373987</v>
          </cell>
          <cell r="P2001">
            <v>2.3412829999999999E-2</v>
          </cell>
        </row>
        <row r="2002">
          <cell r="B2002">
            <v>33599</v>
          </cell>
          <cell r="C2002">
            <v>35.109000000000002</v>
          </cell>
          <cell r="D2002">
            <v>3.8000000000000002E-4</v>
          </cell>
          <cell r="E2002">
            <v>3.62906</v>
          </cell>
          <cell r="F2002">
            <v>0.57543</v>
          </cell>
          <cell r="J2002">
            <v>101.12380690310518</v>
          </cell>
          <cell r="K2002">
            <v>3.8000000000000002E-4</v>
          </cell>
          <cell r="L2002">
            <v>3.62906</v>
          </cell>
          <cell r="M2002">
            <v>0.57543</v>
          </cell>
          <cell r="N2002">
            <v>74.894387556404041</v>
          </cell>
          <cell r="O2002">
            <v>81.291798774373987</v>
          </cell>
          <cell r="P2002">
            <v>2.3412829999999999E-2</v>
          </cell>
        </row>
        <row r="2003">
          <cell r="B2003">
            <v>33602</v>
          </cell>
          <cell r="C2003">
            <v>70.158000000000001</v>
          </cell>
          <cell r="D2003">
            <v>3.841273E-4</v>
          </cell>
          <cell r="E2003">
            <v>3.7641100000000001</v>
          </cell>
          <cell r="F2003">
            <v>0.60775999999999997</v>
          </cell>
          <cell r="J2003">
            <v>103.48868825134119</v>
          </cell>
          <cell r="K2003">
            <v>3.841273E-4</v>
          </cell>
          <cell r="L2003">
            <v>3.7641100000000001</v>
          </cell>
          <cell r="M2003">
            <v>0.60775999999999997</v>
          </cell>
          <cell r="N2003">
            <v>74.894387556404041</v>
          </cell>
          <cell r="O2003">
            <v>81.291798774373987</v>
          </cell>
          <cell r="P2003">
            <v>2.3412829999999999E-2</v>
          </cell>
        </row>
        <row r="2004">
          <cell r="B2004">
            <v>33603</v>
          </cell>
          <cell r="D2004">
            <v>3.8865459999999998E-4</v>
          </cell>
          <cell r="G2004">
            <v>22.14</v>
          </cell>
          <cell r="H2004">
            <v>23.63</v>
          </cell>
          <cell r="I2004">
            <v>3.0217089999999999E-2</v>
          </cell>
          <cell r="J2004">
            <v>103.48868825134119</v>
          </cell>
          <cell r="K2004">
            <v>3.8865459999999998E-4</v>
          </cell>
          <cell r="L2004">
            <v>3.7641100000000001</v>
          </cell>
          <cell r="M2004">
            <v>0.60775999999999997</v>
          </cell>
          <cell r="N2004">
            <v>91.476004961391894</v>
          </cell>
          <cell r="O2004">
            <v>100.50105082475855</v>
          </cell>
          <cell r="P2004">
            <v>3.0217089999999999E-2</v>
          </cell>
        </row>
        <row r="2005">
          <cell r="B2005">
            <v>33605</v>
          </cell>
          <cell r="C2005">
            <v>34.86</v>
          </cell>
          <cell r="D2005">
            <v>3.9265460000000003E-4</v>
          </cell>
          <cell r="E2005">
            <v>3.9377</v>
          </cell>
          <cell r="F2005">
            <v>0.67596999999999996</v>
          </cell>
          <cell r="J2005">
            <v>104.69122680882177</v>
          </cell>
          <cell r="K2005">
            <v>3.9265460000000003E-4</v>
          </cell>
          <cell r="L2005">
            <v>3.9377</v>
          </cell>
          <cell r="M2005">
            <v>0.67596999999999996</v>
          </cell>
          <cell r="N2005">
            <v>91.476004961391894</v>
          </cell>
          <cell r="O2005">
            <v>100.50105082475855</v>
          </cell>
          <cell r="P2005">
            <v>3.0217089999999999E-2</v>
          </cell>
        </row>
        <row r="2006">
          <cell r="B2006">
            <v>33606</v>
          </cell>
          <cell r="C2006">
            <v>34.308</v>
          </cell>
          <cell r="D2006">
            <v>3.9645449999999998E-4</v>
          </cell>
          <cell r="E2006">
            <v>4.1951900000000002</v>
          </cell>
          <cell r="F2006">
            <v>0.70923999999999998</v>
          </cell>
          <cell r="J2006">
            <v>105.88847567860745</v>
          </cell>
          <cell r="K2006">
            <v>3.9645449999999998E-4</v>
          </cell>
          <cell r="L2006">
            <v>4.1951900000000002</v>
          </cell>
          <cell r="M2006">
            <v>0.70923999999999998</v>
          </cell>
          <cell r="N2006">
            <v>91.476004961391894</v>
          </cell>
          <cell r="O2006">
            <v>100.50105082475855</v>
          </cell>
          <cell r="P2006">
            <v>3.0217089999999999E-2</v>
          </cell>
        </row>
        <row r="2007">
          <cell r="B2007">
            <v>33609</v>
          </cell>
          <cell r="C2007">
            <v>34.359000000000002</v>
          </cell>
          <cell r="D2007">
            <v>4.0032730000000001E-4</v>
          </cell>
          <cell r="E2007">
            <v>4.5816400000000002</v>
          </cell>
          <cell r="F2007">
            <v>0.79379999999999995</v>
          </cell>
          <cell r="J2007">
            <v>107.10121639055453</v>
          </cell>
          <cell r="K2007">
            <v>4.0032730000000001E-4</v>
          </cell>
          <cell r="L2007">
            <v>4.5816400000000002</v>
          </cell>
          <cell r="M2007">
            <v>0.79379999999999995</v>
          </cell>
          <cell r="N2007">
            <v>91.476004961391894</v>
          </cell>
          <cell r="O2007">
            <v>100.50105082475855</v>
          </cell>
          <cell r="P2007">
            <v>3.0217089999999999E-2</v>
          </cell>
        </row>
        <row r="2008">
          <cell r="B2008">
            <v>33610</v>
          </cell>
          <cell r="C2008">
            <v>34.628999999999998</v>
          </cell>
          <cell r="D2008">
            <v>4.042909E-4</v>
          </cell>
          <cell r="E2008">
            <v>4.6218399999999997</v>
          </cell>
          <cell r="F2008">
            <v>0.75288999999999995</v>
          </cell>
          <cell r="J2008">
            <v>108.33748573135071</v>
          </cell>
          <cell r="K2008">
            <v>4.042909E-4</v>
          </cell>
          <cell r="L2008">
            <v>4.6218399999999997</v>
          </cell>
          <cell r="M2008">
            <v>0.75288999999999995</v>
          </cell>
          <cell r="N2008">
            <v>91.476004961391894</v>
          </cell>
          <cell r="O2008">
            <v>100.50105082475855</v>
          </cell>
          <cell r="P2008">
            <v>3.0217089999999999E-2</v>
          </cell>
        </row>
        <row r="2009">
          <cell r="B2009">
            <v>33611</v>
          </cell>
          <cell r="C2009">
            <v>35.118000000000002</v>
          </cell>
          <cell r="D2009">
            <v>4.0814550000000001E-4</v>
          </cell>
          <cell r="E2009">
            <v>4.5792299999999999</v>
          </cell>
          <cell r="F2009">
            <v>0.70760999999999996</v>
          </cell>
          <cell r="J2009">
            <v>109.6056843393219</v>
          </cell>
          <cell r="K2009">
            <v>4.0814550000000001E-4</v>
          </cell>
          <cell r="L2009">
            <v>4.5792299999999999</v>
          </cell>
          <cell r="M2009">
            <v>0.70760999999999996</v>
          </cell>
          <cell r="N2009">
            <v>91.476004961391894</v>
          </cell>
          <cell r="O2009">
            <v>100.50105082475855</v>
          </cell>
          <cell r="P2009">
            <v>3.0217089999999999E-2</v>
          </cell>
        </row>
        <row r="2010">
          <cell r="B2010">
            <v>33612</v>
          </cell>
          <cell r="C2010">
            <v>35.957999999999998</v>
          </cell>
          <cell r="D2010">
            <v>4.1196359999999999E-4</v>
          </cell>
          <cell r="E2010">
            <v>4.5890899999999997</v>
          </cell>
          <cell r="F2010">
            <v>0.73007999999999995</v>
          </cell>
          <cell r="J2010">
            <v>110.91941807181301</v>
          </cell>
          <cell r="K2010">
            <v>4.1196359999999999E-4</v>
          </cell>
          <cell r="L2010">
            <v>4.5890899999999997</v>
          </cell>
          <cell r="M2010">
            <v>0.73007999999999995</v>
          </cell>
          <cell r="N2010">
            <v>91.476004961391894</v>
          </cell>
          <cell r="O2010">
            <v>100.50105082475855</v>
          </cell>
          <cell r="P2010">
            <v>3.0217089999999999E-2</v>
          </cell>
        </row>
        <row r="2011">
          <cell r="B2011">
            <v>33613</v>
          </cell>
          <cell r="C2011">
            <v>35.499000000000002</v>
          </cell>
          <cell r="D2011">
            <v>4.1610909999999999E-4</v>
          </cell>
          <cell r="E2011">
            <v>4.7855699999999999</v>
          </cell>
          <cell r="F2011">
            <v>0.78998999999999997</v>
          </cell>
          <cell r="J2011">
            <v>112.23192754585678</v>
          </cell>
          <cell r="K2011">
            <v>4.1610909999999999E-4</v>
          </cell>
          <cell r="L2011">
            <v>4.7855699999999999</v>
          </cell>
          <cell r="M2011">
            <v>0.78998999999999997</v>
          </cell>
          <cell r="N2011">
            <v>91.476004961391894</v>
          </cell>
          <cell r="O2011">
            <v>100.50105082475855</v>
          </cell>
          <cell r="P2011">
            <v>3.0217089999999999E-2</v>
          </cell>
        </row>
        <row r="2012">
          <cell r="B2012">
            <v>33616</v>
          </cell>
          <cell r="C2012">
            <v>35.28</v>
          </cell>
          <cell r="D2012">
            <v>4.2003640000000002E-4</v>
          </cell>
          <cell r="E2012">
            <v>4.9666300000000003</v>
          </cell>
          <cell r="F2012">
            <v>0.82462000000000002</v>
          </cell>
          <cell r="J2012">
            <v>113.55177501379605</v>
          </cell>
          <cell r="K2012">
            <v>4.2003640000000002E-4</v>
          </cell>
          <cell r="L2012">
            <v>4.9666300000000003</v>
          </cell>
          <cell r="M2012">
            <v>0.82462000000000002</v>
          </cell>
          <cell r="N2012">
            <v>91.476004961391894</v>
          </cell>
          <cell r="O2012">
            <v>100.50105082475855</v>
          </cell>
          <cell r="P2012">
            <v>3.0217089999999999E-2</v>
          </cell>
        </row>
        <row r="2013">
          <cell r="B2013">
            <v>33617</v>
          </cell>
          <cell r="C2013">
            <v>35.238</v>
          </cell>
          <cell r="D2013">
            <v>4.2436360000000002E-4</v>
          </cell>
          <cell r="E2013">
            <v>4.9635800000000003</v>
          </cell>
          <cell r="F2013">
            <v>0.81291000000000002</v>
          </cell>
          <cell r="J2013">
            <v>114.8855541631081</v>
          </cell>
          <cell r="K2013">
            <v>4.2436360000000002E-4</v>
          </cell>
          <cell r="L2013">
            <v>4.9635800000000003</v>
          </cell>
          <cell r="M2013">
            <v>0.81291000000000002</v>
          </cell>
          <cell r="N2013">
            <v>91.476004961391894</v>
          </cell>
          <cell r="O2013">
            <v>100.50105082475855</v>
          </cell>
          <cell r="P2013">
            <v>3.0217089999999999E-2</v>
          </cell>
        </row>
        <row r="2014">
          <cell r="B2014">
            <v>33618</v>
          </cell>
          <cell r="C2014">
            <v>34.878</v>
          </cell>
          <cell r="D2014">
            <v>4.2876360000000002E-4</v>
          </cell>
          <cell r="E2014">
            <v>4.8729100000000001</v>
          </cell>
          <cell r="F2014">
            <v>0.76080999999999999</v>
          </cell>
          <cell r="J2014">
            <v>116.22121361580838</v>
          </cell>
          <cell r="K2014">
            <v>4.2876360000000002E-4</v>
          </cell>
          <cell r="L2014">
            <v>4.8729100000000001</v>
          </cell>
          <cell r="M2014">
            <v>0.76080999999999999</v>
          </cell>
          <cell r="N2014">
            <v>91.476004961391894</v>
          </cell>
          <cell r="O2014">
            <v>100.50105082475855</v>
          </cell>
          <cell r="P2014">
            <v>3.0217089999999999E-2</v>
          </cell>
        </row>
        <row r="2015">
          <cell r="B2015">
            <v>33619</v>
          </cell>
          <cell r="C2015">
            <v>34.149000000000001</v>
          </cell>
          <cell r="D2015">
            <v>4.3729089999999999E-4</v>
          </cell>
          <cell r="E2015">
            <v>5.12507</v>
          </cell>
          <cell r="F2015">
            <v>0.83182999999999996</v>
          </cell>
          <cell r="J2015">
            <v>117.54415969039712</v>
          </cell>
          <cell r="K2015">
            <v>4.3729089999999999E-4</v>
          </cell>
          <cell r="L2015">
            <v>5.12507</v>
          </cell>
          <cell r="M2015">
            <v>0.83182999999999996</v>
          </cell>
          <cell r="N2015">
            <v>91.476004961391894</v>
          </cell>
          <cell r="O2015">
            <v>100.50105082475855</v>
          </cell>
          <cell r="P2015">
            <v>3.0217089999999999E-2</v>
          </cell>
        </row>
        <row r="2016">
          <cell r="B2016">
            <v>33620</v>
          </cell>
          <cell r="C2016">
            <v>34.058999999999997</v>
          </cell>
          <cell r="D2016">
            <v>4.3705460000000002E-4</v>
          </cell>
          <cell r="E2016">
            <v>5.0950300000000004</v>
          </cell>
          <cell r="F2016">
            <v>0.81794</v>
          </cell>
          <cell r="J2016">
            <v>118.8786385353622</v>
          </cell>
          <cell r="K2016">
            <v>4.3705460000000002E-4</v>
          </cell>
          <cell r="L2016">
            <v>5.0950300000000004</v>
          </cell>
          <cell r="M2016">
            <v>0.81794</v>
          </cell>
          <cell r="N2016">
            <v>91.476004961391894</v>
          </cell>
          <cell r="O2016">
            <v>100.50105082475855</v>
          </cell>
          <cell r="P2016">
            <v>3.0217089999999999E-2</v>
          </cell>
        </row>
        <row r="2017">
          <cell r="B2017">
            <v>33623</v>
          </cell>
          <cell r="C2017">
            <v>34.08</v>
          </cell>
          <cell r="D2017">
            <v>4.4119999999999999E-4</v>
          </cell>
          <cell r="F2017">
            <v>0.89919000000000004</v>
          </cell>
          <cell r="J2017">
            <v>120.22909986912391</v>
          </cell>
          <cell r="K2017">
            <v>4.4119999999999999E-4</v>
          </cell>
          <cell r="L2017">
            <v>5.0950300000000004</v>
          </cell>
          <cell r="M2017">
            <v>0.89919000000000004</v>
          </cell>
          <cell r="N2017">
            <v>91.476004961391894</v>
          </cell>
          <cell r="O2017">
            <v>100.50105082475855</v>
          </cell>
          <cell r="P2017">
            <v>3.0217089999999999E-2</v>
          </cell>
        </row>
        <row r="2018">
          <cell r="B2018">
            <v>33624</v>
          </cell>
          <cell r="C2018">
            <v>34.29</v>
          </cell>
          <cell r="D2018">
            <v>4.4521820000000001E-4</v>
          </cell>
          <cell r="E2018">
            <v>5.5654199999999996</v>
          </cell>
          <cell r="F2018">
            <v>0.90359999999999996</v>
          </cell>
          <cell r="J2018">
            <v>121.603318480628</v>
          </cell>
          <cell r="K2018">
            <v>4.4521820000000001E-4</v>
          </cell>
          <cell r="L2018">
            <v>5.5654199999999996</v>
          </cell>
          <cell r="M2018">
            <v>0.90359999999999996</v>
          </cell>
          <cell r="N2018">
            <v>91.476004961391894</v>
          </cell>
          <cell r="O2018">
            <v>100.50105082475855</v>
          </cell>
          <cell r="P2018">
            <v>3.0217089999999999E-2</v>
          </cell>
        </row>
        <row r="2019">
          <cell r="B2019">
            <v>33625</v>
          </cell>
          <cell r="C2019">
            <v>34.277999999999999</v>
          </cell>
          <cell r="D2019">
            <v>4.494182E-4</v>
          </cell>
          <cell r="E2019">
            <v>5.7</v>
          </cell>
          <cell r="F2019">
            <v>0.9204</v>
          </cell>
          <cell r="J2019">
            <v>122.99275799758765</v>
          </cell>
          <cell r="K2019">
            <v>4.494182E-4</v>
          </cell>
          <cell r="L2019">
            <v>5.7</v>
          </cell>
          <cell r="M2019">
            <v>0.9204</v>
          </cell>
          <cell r="N2019">
            <v>91.476004961391894</v>
          </cell>
          <cell r="O2019">
            <v>100.50105082475855</v>
          </cell>
          <cell r="P2019">
            <v>3.0217089999999999E-2</v>
          </cell>
        </row>
        <row r="2020">
          <cell r="B2020">
            <v>33626</v>
          </cell>
          <cell r="C2020">
            <v>34.637999999999998</v>
          </cell>
          <cell r="D2020">
            <v>4.5365459999999999E-4</v>
          </cell>
          <cell r="E2020">
            <v>6.2458</v>
          </cell>
          <cell r="F2020">
            <v>1.0078</v>
          </cell>
          <cell r="J2020">
            <v>124.4128323814278</v>
          </cell>
          <cell r="K2020">
            <v>4.5365459999999999E-4</v>
          </cell>
          <cell r="L2020">
            <v>6.2458</v>
          </cell>
          <cell r="M2020">
            <v>1.0078</v>
          </cell>
          <cell r="N2020">
            <v>91.476004961391894</v>
          </cell>
          <cell r="O2020">
            <v>100.50105082475855</v>
          </cell>
          <cell r="P2020">
            <v>3.0217089999999999E-2</v>
          </cell>
        </row>
        <row r="2021">
          <cell r="B2021">
            <v>33627</v>
          </cell>
          <cell r="C2021">
            <v>34.68</v>
          </cell>
          <cell r="D2021">
            <v>4.5794539999999999E-4</v>
          </cell>
          <cell r="E2021">
            <v>6.7000799999999998</v>
          </cell>
          <cell r="F2021">
            <v>1.0743</v>
          </cell>
          <cell r="J2021">
            <v>125.85104472375711</v>
          </cell>
          <cell r="K2021">
            <v>4.5794539999999999E-4</v>
          </cell>
          <cell r="L2021">
            <v>6.7000799999999998</v>
          </cell>
          <cell r="M2021">
            <v>1.0743</v>
          </cell>
          <cell r="N2021">
            <v>91.476004961391894</v>
          </cell>
          <cell r="O2021">
            <v>100.50105082475855</v>
          </cell>
          <cell r="P2021">
            <v>3.0217089999999999E-2</v>
          </cell>
        </row>
        <row r="2022">
          <cell r="B2022">
            <v>33630</v>
          </cell>
          <cell r="C2022">
            <v>34.899000000000001</v>
          </cell>
          <cell r="D2022">
            <v>4.6221819999999999E-4</v>
          </cell>
          <cell r="E2022">
            <v>7.2712500000000002</v>
          </cell>
          <cell r="F2022">
            <v>1.1433</v>
          </cell>
          <cell r="J2022">
            <v>127.31506992702857</v>
          </cell>
          <cell r="K2022">
            <v>4.6221819999999999E-4</v>
          </cell>
          <cell r="L2022">
            <v>7.2712500000000002</v>
          </cell>
          <cell r="M2022">
            <v>1.1433</v>
          </cell>
          <cell r="N2022">
            <v>91.476004961391894</v>
          </cell>
          <cell r="O2022">
            <v>100.50105082475855</v>
          </cell>
          <cell r="P2022">
            <v>3.0217089999999999E-2</v>
          </cell>
        </row>
        <row r="2023">
          <cell r="B2023">
            <v>33631</v>
          </cell>
          <cell r="C2023">
            <v>35.168999999999997</v>
          </cell>
          <cell r="D2023">
            <v>4.6643630000000003E-4</v>
          </cell>
          <cell r="E2023">
            <v>7.6082200000000002</v>
          </cell>
          <cell r="F2023">
            <v>1.2133</v>
          </cell>
          <cell r="J2023">
            <v>128.80758449178313</v>
          </cell>
          <cell r="K2023">
            <v>4.6643630000000003E-4</v>
          </cell>
          <cell r="L2023">
            <v>7.6082200000000002</v>
          </cell>
          <cell r="M2023">
            <v>1.2133</v>
          </cell>
          <cell r="N2023">
            <v>91.476004961391894</v>
          </cell>
          <cell r="O2023">
            <v>100.50105082475855</v>
          </cell>
          <cell r="P2023">
            <v>3.0217089999999999E-2</v>
          </cell>
        </row>
        <row r="2024">
          <cell r="B2024">
            <v>33632</v>
          </cell>
          <cell r="C2024">
            <v>35.898000000000003</v>
          </cell>
          <cell r="D2024">
            <v>4.7098179999999998E-4</v>
          </cell>
          <cell r="E2024">
            <v>7.6161199999999996</v>
          </cell>
          <cell r="F2024">
            <v>1.1843999999999999</v>
          </cell>
          <cell r="J2024">
            <v>130.34889604781179</v>
          </cell>
          <cell r="K2024">
            <v>4.7098179999999998E-4</v>
          </cell>
          <cell r="L2024">
            <v>7.6161199999999996</v>
          </cell>
          <cell r="M2024">
            <v>1.1843999999999999</v>
          </cell>
          <cell r="N2024">
            <v>91.476004961391894</v>
          </cell>
          <cell r="O2024">
            <v>100.50105082475855</v>
          </cell>
          <cell r="P2024">
            <v>3.0217089999999999E-2</v>
          </cell>
        </row>
        <row r="2025">
          <cell r="B2025">
            <v>33633</v>
          </cell>
          <cell r="C2025">
            <v>36.39</v>
          </cell>
          <cell r="D2025">
            <v>4.7547270000000003E-4</v>
          </cell>
          <cell r="E2025">
            <v>7.5509000000000004</v>
          </cell>
          <cell r="F2025">
            <v>1.0993999999999999</v>
          </cell>
          <cell r="J2025">
            <v>131.93002815687174</v>
          </cell>
          <cell r="K2025">
            <v>4.7547270000000003E-4</v>
          </cell>
          <cell r="L2025">
            <v>7.5509000000000004</v>
          </cell>
          <cell r="M2025">
            <v>1.0993999999999999</v>
          </cell>
          <cell r="N2025">
            <v>91.476004961391894</v>
          </cell>
          <cell r="O2025">
            <v>100.50105082475855</v>
          </cell>
          <cell r="P2025">
            <v>3.0217089999999999E-2</v>
          </cell>
        </row>
        <row r="2026">
          <cell r="B2026">
            <v>33634</v>
          </cell>
          <cell r="C2026">
            <v>37.229999999999997</v>
          </cell>
          <cell r="D2026">
            <v>4.8003640000000001E-4</v>
          </cell>
          <cell r="E2026">
            <v>7.7125000000000004</v>
          </cell>
          <cell r="F2026">
            <v>1.1207</v>
          </cell>
          <cell r="G2026">
            <v>26.84</v>
          </cell>
          <cell r="H2026">
            <v>23.56</v>
          </cell>
          <cell r="I2026">
            <v>3.8105979999999998E-2</v>
          </cell>
          <cell r="J2026">
            <v>133.56727980629853</v>
          </cell>
          <cell r="K2026">
            <v>4.8003640000000001E-4</v>
          </cell>
          <cell r="L2026">
            <v>7.7125000000000004</v>
          </cell>
          <cell r="M2026">
            <v>1.1207</v>
          </cell>
          <cell r="N2026">
            <v>116.02816469302948</v>
          </cell>
          <cell r="O2026">
            <v>124.17909839907166</v>
          </cell>
          <cell r="P2026">
            <v>3.8105979999999998E-2</v>
          </cell>
        </row>
        <row r="2027">
          <cell r="B2027">
            <v>33637</v>
          </cell>
          <cell r="C2027">
            <v>37.988999999999997</v>
          </cell>
          <cell r="D2027">
            <v>4.8490909999999998E-4</v>
          </cell>
          <cell r="E2027">
            <v>7.5651000000000002</v>
          </cell>
          <cell r="F2027">
            <v>1.0503</v>
          </cell>
          <cell r="J2027">
            <v>135.25864227048569</v>
          </cell>
          <cell r="K2027">
            <v>4.8490909999999998E-4</v>
          </cell>
          <cell r="L2027">
            <v>7.5651000000000002</v>
          </cell>
          <cell r="M2027">
            <v>1.0503</v>
          </cell>
          <cell r="N2027">
            <v>116.02816469302948</v>
          </cell>
          <cell r="O2027">
            <v>124.17909839907166</v>
          </cell>
          <cell r="P2027">
            <v>3.8105979999999998E-2</v>
          </cell>
        </row>
        <row r="2028">
          <cell r="B2028">
            <v>33638</v>
          </cell>
          <cell r="C2028">
            <v>38.07</v>
          </cell>
          <cell r="D2028">
            <v>4.8977090000000003E-4</v>
          </cell>
          <cell r="E2028">
            <v>7.6878599999999997</v>
          </cell>
          <cell r="F2028">
            <v>1.0738000000000001</v>
          </cell>
          <cell r="J2028">
            <v>136.97507444089817</v>
          </cell>
          <cell r="K2028">
            <v>4.8977090000000003E-4</v>
          </cell>
          <cell r="L2028">
            <v>7.6878599999999997</v>
          </cell>
          <cell r="M2028">
            <v>1.0738000000000001</v>
          </cell>
          <cell r="N2028">
            <v>116.02816469302948</v>
          </cell>
          <cell r="O2028">
            <v>124.17909839907166</v>
          </cell>
          <cell r="P2028">
            <v>3.8105979999999998E-2</v>
          </cell>
        </row>
        <row r="2029">
          <cell r="B2029">
            <v>33639</v>
          </cell>
          <cell r="C2029">
            <v>38.118000000000002</v>
          </cell>
          <cell r="D2029">
            <v>4.9481820000000002E-4</v>
          </cell>
          <cell r="E2029">
            <v>7.4991199999999996</v>
          </cell>
          <cell r="F2029">
            <v>1.0134000000000001</v>
          </cell>
          <cell r="J2029">
            <v>138.71547973674424</v>
          </cell>
          <cell r="K2029">
            <v>4.9481820000000002E-4</v>
          </cell>
          <cell r="L2029">
            <v>7.4991199999999996</v>
          </cell>
          <cell r="M2029">
            <v>1.0134000000000001</v>
          </cell>
          <cell r="N2029">
            <v>116.02816469302948</v>
          </cell>
          <cell r="O2029">
            <v>124.17909839907166</v>
          </cell>
          <cell r="P2029">
            <v>3.8105979999999998E-2</v>
          </cell>
        </row>
        <row r="2030">
          <cell r="B2030">
            <v>33640</v>
          </cell>
          <cell r="C2030">
            <v>38.241</v>
          </cell>
          <cell r="D2030">
            <v>5.0032729999999995E-4</v>
          </cell>
          <cell r="E2030">
            <v>7.3541699999999999</v>
          </cell>
          <cell r="F2030">
            <v>0.97870000000000001</v>
          </cell>
          <cell r="J2030">
            <v>140.48368595694853</v>
          </cell>
          <cell r="K2030">
            <v>5.0032729999999995E-4</v>
          </cell>
          <cell r="L2030">
            <v>7.3541699999999999</v>
          </cell>
          <cell r="M2030">
            <v>0.97870000000000001</v>
          </cell>
          <cell r="N2030">
            <v>116.02816469302948</v>
          </cell>
          <cell r="O2030">
            <v>124.17909839907166</v>
          </cell>
          <cell r="P2030">
            <v>3.8105979999999998E-2</v>
          </cell>
        </row>
        <row r="2031">
          <cell r="B2031">
            <v>33641</v>
          </cell>
          <cell r="C2031">
            <v>38.369999999999997</v>
          </cell>
          <cell r="D2031">
            <v>5.0578180000000002E-4</v>
          </cell>
          <cell r="E2031">
            <v>7.5735099999999997</v>
          </cell>
          <cell r="F2031">
            <v>1.0744</v>
          </cell>
          <cell r="J2031">
            <v>142.28047230033792</v>
          </cell>
          <cell r="K2031">
            <v>5.0578180000000002E-4</v>
          </cell>
          <cell r="L2031">
            <v>7.5735099999999997</v>
          </cell>
          <cell r="M2031">
            <v>1.0744</v>
          </cell>
          <cell r="N2031">
            <v>116.02816469302948</v>
          </cell>
          <cell r="O2031">
            <v>124.17909839907166</v>
          </cell>
          <cell r="P2031">
            <v>3.8105979999999998E-2</v>
          </cell>
        </row>
        <row r="2032">
          <cell r="B2032">
            <v>33644</v>
          </cell>
          <cell r="C2032">
            <v>38.408999999999999</v>
          </cell>
          <cell r="D2032">
            <v>5.1109090000000005E-4</v>
          </cell>
          <cell r="E2032">
            <v>7.5569600000000001</v>
          </cell>
          <cell r="F2032">
            <v>1.0553999999999999</v>
          </cell>
          <cell r="J2032">
            <v>144.10208918719914</v>
          </cell>
          <cell r="K2032">
            <v>5.1109090000000005E-4</v>
          </cell>
          <cell r="L2032">
            <v>7.5569600000000001</v>
          </cell>
          <cell r="M2032">
            <v>1.0553999999999999</v>
          </cell>
          <cell r="N2032">
            <v>116.02816469302948</v>
          </cell>
          <cell r="O2032">
            <v>124.17909839907166</v>
          </cell>
          <cell r="P2032">
            <v>3.8105979999999998E-2</v>
          </cell>
        </row>
        <row r="2033">
          <cell r="B2033">
            <v>33645</v>
          </cell>
          <cell r="C2033">
            <v>38.357999999999997</v>
          </cell>
          <cell r="D2033">
            <v>5.1656369999999996E-4</v>
          </cell>
          <cell r="E2033">
            <v>7.4742199999999999</v>
          </cell>
          <cell r="F2033">
            <v>1.1201000000000001</v>
          </cell>
          <cell r="J2033">
            <v>145.94457849954665</v>
          </cell>
          <cell r="K2033">
            <v>5.1656369999999996E-4</v>
          </cell>
          <cell r="L2033">
            <v>7.4742199999999999</v>
          </cell>
          <cell r="M2033">
            <v>1.1201000000000001</v>
          </cell>
          <cell r="N2033">
            <v>116.02816469302948</v>
          </cell>
          <cell r="O2033">
            <v>124.17909839907166</v>
          </cell>
          <cell r="P2033">
            <v>3.8105979999999998E-2</v>
          </cell>
        </row>
        <row r="2034">
          <cell r="B2034">
            <v>33646</v>
          </cell>
          <cell r="C2034">
            <v>38.357999999999997</v>
          </cell>
          <cell r="D2034">
            <v>5.2216359999999996E-4</v>
          </cell>
          <cell r="E2034">
            <v>7.6101700000000001</v>
          </cell>
          <cell r="F2034">
            <v>1.1158999999999999</v>
          </cell>
          <cell r="J2034">
            <v>147.81062588024184</v>
          </cell>
          <cell r="K2034">
            <v>5.2216359999999996E-4</v>
          </cell>
          <cell r="L2034">
            <v>7.6101700000000001</v>
          </cell>
          <cell r="M2034">
            <v>1.1158999999999999</v>
          </cell>
          <cell r="N2034">
            <v>116.02816469302948</v>
          </cell>
          <cell r="O2034">
            <v>124.17909839907166</v>
          </cell>
          <cell r="P2034">
            <v>3.8105979999999998E-2</v>
          </cell>
        </row>
        <row r="2035">
          <cell r="B2035">
            <v>33647</v>
          </cell>
          <cell r="C2035">
            <v>38.348999999999997</v>
          </cell>
          <cell r="D2035">
            <v>5.3378180000000005E-4</v>
          </cell>
          <cell r="E2035">
            <v>7.3960299999999997</v>
          </cell>
          <cell r="F2035">
            <v>1.0423</v>
          </cell>
          <cell r="J2035">
            <v>149.70008911086899</v>
          </cell>
          <cell r="K2035">
            <v>5.3378180000000005E-4</v>
          </cell>
          <cell r="L2035">
            <v>7.3960299999999997</v>
          </cell>
          <cell r="M2035">
            <v>1.0423</v>
          </cell>
          <cell r="N2035">
            <v>116.02816469302948</v>
          </cell>
          <cell r="O2035">
            <v>124.17909839907166</v>
          </cell>
          <cell r="P2035">
            <v>3.8105979999999998E-2</v>
          </cell>
        </row>
        <row r="2036">
          <cell r="B2036">
            <v>33648</v>
          </cell>
          <cell r="C2036">
            <v>38.198999999999998</v>
          </cell>
          <cell r="D2036">
            <v>5.3361819999999999E-4</v>
          </cell>
          <cell r="E2036">
            <v>7.4370900000000004</v>
          </cell>
          <cell r="F2036">
            <v>1.0907</v>
          </cell>
          <cell r="J2036">
            <v>151.6062203455177</v>
          </cell>
          <cell r="K2036">
            <v>5.3361819999999999E-4</v>
          </cell>
          <cell r="L2036">
            <v>7.4370900000000004</v>
          </cell>
          <cell r="M2036">
            <v>1.0907</v>
          </cell>
          <cell r="N2036">
            <v>116.02816469302948</v>
          </cell>
          <cell r="O2036">
            <v>124.17909839907166</v>
          </cell>
          <cell r="P2036">
            <v>3.8105979999999998E-2</v>
          </cell>
        </row>
        <row r="2037">
          <cell r="B2037">
            <v>33651</v>
          </cell>
          <cell r="C2037">
            <v>38.348999999999997</v>
          </cell>
          <cell r="D2037">
            <v>5.3941820000000002E-4</v>
          </cell>
          <cell r="E2037">
            <v>7.4834399999999999</v>
          </cell>
          <cell r="F2037">
            <v>1.0774999999999999</v>
          </cell>
          <cell r="J2037">
            <v>153.54420266019446</v>
          </cell>
          <cell r="K2037">
            <v>5.3941820000000002E-4</v>
          </cell>
          <cell r="L2037">
            <v>7.4834399999999999</v>
          </cell>
          <cell r="M2037">
            <v>1.0774999999999999</v>
          </cell>
          <cell r="N2037">
            <v>116.02816469302948</v>
          </cell>
          <cell r="O2037">
            <v>124.17909839907166</v>
          </cell>
          <cell r="P2037">
            <v>3.8105979999999998E-2</v>
          </cell>
        </row>
        <row r="2038">
          <cell r="B2038">
            <v>33652</v>
          </cell>
          <cell r="C2038">
            <v>38.238</v>
          </cell>
          <cell r="D2038">
            <v>5.4532729999999996E-4</v>
          </cell>
          <cell r="E2038">
            <v>7.5820600000000002</v>
          </cell>
          <cell r="F2038">
            <v>1.1543000000000001</v>
          </cell>
          <cell r="J2038">
            <v>155.50127706730129</v>
          </cell>
          <cell r="K2038">
            <v>5.4532729999999996E-4</v>
          </cell>
          <cell r="L2038">
            <v>7.5820600000000002</v>
          </cell>
          <cell r="M2038">
            <v>1.1543000000000001</v>
          </cell>
          <cell r="N2038">
            <v>116.02816469302948</v>
          </cell>
          <cell r="O2038">
            <v>124.17909839907166</v>
          </cell>
          <cell r="P2038">
            <v>3.8105979999999998E-2</v>
          </cell>
        </row>
        <row r="2039">
          <cell r="B2039">
            <v>33653</v>
          </cell>
          <cell r="C2039">
            <v>38.259</v>
          </cell>
          <cell r="D2039">
            <v>5.5143629999999998E-4</v>
          </cell>
          <cell r="E2039">
            <v>7.8963400000000004</v>
          </cell>
          <cell r="F2039">
            <v>1.2575000000000001</v>
          </cell>
          <cell r="J2039">
            <v>157.48438485374058</v>
          </cell>
          <cell r="K2039">
            <v>5.5143629999999998E-4</v>
          </cell>
          <cell r="L2039">
            <v>7.8963400000000004</v>
          </cell>
          <cell r="M2039">
            <v>1.2575000000000001</v>
          </cell>
          <cell r="N2039">
            <v>116.02816469302948</v>
          </cell>
          <cell r="O2039">
            <v>124.17909839907166</v>
          </cell>
          <cell r="P2039">
            <v>3.8105979999999998E-2</v>
          </cell>
        </row>
        <row r="2040">
          <cell r="B2040">
            <v>33654</v>
          </cell>
          <cell r="C2040">
            <v>38.238</v>
          </cell>
          <cell r="D2040">
            <v>5.5741820000000002E-4</v>
          </cell>
          <cell r="E2040">
            <v>8.1719600000000003</v>
          </cell>
          <cell r="F2040">
            <v>1.3148</v>
          </cell>
          <cell r="J2040">
            <v>159.49168082308634</v>
          </cell>
          <cell r="K2040">
            <v>5.5741820000000002E-4</v>
          </cell>
          <cell r="L2040">
            <v>8.1719600000000003</v>
          </cell>
          <cell r="M2040">
            <v>1.3148</v>
          </cell>
          <cell r="N2040">
            <v>116.02816469302948</v>
          </cell>
          <cell r="O2040">
            <v>124.17909839907166</v>
          </cell>
          <cell r="P2040">
            <v>3.8105979999999998E-2</v>
          </cell>
        </row>
        <row r="2041">
          <cell r="B2041">
            <v>33655</v>
          </cell>
          <cell r="C2041">
            <v>38.027999999999999</v>
          </cell>
          <cell r="D2041">
            <v>5.6316359999999998E-4</v>
          </cell>
          <cell r="E2041">
            <v>8.3359299999999994</v>
          </cell>
          <cell r="F2041">
            <v>1.3822000000000001</v>
          </cell>
          <cell r="J2041">
            <v>161.51339736919977</v>
          </cell>
          <cell r="K2041">
            <v>5.6316359999999998E-4</v>
          </cell>
          <cell r="L2041">
            <v>8.3359299999999994</v>
          </cell>
          <cell r="M2041">
            <v>1.3822000000000001</v>
          </cell>
          <cell r="N2041">
            <v>116.02816469302948</v>
          </cell>
          <cell r="O2041">
            <v>124.17909839907166</v>
          </cell>
          <cell r="P2041">
            <v>3.8105979999999998E-2</v>
          </cell>
        </row>
        <row r="2042">
          <cell r="B2042">
            <v>33658</v>
          </cell>
          <cell r="C2042">
            <v>37.908000000000001</v>
          </cell>
          <cell r="D2042">
            <v>5.6879999999999995E-4</v>
          </cell>
          <cell r="E2042">
            <v>8.32498</v>
          </cell>
          <cell r="F2042">
            <v>1.3626</v>
          </cell>
          <cell r="J2042">
            <v>163.55428065835699</v>
          </cell>
          <cell r="K2042">
            <v>5.6879999999999995E-4</v>
          </cell>
          <cell r="L2042">
            <v>8.32498</v>
          </cell>
          <cell r="M2042">
            <v>1.3626</v>
          </cell>
          <cell r="N2042">
            <v>116.02816469302948</v>
          </cell>
          <cell r="O2042">
            <v>124.17909839907166</v>
          </cell>
          <cell r="P2042">
            <v>3.8105979999999998E-2</v>
          </cell>
        </row>
        <row r="2043">
          <cell r="B2043">
            <v>33659</v>
          </cell>
          <cell r="C2043">
            <v>37.758000000000003</v>
          </cell>
          <cell r="D2043">
            <v>5.7454550000000004E-4</v>
          </cell>
          <cell r="E2043">
            <v>8.3158799999999999</v>
          </cell>
          <cell r="F2043">
            <v>1.3767</v>
          </cell>
          <cell r="J2043">
            <v>165.61277483472307</v>
          </cell>
          <cell r="K2043">
            <v>5.7454550000000004E-4</v>
          </cell>
          <cell r="L2043">
            <v>8.3158799999999999</v>
          </cell>
          <cell r="M2043">
            <v>1.3767</v>
          </cell>
          <cell r="N2043">
            <v>116.02816469302948</v>
          </cell>
          <cell r="O2043">
            <v>124.17909839907166</v>
          </cell>
          <cell r="P2043">
            <v>3.8105979999999998E-2</v>
          </cell>
        </row>
        <row r="2044">
          <cell r="B2044">
            <v>33660</v>
          </cell>
          <cell r="C2044">
            <v>37.667999999999999</v>
          </cell>
          <cell r="D2044">
            <v>5.8094539999999995E-4</v>
          </cell>
          <cell r="E2044">
            <v>8.2774000000000001</v>
          </cell>
          <cell r="F2044">
            <v>1.3655999999999999</v>
          </cell>
          <cell r="J2044">
            <v>167.69220883554786</v>
          </cell>
          <cell r="K2044">
            <v>5.8094539999999995E-4</v>
          </cell>
          <cell r="L2044">
            <v>8.2774000000000001</v>
          </cell>
          <cell r="M2044">
            <v>1.3655999999999999</v>
          </cell>
          <cell r="N2044">
            <v>116.02816469302948</v>
          </cell>
          <cell r="O2044">
            <v>124.17909839907166</v>
          </cell>
          <cell r="P2044">
            <v>3.8105979999999998E-2</v>
          </cell>
        </row>
        <row r="2045">
          <cell r="B2045">
            <v>33661</v>
          </cell>
          <cell r="C2045">
            <v>37.509</v>
          </cell>
          <cell r="D2045">
            <v>5.8690909999999997E-4</v>
          </cell>
          <cell r="E2045">
            <v>8.4685100000000002</v>
          </cell>
          <cell r="F2045">
            <v>1.4165000000000001</v>
          </cell>
          <cell r="J2045">
            <v>169.7888645226187</v>
          </cell>
          <cell r="K2045">
            <v>5.8690909999999997E-4</v>
          </cell>
          <cell r="L2045">
            <v>8.4685100000000002</v>
          </cell>
          <cell r="M2045">
            <v>1.4165000000000001</v>
          </cell>
          <cell r="N2045">
            <v>116.02816469302948</v>
          </cell>
          <cell r="O2045">
            <v>124.17909839907166</v>
          </cell>
          <cell r="P2045">
            <v>3.8105979999999998E-2</v>
          </cell>
        </row>
        <row r="2046">
          <cell r="B2046">
            <v>33662</v>
          </cell>
          <cell r="C2046">
            <v>75.498000000000005</v>
          </cell>
          <cell r="D2046">
            <v>5.9309089999999998E-4</v>
          </cell>
          <cell r="E2046">
            <v>8.49465</v>
          </cell>
          <cell r="F2046">
            <v>1.4498</v>
          </cell>
          <cell r="G2046">
            <v>24.79</v>
          </cell>
          <cell r="H2046">
            <v>27.86</v>
          </cell>
          <cell r="I2046">
            <v>4.8104229999999998E-2</v>
          </cell>
          <cell r="J2046">
            <v>174.06177108719493</v>
          </cell>
          <cell r="K2046">
            <v>5.9309089999999998E-4</v>
          </cell>
          <cell r="L2046">
            <v>8.49465</v>
          </cell>
          <cell r="M2046">
            <v>1.4498</v>
          </cell>
          <cell r="N2046">
            <v>144.79154672043148</v>
          </cell>
          <cell r="O2046">
            <v>158.77539521305303</v>
          </cell>
          <cell r="P2046">
            <v>4.8104229999999998E-2</v>
          </cell>
        </row>
        <row r="2047">
          <cell r="B2047">
            <v>33667</v>
          </cell>
          <cell r="D2047">
            <v>5.9910910000000005E-4</v>
          </cell>
          <cell r="J2047">
            <v>174.06177108719493</v>
          </cell>
          <cell r="K2047">
            <v>5.9910910000000005E-4</v>
          </cell>
          <cell r="L2047">
            <v>8.49465</v>
          </cell>
          <cell r="M2047">
            <v>1.4498</v>
          </cell>
          <cell r="N2047">
            <v>144.79154672043148</v>
          </cell>
          <cell r="O2047">
            <v>158.77539521305303</v>
          </cell>
          <cell r="P2047">
            <v>4.8104229999999998E-2</v>
          </cell>
        </row>
        <row r="2048">
          <cell r="B2048">
            <v>33668</v>
          </cell>
          <cell r="C2048">
            <v>37.478999999999999</v>
          </cell>
          <cell r="D2048">
            <v>6.0519999999999997E-4</v>
          </cell>
          <cell r="E2048">
            <v>8.6236200000000007</v>
          </cell>
          <cell r="F2048">
            <v>1.5147999999999999</v>
          </cell>
          <cell r="J2048">
            <v>176.23632479338727</v>
          </cell>
          <cell r="K2048">
            <v>6.0519999999999997E-4</v>
          </cell>
          <cell r="L2048">
            <v>8.6236200000000007</v>
          </cell>
          <cell r="M2048">
            <v>1.5147999999999999</v>
          </cell>
          <cell r="N2048">
            <v>144.79154672043148</v>
          </cell>
          <cell r="O2048">
            <v>158.77539521305303</v>
          </cell>
          <cell r="P2048">
            <v>4.8104229999999998E-2</v>
          </cell>
        </row>
        <row r="2049">
          <cell r="B2049">
            <v>33669</v>
          </cell>
          <cell r="C2049">
            <v>37.47</v>
          </cell>
          <cell r="D2049">
            <v>6.1136359999999995E-4</v>
          </cell>
          <cell r="E2049">
            <v>8.7790900000000001</v>
          </cell>
          <cell r="F2049">
            <v>1.5343</v>
          </cell>
          <cell r="J2049">
            <v>178.43751649005665</v>
          </cell>
          <cell r="K2049">
            <v>6.1136359999999995E-4</v>
          </cell>
          <cell r="L2049">
            <v>8.7790900000000001</v>
          </cell>
          <cell r="M2049">
            <v>1.5343</v>
          </cell>
          <cell r="N2049">
            <v>144.79154672043148</v>
          </cell>
          <cell r="O2049">
            <v>158.77539521305303</v>
          </cell>
          <cell r="P2049">
            <v>4.8104229999999998E-2</v>
          </cell>
        </row>
        <row r="2050">
          <cell r="B2050">
            <v>33672</v>
          </cell>
          <cell r="C2050">
            <v>37.44</v>
          </cell>
          <cell r="D2050">
            <v>6.178364E-4</v>
          </cell>
          <cell r="E2050">
            <v>8.7288099999999993</v>
          </cell>
          <cell r="F2050">
            <v>1.4742</v>
          </cell>
          <cell r="J2050">
            <v>180.66441669585257</v>
          </cell>
          <cell r="K2050">
            <v>6.178364E-4</v>
          </cell>
          <cell r="L2050">
            <v>8.7288099999999993</v>
          </cell>
          <cell r="M2050">
            <v>1.4742</v>
          </cell>
          <cell r="N2050">
            <v>144.79154672043148</v>
          </cell>
          <cell r="O2050">
            <v>158.77539521305303</v>
          </cell>
          <cell r="P2050">
            <v>4.8104229999999998E-2</v>
          </cell>
        </row>
        <row r="2051">
          <cell r="B2051">
            <v>33673</v>
          </cell>
          <cell r="C2051">
            <v>37.32</v>
          </cell>
          <cell r="D2051">
            <v>6.2363640000000003E-4</v>
          </cell>
          <cell r="E2051">
            <v>8.7914700000000003</v>
          </cell>
          <cell r="F2051">
            <v>1.4607000000000001</v>
          </cell>
          <cell r="J2051">
            <v>182.91188203954897</v>
          </cell>
          <cell r="K2051">
            <v>6.2363640000000003E-4</v>
          </cell>
          <cell r="L2051">
            <v>8.7914700000000003</v>
          </cell>
          <cell r="M2051">
            <v>1.4607000000000001</v>
          </cell>
          <cell r="N2051">
            <v>144.79154672043148</v>
          </cell>
          <cell r="O2051">
            <v>158.77539521305303</v>
          </cell>
          <cell r="P2051">
            <v>4.8104229999999998E-2</v>
          </cell>
        </row>
        <row r="2052">
          <cell r="B2052">
            <v>33674</v>
          </cell>
          <cell r="C2052">
            <v>36.558</v>
          </cell>
          <cell r="D2052">
            <v>6.3014549999999999E-4</v>
          </cell>
          <cell r="E2052">
            <v>9.0365699999999993</v>
          </cell>
          <cell r="F2052">
            <v>1.5132000000000001</v>
          </cell>
          <cell r="J2052">
            <v>185.14084623408291</v>
          </cell>
          <cell r="K2052">
            <v>6.3014549999999999E-4</v>
          </cell>
          <cell r="L2052">
            <v>9.0365699999999993</v>
          </cell>
          <cell r="M2052">
            <v>1.5132000000000001</v>
          </cell>
          <cell r="N2052">
            <v>144.79154672043148</v>
          </cell>
          <cell r="O2052">
            <v>158.77539521305303</v>
          </cell>
          <cell r="P2052">
            <v>4.8104229999999998E-2</v>
          </cell>
        </row>
        <row r="2053">
          <cell r="B2053">
            <v>33675</v>
          </cell>
          <cell r="C2053">
            <v>36.738</v>
          </cell>
          <cell r="D2053">
            <v>6.3665460000000005E-4</v>
          </cell>
          <cell r="E2053">
            <v>9.2536900000000006</v>
          </cell>
          <cell r="F2053">
            <v>1.5424</v>
          </cell>
          <cell r="J2053">
            <v>187.4080810370655</v>
          </cell>
          <cell r="K2053">
            <v>6.3665460000000005E-4</v>
          </cell>
          <cell r="L2053">
            <v>9.2536900000000006</v>
          </cell>
          <cell r="M2053">
            <v>1.5424</v>
          </cell>
          <cell r="N2053">
            <v>144.79154672043148</v>
          </cell>
          <cell r="O2053">
            <v>158.77539521305303</v>
          </cell>
          <cell r="P2053">
            <v>4.8104229999999998E-2</v>
          </cell>
        </row>
        <row r="2054">
          <cell r="B2054">
            <v>33676</v>
          </cell>
          <cell r="C2054">
            <v>36.497999999999998</v>
          </cell>
          <cell r="D2054">
            <v>6.4309090000000001E-4</v>
          </cell>
          <cell r="E2054">
            <v>9.4137900000000005</v>
          </cell>
          <cell r="F2054">
            <v>1.5915999999999999</v>
          </cell>
          <cell r="J2054">
            <v>189.68808775096241</v>
          </cell>
          <cell r="K2054">
            <v>6.4309090000000001E-4</v>
          </cell>
          <cell r="L2054">
            <v>9.4137900000000005</v>
          </cell>
          <cell r="M2054">
            <v>1.5915999999999999</v>
          </cell>
          <cell r="N2054">
            <v>144.79154672043148</v>
          </cell>
          <cell r="O2054">
            <v>158.77539521305303</v>
          </cell>
          <cell r="P2054">
            <v>4.8104229999999998E-2</v>
          </cell>
        </row>
        <row r="2055">
          <cell r="B2055">
            <v>33679</v>
          </cell>
          <cell r="C2055">
            <v>35.31</v>
          </cell>
          <cell r="D2055">
            <v>6.4965460000000004E-4</v>
          </cell>
          <cell r="E2055">
            <v>9.5982500000000002</v>
          </cell>
          <cell r="F2055">
            <v>1.5490999999999999</v>
          </cell>
          <cell r="J2055">
            <v>191.92071654379126</v>
          </cell>
          <cell r="K2055">
            <v>6.4965460000000004E-4</v>
          </cell>
          <cell r="L2055">
            <v>9.5982500000000002</v>
          </cell>
          <cell r="M2055">
            <v>1.5490999999999999</v>
          </cell>
          <cell r="N2055">
            <v>144.79154672043148</v>
          </cell>
          <cell r="O2055">
            <v>158.77539521305303</v>
          </cell>
          <cell r="P2055">
            <v>4.8104229999999998E-2</v>
          </cell>
        </row>
        <row r="2056">
          <cell r="B2056">
            <v>33680</v>
          </cell>
          <cell r="C2056">
            <v>34.968000000000004</v>
          </cell>
          <cell r="D2056">
            <v>6.560909E-4</v>
          </cell>
          <cell r="E2056">
            <v>9.5570500000000003</v>
          </cell>
          <cell r="F2056">
            <v>1.5386</v>
          </cell>
          <cell r="J2056">
            <v>194.1577444158257</v>
          </cell>
          <cell r="K2056">
            <v>6.560909E-4</v>
          </cell>
          <cell r="L2056">
            <v>9.5570500000000003</v>
          </cell>
          <cell r="M2056">
            <v>1.5386</v>
          </cell>
          <cell r="N2056">
            <v>144.79154672043148</v>
          </cell>
          <cell r="O2056">
            <v>158.77539521305303</v>
          </cell>
          <cell r="P2056">
            <v>4.8104229999999998E-2</v>
          </cell>
        </row>
        <row r="2057">
          <cell r="B2057">
            <v>33681</v>
          </cell>
          <cell r="C2057">
            <v>34.988999999999997</v>
          </cell>
          <cell r="D2057">
            <v>6.6254550000000001E-4</v>
          </cell>
          <cell r="E2057">
            <v>9.6623599999999996</v>
          </cell>
          <cell r="F2057">
            <v>1.587</v>
          </cell>
          <cell r="J2057">
            <v>196.42220618894748</v>
          </cell>
          <cell r="K2057">
            <v>6.6254550000000001E-4</v>
          </cell>
          <cell r="L2057">
            <v>9.6623599999999996</v>
          </cell>
          <cell r="M2057">
            <v>1.587</v>
          </cell>
          <cell r="N2057">
            <v>144.79154672043148</v>
          </cell>
          <cell r="O2057">
            <v>158.77539521305303</v>
          </cell>
          <cell r="P2057">
            <v>4.8104229999999998E-2</v>
          </cell>
        </row>
        <row r="2058">
          <cell r="B2058">
            <v>33682</v>
          </cell>
          <cell r="C2058">
            <v>34.728000000000002</v>
          </cell>
          <cell r="D2058">
            <v>6.6903640000000005E-4</v>
          </cell>
          <cell r="E2058">
            <v>9.7409199999999991</v>
          </cell>
          <cell r="F2058">
            <v>1.6208</v>
          </cell>
          <cell r="J2058">
            <v>198.69598964779075</v>
          </cell>
          <cell r="K2058">
            <v>6.6903640000000005E-4</v>
          </cell>
          <cell r="L2058">
            <v>9.7409199999999991</v>
          </cell>
          <cell r="M2058">
            <v>1.6208</v>
          </cell>
          <cell r="N2058">
            <v>144.79154672043148</v>
          </cell>
          <cell r="O2058">
            <v>158.77539521305303</v>
          </cell>
          <cell r="P2058">
            <v>4.8104229999999998E-2</v>
          </cell>
        </row>
        <row r="2059">
          <cell r="B2059">
            <v>33683</v>
          </cell>
          <cell r="C2059">
            <v>34.89</v>
          </cell>
          <cell r="D2059">
            <v>6.7599999999999995E-4</v>
          </cell>
          <cell r="E2059">
            <v>9.8876500000000007</v>
          </cell>
          <cell r="F2059">
            <v>1.6632</v>
          </cell>
          <cell r="J2059">
            <v>201.00682400739456</v>
          </cell>
          <cell r="K2059">
            <v>6.7599999999999995E-4</v>
          </cell>
          <cell r="L2059">
            <v>9.8876500000000007</v>
          </cell>
          <cell r="M2059">
            <v>1.6632</v>
          </cell>
          <cell r="N2059">
            <v>144.79154672043148</v>
          </cell>
          <cell r="O2059">
            <v>158.77539521305303</v>
          </cell>
          <cell r="P2059">
            <v>4.8104229999999998E-2</v>
          </cell>
        </row>
        <row r="2060">
          <cell r="B2060">
            <v>33686</v>
          </cell>
          <cell r="C2060">
            <v>34.689</v>
          </cell>
          <cell r="D2060">
            <v>6.8225450000000004E-4</v>
          </cell>
          <cell r="E2060">
            <v>10.03791</v>
          </cell>
          <cell r="F2060">
            <v>1.6374</v>
          </cell>
          <cell r="J2060">
            <v>203.33106591339205</v>
          </cell>
          <cell r="K2060">
            <v>6.8225450000000004E-4</v>
          </cell>
          <cell r="L2060">
            <v>10.03791</v>
          </cell>
          <cell r="M2060">
            <v>1.6374</v>
          </cell>
          <cell r="N2060">
            <v>144.79154672043148</v>
          </cell>
          <cell r="O2060">
            <v>158.77539521305303</v>
          </cell>
          <cell r="P2060">
            <v>4.8104229999999998E-2</v>
          </cell>
        </row>
        <row r="2061">
          <cell r="B2061">
            <v>33687</v>
          </cell>
          <cell r="C2061">
            <v>34.847999999999999</v>
          </cell>
          <cell r="D2061">
            <v>6.8876359999999999E-4</v>
          </cell>
          <cell r="E2061">
            <v>10.032</v>
          </cell>
          <cell r="F2061">
            <v>1.6375</v>
          </cell>
          <cell r="J2061">
            <v>205.69295957504204</v>
          </cell>
          <cell r="K2061">
            <v>6.8876359999999999E-4</v>
          </cell>
          <cell r="L2061">
            <v>10.032</v>
          </cell>
          <cell r="M2061">
            <v>1.6375</v>
          </cell>
          <cell r="N2061">
            <v>144.79154672043148</v>
          </cell>
          <cell r="O2061">
            <v>158.77539521305303</v>
          </cell>
          <cell r="P2061">
            <v>4.8104229999999998E-2</v>
          </cell>
        </row>
        <row r="2062">
          <cell r="B2062">
            <v>33688</v>
          </cell>
          <cell r="C2062">
            <v>34.838999999999999</v>
          </cell>
          <cell r="D2062">
            <v>6.9541820000000002E-4</v>
          </cell>
          <cell r="E2062">
            <v>9.8339999999999996</v>
          </cell>
          <cell r="F2062">
            <v>1.5356000000000001</v>
          </cell>
          <cell r="J2062">
            <v>208.08167191458702</v>
          </cell>
          <cell r="K2062">
            <v>6.9541820000000002E-4</v>
          </cell>
          <cell r="L2062">
            <v>9.8339999999999996</v>
          </cell>
          <cell r="M2062">
            <v>1.5356000000000001</v>
          </cell>
          <cell r="N2062">
            <v>144.79154672043148</v>
          </cell>
          <cell r="O2062">
            <v>158.77539521305303</v>
          </cell>
          <cell r="P2062">
            <v>4.8104229999999998E-2</v>
          </cell>
        </row>
        <row r="2063">
          <cell r="B2063">
            <v>33689</v>
          </cell>
          <cell r="C2063">
            <v>34.770000000000003</v>
          </cell>
          <cell r="D2063">
            <v>7.0221819999999996E-4</v>
          </cell>
          <cell r="E2063">
            <v>9.98</v>
          </cell>
          <cell r="F2063">
            <v>1.5429999999999999</v>
          </cell>
          <cell r="J2063">
            <v>210.49333849207707</v>
          </cell>
          <cell r="K2063">
            <v>7.0221819999999996E-4</v>
          </cell>
          <cell r="L2063">
            <v>9.98</v>
          </cell>
          <cell r="M2063">
            <v>1.5429999999999999</v>
          </cell>
          <cell r="N2063">
            <v>144.79154672043148</v>
          </cell>
          <cell r="O2063">
            <v>158.77539521305303</v>
          </cell>
          <cell r="P2063">
            <v>4.8104229999999998E-2</v>
          </cell>
        </row>
        <row r="2064">
          <cell r="B2064">
            <v>33690</v>
          </cell>
          <cell r="C2064">
            <v>34.847999999999999</v>
          </cell>
          <cell r="D2064">
            <v>7.0914549999999995E-4</v>
          </cell>
          <cell r="E2064">
            <v>10.489000000000001</v>
          </cell>
          <cell r="F2064">
            <v>1.5973999999999999</v>
          </cell>
          <cell r="J2064">
            <v>212.93842911200105</v>
          </cell>
          <cell r="K2064">
            <v>7.0914549999999995E-4</v>
          </cell>
          <cell r="L2064">
            <v>10.489000000000001</v>
          </cell>
          <cell r="M2064">
            <v>1.5973999999999999</v>
          </cell>
          <cell r="N2064">
            <v>144.79154672043148</v>
          </cell>
          <cell r="O2064">
            <v>158.77539521305303</v>
          </cell>
          <cell r="P2064">
            <v>4.8104229999999998E-2</v>
          </cell>
        </row>
        <row r="2065">
          <cell r="B2065">
            <v>33693</v>
          </cell>
          <cell r="C2065">
            <v>34.799999999999997</v>
          </cell>
          <cell r="D2065">
            <v>7.1614550000000002E-4</v>
          </cell>
          <cell r="E2065">
            <v>10.728999999999999</v>
          </cell>
          <cell r="F2065">
            <v>1.64</v>
          </cell>
          <cell r="J2065">
            <v>215.40851488970026</v>
          </cell>
          <cell r="K2065">
            <v>7.1614550000000002E-4</v>
          </cell>
          <cell r="L2065">
            <v>10.728999999999999</v>
          </cell>
          <cell r="M2065">
            <v>1.64</v>
          </cell>
          <cell r="N2065">
            <v>144.79154672043148</v>
          </cell>
          <cell r="O2065">
            <v>158.77539521305303</v>
          </cell>
          <cell r="P2065">
            <v>4.8104229999999998E-2</v>
          </cell>
        </row>
        <row r="2066">
          <cell r="B2066">
            <v>33694</v>
          </cell>
          <cell r="C2066">
            <v>35.148000000000003</v>
          </cell>
          <cell r="D2066">
            <v>7.2294540000000004E-4</v>
          </cell>
          <cell r="E2066">
            <v>11.587</v>
          </cell>
          <cell r="F2066">
            <v>1.7555000000000001</v>
          </cell>
          <cell r="G2066">
            <v>20.7</v>
          </cell>
          <cell r="H2066">
            <v>21.39</v>
          </cell>
          <cell r="I2066">
            <v>6.0077999999999999E-2</v>
          </cell>
          <cell r="J2066">
            <v>217.93224105014801</v>
          </cell>
          <cell r="K2066">
            <v>7.2294540000000004E-4</v>
          </cell>
          <cell r="L2066">
            <v>11.587</v>
          </cell>
          <cell r="M2066">
            <v>1.7555000000000001</v>
          </cell>
          <cell r="N2066">
            <v>174.7633968915608</v>
          </cell>
          <cell r="O2066">
            <v>192.73745224912508</v>
          </cell>
          <cell r="P2066">
            <v>6.0077999999999999E-2</v>
          </cell>
        </row>
        <row r="2067">
          <cell r="B2067">
            <v>33695</v>
          </cell>
          <cell r="C2067">
            <v>35.198999999999998</v>
          </cell>
          <cell r="D2067">
            <v>7.2987270000000003E-4</v>
          </cell>
          <cell r="E2067">
            <v>12.13</v>
          </cell>
          <cell r="F2067">
            <v>1.7585999999999999</v>
          </cell>
          <cell r="J2067">
            <v>220.48924003438938</v>
          </cell>
          <cell r="K2067">
            <v>7.2987270000000003E-4</v>
          </cell>
          <cell r="L2067">
            <v>12.13</v>
          </cell>
          <cell r="M2067">
            <v>1.7585999999999999</v>
          </cell>
          <cell r="N2067">
            <v>174.7633968915608</v>
          </cell>
          <cell r="O2067">
            <v>192.73745224912508</v>
          </cell>
          <cell r="P2067">
            <v>6.0077999999999999E-2</v>
          </cell>
        </row>
        <row r="2068">
          <cell r="B2068">
            <v>33696</v>
          </cell>
          <cell r="C2068">
            <v>35.19</v>
          </cell>
          <cell r="D2068">
            <v>7.3701820000000005E-4</v>
          </cell>
          <cell r="E2068">
            <v>12.584</v>
          </cell>
          <cell r="F2068">
            <v>1.8219000000000001</v>
          </cell>
          <cell r="J2068">
            <v>223.07557881999278</v>
          </cell>
          <cell r="K2068">
            <v>7.3701820000000005E-4</v>
          </cell>
          <cell r="L2068">
            <v>12.584</v>
          </cell>
          <cell r="M2068">
            <v>1.8219000000000001</v>
          </cell>
          <cell r="N2068">
            <v>174.7633968915608</v>
          </cell>
          <cell r="O2068">
            <v>192.73745224912508</v>
          </cell>
          <cell r="P2068">
            <v>6.0077999999999999E-2</v>
          </cell>
        </row>
        <row r="2069">
          <cell r="B2069">
            <v>33697</v>
          </cell>
          <cell r="C2069">
            <v>35.139000000000003</v>
          </cell>
          <cell r="D2069">
            <v>7.4443630000000001E-4</v>
          </cell>
          <cell r="E2069">
            <v>13.241</v>
          </cell>
          <cell r="F2069">
            <v>1.8991</v>
          </cell>
          <cell r="J2069">
            <v>225.68846307471139</v>
          </cell>
          <cell r="K2069">
            <v>7.4443630000000001E-4</v>
          </cell>
          <cell r="L2069">
            <v>13.241</v>
          </cell>
          <cell r="M2069">
            <v>1.8991</v>
          </cell>
          <cell r="N2069">
            <v>174.7633968915608</v>
          </cell>
          <cell r="O2069">
            <v>192.73745224912508</v>
          </cell>
          <cell r="P2069">
            <v>6.0077999999999999E-2</v>
          </cell>
        </row>
        <row r="2070">
          <cell r="B2070">
            <v>33700</v>
          </cell>
          <cell r="C2070">
            <v>35.177999999999997</v>
          </cell>
          <cell r="D2070">
            <v>7.5199999999999996E-4</v>
          </cell>
          <cell r="E2070">
            <v>13.965999999999999</v>
          </cell>
          <cell r="F2070">
            <v>2.0112999999999999</v>
          </cell>
          <cell r="J2070">
            <v>228.33488599272545</v>
          </cell>
          <cell r="K2070">
            <v>7.5199999999999996E-4</v>
          </cell>
          <cell r="L2070">
            <v>13.965999999999999</v>
          </cell>
          <cell r="M2070">
            <v>2.0112999999999999</v>
          </cell>
          <cell r="N2070">
            <v>174.7633968915608</v>
          </cell>
          <cell r="O2070">
            <v>192.73745224912508</v>
          </cell>
          <cell r="P2070">
            <v>6.0077999999999999E-2</v>
          </cell>
        </row>
        <row r="2071">
          <cell r="B2071">
            <v>33701</v>
          </cell>
          <cell r="C2071">
            <v>35.109000000000002</v>
          </cell>
          <cell r="D2071">
            <v>7.5967280000000003E-4</v>
          </cell>
          <cell r="E2071">
            <v>14.673</v>
          </cell>
          <cell r="F2071">
            <v>2.0648</v>
          </cell>
          <cell r="J2071">
            <v>231.00708916349831</v>
          </cell>
          <cell r="K2071">
            <v>7.5967280000000003E-4</v>
          </cell>
          <cell r="L2071">
            <v>14.673</v>
          </cell>
          <cell r="M2071">
            <v>2.0648</v>
          </cell>
          <cell r="N2071">
            <v>174.7633968915608</v>
          </cell>
          <cell r="O2071">
            <v>192.73745224912508</v>
          </cell>
          <cell r="P2071">
            <v>6.0077999999999999E-2</v>
          </cell>
        </row>
        <row r="2072">
          <cell r="B2072">
            <v>33702</v>
          </cell>
          <cell r="C2072">
            <v>35.01</v>
          </cell>
          <cell r="D2072">
            <v>7.6752730000000005E-4</v>
          </cell>
          <cell r="E2072">
            <v>14.42</v>
          </cell>
          <cell r="F2072">
            <v>1.96</v>
          </cell>
          <cell r="J2072">
            <v>233.70294189403634</v>
          </cell>
          <cell r="K2072">
            <v>7.6752730000000005E-4</v>
          </cell>
          <cell r="L2072">
            <v>14.42</v>
          </cell>
          <cell r="M2072">
            <v>1.96</v>
          </cell>
          <cell r="N2072">
            <v>174.7633968915608</v>
          </cell>
          <cell r="O2072">
            <v>192.73745224912508</v>
          </cell>
          <cell r="P2072">
            <v>6.0077999999999999E-2</v>
          </cell>
        </row>
        <row r="2073">
          <cell r="B2073">
            <v>33703</v>
          </cell>
          <cell r="C2073">
            <v>34.950000000000003</v>
          </cell>
          <cell r="D2073">
            <v>7.7498179999999995E-4</v>
          </cell>
          <cell r="E2073">
            <v>14.726000000000001</v>
          </cell>
          <cell r="F2073">
            <v>2.0268999999999999</v>
          </cell>
          <cell r="J2073">
            <v>236.42558116710185</v>
          </cell>
          <cell r="K2073">
            <v>7.7498179999999995E-4</v>
          </cell>
          <cell r="L2073">
            <v>14.726000000000001</v>
          </cell>
          <cell r="M2073">
            <v>2.0268999999999999</v>
          </cell>
          <cell r="N2073">
            <v>174.7633968915608</v>
          </cell>
          <cell r="O2073">
            <v>192.73745224912508</v>
          </cell>
          <cell r="P2073">
            <v>6.0077999999999999E-2</v>
          </cell>
        </row>
        <row r="2074">
          <cell r="B2074">
            <v>33704</v>
          </cell>
          <cell r="C2074">
            <v>34.850999999999999</v>
          </cell>
          <cell r="D2074">
            <v>7.8267280000000005E-4</v>
          </cell>
          <cell r="E2074">
            <v>15.343999999999999</v>
          </cell>
          <cell r="F2074">
            <v>2.1259000000000001</v>
          </cell>
          <cell r="J2074">
            <v>239.17213714352008</v>
          </cell>
          <cell r="K2074">
            <v>7.8267280000000005E-4</v>
          </cell>
          <cell r="L2074">
            <v>15.343999999999999</v>
          </cell>
          <cell r="M2074">
            <v>2.1259000000000001</v>
          </cell>
          <cell r="N2074">
            <v>174.7633968915608</v>
          </cell>
          <cell r="O2074">
            <v>192.73745224912508</v>
          </cell>
          <cell r="P2074">
            <v>6.0077999999999999E-2</v>
          </cell>
        </row>
        <row r="2075">
          <cell r="B2075">
            <v>33707</v>
          </cell>
          <cell r="C2075">
            <v>34.869</v>
          </cell>
          <cell r="D2075">
            <v>7.9056370000000001E-4</v>
          </cell>
          <cell r="E2075">
            <v>16.184999999999999</v>
          </cell>
          <cell r="F2075">
            <v>2.2031999999999998</v>
          </cell>
          <cell r="J2075">
            <v>241.95203489353921</v>
          </cell>
          <cell r="K2075">
            <v>7.9056370000000001E-4</v>
          </cell>
          <cell r="L2075">
            <v>16.184999999999999</v>
          </cell>
          <cell r="M2075">
            <v>2.2031999999999998</v>
          </cell>
          <cell r="N2075">
            <v>174.7633968915608</v>
          </cell>
          <cell r="O2075">
            <v>192.73745224912508</v>
          </cell>
          <cell r="P2075">
            <v>6.0077999999999999E-2</v>
          </cell>
        </row>
        <row r="2076">
          <cell r="B2076">
            <v>33708</v>
          </cell>
          <cell r="C2076">
            <v>34.628999999999998</v>
          </cell>
          <cell r="D2076">
            <v>7.9854549999999996E-4</v>
          </cell>
          <cell r="E2076">
            <v>16.550999999999998</v>
          </cell>
          <cell r="F2076">
            <v>2.2397999999999998</v>
          </cell>
          <cell r="J2076">
            <v>244.74488723231534</v>
          </cell>
          <cell r="K2076">
            <v>7.9854549999999996E-4</v>
          </cell>
          <cell r="L2076">
            <v>16.550999999999998</v>
          </cell>
          <cell r="M2076">
            <v>2.2397999999999998</v>
          </cell>
          <cell r="N2076">
            <v>174.7633968915608</v>
          </cell>
          <cell r="O2076">
            <v>192.73745224912508</v>
          </cell>
          <cell r="P2076">
            <v>6.0077999999999999E-2</v>
          </cell>
        </row>
        <row r="2077">
          <cell r="B2077">
            <v>33709</v>
          </cell>
          <cell r="C2077">
            <v>34.68</v>
          </cell>
          <cell r="D2077">
            <v>8.0650909999999999E-4</v>
          </cell>
          <cell r="E2077">
            <v>17.172999999999998</v>
          </cell>
          <cell r="F2077">
            <v>2.3675000000000002</v>
          </cell>
          <cell r="J2077">
            <v>247.5741381287209</v>
          </cell>
          <cell r="K2077">
            <v>8.0650909999999999E-4</v>
          </cell>
          <cell r="L2077">
            <v>17.172999999999998</v>
          </cell>
          <cell r="M2077">
            <v>2.3675000000000002</v>
          </cell>
          <cell r="N2077">
            <v>174.7633968915608</v>
          </cell>
          <cell r="O2077">
            <v>192.73745224912508</v>
          </cell>
          <cell r="P2077">
            <v>6.0077999999999999E-2</v>
          </cell>
        </row>
        <row r="2078">
          <cell r="B2078">
            <v>33714</v>
          </cell>
          <cell r="C2078">
            <v>33.219000000000001</v>
          </cell>
          <cell r="D2078">
            <v>8.1454550000000002E-4</v>
          </cell>
          <cell r="E2078">
            <v>17.506</v>
          </cell>
          <cell r="F2078">
            <v>2.3828</v>
          </cell>
          <cell r="J2078">
            <v>250.31552656022026</v>
          </cell>
          <cell r="K2078">
            <v>8.1454550000000002E-4</v>
          </cell>
          <cell r="L2078">
            <v>17.506</v>
          </cell>
          <cell r="M2078">
            <v>2.3828</v>
          </cell>
          <cell r="N2078">
            <v>174.7633968915608</v>
          </cell>
          <cell r="O2078">
            <v>192.73745224912508</v>
          </cell>
          <cell r="P2078">
            <v>6.0077999999999999E-2</v>
          </cell>
        </row>
        <row r="2079">
          <cell r="B2079">
            <v>33716</v>
          </cell>
          <cell r="C2079">
            <v>32.658000000000001</v>
          </cell>
          <cell r="D2079">
            <v>8.2232720000000004E-4</v>
          </cell>
          <cell r="E2079">
            <v>17.686</v>
          </cell>
          <cell r="F2079">
            <v>2.4721000000000002</v>
          </cell>
          <cell r="J2079">
            <v>253.04046138235481</v>
          </cell>
          <cell r="K2079">
            <v>8.2232720000000004E-4</v>
          </cell>
          <cell r="L2079">
            <v>17.686</v>
          </cell>
          <cell r="M2079">
            <v>2.4721000000000002</v>
          </cell>
          <cell r="N2079">
            <v>174.7633968915608</v>
          </cell>
          <cell r="O2079">
            <v>192.73745224912508</v>
          </cell>
          <cell r="P2079">
            <v>6.0077999999999999E-2</v>
          </cell>
        </row>
        <row r="2080">
          <cell r="B2080">
            <v>33717</v>
          </cell>
          <cell r="C2080">
            <v>32.109000000000002</v>
          </cell>
          <cell r="D2080">
            <v>8.3034540000000005E-4</v>
          </cell>
          <cell r="E2080">
            <v>17.544</v>
          </cell>
          <cell r="F2080">
            <v>2.3654000000000002</v>
          </cell>
          <cell r="J2080">
            <v>255.74875344053012</v>
          </cell>
          <cell r="K2080">
            <v>8.3034540000000005E-4</v>
          </cell>
          <cell r="L2080">
            <v>17.544</v>
          </cell>
          <cell r="M2080">
            <v>2.3654000000000002</v>
          </cell>
          <cell r="N2080">
            <v>174.7633968915608</v>
          </cell>
          <cell r="O2080">
            <v>192.73745224912508</v>
          </cell>
          <cell r="P2080">
            <v>6.0077999999999999E-2</v>
          </cell>
        </row>
        <row r="2081">
          <cell r="B2081">
            <v>33718</v>
          </cell>
          <cell r="C2081">
            <v>32.198999999999998</v>
          </cell>
          <cell r="D2081">
            <v>8.3841820000000002E-4</v>
          </cell>
          <cell r="E2081">
            <v>17.184000000000001</v>
          </cell>
          <cell r="F2081">
            <v>2.2810000000000001</v>
          </cell>
          <cell r="J2081">
            <v>258.49370481120735</v>
          </cell>
          <cell r="K2081">
            <v>8.3841820000000002E-4</v>
          </cell>
          <cell r="L2081">
            <v>17.184000000000001</v>
          </cell>
          <cell r="M2081">
            <v>2.2810000000000001</v>
          </cell>
          <cell r="N2081">
            <v>174.7633968915608</v>
          </cell>
          <cell r="O2081">
            <v>192.73745224912508</v>
          </cell>
          <cell r="P2081">
            <v>6.0077999999999999E-2</v>
          </cell>
        </row>
        <row r="2082">
          <cell r="B2082">
            <v>33721</v>
          </cell>
          <cell r="C2082">
            <v>32.130000000000003</v>
          </cell>
          <cell r="D2082">
            <v>8.466182E-4</v>
          </cell>
          <cell r="E2082">
            <v>16.416</v>
          </cell>
          <cell r="F2082">
            <v>2.2126000000000001</v>
          </cell>
          <cell r="J2082">
            <v>261.26217238973538</v>
          </cell>
          <cell r="K2082">
            <v>8.466182E-4</v>
          </cell>
          <cell r="L2082">
            <v>16.416</v>
          </cell>
          <cell r="M2082">
            <v>2.2126000000000001</v>
          </cell>
          <cell r="N2082">
            <v>174.7633968915608</v>
          </cell>
          <cell r="O2082">
            <v>192.73745224912508</v>
          </cell>
          <cell r="P2082">
            <v>6.0077999999999999E-2</v>
          </cell>
        </row>
        <row r="2083">
          <cell r="B2083">
            <v>33722</v>
          </cell>
          <cell r="C2083">
            <v>32.027999999999999</v>
          </cell>
          <cell r="D2083">
            <v>8.5481819999999999E-4</v>
          </cell>
          <cell r="E2083">
            <v>16.734999999999999</v>
          </cell>
          <cell r="F2083">
            <v>2.3473000000000002</v>
          </cell>
          <cell r="J2083">
            <v>264.05140734216815</v>
          </cell>
          <cell r="K2083">
            <v>8.5481819999999999E-4</v>
          </cell>
          <cell r="L2083">
            <v>16.734999999999999</v>
          </cell>
          <cell r="M2083">
            <v>2.3473000000000002</v>
          </cell>
          <cell r="N2083">
            <v>174.7633968915608</v>
          </cell>
          <cell r="O2083">
            <v>192.73745224912508</v>
          </cell>
          <cell r="P2083">
            <v>6.0077999999999999E-2</v>
          </cell>
        </row>
        <row r="2084">
          <cell r="B2084">
            <v>33723</v>
          </cell>
          <cell r="C2084">
            <v>31.928999999999998</v>
          </cell>
          <cell r="D2084">
            <v>8.6300000000000005E-4</v>
          </cell>
          <cell r="E2084">
            <v>16.239000000000001</v>
          </cell>
          <cell r="F2084">
            <v>2.2242999999999999</v>
          </cell>
          <cell r="J2084">
            <v>266.86170647051085</v>
          </cell>
          <cell r="K2084">
            <v>8.6300000000000005E-4</v>
          </cell>
          <cell r="L2084">
            <v>16.239000000000001</v>
          </cell>
          <cell r="M2084">
            <v>2.2242999999999999</v>
          </cell>
          <cell r="N2084">
            <v>174.7633968915608</v>
          </cell>
          <cell r="O2084">
            <v>192.73745224912508</v>
          </cell>
          <cell r="P2084">
            <v>6.0077999999999999E-2</v>
          </cell>
        </row>
        <row r="2085">
          <cell r="B2085">
            <v>33724</v>
          </cell>
          <cell r="C2085">
            <v>31.89</v>
          </cell>
          <cell r="D2085">
            <v>8.7107269999999999E-4</v>
          </cell>
          <cell r="E2085">
            <v>16.414000000000001</v>
          </cell>
          <cell r="F2085">
            <v>2.2574999999999998</v>
          </cell>
          <cell r="G2085">
            <v>18.54</v>
          </cell>
          <cell r="H2085">
            <v>19.940000000000001</v>
          </cell>
          <cell r="I2085">
            <v>7.3106149999999995E-2</v>
          </cell>
          <cell r="J2085">
            <v>269.69844641029238</v>
          </cell>
          <cell r="K2085">
            <v>8.7107269999999999E-4</v>
          </cell>
          <cell r="L2085">
            <v>16.414000000000001</v>
          </cell>
          <cell r="M2085">
            <v>2.2574999999999998</v>
          </cell>
          <cell r="N2085">
            <v>207.16453067525617</v>
          </cell>
          <cell r="O2085">
            <v>231.16930022760064</v>
          </cell>
          <cell r="P2085">
            <v>7.3106149999999995E-2</v>
          </cell>
        </row>
        <row r="2086">
          <cell r="B2086">
            <v>33728</v>
          </cell>
          <cell r="C2086">
            <v>31.959</v>
          </cell>
          <cell r="D2086">
            <v>8.7898179999999998E-4</v>
          </cell>
          <cell r="E2086">
            <v>16.164999999999999</v>
          </cell>
          <cell r="F2086">
            <v>2.2299000000000002</v>
          </cell>
          <cell r="J2086">
            <v>272.57154395990125</v>
          </cell>
          <cell r="K2086">
            <v>8.7898179999999998E-4</v>
          </cell>
          <cell r="L2086">
            <v>16.164999999999999</v>
          </cell>
          <cell r="M2086">
            <v>2.2299000000000002</v>
          </cell>
          <cell r="N2086">
            <v>207.16453067525617</v>
          </cell>
          <cell r="O2086">
            <v>231.16930022760064</v>
          </cell>
          <cell r="P2086">
            <v>7.3106149999999995E-2</v>
          </cell>
        </row>
        <row r="2087">
          <cell r="B2087">
            <v>33729</v>
          </cell>
          <cell r="C2087">
            <v>31.968</v>
          </cell>
          <cell r="D2087">
            <v>8.8663640000000003E-4</v>
          </cell>
          <cell r="E2087">
            <v>16.542999999999999</v>
          </cell>
          <cell r="F2087">
            <v>2.2968999999999999</v>
          </cell>
          <cell r="J2087">
            <v>275.47606633233795</v>
          </cell>
          <cell r="K2087">
            <v>8.8663640000000003E-4</v>
          </cell>
          <cell r="L2087">
            <v>16.542999999999999</v>
          </cell>
          <cell r="M2087">
            <v>2.2968999999999999</v>
          </cell>
          <cell r="N2087">
            <v>207.16453067525617</v>
          </cell>
          <cell r="O2087">
            <v>231.16930022760064</v>
          </cell>
          <cell r="P2087">
            <v>7.3106149999999995E-2</v>
          </cell>
        </row>
        <row r="2088">
          <cell r="B2088">
            <v>33730</v>
          </cell>
          <cell r="C2088">
            <v>31.937999999999999</v>
          </cell>
          <cell r="D2088">
            <v>8.9434539999999998E-4</v>
          </cell>
          <cell r="E2088">
            <v>17.024000000000001</v>
          </cell>
          <cell r="F2088">
            <v>2.3740000000000001</v>
          </cell>
          <cell r="J2088">
            <v>278.40878453451199</v>
          </cell>
          <cell r="K2088">
            <v>8.9434539999999998E-4</v>
          </cell>
          <cell r="L2088">
            <v>17.024000000000001</v>
          </cell>
          <cell r="M2088">
            <v>2.3740000000000001</v>
          </cell>
          <cell r="N2088">
            <v>207.16453067525617</v>
          </cell>
          <cell r="O2088">
            <v>231.16930022760064</v>
          </cell>
          <cell r="P2088">
            <v>7.3106149999999995E-2</v>
          </cell>
        </row>
        <row r="2089">
          <cell r="B2089">
            <v>33731</v>
          </cell>
          <cell r="C2089">
            <v>31.95</v>
          </cell>
          <cell r="D2089">
            <v>9.021818E-4</v>
          </cell>
          <cell r="E2089">
            <v>17.036000000000001</v>
          </cell>
          <cell r="F2089">
            <v>2.4136000000000002</v>
          </cell>
          <cell r="J2089">
            <v>281.37383808980456</v>
          </cell>
          <cell r="K2089">
            <v>9.021818E-4</v>
          </cell>
          <cell r="L2089">
            <v>17.036000000000001</v>
          </cell>
          <cell r="M2089">
            <v>2.4136000000000002</v>
          </cell>
          <cell r="N2089">
            <v>207.16453067525617</v>
          </cell>
          <cell r="O2089">
            <v>231.16930022760064</v>
          </cell>
          <cell r="P2089">
            <v>7.3106149999999995E-2</v>
          </cell>
        </row>
        <row r="2090">
          <cell r="B2090">
            <v>33732</v>
          </cell>
          <cell r="C2090">
            <v>31.98</v>
          </cell>
          <cell r="D2090">
            <v>9.1E-4</v>
          </cell>
          <cell r="E2090">
            <v>17.529</v>
          </cell>
          <cell r="F2090">
            <v>2.5125999999999999</v>
          </cell>
          <cell r="J2090">
            <v>284.37328320384188</v>
          </cell>
          <cell r="K2090">
            <v>9.1E-4</v>
          </cell>
          <cell r="L2090">
            <v>17.529</v>
          </cell>
          <cell r="M2090">
            <v>2.5125999999999999</v>
          </cell>
          <cell r="N2090">
            <v>207.16453067525617</v>
          </cell>
          <cell r="O2090">
            <v>231.16930022760064</v>
          </cell>
          <cell r="P2090">
            <v>7.3106149999999995E-2</v>
          </cell>
        </row>
        <row r="2091">
          <cell r="B2091">
            <v>33735</v>
          </cell>
          <cell r="C2091">
            <v>31.779</v>
          </cell>
          <cell r="D2091">
            <v>9.1796360000000003E-4</v>
          </cell>
          <cell r="E2091">
            <v>18.13</v>
          </cell>
          <cell r="F2091">
            <v>2.6196000000000002</v>
          </cell>
          <cell r="J2091">
            <v>287.3856493928202</v>
          </cell>
          <cell r="K2091">
            <v>9.1796360000000003E-4</v>
          </cell>
          <cell r="L2091">
            <v>18.13</v>
          </cell>
          <cell r="M2091">
            <v>2.6196000000000002</v>
          </cell>
          <cell r="N2091">
            <v>207.16453067525617</v>
          </cell>
          <cell r="O2091">
            <v>231.16930022760064</v>
          </cell>
          <cell r="P2091">
            <v>7.3106149999999995E-2</v>
          </cell>
        </row>
        <row r="2092">
          <cell r="B2092">
            <v>33736</v>
          </cell>
          <cell r="C2092">
            <v>31.53</v>
          </cell>
          <cell r="D2092">
            <v>9.2596360000000001E-4</v>
          </cell>
          <cell r="E2092">
            <v>18.538</v>
          </cell>
          <cell r="F2092">
            <v>2.6844000000000001</v>
          </cell>
          <cell r="J2092">
            <v>290.40607256793874</v>
          </cell>
          <cell r="K2092">
            <v>9.2596360000000001E-4</v>
          </cell>
          <cell r="L2092">
            <v>18.538</v>
          </cell>
          <cell r="M2092">
            <v>2.6844000000000001</v>
          </cell>
          <cell r="N2092">
            <v>207.16453067525617</v>
          </cell>
          <cell r="O2092">
            <v>231.16930022760064</v>
          </cell>
          <cell r="P2092">
            <v>7.3106149999999995E-2</v>
          </cell>
        </row>
        <row r="2093">
          <cell r="B2093">
            <v>33737</v>
          </cell>
          <cell r="C2093">
            <v>31.218</v>
          </cell>
          <cell r="D2093">
            <v>9.3403639999999999E-4</v>
          </cell>
          <cell r="E2093">
            <v>18.907</v>
          </cell>
          <cell r="F2093">
            <v>2.6732999999999998</v>
          </cell>
          <cell r="J2093">
            <v>293.4280381590807</v>
          </cell>
          <cell r="K2093">
            <v>9.3403639999999999E-4</v>
          </cell>
          <cell r="L2093">
            <v>18.907</v>
          </cell>
          <cell r="M2093">
            <v>2.6732999999999998</v>
          </cell>
          <cell r="N2093">
            <v>207.16453067525617</v>
          </cell>
          <cell r="O2093">
            <v>231.16930022760064</v>
          </cell>
          <cell r="P2093">
            <v>7.3106149999999995E-2</v>
          </cell>
        </row>
        <row r="2094">
          <cell r="B2094">
            <v>33738</v>
          </cell>
          <cell r="C2094">
            <v>30.638999999999999</v>
          </cell>
          <cell r="D2094">
            <v>9.4203639999999996E-4</v>
          </cell>
          <cell r="E2094">
            <v>19.173999999999999</v>
          </cell>
          <cell r="F2094">
            <v>2.6974999999999998</v>
          </cell>
          <cell r="J2094">
            <v>296.42481871279938</v>
          </cell>
          <cell r="K2094">
            <v>9.4203639999999996E-4</v>
          </cell>
          <cell r="L2094">
            <v>19.173999999999999</v>
          </cell>
          <cell r="M2094">
            <v>2.6974999999999998</v>
          </cell>
          <cell r="N2094">
            <v>207.16453067525617</v>
          </cell>
          <cell r="O2094">
            <v>231.16930022760064</v>
          </cell>
          <cell r="P2094">
            <v>7.3106149999999995E-2</v>
          </cell>
        </row>
        <row r="2095">
          <cell r="B2095">
            <v>33739</v>
          </cell>
          <cell r="C2095">
            <v>30.879000000000001</v>
          </cell>
          <cell r="D2095">
            <v>9.5009089999999999E-4</v>
          </cell>
          <cell r="E2095">
            <v>19.68</v>
          </cell>
          <cell r="F2095">
            <v>2.7286000000000001</v>
          </cell>
          <cell r="J2095">
            <v>299.47591937181028</v>
          </cell>
          <cell r="K2095">
            <v>9.5009089999999999E-4</v>
          </cell>
          <cell r="L2095">
            <v>19.68</v>
          </cell>
          <cell r="M2095">
            <v>2.7286000000000001</v>
          </cell>
          <cell r="N2095">
            <v>207.16453067525617</v>
          </cell>
          <cell r="O2095">
            <v>231.16930022760064</v>
          </cell>
          <cell r="P2095">
            <v>7.3106149999999995E-2</v>
          </cell>
        </row>
        <row r="2096">
          <cell r="B2096">
            <v>33742</v>
          </cell>
          <cell r="C2096">
            <v>30.69</v>
          </cell>
          <cell r="D2096">
            <v>9.583091E-4</v>
          </cell>
          <cell r="E2096">
            <v>19.297000000000001</v>
          </cell>
          <cell r="F2096">
            <v>2.6042999999999998</v>
          </cell>
          <cell r="J2096">
            <v>302.53955802698391</v>
          </cell>
          <cell r="K2096">
            <v>9.583091E-4</v>
          </cell>
          <cell r="L2096">
            <v>19.297000000000001</v>
          </cell>
          <cell r="M2096">
            <v>2.6042999999999998</v>
          </cell>
          <cell r="N2096">
            <v>207.16453067525617</v>
          </cell>
          <cell r="O2096">
            <v>231.16930022760064</v>
          </cell>
          <cell r="P2096">
            <v>7.3106149999999995E-2</v>
          </cell>
        </row>
        <row r="2097">
          <cell r="B2097">
            <v>33743</v>
          </cell>
          <cell r="C2097">
            <v>30.648</v>
          </cell>
          <cell r="D2097">
            <v>9.6661819999999999E-4</v>
          </cell>
          <cell r="E2097">
            <v>19.606000000000002</v>
          </cell>
          <cell r="F2097">
            <v>2.6960000000000002</v>
          </cell>
          <cell r="J2097">
            <v>305.63030215178759</v>
          </cell>
          <cell r="K2097">
            <v>9.6661819999999999E-4</v>
          </cell>
          <cell r="L2097">
            <v>19.606000000000002</v>
          </cell>
          <cell r="M2097">
            <v>2.6960000000000002</v>
          </cell>
          <cell r="N2097">
            <v>207.16453067525617</v>
          </cell>
          <cell r="O2097">
            <v>231.16930022760064</v>
          </cell>
          <cell r="P2097">
            <v>7.3106149999999995E-2</v>
          </cell>
        </row>
        <row r="2098">
          <cell r="B2098">
            <v>33744</v>
          </cell>
          <cell r="C2098">
            <v>30.579000000000001</v>
          </cell>
          <cell r="D2098">
            <v>9.750545E-4</v>
          </cell>
          <cell r="E2098">
            <v>19.995000000000001</v>
          </cell>
          <cell r="F2098">
            <v>2.7183000000000002</v>
          </cell>
          <cell r="J2098">
            <v>308.74559182162074</v>
          </cell>
          <cell r="K2098">
            <v>9.750545E-4</v>
          </cell>
          <cell r="L2098">
            <v>19.995000000000001</v>
          </cell>
          <cell r="M2098">
            <v>2.7183000000000002</v>
          </cell>
          <cell r="N2098">
            <v>207.16453067525617</v>
          </cell>
          <cell r="O2098">
            <v>231.16930022760064</v>
          </cell>
          <cell r="P2098">
            <v>7.3106149999999995E-2</v>
          </cell>
        </row>
        <row r="2099">
          <cell r="B2099">
            <v>33745</v>
          </cell>
          <cell r="C2099">
            <v>30.489000000000001</v>
          </cell>
          <cell r="D2099">
            <v>9.9240000000000005E-4</v>
          </cell>
          <cell r="E2099">
            <v>19.739000000000001</v>
          </cell>
          <cell r="F2099">
            <v>2.5920999999999998</v>
          </cell>
          <cell r="J2099">
            <v>311.88337327130387</v>
          </cell>
          <cell r="K2099">
            <v>9.9240000000000005E-4</v>
          </cell>
          <cell r="L2099">
            <v>19.739000000000001</v>
          </cell>
          <cell r="M2099">
            <v>2.5920999999999998</v>
          </cell>
          <cell r="N2099">
            <v>207.16453067525617</v>
          </cell>
          <cell r="O2099">
            <v>231.16930022760064</v>
          </cell>
          <cell r="P2099">
            <v>7.3106149999999995E-2</v>
          </cell>
        </row>
        <row r="2100">
          <cell r="B2100">
            <v>33746</v>
          </cell>
          <cell r="C2100">
            <v>30.609000000000002</v>
          </cell>
          <cell r="D2100">
            <v>9.9212730000000009E-4</v>
          </cell>
          <cell r="E2100">
            <v>19.596</v>
          </cell>
          <cell r="F2100">
            <v>2.552</v>
          </cell>
          <cell r="J2100">
            <v>315.06551932879097</v>
          </cell>
          <cell r="K2100">
            <v>9.9212730000000009E-4</v>
          </cell>
          <cell r="L2100">
            <v>19.596</v>
          </cell>
          <cell r="M2100">
            <v>2.552</v>
          </cell>
          <cell r="N2100">
            <v>207.16453067525617</v>
          </cell>
          <cell r="O2100">
            <v>231.16930022760064</v>
          </cell>
          <cell r="P2100">
            <v>7.3106149999999995E-2</v>
          </cell>
        </row>
        <row r="2101">
          <cell r="B2101">
            <v>33749</v>
          </cell>
          <cell r="C2101">
            <v>30.66</v>
          </cell>
          <cell r="D2101">
            <v>1.0007270000000001E-3</v>
          </cell>
          <cell r="E2101">
            <v>18.623999999999999</v>
          </cell>
          <cell r="F2101">
            <v>2.363</v>
          </cell>
          <cell r="J2101">
            <v>318.28548893633121</v>
          </cell>
          <cell r="K2101">
            <v>1.0007270000000001E-3</v>
          </cell>
          <cell r="L2101">
            <v>18.623999999999999</v>
          </cell>
          <cell r="M2101">
            <v>2.363</v>
          </cell>
          <cell r="N2101">
            <v>207.16453067525617</v>
          </cell>
          <cell r="O2101">
            <v>231.16930022760064</v>
          </cell>
          <cell r="P2101">
            <v>7.3106149999999995E-2</v>
          </cell>
        </row>
        <row r="2102">
          <cell r="B2102">
            <v>33750</v>
          </cell>
          <cell r="C2102">
            <v>30.699000000000002</v>
          </cell>
          <cell r="D2102">
            <v>1.009418E-3</v>
          </cell>
          <cell r="E2102">
            <v>18.503</v>
          </cell>
          <cell r="F2102">
            <v>2.3622999999999998</v>
          </cell>
          <cell r="J2102">
            <v>321.54250434461665</v>
          </cell>
          <cell r="K2102">
            <v>1.009418E-3</v>
          </cell>
          <cell r="L2102">
            <v>18.503</v>
          </cell>
          <cell r="M2102">
            <v>2.3622999999999998</v>
          </cell>
          <cell r="N2102">
            <v>207.16453067525617</v>
          </cell>
          <cell r="O2102">
            <v>231.16930022760064</v>
          </cell>
          <cell r="P2102">
            <v>7.3106149999999995E-2</v>
          </cell>
        </row>
        <row r="2103">
          <cell r="B2103">
            <v>33751</v>
          </cell>
          <cell r="C2103">
            <v>30.66</v>
          </cell>
          <cell r="D2103">
            <v>1.018145E-3</v>
          </cell>
          <cell r="E2103">
            <v>19.274999999999999</v>
          </cell>
          <cell r="F2103">
            <v>2.5388000000000002</v>
          </cell>
          <cell r="J2103">
            <v>324.82866873901861</v>
          </cell>
          <cell r="K2103">
            <v>1.018145E-3</v>
          </cell>
          <cell r="L2103">
            <v>19.274999999999999</v>
          </cell>
          <cell r="M2103">
            <v>2.5388000000000002</v>
          </cell>
          <cell r="N2103">
            <v>207.16453067525617</v>
          </cell>
          <cell r="O2103">
            <v>231.16930022760064</v>
          </cell>
          <cell r="P2103">
            <v>7.3106149999999995E-2</v>
          </cell>
        </row>
        <row r="2104">
          <cell r="B2104">
            <v>33752</v>
          </cell>
          <cell r="C2104">
            <v>30.669</v>
          </cell>
          <cell r="D2104">
            <v>1.02709E-3</v>
          </cell>
          <cell r="E2104">
            <v>19.591999999999999</v>
          </cell>
          <cell r="F2104">
            <v>2.4950000000000001</v>
          </cell>
          <cell r="J2104">
            <v>328.14939221953762</v>
          </cell>
          <cell r="K2104">
            <v>1.02709E-3</v>
          </cell>
          <cell r="L2104">
            <v>19.591999999999999</v>
          </cell>
          <cell r="M2104">
            <v>2.4950000000000001</v>
          </cell>
          <cell r="N2104">
            <v>207.16453067525617</v>
          </cell>
          <cell r="O2104">
            <v>231.16930022760064</v>
          </cell>
          <cell r="P2104">
            <v>7.3106149999999995E-2</v>
          </cell>
        </row>
        <row r="2105">
          <cell r="B2105">
            <v>33753</v>
          </cell>
          <cell r="C2105">
            <v>31.2</v>
          </cell>
          <cell r="D2105">
            <v>1.0360359999999999E-3</v>
          </cell>
          <cell r="E2105">
            <v>19.943999999999999</v>
          </cell>
          <cell r="F2105">
            <v>2.5912000000000002</v>
          </cell>
          <cell r="G2105">
            <v>22.45</v>
          </cell>
          <cell r="H2105">
            <v>20.43</v>
          </cell>
          <cell r="I2105">
            <v>8.8026389999999996E-2</v>
          </cell>
          <cell r="J2105">
            <v>331.56214589862077</v>
          </cell>
          <cell r="K2105">
            <v>1.0360359999999999E-3</v>
          </cell>
          <cell r="L2105">
            <v>19.943999999999999</v>
          </cell>
          <cell r="M2105">
            <v>2.5912000000000002</v>
          </cell>
          <cell r="N2105">
            <v>253.67296781185118</v>
          </cell>
          <cell r="O2105">
            <v>278.39718826409944</v>
          </cell>
          <cell r="P2105">
            <v>8.8026389999999996E-2</v>
          </cell>
        </row>
        <row r="2106">
          <cell r="B2106">
            <v>33756</v>
          </cell>
          <cell r="C2106">
            <v>31.32</v>
          </cell>
          <cell r="D2106">
            <v>1.0452720000000001E-3</v>
          </cell>
          <cell r="E2106">
            <v>20.556999999999999</v>
          </cell>
          <cell r="F2106">
            <v>2.7494000000000001</v>
          </cell>
          <cell r="J2106">
            <v>335.0236547018024</v>
          </cell>
          <cell r="K2106">
            <v>1.0452720000000001E-3</v>
          </cell>
          <cell r="L2106">
            <v>20.556999999999999</v>
          </cell>
          <cell r="M2106">
            <v>2.7494000000000001</v>
          </cell>
          <cell r="N2106">
            <v>253.67296781185118</v>
          </cell>
          <cell r="O2106">
            <v>278.39718826409944</v>
          </cell>
          <cell r="P2106">
            <v>8.8026389999999996E-2</v>
          </cell>
        </row>
        <row r="2107">
          <cell r="B2107">
            <v>33757</v>
          </cell>
          <cell r="C2107">
            <v>31.338000000000001</v>
          </cell>
          <cell r="D2107">
            <v>1.0545629999999999E-3</v>
          </cell>
          <cell r="E2107">
            <v>20.972000000000001</v>
          </cell>
          <cell r="F2107">
            <v>2.7324999999999999</v>
          </cell>
          <cell r="J2107">
            <v>338.52331179881742</v>
          </cell>
          <cell r="K2107">
            <v>1.0545629999999999E-3</v>
          </cell>
          <cell r="L2107">
            <v>20.972000000000001</v>
          </cell>
          <cell r="M2107">
            <v>2.7324999999999999</v>
          </cell>
          <cell r="N2107">
            <v>253.67296781185118</v>
          </cell>
          <cell r="O2107">
            <v>278.39718826409944</v>
          </cell>
          <cell r="P2107">
            <v>8.8026389999999996E-2</v>
          </cell>
        </row>
        <row r="2108">
          <cell r="B2108">
            <v>33758</v>
          </cell>
          <cell r="C2108">
            <v>31.35</v>
          </cell>
          <cell r="D2108">
            <v>1.0639810000000001E-3</v>
          </cell>
          <cell r="E2108">
            <v>20.919</v>
          </cell>
          <cell r="F2108">
            <v>2.7063000000000001</v>
          </cell>
          <cell r="J2108">
            <v>342.06088040711506</v>
          </cell>
          <cell r="K2108">
            <v>1.0639810000000001E-3</v>
          </cell>
          <cell r="L2108">
            <v>20.919</v>
          </cell>
          <cell r="M2108">
            <v>2.7063000000000001</v>
          </cell>
          <cell r="N2108">
            <v>253.67296781185118</v>
          </cell>
          <cell r="O2108">
            <v>278.39718826409944</v>
          </cell>
          <cell r="P2108">
            <v>8.8026389999999996E-2</v>
          </cell>
        </row>
        <row r="2109">
          <cell r="B2109">
            <v>33759</v>
          </cell>
          <cell r="C2109">
            <v>31.449000000000002</v>
          </cell>
          <cell r="D2109">
            <v>1.0735090000000001E-3</v>
          </cell>
          <cell r="E2109">
            <v>20.783999999999999</v>
          </cell>
          <cell r="F2109">
            <v>2.6246999999999998</v>
          </cell>
          <cell r="J2109">
            <v>345.64670461642288</v>
          </cell>
          <cell r="K2109">
            <v>1.0735090000000001E-3</v>
          </cell>
          <cell r="L2109">
            <v>20.783999999999999</v>
          </cell>
          <cell r="M2109">
            <v>2.6246999999999998</v>
          </cell>
          <cell r="N2109">
            <v>253.67296781185118</v>
          </cell>
          <cell r="O2109">
            <v>278.39718826409944</v>
          </cell>
          <cell r="P2109">
            <v>8.8026389999999996E-2</v>
          </cell>
        </row>
        <row r="2110">
          <cell r="B2110">
            <v>33760</v>
          </cell>
          <cell r="C2110">
            <v>31.449000000000002</v>
          </cell>
          <cell r="D2110">
            <v>1.0832000000000001E-3</v>
          </cell>
          <cell r="E2110">
            <v>20.56</v>
          </cell>
          <cell r="F2110">
            <v>2.5669</v>
          </cell>
          <cell r="J2110">
            <v>349.27011902091687</v>
          </cell>
          <cell r="K2110">
            <v>1.0832000000000001E-3</v>
          </cell>
          <cell r="L2110">
            <v>20.56</v>
          </cell>
          <cell r="M2110">
            <v>2.5669</v>
          </cell>
          <cell r="N2110">
            <v>253.67296781185118</v>
          </cell>
          <cell r="O2110">
            <v>278.39718826409944</v>
          </cell>
          <cell r="P2110">
            <v>8.8026389999999996E-2</v>
          </cell>
        </row>
        <row r="2111">
          <cell r="B2111">
            <v>33763</v>
          </cell>
          <cell r="C2111">
            <v>31.388999999999999</v>
          </cell>
          <cell r="D2111">
            <v>1.0928000000000001E-3</v>
          </cell>
          <cell r="E2111">
            <v>20.488</v>
          </cell>
          <cell r="F2111">
            <v>2.472</v>
          </cell>
          <cell r="J2111">
            <v>352.92453227623275</v>
          </cell>
          <cell r="K2111">
            <v>1.0928000000000001E-3</v>
          </cell>
          <cell r="L2111">
            <v>20.488</v>
          </cell>
          <cell r="M2111">
            <v>2.472</v>
          </cell>
          <cell r="N2111">
            <v>253.67296781185118</v>
          </cell>
          <cell r="O2111">
            <v>278.39718826409944</v>
          </cell>
          <cell r="P2111">
            <v>8.8026389999999996E-2</v>
          </cell>
        </row>
        <row r="2112">
          <cell r="B2112">
            <v>33764</v>
          </cell>
          <cell r="C2112">
            <v>31.367999999999999</v>
          </cell>
          <cell r="D2112">
            <v>1.102472E-3</v>
          </cell>
          <cell r="E2112">
            <v>20.78</v>
          </cell>
          <cell r="F2112">
            <v>2.5325000000000002</v>
          </cell>
          <cell r="J2112">
            <v>356.61471118571308</v>
          </cell>
          <cell r="K2112">
            <v>1.102472E-3</v>
          </cell>
          <cell r="L2112">
            <v>20.78</v>
          </cell>
          <cell r="M2112">
            <v>2.5325000000000002</v>
          </cell>
          <cell r="N2112">
            <v>253.67296781185118</v>
          </cell>
          <cell r="O2112">
            <v>278.39718826409944</v>
          </cell>
          <cell r="P2112">
            <v>8.8026389999999996E-2</v>
          </cell>
        </row>
        <row r="2113">
          <cell r="B2113">
            <v>33765</v>
          </cell>
          <cell r="C2113">
            <v>31.359000000000002</v>
          </cell>
          <cell r="D2113">
            <v>1.112327E-3</v>
          </cell>
          <cell r="E2113">
            <v>20.728999999999999</v>
          </cell>
          <cell r="F2113">
            <v>2.5428000000000002</v>
          </cell>
          <cell r="J2113">
            <v>360.34240476173733</v>
          </cell>
          <cell r="K2113">
            <v>1.112327E-3</v>
          </cell>
          <cell r="L2113">
            <v>20.728999999999999</v>
          </cell>
          <cell r="M2113">
            <v>2.5428000000000002</v>
          </cell>
          <cell r="N2113">
            <v>253.67296781185118</v>
          </cell>
          <cell r="O2113">
            <v>278.39718826409944</v>
          </cell>
          <cell r="P2113">
            <v>8.8026389999999996E-2</v>
          </cell>
        </row>
        <row r="2114">
          <cell r="B2114">
            <v>33766</v>
          </cell>
          <cell r="C2114">
            <v>31.248000000000001</v>
          </cell>
          <cell r="D2114">
            <v>1.1227629999999999E-3</v>
          </cell>
          <cell r="E2114">
            <v>21.12</v>
          </cell>
          <cell r="F2114">
            <v>2.6501000000000001</v>
          </cell>
          <cell r="J2114">
            <v>364.09573124973559</v>
          </cell>
          <cell r="K2114">
            <v>1.1227629999999999E-3</v>
          </cell>
          <cell r="L2114">
            <v>21.12</v>
          </cell>
          <cell r="M2114">
            <v>2.6501000000000001</v>
          </cell>
          <cell r="N2114">
            <v>253.67296781185118</v>
          </cell>
          <cell r="O2114">
            <v>278.39718826409944</v>
          </cell>
          <cell r="P2114">
            <v>8.8026389999999996E-2</v>
          </cell>
        </row>
        <row r="2115">
          <cell r="B2115">
            <v>33767</v>
          </cell>
          <cell r="C2115">
            <v>31.239000000000001</v>
          </cell>
          <cell r="D2115">
            <v>1.1329809999999999E-3</v>
          </cell>
          <cell r="E2115">
            <v>20.960999999999999</v>
          </cell>
          <cell r="F2115">
            <v>2.5093999999999999</v>
          </cell>
          <cell r="J2115">
            <v>367.88706009923908</v>
          </cell>
          <cell r="K2115">
            <v>1.1329809999999999E-3</v>
          </cell>
          <cell r="L2115">
            <v>20.960999999999999</v>
          </cell>
          <cell r="M2115">
            <v>2.5093999999999999</v>
          </cell>
          <cell r="N2115">
            <v>253.67296781185118</v>
          </cell>
          <cell r="O2115">
            <v>278.39718826409944</v>
          </cell>
          <cell r="P2115">
            <v>8.8026389999999996E-2</v>
          </cell>
        </row>
        <row r="2116">
          <cell r="B2116">
            <v>33770</v>
          </cell>
          <cell r="C2116">
            <v>31.26</v>
          </cell>
          <cell r="D2116">
            <v>1.1433089999999999E-3</v>
          </cell>
          <cell r="E2116">
            <v>20.423999999999999</v>
          </cell>
          <cell r="F2116">
            <v>2.3616999999999999</v>
          </cell>
          <cell r="J2116">
            <v>371.72044326547319</v>
          </cell>
          <cell r="K2116">
            <v>1.1433089999999999E-3</v>
          </cell>
          <cell r="L2116">
            <v>20.423999999999999</v>
          </cell>
          <cell r="M2116">
            <v>2.3616999999999999</v>
          </cell>
          <cell r="N2116">
            <v>253.67296781185118</v>
          </cell>
          <cell r="O2116">
            <v>278.39718826409944</v>
          </cell>
          <cell r="P2116">
            <v>8.8026389999999996E-2</v>
          </cell>
        </row>
        <row r="2117">
          <cell r="B2117">
            <v>33771</v>
          </cell>
          <cell r="C2117">
            <v>31.26</v>
          </cell>
          <cell r="D2117">
            <v>1.1538539999999999E-3</v>
          </cell>
          <cell r="E2117">
            <v>19.870999999999999</v>
          </cell>
          <cell r="F2117">
            <v>2.1865000000000001</v>
          </cell>
          <cell r="J2117">
            <v>375.59377028429947</v>
          </cell>
          <cell r="K2117">
            <v>1.1538539999999999E-3</v>
          </cell>
          <cell r="L2117">
            <v>19.870999999999999</v>
          </cell>
          <cell r="M2117">
            <v>2.1865000000000001</v>
          </cell>
          <cell r="N2117">
            <v>253.67296781185118</v>
          </cell>
          <cell r="O2117">
            <v>278.39718826409944</v>
          </cell>
          <cell r="P2117">
            <v>8.8026389999999996E-2</v>
          </cell>
        </row>
        <row r="2118">
          <cell r="B2118">
            <v>33772</v>
          </cell>
          <cell r="C2118">
            <v>31.268999999999998</v>
          </cell>
          <cell r="D2118">
            <v>1.1646180000000001E-3</v>
          </cell>
          <cell r="E2118">
            <v>19.428999999999998</v>
          </cell>
          <cell r="F2118">
            <v>1.9927999999999999</v>
          </cell>
          <cell r="J2118">
            <v>379.50858415197274</v>
          </cell>
          <cell r="K2118">
            <v>1.1646180000000001E-3</v>
          </cell>
          <cell r="L2118">
            <v>19.428999999999998</v>
          </cell>
          <cell r="M2118">
            <v>1.9927999999999999</v>
          </cell>
          <cell r="N2118">
            <v>253.67296781185118</v>
          </cell>
          <cell r="O2118">
            <v>278.39718826409944</v>
          </cell>
          <cell r="P2118">
            <v>8.8026389999999996E-2</v>
          </cell>
        </row>
        <row r="2119">
          <cell r="B2119">
            <v>33774</v>
          </cell>
          <cell r="C2119">
            <v>31.268999999999998</v>
          </cell>
          <cell r="D2119">
            <v>1.174872E-3</v>
          </cell>
          <cell r="E2119">
            <v>19.834</v>
          </cell>
          <cell r="F2119">
            <v>2.2048999999999999</v>
          </cell>
          <cell r="J2119">
            <v>383.46420212458878</v>
          </cell>
          <cell r="K2119">
            <v>1.174872E-3</v>
          </cell>
          <cell r="L2119">
            <v>19.834</v>
          </cell>
          <cell r="M2119">
            <v>2.2048999999999999</v>
          </cell>
          <cell r="N2119">
            <v>253.67296781185118</v>
          </cell>
          <cell r="O2119">
            <v>278.39718826409944</v>
          </cell>
          <cell r="P2119">
            <v>8.8026389999999996E-2</v>
          </cell>
        </row>
        <row r="2120">
          <cell r="B2120">
            <v>33777</v>
          </cell>
          <cell r="C2120">
            <v>31.248000000000001</v>
          </cell>
          <cell r="D2120">
            <v>1.185509E-3</v>
          </cell>
          <cell r="E2120">
            <v>19.318000000000001</v>
          </cell>
          <cell r="F2120">
            <v>2.0573000000000001</v>
          </cell>
          <cell r="J2120">
            <v>387.45836525391849</v>
          </cell>
          <cell r="K2120">
            <v>1.185509E-3</v>
          </cell>
          <cell r="L2120">
            <v>19.318000000000001</v>
          </cell>
          <cell r="M2120">
            <v>2.0573000000000001</v>
          </cell>
          <cell r="N2120">
            <v>253.67296781185118</v>
          </cell>
          <cell r="O2120">
            <v>278.39718826409944</v>
          </cell>
          <cell r="P2120">
            <v>8.8026389999999996E-2</v>
          </cell>
        </row>
        <row r="2121">
          <cell r="B2121">
            <v>33778</v>
          </cell>
          <cell r="C2121">
            <v>31.11</v>
          </cell>
          <cell r="D2121">
            <v>1.196363E-3</v>
          </cell>
          <cell r="E2121">
            <v>19.190999999999999</v>
          </cell>
          <cell r="F2121">
            <v>2.0560999999999998</v>
          </cell>
          <cell r="J2121">
            <v>391.47630850160164</v>
          </cell>
          <cell r="K2121">
            <v>1.196363E-3</v>
          </cell>
          <cell r="L2121">
            <v>19.190999999999999</v>
          </cell>
          <cell r="M2121">
            <v>2.0560999999999998</v>
          </cell>
          <cell r="N2121">
            <v>253.67296781185118</v>
          </cell>
          <cell r="O2121">
            <v>278.39718826409944</v>
          </cell>
          <cell r="P2121">
            <v>8.8026389999999996E-2</v>
          </cell>
        </row>
        <row r="2122">
          <cell r="B2122">
            <v>33779</v>
          </cell>
          <cell r="C2122">
            <v>30.917999999999999</v>
          </cell>
          <cell r="D2122">
            <v>1.207381E-3</v>
          </cell>
          <cell r="E2122">
            <v>18.934999999999999</v>
          </cell>
          <cell r="F2122">
            <v>1.9784999999999999</v>
          </cell>
          <cell r="J2122">
            <v>395.51086333701909</v>
          </cell>
          <cell r="K2122">
            <v>1.207381E-3</v>
          </cell>
          <cell r="L2122">
            <v>18.934999999999999</v>
          </cell>
          <cell r="M2122">
            <v>1.9784999999999999</v>
          </cell>
          <cell r="N2122">
            <v>253.67296781185118</v>
          </cell>
          <cell r="O2122">
            <v>278.39718826409944</v>
          </cell>
          <cell r="P2122">
            <v>8.8026389999999996E-2</v>
          </cell>
        </row>
        <row r="2123">
          <cell r="B2123">
            <v>33780</v>
          </cell>
          <cell r="C2123">
            <v>30.797999999999998</v>
          </cell>
          <cell r="D2123">
            <v>1.2187089999999999E-3</v>
          </cell>
          <cell r="E2123">
            <v>18.954999999999998</v>
          </cell>
          <cell r="F2123">
            <v>2.1002999999999998</v>
          </cell>
          <cell r="J2123">
            <v>399.57117786003698</v>
          </cell>
          <cell r="K2123">
            <v>1.2187089999999999E-3</v>
          </cell>
          <cell r="L2123">
            <v>18.954999999999998</v>
          </cell>
          <cell r="M2123">
            <v>2.1002999999999998</v>
          </cell>
          <cell r="N2123">
            <v>253.67296781185118</v>
          </cell>
          <cell r="O2123">
            <v>278.39718826409944</v>
          </cell>
          <cell r="P2123">
            <v>8.8026389999999996E-2</v>
          </cell>
        </row>
        <row r="2124">
          <cell r="B2124">
            <v>33781</v>
          </cell>
          <cell r="C2124">
            <v>30.699000000000002</v>
          </cell>
          <cell r="D2124">
            <v>1.230072E-3</v>
          </cell>
          <cell r="E2124">
            <v>19.353999999999999</v>
          </cell>
          <cell r="F2124">
            <v>2.2159</v>
          </cell>
          <cell r="J2124">
            <v>403.6599897230787</v>
          </cell>
          <cell r="K2124">
            <v>1.230072E-3</v>
          </cell>
          <cell r="L2124">
            <v>19.353999999999999</v>
          </cell>
          <cell r="M2124">
            <v>2.2159</v>
          </cell>
          <cell r="N2124">
            <v>253.67296781185118</v>
          </cell>
          <cell r="O2124">
            <v>278.39718826409944</v>
          </cell>
          <cell r="P2124">
            <v>8.8026389999999996E-2</v>
          </cell>
        </row>
        <row r="2125">
          <cell r="B2125">
            <v>33784</v>
          </cell>
          <cell r="C2125">
            <v>30.69</v>
          </cell>
          <cell r="D2125">
            <v>1.2414539999999999E-3</v>
          </cell>
          <cell r="E2125">
            <v>18.484000000000002</v>
          </cell>
          <cell r="F2125">
            <v>1.8880999999999999</v>
          </cell>
          <cell r="J2125">
            <v>407.78943141794576</v>
          </cell>
          <cell r="K2125">
            <v>1.2414539999999999E-3</v>
          </cell>
          <cell r="L2125">
            <v>18.484000000000002</v>
          </cell>
          <cell r="M2125">
            <v>1.8880999999999999</v>
          </cell>
          <cell r="N2125">
            <v>253.67296781185118</v>
          </cell>
          <cell r="O2125">
            <v>278.39718826409944</v>
          </cell>
          <cell r="P2125">
            <v>8.8026389999999996E-2</v>
          </cell>
        </row>
        <row r="2126">
          <cell r="B2126">
            <v>33785</v>
          </cell>
          <cell r="C2126">
            <v>30.518999999999998</v>
          </cell>
          <cell r="D2126">
            <v>1.2532000000000001E-3</v>
          </cell>
          <cell r="E2126">
            <v>19.117000000000001</v>
          </cell>
          <cell r="F2126">
            <v>2.0068999999999999</v>
          </cell>
          <cell r="G2126">
            <v>21.42</v>
          </cell>
          <cell r="H2126">
            <v>23.61</v>
          </cell>
          <cell r="I2126">
            <v>0.10708860000000001</v>
          </cell>
          <cell r="J2126">
            <v>411.93787330376051</v>
          </cell>
          <cell r="K2126">
            <v>1.2532000000000001E-3</v>
          </cell>
          <cell r="L2126">
            <v>19.117000000000001</v>
          </cell>
          <cell r="M2126">
            <v>2.0068999999999999</v>
          </cell>
          <cell r="N2126">
            <v>308.00971751714968</v>
          </cell>
          <cell r="O2126">
            <v>344.12676441325334</v>
          </cell>
          <cell r="P2126">
            <v>0.10708860000000001</v>
          </cell>
        </row>
        <row r="2127">
          <cell r="B2127">
            <v>33786</v>
          </cell>
          <cell r="C2127">
            <v>30.617999999999999</v>
          </cell>
          <cell r="D2127">
            <v>1.2639629999999999E-3</v>
          </cell>
          <cell r="E2127">
            <v>19.167999999999999</v>
          </cell>
          <cell r="F2127">
            <v>2.0223</v>
          </cell>
          <cell r="J2127">
            <v>416.14211123869865</v>
          </cell>
          <cell r="K2127">
            <v>1.2639629999999999E-3</v>
          </cell>
          <cell r="L2127">
            <v>19.167999999999999</v>
          </cell>
          <cell r="M2127">
            <v>2.0223</v>
          </cell>
          <cell r="N2127">
            <v>308.00971751714968</v>
          </cell>
          <cell r="O2127">
            <v>344.12676441325334</v>
          </cell>
          <cell r="P2127">
            <v>0.10708860000000001</v>
          </cell>
        </row>
        <row r="2128">
          <cell r="B2128">
            <v>33787</v>
          </cell>
          <cell r="C2128">
            <v>30.648</v>
          </cell>
          <cell r="D2128">
            <v>1.274872E-3</v>
          </cell>
          <cell r="E2128">
            <v>19.759</v>
          </cell>
          <cell r="F2128">
            <v>2.1633</v>
          </cell>
          <cell r="J2128">
            <v>420.39341904711318</v>
          </cell>
          <cell r="K2128">
            <v>1.274872E-3</v>
          </cell>
          <cell r="L2128">
            <v>19.759</v>
          </cell>
          <cell r="M2128">
            <v>2.1633</v>
          </cell>
          <cell r="N2128">
            <v>308.00971751714968</v>
          </cell>
          <cell r="O2128">
            <v>344.12676441325334</v>
          </cell>
          <cell r="P2128">
            <v>0.10708860000000001</v>
          </cell>
        </row>
        <row r="2129">
          <cell r="B2129">
            <v>33788</v>
          </cell>
          <cell r="C2129">
            <v>30.678000000000001</v>
          </cell>
          <cell r="D2129">
            <v>1.2859270000000001E-3</v>
          </cell>
          <cell r="E2129">
            <v>19.378</v>
          </cell>
          <cell r="F2129">
            <v>2.0284</v>
          </cell>
          <cell r="J2129">
            <v>424.692362150289</v>
          </cell>
          <cell r="K2129">
            <v>1.2859270000000001E-3</v>
          </cell>
          <cell r="L2129">
            <v>19.378</v>
          </cell>
          <cell r="M2129">
            <v>2.0284</v>
          </cell>
          <cell r="N2129">
            <v>308.00971751714968</v>
          </cell>
          <cell r="O2129">
            <v>344.12676441325334</v>
          </cell>
          <cell r="P2129">
            <v>0.10708860000000001</v>
          </cell>
        </row>
        <row r="2130">
          <cell r="B2130">
            <v>33791</v>
          </cell>
          <cell r="C2130">
            <v>30.63</v>
          </cell>
          <cell r="D2130">
            <v>1.2971269999999999E-3</v>
          </cell>
          <cell r="E2130">
            <v>19.516999999999999</v>
          </cell>
          <cell r="F2130">
            <v>2.1377999999999999</v>
          </cell>
          <cell r="J2130">
            <v>429.02847116784346</v>
          </cell>
          <cell r="K2130">
            <v>1.2971269999999999E-3</v>
          </cell>
          <cell r="L2130">
            <v>19.516999999999999</v>
          </cell>
          <cell r="M2130">
            <v>2.1377999999999999</v>
          </cell>
          <cell r="N2130">
            <v>308.00971751714968</v>
          </cell>
          <cell r="O2130">
            <v>344.12676441325334</v>
          </cell>
          <cell r="P2130">
            <v>0.10708860000000001</v>
          </cell>
        </row>
        <row r="2131">
          <cell r="B2131">
            <v>33792</v>
          </cell>
          <cell r="C2131">
            <v>30.6</v>
          </cell>
          <cell r="D2131">
            <v>1.308381E-3</v>
          </cell>
          <cell r="E2131">
            <v>20.111000000000001</v>
          </cell>
          <cell r="F2131">
            <v>2.2612000000000001</v>
          </cell>
          <cell r="J2131">
            <v>433.40456157375547</v>
          </cell>
          <cell r="K2131">
            <v>1.308381E-3</v>
          </cell>
          <cell r="L2131">
            <v>20.111000000000001</v>
          </cell>
          <cell r="M2131">
            <v>2.2612000000000001</v>
          </cell>
          <cell r="N2131">
            <v>308.00971751714968</v>
          </cell>
          <cell r="O2131">
            <v>344.12676441325334</v>
          </cell>
          <cell r="P2131">
            <v>0.10708860000000001</v>
          </cell>
        </row>
        <row r="2132">
          <cell r="B2132">
            <v>33793</v>
          </cell>
          <cell r="C2132">
            <v>30.54</v>
          </cell>
          <cell r="D2132">
            <v>1.319672E-3</v>
          </cell>
          <cell r="E2132">
            <v>20.863</v>
          </cell>
          <cell r="F2132">
            <v>2.4081000000000001</v>
          </cell>
          <cell r="J2132">
            <v>437.81662001057634</v>
          </cell>
          <cell r="K2132">
            <v>1.319672E-3</v>
          </cell>
          <cell r="L2132">
            <v>20.863</v>
          </cell>
          <cell r="M2132">
            <v>2.4081000000000001</v>
          </cell>
          <cell r="N2132">
            <v>308.00971751714968</v>
          </cell>
          <cell r="O2132">
            <v>344.12676441325334</v>
          </cell>
          <cell r="P2132">
            <v>0.10708860000000001</v>
          </cell>
        </row>
        <row r="2133">
          <cell r="B2133">
            <v>33794</v>
          </cell>
          <cell r="C2133">
            <v>30.54</v>
          </cell>
          <cell r="D2133">
            <v>1.3311810000000001E-3</v>
          </cell>
          <cell r="E2133">
            <v>21.309000000000001</v>
          </cell>
          <cell r="F2133">
            <v>2.379</v>
          </cell>
          <cell r="J2133">
            <v>442.27359320228402</v>
          </cell>
          <cell r="K2133">
            <v>1.3311810000000001E-3</v>
          </cell>
          <cell r="L2133">
            <v>21.309000000000001</v>
          </cell>
          <cell r="M2133">
            <v>2.379</v>
          </cell>
          <cell r="N2133">
            <v>308.00971751714968</v>
          </cell>
          <cell r="O2133">
            <v>344.12676441325334</v>
          </cell>
          <cell r="P2133">
            <v>0.10708860000000001</v>
          </cell>
        </row>
        <row r="2134">
          <cell r="B2134">
            <v>33795</v>
          </cell>
          <cell r="C2134">
            <v>30.561</v>
          </cell>
          <cell r="D2134">
            <v>1.3427630000000001E-3</v>
          </cell>
          <cell r="E2134">
            <v>22.283999999999999</v>
          </cell>
          <cell r="F2134">
            <v>2.5956999999999999</v>
          </cell>
          <cell r="J2134">
            <v>446.77903429623564</v>
          </cell>
          <cell r="K2134">
            <v>1.3427630000000001E-3</v>
          </cell>
          <cell r="L2134">
            <v>22.283999999999999</v>
          </cell>
          <cell r="M2134">
            <v>2.5956999999999999</v>
          </cell>
          <cell r="N2134">
            <v>308.00971751714968</v>
          </cell>
          <cell r="O2134">
            <v>344.12676441325334</v>
          </cell>
          <cell r="P2134">
            <v>0.10708860000000001</v>
          </cell>
        </row>
        <row r="2135">
          <cell r="B2135">
            <v>33798</v>
          </cell>
          <cell r="C2135">
            <v>30.548999999999999</v>
          </cell>
          <cell r="D2135">
            <v>1.3544900000000001E-3</v>
          </cell>
          <cell r="E2135">
            <v>23.542000000000002</v>
          </cell>
          <cell r="F2135">
            <v>2.7797999999999998</v>
          </cell>
          <cell r="J2135">
            <v>451.32858520247424</v>
          </cell>
          <cell r="K2135">
            <v>1.3544900000000001E-3</v>
          </cell>
          <cell r="L2135">
            <v>23.542000000000002</v>
          </cell>
          <cell r="M2135">
            <v>2.7797999999999998</v>
          </cell>
          <cell r="N2135">
            <v>308.00971751714968</v>
          </cell>
          <cell r="O2135">
            <v>344.12676441325334</v>
          </cell>
          <cell r="P2135">
            <v>0.10708860000000001</v>
          </cell>
        </row>
        <row r="2136">
          <cell r="B2136">
            <v>33799</v>
          </cell>
          <cell r="C2136">
            <v>30.548999999999999</v>
          </cell>
          <cell r="D2136">
            <v>1.36629E-3</v>
          </cell>
          <cell r="E2136">
            <v>24.59</v>
          </cell>
          <cell r="F2136">
            <v>2.9636999999999998</v>
          </cell>
          <cell r="J2136">
            <v>455.92446418559109</v>
          </cell>
          <cell r="K2136">
            <v>1.36629E-3</v>
          </cell>
          <cell r="L2136">
            <v>24.59</v>
          </cell>
          <cell r="M2136">
            <v>2.9636999999999998</v>
          </cell>
          <cell r="N2136">
            <v>308.00971751714968</v>
          </cell>
          <cell r="O2136">
            <v>344.12676441325334</v>
          </cell>
          <cell r="P2136">
            <v>0.10708860000000001</v>
          </cell>
        </row>
        <row r="2137">
          <cell r="B2137">
            <v>33800</v>
          </cell>
          <cell r="C2137">
            <v>30.51</v>
          </cell>
          <cell r="D2137">
            <v>1.3781450000000001E-3</v>
          </cell>
          <cell r="E2137">
            <v>24.954999999999998</v>
          </cell>
          <cell r="F2137">
            <v>2.9279000000000002</v>
          </cell>
          <cell r="J2137">
            <v>460.56121598635855</v>
          </cell>
          <cell r="K2137">
            <v>1.3781450000000001E-3</v>
          </cell>
          <cell r="L2137">
            <v>24.954999999999998</v>
          </cell>
          <cell r="M2137">
            <v>2.9279000000000002</v>
          </cell>
          <cell r="N2137">
            <v>308.00971751714968</v>
          </cell>
          <cell r="O2137">
            <v>344.12676441325334</v>
          </cell>
          <cell r="P2137">
            <v>0.10708860000000001</v>
          </cell>
        </row>
        <row r="2138">
          <cell r="B2138">
            <v>33801</v>
          </cell>
          <cell r="C2138">
            <v>30.51</v>
          </cell>
          <cell r="D2138">
            <v>1.390145E-3</v>
          </cell>
          <cell r="E2138">
            <v>25.832999999999998</v>
          </cell>
          <cell r="F2138">
            <v>3.0459000000000001</v>
          </cell>
          <cell r="J2138">
            <v>465.24512355293984</v>
          </cell>
          <cell r="K2138">
            <v>1.390145E-3</v>
          </cell>
          <cell r="L2138">
            <v>25.832999999999998</v>
          </cell>
          <cell r="M2138">
            <v>3.0459000000000001</v>
          </cell>
          <cell r="N2138">
            <v>308.00971751714968</v>
          </cell>
          <cell r="O2138">
            <v>344.12676441325334</v>
          </cell>
          <cell r="P2138">
            <v>0.10708860000000001</v>
          </cell>
        </row>
        <row r="2139">
          <cell r="B2139">
            <v>33802</v>
          </cell>
          <cell r="C2139">
            <v>30.489000000000001</v>
          </cell>
          <cell r="D2139">
            <v>1.4022360000000001E-3</v>
          </cell>
          <cell r="E2139">
            <v>25.675999999999998</v>
          </cell>
          <cell r="F2139">
            <v>2.9098000000000002</v>
          </cell>
          <cell r="J2139">
            <v>469.97340974360833</v>
          </cell>
          <cell r="K2139">
            <v>1.4022360000000001E-3</v>
          </cell>
          <cell r="L2139">
            <v>25.675999999999998</v>
          </cell>
          <cell r="M2139">
            <v>2.9098000000000002</v>
          </cell>
          <cell r="N2139">
            <v>308.00971751714968</v>
          </cell>
          <cell r="O2139">
            <v>344.12676441325334</v>
          </cell>
          <cell r="P2139">
            <v>0.10708860000000001</v>
          </cell>
        </row>
        <row r="2140">
          <cell r="B2140">
            <v>33805</v>
          </cell>
          <cell r="C2140">
            <v>30.369</v>
          </cell>
          <cell r="D2140">
            <v>1.414509E-3</v>
          </cell>
          <cell r="E2140">
            <v>24.815000000000001</v>
          </cell>
          <cell r="F2140">
            <v>2.7105999999999999</v>
          </cell>
          <cell r="J2140">
            <v>474.73095057044293</v>
          </cell>
          <cell r="K2140">
            <v>1.414509E-3</v>
          </cell>
          <cell r="L2140">
            <v>24.815000000000001</v>
          </cell>
          <cell r="M2140">
            <v>2.7105999999999999</v>
          </cell>
          <cell r="N2140">
            <v>308.00971751714968</v>
          </cell>
          <cell r="O2140">
            <v>344.12676441325334</v>
          </cell>
          <cell r="P2140">
            <v>0.10708860000000001</v>
          </cell>
        </row>
        <row r="2141">
          <cell r="B2141">
            <v>33806</v>
          </cell>
          <cell r="C2141">
            <v>30.260999999999999</v>
          </cell>
          <cell r="D2141">
            <v>1.4267450000000001E-3</v>
          </cell>
          <cell r="E2141">
            <v>24.834</v>
          </cell>
          <cell r="F2141">
            <v>2.6032999999999999</v>
          </cell>
          <cell r="J2141">
            <v>479.51956166884696</v>
          </cell>
          <cell r="K2141">
            <v>1.4267450000000001E-3</v>
          </cell>
          <cell r="L2141">
            <v>24.834</v>
          </cell>
          <cell r="M2141">
            <v>2.6032999999999999</v>
          </cell>
          <cell r="N2141">
            <v>308.00971751714968</v>
          </cell>
          <cell r="O2141">
            <v>344.12676441325334</v>
          </cell>
          <cell r="P2141">
            <v>0.10708860000000001</v>
          </cell>
        </row>
        <row r="2142">
          <cell r="B2142">
            <v>33807</v>
          </cell>
          <cell r="C2142">
            <v>30.129000000000001</v>
          </cell>
          <cell r="D2142">
            <v>1.4392179999999999E-3</v>
          </cell>
          <cell r="E2142">
            <v>24.52</v>
          </cell>
          <cell r="F2142">
            <v>2.4641000000000002</v>
          </cell>
          <cell r="J2142">
            <v>484.33537662668721</v>
          </cell>
          <cell r="K2142">
            <v>1.4392179999999999E-3</v>
          </cell>
          <cell r="L2142">
            <v>24.52</v>
          </cell>
          <cell r="M2142">
            <v>2.4641000000000002</v>
          </cell>
          <cell r="N2142">
            <v>308.00971751714968</v>
          </cell>
          <cell r="O2142">
            <v>344.12676441325334</v>
          </cell>
          <cell r="P2142">
            <v>0.10708860000000001</v>
          </cell>
        </row>
        <row r="2143">
          <cell r="B2143">
            <v>33808</v>
          </cell>
          <cell r="C2143">
            <v>30.099</v>
          </cell>
          <cell r="D2143">
            <v>1.4516900000000001E-3</v>
          </cell>
          <cell r="E2143">
            <v>24.5</v>
          </cell>
          <cell r="F2143">
            <v>2.5226999999999999</v>
          </cell>
          <cell r="J2143">
            <v>489.19471346038273</v>
          </cell>
          <cell r="K2143">
            <v>1.4516900000000001E-3</v>
          </cell>
          <cell r="L2143">
            <v>24.5</v>
          </cell>
          <cell r="M2143">
            <v>2.5226999999999999</v>
          </cell>
          <cell r="N2143">
            <v>308.00971751714968</v>
          </cell>
          <cell r="O2143">
            <v>344.12676441325334</v>
          </cell>
          <cell r="P2143">
            <v>0.10708860000000001</v>
          </cell>
        </row>
        <row r="2144">
          <cell r="B2144">
            <v>33809</v>
          </cell>
          <cell r="C2144">
            <v>30.129000000000001</v>
          </cell>
          <cell r="D2144">
            <v>1.46429E-3</v>
          </cell>
          <cell r="E2144">
            <v>25.045999999999999</v>
          </cell>
          <cell r="F2144">
            <v>2.6745999999999999</v>
          </cell>
          <cell r="J2144">
            <v>494.10769596766539</v>
          </cell>
          <cell r="K2144">
            <v>1.46429E-3</v>
          </cell>
          <cell r="L2144">
            <v>25.045999999999999</v>
          </cell>
          <cell r="M2144">
            <v>2.6745999999999999</v>
          </cell>
          <cell r="N2144">
            <v>308.00971751714968</v>
          </cell>
          <cell r="O2144">
            <v>344.12676441325334</v>
          </cell>
          <cell r="P2144">
            <v>0.10708860000000001</v>
          </cell>
        </row>
        <row r="2145">
          <cell r="B2145">
            <v>33812</v>
          </cell>
          <cell r="C2145">
            <v>30.170999999999999</v>
          </cell>
          <cell r="D2145">
            <v>1.4770720000000001E-3</v>
          </cell>
          <cell r="E2145">
            <v>25.329000000000001</v>
          </cell>
          <cell r="F2145">
            <v>2.7654999999999998</v>
          </cell>
          <cell r="J2145">
            <v>499.07693706601219</v>
          </cell>
          <cell r="K2145">
            <v>1.4770720000000001E-3</v>
          </cell>
          <cell r="L2145">
            <v>25.329000000000001</v>
          </cell>
          <cell r="M2145">
            <v>2.7654999999999998</v>
          </cell>
          <cell r="N2145">
            <v>308.00971751714968</v>
          </cell>
          <cell r="O2145">
            <v>344.12676441325334</v>
          </cell>
          <cell r="P2145">
            <v>0.10708860000000001</v>
          </cell>
        </row>
        <row r="2146">
          <cell r="B2146">
            <v>33813</v>
          </cell>
          <cell r="C2146">
            <v>30.111000000000001</v>
          </cell>
          <cell r="D2146">
            <v>1.489818E-3</v>
          </cell>
          <cell r="E2146">
            <v>25.995000000000001</v>
          </cell>
          <cell r="F2146">
            <v>2.8401999999999998</v>
          </cell>
          <cell r="J2146">
            <v>504.08617228334379</v>
          </cell>
          <cell r="K2146">
            <v>1.489818E-3</v>
          </cell>
          <cell r="L2146">
            <v>25.995000000000001</v>
          </cell>
          <cell r="M2146">
            <v>2.8401999999999998</v>
          </cell>
          <cell r="N2146">
            <v>308.00971751714968</v>
          </cell>
          <cell r="O2146">
            <v>344.12676441325334</v>
          </cell>
          <cell r="P2146">
            <v>0.10708860000000001</v>
          </cell>
        </row>
        <row r="2147">
          <cell r="B2147">
            <v>33814</v>
          </cell>
          <cell r="C2147">
            <v>30.969000000000001</v>
          </cell>
          <cell r="D2147">
            <v>1.5026900000000001E-3</v>
          </cell>
          <cell r="E2147">
            <v>25.363</v>
          </cell>
          <cell r="F2147">
            <v>2.577</v>
          </cell>
          <cell r="J2147">
            <v>509.28985383982479</v>
          </cell>
          <cell r="K2147">
            <v>1.5026900000000001E-3</v>
          </cell>
          <cell r="L2147">
            <v>25.363</v>
          </cell>
          <cell r="M2147">
            <v>2.577</v>
          </cell>
          <cell r="N2147">
            <v>308.00971751714968</v>
          </cell>
          <cell r="O2147">
            <v>344.12676441325334</v>
          </cell>
          <cell r="P2147">
            <v>0.10708860000000001</v>
          </cell>
        </row>
        <row r="2148">
          <cell r="B2148">
            <v>33815</v>
          </cell>
          <cell r="C2148">
            <v>31.8</v>
          </cell>
          <cell r="D2148">
            <v>1.5161630000000001E-3</v>
          </cell>
          <cell r="E2148">
            <v>25.58</v>
          </cell>
          <cell r="F2148">
            <v>2.677</v>
          </cell>
          <cell r="J2148">
            <v>514.6883262905269</v>
          </cell>
          <cell r="K2148">
            <v>1.5161630000000001E-3</v>
          </cell>
          <cell r="L2148">
            <v>25.58</v>
          </cell>
          <cell r="M2148">
            <v>2.677</v>
          </cell>
          <cell r="N2148">
            <v>308.00971751714968</v>
          </cell>
          <cell r="O2148">
            <v>344.12676441325334</v>
          </cell>
          <cell r="P2148">
            <v>0.10708860000000001</v>
          </cell>
        </row>
        <row r="2149">
          <cell r="B2149">
            <v>33816</v>
          </cell>
          <cell r="C2149">
            <v>32.780999999999999</v>
          </cell>
          <cell r="D2149">
            <v>1.5294180000000001E-3</v>
          </cell>
          <cell r="E2149">
            <v>25.765000000000001</v>
          </cell>
          <cell r="F2149">
            <v>2.68</v>
          </cell>
          <cell r="G2149">
            <v>21.69</v>
          </cell>
          <cell r="H2149">
            <v>21.84</v>
          </cell>
          <cell r="I2149">
            <v>0.1331203</v>
          </cell>
          <cell r="J2149">
            <v>520.31232563190349</v>
          </cell>
          <cell r="K2149">
            <v>1.5294180000000001E-3</v>
          </cell>
          <cell r="L2149">
            <v>25.765000000000001</v>
          </cell>
          <cell r="M2149">
            <v>2.68</v>
          </cell>
          <cell r="N2149">
            <v>374.81702524661949</v>
          </cell>
          <cell r="O2149">
            <v>419.28404976110784</v>
          </cell>
          <cell r="P2149">
            <v>0.1331203</v>
          </cell>
        </row>
        <row r="2150">
          <cell r="B2150">
            <v>33819</v>
          </cell>
          <cell r="C2150">
            <v>32.76</v>
          </cell>
          <cell r="D2150">
            <v>1.54349E-3</v>
          </cell>
          <cell r="E2150">
            <v>25.015999999999998</v>
          </cell>
          <cell r="F2150">
            <v>2.484</v>
          </cell>
          <cell r="J2150">
            <v>525.99413622780389</v>
          </cell>
          <cell r="K2150">
            <v>1.54349E-3</v>
          </cell>
          <cell r="L2150">
            <v>25.015999999999998</v>
          </cell>
          <cell r="M2150">
            <v>2.484</v>
          </cell>
          <cell r="N2150">
            <v>374.81702524661949</v>
          </cell>
          <cell r="O2150">
            <v>419.28404976110784</v>
          </cell>
          <cell r="P2150">
            <v>0.1331203</v>
          </cell>
        </row>
        <row r="2151">
          <cell r="B2151">
            <v>33820</v>
          </cell>
          <cell r="C2151">
            <v>32.729999999999997</v>
          </cell>
          <cell r="D2151">
            <v>1.558109E-3</v>
          </cell>
          <cell r="E2151">
            <v>24.984999999999999</v>
          </cell>
          <cell r="F2151">
            <v>2.5198999999999998</v>
          </cell>
          <cell r="J2151">
            <v>531.73273225404921</v>
          </cell>
          <cell r="K2151">
            <v>1.558109E-3</v>
          </cell>
          <cell r="L2151">
            <v>24.984999999999999</v>
          </cell>
          <cell r="M2151">
            <v>2.5198999999999998</v>
          </cell>
          <cell r="N2151">
            <v>374.81702524661949</v>
          </cell>
          <cell r="O2151">
            <v>419.28404976110784</v>
          </cell>
          <cell r="P2151">
            <v>0.1331203</v>
          </cell>
        </row>
        <row r="2152">
          <cell r="B2152">
            <v>33821</v>
          </cell>
          <cell r="C2152">
            <v>32.709000000000003</v>
          </cell>
          <cell r="D2152">
            <v>1.5731269999999999E-3</v>
          </cell>
          <cell r="E2152">
            <v>24.911000000000001</v>
          </cell>
          <cell r="F2152">
            <v>2.5028000000000001</v>
          </cell>
          <cell r="J2152">
            <v>537.53021423381517</v>
          </cell>
          <cell r="K2152">
            <v>1.5731269999999999E-3</v>
          </cell>
          <cell r="L2152">
            <v>24.911000000000001</v>
          </cell>
          <cell r="M2152">
            <v>2.5028000000000001</v>
          </cell>
          <cell r="N2152">
            <v>374.81702524661949</v>
          </cell>
          <cell r="O2152">
            <v>419.28404976110784</v>
          </cell>
          <cell r="P2152">
            <v>0.1331203</v>
          </cell>
        </row>
        <row r="2153">
          <cell r="B2153">
            <v>33822</v>
          </cell>
          <cell r="C2153">
            <v>32.76</v>
          </cell>
          <cell r="D2153">
            <v>1.587672E-3</v>
          </cell>
          <cell r="E2153">
            <v>25.396000000000001</v>
          </cell>
          <cell r="F2153">
            <v>2.6657999999999999</v>
          </cell>
          <cell r="J2153">
            <v>543.40004417324849</v>
          </cell>
          <cell r="K2153">
            <v>1.587672E-3</v>
          </cell>
          <cell r="L2153">
            <v>25.396000000000001</v>
          </cell>
          <cell r="M2153">
            <v>2.6657999999999999</v>
          </cell>
          <cell r="N2153">
            <v>374.81702524661949</v>
          </cell>
          <cell r="O2153">
            <v>419.28404976110784</v>
          </cell>
          <cell r="P2153">
            <v>0.1331203</v>
          </cell>
        </row>
        <row r="2154">
          <cell r="B2154">
            <v>33823</v>
          </cell>
          <cell r="C2154">
            <v>32.76</v>
          </cell>
          <cell r="D2154">
            <v>1.6025270000000001E-3</v>
          </cell>
          <cell r="E2154">
            <v>26.402000000000001</v>
          </cell>
          <cell r="F2154">
            <v>2.8689</v>
          </cell>
          <cell r="J2154">
            <v>549.33397265562041</v>
          </cell>
          <cell r="K2154">
            <v>1.6025270000000001E-3</v>
          </cell>
          <cell r="L2154">
            <v>26.402000000000001</v>
          </cell>
          <cell r="M2154">
            <v>2.8689</v>
          </cell>
          <cell r="N2154">
            <v>374.81702524661949</v>
          </cell>
          <cell r="O2154">
            <v>419.28404976110784</v>
          </cell>
          <cell r="P2154">
            <v>0.1331203</v>
          </cell>
        </row>
        <row r="2155">
          <cell r="B2155">
            <v>33826</v>
          </cell>
          <cell r="C2155">
            <v>32.750999999999998</v>
          </cell>
          <cell r="D2155">
            <v>1.6177089999999999E-3</v>
          </cell>
          <cell r="E2155">
            <v>27.236000000000001</v>
          </cell>
          <cell r="F2155">
            <v>2.9081999999999999</v>
          </cell>
          <cell r="J2155">
            <v>555.33105163510186</v>
          </cell>
          <cell r="K2155">
            <v>1.6177089999999999E-3</v>
          </cell>
          <cell r="L2155">
            <v>27.236000000000001</v>
          </cell>
          <cell r="M2155">
            <v>2.9081999999999999</v>
          </cell>
          <cell r="N2155">
            <v>374.81702524661949</v>
          </cell>
          <cell r="O2155">
            <v>419.28404976110784</v>
          </cell>
          <cell r="P2155">
            <v>0.1331203</v>
          </cell>
        </row>
        <row r="2156">
          <cell r="B2156">
            <v>33827</v>
          </cell>
          <cell r="C2156">
            <v>32.709000000000003</v>
          </cell>
          <cell r="D2156">
            <v>1.633018E-3</v>
          </cell>
          <cell r="E2156">
            <v>27.663</v>
          </cell>
          <cell r="F2156">
            <v>3.0284</v>
          </cell>
          <cell r="J2156">
            <v>561.38582609107948</v>
          </cell>
          <cell r="K2156">
            <v>1.633018E-3</v>
          </cell>
          <cell r="L2156">
            <v>27.663</v>
          </cell>
          <cell r="M2156">
            <v>3.0284</v>
          </cell>
          <cell r="N2156">
            <v>374.81702524661949</v>
          </cell>
          <cell r="O2156">
            <v>419.28404976110784</v>
          </cell>
          <cell r="P2156">
            <v>0.1331203</v>
          </cell>
        </row>
        <row r="2157">
          <cell r="B2157">
            <v>33828</v>
          </cell>
          <cell r="C2157">
            <v>32.700000000000003</v>
          </cell>
          <cell r="D2157">
            <v>1.648491E-3</v>
          </cell>
          <cell r="E2157">
            <v>28.148</v>
          </cell>
          <cell r="F2157">
            <v>2.9609999999999999</v>
          </cell>
          <cell r="J2157">
            <v>567.50493159547216</v>
          </cell>
          <cell r="K2157">
            <v>1.648491E-3</v>
          </cell>
          <cell r="L2157">
            <v>28.148</v>
          </cell>
          <cell r="M2157">
            <v>2.9609999999999999</v>
          </cell>
          <cell r="N2157">
            <v>374.81702524661949</v>
          </cell>
          <cell r="O2157">
            <v>419.28404976110784</v>
          </cell>
          <cell r="P2157">
            <v>0.1331203</v>
          </cell>
        </row>
        <row r="2158">
          <cell r="B2158">
            <v>33829</v>
          </cell>
          <cell r="C2158">
            <v>32.700000000000003</v>
          </cell>
          <cell r="D2158">
            <v>1.664436E-3</v>
          </cell>
          <cell r="E2158">
            <v>27.451000000000001</v>
          </cell>
          <cell r="F2158">
            <v>2.7610999999999999</v>
          </cell>
          <cell r="J2158">
            <v>573.69073534986273</v>
          </cell>
          <cell r="K2158">
            <v>1.664436E-3</v>
          </cell>
          <cell r="L2158">
            <v>27.451000000000001</v>
          </cell>
          <cell r="M2158">
            <v>2.7610999999999999</v>
          </cell>
          <cell r="N2158">
            <v>374.81702524661949</v>
          </cell>
          <cell r="O2158">
            <v>419.28404976110784</v>
          </cell>
          <cell r="P2158">
            <v>0.1331203</v>
          </cell>
        </row>
        <row r="2159">
          <cell r="B2159">
            <v>33830</v>
          </cell>
          <cell r="C2159">
            <v>32.729999999999997</v>
          </cell>
          <cell r="D2159">
            <v>1.6803269999999999E-3</v>
          </cell>
          <cell r="E2159">
            <v>27.463000000000001</v>
          </cell>
          <cell r="F2159">
            <v>2.7642000000000002</v>
          </cell>
          <cell r="J2159">
            <v>579.94970127252975</v>
          </cell>
          <cell r="K2159">
            <v>1.6803269999999999E-3</v>
          </cell>
          <cell r="L2159">
            <v>27.463000000000001</v>
          </cell>
          <cell r="M2159">
            <v>2.7642000000000002</v>
          </cell>
          <cell r="N2159">
            <v>374.81702524661949</v>
          </cell>
          <cell r="O2159">
            <v>419.28404976110784</v>
          </cell>
          <cell r="P2159">
            <v>0.1331203</v>
          </cell>
        </row>
        <row r="2160">
          <cell r="B2160">
            <v>33833</v>
          </cell>
          <cell r="C2160">
            <v>32.709000000000003</v>
          </cell>
          <cell r="D2160">
            <v>1.696127E-3</v>
          </cell>
          <cell r="E2160">
            <v>27.558</v>
          </cell>
          <cell r="F2160">
            <v>2.7484000000000002</v>
          </cell>
          <cell r="J2160">
            <v>586.27289286550422</v>
          </cell>
          <cell r="K2160">
            <v>1.696127E-3</v>
          </cell>
          <cell r="L2160">
            <v>27.558</v>
          </cell>
          <cell r="M2160">
            <v>2.7484000000000002</v>
          </cell>
          <cell r="N2160">
            <v>374.81702524661949</v>
          </cell>
          <cell r="O2160">
            <v>419.28404976110784</v>
          </cell>
          <cell r="P2160">
            <v>0.1331203</v>
          </cell>
        </row>
        <row r="2161">
          <cell r="B2161">
            <v>33834</v>
          </cell>
          <cell r="C2161">
            <v>32.691000000000003</v>
          </cell>
          <cell r="D2161">
            <v>1.7123819999999999E-3</v>
          </cell>
          <cell r="E2161">
            <v>27.594000000000001</v>
          </cell>
          <cell r="F2161">
            <v>2.7393000000000001</v>
          </cell>
          <cell r="J2161">
            <v>592.66150857905961</v>
          </cell>
          <cell r="K2161">
            <v>1.7123819999999999E-3</v>
          </cell>
          <cell r="L2161">
            <v>27.594000000000001</v>
          </cell>
          <cell r="M2161">
            <v>2.7393000000000001</v>
          </cell>
          <cell r="N2161">
            <v>374.81702524661949</v>
          </cell>
          <cell r="O2161">
            <v>419.28404976110784</v>
          </cell>
          <cell r="P2161">
            <v>0.1331203</v>
          </cell>
        </row>
        <row r="2162">
          <cell r="B2162">
            <v>33835</v>
          </cell>
          <cell r="C2162">
            <v>32.691000000000003</v>
          </cell>
          <cell r="D2162">
            <v>1.7287820000000001E-3</v>
          </cell>
          <cell r="E2162">
            <v>28.463999999999999</v>
          </cell>
          <cell r="F2162">
            <v>2.9214000000000002</v>
          </cell>
          <cell r="J2162">
            <v>599.11974103804562</v>
          </cell>
          <cell r="K2162">
            <v>1.7287820000000001E-3</v>
          </cell>
          <cell r="L2162">
            <v>28.463999999999999</v>
          </cell>
          <cell r="M2162">
            <v>2.9214000000000002</v>
          </cell>
          <cell r="N2162">
            <v>374.81702524661949</v>
          </cell>
          <cell r="O2162">
            <v>419.28404976110784</v>
          </cell>
          <cell r="P2162">
            <v>0.1331203</v>
          </cell>
        </row>
        <row r="2163">
          <cell r="B2163">
            <v>33836</v>
          </cell>
          <cell r="C2163">
            <v>32.67</v>
          </cell>
          <cell r="D2163">
            <v>1.745255E-3</v>
          </cell>
          <cell r="E2163">
            <v>28.372</v>
          </cell>
          <cell r="F2163">
            <v>2.8052000000000001</v>
          </cell>
          <cell r="J2163">
            <v>605.64415501794997</v>
          </cell>
          <cell r="K2163">
            <v>1.745255E-3</v>
          </cell>
          <cell r="L2163">
            <v>28.372</v>
          </cell>
          <cell r="M2163">
            <v>2.8052000000000001</v>
          </cell>
          <cell r="N2163">
            <v>374.81702524661949</v>
          </cell>
          <cell r="O2163">
            <v>419.28404976110784</v>
          </cell>
          <cell r="P2163">
            <v>0.1331203</v>
          </cell>
        </row>
        <row r="2164">
          <cell r="B2164">
            <v>33837</v>
          </cell>
          <cell r="C2164">
            <v>32.619</v>
          </cell>
          <cell r="D2164">
            <v>1.7619999999999999E-3</v>
          </cell>
          <cell r="E2164">
            <v>28.082000000000001</v>
          </cell>
          <cell r="F2164">
            <v>2.7473000000000001</v>
          </cell>
          <cell r="J2164">
            <v>612.2293239154601</v>
          </cell>
          <cell r="K2164">
            <v>1.7619999999999999E-3</v>
          </cell>
          <cell r="L2164">
            <v>28.082000000000001</v>
          </cell>
          <cell r="M2164">
            <v>2.7473000000000001</v>
          </cell>
          <cell r="N2164">
            <v>374.81702524661949</v>
          </cell>
          <cell r="O2164">
            <v>419.28404976110784</v>
          </cell>
          <cell r="P2164">
            <v>0.1331203</v>
          </cell>
        </row>
        <row r="2165">
          <cell r="B2165">
            <v>33840</v>
          </cell>
          <cell r="C2165">
            <v>32.649000000000001</v>
          </cell>
          <cell r="D2165">
            <v>1.778291E-3</v>
          </cell>
          <cell r="E2165">
            <v>28.44</v>
          </cell>
          <cell r="F2165">
            <v>2.8212000000000002</v>
          </cell>
          <cell r="J2165">
            <v>618.89221564763204</v>
          </cell>
          <cell r="K2165">
            <v>1.778291E-3</v>
          </cell>
          <cell r="L2165">
            <v>28.44</v>
          </cell>
          <cell r="M2165">
            <v>2.8212000000000002</v>
          </cell>
          <cell r="N2165">
            <v>374.81702524661949</v>
          </cell>
          <cell r="O2165">
            <v>419.28404976110784</v>
          </cell>
          <cell r="P2165">
            <v>0.1331203</v>
          </cell>
        </row>
        <row r="2166">
          <cell r="B2166">
            <v>33841</v>
          </cell>
          <cell r="C2166">
            <v>32.64</v>
          </cell>
          <cell r="D2166">
            <v>1.7953089999999999E-3</v>
          </cell>
          <cell r="E2166">
            <v>28.998000000000001</v>
          </cell>
          <cell r="F2166">
            <v>2.9674</v>
          </cell>
          <cell r="J2166">
            <v>625.62576295387828</v>
          </cell>
          <cell r="K2166">
            <v>1.7953089999999999E-3</v>
          </cell>
          <cell r="L2166">
            <v>28.998000000000001</v>
          </cell>
          <cell r="M2166">
            <v>2.9674</v>
          </cell>
          <cell r="N2166">
            <v>374.81702524661949</v>
          </cell>
          <cell r="O2166">
            <v>419.28404976110784</v>
          </cell>
          <cell r="P2166">
            <v>0.1331203</v>
          </cell>
        </row>
        <row r="2167">
          <cell r="B2167">
            <v>33842</v>
          </cell>
          <cell r="C2167">
            <v>32.64</v>
          </cell>
          <cell r="D2167">
            <v>1.812073E-3</v>
          </cell>
          <cell r="E2167">
            <v>30.091999999999999</v>
          </cell>
          <cell r="F2167">
            <v>3.1366000000000001</v>
          </cell>
          <cell r="J2167">
            <v>632.43257125481648</v>
          </cell>
          <cell r="K2167">
            <v>1.812073E-3</v>
          </cell>
          <cell r="L2167">
            <v>30.091999999999999</v>
          </cell>
          <cell r="M2167">
            <v>3.1366000000000001</v>
          </cell>
          <cell r="N2167">
            <v>374.81702524661949</v>
          </cell>
          <cell r="O2167">
            <v>419.28404976110784</v>
          </cell>
          <cell r="P2167">
            <v>0.1331203</v>
          </cell>
        </row>
        <row r="2168">
          <cell r="B2168">
            <v>33843</v>
          </cell>
          <cell r="C2168">
            <v>33.119999999999997</v>
          </cell>
          <cell r="D2168">
            <v>1.829055E-3</v>
          </cell>
          <cell r="E2168">
            <v>31.581</v>
          </cell>
          <cell r="F2168">
            <v>3.3235000000000001</v>
          </cell>
          <cell r="J2168">
            <v>639.41462684146961</v>
          </cell>
          <cell r="K2168">
            <v>1.829055E-3</v>
          </cell>
          <cell r="L2168">
            <v>31.581</v>
          </cell>
          <cell r="M2168">
            <v>3.3235000000000001</v>
          </cell>
          <cell r="N2168">
            <v>374.81702524661949</v>
          </cell>
          <cell r="O2168">
            <v>419.28404976110784</v>
          </cell>
          <cell r="P2168">
            <v>0.1331203</v>
          </cell>
        </row>
        <row r="2169">
          <cell r="B2169">
            <v>33844</v>
          </cell>
          <cell r="C2169">
            <v>33.728999999999999</v>
          </cell>
          <cell r="D2169">
            <v>1.8464359999999999E-3</v>
          </cell>
          <cell r="E2169">
            <v>32.356000000000002</v>
          </cell>
          <cell r="F2169">
            <v>3.5015999999999998</v>
          </cell>
          <cell r="J2169">
            <v>646.60356549104813</v>
          </cell>
          <cell r="K2169">
            <v>1.8464359999999999E-3</v>
          </cell>
          <cell r="L2169">
            <v>32.356000000000002</v>
          </cell>
          <cell r="M2169">
            <v>3.5015999999999998</v>
          </cell>
          <cell r="N2169">
            <v>374.81702524661949</v>
          </cell>
          <cell r="O2169">
            <v>419.28404976110784</v>
          </cell>
          <cell r="P2169">
            <v>0.1331203</v>
          </cell>
        </row>
        <row r="2170">
          <cell r="B2170">
            <v>33847</v>
          </cell>
          <cell r="C2170">
            <v>35.148000000000003</v>
          </cell>
          <cell r="D2170">
            <v>1.8647270000000001E-3</v>
          </cell>
          <cell r="E2170">
            <v>31.684000000000001</v>
          </cell>
          <cell r="F2170">
            <v>3.2671000000000001</v>
          </cell>
          <cell r="G2170">
            <v>25.54</v>
          </cell>
          <cell r="H2170">
            <v>24.63</v>
          </cell>
          <cell r="I2170">
            <v>0.164851</v>
          </cell>
          <cell r="J2170">
            <v>654.17917286434124</v>
          </cell>
          <cell r="K2170">
            <v>1.8647270000000001E-3</v>
          </cell>
          <cell r="L2170">
            <v>31.684000000000001</v>
          </cell>
          <cell r="M2170">
            <v>3.2671000000000001</v>
          </cell>
          <cell r="N2170">
            <v>470.54529349460614</v>
          </cell>
          <cell r="O2170">
            <v>522.55371121726864</v>
          </cell>
          <cell r="P2170">
            <v>0.164851</v>
          </cell>
        </row>
        <row r="2171">
          <cell r="B2171">
            <v>33848</v>
          </cell>
          <cell r="C2171">
            <v>35.079000000000001</v>
          </cell>
          <cell r="D2171">
            <v>1.885273E-3</v>
          </cell>
          <cell r="E2171">
            <v>32.020000000000003</v>
          </cell>
          <cell r="F2171">
            <v>3.427</v>
          </cell>
          <cell r="J2171">
            <v>661.82848993264395</v>
          </cell>
          <cell r="K2171">
            <v>1.885273E-3</v>
          </cell>
          <cell r="L2171">
            <v>32.020000000000003</v>
          </cell>
          <cell r="M2171">
            <v>3.427</v>
          </cell>
          <cell r="N2171">
            <v>470.54529349460614</v>
          </cell>
          <cell r="O2171">
            <v>522.55371121726864</v>
          </cell>
          <cell r="P2171">
            <v>0.164851</v>
          </cell>
        </row>
        <row r="2172">
          <cell r="B2172">
            <v>33849</v>
          </cell>
          <cell r="C2172">
            <v>35.079000000000001</v>
          </cell>
          <cell r="D2172">
            <v>1.905145E-3</v>
          </cell>
          <cell r="E2172">
            <v>31.638000000000002</v>
          </cell>
          <cell r="F2172">
            <v>3.2824</v>
          </cell>
          <cell r="J2172">
            <v>669.56725046542635</v>
          </cell>
          <cell r="K2172">
            <v>1.905145E-3</v>
          </cell>
          <cell r="L2172">
            <v>31.638000000000002</v>
          </cell>
          <cell r="M2172">
            <v>3.2824</v>
          </cell>
          <cell r="N2172">
            <v>470.54529349460614</v>
          </cell>
          <cell r="O2172">
            <v>522.55371121726864</v>
          </cell>
          <cell r="P2172">
            <v>0.164851</v>
          </cell>
        </row>
        <row r="2173">
          <cell r="B2173">
            <v>33850</v>
          </cell>
          <cell r="C2173">
            <v>35.159999999999997</v>
          </cell>
          <cell r="D2173">
            <v>1.9252E-3</v>
          </cell>
          <cell r="E2173">
            <v>30.914000000000001</v>
          </cell>
          <cell r="F2173">
            <v>3.0779000000000001</v>
          </cell>
          <cell r="J2173">
            <v>677.41457864088113</v>
          </cell>
          <cell r="K2173">
            <v>1.9252E-3</v>
          </cell>
          <cell r="L2173">
            <v>30.914000000000001</v>
          </cell>
          <cell r="M2173">
            <v>3.0779000000000001</v>
          </cell>
          <cell r="N2173">
            <v>470.54529349460614</v>
          </cell>
          <cell r="O2173">
            <v>522.55371121726864</v>
          </cell>
          <cell r="P2173">
            <v>0.164851</v>
          </cell>
        </row>
        <row r="2174">
          <cell r="B2174">
            <v>33851</v>
          </cell>
          <cell r="C2174">
            <v>35.177999999999997</v>
          </cell>
          <cell r="D2174">
            <v>1.946473E-3</v>
          </cell>
          <cell r="E2174">
            <v>31.213999999999999</v>
          </cell>
          <cell r="F2174">
            <v>3.1429999999999998</v>
          </cell>
          <cell r="J2174">
            <v>685.35794199002407</v>
          </cell>
          <cell r="K2174">
            <v>1.946473E-3</v>
          </cell>
          <cell r="L2174">
            <v>31.213999999999999</v>
          </cell>
          <cell r="M2174">
            <v>3.1429999999999998</v>
          </cell>
          <cell r="N2174">
            <v>470.54529349460614</v>
          </cell>
          <cell r="O2174">
            <v>522.55371121726864</v>
          </cell>
          <cell r="P2174">
            <v>0.164851</v>
          </cell>
        </row>
        <row r="2175">
          <cell r="B2175">
            <v>33855</v>
          </cell>
          <cell r="C2175">
            <v>35.04</v>
          </cell>
          <cell r="D2175">
            <v>1.965891E-3</v>
          </cell>
          <cell r="E2175">
            <v>31.928999999999998</v>
          </cell>
          <cell r="F2175">
            <v>3.3788999999999998</v>
          </cell>
          <cell r="J2175">
            <v>693.36292275246751</v>
          </cell>
          <cell r="K2175">
            <v>1.965891E-3</v>
          </cell>
          <cell r="L2175">
            <v>31.928999999999998</v>
          </cell>
          <cell r="M2175">
            <v>3.3788999999999998</v>
          </cell>
          <cell r="N2175">
            <v>470.54529349460614</v>
          </cell>
          <cell r="O2175">
            <v>522.55371121726864</v>
          </cell>
          <cell r="P2175">
            <v>0.164851</v>
          </cell>
        </row>
        <row r="2176">
          <cell r="B2176">
            <v>33856</v>
          </cell>
          <cell r="C2176">
            <v>35.159999999999997</v>
          </cell>
          <cell r="D2176">
            <v>1.9864180000000002E-3</v>
          </cell>
          <cell r="E2176">
            <v>32.142000000000003</v>
          </cell>
          <cell r="F2176">
            <v>3.4073000000000002</v>
          </cell>
          <cell r="J2176">
            <v>701.48913620712642</v>
          </cell>
          <cell r="K2176">
            <v>1.9864180000000002E-3</v>
          </cell>
          <cell r="L2176">
            <v>32.142000000000003</v>
          </cell>
          <cell r="M2176">
            <v>3.4073000000000002</v>
          </cell>
          <cell r="N2176">
            <v>470.54529349460614</v>
          </cell>
          <cell r="O2176">
            <v>522.55371121726864</v>
          </cell>
          <cell r="P2176">
            <v>0.164851</v>
          </cell>
        </row>
        <row r="2177">
          <cell r="B2177">
            <v>33857</v>
          </cell>
          <cell r="C2177">
            <v>35.07</v>
          </cell>
          <cell r="D2177">
            <v>2.0073460000000001E-3</v>
          </cell>
          <cell r="E2177">
            <v>32.33</v>
          </cell>
          <cell r="F2177">
            <v>3.4058000000000002</v>
          </cell>
          <cell r="J2177">
            <v>709.68954420938769</v>
          </cell>
          <cell r="K2177">
            <v>2.0073460000000001E-3</v>
          </cell>
          <cell r="L2177">
            <v>32.33</v>
          </cell>
          <cell r="M2177">
            <v>3.4058000000000002</v>
          </cell>
          <cell r="N2177">
            <v>470.54529349460614</v>
          </cell>
          <cell r="O2177">
            <v>522.55371121726864</v>
          </cell>
          <cell r="P2177">
            <v>0.164851</v>
          </cell>
        </row>
        <row r="2178">
          <cell r="B2178">
            <v>33858</v>
          </cell>
          <cell r="C2178">
            <v>35.027999999999999</v>
          </cell>
          <cell r="D2178">
            <v>2.028509E-3</v>
          </cell>
          <cell r="E2178">
            <v>32.506</v>
          </cell>
          <cell r="F2178">
            <v>3.4382999999999999</v>
          </cell>
          <cell r="J2178">
            <v>717.97587932757654</v>
          </cell>
          <cell r="K2178">
            <v>2.028509E-3</v>
          </cell>
          <cell r="L2178">
            <v>32.506</v>
          </cell>
          <cell r="M2178">
            <v>3.4382999999999999</v>
          </cell>
          <cell r="N2178">
            <v>470.54529349460614</v>
          </cell>
          <cell r="O2178">
            <v>522.55371121726864</v>
          </cell>
          <cell r="P2178">
            <v>0.164851</v>
          </cell>
        </row>
        <row r="2179">
          <cell r="B2179">
            <v>33861</v>
          </cell>
          <cell r="C2179">
            <v>34.869</v>
          </cell>
          <cell r="D2179">
            <v>2.049927E-3</v>
          </cell>
          <cell r="E2179">
            <v>33.194000000000003</v>
          </cell>
          <cell r="F2179">
            <v>3.5756000000000001</v>
          </cell>
          <cell r="J2179">
            <v>726.32091297300087</v>
          </cell>
          <cell r="K2179">
            <v>2.049927E-3</v>
          </cell>
          <cell r="L2179">
            <v>33.194000000000003</v>
          </cell>
          <cell r="M2179">
            <v>3.5756000000000001</v>
          </cell>
          <cell r="N2179">
            <v>470.54529349460614</v>
          </cell>
          <cell r="O2179">
            <v>522.55371121726864</v>
          </cell>
          <cell r="P2179">
            <v>0.164851</v>
          </cell>
        </row>
        <row r="2180">
          <cell r="B2180">
            <v>33862</v>
          </cell>
          <cell r="C2180">
            <v>34.938000000000002</v>
          </cell>
          <cell r="D2180">
            <v>2.0717819999999999E-3</v>
          </cell>
          <cell r="E2180">
            <v>33.305999999999997</v>
          </cell>
          <cell r="F2180">
            <v>3.5009000000000001</v>
          </cell>
          <cell r="J2180">
            <v>734.77964632548446</v>
          </cell>
          <cell r="K2180">
            <v>2.0717819999999999E-3</v>
          </cell>
          <cell r="L2180">
            <v>33.305999999999997</v>
          </cell>
          <cell r="M2180">
            <v>3.5009000000000001</v>
          </cell>
          <cell r="N2180">
            <v>470.54529349460614</v>
          </cell>
          <cell r="O2180">
            <v>522.55371121726864</v>
          </cell>
          <cell r="P2180">
            <v>0.164851</v>
          </cell>
        </row>
        <row r="2181">
          <cell r="B2181">
            <v>33863</v>
          </cell>
          <cell r="C2181">
            <v>34.979999999999997</v>
          </cell>
          <cell r="D2181">
            <v>2.0939639999999998E-3</v>
          </cell>
          <cell r="E2181">
            <v>33.325000000000003</v>
          </cell>
          <cell r="F2181">
            <v>3.5766</v>
          </cell>
          <cell r="J2181">
            <v>743.34717700163958</v>
          </cell>
          <cell r="K2181">
            <v>2.0939639999999998E-3</v>
          </cell>
          <cell r="L2181">
            <v>33.325000000000003</v>
          </cell>
          <cell r="M2181">
            <v>3.5766</v>
          </cell>
          <cell r="N2181">
            <v>470.54529349460614</v>
          </cell>
          <cell r="O2181">
            <v>522.55371121726864</v>
          </cell>
          <cell r="P2181">
            <v>0.164851</v>
          </cell>
        </row>
        <row r="2182">
          <cell r="B2182">
            <v>33864</v>
          </cell>
          <cell r="C2182">
            <v>34.968000000000004</v>
          </cell>
          <cell r="D2182">
            <v>2.116218E-3</v>
          </cell>
          <cell r="E2182">
            <v>33.5</v>
          </cell>
          <cell r="F2182">
            <v>3.6057999999999999</v>
          </cell>
          <cell r="J2182">
            <v>752.01163169677079</v>
          </cell>
          <cell r="K2182">
            <v>2.116218E-3</v>
          </cell>
          <cell r="L2182">
            <v>33.5</v>
          </cell>
          <cell r="M2182">
            <v>3.6057999999999999</v>
          </cell>
          <cell r="N2182">
            <v>470.54529349460614</v>
          </cell>
          <cell r="O2182">
            <v>522.55371121726864</v>
          </cell>
          <cell r="P2182">
            <v>0.164851</v>
          </cell>
        </row>
        <row r="2183">
          <cell r="B2183">
            <v>33865</v>
          </cell>
          <cell r="C2183">
            <v>34.899000000000001</v>
          </cell>
          <cell r="D2183">
            <v>2.1386729999999998E-3</v>
          </cell>
          <cell r="E2183">
            <v>33.707000000000001</v>
          </cell>
          <cell r="F2183">
            <v>3.6006</v>
          </cell>
          <cell r="J2183">
            <v>760.75978300829934</v>
          </cell>
          <cell r="K2183">
            <v>2.1386729999999998E-3</v>
          </cell>
          <cell r="L2183">
            <v>33.707000000000001</v>
          </cell>
          <cell r="M2183">
            <v>3.6006</v>
          </cell>
          <cell r="N2183">
            <v>470.54529349460614</v>
          </cell>
          <cell r="O2183">
            <v>522.55371121726864</v>
          </cell>
          <cell r="P2183">
            <v>0.164851</v>
          </cell>
        </row>
        <row r="2184">
          <cell r="B2184">
            <v>33868</v>
          </cell>
          <cell r="C2184">
            <v>34.908000000000001</v>
          </cell>
          <cell r="D2184">
            <v>2.1613639999999998E-3</v>
          </cell>
          <cell r="E2184">
            <v>34.395000000000003</v>
          </cell>
          <cell r="F2184">
            <v>3.7875000000000001</v>
          </cell>
          <cell r="J2184">
            <v>769.61198384338388</v>
          </cell>
          <cell r="K2184">
            <v>2.1613639999999998E-3</v>
          </cell>
          <cell r="L2184">
            <v>34.395000000000003</v>
          </cell>
          <cell r="M2184">
            <v>3.7875000000000001</v>
          </cell>
          <cell r="N2184">
            <v>470.54529349460614</v>
          </cell>
          <cell r="O2184">
            <v>522.55371121726864</v>
          </cell>
          <cell r="P2184">
            <v>0.164851</v>
          </cell>
        </row>
        <row r="2185">
          <cell r="B2185">
            <v>33869</v>
          </cell>
          <cell r="C2185">
            <v>34.938000000000002</v>
          </cell>
          <cell r="D2185">
            <v>2.1843090000000002E-3</v>
          </cell>
          <cell r="E2185">
            <v>35.127000000000002</v>
          </cell>
          <cell r="F2185">
            <v>3.7734000000000001</v>
          </cell>
          <cell r="J2185">
            <v>778.574885007224</v>
          </cell>
          <cell r="K2185">
            <v>2.1843090000000002E-3</v>
          </cell>
          <cell r="L2185">
            <v>35.127000000000002</v>
          </cell>
          <cell r="M2185">
            <v>3.7734000000000001</v>
          </cell>
          <cell r="N2185">
            <v>470.54529349460614</v>
          </cell>
          <cell r="O2185">
            <v>522.55371121726864</v>
          </cell>
          <cell r="P2185">
            <v>0.164851</v>
          </cell>
        </row>
        <row r="2186">
          <cell r="B2186">
            <v>33870</v>
          </cell>
          <cell r="C2186">
            <v>34.938000000000002</v>
          </cell>
          <cell r="D2186">
            <v>2.207564E-3</v>
          </cell>
          <cell r="E2186">
            <v>35.808999999999997</v>
          </cell>
          <cell r="F2186">
            <v>3.7507999999999999</v>
          </cell>
          <cell r="J2186">
            <v>787.64216811801816</v>
          </cell>
          <cell r="K2186">
            <v>2.207564E-3</v>
          </cell>
          <cell r="L2186">
            <v>35.808999999999997</v>
          </cell>
          <cell r="M2186">
            <v>3.7507999999999999</v>
          </cell>
          <cell r="N2186">
            <v>470.54529349460614</v>
          </cell>
          <cell r="O2186">
            <v>522.55371121726864</v>
          </cell>
          <cell r="P2186">
            <v>0.164851</v>
          </cell>
        </row>
        <row r="2187">
          <cell r="B2187">
            <v>33871</v>
          </cell>
          <cell r="C2187">
            <v>34.899000000000001</v>
          </cell>
          <cell r="D2187">
            <v>2.232E-3</v>
          </cell>
          <cell r="E2187">
            <v>38.191000000000003</v>
          </cell>
          <cell r="F2187">
            <v>4.2007000000000003</v>
          </cell>
          <cell r="J2187">
            <v>796.80480945973511</v>
          </cell>
          <cell r="K2187">
            <v>2.232E-3</v>
          </cell>
          <cell r="L2187">
            <v>38.191000000000003</v>
          </cell>
          <cell r="M2187">
            <v>4.2007000000000003</v>
          </cell>
          <cell r="N2187">
            <v>470.54529349460614</v>
          </cell>
          <cell r="O2187">
            <v>522.55371121726864</v>
          </cell>
          <cell r="P2187">
            <v>0.164851</v>
          </cell>
        </row>
        <row r="2188">
          <cell r="B2188">
            <v>33872</v>
          </cell>
          <cell r="C2188">
            <v>34.997999999999998</v>
          </cell>
          <cell r="D2188">
            <v>2.2563639999999999E-3</v>
          </cell>
          <cell r="E2188">
            <v>39.511000000000003</v>
          </cell>
          <cell r="F2188">
            <v>4.3769999999999998</v>
          </cell>
          <cell r="J2188">
            <v>806.1003343668923</v>
          </cell>
          <cell r="K2188">
            <v>2.2563639999999999E-3</v>
          </cell>
          <cell r="L2188">
            <v>39.511000000000003</v>
          </cell>
          <cell r="M2188">
            <v>4.3769999999999998</v>
          </cell>
          <cell r="N2188">
            <v>470.54529349460614</v>
          </cell>
          <cell r="O2188">
            <v>522.55371121726864</v>
          </cell>
          <cell r="P2188">
            <v>0.164851</v>
          </cell>
        </row>
        <row r="2189">
          <cell r="B2189">
            <v>33875</v>
          </cell>
          <cell r="C2189">
            <v>35.22</v>
          </cell>
          <cell r="D2189">
            <v>2.2814549999999999E-3</v>
          </cell>
          <cell r="E2189">
            <v>39.070999999999998</v>
          </cell>
          <cell r="F2189">
            <v>4.2065000000000001</v>
          </cell>
          <cell r="J2189">
            <v>815.56395229235966</v>
          </cell>
          <cell r="K2189">
            <v>2.2814549999999999E-3</v>
          </cell>
          <cell r="L2189">
            <v>39.070999999999998</v>
          </cell>
          <cell r="M2189">
            <v>4.2065000000000001</v>
          </cell>
          <cell r="N2189">
            <v>470.54529349460614</v>
          </cell>
          <cell r="O2189">
            <v>522.55371121726864</v>
          </cell>
          <cell r="P2189">
            <v>0.164851</v>
          </cell>
        </row>
        <row r="2190">
          <cell r="B2190">
            <v>33876</v>
          </cell>
          <cell r="C2190">
            <v>35.357999999999997</v>
          </cell>
          <cell r="D2190">
            <v>2.3032730000000002E-3</v>
          </cell>
          <cell r="E2190">
            <v>40.658000000000001</v>
          </cell>
          <cell r="F2190">
            <v>4.5316000000000001</v>
          </cell>
          <cell r="J2190">
            <v>825.17618903407742</v>
          </cell>
          <cell r="K2190">
            <v>2.3032730000000002E-3</v>
          </cell>
          <cell r="L2190">
            <v>40.658000000000001</v>
          </cell>
          <cell r="M2190">
            <v>4.5316000000000001</v>
          </cell>
          <cell r="N2190">
            <v>470.54529349460614</v>
          </cell>
          <cell r="O2190">
            <v>522.55371121726864</v>
          </cell>
          <cell r="P2190">
            <v>0.164851</v>
          </cell>
        </row>
        <row r="2191">
          <cell r="B2191">
            <v>33877</v>
          </cell>
          <cell r="C2191">
            <v>35.829000000000001</v>
          </cell>
          <cell r="D2191">
            <v>2.3272729999999999E-3</v>
          </cell>
          <cell r="E2191">
            <v>41.223999999999997</v>
          </cell>
          <cell r="F2191">
            <v>4.4493999999999998</v>
          </cell>
          <cell r="G2191">
            <v>27.37</v>
          </cell>
          <cell r="H2191">
            <v>25.27</v>
          </cell>
          <cell r="I2191">
            <v>0.20772370000000001</v>
          </cell>
          <cell r="J2191">
            <v>835.0312682597114</v>
          </cell>
          <cell r="K2191">
            <v>2.3272729999999999E-3</v>
          </cell>
          <cell r="L2191">
            <v>41.223999999999997</v>
          </cell>
          <cell r="M2191">
            <v>4.4493999999999998</v>
          </cell>
          <cell r="N2191">
            <v>599.33354032407988</v>
          </cell>
          <cell r="O2191">
            <v>654.60303404187243</v>
          </cell>
          <cell r="P2191">
            <v>0.20772370000000001</v>
          </cell>
        </row>
        <row r="2192">
          <cell r="B2192">
            <v>33878</v>
          </cell>
          <cell r="C2192">
            <v>35.898000000000003</v>
          </cell>
          <cell r="D2192">
            <v>2.352182E-3</v>
          </cell>
          <cell r="E2192">
            <v>42.183</v>
          </cell>
          <cell r="F2192">
            <v>4.6627999999999998</v>
          </cell>
          <cell r="J2192">
            <v>845.02325241570702</v>
          </cell>
          <cell r="K2192">
            <v>2.352182E-3</v>
          </cell>
          <cell r="L2192">
            <v>42.183</v>
          </cell>
          <cell r="M2192">
            <v>4.6627999999999998</v>
          </cell>
          <cell r="N2192">
            <v>599.33354032407988</v>
          </cell>
          <cell r="O2192">
            <v>654.60303404187243</v>
          </cell>
          <cell r="P2192">
            <v>0.20772370000000001</v>
          </cell>
        </row>
        <row r="2193">
          <cell r="B2193">
            <v>33879</v>
          </cell>
          <cell r="C2193">
            <v>35.85</v>
          </cell>
          <cell r="D2193">
            <v>2.3773090000000002E-3</v>
          </cell>
          <cell r="E2193">
            <v>41.668999999999997</v>
          </cell>
          <cell r="F2193">
            <v>4.2916999999999996</v>
          </cell>
          <cell r="J2193">
            <v>855.12128028207462</v>
          </cell>
          <cell r="K2193">
            <v>2.3773090000000002E-3</v>
          </cell>
          <cell r="L2193">
            <v>41.668999999999997</v>
          </cell>
          <cell r="M2193">
            <v>4.2916999999999996</v>
          </cell>
          <cell r="N2193">
            <v>599.33354032407988</v>
          </cell>
          <cell r="O2193">
            <v>654.60303404187243</v>
          </cell>
          <cell r="P2193">
            <v>0.20772370000000001</v>
          </cell>
        </row>
        <row r="2194">
          <cell r="B2194">
            <v>33882</v>
          </cell>
          <cell r="C2194">
            <v>35.909999999999997</v>
          </cell>
          <cell r="D2194">
            <v>2.4026910000000002E-3</v>
          </cell>
          <cell r="E2194">
            <v>40.472999999999999</v>
          </cell>
          <cell r="F2194">
            <v>4.0720999999999998</v>
          </cell>
          <cell r="J2194">
            <v>865.35708200705108</v>
          </cell>
          <cell r="K2194">
            <v>2.4026910000000002E-3</v>
          </cell>
          <cell r="L2194">
            <v>40.472999999999999</v>
          </cell>
          <cell r="M2194">
            <v>4.0720999999999998</v>
          </cell>
          <cell r="N2194">
            <v>599.33354032407988</v>
          </cell>
          <cell r="O2194">
            <v>654.60303404187243</v>
          </cell>
          <cell r="P2194">
            <v>0.20772370000000001</v>
          </cell>
        </row>
        <row r="2195">
          <cell r="B2195">
            <v>33883</v>
          </cell>
          <cell r="C2195">
            <v>35.97</v>
          </cell>
          <cell r="D2195">
            <v>2.4283270000000001E-3</v>
          </cell>
          <cell r="E2195">
            <v>40.857999999999997</v>
          </cell>
          <cell r="F2195">
            <v>3.9599000000000002</v>
          </cell>
          <cell r="J2195">
            <v>875.73271342031558</v>
          </cell>
          <cell r="K2195">
            <v>2.4283270000000001E-3</v>
          </cell>
          <cell r="L2195">
            <v>40.857999999999997</v>
          </cell>
          <cell r="M2195">
            <v>3.9599000000000002</v>
          </cell>
          <cell r="N2195">
            <v>599.33354032407988</v>
          </cell>
          <cell r="O2195">
            <v>654.60303404187243</v>
          </cell>
          <cell r="P2195">
            <v>0.20772370000000001</v>
          </cell>
        </row>
        <row r="2196">
          <cell r="B2196">
            <v>33884</v>
          </cell>
          <cell r="C2196">
            <v>35.898000000000003</v>
          </cell>
          <cell r="D2196">
            <v>2.4542549999999998E-3</v>
          </cell>
          <cell r="E2196">
            <v>40.502000000000002</v>
          </cell>
          <cell r="F2196">
            <v>3.8290999999999999</v>
          </cell>
          <cell r="J2196">
            <v>886.21173106910305</v>
          </cell>
          <cell r="K2196">
            <v>2.4542549999999998E-3</v>
          </cell>
          <cell r="L2196">
            <v>40.502000000000002</v>
          </cell>
          <cell r="M2196">
            <v>3.8290999999999999</v>
          </cell>
          <cell r="N2196">
            <v>599.33354032407988</v>
          </cell>
          <cell r="O2196">
            <v>654.60303404187243</v>
          </cell>
          <cell r="P2196">
            <v>0.20772370000000001</v>
          </cell>
        </row>
        <row r="2197">
          <cell r="B2197">
            <v>33885</v>
          </cell>
          <cell r="C2197">
            <v>35.588999999999999</v>
          </cell>
          <cell r="D2197">
            <v>2.4804359999999999E-3</v>
          </cell>
          <cell r="E2197">
            <v>40.488999999999997</v>
          </cell>
          <cell r="F2197">
            <v>3.8757999999999999</v>
          </cell>
          <cell r="J2197">
            <v>896.72486083477577</v>
          </cell>
          <cell r="K2197">
            <v>2.4804359999999999E-3</v>
          </cell>
          <cell r="L2197">
            <v>40.488999999999997</v>
          </cell>
          <cell r="M2197">
            <v>3.8757999999999999</v>
          </cell>
          <cell r="N2197">
            <v>599.33354032407988</v>
          </cell>
          <cell r="O2197">
            <v>654.60303404187243</v>
          </cell>
          <cell r="P2197">
            <v>0.20772370000000001</v>
          </cell>
        </row>
        <row r="2198">
          <cell r="B2198">
            <v>33886</v>
          </cell>
          <cell r="C2198">
            <v>35.387999999999998</v>
          </cell>
          <cell r="D2198">
            <v>2.506982E-3</v>
          </cell>
          <cell r="E2198">
            <v>40.789000000000001</v>
          </cell>
          <cell r="F2198">
            <v>3.9756999999999998</v>
          </cell>
          <cell r="J2198">
            <v>907.3026272931827</v>
          </cell>
          <cell r="K2198">
            <v>2.506982E-3</v>
          </cell>
          <cell r="L2198">
            <v>40.789000000000001</v>
          </cell>
          <cell r="M2198">
            <v>3.9756999999999998</v>
          </cell>
          <cell r="N2198">
            <v>599.33354032407988</v>
          </cell>
          <cell r="O2198">
            <v>654.60303404187243</v>
          </cell>
          <cell r="P2198">
            <v>0.20772370000000001</v>
          </cell>
        </row>
        <row r="2199">
          <cell r="B2199">
            <v>33890</v>
          </cell>
          <cell r="C2199">
            <v>35.46</v>
          </cell>
          <cell r="D2199">
            <v>2.5338180000000002E-3</v>
          </cell>
          <cell r="E2199">
            <v>40.756999999999998</v>
          </cell>
          <cell r="F2199">
            <v>3.8222</v>
          </cell>
          <cell r="J2199">
            <v>918.02694434778812</v>
          </cell>
          <cell r="K2199">
            <v>2.5338180000000002E-3</v>
          </cell>
          <cell r="L2199">
            <v>40.756999999999998</v>
          </cell>
          <cell r="M2199">
            <v>3.8222</v>
          </cell>
          <cell r="N2199">
            <v>599.33354032407988</v>
          </cell>
          <cell r="O2199">
            <v>654.60303404187243</v>
          </cell>
          <cell r="P2199">
            <v>0.20772370000000001</v>
          </cell>
        </row>
        <row r="2200">
          <cell r="B2200">
            <v>33891</v>
          </cell>
          <cell r="C2200">
            <v>35.520000000000003</v>
          </cell>
          <cell r="D2200">
            <v>2.5609449999999998E-3</v>
          </cell>
          <cell r="E2200">
            <v>41.15</v>
          </cell>
          <cell r="F2200">
            <v>3.8435999999999999</v>
          </cell>
          <cell r="J2200">
            <v>928.89638336886594</v>
          </cell>
          <cell r="K2200">
            <v>2.5609449999999998E-3</v>
          </cell>
          <cell r="L2200">
            <v>41.15</v>
          </cell>
          <cell r="M2200">
            <v>3.8435999999999999</v>
          </cell>
          <cell r="N2200">
            <v>599.33354032407988</v>
          </cell>
          <cell r="O2200">
            <v>654.60303404187243</v>
          </cell>
          <cell r="P2200">
            <v>0.20772370000000001</v>
          </cell>
        </row>
        <row r="2201">
          <cell r="B2201">
            <v>33892</v>
          </cell>
          <cell r="C2201">
            <v>35.508000000000003</v>
          </cell>
          <cell r="D2201">
            <v>2.5883999999999998E-3</v>
          </cell>
          <cell r="E2201">
            <v>40.216999999999999</v>
          </cell>
          <cell r="F2201">
            <v>3.6880999999999999</v>
          </cell>
          <cell r="J2201">
            <v>939.8908009624198</v>
          </cell>
          <cell r="K2201">
            <v>2.5883999999999998E-3</v>
          </cell>
          <cell r="L2201">
            <v>40.216999999999999</v>
          </cell>
          <cell r="M2201">
            <v>3.6880999999999999</v>
          </cell>
          <cell r="N2201">
            <v>599.33354032407988</v>
          </cell>
          <cell r="O2201">
            <v>654.60303404187243</v>
          </cell>
          <cell r="P2201">
            <v>0.20772370000000001</v>
          </cell>
        </row>
        <row r="2202">
          <cell r="B2202">
            <v>33893</v>
          </cell>
          <cell r="C2202">
            <v>35.49</v>
          </cell>
          <cell r="D2202">
            <v>2.6161449999999998E-3</v>
          </cell>
          <cell r="E2202">
            <v>40.314</v>
          </cell>
          <cell r="F2202">
            <v>3.6907000000000001</v>
          </cell>
          <cell r="J2202">
            <v>951.0097091378052</v>
          </cell>
          <cell r="K2202">
            <v>2.6161449999999998E-3</v>
          </cell>
          <cell r="L2202">
            <v>40.314</v>
          </cell>
          <cell r="M2202">
            <v>3.6907000000000001</v>
          </cell>
          <cell r="N2202">
            <v>599.33354032407988</v>
          </cell>
          <cell r="O2202">
            <v>654.60303404187243</v>
          </cell>
          <cell r="P2202">
            <v>0.20772370000000001</v>
          </cell>
        </row>
        <row r="2203">
          <cell r="B2203">
            <v>33896</v>
          </cell>
          <cell r="C2203">
            <v>35.4</v>
          </cell>
          <cell r="D2203">
            <v>2.644291E-3</v>
          </cell>
          <cell r="E2203">
            <v>41.11</v>
          </cell>
          <cell r="F2203">
            <v>3.9641999999999999</v>
          </cell>
          <cell r="J2203">
            <v>962.23162370563136</v>
          </cell>
          <cell r="K2203">
            <v>2.644291E-3</v>
          </cell>
          <cell r="L2203">
            <v>41.11</v>
          </cell>
          <cell r="M2203">
            <v>3.9641999999999999</v>
          </cell>
          <cell r="N2203">
            <v>599.33354032407988</v>
          </cell>
          <cell r="O2203">
            <v>654.60303404187243</v>
          </cell>
          <cell r="P2203">
            <v>0.20772370000000001</v>
          </cell>
        </row>
        <row r="2204">
          <cell r="B2204">
            <v>33897</v>
          </cell>
          <cell r="C2204">
            <v>35.31</v>
          </cell>
          <cell r="D2204">
            <v>2.6727640000000002E-3</v>
          </cell>
          <cell r="E2204">
            <v>41.41</v>
          </cell>
          <cell r="F2204">
            <v>3.8378000000000001</v>
          </cell>
          <cell r="J2204">
            <v>973.55708991664665</v>
          </cell>
          <cell r="K2204">
            <v>2.6727640000000002E-3</v>
          </cell>
          <cell r="L2204">
            <v>41.41</v>
          </cell>
          <cell r="M2204">
            <v>3.8378000000000001</v>
          </cell>
          <cell r="N2204">
            <v>599.33354032407988</v>
          </cell>
          <cell r="O2204">
            <v>654.60303404187243</v>
          </cell>
          <cell r="P2204">
            <v>0.20772370000000001</v>
          </cell>
        </row>
        <row r="2205">
          <cell r="B2205">
            <v>33898</v>
          </cell>
          <cell r="C2205">
            <v>35.319000000000003</v>
          </cell>
          <cell r="D2205">
            <v>2.7016729999999999E-3</v>
          </cell>
          <cell r="E2205">
            <v>41.332999999999998</v>
          </cell>
          <cell r="F2205">
            <v>3.794</v>
          </cell>
          <cell r="J2205">
            <v>985.01877753623535</v>
          </cell>
          <cell r="K2205">
            <v>2.7016729999999999E-3</v>
          </cell>
          <cell r="L2205">
            <v>41.332999999999998</v>
          </cell>
          <cell r="M2205">
            <v>3.794</v>
          </cell>
          <cell r="N2205">
            <v>599.33354032407988</v>
          </cell>
          <cell r="O2205">
            <v>654.60303404187243</v>
          </cell>
          <cell r="P2205">
            <v>0.20772370000000001</v>
          </cell>
        </row>
        <row r="2206">
          <cell r="B2206">
            <v>33899</v>
          </cell>
          <cell r="C2206">
            <v>35.31</v>
          </cell>
          <cell r="D2206">
            <v>2.7310910000000002E-3</v>
          </cell>
          <cell r="E2206">
            <v>42.189</v>
          </cell>
          <cell r="F2206">
            <v>3.9194</v>
          </cell>
          <cell r="J2206">
            <v>996.61244854783695</v>
          </cell>
          <cell r="K2206">
            <v>2.7310910000000002E-3</v>
          </cell>
          <cell r="L2206">
            <v>42.189</v>
          </cell>
          <cell r="M2206">
            <v>3.9194</v>
          </cell>
          <cell r="N2206">
            <v>599.33354032407988</v>
          </cell>
          <cell r="O2206">
            <v>654.60303404187243</v>
          </cell>
          <cell r="P2206">
            <v>0.20772370000000001</v>
          </cell>
        </row>
        <row r="2207">
          <cell r="B2207">
            <v>33900</v>
          </cell>
          <cell r="C2207">
            <v>35.319000000000003</v>
          </cell>
          <cell r="D2207">
            <v>2.7612359999999998E-3</v>
          </cell>
          <cell r="E2207">
            <v>43.148000000000003</v>
          </cell>
          <cell r="F2207">
            <v>4.2260999999999997</v>
          </cell>
          <cell r="J2207">
            <v>1008.3455669045907</v>
          </cell>
          <cell r="K2207">
            <v>2.7612359999999998E-3</v>
          </cell>
          <cell r="L2207">
            <v>43.148000000000003</v>
          </cell>
          <cell r="M2207">
            <v>4.2260999999999997</v>
          </cell>
          <cell r="N2207">
            <v>599.33354032407988</v>
          </cell>
          <cell r="O2207">
            <v>654.60303404187243</v>
          </cell>
          <cell r="P2207">
            <v>0.20772370000000001</v>
          </cell>
        </row>
        <row r="2208">
          <cell r="B2208">
            <v>33903</v>
          </cell>
          <cell r="C2208">
            <v>35.369999999999997</v>
          </cell>
          <cell r="D2208">
            <v>2.7925089999999999E-3</v>
          </cell>
          <cell r="E2208">
            <v>44.558999999999997</v>
          </cell>
          <cell r="F2208">
            <v>4.4535999999999998</v>
          </cell>
          <cell r="J2208">
            <v>1020.2339611383958</v>
          </cell>
          <cell r="K2208">
            <v>2.7925089999999999E-3</v>
          </cell>
          <cell r="L2208">
            <v>44.558999999999997</v>
          </cell>
          <cell r="M2208">
            <v>4.4535999999999998</v>
          </cell>
          <cell r="N2208">
            <v>599.33354032407988</v>
          </cell>
          <cell r="O2208">
            <v>654.60303404187243</v>
          </cell>
          <cell r="P2208">
            <v>0.20772370000000001</v>
          </cell>
        </row>
        <row r="2209">
          <cell r="B2209">
            <v>33904</v>
          </cell>
          <cell r="C2209">
            <v>31.619</v>
          </cell>
          <cell r="D2209">
            <v>2.8241820000000002E-3</v>
          </cell>
          <cell r="E2209">
            <v>44.94</v>
          </cell>
          <cell r="F2209">
            <v>4.3259999999999996</v>
          </cell>
          <cell r="J2209">
            <v>1030.9868870108073</v>
          </cell>
          <cell r="K2209">
            <v>2.8241820000000002E-3</v>
          </cell>
          <cell r="L2209">
            <v>44.94</v>
          </cell>
          <cell r="M2209">
            <v>4.3259999999999996</v>
          </cell>
          <cell r="N2209">
            <v>599.33354032407988</v>
          </cell>
          <cell r="O2209">
            <v>654.60303404187243</v>
          </cell>
          <cell r="P2209">
            <v>0.20772370000000001</v>
          </cell>
        </row>
        <row r="2210">
          <cell r="B2210">
            <v>33905</v>
          </cell>
          <cell r="C2210">
            <v>36</v>
          </cell>
          <cell r="D2210">
            <v>2.8562180000000002E-3</v>
          </cell>
          <cell r="E2210">
            <v>45.640999999999998</v>
          </cell>
          <cell r="F2210">
            <v>4.3452999999999999</v>
          </cell>
          <cell r="J2210">
            <v>1043.358729654937</v>
          </cell>
          <cell r="K2210">
            <v>2.8562180000000002E-3</v>
          </cell>
          <cell r="L2210">
            <v>45.640999999999998</v>
          </cell>
          <cell r="M2210">
            <v>4.3452999999999999</v>
          </cell>
          <cell r="N2210">
            <v>599.33354032407988</v>
          </cell>
          <cell r="O2210">
            <v>654.60303404187243</v>
          </cell>
          <cell r="P2210">
            <v>0.20772370000000001</v>
          </cell>
        </row>
        <row r="2211">
          <cell r="B2211">
            <v>33906</v>
          </cell>
          <cell r="C2211">
            <v>36.378</v>
          </cell>
          <cell r="D2211">
            <v>2.8886179999999999E-3</v>
          </cell>
          <cell r="E2211">
            <v>46.720999999999997</v>
          </cell>
          <cell r="F2211">
            <v>4.5072000000000001</v>
          </cell>
          <cell r="J2211">
            <v>1056.0104976107327</v>
          </cell>
          <cell r="K2211">
            <v>2.8886179999999999E-3</v>
          </cell>
          <cell r="L2211">
            <v>46.720999999999997</v>
          </cell>
          <cell r="M2211">
            <v>4.5072000000000001</v>
          </cell>
          <cell r="N2211">
            <v>599.33354032407988</v>
          </cell>
          <cell r="O2211">
            <v>654.60303404187243</v>
          </cell>
          <cell r="P2211">
            <v>0.20772370000000001</v>
          </cell>
        </row>
        <row r="2212">
          <cell r="B2212">
            <v>33907</v>
          </cell>
          <cell r="C2212">
            <v>37.049999999999997</v>
          </cell>
          <cell r="D2212">
            <v>2.921491E-3</v>
          </cell>
          <cell r="E2212">
            <v>47.86</v>
          </cell>
          <cell r="F2212">
            <v>4.6173000000000002</v>
          </cell>
          <cell r="G2212">
            <v>24.94</v>
          </cell>
          <cell r="H2212">
            <v>26.76</v>
          </cell>
          <cell r="I2212">
            <v>0.26109890000000002</v>
          </cell>
          <cell r="J2212">
            <v>1069.0522272562253</v>
          </cell>
          <cell r="K2212">
            <v>2.921491E-3</v>
          </cell>
          <cell r="L2212">
            <v>47.86</v>
          </cell>
          <cell r="M2212">
            <v>4.6173000000000002</v>
          </cell>
          <cell r="N2212">
            <v>748.80732528090539</v>
          </cell>
          <cell r="O2212">
            <v>829.77480595147756</v>
          </cell>
          <cell r="P2212">
            <v>0.26109890000000002</v>
          </cell>
        </row>
        <row r="2213">
          <cell r="B2213">
            <v>33911</v>
          </cell>
          <cell r="C2213">
            <v>37.08</v>
          </cell>
          <cell r="D2213">
            <v>2.953818E-3</v>
          </cell>
          <cell r="E2213">
            <v>47.689</v>
          </cell>
          <cell r="F2213">
            <v>4.4509999999999996</v>
          </cell>
          <cell r="J2213">
            <v>1082.2657127851121</v>
          </cell>
          <cell r="K2213">
            <v>2.953818E-3</v>
          </cell>
          <cell r="L2213">
            <v>47.689</v>
          </cell>
          <cell r="M2213">
            <v>4.4509999999999996</v>
          </cell>
          <cell r="N2213">
            <v>748.80732528090539</v>
          </cell>
          <cell r="O2213">
            <v>829.77480595147756</v>
          </cell>
          <cell r="P2213">
            <v>0.26109890000000002</v>
          </cell>
        </row>
        <row r="2214">
          <cell r="B2214">
            <v>33912</v>
          </cell>
          <cell r="C2214">
            <v>37.158000000000001</v>
          </cell>
          <cell r="D2214">
            <v>2.9865820000000002E-3</v>
          </cell>
          <cell r="E2214">
            <v>47.753999999999998</v>
          </cell>
          <cell r="F2214">
            <v>4.4626999999999999</v>
          </cell>
          <cell r="J2214">
            <v>1095.6706559036686</v>
          </cell>
          <cell r="K2214">
            <v>2.9865820000000002E-3</v>
          </cell>
          <cell r="L2214">
            <v>47.753999999999998</v>
          </cell>
          <cell r="M2214">
            <v>4.4626999999999999</v>
          </cell>
          <cell r="N2214">
            <v>748.80732528090539</v>
          </cell>
          <cell r="O2214">
            <v>829.77480595147756</v>
          </cell>
          <cell r="P2214">
            <v>0.26109890000000002</v>
          </cell>
        </row>
        <row r="2215">
          <cell r="B2215">
            <v>33913</v>
          </cell>
          <cell r="C2215">
            <v>37.149000000000001</v>
          </cell>
          <cell r="D2215">
            <v>3.0197090000000002E-3</v>
          </cell>
          <cell r="E2215">
            <v>47.639000000000003</v>
          </cell>
          <cell r="F2215">
            <v>4.3132999999999999</v>
          </cell>
          <cell r="J2215">
            <v>1109.2383456357238</v>
          </cell>
          <cell r="K2215">
            <v>3.0197090000000002E-3</v>
          </cell>
          <cell r="L2215">
            <v>47.639000000000003</v>
          </cell>
          <cell r="M2215">
            <v>4.3132999999999999</v>
          </cell>
          <cell r="N2215">
            <v>748.80732528090539</v>
          </cell>
          <cell r="O2215">
            <v>829.77480595147756</v>
          </cell>
          <cell r="P2215">
            <v>0.26109890000000002</v>
          </cell>
        </row>
        <row r="2216">
          <cell r="B2216">
            <v>33914</v>
          </cell>
          <cell r="C2216">
            <v>37.158000000000001</v>
          </cell>
          <cell r="D2216">
            <v>3.0531999999999998E-3</v>
          </cell>
          <cell r="E2216">
            <v>48.338000000000001</v>
          </cell>
          <cell r="F2216">
            <v>4.3042999999999996</v>
          </cell>
          <cell r="J2216">
            <v>1122.9773717847679</v>
          </cell>
          <cell r="K2216">
            <v>3.0531999999999998E-3</v>
          </cell>
          <cell r="L2216">
            <v>48.338000000000001</v>
          </cell>
          <cell r="M2216">
            <v>4.3042999999999996</v>
          </cell>
          <cell r="N2216">
            <v>748.80732528090539</v>
          </cell>
          <cell r="O2216">
            <v>829.77480595147756</v>
          </cell>
          <cell r="P2216">
            <v>0.26109890000000002</v>
          </cell>
        </row>
        <row r="2217">
          <cell r="B2217">
            <v>33917</v>
          </cell>
          <cell r="C2217">
            <v>37.17</v>
          </cell>
          <cell r="D2217">
            <v>3.1213090000000001E-3</v>
          </cell>
          <cell r="E2217">
            <v>47.521999999999998</v>
          </cell>
          <cell r="F2217">
            <v>4.0197000000000003</v>
          </cell>
          <cell r="J2217">
            <v>1136.8910614211811</v>
          </cell>
          <cell r="K2217">
            <v>3.1213090000000001E-3</v>
          </cell>
          <cell r="L2217">
            <v>47.521999999999998</v>
          </cell>
          <cell r="M2217">
            <v>4.0197000000000003</v>
          </cell>
          <cell r="N2217">
            <v>748.80732528090539</v>
          </cell>
          <cell r="O2217">
            <v>829.77480595147756</v>
          </cell>
          <cell r="P2217">
            <v>0.26109890000000002</v>
          </cell>
        </row>
        <row r="2218">
          <cell r="B2218">
            <v>33918</v>
          </cell>
          <cell r="C2218">
            <v>37.088999999999999</v>
          </cell>
          <cell r="D2218">
            <v>3.1559270000000002E-3</v>
          </cell>
          <cell r="E2218">
            <v>47.731999999999999</v>
          </cell>
          <cell r="F2218">
            <v>4.0961999999999996</v>
          </cell>
          <cell r="J2218">
            <v>1150.9464456135311</v>
          </cell>
          <cell r="K2218">
            <v>3.1559270000000002E-3</v>
          </cell>
          <cell r="L2218">
            <v>47.731999999999999</v>
          </cell>
          <cell r="M2218">
            <v>4.0961999999999996</v>
          </cell>
          <cell r="N2218">
            <v>748.80732528090539</v>
          </cell>
          <cell r="O2218">
            <v>829.77480595147756</v>
          </cell>
          <cell r="P2218">
            <v>0.26109890000000002</v>
          </cell>
        </row>
        <row r="2219">
          <cell r="B2219">
            <v>33919</v>
          </cell>
          <cell r="C2219">
            <v>36.99</v>
          </cell>
          <cell r="D2219">
            <v>3.1559270000000002E-3</v>
          </cell>
          <cell r="E2219">
            <v>49.054000000000002</v>
          </cell>
          <cell r="F2219">
            <v>4.1326000000000001</v>
          </cell>
          <cell r="J2219">
            <v>1165.1376152879459</v>
          </cell>
          <cell r="K2219">
            <v>3.1559270000000002E-3</v>
          </cell>
          <cell r="L2219">
            <v>49.054000000000002</v>
          </cell>
          <cell r="M2219">
            <v>4.1326000000000001</v>
          </cell>
          <cell r="N2219">
            <v>748.80732528090539</v>
          </cell>
          <cell r="O2219">
            <v>829.77480595147756</v>
          </cell>
          <cell r="P2219">
            <v>0.26109890000000002</v>
          </cell>
        </row>
        <row r="2220">
          <cell r="B2220">
            <v>33920</v>
          </cell>
          <cell r="C2220">
            <v>37.067999999999998</v>
          </cell>
          <cell r="D2220">
            <v>3.1909450000000002E-3</v>
          </cell>
          <cell r="E2220">
            <v>49.735999999999997</v>
          </cell>
          <cell r="F2220">
            <v>4.1412000000000004</v>
          </cell>
          <cell r="J2220">
            <v>1179.5340556624437</v>
          </cell>
          <cell r="K2220">
            <v>3.1909450000000002E-3</v>
          </cell>
          <cell r="L2220">
            <v>49.735999999999997</v>
          </cell>
          <cell r="M2220">
            <v>4.1412000000000004</v>
          </cell>
          <cell r="N2220">
            <v>748.80732528090539</v>
          </cell>
          <cell r="O2220">
            <v>829.77480595147756</v>
          </cell>
          <cell r="P2220">
            <v>0.26109890000000002</v>
          </cell>
        </row>
        <row r="2221">
          <cell r="B2221">
            <v>33921</v>
          </cell>
          <cell r="C2221">
            <v>36.6</v>
          </cell>
          <cell r="D2221">
            <v>3.2262910000000001E-3</v>
          </cell>
          <cell r="E2221">
            <v>49.935000000000002</v>
          </cell>
          <cell r="F2221">
            <v>3.8955000000000002</v>
          </cell>
          <cell r="J2221">
            <v>1193.9243711415256</v>
          </cell>
          <cell r="K2221">
            <v>3.2262910000000001E-3</v>
          </cell>
          <cell r="L2221">
            <v>49.935000000000002</v>
          </cell>
          <cell r="M2221">
            <v>3.8955000000000002</v>
          </cell>
          <cell r="N2221">
            <v>748.80732528090539</v>
          </cell>
          <cell r="O2221">
            <v>829.77480595147756</v>
          </cell>
          <cell r="P2221">
            <v>0.26109890000000002</v>
          </cell>
        </row>
        <row r="2222">
          <cell r="B2222">
            <v>33924</v>
          </cell>
          <cell r="C2222">
            <v>36.18</v>
          </cell>
          <cell r="D2222">
            <v>3.2620729999999999E-3</v>
          </cell>
          <cell r="E2222">
            <v>49.981999999999999</v>
          </cell>
          <cell r="F2222">
            <v>3.8184</v>
          </cell>
          <cell r="J2222">
            <v>1208.3230990574923</v>
          </cell>
          <cell r="K2222">
            <v>3.2620729999999999E-3</v>
          </cell>
          <cell r="L2222">
            <v>49.981999999999999</v>
          </cell>
          <cell r="M2222">
            <v>3.8184</v>
          </cell>
          <cell r="N2222">
            <v>748.80732528090539</v>
          </cell>
          <cell r="O2222">
            <v>829.77480595147756</v>
          </cell>
          <cell r="P2222">
            <v>0.26109890000000002</v>
          </cell>
        </row>
        <row r="2223">
          <cell r="B2223">
            <v>33925</v>
          </cell>
          <cell r="C2223">
            <v>35.709000000000003</v>
          </cell>
          <cell r="D2223">
            <v>3.2981820000000002E-3</v>
          </cell>
          <cell r="E2223">
            <v>50.930999999999997</v>
          </cell>
          <cell r="F2223">
            <v>4.0751999999999997</v>
          </cell>
          <cell r="J2223">
            <v>1222.7057689055737</v>
          </cell>
          <cell r="K2223">
            <v>3.2981820000000002E-3</v>
          </cell>
          <cell r="L2223">
            <v>50.930999999999997</v>
          </cell>
          <cell r="M2223">
            <v>4.0751999999999997</v>
          </cell>
          <cell r="N2223">
            <v>748.80732528090539</v>
          </cell>
          <cell r="O2223">
            <v>829.77480595147756</v>
          </cell>
          <cell r="P2223">
            <v>0.26109890000000002</v>
          </cell>
        </row>
        <row r="2224">
          <cell r="B2224">
            <v>33926</v>
          </cell>
          <cell r="C2224">
            <v>35.22</v>
          </cell>
          <cell r="D2224">
            <v>3.3344360000000001E-3</v>
          </cell>
          <cell r="E2224">
            <v>51.505000000000003</v>
          </cell>
          <cell r="F2224">
            <v>4.0168999999999997</v>
          </cell>
          <cell r="J2224">
            <v>1237.0603346325252</v>
          </cell>
          <cell r="K2224">
            <v>3.3344360000000001E-3</v>
          </cell>
          <cell r="L2224">
            <v>51.505000000000003</v>
          </cell>
          <cell r="M2224">
            <v>4.0168999999999997</v>
          </cell>
          <cell r="N2224">
            <v>748.80732528090539</v>
          </cell>
          <cell r="O2224">
            <v>829.77480595147756</v>
          </cell>
          <cell r="P2224">
            <v>0.26109890000000002</v>
          </cell>
        </row>
        <row r="2225">
          <cell r="B2225">
            <v>33927</v>
          </cell>
          <cell r="C2225">
            <v>34.808999999999997</v>
          </cell>
          <cell r="D2225">
            <v>3.370727E-3</v>
          </cell>
          <cell r="E2225">
            <v>51.304000000000002</v>
          </cell>
          <cell r="F2225">
            <v>3.8677999999999999</v>
          </cell>
          <cell r="J2225">
            <v>1251.4139456952664</v>
          </cell>
          <cell r="K2225">
            <v>3.370727E-3</v>
          </cell>
          <cell r="L2225">
            <v>51.304000000000002</v>
          </cell>
          <cell r="M2225">
            <v>3.8677999999999999</v>
          </cell>
          <cell r="N2225">
            <v>748.80732528090539</v>
          </cell>
          <cell r="O2225">
            <v>829.77480595147756</v>
          </cell>
          <cell r="P2225">
            <v>0.26109890000000002</v>
          </cell>
        </row>
        <row r="2226">
          <cell r="B2226">
            <v>33928</v>
          </cell>
          <cell r="C2226">
            <v>34.008000000000003</v>
          </cell>
          <cell r="D2226">
            <v>3.4069090000000001E-3</v>
          </cell>
          <cell r="E2226">
            <v>52.104999999999997</v>
          </cell>
          <cell r="F2226">
            <v>4.0612000000000004</v>
          </cell>
          <cell r="J2226">
            <v>1265.5999741836679</v>
          </cell>
          <cell r="K2226">
            <v>3.4069090000000001E-3</v>
          </cell>
          <cell r="L2226">
            <v>52.104999999999997</v>
          </cell>
          <cell r="M2226">
            <v>4.0612000000000004</v>
          </cell>
          <cell r="N2226">
            <v>748.80732528090539</v>
          </cell>
          <cell r="O2226">
            <v>829.77480595147756</v>
          </cell>
          <cell r="P2226">
            <v>0.26109890000000002</v>
          </cell>
        </row>
        <row r="2227">
          <cell r="B2227">
            <v>33931</v>
          </cell>
          <cell r="C2227">
            <v>33.090000000000003</v>
          </cell>
          <cell r="D2227">
            <v>3.443055E-3</v>
          </cell>
          <cell r="E2227">
            <v>52.46</v>
          </cell>
          <cell r="F2227">
            <v>4.0282999999999998</v>
          </cell>
          <cell r="J2227">
            <v>1279.5595418989139</v>
          </cell>
          <cell r="K2227">
            <v>3.443055E-3</v>
          </cell>
          <cell r="L2227">
            <v>52.46</v>
          </cell>
          <cell r="M2227">
            <v>4.0282999999999998</v>
          </cell>
          <cell r="N2227">
            <v>748.80732528090539</v>
          </cell>
          <cell r="O2227">
            <v>829.77480595147756</v>
          </cell>
          <cell r="P2227">
            <v>0.26109890000000002</v>
          </cell>
        </row>
        <row r="2228">
          <cell r="B2228">
            <v>33932</v>
          </cell>
          <cell r="C2228">
            <v>32.109000000000002</v>
          </cell>
          <cell r="D2228">
            <v>3.5154549999999998E-3</v>
          </cell>
          <cell r="E2228">
            <v>53.119</v>
          </cell>
          <cell r="F2228">
            <v>4.1817000000000002</v>
          </cell>
          <cell r="J2228">
            <v>1293.2546676758579</v>
          </cell>
          <cell r="K2228">
            <v>3.5154549999999998E-3</v>
          </cell>
          <cell r="L2228">
            <v>53.119</v>
          </cell>
          <cell r="M2228">
            <v>4.1817000000000002</v>
          </cell>
          <cell r="N2228">
            <v>748.80732528090539</v>
          </cell>
          <cell r="O2228">
            <v>829.77480595147756</v>
          </cell>
          <cell r="P2228">
            <v>0.26109890000000002</v>
          </cell>
        </row>
        <row r="2229">
          <cell r="B2229">
            <v>33933</v>
          </cell>
          <cell r="C2229">
            <v>31.029</v>
          </cell>
          <cell r="D2229">
            <v>3.549455E-3</v>
          </cell>
          <cell r="E2229">
            <v>54.372</v>
          </cell>
          <cell r="F2229">
            <v>4.4599000000000002</v>
          </cell>
          <cell r="J2229">
            <v>1306.6308007036293</v>
          </cell>
          <cell r="K2229">
            <v>3.549455E-3</v>
          </cell>
          <cell r="L2229">
            <v>54.372</v>
          </cell>
          <cell r="M2229">
            <v>4.4599000000000002</v>
          </cell>
          <cell r="N2229">
            <v>748.80732528090539</v>
          </cell>
          <cell r="O2229">
            <v>829.77480595147756</v>
          </cell>
          <cell r="P2229">
            <v>0.26109890000000002</v>
          </cell>
        </row>
        <row r="2230">
          <cell r="B2230">
            <v>33934</v>
          </cell>
          <cell r="C2230">
            <v>31.547999999999998</v>
          </cell>
          <cell r="D2230">
            <v>3.5493819999999998E-3</v>
          </cell>
          <cell r="E2230">
            <v>55.033000000000001</v>
          </cell>
          <cell r="F2230">
            <v>4.5227000000000004</v>
          </cell>
          <cell r="J2230">
            <v>1320.3713302038286</v>
          </cell>
          <cell r="K2230">
            <v>3.5493819999999998E-3</v>
          </cell>
          <cell r="L2230">
            <v>55.033000000000001</v>
          </cell>
          <cell r="M2230">
            <v>4.5227000000000004</v>
          </cell>
          <cell r="N2230">
            <v>748.80732528090539</v>
          </cell>
          <cell r="O2230">
            <v>829.77480595147756</v>
          </cell>
          <cell r="P2230">
            <v>0.26109890000000002</v>
          </cell>
        </row>
        <row r="2231">
          <cell r="B2231">
            <v>33935</v>
          </cell>
          <cell r="C2231">
            <v>31.509</v>
          </cell>
          <cell r="D2231">
            <v>3.5836359999999999E-3</v>
          </cell>
          <cell r="E2231">
            <v>54.652000000000001</v>
          </cell>
          <cell r="F2231">
            <v>4.5083000000000002</v>
          </cell>
          <cell r="J2231">
            <v>1334.2391902849592</v>
          </cell>
          <cell r="K2231">
            <v>3.5836359999999999E-3</v>
          </cell>
          <cell r="L2231">
            <v>54.652000000000001</v>
          </cell>
          <cell r="M2231">
            <v>4.5083000000000002</v>
          </cell>
          <cell r="N2231">
            <v>748.80732528090539</v>
          </cell>
          <cell r="O2231">
            <v>829.77480595147756</v>
          </cell>
          <cell r="P2231">
            <v>0.26109890000000002</v>
          </cell>
        </row>
        <row r="2232">
          <cell r="B2232">
            <v>33938</v>
          </cell>
          <cell r="C2232">
            <v>30.93</v>
          </cell>
          <cell r="D2232">
            <v>3.618146E-3</v>
          </cell>
          <cell r="E2232">
            <v>55.598999999999997</v>
          </cell>
          <cell r="F2232">
            <v>4.5743</v>
          </cell>
          <cell r="G2232">
            <v>24.22</v>
          </cell>
          <cell r="H2232">
            <v>23.43</v>
          </cell>
          <cell r="I2232">
            <v>0.32351819999999998</v>
          </cell>
          <cell r="J2232">
            <v>1347.9951963367973</v>
          </cell>
          <cell r="K2232">
            <v>3.618146E-3</v>
          </cell>
          <cell r="L2232">
            <v>55.598999999999997</v>
          </cell>
          <cell r="M2232">
            <v>4.5743</v>
          </cell>
          <cell r="N2232">
            <v>930.16845946394062</v>
          </cell>
          <cell r="O2232">
            <v>1024.1910429859088</v>
          </cell>
          <cell r="P2232">
            <v>0.32351819999999998</v>
          </cell>
        </row>
        <row r="2233">
          <cell r="B2233">
            <v>33939</v>
          </cell>
          <cell r="C2233">
            <v>30.917999999999999</v>
          </cell>
          <cell r="D2233">
            <v>3.653164E-3</v>
          </cell>
          <cell r="E2233">
            <v>55.915999999999997</v>
          </cell>
          <cell r="F2233">
            <v>4.7704000000000004</v>
          </cell>
          <cell r="J2233">
            <v>1361.8876348302442</v>
          </cell>
          <cell r="K2233">
            <v>3.653164E-3</v>
          </cell>
          <cell r="L2233">
            <v>55.915999999999997</v>
          </cell>
          <cell r="M2233">
            <v>4.7704000000000004</v>
          </cell>
          <cell r="N2233">
            <v>930.16845946394062</v>
          </cell>
          <cell r="O2233">
            <v>1024.1910429859088</v>
          </cell>
          <cell r="P2233">
            <v>0.32351819999999998</v>
          </cell>
        </row>
        <row r="2234">
          <cell r="B2234">
            <v>33940</v>
          </cell>
          <cell r="C2234">
            <v>30.879000000000001</v>
          </cell>
          <cell r="D2234">
            <v>3.6886179999999998E-3</v>
          </cell>
          <cell r="E2234">
            <v>55.661999999999999</v>
          </cell>
          <cell r="F2234">
            <v>4.6322999999999999</v>
          </cell>
          <cell r="J2234">
            <v>1375.9055442555521</v>
          </cell>
          <cell r="K2234">
            <v>3.6886179999999998E-3</v>
          </cell>
          <cell r="L2234">
            <v>55.661999999999999</v>
          </cell>
          <cell r="M2234">
            <v>4.6322999999999999</v>
          </cell>
          <cell r="N2234">
            <v>930.16845946394062</v>
          </cell>
          <cell r="O2234">
            <v>1024.1910429859088</v>
          </cell>
          <cell r="P2234">
            <v>0.32351819999999998</v>
          </cell>
        </row>
        <row r="2235">
          <cell r="B2235">
            <v>33941</v>
          </cell>
          <cell r="C2235">
            <v>30.81</v>
          </cell>
          <cell r="D2235">
            <v>3.7243269999999999E-3</v>
          </cell>
          <cell r="E2235">
            <v>55.284999999999997</v>
          </cell>
          <cell r="F2235">
            <v>4.4610000000000003</v>
          </cell>
          <cell r="J2235">
            <v>1390.0360941950566</v>
          </cell>
          <cell r="K2235">
            <v>3.7243269999999999E-3</v>
          </cell>
          <cell r="L2235">
            <v>55.284999999999997</v>
          </cell>
          <cell r="M2235">
            <v>4.4610000000000003</v>
          </cell>
          <cell r="N2235">
            <v>930.16845946394062</v>
          </cell>
          <cell r="O2235">
            <v>1024.1910429859088</v>
          </cell>
          <cell r="P2235">
            <v>0.32351819999999998</v>
          </cell>
        </row>
        <row r="2236">
          <cell r="B2236">
            <v>33942</v>
          </cell>
          <cell r="C2236">
            <v>30.669</v>
          </cell>
          <cell r="D2236">
            <v>3.7604359999999998E-3</v>
          </cell>
          <cell r="E2236">
            <v>55.658999999999999</v>
          </cell>
          <cell r="F2236">
            <v>4.5787000000000004</v>
          </cell>
          <cell r="J2236">
            <v>1404.2464331860128</v>
          </cell>
          <cell r="K2236">
            <v>3.7604359999999998E-3</v>
          </cell>
          <cell r="L2236">
            <v>55.658999999999999</v>
          </cell>
          <cell r="M2236">
            <v>4.5787000000000004</v>
          </cell>
          <cell r="N2236">
            <v>930.16845946394062</v>
          </cell>
          <cell r="O2236">
            <v>1024.1910429859088</v>
          </cell>
          <cell r="P2236">
            <v>0.32351819999999998</v>
          </cell>
        </row>
        <row r="2237">
          <cell r="B2237">
            <v>33945</v>
          </cell>
          <cell r="C2237">
            <v>30.57</v>
          </cell>
          <cell r="D2237">
            <v>3.7969449999999999E-3</v>
          </cell>
          <cell r="E2237">
            <v>56.435000000000002</v>
          </cell>
          <cell r="F2237">
            <v>4.7717999999999998</v>
          </cell>
          <cell r="J2237">
            <v>1418.5557043401782</v>
          </cell>
          <cell r="K2237">
            <v>3.7969449999999999E-3</v>
          </cell>
          <cell r="L2237">
            <v>56.435000000000002</v>
          </cell>
          <cell r="M2237">
            <v>4.7717999999999998</v>
          </cell>
          <cell r="N2237">
            <v>930.16845946394062</v>
          </cell>
          <cell r="O2237">
            <v>1024.1910429859088</v>
          </cell>
          <cell r="P2237">
            <v>0.32351819999999998</v>
          </cell>
        </row>
        <row r="2238">
          <cell r="B2238">
            <v>33946</v>
          </cell>
          <cell r="C2238">
            <v>30.648</v>
          </cell>
          <cell r="D2238">
            <v>3.8338180000000001E-3</v>
          </cell>
          <cell r="E2238">
            <v>56.746000000000002</v>
          </cell>
          <cell r="F2238">
            <v>4.6623999999999999</v>
          </cell>
          <cell r="J2238">
            <v>1433.0476694157173</v>
          </cell>
          <cell r="K2238">
            <v>3.8338180000000001E-3</v>
          </cell>
          <cell r="L2238">
            <v>56.746000000000002</v>
          </cell>
          <cell r="M2238">
            <v>4.6623999999999999</v>
          </cell>
          <cell r="N2238">
            <v>930.16845946394062</v>
          </cell>
          <cell r="O2238">
            <v>1024.1910429859088</v>
          </cell>
          <cell r="P2238">
            <v>0.32351819999999998</v>
          </cell>
        </row>
        <row r="2239">
          <cell r="B2239">
            <v>33947</v>
          </cell>
          <cell r="C2239">
            <v>30.69</v>
          </cell>
          <cell r="D2239">
            <v>3.8711639999999999E-3</v>
          </cell>
          <cell r="E2239">
            <v>57.496000000000002</v>
          </cell>
          <cell r="F2239">
            <v>4.6745999999999999</v>
          </cell>
          <cell r="J2239">
            <v>1447.70774707384</v>
          </cell>
          <cell r="K2239">
            <v>3.8711639999999999E-3</v>
          </cell>
          <cell r="L2239">
            <v>57.496000000000002</v>
          </cell>
          <cell r="M2239">
            <v>4.6745999999999999</v>
          </cell>
          <cell r="N2239">
            <v>930.16845946394062</v>
          </cell>
          <cell r="O2239">
            <v>1024.1910429859088</v>
          </cell>
          <cell r="P2239">
            <v>0.32351819999999998</v>
          </cell>
        </row>
        <row r="2240">
          <cell r="B2240">
            <v>33948</v>
          </cell>
          <cell r="C2240">
            <v>30.699000000000002</v>
          </cell>
          <cell r="D2240">
            <v>3.9087999999999996E-3</v>
          </cell>
          <cell r="E2240">
            <v>58.613</v>
          </cell>
          <cell r="F2240">
            <v>4.8014000000000001</v>
          </cell>
          <cell r="J2240">
            <v>1462.5221404496465</v>
          </cell>
          <cell r="K2240">
            <v>3.9087999999999996E-3</v>
          </cell>
          <cell r="L2240">
            <v>58.613</v>
          </cell>
          <cell r="M2240">
            <v>4.8014000000000001</v>
          </cell>
          <cell r="N2240">
            <v>930.16845946394062</v>
          </cell>
          <cell r="O2240">
            <v>1024.1910429859088</v>
          </cell>
          <cell r="P2240">
            <v>0.32351819999999998</v>
          </cell>
        </row>
        <row r="2241">
          <cell r="B2241">
            <v>33949</v>
          </cell>
          <cell r="C2241">
            <v>30.728999999999999</v>
          </cell>
          <cell r="D2241">
            <v>3.9470549999999997E-3</v>
          </cell>
          <cell r="E2241">
            <v>59.238999999999997</v>
          </cell>
          <cell r="F2241">
            <v>4.9379</v>
          </cell>
          <cell r="J2241">
            <v>1477.5027547342722</v>
          </cell>
          <cell r="K2241">
            <v>3.9470549999999997E-3</v>
          </cell>
          <cell r="L2241">
            <v>59.238999999999997</v>
          </cell>
          <cell r="M2241">
            <v>4.9379</v>
          </cell>
          <cell r="N2241">
            <v>930.16845946394062</v>
          </cell>
          <cell r="O2241">
            <v>1024.1910429859088</v>
          </cell>
          <cell r="P2241">
            <v>0.32351819999999998</v>
          </cell>
        </row>
        <row r="2242">
          <cell r="B2242">
            <v>33952</v>
          </cell>
          <cell r="C2242">
            <v>30.759</v>
          </cell>
          <cell r="D2242">
            <v>3.985527E-3</v>
          </cell>
          <cell r="E2242">
            <v>61.682000000000002</v>
          </cell>
          <cell r="F2242">
            <v>5.2168999999999999</v>
          </cell>
          <cell r="J2242">
            <v>1492.6515904785629</v>
          </cell>
          <cell r="K2242">
            <v>3.985527E-3</v>
          </cell>
          <cell r="L2242">
            <v>61.682000000000002</v>
          </cell>
          <cell r="M2242">
            <v>5.2168999999999999</v>
          </cell>
          <cell r="N2242">
            <v>930.16845946394062</v>
          </cell>
          <cell r="O2242">
            <v>1024.1910429859088</v>
          </cell>
          <cell r="P2242">
            <v>0.32351819999999998</v>
          </cell>
        </row>
        <row r="2243">
          <cell r="B2243">
            <v>33953</v>
          </cell>
          <cell r="C2243">
            <v>30.768000000000001</v>
          </cell>
          <cell r="D2243">
            <v>4.0243459999999998E-3</v>
          </cell>
          <cell r="E2243">
            <v>62.216999999999999</v>
          </cell>
          <cell r="F2243">
            <v>4.9907000000000004</v>
          </cell>
          <cell r="J2243">
            <v>1507.960225190511</v>
          </cell>
          <cell r="K2243">
            <v>4.0243459999999998E-3</v>
          </cell>
          <cell r="L2243">
            <v>62.216999999999999</v>
          </cell>
          <cell r="M2243">
            <v>4.9907000000000004</v>
          </cell>
          <cell r="N2243">
            <v>930.16845946394062</v>
          </cell>
          <cell r="O2243">
            <v>1024.1910429859088</v>
          </cell>
          <cell r="P2243">
            <v>0.32351819999999998</v>
          </cell>
        </row>
        <row r="2244">
          <cell r="B2244">
            <v>33954</v>
          </cell>
          <cell r="C2244">
            <v>30.888000000000002</v>
          </cell>
          <cell r="D2244">
            <v>4.0634549999999997E-3</v>
          </cell>
          <cell r="E2244">
            <v>62.805</v>
          </cell>
          <cell r="F2244">
            <v>5.0091999999999999</v>
          </cell>
          <cell r="J2244">
            <v>1523.4861836690727</v>
          </cell>
          <cell r="K2244">
            <v>4.0634549999999997E-3</v>
          </cell>
          <cell r="L2244">
            <v>62.805</v>
          </cell>
          <cell r="M2244">
            <v>5.0091999999999999</v>
          </cell>
          <cell r="N2244">
            <v>930.16845946394062</v>
          </cell>
          <cell r="O2244">
            <v>1024.1910429859088</v>
          </cell>
          <cell r="P2244">
            <v>0.32351819999999998</v>
          </cell>
        </row>
        <row r="2245">
          <cell r="B2245">
            <v>33955</v>
          </cell>
          <cell r="C2245">
            <v>31.05</v>
          </cell>
          <cell r="D2245">
            <v>4.1030550000000004E-3</v>
          </cell>
          <cell r="E2245">
            <v>64.084999999999994</v>
          </cell>
          <cell r="F2245">
            <v>5.0861999999999998</v>
          </cell>
          <cell r="J2245">
            <v>1539.2542656700477</v>
          </cell>
          <cell r="K2245">
            <v>4.1030550000000004E-3</v>
          </cell>
          <cell r="L2245">
            <v>64.084999999999994</v>
          </cell>
          <cell r="M2245">
            <v>5.0861999999999998</v>
          </cell>
          <cell r="N2245">
            <v>930.16845946394062</v>
          </cell>
          <cell r="O2245">
            <v>1024.1910429859088</v>
          </cell>
          <cell r="P2245">
            <v>0.32351819999999998</v>
          </cell>
        </row>
        <row r="2246">
          <cell r="B2246">
            <v>33956</v>
          </cell>
          <cell r="C2246">
            <v>31.518000000000001</v>
          </cell>
          <cell r="D2246">
            <v>4.1430909999999998E-3</v>
          </cell>
          <cell r="E2246">
            <v>65.674000000000007</v>
          </cell>
          <cell r="F2246">
            <v>5.1378000000000004</v>
          </cell>
          <cell r="J2246">
            <v>1555.425670985177</v>
          </cell>
          <cell r="K2246">
            <v>4.1430909999999998E-3</v>
          </cell>
          <cell r="L2246">
            <v>65.674000000000007</v>
          </cell>
          <cell r="M2246">
            <v>5.1378000000000004</v>
          </cell>
          <cell r="N2246">
            <v>930.16845946394062</v>
          </cell>
          <cell r="O2246">
            <v>1024.1910429859088</v>
          </cell>
          <cell r="P2246">
            <v>0.32351819999999998</v>
          </cell>
        </row>
        <row r="2247">
          <cell r="B2247">
            <v>33959</v>
          </cell>
          <cell r="C2247">
            <v>32.4</v>
          </cell>
          <cell r="D2247">
            <v>4.1838179999999997E-3</v>
          </cell>
          <cell r="E2247">
            <v>66.272000000000006</v>
          </cell>
          <cell r="F2247">
            <v>5.1707999999999998</v>
          </cell>
          <cell r="J2247">
            <v>1572.2242682318167</v>
          </cell>
          <cell r="K2247">
            <v>4.1838179999999997E-3</v>
          </cell>
          <cell r="L2247">
            <v>66.272000000000006</v>
          </cell>
          <cell r="M2247">
            <v>5.1707999999999998</v>
          </cell>
          <cell r="N2247">
            <v>930.16845946394062</v>
          </cell>
          <cell r="O2247">
            <v>1024.1910429859088</v>
          </cell>
          <cell r="P2247">
            <v>0.32351819999999998</v>
          </cell>
        </row>
        <row r="2248">
          <cell r="B2248">
            <v>33960</v>
          </cell>
          <cell r="C2248">
            <v>65.198999999999998</v>
          </cell>
          <cell r="D2248">
            <v>4.2258180000000001E-3</v>
          </cell>
          <cell r="E2248">
            <v>66.656000000000006</v>
          </cell>
          <cell r="F2248">
            <v>5.2534999999999998</v>
          </cell>
          <cell r="J2248">
            <v>1606.3934182532987</v>
          </cell>
          <cell r="K2248">
            <v>4.2258180000000001E-3</v>
          </cell>
          <cell r="L2248">
            <v>66.656000000000006</v>
          </cell>
          <cell r="M2248">
            <v>5.2534999999999998</v>
          </cell>
          <cell r="N2248">
            <v>930.16845946394062</v>
          </cell>
          <cell r="O2248">
            <v>1024.1910429859088</v>
          </cell>
          <cell r="P2248">
            <v>0.32351819999999998</v>
          </cell>
        </row>
        <row r="2249">
          <cell r="B2249">
            <v>33961</v>
          </cell>
          <cell r="C2249">
            <v>32.67</v>
          </cell>
          <cell r="D2249">
            <v>4.2681819999999997E-3</v>
          </cell>
          <cell r="E2249">
            <v>69.837999999999994</v>
          </cell>
          <cell r="F2249">
            <v>5.9555999999999996</v>
          </cell>
          <cell r="J2249">
            <v>1623.8870425780772</v>
          </cell>
          <cell r="K2249">
            <v>4.2681819999999997E-3</v>
          </cell>
          <cell r="L2249">
            <v>69.837999999999994</v>
          </cell>
          <cell r="M2249">
            <v>5.9555999999999996</v>
          </cell>
          <cell r="N2249">
            <v>930.16845946394062</v>
          </cell>
          <cell r="O2249">
            <v>1024.1910429859088</v>
          </cell>
          <cell r="P2249">
            <v>0.32351819999999998</v>
          </cell>
        </row>
        <row r="2250">
          <cell r="B2250">
            <v>33962</v>
          </cell>
          <cell r="D2250">
            <v>4.3110179999999998E-3</v>
          </cell>
          <cell r="J2250">
            <v>1623.8870425780772</v>
          </cell>
          <cell r="K2250">
            <v>4.3110179999999998E-3</v>
          </cell>
          <cell r="L2250">
            <v>69.837999999999994</v>
          </cell>
          <cell r="M2250">
            <v>5.9555999999999996</v>
          </cell>
          <cell r="N2250">
            <v>930.16845946394062</v>
          </cell>
          <cell r="O2250">
            <v>1024.1910429859088</v>
          </cell>
          <cell r="P2250">
            <v>0.32351819999999998</v>
          </cell>
        </row>
        <row r="2251">
          <cell r="B2251">
            <v>33966</v>
          </cell>
          <cell r="C2251">
            <v>33.249000000000002</v>
          </cell>
          <cell r="D2251">
            <v>4.355818E-3</v>
          </cell>
          <cell r="E2251">
            <v>77.216999999999999</v>
          </cell>
          <cell r="F2251">
            <v>6.7351000000000001</v>
          </cell>
          <cell r="J2251">
            <v>1641.8845826709698</v>
          </cell>
          <cell r="K2251">
            <v>4.355818E-3</v>
          </cell>
          <cell r="L2251">
            <v>77.216999999999999</v>
          </cell>
          <cell r="M2251">
            <v>6.7351000000000001</v>
          </cell>
          <cell r="N2251">
            <v>930.16845946394062</v>
          </cell>
          <cell r="O2251">
            <v>1024.1910429859088</v>
          </cell>
          <cell r="P2251">
            <v>0.32351819999999998</v>
          </cell>
        </row>
        <row r="2252">
          <cell r="B2252">
            <v>33967</v>
          </cell>
          <cell r="C2252">
            <v>33.939</v>
          </cell>
          <cell r="D2252">
            <v>4.4025449999999999E-3</v>
          </cell>
          <cell r="E2252">
            <v>77.513000000000005</v>
          </cell>
          <cell r="F2252">
            <v>6.6348000000000003</v>
          </cell>
          <cell r="J2252">
            <v>1660.4592229547263</v>
          </cell>
          <cell r="K2252">
            <v>4.4025449999999999E-3</v>
          </cell>
          <cell r="L2252">
            <v>77.513000000000005</v>
          </cell>
          <cell r="M2252">
            <v>6.6348000000000003</v>
          </cell>
          <cell r="N2252">
            <v>930.16845946394062</v>
          </cell>
          <cell r="O2252">
            <v>1024.1910429859088</v>
          </cell>
          <cell r="P2252">
            <v>0.32351819999999998</v>
          </cell>
        </row>
        <row r="2253">
          <cell r="B2253">
            <v>33968</v>
          </cell>
          <cell r="C2253">
            <v>70.08</v>
          </cell>
          <cell r="D2253">
            <v>4.4516E-3</v>
          </cell>
          <cell r="E2253">
            <v>79.546000000000006</v>
          </cell>
          <cell r="F2253">
            <v>6.7805</v>
          </cell>
          <cell r="J2253">
            <v>1699.2475504029487</v>
          </cell>
          <cell r="K2253">
            <v>4.4516E-3</v>
          </cell>
          <cell r="L2253">
            <v>79.546000000000006</v>
          </cell>
          <cell r="M2253">
            <v>6.7805</v>
          </cell>
          <cell r="N2253">
            <v>930.16845946394062</v>
          </cell>
          <cell r="O2253">
            <v>1024.1910429859088</v>
          </cell>
          <cell r="P2253">
            <v>0.32351819999999998</v>
          </cell>
        </row>
        <row r="2254">
          <cell r="B2254">
            <v>33969</v>
          </cell>
          <cell r="D2254">
            <v>4.5045450000000004E-3</v>
          </cell>
          <cell r="G2254">
            <v>23.7</v>
          </cell>
          <cell r="H2254">
            <v>25.08</v>
          </cell>
          <cell r="I2254">
            <v>0.40300570000000002</v>
          </cell>
          <cell r="J2254">
            <v>1699.2475504029487</v>
          </cell>
          <cell r="K2254">
            <v>4.5045450000000004E-3</v>
          </cell>
          <cell r="L2254">
            <v>79.546000000000006</v>
          </cell>
          <cell r="M2254">
            <v>6.7805</v>
          </cell>
          <cell r="N2254">
            <v>1150.6183843568947</v>
          </cell>
          <cell r="O2254">
            <v>1281.0581565667746</v>
          </cell>
          <cell r="P2254">
            <v>0.40300570000000002</v>
          </cell>
        </row>
        <row r="2255">
          <cell r="B2255">
            <v>33973</v>
          </cell>
          <cell r="C2255">
            <v>35.918999999999997</v>
          </cell>
          <cell r="D2255">
            <v>4.5569089999999996E-3</v>
          </cell>
          <cell r="E2255">
            <v>81.643000000000001</v>
          </cell>
          <cell r="F2255">
            <v>7.1471999999999998</v>
          </cell>
          <cell r="J2255">
            <v>1719.5926413239233</v>
          </cell>
          <cell r="K2255">
            <v>4.5569089999999996E-3</v>
          </cell>
          <cell r="L2255">
            <v>81.643000000000001</v>
          </cell>
          <cell r="M2255">
            <v>7.1471999999999998</v>
          </cell>
          <cell r="N2255">
            <v>1150.6183843568947</v>
          </cell>
          <cell r="O2255">
            <v>1281.0581565667746</v>
          </cell>
          <cell r="P2255">
            <v>0.40300570000000002</v>
          </cell>
        </row>
        <row r="2256">
          <cell r="B2256">
            <v>33974</v>
          </cell>
          <cell r="C2256">
            <v>35.918999999999997</v>
          </cell>
          <cell r="D2256">
            <v>4.6098909999999996E-3</v>
          </cell>
          <cell r="E2256">
            <v>85.313999999999993</v>
          </cell>
          <cell r="F2256">
            <v>7.7237999999999998</v>
          </cell>
          <cell r="J2256">
            <v>1740.1813240184947</v>
          </cell>
          <cell r="K2256">
            <v>4.6098909999999996E-3</v>
          </cell>
          <cell r="L2256">
            <v>85.313999999999993</v>
          </cell>
          <cell r="M2256">
            <v>7.7237999999999998</v>
          </cell>
          <cell r="N2256">
            <v>1150.6183843568947</v>
          </cell>
          <cell r="O2256">
            <v>1281.0581565667746</v>
          </cell>
          <cell r="P2256">
            <v>0.40300570000000002</v>
          </cell>
        </row>
        <row r="2257">
          <cell r="B2257">
            <v>33975</v>
          </cell>
          <cell r="C2257">
            <v>35.957999999999998</v>
          </cell>
          <cell r="D2257">
            <v>4.6634909999999996E-3</v>
          </cell>
          <cell r="E2257">
            <v>86.662999999999997</v>
          </cell>
          <cell r="F2257">
            <v>7.5575000000000001</v>
          </cell>
          <cell r="J2257">
            <v>1761.0391373681805</v>
          </cell>
          <cell r="K2257">
            <v>4.6634909999999996E-3</v>
          </cell>
          <cell r="L2257">
            <v>86.662999999999997</v>
          </cell>
          <cell r="M2257">
            <v>7.5575000000000001</v>
          </cell>
          <cell r="N2257">
            <v>1150.6183843568947</v>
          </cell>
          <cell r="O2257">
            <v>1281.0581565667746</v>
          </cell>
          <cell r="P2257">
            <v>0.40300570000000002</v>
          </cell>
        </row>
        <row r="2258">
          <cell r="B2258">
            <v>33976</v>
          </cell>
          <cell r="C2258">
            <v>36.107999999999997</v>
          </cell>
          <cell r="D2258">
            <v>4.7177089999999996E-3</v>
          </cell>
          <cell r="E2258">
            <v>89.515000000000001</v>
          </cell>
          <cell r="F2258">
            <v>7.9775</v>
          </cell>
          <cell r="J2258">
            <v>1782.2350044255438</v>
          </cell>
          <cell r="K2258">
            <v>4.7177089999999996E-3</v>
          </cell>
          <cell r="L2258">
            <v>89.515000000000001</v>
          </cell>
          <cell r="M2258">
            <v>7.9775</v>
          </cell>
          <cell r="N2258">
            <v>1150.6183843568947</v>
          </cell>
          <cell r="O2258">
            <v>1281.0581565667746</v>
          </cell>
          <cell r="P2258">
            <v>0.40300570000000002</v>
          </cell>
        </row>
        <row r="2259">
          <cell r="B2259">
            <v>33977</v>
          </cell>
          <cell r="C2259">
            <v>36.167999999999999</v>
          </cell>
          <cell r="D2259">
            <v>4.7726180000000002E-3</v>
          </cell>
          <cell r="E2259">
            <v>93.960999999999999</v>
          </cell>
          <cell r="F2259">
            <v>8.4380000000000006</v>
          </cell>
          <cell r="J2259">
            <v>1803.7216296388983</v>
          </cell>
          <cell r="K2259">
            <v>4.7726180000000002E-3</v>
          </cell>
          <cell r="L2259">
            <v>93.960999999999999</v>
          </cell>
          <cell r="M2259">
            <v>8.4380000000000006</v>
          </cell>
          <cell r="N2259">
            <v>1150.6183843568947</v>
          </cell>
          <cell r="O2259">
            <v>1281.0581565667746</v>
          </cell>
          <cell r="P2259">
            <v>0.40300570000000002</v>
          </cell>
        </row>
        <row r="2260">
          <cell r="B2260">
            <v>33980</v>
          </cell>
          <cell r="C2260">
            <v>36.167999999999999</v>
          </cell>
          <cell r="D2260">
            <v>4.8285089999999999E-3</v>
          </cell>
          <cell r="E2260">
            <v>97.858000000000004</v>
          </cell>
          <cell r="F2260">
            <v>8.6074000000000002</v>
          </cell>
          <cell r="J2260">
            <v>1825.467297605825</v>
          </cell>
          <cell r="K2260">
            <v>4.8285089999999999E-3</v>
          </cell>
          <cell r="L2260">
            <v>97.858000000000004</v>
          </cell>
          <cell r="M2260">
            <v>8.6074000000000002</v>
          </cell>
          <cell r="N2260">
            <v>1150.6183843568947</v>
          </cell>
          <cell r="O2260">
            <v>1281.0581565667746</v>
          </cell>
          <cell r="P2260">
            <v>0.40300570000000002</v>
          </cell>
        </row>
        <row r="2261">
          <cell r="B2261">
            <v>33981</v>
          </cell>
          <cell r="C2261">
            <v>36.189</v>
          </cell>
          <cell r="D2261">
            <v>4.8852729999999999E-3</v>
          </cell>
          <cell r="E2261">
            <v>99.1</v>
          </cell>
          <cell r="F2261">
            <v>8.7883999999999993</v>
          </cell>
          <cell r="J2261">
            <v>1847.487909616844</v>
          </cell>
          <cell r="K2261">
            <v>4.8852729999999999E-3</v>
          </cell>
          <cell r="L2261">
            <v>99.1</v>
          </cell>
          <cell r="M2261">
            <v>8.7883999999999993</v>
          </cell>
          <cell r="N2261">
            <v>1150.6183843568947</v>
          </cell>
          <cell r="O2261">
            <v>1281.0581565667746</v>
          </cell>
          <cell r="P2261">
            <v>0.40300570000000002</v>
          </cell>
        </row>
        <row r="2262">
          <cell r="B2262">
            <v>33982</v>
          </cell>
          <cell r="C2262">
            <v>36.258000000000003</v>
          </cell>
          <cell r="D2262">
            <v>4.9429089999999997E-3</v>
          </cell>
          <cell r="E2262">
            <v>98.367999999999995</v>
          </cell>
          <cell r="F2262">
            <v>8.3252000000000006</v>
          </cell>
          <cell r="J2262">
            <v>1869.8166484924732</v>
          </cell>
          <cell r="K2262">
            <v>4.9429089999999997E-3</v>
          </cell>
          <cell r="L2262">
            <v>98.367999999999995</v>
          </cell>
          <cell r="M2262">
            <v>8.3252000000000006</v>
          </cell>
          <cell r="N2262">
            <v>1150.6183843568947</v>
          </cell>
          <cell r="O2262">
            <v>1281.0581565667746</v>
          </cell>
          <cell r="P2262">
            <v>0.40300570000000002</v>
          </cell>
        </row>
        <row r="2263">
          <cell r="B2263">
            <v>33983</v>
          </cell>
          <cell r="C2263">
            <v>36.579000000000001</v>
          </cell>
          <cell r="D2263">
            <v>5.0603269999999999E-3</v>
          </cell>
          <cell r="E2263">
            <v>100.434</v>
          </cell>
          <cell r="F2263">
            <v>8.8682999999999996</v>
          </cell>
          <cell r="J2263">
            <v>1892.6153228875417</v>
          </cell>
          <cell r="K2263">
            <v>5.0603269999999999E-3</v>
          </cell>
          <cell r="L2263">
            <v>100.434</v>
          </cell>
          <cell r="M2263">
            <v>8.8682999999999996</v>
          </cell>
          <cell r="N2263">
            <v>1150.6183843568947</v>
          </cell>
          <cell r="O2263">
            <v>1281.0581565667746</v>
          </cell>
          <cell r="P2263">
            <v>0.40300570000000002</v>
          </cell>
        </row>
        <row r="2264">
          <cell r="B2264">
            <v>33984</v>
          </cell>
          <cell r="C2264">
            <v>37.029000000000003</v>
          </cell>
          <cell r="D2264">
            <v>5.120182E-3</v>
          </cell>
          <cell r="E2264">
            <v>101.69799999999999</v>
          </cell>
          <cell r="F2264">
            <v>8.8996999999999993</v>
          </cell>
          <cell r="J2264">
            <v>1915.9758738179426</v>
          </cell>
          <cell r="K2264">
            <v>5.120182E-3</v>
          </cell>
          <cell r="L2264">
            <v>101.69799999999999</v>
          </cell>
          <cell r="M2264">
            <v>8.8996999999999993</v>
          </cell>
          <cell r="N2264">
            <v>1150.6183843568947</v>
          </cell>
          <cell r="O2264">
            <v>1281.0581565667746</v>
          </cell>
          <cell r="P2264">
            <v>0.40300570000000002</v>
          </cell>
        </row>
        <row r="2265">
          <cell r="B2265">
            <v>33987</v>
          </cell>
          <cell r="C2265">
            <v>37.5</v>
          </cell>
          <cell r="D2265">
            <v>5.1203639999999996E-3</v>
          </cell>
          <cell r="E2265">
            <v>101.36499999999999</v>
          </cell>
          <cell r="F2265">
            <v>8.7833000000000006</v>
          </cell>
          <cell r="J2265">
            <v>1939.9255722406667</v>
          </cell>
          <cell r="K2265">
            <v>5.1203639999999996E-3</v>
          </cell>
          <cell r="L2265">
            <v>101.36499999999999</v>
          </cell>
          <cell r="M2265">
            <v>8.7833000000000006</v>
          </cell>
          <cell r="N2265">
            <v>1150.6183843568947</v>
          </cell>
          <cell r="O2265">
            <v>1281.0581565667746</v>
          </cell>
          <cell r="P2265">
            <v>0.40300570000000002</v>
          </cell>
        </row>
        <row r="2266">
          <cell r="B2266">
            <v>33988</v>
          </cell>
          <cell r="C2266">
            <v>37.448999999999998</v>
          </cell>
          <cell r="D2266">
            <v>5.1815999999999997E-3</v>
          </cell>
          <cell r="E2266">
            <v>99.86</v>
          </cell>
          <cell r="F2266">
            <v>8.6073000000000004</v>
          </cell>
          <cell r="J2266">
            <v>1964.141663158947</v>
          </cell>
          <cell r="K2266">
            <v>5.1815999999999997E-3</v>
          </cell>
          <cell r="L2266">
            <v>99.86</v>
          </cell>
          <cell r="M2266">
            <v>8.6073000000000004</v>
          </cell>
          <cell r="N2266">
            <v>1150.6183843568947</v>
          </cell>
          <cell r="O2266">
            <v>1281.0581565667746</v>
          </cell>
          <cell r="P2266">
            <v>0.40300570000000002</v>
          </cell>
        </row>
        <row r="2267">
          <cell r="B2267">
            <v>33989</v>
          </cell>
          <cell r="C2267">
            <v>37.929000000000002</v>
          </cell>
          <cell r="D2267">
            <v>5.2436000000000002E-3</v>
          </cell>
          <cell r="F2267">
            <v>8.5945</v>
          </cell>
          <cell r="J2267">
            <v>1988.9743062062655</v>
          </cell>
          <cell r="K2267">
            <v>5.2436000000000002E-3</v>
          </cell>
          <cell r="L2267">
            <v>99.86</v>
          </cell>
          <cell r="M2267">
            <v>8.5945</v>
          </cell>
          <cell r="N2267">
            <v>1150.6183843568947</v>
          </cell>
          <cell r="O2267">
            <v>1281.0581565667746</v>
          </cell>
          <cell r="P2267">
            <v>0.40300570000000002</v>
          </cell>
        </row>
        <row r="2268">
          <cell r="B2268">
            <v>33990</v>
          </cell>
          <cell r="C2268">
            <v>38.768999999999998</v>
          </cell>
          <cell r="D2268">
            <v>5.3063269999999996E-3</v>
          </cell>
          <cell r="E2268">
            <v>98.876999999999995</v>
          </cell>
          <cell r="F2268">
            <v>8.5855999999999995</v>
          </cell>
          <cell r="J2268">
            <v>2014.6778211653691</v>
          </cell>
          <cell r="K2268">
            <v>5.3063269999999996E-3</v>
          </cell>
          <cell r="L2268">
            <v>98.876999999999995</v>
          </cell>
          <cell r="M2268">
            <v>8.5855999999999995</v>
          </cell>
          <cell r="N2268">
            <v>1150.6183843568947</v>
          </cell>
          <cell r="O2268">
            <v>1281.0581565667746</v>
          </cell>
          <cell r="P2268">
            <v>0.40300570000000002</v>
          </cell>
        </row>
        <row r="2269">
          <cell r="B2269">
            <v>33991</v>
          </cell>
          <cell r="C2269">
            <v>39.69</v>
          </cell>
          <cell r="D2269">
            <v>5.3704E-3</v>
          </cell>
          <cell r="E2269">
            <v>100.379</v>
          </cell>
          <cell r="F2269">
            <v>9.3865999999999996</v>
          </cell>
          <cell r="J2269">
            <v>2041.332008739387</v>
          </cell>
          <cell r="K2269">
            <v>5.3704E-3</v>
          </cell>
          <cell r="L2269">
            <v>100.379</v>
          </cell>
          <cell r="M2269">
            <v>9.3865999999999996</v>
          </cell>
          <cell r="N2269">
            <v>1150.6183843568947</v>
          </cell>
          <cell r="O2269">
            <v>1281.0581565667746</v>
          </cell>
          <cell r="P2269">
            <v>0.40300570000000002</v>
          </cell>
        </row>
        <row r="2270">
          <cell r="B2270">
            <v>33994</v>
          </cell>
          <cell r="C2270">
            <v>41.027999999999999</v>
          </cell>
          <cell r="D2270">
            <v>5.4359999999999999E-3</v>
          </cell>
          <cell r="J2270">
            <v>2069.2492652909068</v>
          </cell>
          <cell r="K2270">
            <v>5.4359999999999999E-3</v>
          </cell>
          <cell r="L2270">
            <v>100.379</v>
          </cell>
          <cell r="M2270">
            <v>9.3865999999999996</v>
          </cell>
          <cell r="N2270">
            <v>1150.6183843568947</v>
          </cell>
          <cell r="O2270">
            <v>1281.0581565667746</v>
          </cell>
          <cell r="P2270">
            <v>0.40300570000000002</v>
          </cell>
        </row>
        <row r="2271">
          <cell r="B2271">
            <v>33995</v>
          </cell>
          <cell r="C2271">
            <v>41.49</v>
          </cell>
          <cell r="D2271">
            <v>5.5031999999999998E-3</v>
          </cell>
          <cell r="E2271">
            <v>100.504</v>
          </cell>
          <cell r="F2271">
            <v>9.4169999999999998</v>
          </cell>
          <cell r="J2271">
            <v>2097.8669826298801</v>
          </cell>
          <cell r="K2271">
            <v>5.5031999999999998E-3</v>
          </cell>
          <cell r="L2271">
            <v>100.504</v>
          </cell>
          <cell r="M2271">
            <v>9.4169999999999998</v>
          </cell>
          <cell r="N2271">
            <v>1150.6183843568947</v>
          </cell>
          <cell r="O2271">
            <v>1281.0581565667746</v>
          </cell>
          <cell r="P2271">
            <v>0.40300570000000002</v>
          </cell>
        </row>
        <row r="2272">
          <cell r="B2272">
            <v>33996</v>
          </cell>
          <cell r="C2272">
            <v>41.97</v>
          </cell>
          <cell r="D2272">
            <v>5.5715640000000002E-3</v>
          </cell>
          <cell r="E2272">
            <v>100.289</v>
          </cell>
          <cell r="F2272">
            <v>9.4440000000000008</v>
          </cell>
          <cell r="J2272">
            <v>2127.2161417168722</v>
          </cell>
          <cell r="K2272">
            <v>5.5715640000000002E-3</v>
          </cell>
          <cell r="L2272">
            <v>100.289</v>
          </cell>
          <cell r="M2272">
            <v>9.4440000000000008</v>
          </cell>
          <cell r="N2272">
            <v>1150.6183843568947</v>
          </cell>
          <cell r="O2272">
            <v>1281.0581565667746</v>
          </cell>
          <cell r="P2272">
            <v>0.40300570000000002</v>
          </cell>
        </row>
        <row r="2273">
          <cell r="B2273">
            <v>33997</v>
          </cell>
          <cell r="C2273">
            <v>42.468000000000004</v>
          </cell>
          <cell r="D2273">
            <v>5.641091E-3</v>
          </cell>
          <cell r="E2273">
            <v>100.589</v>
          </cell>
          <cell r="F2273">
            <v>9.3350000000000009</v>
          </cell>
          <cell r="J2273">
            <v>2157.3290134190165</v>
          </cell>
          <cell r="K2273">
            <v>5.641091E-3</v>
          </cell>
          <cell r="L2273">
            <v>100.589</v>
          </cell>
          <cell r="M2273">
            <v>9.3350000000000009</v>
          </cell>
          <cell r="N2273">
            <v>1150.6183843568947</v>
          </cell>
          <cell r="O2273">
            <v>1281.0581565667746</v>
          </cell>
          <cell r="P2273">
            <v>0.40300570000000002</v>
          </cell>
        </row>
        <row r="2274">
          <cell r="B2274">
            <v>33998</v>
          </cell>
          <cell r="C2274">
            <v>42.939</v>
          </cell>
          <cell r="D2274">
            <v>5.7163639999999998E-3</v>
          </cell>
          <cell r="E2274">
            <v>101.73699999999999</v>
          </cell>
          <cell r="F2274">
            <v>9.2850000000000001</v>
          </cell>
          <cell r="G2274">
            <v>28.73</v>
          </cell>
          <cell r="H2274">
            <v>25.83</v>
          </cell>
          <cell r="I2274">
            <v>0.51340430000000004</v>
          </cell>
          <cell r="J2274">
            <v>2188.2068635880828</v>
          </cell>
          <cell r="K2274">
            <v>5.7163639999999998E-3</v>
          </cell>
          <cell r="L2274">
            <v>101.73699999999999</v>
          </cell>
          <cell r="M2274">
            <v>9.2850000000000001</v>
          </cell>
          <cell r="N2274">
            <v>1481.1910461826308</v>
          </cell>
          <cell r="O2274">
            <v>1611.9554784079726</v>
          </cell>
          <cell r="P2274">
            <v>0.51340430000000004</v>
          </cell>
        </row>
        <row r="2275">
          <cell r="B2275">
            <v>34001</v>
          </cell>
          <cell r="C2275">
            <v>43.238999999999997</v>
          </cell>
          <cell r="D2275">
            <v>5.793182E-3</v>
          </cell>
          <cell r="E2275">
            <v>100.92100000000001</v>
          </cell>
          <cell r="F2275">
            <v>8.83</v>
          </cell>
          <cell r="J2275">
            <v>2219.7454891129778</v>
          </cell>
          <cell r="K2275">
            <v>5.793182E-3</v>
          </cell>
          <cell r="L2275">
            <v>100.92100000000001</v>
          </cell>
          <cell r="M2275">
            <v>8.83</v>
          </cell>
          <cell r="N2275">
            <v>1481.1910461826308</v>
          </cell>
          <cell r="O2275">
            <v>1611.9554784079726</v>
          </cell>
          <cell r="P2275">
            <v>0.51340430000000004</v>
          </cell>
        </row>
        <row r="2276">
          <cell r="B2276">
            <v>34002</v>
          </cell>
          <cell r="C2276">
            <v>43.698</v>
          </cell>
          <cell r="D2276">
            <v>5.8707630000000002E-3</v>
          </cell>
          <cell r="E2276">
            <v>101.886</v>
          </cell>
          <cell r="F2276">
            <v>9.0269999999999992</v>
          </cell>
          <cell r="J2276">
            <v>2252.0783019073974</v>
          </cell>
          <cell r="K2276">
            <v>5.8707630000000002E-3</v>
          </cell>
          <cell r="L2276">
            <v>101.886</v>
          </cell>
          <cell r="M2276">
            <v>9.0269999999999992</v>
          </cell>
          <cell r="N2276">
            <v>1481.1910461826308</v>
          </cell>
          <cell r="O2276">
            <v>1611.9554784079726</v>
          </cell>
          <cell r="P2276">
            <v>0.51340430000000004</v>
          </cell>
        </row>
        <row r="2277">
          <cell r="B2277">
            <v>34003</v>
          </cell>
          <cell r="C2277">
            <v>43.959000000000003</v>
          </cell>
          <cell r="D2277">
            <v>5.9496360000000003E-3</v>
          </cell>
          <cell r="E2277">
            <v>102.44499999999999</v>
          </cell>
          <cell r="F2277">
            <v>9.1349999999999998</v>
          </cell>
          <cell r="J2277">
            <v>2285.0780052652467</v>
          </cell>
          <cell r="K2277">
            <v>5.9496360000000003E-3</v>
          </cell>
          <cell r="L2277">
            <v>102.44499999999999</v>
          </cell>
          <cell r="M2277">
            <v>9.1349999999999998</v>
          </cell>
          <cell r="N2277">
            <v>1481.1910461826308</v>
          </cell>
          <cell r="O2277">
            <v>1611.9554784079726</v>
          </cell>
          <cell r="P2277">
            <v>0.51340430000000004</v>
          </cell>
        </row>
        <row r="2278">
          <cell r="B2278">
            <v>34004</v>
          </cell>
          <cell r="C2278">
            <v>43.86</v>
          </cell>
          <cell r="D2278">
            <v>6.0292369999999998E-3</v>
          </cell>
          <cell r="E2278">
            <v>104.01300000000001</v>
          </cell>
          <cell r="F2278">
            <v>9.6159999999999997</v>
          </cell>
          <cell r="J2278">
            <v>2318.4858457022247</v>
          </cell>
          <cell r="K2278">
            <v>6.0292369999999998E-3</v>
          </cell>
          <cell r="L2278">
            <v>104.01300000000001</v>
          </cell>
          <cell r="M2278">
            <v>9.6159999999999997</v>
          </cell>
          <cell r="N2278">
            <v>1481.1910461826308</v>
          </cell>
          <cell r="O2278">
            <v>1611.9554784079726</v>
          </cell>
          <cell r="P2278">
            <v>0.51340430000000004</v>
          </cell>
        </row>
        <row r="2279">
          <cell r="B2279">
            <v>34005</v>
          </cell>
          <cell r="C2279">
            <v>43.817999999999998</v>
          </cell>
          <cell r="D2279">
            <v>6.1091629999999999E-3</v>
          </cell>
          <cell r="E2279">
            <v>107.476</v>
          </cell>
          <cell r="F2279">
            <v>9.5719999999999992</v>
          </cell>
          <cell r="J2279">
            <v>2352.3496499645512</v>
          </cell>
          <cell r="K2279">
            <v>6.1091629999999999E-3</v>
          </cell>
          <cell r="L2279">
            <v>107.476</v>
          </cell>
          <cell r="M2279">
            <v>9.5719999999999992</v>
          </cell>
          <cell r="N2279">
            <v>1481.1910461826308</v>
          </cell>
          <cell r="O2279">
            <v>1611.9554784079726</v>
          </cell>
          <cell r="P2279">
            <v>0.51340430000000004</v>
          </cell>
        </row>
        <row r="2280">
          <cell r="B2280">
            <v>34008</v>
          </cell>
          <cell r="C2280">
            <v>43.878</v>
          </cell>
          <cell r="D2280">
            <v>6.1898539999999998E-3</v>
          </cell>
          <cell r="E2280">
            <v>109.96299999999999</v>
          </cell>
          <cell r="F2280">
            <v>9.8710000000000004</v>
          </cell>
          <cell r="J2280">
            <v>2386.7551159449326</v>
          </cell>
          <cell r="K2280">
            <v>6.1898539999999998E-3</v>
          </cell>
          <cell r="L2280">
            <v>109.96299999999999</v>
          </cell>
          <cell r="M2280">
            <v>9.8710000000000004</v>
          </cell>
          <cell r="N2280">
            <v>1481.1910461826308</v>
          </cell>
          <cell r="O2280">
            <v>1611.9554784079726</v>
          </cell>
          <cell r="P2280">
            <v>0.51340430000000004</v>
          </cell>
        </row>
        <row r="2281">
          <cell r="B2281">
            <v>34009</v>
          </cell>
          <cell r="C2281">
            <v>43.74</v>
          </cell>
          <cell r="D2281">
            <v>6.2706180000000004E-3</v>
          </cell>
          <cell r="E2281">
            <v>113.777</v>
          </cell>
          <cell r="F2281">
            <v>10.298999999999999</v>
          </cell>
          <cell r="J2281">
            <v>2421.5540055354099</v>
          </cell>
          <cell r="K2281">
            <v>6.2706180000000004E-3</v>
          </cell>
          <cell r="L2281">
            <v>113.777</v>
          </cell>
          <cell r="M2281">
            <v>10.298999999999999</v>
          </cell>
          <cell r="N2281">
            <v>1481.1910461826308</v>
          </cell>
          <cell r="O2281">
            <v>1611.9554784079726</v>
          </cell>
          <cell r="P2281">
            <v>0.51340430000000004</v>
          </cell>
        </row>
        <row r="2282">
          <cell r="B2282">
            <v>34010</v>
          </cell>
          <cell r="C2282">
            <v>43.658999999999999</v>
          </cell>
          <cell r="D2282">
            <v>6.3520360000000001E-3</v>
          </cell>
          <cell r="E2282">
            <v>117.41800000000001</v>
          </cell>
          <cell r="F2282">
            <v>10.464</v>
          </cell>
          <cell r="J2282">
            <v>2456.7948809779668</v>
          </cell>
          <cell r="K2282">
            <v>6.3520360000000001E-3</v>
          </cell>
          <cell r="L2282">
            <v>117.41800000000001</v>
          </cell>
          <cell r="M2282">
            <v>10.464</v>
          </cell>
          <cell r="N2282">
            <v>1481.1910461826308</v>
          </cell>
          <cell r="O2282">
            <v>1611.9554784079726</v>
          </cell>
          <cell r="P2282">
            <v>0.51340430000000004</v>
          </cell>
        </row>
        <row r="2283">
          <cell r="B2283">
            <v>34011</v>
          </cell>
          <cell r="C2283">
            <v>43.59</v>
          </cell>
          <cell r="D2283">
            <v>6.5179280000000001E-3</v>
          </cell>
          <cell r="E2283">
            <v>121.423</v>
          </cell>
          <cell r="F2283">
            <v>11.074</v>
          </cell>
          <cell r="J2283">
            <v>2492.4921105985763</v>
          </cell>
          <cell r="K2283">
            <v>6.5179280000000001E-3</v>
          </cell>
          <cell r="L2283">
            <v>121.423</v>
          </cell>
          <cell r="M2283">
            <v>11.074</v>
          </cell>
          <cell r="N2283">
            <v>1481.1910461826308</v>
          </cell>
          <cell r="O2283">
            <v>1611.9554784079726</v>
          </cell>
          <cell r="P2283">
            <v>0.51340430000000004</v>
          </cell>
        </row>
        <row r="2284">
          <cell r="B2284">
            <v>34012</v>
          </cell>
          <cell r="C2284">
            <v>43.41</v>
          </cell>
          <cell r="D2284">
            <v>6.6024730000000002E-3</v>
          </cell>
          <cell r="E2284">
            <v>120.111</v>
          </cell>
          <cell r="F2284">
            <v>10.61</v>
          </cell>
          <cell r="J2284">
            <v>2528.5584714389379</v>
          </cell>
          <cell r="K2284">
            <v>6.6024730000000002E-3</v>
          </cell>
          <cell r="L2284">
            <v>120.111</v>
          </cell>
          <cell r="M2284">
            <v>10.61</v>
          </cell>
          <cell r="N2284">
            <v>1481.1910461826308</v>
          </cell>
          <cell r="O2284">
            <v>1611.9554784079726</v>
          </cell>
          <cell r="P2284">
            <v>0.51340430000000004</v>
          </cell>
        </row>
        <row r="2285">
          <cell r="B2285">
            <v>34015</v>
          </cell>
          <cell r="C2285">
            <v>43.277999999999999</v>
          </cell>
          <cell r="D2285">
            <v>6.6024550000000001E-3</v>
          </cell>
          <cell r="E2285">
            <v>122.92100000000001</v>
          </cell>
          <cell r="F2285">
            <v>11.356999999999999</v>
          </cell>
          <cell r="J2285">
            <v>2565.035455947916</v>
          </cell>
          <cell r="K2285">
            <v>6.6024550000000001E-3</v>
          </cell>
          <cell r="L2285">
            <v>122.92100000000001</v>
          </cell>
          <cell r="M2285">
            <v>11.356999999999999</v>
          </cell>
          <cell r="N2285">
            <v>1481.1910461826308</v>
          </cell>
          <cell r="O2285">
            <v>1611.9554784079726</v>
          </cell>
          <cell r="P2285">
            <v>0.51340430000000004</v>
          </cell>
        </row>
        <row r="2286">
          <cell r="B2286">
            <v>34016</v>
          </cell>
          <cell r="C2286">
            <v>42.848999999999997</v>
          </cell>
          <cell r="D2286">
            <v>6.6880179999999996E-3</v>
          </cell>
          <cell r="E2286">
            <v>126.27800000000001</v>
          </cell>
          <cell r="F2286">
            <v>11.406000000000001</v>
          </cell>
          <cell r="J2286">
            <v>2601.6718573652201</v>
          </cell>
          <cell r="K2286">
            <v>6.6880179999999996E-3</v>
          </cell>
          <cell r="L2286">
            <v>126.27800000000001</v>
          </cell>
          <cell r="M2286">
            <v>11.406000000000001</v>
          </cell>
          <cell r="N2286">
            <v>1481.1910461826308</v>
          </cell>
          <cell r="O2286">
            <v>1611.9554784079726</v>
          </cell>
          <cell r="P2286">
            <v>0.51340430000000004</v>
          </cell>
        </row>
        <row r="2287">
          <cell r="B2287">
            <v>34017</v>
          </cell>
          <cell r="C2287">
            <v>42.069000000000003</v>
          </cell>
          <cell r="D2287">
            <v>6.7746550000000001E-3</v>
          </cell>
          <cell r="E2287">
            <v>129.04499999999999</v>
          </cell>
          <cell r="F2287">
            <v>12.084</v>
          </cell>
          <cell r="J2287">
            <v>2638.1551018210525</v>
          </cell>
          <cell r="K2287">
            <v>6.7746550000000001E-3</v>
          </cell>
          <cell r="L2287">
            <v>129.04499999999999</v>
          </cell>
          <cell r="M2287">
            <v>12.084</v>
          </cell>
          <cell r="N2287">
            <v>1481.1910461826308</v>
          </cell>
          <cell r="O2287">
            <v>1611.9554784079726</v>
          </cell>
          <cell r="P2287">
            <v>0.51340430000000004</v>
          </cell>
        </row>
        <row r="2288">
          <cell r="B2288">
            <v>34018</v>
          </cell>
          <cell r="C2288">
            <v>41.01</v>
          </cell>
          <cell r="D2288">
            <v>6.8625450000000003E-3</v>
          </cell>
          <cell r="E2288">
            <v>130.97</v>
          </cell>
          <cell r="F2288">
            <v>12.327999999999999</v>
          </cell>
          <cell r="J2288">
            <v>2674.2186820629463</v>
          </cell>
          <cell r="K2288">
            <v>6.8625450000000003E-3</v>
          </cell>
          <cell r="L2288">
            <v>130.97</v>
          </cell>
          <cell r="M2288">
            <v>12.327999999999999</v>
          </cell>
          <cell r="N2288">
            <v>1481.1910461826308</v>
          </cell>
          <cell r="O2288">
            <v>1611.9554784079726</v>
          </cell>
          <cell r="P2288">
            <v>0.51340430000000004</v>
          </cell>
        </row>
        <row r="2289">
          <cell r="B2289">
            <v>34019</v>
          </cell>
          <cell r="C2289">
            <v>80.19</v>
          </cell>
          <cell r="D2289">
            <v>6.9516730000000002E-3</v>
          </cell>
          <cell r="E2289">
            <v>135.26499999999999</v>
          </cell>
          <cell r="F2289">
            <v>13.462999999999999</v>
          </cell>
          <cell r="J2289">
            <v>2745.7005474344887</v>
          </cell>
          <cell r="K2289">
            <v>6.9516730000000002E-3</v>
          </cell>
          <cell r="L2289">
            <v>135.26499999999999</v>
          </cell>
          <cell r="M2289">
            <v>13.462999999999999</v>
          </cell>
          <cell r="N2289">
            <v>1481.1910461826308</v>
          </cell>
          <cell r="O2289">
            <v>1611.9554784079726</v>
          </cell>
          <cell r="P2289">
            <v>0.51340430000000004</v>
          </cell>
        </row>
        <row r="2290">
          <cell r="B2290">
            <v>34024</v>
          </cell>
          <cell r="C2290">
            <v>38.798999999999999</v>
          </cell>
          <cell r="D2290">
            <v>7.0416360000000004E-3</v>
          </cell>
          <cell r="J2290">
            <v>2781.2106926144593</v>
          </cell>
          <cell r="K2290">
            <v>7.0416360000000004E-3</v>
          </cell>
          <cell r="L2290">
            <v>135.26499999999999</v>
          </cell>
          <cell r="M2290">
            <v>13.462999999999999</v>
          </cell>
          <cell r="N2290">
            <v>1481.1910461826308</v>
          </cell>
          <cell r="O2290">
            <v>1611.9554784079726</v>
          </cell>
          <cell r="P2290">
            <v>0.51340430000000004</v>
          </cell>
        </row>
        <row r="2291">
          <cell r="B2291">
            <v>34025</v>
          </cell>
          <cell r="C2291">
            <v>37.200000000000003</v>
          </cell>
          <cell r="D2291">
            <v>7.130763E-3</v>
          </cell>
          <cell r="E2291">
            <v>143.053</v>
          </cell>
          <cell r="F2291">
            <v>14.289</v>
          </cell>
          <cell r="J2291">
            <v>2815.6977052028783</v>
          </cell>
          <cell r="K2291">
            <v>7.130763E-3</v>
          </cell>
          <cell r="L2291">
            <v>143.053</v>
          </cell>
          <cell r="M2291">
            <v>14.289</v>
          </cell>
          <cell r="N2291">
            <v>1481.1910461826308</v>
          </cell>
          <cell r="O2291">
            <v>1611.9554784079726</v>
          </cell>
          <cell r="P2291">
            <v>0.51340430000000004</v>
          </cell>
        </row>
        <row r="2292">
          <cell r="B2292">
            <v>34026</v>
          </cell>
          <cell r="C2292">
            <v>36.069000000000003</v>
          </cell>
          <cell r="D2292">
            <v>7.2210909999999998E-3</v>
          </cell>
          <cell r="E2292">
            <v>145.66999999999999</v>
          </cell>
          <cell r="F2292">
            <v>14.044</v>
          </cell>
          <cell r="G2292">
            <v>26.51</v>
          </cell>
          <cell r="H2292">
            <v>28.42</v>
          </cell>
          <cell r="I2292">
            <v>0.65218770000000004</v>
          </cell>
          <cell r="J2292">
            <v>2849.5508387125324</v>
          </cell>
          <cell r="K2292">
            <v>7.2210909999999998E-3</v>
          </cell>
          <cell r="L2292">
            <v>145.66999999999999</v>
          </cell>
          <cell r="M2292">
            <v>14.044</v>
          </cell>
          <cell r="N2292">
            <v>1873.854792525646</v>
          </cell>
          <cell r="O2292">
            <v>2070.0732253715182</v>
          </cell>
          <cell r="P2292">
            <v>0.65218770000000004</v>
          </cell>
        </row>
        <row r="2293">
          <cell r="B2293">
            <v>34029</v>
          </cell>
          <cell r="C2293">
            <v>35.898000000000003</v>
          </cell>
          <cell r="D2293">
            <v>7.2952729999999997E-3</v>
          </cell>
          <cell r="E2293">
            <v>144.84100000000001</v>
          </cell>
          <cell r="F2293">
            <v>13.266999999999999</v>
          </cell>
          <cell r="J2293">
            <v>2883.6485640485662</v>
          </cell>
          <cell r="K2293">
            <v>7.2952729999999997E-3</v>
          </cell>
          <cell r="L2293">
            <v>144.84100000000001</v>
          </cell>
          <cell r="M2293">
            <v>13.266999999999999</v>
          </cell>
          <cell r="N2293">
            <v>1873.854792525646</v>
          </cell>
          <cell r="O2293">
            <v>2070.0732253715182</v>
          </cell>
          <cell r="P2293">
            <v>0.65218770000000004</v>
          </cell>
        </row>
        <row r="2294">
          <cell r="B2294">
            <v>34030</v>
          </cell>
          <cell r="C2294">
            <v>34.779000000000003</v>
          </cell>
          <cell r="D2294">
            <v>7.3699280000000004E-3</v>
          </cell>
          <cell r="E2294">
            <v>144.54</v>
          </cell>
          <cell r="F2294">
            <v>13.118</v>
          </cell>
          <cell r="J2294">
            <v>2917.0787018515812</v>
          </cell>
          <cell r="K2294">
            <v>7.3699280000000004E-3</v>
          </cell>
          <cell r="L2294">
            <v>144.54</v>
          </cell>
          <cell r="M2294">
            <v>13.118</v>
          </cell>
          <cell r="N2294">
            <v>1873.854792525646</v>
          </cell>
          <cell r="O2294">
            <v>2070.0732253715182</v>
          </cell>
          <cell r="P2294">
            <v>0.65218770000000004</v>
          </cell>
        </row>
        <row r="2295">
          <cell r="B2295">
            <v>34031</v>
          </cell>
          <cell r="C2295">
            <v>33.048000000000002</v>
          </cell>
          <cell r="D2295">
            <v>7.4450180000000003E-3</v>
          </cell>
          <cell r="E2295">
            <v>147.65</v>
          </cell>
          <cell r="F2295">
            <v>13.814</v>
          </cell>
          <cell r="J2295">
            <v>2949.2132408311782</v>
          </cell>
          <cell r="K2295">
            <v>7.4450180000000003E-3</v>
          </cell>
          <cell r="L2295">
            <v>147.65</v>
          </cell>
          <cell r="M2295">
            <v>13.814</v>
          </cell>
          <cell r="N2295">
            <v>1873.854792525646</v>
          </cell>
          <cell r="O2295">
            <v>2070.0732253715182</v>
          </cell>
          <cell r="P2295">
            <v>0.65218770000000004</v>
          </cell>
        </row>
        <row r="2296">
          <cell r="B2296">
            <v>34032</v>
          </cell>
          <cell r="C2296">
            <v>31.908000000000001</v>
          </cell>
          <cell r="D2296">
            <v>7.5205089999999999E-3</v>
          </cell>
          <cell r="E2296">
            <v>151.661</v>
          </cell>
          <cell r="F2296">
            <v>14.391999999999999</v>
          </cell>
          <cell r="J2296">
            <v>2980.5810728606589</v>
          </cell>
          <cell r="K2296">
            <v>7.5205089999999999E-3</v>
          </cell>
          <cell r="L2296">
            <v>151.661</v>
          </cell>
          <cell r="M2296">
            <v>14.391999999999999</v>
          </cell>
          <cell r="N2296">
            <v>1873.854792525646</v>
          </cell>
          <cell r="O2296">
            <v>2070.0732253715182</v>
          </cell>
          <cell r="P2296">
            <v>0.65218770000000004</v>
          </cell>
        </row>
        <row r="2297">
          <cell r="B2297">
            <v>34033</v>
          </cell>
          <cell r="C2297">
            <v>31.367999999999999</v>
          </cell>
          <cell r="D2297">
            <v>7.5965640000000001E-3</v>
          </cell>
          <cell r="E2297">
            <v>151.80600000000001</v>
          </cell>
          <cell r="F2297">
            <v>13.85</v>
          </cell>
          <cell r="J2297">
            <v>3011.7460285584898</v>
          </cell>
          <cell r="K2297">
            <v>7.5965640000000001E-3</v>
          </cell>
          <cell r="L2297">
            <v>151.80600000000001</v>
          </cell>
          <cell r="M2297">
            <v>13.85</v>
          </cell>
          <cell r="N2297">
            <v>1873.854792525646</v>
          </cell>
          <cell r="O2297">
            <v>2070.0732253715182</v>
          </cell>
          <cell r="P2297">
            <v>0.65218770000000004</v>
          </cell>
        </row>
        <row r="2298">
          <cell r="B2298">
            <v>34036</v>
          </cell>
          <cell r="C2298">
            <v>30.93</v>
          </cell>
          <cell r="D2298">
            <v>7.6732730000000004E-3</v>
          </cell>
          <cell r="E2298">
            <v>162.05000000000001</v>
          </cell>
          <cell r="F2298">
            <v>14.974</v>
          </cell>
          <cell r="J2298">
            <v>3042.7971301129278</v>
          </cell>
          <cell r="K2298">
            <v>7.6732730000000004E-3</v>
          </cell>
          <cell r="L2298">
            <v>162.05000000000001</v>
          </cell>
          <cell r="M2298">
            <v>14.974</v>
          </cell>
          <cell r="N2298">
            <v>1873.854792525646</v>
          </cell>
          <cell r="O2298">
            <v>2070.0732253715182</v>
          </cell>
          <cell r="P2298">
            <v>0.65218770000000004</v>
          </cell>
        </row>
        <row r="2299">
          <cell r="B2299">
            <v>34037</v>
          </cell>
          <cell r="C2299">
            <v>30.849</v>
          </cell>
          <cell r="D2299">
            <v>7.7506909999999997E-3</v>
          </cell>
          <cell r="E2299">
            <v>168.541</v>
          </cell>
          <cell r="F2299">
            <v>15.449</v>
          </cell>
          <cell r="J2299">
            <v>3074.0862130018791</v>
          </cell>
          <cell r="K2299">
            <v>7.7506909999999997E-3</v>
          </cell>
          <cell r="L2299">
            <v>168.541</v>
          </cell>
          <cell r="M2299">
            <v>15.449</v>
          </cell>
          <cell r="N2299">
            <v>1873.854792525646</v>
          </cell>
          <cell r="O2299">
            <v>2070.0732253715182</v>
          </cell>
          <cell r="P2299">
            <v>0.65218770000000004</v>
          </cell>
        </row>
        <row r="2300">
          <cell r="B2300">
            <v>34038</v>
          </cell>
          <cell r="C2300">
            <v>30.969000000000001</v>
          </cell>
          <cell r="D2300">
            <v>7.8289450000000003E-3</v>
          </cell>
          <cell r="E2300">
            <v>169.63300000000001</v>
          </cell>
          <cell r="F2300">
            <v>15.019</v>
          </cell>
          <cell r="J2300">
            <v>3105.8200049786979</v>
          </cell>
          <cell r="K2300">
            <v>7.8289450000000003E-3</v>
          </cell>
          <cell r="L2300">
            <v>169.63300000000001</v>
          </cell>
          <cell r="M2300">
            <v>15.019</v>
          </cell>
          <cell r="N2300">
            <v>1873.854792525646</v>
          </cell>
          <cell r="O2300">
            <v>2070.0732253715182</v>
          </cell>
          <cell r="P2300">
            <v>0.65218770000000004</v>
          </cell>
        </row>
        <row r="2301">
          <cell r="B2301">
            <v>34039</v>
          </cell>
          <cell r="C2301">
            <v>30.908999999999999</v>
          </cell>
          <cell r="D2301">
            <v>7.9073449999999997E-3</v>
          </cell>
          <cell r="E2301">
            <v>174.48400000000001</v>
          </cell>
          <cell r="F2301">
            <v>15.118</v>
          </cell>
          <cell r="J2301">
            <v>3137.8192684899932</v>
          </cell>
          <cell r="K2301">
            <v>7.9073449999999997E-3</v>
          </cell>
          <cell r="L2301">
            <v>174.48400000000001</v>
          </cell>
          <cell r="M2301">
            <v>15.118</v>
          </cell>
          <cell r="N2301">
            <v>1873.854792525646</v>
          </cell>
          <cell r="O2301">
            <v>2070.0732253715182</v>
          </cell>
          <cell r="P2301">
            <v>0.65218770000000004</v>
          </cell>
        </row>
        <row r="2302">
          <cell r="B2302">
            <v>34040</v>
          </cell>
          <cell r="C2302">
            <v>30.939</v>
          </cell>
          <cell r="D2302">
            <v>7.9865449999999994E-3</v>
          </cell>
          <cell r="E2302">
            <v>180.42</v>
          </cell>
          <cell r="F2302">
            <v>15.624000000000001</v>
          </cell>
          <cell r="J2302">
            <v>3170.1795986059306</v>
          </cell>
          <cell r="K2302">
            <v>7.9865449999999994E-3</v>
          </cell>
          <cell r="L2302">
            <v>180.42</v>
          </cell>
          <cell r="M2302">
            <v>15.624000000000001</v>
          </cell>
          <cell r="N2302">
            <v>1873.854792525646</v>
          </cell>
          <cell r="O2302">
            <v>2070.0732253715182</v>
          </cell>
          <cell r="P2302">
            <v>0.65218770000000004</v>
          </cell>
        </row>
        <row r="2303">
          <cell r="B2303">
            <v>34043</v>
          </cell>
          <cell r="C2303">
            <v>30.96</v>
          </cell>
          <cell r="D2303">
            <v>8.0665089999999995E-3</v>
          </cell>
          <cell r="E2303">
            <v>189.803</v>
          </cell>
          <cell r="F2303">
            <v>16.687999999999999</v>
          </cell>
          <cell r="J2303">
            <v>3202.8958520635442</v>
          </cell>
          <cell r="K2303">
            <v>8.0665089999999995E-3</v>
          </cell>
          <cell r="L2303">
            <v>189.803</v>
          </cell>
          <cell r="M2303">
            <v>16.687999999999999</v>
          </cell>
          <cell r="N2303">
            <v>1873.854792525646</v>
          </cell>
          <cell r="O2303">
            <v>2070.0732253715182</v>
          </cell>
          <cell r="P2303">
            <v>0.65218770000000004</v>
          </cell>
        </row>
        <row r="2304">
          <cell r="B2304">
            <v>34044</v>
          </cell>
          <cell r="C2304">
            <v>30.969000000000001</v>
          </cell>
          <cell r="D2304">
            <v>8.147273E-3</v>
          </cell>
          <cell r="E2304">
            <v>197.25899999999999</v>
          </cell>
          <cell r="F2304">
            <v>17.405000000000001</v>
          </cell>
          <cell r="J2304">
            <v>3235.9593459443963</v>
          </cell>
          <cell r="K2304">
            <v>8.147273E-3</v>
          </cell>
          <cell r="L2304">
            <v>197.25899999999999</v>
          </cell>
          <cell r="M2304">
            <v>17.405000000000001</v>
          </cell>
          <cell r="N2304">
            <v>1873.854792525646</v>
          </cell>
          <cell r="O2304">
            <v>2070.0732253715182</v>
          </cell>
          <cell r="P2304">
            <v>0.65218770000000004</v>
          </cell>
        </row>
        <row r="2305">
          <cell r="B2305">
            <v>34045</v>
          </cell>
          <cell r="C2305">
            <v>31.119</v>
          </cell>
          <cell r="D2305">
            <v>8.2290909999999991E-3</v>
          </cell>
          <cell r="E2305">
            <v>196.81800000000001</v>
          </cell>
          <cell r="F2305">
            <v>17.108000000000001</v>
          </cell>
          <cell r="J2305">
            <v>3269.5259522398774</v>
          </cell>
          <cell r="K2305">
            <v>8.2290909999999991E-3</v>
          </cell>
          <cell r="L2305">
            <v>196.81800000000001</v>
          </cell>
          <cell r="M2305">
            <v>17.108000000000001</v>
          </cell>
          <cell r="N2305">
            <v>1873.854792525646</v>
          </cell>
          <cell r="O2305">
            <v>2070.0732253715182</v>
          </cell>
          <cell r="P2305">
            <v>0.65218770000000004</v>
          </cell>
        </row>
        <row r="2306">
          <cell r="B2306">
            <v>34046</v>
          </cell>
          <cell r="C2306">
            <v>31.308</v>
          </cell>
          <cell r="D2306">
            <v>8.3117269999999997E-3</v>
          </cell>
          <cell r="E2306">
            <v>200.67500000000001</v>
          </cell>
          <cell r="F2306">
            <v>18.224</v>
          </cell>
          <cell r="J2306">
            <v>3303.6467250774522</v>
          </cell>
          <cell r="K2306">
            <v>8.3117269999999997E-3</v>
          </cell>
          <cell r="L2306">
            <v>200.67500000000001</v>
          </cell>
          <cell r="M2306">
            <v>18.224</v>
          </cell>
          <cell r="N2306">
            <v>1873.854792525646</v>
          </cell>
          <cell r="O2306">
            <v>2070.0732253715182</v>
          </cell>
          <cell r="P2306">
            <v>0.65218770000000004</v>
          </cell>
        </row>
        <row r="2307">
          <cell r="B2307">
            <v>34047</v>
          </cell>
          <cell r="C2307">
            <v>31.809000000000001</v>
          </cell>
          <cell r="D2307">
            <v>8.3956359999999997E-3</v>
          </cell>
          <cell r="E2307">
            <v>201.45099999999999</v>
          </cell>
          <cell r="F2307">
            <v>18.324000000000002</v>
          </cell>
          <cell r="J2307">
            <v>3338.6752913034479</v>
          </cell>
          <cell r="K2307">
            <v>8.3956359999999997E-3</v>
          </cell>
          <cell r="L2307">
            <v>201.45099999999999</v>
          </cell>
          <cell r="M2307">
            <v>18.324000000000002</v>
          </cell>
          <cell r="N2307">
            <v>1873.854792525646</v>
          </cell>
          <cell r="O2307">
            <v>2070.0732253715182</v>
          </cell>
          <cell r="P2307">
            <v>0.65218770000000004</v>
          </cell>
        </row>
        <row r="2308">
          <cell r="B2308">
            <v>34050</v>
          </cell>
          <cell r="C2308">
            <v>32.130000000000003</v>
          </cell>
          <cell r="D2308">
            <v>8.4810909999999996E-3</v>
          </cell>
          <cell r="E2308">
            <v>204.26</v>
          </cell>
          <cell r="F2308">
            <v>18.666</v>
          </cell>
          <cell r="J2308">
            <v>3374.432503673308</v>
          </cell>
          <cell r="K2308">
            <v>8.4810909999999996E-3</v>
          </cell>
          <cell r="L2308">
            <v>204.26</v>
          </cell>
          <cell r="M2308">
            <v>18.666</v>
          </cell>
          <cell r="N2308">
            <v>1873.854792525646</v>
          </cell>
          <cell r="O2308">
            <v>2070.0732253715182</v>
          </cell>
          <cell r="P2308">
            <v>0.65218770000000004</v>
          </cell>
        </row>
        <row r="2309">
          <cell r="B2309">
            <v>34051</v>
          </cell>
          <cell r="C2309">
            <v>32.31</v>
          </cell>
          <cell r="D2309">
            <v>8.5681090000000008E-3</v>
          </cell>
          <cell r="E2309">
            <v>200.79599999999999</v>
          </cell>
          <cell r="F2309">
            <v>18.309000000000001</v>
          </cell>
          <cell r="J2309">
            <v>3410.7751417378695</v>
          </cell>
          <cell r="K2309">
            <v>8.5681090000000008E-3</v>
          </cell>
          <cell r="L2309">
            <v>200.79599999999999</v>
          </cell>
          <cell r="M2309">
            <v>18.309000000000001</v>
          </cell>
          <cell r="N2309">
            <v>1873.854792525646</v>
          </cell>
          <cell r="O2309">
            <v>2070.0732253715182</v>
          </cell>
          <cell r="P2309">
            <v>0.65218770000000004</v>
          </cell>
        </row>
        <row r="2310">
          <cell r="B2310">
            <v>34052</v>
          </cell>
          <cell r="C2310">
            <v>32.4</v>
          </cell>
          <cell r="D2310">
            <v>8.6567269999999995E-3</v>
          </cell>
          <cell r="E2310">
            <v>201.56</v>
          </cell>
          <cell r="F2310">
            <v>18.847999999999999</v>
          </cell>
          <cell r="J2310">
            <v>3447.6115132686382</v>
          </cell>
          <cell r="K2310">
            <v>8.6567269999999995E-3</v>
          </cell>
          <cell r="L2310">
            <v>201.56</v>
          </cell>
          <cell r="M2310">
            <v>18.847999999999999</v>
          </cell>
          <cell r="N2310">
            <v>1873.854792525646</v>
          </cell>
          <cell r="O2310">
            <v>2070.0732253715182</v>
          </cell>
          <cell r="P2310">
            <v>0.65218770000000004</v>
          </cell>
        </row>
        <row r="2311">
          <cell r="B2311">
            <v>34053</v>
          </cell>
          <cell r="C2311">
            <v>32.868000000000002</v>
          </cell>
          <cell r="D2311">
            <v>8.7472000000000001E-3</v>
          </cell>
          <cell r="E2311">
            <v>199.02</v>
          </cell>
          <cell r="F2311">
            <v>18.074000000000002</v>
          </cell>
          <cell r="J2311">
            <v>3485.3835450080092</v>
          </cell>
          <cell r="K2311">
            <v>8.7472000000000001E-3</v>
          </cell>
          <cell r="L2311">
            <v>199.02</v>
          </cell>
          <cell r="M2311">
            <v>18.074000000000002</v>
          </cell>
          <cell r="N2311">
            <v>1873.854792525646</v>
          </cell>
          <cell r="O2311">
            <v>2070.0732253715182</v>
          </cell>
          <cell r="P2311">
            <v>0.65218770000000004</v>
          </cell>
        </row>
        <row r="2312">
          <cell r="B2312">
            <v>34054</v>
          </cell>
          <cell r="C2312">
            <v>33.759</v>
          </cell>
          <cell r="D2312">
            <v>8.8398910000000008E-3</v>
          </cell>
          <cell r="E2312">
            <v>199.93</v>
          </cell>
          <cell r="F2312">
            <v>18.111999999999998</v>
          </cell>
          <cell r="J2312">
            <v>3524.6045660399841</v>
          </cell>
          <cell r="K2312">
            <v>8.8398910000000008E-3</v>
          </cell>
          <cell r="L2312">
            <v>199.93</v>
          </cell>
          <cell r="M2312">
            <v>18.111999999999998</v>
          </cell>
          <cell r="N2312">
            <v>1873.854792525646</v>
          </cell>
          <cell r="O2312">
            <v>2070.0732253715182</v>
          </cell>
          <cell r="P2312">
            <v>0.65218770000000004</v>
          </cell>
        </row>
        <row r="2313">
          <cell r="B2313">
            <v>34057</v>
          </cell>
          <cell r="C2313">
            <v>36.009</v>
          </cell>
          <cell r="D2313">
            <v>8.9369089999999998E-3</v>
          </cell>
          <cell r="E2313">
            <v>201.19300000000001</v>
          </cell>
          <cell r="F2313">
            <v>18.789000000000001</v>
          </cell>
          <cell r="J2313">
            <v>3566.9103946461619</v>
          </cell>
          <cell r="K2313">
            <v>8.9369089999999998E-3</v>
          </cell>
          <cell r="L2313">
            <v>201.19300000000001</v>
          </cell>
          <cell r="M2313">
            <v>18.789000000000001</v>
          </cell>
          <cell r="N2313">
            <v>1873.854792525646</v>
          </cell>
          <cell r="O2313">
            <v>2070.0732253715182</v>
          </cell>
          <cell r="P2313">
            <v>0.65218770000000004</v>
          </cell>
        </row>
        <row r="2314">
          <cell r="B2314">
            <v>34058</v>
          </cell>
          <cell r="C2314">
            <v>38.549999999999997</v>
          </cell>
          <cell r="D2314">
            <v>9.0350910000000003E-3</v>
          </cell>
          <cell r="E2314">
            <v>201.19900000000001</v>
          </cell>
          <cell r="F2314">
            <v>18.786999999999999</v>
          </cell>
          <cell r="J2314">
            <v>3612.7451932173653</v>
          </cell>
          <cell r="K2314">
            <v>9.0350910000000003E-3</v>
          </cell>
          <cell r="L2314">
            <v>201.19900000000001</v>
          </cell>
          <cell r="M2314">
            <v>18.786999999999999</v>
          </cell>
          <cell r="N2314">
            <v>1873.854792525646</v>
          </cell>
          <cell r="O2314">
            <v>2070.0732253715182</v>
          </cell>
          <cell r="P2314">
            <v>0.65218770000000004</v>
          </cell>
        </row>
        <row r="2315">
          <cell r="B2315">
            <v>34059</v>
          </cell>
          <cell r="C2315">
            <v>41.499000000000002</v>
          </cell>
          <cell r="D2315">
            <v>9.1352729999999993E-3</v>
          </cell>
          <cell r="E2315">
            <v>203.05699999999999</v>
          </cell>
          <cell r="F2315">
            <v>19.175999999999998</v>
          </cell>
          <cell r="G2315">
            <v>27.81</v>
          </cell>
          <cell r="H2315">
            <v>26.25</v>
          </cell>
          <cell r="I2315">
            <v>0.82461960000000001</v>
          </cell>
          <cell r="J2315">
            <v>3662.7202974751413</v>
          </cell>
          <cell r="K2315">
            <v>9.1352729999999993E-3</v>
          </cell>
          <cell r="L2315">
            <v>203.05699999999999</v>
          </cell>
          <cell r="M2315">
            <v>19.175999999999998</v>
          </cell>
          <cell r="N2315">
            <v>2394.9738103270283</v>
          </cell>
          <cell r="O2315">
            <v>2613.4674470315417</v>
          </cell>
          <cell r="P2315">
            <v>0.82461960000000001</v>
          </cell>
        </row>
        <row r="2316">
          <cell r="B2316">
            <v>34060</v>
          </cell>
          <cell r="C2316">
            <v>41.94</v>
          </cell>
          <cell r="D2316">
            <v>9.2525449999999992E-3</v>
          </cell>
          <cell r="E2316">
            <v>202.803</v>
          </cell>
          <cell r="F2316">
            <v>18.948</v>
          </cell>
          <cell r="J2316">
            <v>3713.9251272338443</v>
          </cell>
          <cell r="K2316">
            <v>9.2525449999999992E-3</v>
          </cell>
          <cell r="L2316">
            <v>202.803</v>
          </cell>
          <cell r="M2316">
            <v>18.948</v>
          </cell>
          <cell r="N2316">
            <v>2394.9738103270283</v>
          </cell>
          <cell r="O2316">
            <v>2613.4674470315417</v>
          </cell>
          <cell r="P2316">
            <v>0.82461960000000001</v>
          </cell>
        </row>
        <row r="2317">
          <cell r="B2317">
            <v>34061</v>
          </cell>
          <cell r="C2317">
            <v>42.069000000000003</v>
          </cell>
          <cell r="D2317">
            <v>9.3720000000000001E-3</v>
          </cell>
          <cell r="E2317">
            <v>205.35599999999999</v>
          </cell>
          <cell r="F2317">
            <v>19.131</v>
          </cell>
          <cell r="J2317">
            <v>3766.0054992930441</v>
          </cell>
          <cell r="K2317">
            <v>9.3720000000000001E-3</v>
          </cell>
          <cell r="L2317">
            <v>205.35599999999999</v>
          </cell>
          <cell r="M2317">
            <v>19.131</v>
          </cell>
          <cell r="N2317">
            <v>2394.9738103270283</v>
          </cell>
          <cell r="O2317">
            <v>2613.4674470315417</v>
          </cell>
          <cell r="P2317">
            <v>0.82461960000000001</v>
          </cell>
        </row>
        <row r="2318">
          <cell r="B2318">
            <v>34064</v>
          </cell>
          <cell r="C2318">
            <v>42.588000000000001</v>
          </cell>
          <cell r="D2318">
            <v>9.4939640000000006E-3</v>
          </cell>
          <cell r="E2318">
            <v>204.387</v>
          </cell>
          <cell r="F2318">
            <v>18.283999999999999</v>
          </cell>
          <cell r="J2318">
            <v>3819.4677133610085</v>
          </cell>
          <cell r="K2318">
            <v>9.4939640000000006E-3</v>
          </cell>
          <cell r="L2318">
            <v>204.387</v>
          </cell>
          <cell r="M2318">
            <v>18.283999999999999</v>
          </cell>
          <cell r="N2318">
            <v>2394.9738103270283</v>
          </cell>
          <cell r="O2318">
            <v>2613.4674470315417</v>
          </cell>
          <cell r="P2318">
            <v>0.82461960000000001</v>
          </cell>
        </row>
        <row r="2319">
          <cell r="B2319">
            <v>34065</v>
          </cell>
          <cell r="C2319">
            <v>42.69</v>
          </cell>
          <cell r="D2319">
            <v>9.6183640000000008E-3</v>
          </cell>
          <cell r="E2319">
            <v>202.233</v>
          </cell>
          <cell r="F2319">
            <v>18.029</v>
          </cell>
          <cell r="J2319">
            <v>3873.8187389221353</v>
          </cell>
          <cell r="K2319">
            <v>9.6183640000000008E-3</v>
          </cell>
          <cell r="L2319">
            <v>202.233</v>
          </cell>
          <cell r="M2319">
            <v>18.029</v>
          </cell>
          <cell r="N2319">
            <v>2394.9738103270283</v>
          </cell>
          <cell r="O2319">
            <v>2613.4674470315417</v>
          </cell>
          <cell r="P2319">
            <v>0.82461960000000001</v>
          </cell>
        </row>
        <row r="2320">
          <cell r="B2320">
            <v>34066</v>
          </cell>
          <cell r="C2320">
            <v>42.819000000000003</v>
          </cell>
          <cell r="D2320">
            <v>9.7454180000000005E-3</v>
          </cell>
          <cell r="E2320">
            <v>206.374</v>
          </cell>
          <cell r="F2320">
            <v>18.722999999999999</v>
          </cell>
          <cell r="J2320">
            <v>3929.1097537827709</v>
          </cell>
          <cell r="K2320">
            <v>9.7454180000000005E-3</v>
          </cell>
          <cell r="L2320">
            <v>206.374</v>
          </cell>
          <cell r="M2320">
            <v>18.722999999999999</v>
          </cell>
          <cell r="N2320">
            <v>2394.9738103270283</v>
          </cell>
          <cell r="O2320">
            <v>2613.4674470315417</v>
          </cell>
          <cell r="P2320">
            <v>0.82461960000000001</v>
          </cell>
        </row>
        <row r="2321">
          <cell r="B2321">
            <v>34071</v>
          </cell>
          <cell r="C2321">
            <v>43.058999999999997</v>
          </cell>
          <cell r="D2321">
            <v>9.8752370000000003E-3</v>
          </cell>
          <cell r="E2321">
            <v>206.90600000000001</v>
          </cell>
          <cell r="F2321">
            <v>19.155000000000001</v>
          </cell>
          <cell r="J2321">
            <v>3985.5042660788154</v>
          </cell>
          <cell r="K2321">
            <v>9.8752370000000003E-3</v>
          </cell>
          <cell r="L2321">
            <v>206.90600000000001</v>
          </cell>
          <cell r="M2321">
            <v>19.155000000000001</v>
          </cell>
          <cell r="N2321">
            <v>2394.9738103270283</v>
          </cell>
          <cell r="O2321">
            <v>2613.4674470315417</v>
          </cell>
          <cell r="P2321">
            <v>0.82461960000000001</v>
          </cell>
        </row>
        <row r="2322">
          <cell r="B2322">
            <v>34072</v>
          </cell>
          <cell r="C2322">
            <v>42.96</v>
          </cell>
          <cell r="D2322">
            <v>1.000741E-2</v>
          </cell>
          <cell r="E2322">
            <v>209.464</v>
          </cell>
          <cell r="F2322">
            <v>19.747</v>
          </cell>
          <cell r="J2322">
            <v>4042.5766871690644</v>
          </cell>
          <cell r="K2322">
            <v>1.000741E-2</v>
          </cell>
          <cell r="L2322">
            <v>209.464</v>
          </cell>
          <cell r="M2322">
            <v>19.747</v>
          </cell>
          <cell r="N2322">
            <v>2394.9738103270283</v>
          </cell>
          <cell r="O2322">
            <v>2613.4674470315417</v>
          </cell>
          <cell r="P2322">
            <v>0.82461960000000001</v>
          </cell>
        </row>
        <row r="2323">
          <cell r="B2323">
            <v>34073</v>
          </cell>
          <cell r="C2323">
            <v>42.978000000000002</v>
          </cell>
          <cell r="D2323">
            <v>1.014265E-2</v>
          </cell>
          <cell r="E2323">
            <v>218.71299999999999</v>
          </cell>
          <cell r="F2323">
            <v>21.555</v>
          </cell>
          <cell r="J2323">
            <v>4100.4906407894487</v>
          </cell>
          <cell r="K2323">
            <v>1.014265E-2</v>
          </cell>
          <cell r="L2323">
            <v>218.71299999999999</v>
          </cell>
          <cell r="M2323">
            <v>21.555</v>
          </cell>
          <cell r="N2323">
            <v>2394.9738103270283</v>
          </cell>
          <cell r="O2323">
            <v>2613.4674470315417</v>
          </cell>
          <cell r="P2323">
            <v>0.82461960000000001</v>
          </cell>
        </row>
        <row r="2324">
          <cell r="B2324">
            <v>34074</v>
          </cell>
          <cell r="C2324">
            <v>43.05</v>
          </cell>
          <cell r="D2324">
            <v>1.0279999999999999E-2</v>
          </cell>
          <cell r="E2324">
            <v>223.95</v>
          </cell>
          <cell r="F2324">
            <v>21.241</v>
          </cell>
          <cell r="J2324">
            <v>4159.3326814847778</v>
          </cell>
          <cell r="K2324">
            <v>1.0279999999999999E-2</v>
          </cell>
          <cell r="L2324">
            <v>223.95</v>
          </cell>
          <cell r="M2324">
            <v>21.241</v>
          </cell>
          <cell r="N2324">
            <v>2394.9738103270283</v>
          </cell>
          <cell r="O2324">
            <v>2613.4674470315417</v>
          </cell>
          <cell r="P2324">
            <v>0.82461960000000001</v>
          </cell>
        </row>
        <row r="2325">
          <cell r="B2325">
            <v>34075</v>
          </cell>
          <cell r="C2325">
            <v>43.02</v>
          </cell>
          <cell r="D2325">
            <v>1.0419299999999999E-2</v>
          </cell>
          <cell r="E2325">
            <v>225.11799999999999</v>
          </cell>
          <cell r="F2325">
            <v>21.582000000000001</v>
          </cell>
          <cell r="J2325">
            <v>4218.9775121372695</v>
          </cell>
          <cell r="K2325">
            <v>1.0419299999999999E-2</v>
          </cell>
          <cell r="L2325">
            <v>225.11799999999999</v>
          </cell>
          <cell r="M2325">
            <v>21.582000000000001</v>
          </cell>
          <cell r="N2325">
            <v>2394.9738103270283</v>
          </cell>
          <cell r="O2325">
            <v>2613.4674470315417</v>
          </cell>
          <cell r="P2325">
            <v>0.82461960000000001</v>
          </cell>
        </row>
        <row r="2326">
          <cell r="B2326">
            <v>34078</v>
          </cell>
          <cell r="C2326">
            <v>42.848999999999997</v>
          </cell>
          <cell r="D2326">
            <v>1.0560399999999999E-2</v>
          </cell>
          <cell r="E2326">
            <v>230.46700000000001</v>
          </cell>
          <cell r="F2326">
            <v>21.847000000000001</v>
          </cell>
          <cell r="J2326">
            <v>4279.2371679431262</v>
          </cell>
          <cell r="K2326">
            <v>1.0560399999999999E-2</v>
          </cell>
          <cell r="L2326">
            <v>230.46700000000001</v>
          </cell>
          <cell r="M2326">
            <v>21.847000000000001</v>
          </cell>
          <cell r="N2326">
            <v>2394.9738103270283</v>
          </cell>
          <cell r="O2326">
            <v>2613.4674470315417</v>
          </cell>
          <cell r="P2326">
            <v>0.82461960000000001</v>
          </cell>
        </row>
        <row r="2327">
          <cell r="B2327">
            <v>34079</v>
          </cell>
          <cell r="C2327">
            <v>42.6</v>
          </cell>
          <cell r="D2327">
            <v>1.070341E-2</v>
          </cell>
          <cell r="E2327">
            <v>241.85300000000001</v>
          </cell>
          <cell r="F2327">
            <v>23.291</v>
          </cell>
          <cell r="J2327">
            <v>4340.0023357279188</v>
          </cell>
          <cell r="K2327">
            <v>1.070341E-2</v>
          </cell>
          <cell r="L2327">
            <v>241.85300000000001</v>
          </cell>
          <cell r="M2327">
            <v>23.291</v>
          </cell>
          <cell r="N2327">
            <v>2394.9738103270283</v>
          </cell>
          <cell r="O2327">
            <v>2613.4674470315417</v>
          </cell>
          <cell r="P2327">
            <v>0.82461960000000001</v>
          </cell>
        </row>
        <row r="2328">
          <cell r="B2328">
            <v>34081</v>
          </cell>
          <cell r="C2328">
            <v>42.258000000000003</v>
          </cell>
          <cell r="D2328">
            <v>1.0848399999999999E-2</v>
          </cell>
          <cell r="E2328">
            <v>245.60499999999999</v>
          </cell>
          <cell r="F2328">
            <v>23.591000000000001</v>
          </cell>
          <cell r="J2328">
            <v>4401.1356086289825</v>
          </cell>
          <cell r="K2328">
            <v>1.0848399999999999E-2</v>
          </cell>
          <cell r="L2328">
            <v>245.60499999999999</v>
          </cell>
          <cell r="M2328">
            <v>23.591000000000001</v>
          </cell>
          <cell r="N2328">
            <v>2394.9738103270283</v>
          </cell>
          <cell r="O2328">
            <v>2613.4674470315417</v>
          </cell>
          <cell r="P2328">
            <v>0.82461960000000001</v>
          </cell>
        </row>
        <row r="2329">
          <cell r="B2329">
            <v>34082</v>
          </cell>
          <cell r="C2329">
            <v>42.098999999999997</v>
          </cell>
          <cell r="D2329">
            <v>1.099345E-2</v>
          </cell>
          <cell r="E2329">
            <v>246.03800000000001</v>
          </cell>
          <cell r="F2329">
            <v>23.338000000000001</v>
          </cell>
          <cell r="J2329">
            <v>4462.8967446248726</v>
          </cell>
          <cell r="K2329">
            <v>1.099345E-2</v>
          </cell>
          <cell r="L2329">
            <v>246.03800000000001</v>
          </cell>
          <cell r="M2329">
            <v>23.338000000000001</v>
          </cell>
          <cell r="N2329">
            <v>2394.9738103270283</v>
          </cell>
          <cell r="O2329">
            <v>2613.4674470315417</v>
          </cell>
          <cell r="P2329">
            <v>0.82461960000000001</v>
          </cell>
        </row>
        <row r="2330">
          <cell r="B2330">
            <v>34085</v>
          </cell>
          <cell r="C2330">
            <v>42.189</v>
          </cell>
          <cell r="D2330">
            <v>1.1136E-2</v>
          </cell>
          <cell r="E2330">
            <v>252.774</v>
          </cell>
          <cell r="F2330">
            <v>24.821000000000002</v>
          </cell>
          <cell r="J2330">
            <v>4525.6584615445317</v>
          </cell>
          <cell r="K2330">
            <v>1.1136E-2</v>
          </cell>
          <cell r="L2330">
            <v>252.774</v>
          </cell>
          <cell r="M2330">
            <v>24.821000000000002</v>
          </cell>
          <cell r="N2330">
            <v>2394.9738103270283</v>
          </cell>
          <cell r="O2330">
            <v>2613.4674470315417</v>
          </cell>
          <cell r="P2330">
            <v>0.82461960000000001</v>
          </cell>
        </row>
        <row r="2331">
          <cell r="B2331">
            <v>34086</v>
          </cell>
          <cell r="C2331">
            <v>41.688000000000002</v>
          </cell>
          <cell r="D2331">
            <v>1.128556E-2</v>
          </cell>
          <cell r="E2331">
            <v>255.69399999999999</v>
          </cell>
          <cell r="F2331">
            <v>24.547999999999998</v>
          </cell>
          <cell r="J2331">
            <v>4588.5470115261542</v>
          </cell>
          <cell r="K2331">
            <v>1.128556E-2</v>
          </cell>
          <cell r="L2331">
            <v>255.69399999999999</v>
          </cell>
          <cell r="M2331">
            <v>24.547999999999998</v>
          </cell>
          <cell r="N2331">
            <v>2394.9738103270283</v>
          </cell>
          <cell r="O2331">
            <v>2613.4674470315417</v>
          </cell>
          <cell r="P2331">
            <v>0.82461960000000001</v>
          </cell>
        </row>
        <row r="2332">
          <cell r="B2332">
            <v>34087</v>
          </cell>
          <cell r="C2332">
            <v>41.228999999999999</v>
          </cell>
          <cell r="D2332">
            <v>1.1436099999999999E-2</v>
          </cell>
          <cell r="E2332">
            <v>256.01</v>
          </cell>
          <cell r="F2332">
            <v>24.311</v>
          </cell>
          <cell r="J2332">
            <v>4651.6074131055584</v>
          </cell>
          <cell r="K2332">
            <v>1.1436099999999999E-2</v>
          </cell>
          <cell r="L2332">
            <v>256.01</v>
          </cell>
          <cell r="M2332">
            <v>24.311</v>
          </cell>
          <cell r="N2332">
            <v>2394.9738103270283</v>
          </cell>
          <cell r="O2332">
            <v>2613.4674470315417</v>
          </cell>
          <cell r="P2332">
            <v>0.82461960000000001</v>
          </cell>
        </row>
        <row r="2333">
          <cell r="B2333">
            <v>34088</v>
          </cell>
          <cell r="C2333">
            <v>40.389000000000003</v>
          </cell>
          <cell r="D2333">
            <v>1.158618E-2</v>
          </cell>
          <cell r="E2333">
            <v>254.20599999999999</v>
          </cell>
          <cell r="F2333">
            <v>23.669</v>
          </cell>
          <cell r="J2333">
            <v>4714.2320037081981</v>
          </cell>
          <cell r="K2333">
            <v>1.158618E-2</v>
          </cell>
          <cell r="L2333">
            <v>254.20599999999999</v>
          </cell>
          <cell r="M2333">
            <v>23.669</v>
          </cell>
          <cell r="N2333">
            <v>2394.9738103270283</v>
          </cell>
          <cell r="O2333">
            <v>2613.4674470315417</v>
          </cell>
          <cell r="P2333">
            <v>0.82461960000000001</v>
          </cell>
        </row>
        <row r="2334">
          <cell r="B2334">
            <v>34089</v>
          </cell>
          <cell r="C2334">
            <v>39.069000000000003</v>
          </cell>
          <cell r="D2334">
            <v>1.1733810000000001E-2</v>
          </cell>
          <cell r="E2334">
            <v>257.14400000000001</v>
          </cell>
          <cell r="F2334">
            <v>24.084</v>
          </cell>
          <cell r="G2334">
            <v>28.22</v>
          </cell>
          <cell r="H2334">
            <v>28.83</v>
          </cell>
          <cell r="I2334">
            <v>1.0626139999999999</v>
          </cell>
          <cell r="J2334">
            <v>4775.6254470924896</v>
          </cell>
          <cell r="K2334">
            <v>1.1733810000000001E-2</v>
          </cell>
          <cell r="L2334">
            <v>257.14400000000001</v>
          </cell>
          <cell r="M2334">
            <v>24.084</v>
          </cell>
          <cell r="N2334">
            <v>3070.8354196013156</v>
          </cell>
          <cell r="O2334">
            <v>3366.9301120107352</v>
          </cell>
          <cell r="P2334">
            <v>1.0626139999999999</v>
          </cell>
        </row>
        <row r="2335">
          <cell r="B2335">
            <v>34092</v>
          </cell>
          <cell r="C2335">
            <v>39.158999999999999</v>
          </cell>
          <cell r="D2335">
            <v>1.187818E-2</v>
          </cell>
          <cell r="E2335">
            <v>258.55200000000002</v>
          </cell>
          <cell r="F2335">
            <v>24.053999999999998</v>
          </cell>
          <cell r="J2335">
            <v>4837.9616860533879</v>
          </cell>
          <cell r="K2335">
            <v>1.187818E-2</v>
          </cell>
          <cell r="L2335">
            <v>258.55200000000002</v>
          </cell>
          <cell r="M2335">
            <v>24.053999999999998</v>
          </cell>
          <cell r="N2335">
            <v>3070.8354196013156</v>
          </cell>
          <cell r="O2335">
            <v>3366.9301120107352</v>
          </cell>
          <cell r="P2335">
            <v>1.0626139999999999</v>
          </cell>
        </row>
        <row r="2336">
          <cell r="B2336">
            <v>34093</v>
          </cell>
          <cell r="C2336">
            <v>39.128999999999998</v>
          </cell>
          <cell r="D2336">
            <v>1.2024429999999999E-2</v>
          </cell>
          <cell r="E2336">
            <v>261.70999999999998</v>
          </cell>
          <cell r="F2336">
            <v>24.922000000000001</v>
          </cell>
          <cell r="J2336">
            <v>4901.0632203245814</v>
          </cell>
          <cell r="K2336">
            <v>1.2024429999999999E-2</v>
          </cell>
          <cell r="L2336">
            <v>261.70999999999998</v>
          </cell>
          <cell r="M2336">
            <v>24.922000000000001</v>
          </cell>
          <cell r="N2336">
            <v>3070.8354196013156</v>
          </cell>
          <cell r="O2336">
            <v>3366.9301120107352</v>
          </cell>
          <cell r="P2336">
            <v>1.0626139999999999</v>
          </cell>
        </row>
        <row r="2337">
          <cell r="B2337">
            <v>34094</v>
          </cell>
          <cell r="C2337">
            <v>38.948999999999998</v>
          </cell>
          <cell r="D2337">
            <v>1.2172469999999999E-2</v>
          </cell>
          <cell r="E2337">
            <v>260.5</v>
          </cell>
          <cell r="F2337">
            <v>24.614999999999998</v>
          </cell>
          <cell r="J2337">
            <v>4964.6937241140549</v>
          </cell>
          <cell r="K2337">
            <v>1.2172469999999999E-2</v>
          </cell>
          <cell r="L2337">
            <v>260.5</v>
          </cell>
          <cell r="M2337">
            <v>24.614999999999998</v>
          </cell>
          <cell r="N2337">
            <v>3070.8354196013156</v>
          </cell>
          <cell r="O2337">
            <v>3366.9301120107352</v>
          </cell>
          <cell r="P2337">
            <v>1.0626139999999999</v>
          </cell>
        </row>
        <row r="2338">
          <cell r="B2338">
            <v>34095</v>
          </cell>
          <cell r="C2338">
            <v>38.67</v>
          </cell>
          <cell r="D2338">
            <v>1.2322069999999999E-2</v>
          </cell>
          <cell r="E2338">
            <v>267.13299999999998</v>
          </cell>
          <cell r="F2338">
            <v>25.553000000000001</v>
          </cell>
          <cell r="J2338">
            <v>5028.688626217885</v>
          </cell>
          <cell r="K2338">
            <v>1.2322069999999999E-2</v>
          </cell>
          <cell r="L2338">
            <v>267.13299999999998</v>
          </cell>
          <cell r="M2338">
            <v>25.553000000000001</v>
          </cell>
          <cell r="N2338">
            <v>3070.8354196013156</v>
          </cell>
          <cell r="O2338">
            <v>3366.9301120107352</v>
          </cell>
          <cell r="P2338">
            <v>1.0626139999999999</v>
          </cell>
        </row>
        <row r="2339">
          <cell r="B2339">
            <v>34096</v>
          </cell>
          <cell r="C2339">
            <v>38.529000000000003</v>
          </cell>
          <cell r="D2339">
            <v>1.2473339999999999E-2</v>
          </cell>
          <cell r="E2339">
            <v>271.27499999999998</v>
          </cell>
          <cell r="F2339">
            <v>25.847999999999999</v>
          </cell>
          <cell r="J2339">
            <v>5093.2720742444008</v>
          </cell>
          <cell r="K2339">
            <v>1.2473339999999999E-2</v>
          </cell>
          <cell r="L2339">
            <v>271.27499999999998</v>
          </cell>
          <cell r="M2339">
            <v>25.847999999999999</v>
          </cell>
          <cell r="N2339">
            <v>3070.8354196013156</v>
          </cell>
          <cell r="O2339">
            <v>3366.9301120107352</v>
          </cell>
          <cell r="P2339">
            <v>1.0626139999999999</v>
          </cell>
        </row>
        <row r="2340">
          <cell r="B2340">
            <v>34099</v>
          </cell>
          <cell r="C2340">
            <v>38.28</v>
          </cell>
          <cell r="D2340">
            <v>1.278021E-2</v>
          </cell>
          <cell r="E2340">
            <v>273.09699999999998</v>
          </cell>
          <cell r="F2340">
            <v>25.242000000000001</v>
          </cell>
          <cell r="J2340">
            <v>5158.2622259117597</v>
          </cell>
          <cell r="K2340">
            <v>1.278021E-2</v>
          </cell>
          <cell r="L2340">
            <v>273.09699999999998</v>
          </cell>
          <cell r="M2340">
            <v>25.242000000000001</v>
          </cell>
          <cell r="N2340">
            <v>3070.8354196013156</v>
          </cell>
          <cell r="O2340">
            <v>3366.9301120107352</v>
          </cell>
          <cell r="P2340">
            <v>1.0626139999999999</v>
          </cell>
        </row>
        <row r="2341">
          <cell r="B2341">
            <v>34100</v>
          </cell>
          <cell r="C2341">
            <v>38.228999999999999</v>
          </cell>
          <cell r="D2341">
            <v>1.278021E-2</v>
          </cell>
          <cell r="E2341">
            <v>278.16000000000003</v>
          </cell>
          <cell r="F2341">
            <v>26.283000000000001</v>
          </cell>
          <cell r="J2341">
            <v>5223.9939614565528</v>
          </cell>
          <cell r="K2341">
            <v>1.278021E-2</v>
          </cell>
          <cell r="L2341">
            <v>278.16000000000003</v>
          </cell>
          <cell r="M2341">
            <v>26.283000000000001</v>
          </cell>
          <cell r="N2341">
            <v>3070.8354196013156</v>
          </cell>
          <cell r="O2341">
            <v>3366.9301120107352</v>
          </cell>
          <cell r="P2341">
            <v>1.0626139999999999</v>
          </cell>
        </row>
        <row r="2342">
          <cell r="B2342">
            <v>34101</v>
          </cell>
          <cell r="C2342">
            <v>38.01</v>
          </cell>
          <cell r="D2342">
            <v>1.293643E-2</v>
          </cell>
          <cell r="E2342">
            <v>284.90199999999999</v>
          </cell>
          <cell r="F2342">
            <v>26.689</v>
          </cell>
          <cell r="J2342">
            <v>5290.1819649482068</v>
          </cell>
          <cell r="K2342">
            <v>1.293643E-2</v>
          </cell>
          <cell r="L2342">
            <v>284.90199999999999</v>
          </cell>
          <cell r="M2342">
            <v>26.689</v>
          </cell>
          <cell r="N2342">
            <v>3070.8354196013156</v>
          </cell>
          <cell r="O2342">
            <v>3366.9301120107352</v>
          </cell>
          <cell r="P2342">
            <v>1.0626139999999999</v>
          </cell>
        </row>
        <row r="2343">
          <cell r="B2343">
            <v>34102</v>
          </cell>
          <cell r="C2343">
            <v>37.929000000000002</v>
          </cell>
          <cell r="D2343">
            <v>1.3093810000000001E-2</v>
          </cell>
          <cell r="E2343">
            <v>290.66699999999997</v>
          </cell>
          <cell r="F2343">
            <v>27.413</v>
          </cell>
          <cell r="J2343">
            <v>5357.0657355310468</v>
          </cell>
          <cell r="K2343">
            <v>1.3093810000000001E-2</v>
          </cell>
          <cell r="L2343">
            <v>290.66699999999997</v>
          </cell>
          <cell r="M2343">
            <v>27.413</v>
          </cell>
          <cell r="N2343">
            <v>3070.8354196013156</v>
          </cell>
          <cell r="O2343">
            <v>3366.9301120107352</v>
          </cell>
          <cell r="P2343">
            <v>1.0626139999999999</v>
          </cell>
        </row>
        <row r="2344">
          <cell r="B2344">
            <v>34103</v>
          </cell>
          <cell r="C2344">
            <v>38.04</v>
          </cell>
          <cell r="D2344">
            <v>1.325287E-2</v>
          </cell>
          <cell r="E2344">
            <v>297.358</v>
          </cell>
          <cell r="F2344">
            <v>27.847999999999999</v>
          </cell>
          <cell r="J2344">
            <v>5424.9933290575809</v>
          </cell>
          <cell r="K2344">
            <v>1.325287E-2</v>
          </cell>
          <cell r="L2344">
            <v>297.358</v>
          </cell>
          <cell r="M2344">
            <v>27.847999999999999</v>
          </cell>
          <cell r="N2344">
            <v>3070.8354196013156</v>
          </cell>
          <cell r="O2344">
            <v>3366.9301120107352</v>
          </cell>
          <cell r="P2344">
            <v>1.0626139999999999</v>
          </cell>
        </row>
        <row r="2345">
          <cell r="B2345">
            <v>34106</v>
          </cell>
          <cell r="C2345">
            <v>38.07</v>
          </cell>
          <cell r="D2345">
            <v>1.3413960000000001E-2</v>
          </cell>
          <cell r="E2345">
            <v>304.10500000000002</v>
          </cell>
          <cell r="F2345">
            <v>29.268999999999998</v>
          </cell>
          <cell r="J2345">
            <v>5493.8364944033219</v>
          </cell>
          <cell r="K2345">
            <v>1.3413960000000001E-2</v>
          </cell>
          <cell r="L2345">
            <v>304.10500000000002</v>
          </cell>
          <cell r="M2345">
            <v>29.268999999999998</v>
          </cell>
          <cell r="N2345">
            <v>3070.8354196013156</v>
          </cell>
          <cell r="O2345">
            <v>3366.9301120107352</v>
          </cell>
          <cell r="P2345">
            <v>1.0626139999999999</v>
          </cell>
        </row>
        <row r="2346">
          <cell r="B2346">
            <v>34107</v>
          </cell>
          <cell r="C2346">
            <v>38.259</v>
          </cell>
          <cell r="D2346">
            <v>1.357705E-2</v>
          </cell>
          <cell r="E2346">
            <v>309.36599999999999</v>
          </cell>
          <cell r="F2346">
            <v>29.481999999999999</v>
          </cell>
          <cell r="J2346">
            <v>5563.8993912164478</v>
          </cell>
          <cell r="K2346">
            <v>1.357705E-2</v>
          </cell>
          <cell r="L2346">
            <v>309.36599999999999</v>
          </cell>
          <cell r="M2346">
            <v>29.481999999999999</v>
          </cell>
          <cell r="N2346">
            <v>3070.8354196013156</v>
          </cell>
          <cell r="O2346">
            <v>3366.9301120107352</v>
          </cell>
          <cell r="P2346">
            <v>1.0626139999999999</v>
          </cell>
        </row>
        <row r="2347">
          <cell r="B2347">
            <v>34108</v>
          </cell>
          <cell r="C2347">
            <v>38.228999999999999</v>
          </cell>
          <cell r="D2347">
            <v>1.37421E-2</v>
          </cell>
          <cell r="E2347">
            <v>313.81</v>
          </cell>
          <cell r="F2347">
            <v>29.876000000000001</v>
          </cell>
          <cell r="J2347">
            <v>5634.8001611587188</v>
          </cell>
          <cell r="K2347">
            <v>1.37421E-2</v>
          </cell>
          <cell r="L2347">
            <v>313.81</v>
          </cell>
          <cell r="M2347">
            <v>29.876000000000001</v>
          </cell>
          <cell r="N2347">
            <v>3070.8354196013156</v>
          </cell>
          <cell r="O2347">
            <v>3366.9301120107352</v>
          </cell>
          <cell r="P2347">
            <v>1.0626139999999999</v>
          </cell>
        </row>
        <row r="2348">
          <cell r="B2348">
            <v>34109</v>
          </cell>
          <cell r="C2348">
            <v>38.268000000000001</v>
          </cell>
          <cell r="D2348">
            <v>1.39092E-2</v>
          </cell>
          <cell r="E2348">
            <v>327.85300000000001</v>
          </cell>
          <cell r="F2348">
            <v>32.011000000000003</v>
          </cell>
          <cell r="J2348">
            <v>5706.6776720144589</v>
          </cell>
          <cell r="K2348">
            <v>1.39092E-2</v>
          </cell>
          <cell r="L2348">
            <v>327.85300000000001</v>
          </cell>
          <cell r="M2348">
            <v>32.011000000000003</v>
          </cell>
          <cell r="N2348">
            <v>3070.8354196013156</v>
          </cell>
          <cell r="O2348">
            <v>3366.9301120107352</v>
          </cell>
          <cell r="P2348">
            <v>1.0626139999999999</v>
          </cell>
        </row>
        <row r="2349">
          <cell r="B2349">
            <v>34110</v>
          </cell>
          <cell r="C2349">
            <v>38.387999999999998</v>
          </cell>
          <cell r="D2349">
            <v>1.407829E-2</v>
          </cell>
          <cell r="E2349">
            <v>336.69299999999998</v>
          </cell>
          <cell r="F2349">
            <v>33.167999999999999</v>
          </cell>
          <cell r="J2349">
            <v>5779.7003195055559</v>
          </cell>
          <cell r="K2349">
            <v>1.407829E-2</v>
          </cell>
          <cell r="L2349">
            <v>336.69299999999998</v>
          </cell>
          <cell r="M2349">
            <v>33.167999999999999</v>
          </cell>
          <cell r="N2349">
            <v>3070.8354196013156</v>
          </cell>
          <cell r="O2349">
            <v>3366.9301120107352</v>
          </cell>
          <cell r="P2349">
            <v>1.0626139999999999</v>
          </cell>
        </row>
        <row r="2350">
          <cell r="B2350">
            <v>34113</v>
          </cell>
          <cell r="C2350">
            <v>38.537999999999997</v>
          </cell>
          <cell r="D2350">
            <v>1.4250000000000001E-2</v>
          </cell>
          <cell r="E2350">
            <v>342.036</v>
          </cell>
          <cell r="F2350">
            <v>33.750999999999998</v>
          </cell>
          <cell r="J2350">
            <v>5853.946349809924</v>
          </cell>
          <cell r="K2350">
            <v>1.4250000000000001E-2</v>
          </cell>
          <cell r="L2350">
            <v>342.036</v>
          </cell>
          <cell r="M2350">
            <v>33.750999999999998</v>
          </cell>
          <cell r="N2350">
            <v>3070.8354196013156</v>
          </cell>
          <cell r="O2350">
            <v>3366.9301120107352</v>
          </cell>
          <cell r="P2350">
            <v>1.0626139999999999</v>
          </cell>
        </row>
        <row r="2351">
          <cell r="B2351">
            <v>34114</v>
          </cell>
          <cell r="C2351">
            <v>38.768999999999998</v>
          </cell>
          <cell r="D2351">
            <v>1.4424289999999999E-2</v>
          </cell>
          <cell r="E2351">
            <v>349.411</v>
          </cell>
          <cell r="F2351">
            <v>34.436</v>
          </cell>
          <cell r="J2351">
            <v>5929.5968984885176</v>
          </cell>
          <cell r="K2351">
            <v>1.4424289999999999E-2</v>
          </cell>
          <cell r="L2351">
            <v>349.411</v>
          </cell>
          <cell r="M2351">
            <v>34.436</v>
          </cell>
          <cell r="N2351">
            <v>3070.8354196013156</v>
          </cell>
          <cell r="O2351">
            <v>3366.9301120107352</v>
          </cell>
          <cell r="P2351">
            <v>1.0626139999999999</v>
          </cell>
        </row>
        <row r="2352">
          <cell r="B2352">
            <v>34115</v>
          </cell>
          <cell r="C2352">
            <v>39.090000000000003</v>
          </cell>
          <cell r="D2352">
            <v>1.4602179999999999E-2</v>
          </cell>
          <cell r="E2352">
            <v>357.33600000000001</v>
          </cell>
          <cell r="F2352">
            <v>35.003</v>
          </cell>
          <cell r="J2352">
            <v>6006.8595460758233</v>
          </cell>
          <cell r="K2352">
            <v>1.4602179999999999E-2</v>
          </cell>
          <cell r="L2352">
            <v>357.33600000000001</v>
          </cell>
          <cell r="M2352">
            <v>35.003</v>
          </cell>
          <cell r="N2352">
            <v>3070.8354196013156</v>
          </cell>
          <cell r="O2352">
            <v>3366.9301120107352</v>
          </cell>
          <cell r="P2352">
            <v>1.0626139999999999</v>
          </cell>
        </row>
        <row r="2353">
          <cell r="B2353">
            <v>34116</v>
          </cell>
          <cell r="C2353">
            <v>39.609000000000002</v>
          </cell>
          <cell r="D2353">
            <v>1.4969090000000001E-2</v>
          </cell>
          <cell r="E2353">
            <v>357.94799999999998</v>
          </cell>
          <cell r="F2353">
            <v>34.573999999999998</v>
          </cell>
          <cell r="J2353">
            <v>6086.1681126626627</v>
          </cell>
          <cell r="K2353">
            <v>1.4969090000000001E-2</v>
          </cell>
          <cell r="L2353">
            <v>357.94799999999998</v>
          </cell>
          <cell r="M2353">
            <v>34.573999999999998</v>
          </cell>
          <cell r="N2353">
            <v>3070.8354196013156</v>
          </cell>
          <cell r="O2353">
            <v>3366.9301120107352</v>
          </cell>
          <cell r="P2353">
            <v>1.0626139999999999</v>
          </cell>
        </row>
        <row r="2354">
          <cell r="B2354">
            <v>34117</v>
          </cell>
          <cell r="C2354">
            <v>40.47</v>
          </cell>
          <cell r="D2354">
            <v>1.5163630000000001E-2</v>
          </cell>
          <cell r="E2354">
            <v>362.904</v>
          </cell>
          <cell r="F2354">
            <v>34.893000000000001</v>
          </cell>
          <cell r="J2354">
            <v>6168.2705205024822</v>
          </cell>
          <cell r="K2354">
            <v>1.5163630000000001E-2</v>
          </cell>
          <cell r="L2354">
            <v>362.904</v>
          </cell>
          <cell r="M2354">
            <v>34.893000000000001</v>
          </cell>
          <cell r="N2354">
            <v>3070.8354196013156</v>
          </cell>
          <cell r="O2354">
            <v>3366.9301120107352</v>
          </cell>
          <cell r="P2354">
            <v>1.0626139999999999</v>
          </cell>
        </row>
        <row r="2355">
          <cell r="B2355">
            <v>34120</v>
          </cell>
          <cell r="C2355">
            <v>40.98</v>
          </cell>
          <cell r="D2355">
            <v>1.5163630000000001E-2</v>
          </cell>
          <cell r="E2355">
            <v>368.99599999999998</v>
          </cell>
          <cell r="F2355">
            <v>35.405999999999999</v>
          </cell>
          <cell r="G2355">
            <v>32.270000000000003</v>
          </cell>
          <cell r="H2355">
            <v>29.7</v>
          </cell>
          <cell r="I2355">
            <v>1.3742080000000001</v>
          </cell>
          <cell r="J2355">
            <v>6252.5290958125461</v>
          </cell>
          <cell r="K2355">
            <v>1.5163630000000001E-2</v>
          </cell>
          <cell r="L2355">
            <v>368.99599999999998</v>
          </cell>
          <cell r="M2355">
            <v>35.405999999999999</v>
          </cell>
          <cell r="N2355">
            <v>4061.7940095066601</v>
          </cell>
          <cell r="O2355">
            <v>4366.908355277923</v>
          </cell>
          <cell r="P2355">
            <v>1.3742080000000001</v>
          </cell>
        </row>
        <row r="2356">
          <cell r="B2356">
            <v>34121</v>
          </cell>
          <cell r="C2356">
            <v>40.988999999999997</v>
          </cell>
          <cell r="D2356">
            <v>1.5359869999999999E-2</v>
          </cell>
          <cell r="E2356">
            <v>374.14800000000002</v>
          </cell>
          <cell r="F2356">
            <v>37.173999999999999</v>
          </cell>
          <cell r="J2356">
            <v>6337.9574008486325</v>
          </cell>
          <cell r="K2356">
            <v>1.5359869999999999E-2</v>
          </cell>
          <cell r="L2356">
            <v>374.14800000000002</v>
          </cell>
          <cell r="M2356">
            <v>37.173999999999999</v>
          </cell>
          <cell r="N2356">
            <v>4061.7940095066601</v>
          </cell>
          <cell r="O2356">
            <v>4366.908355277923</v>
          </cell>
          <cell r="P2356">
            <v>1.3742080000000001</v>
          </cell>
        </row>
        <row r="2357">
          <cell r="B2357">
            <v>34122</v>
          </cell>
          <cell r="C2357">
            <v>40.950000000000003</v>
          </cell>
          <cell r="D2357">
            <v>1.555865E-2</v>
          </cell>
          <cell r="E2357">
            <v>390.27100000000002</v>
          </cell>
          <cell r="F2357">
            <v>39.252000000000002</v>
          </cell>
          <cell r="J2357">
            <v>6424.4705193702157</v>
          </cell>
          <cell r="K2357">
            <v>1.555865E-2</v>
          </cell>
          <cell r="L2357">
            <v>390.27100000000002</v>
          </cell>
          <cell r="M2357">
            <v>39.252000000000002</v>
          </cell>
          <cell r="N2357">
            <v>4061.7940095066601</v>
          </cell>
          <cell r="O2357">
            <v>4366.908355277923</v>
          </cell>
          <cell r="P2357">
            <v>1.3742080000000001</v>
          </cell>
        </row>
        <row r="2358">
          <cell r="B2358">
            <v>34123</v>
          </cell>
          <cell r="C2358">
            <v>40.878</v>
          </cell>
          <cell r="D2358">
            <v>1.576E-2</v>
          </cell>
          <cell r="E2358">
            <v>396.79</v>
          </cell>
          <cell r="F2358">
            <v>40.764000000000003</v>
          </cell>
          <cell r="J2358">
            <v>6512.0103546671535</v>
          </cell>
          <cell r="K2358">
            <v>1.576E-2</v>
          </cell>
          <cell r="L2358">
            <v>396.79</v>
          </cell>
          <cell r="M2358">
            <v>40.764000000000003</v>
          </cell>
          <cell r="N2358">
            <v>4061.7940095066601</v>
          </cell>
          <cell r="O2358">
            <v>4366.908355277923</v>
          </cell>
          <cell r="P2358">
            <v>1.3742080000000001</v>
          </cell>
        </row>
        <row r="2359">
          <cell r="B2359">
            <v>34124</v>
          </cell>
          <cell r="C2359">
            <v>40.719000000000001</v>
          </cell>
          <cell r="D2359">
            <v>1.5963890000000001E-2</v>
          </cell>
          <cell r="E2359">
            <v>404.19200000000001</v>
          </cell>
          <cell r="F2359">
            <v>41.170999999999999</v>
          </cell>
          <cell r="J2359">
            <v>6600.3978712110511</v>
          </cell>
          <cell r="K2359">
            <v>1.5963890000000001E-2</v>
          </cell>
          <cell r="L2359">
            <v>404.19200000000001</v>
          </cell>
          <cell r="M2359">
            <v>41.170999999999999</v>
          </cell>
          <cell r="N2359">
            <v>4061.7940095066601</v>
          </cell>
          <cell r="O2359">
            <v>4366.908355277923</v>
          </cell>
          <cell r="P2359">
            <v>1.3742080000000001</v>
          </cell>
        </row>
        <row r="2360">
          <cell r="B2360">
            <v>34127</v>
          </cell>
          <cell r="C2360">
            <v>40.548000000000002</v>
          </cell>
          <cell r="D2360">
            <v>1.6169780000000002E-2</v>
          </cell>
          <cell r="E2360">
            <v>405.44200000000001</v>
          </cell>
          <cell r="F2360">
            <v>42.195</v>
          </cell>
          <cell r="J2360">
            <v>6689.6088488383402</v>
          </cell>
          <cell r="K2360">
            <v>1.6169780000000002E-2</v>
          </cell>
          <cell r="L2360">
            <v>405.44200000000001</v>
          </cell>
          <cell r="M2360">
            <v>42.195</v>
          </cell>
          <cell r="N2360">
            <v>4061.7940095066601</v>
          </cell>
          <cell r="O2360">
            <v>4366.908355277923</v>
          </cell>
          <cell r="P2360">
            <v>1.3742080000000001</v>
          </cell>
        </row>
        <row r="2361">
          <cell r="B2361">
            <v>34128</v>
          </cell>
          <cell r="C2361">
            <v>40.53</v>
          </cell>
          <cell r="D2361">
            <v>1.6379089999999999E-2</v>
          </cell>
          <cell r="E2361">
            <v>407.22899999999998</v>
          </cell>
          <cell r="F2361">
            <v>42.201000000000001</v>
          </cell>
          <cell r="J2361">
            <v>6779.9854643861454</v>
          </cell>
          <cell r="K2361">
            <v>1.6379089999999999E-2</v>
          </cell>
          <cell r="L2361">
            <v>407.22899999999998</v>
          </cell>
          <cell r="M2361">
            <v>42.201000000000001</v>
          </cell>
          <cell r="N2361">
            <v>4061.7940095066601</v>
          </cell>
          <cell r="O2361">
            <v>4366.908355277923</v>
          </cell>
          <cell r="P2361">
            <v>1.3742080000000001</v>
          </cell>
        </row>
        <row r="2362">
          <cell r="B2362">
            <v>34129</v>
          </cell>
          <cell r="C2362">
            <v>40.389000000000003</v>
          </cell>
          <cell r="D2362">
            <v>1.6592550000000001E-2</v>
          </cell>
          <cell r="E2362">
            <v>403.536</v>
          </cell>
          <cell r="F2362">
            <v>41.460999999999999</v>
          </cell>
          <cell r="J2362">
            <v>6871.2644086931759</v>
          </cell>
          <cell r="K2362">
            <v>1.6592550000000001E-2</v>
          </cell>
          <cell r="L2362">
            <v>403.536</v>
          </cell>
          <cell r="M2362">
            <v>41.460999999999999</v>
          </cell>
          <cell r="N2362">
            <v>4061.7940095066601</v>
          </cell>
          <cell r="O2362">
            <v>4366.908355277923</v>
          </cell>
          <cell r="P2362">
            <v>1.3742080000000001</v>
          </cell>
        </row>
        <row r="2363">
          <cell r="B2363">
            <v>34131</v>
          </cell>
          <cell r="C2363">
            <v>40.311</v>
          </cell>
          <cell r="D2363">
            <v>1.6810909999999998E-2</v>
          </cell>
          <cell r="E2363">
            <v>413.24799999999999</v>
          </cell>
          <cell r="F2363">
            <v>44.850999999999999</v>
          </cell>
          <cell r="J2363">
            <v>6963.5935885527851</v>
          </cell>
          <cell r="K2363">
            <v>1.6810909999999998E-2</v>
          </cell>
          <cell r="L2363">
            <v>413.24799999999999</v>
          </cell>
          <cell r="M2363">
            <v>44.850999999999999</v>
          </cell>
          <cell r="N2363">
            <v>4061.7940095066601</v>
          </cell>
          <cell r="O2363">
            <v>4366.908355277923</v>
          </cell>
          <cell r="P2363">
            <v>1.3742080000000001</v>
          </cell>
        </row>
        <row r="2364">
          <cell r="B2364">
            <v>34134</v>
          </cell>
          <cell r="C2364">
            <v>40.200000000000003</v>
          </cell>
          <cell r="D2364">
            <v>1.702364E-2</v>
          </cell>
          <cell r="E2364">
            <v>415.22800000000001</v>
          </cell>
          <cell r="F2364">
            <v>45.162999999999997</v>
          </cell>
          <cell r="J2364">
            <v>7056.9057426393929</v>
          </cell>
          <cell r="K2364">
            <v>1.702364E-2</v>
          </cell>
          <cell r="L2364">
            <v>415.22800000000001</v>
          </cell>
          <cell r="M2364">
            <v>45.162999999999997</v>
          </cell>
          <cell r="N2364">
            <v>4061.7940095066601</v>
          </cell>
          <cell r="O2364">
            <v>4366.908355277923</v>
          </cell>
          <cell r="P2364">
            <v>1.3742080000000001</v>
          </cell>
        </row>
        <row r="2365">
          <cell r="B2365">
            <v>34135</v>
          </cell>
          <cell r="C2365">
            <v>40.037999999999997</v>
          </cell>
          <cell r="D2365">
            <v>1.7241820000000001E-2</v>
          </cell>
          <cell r="E2365">
            <v>417.29300000000001</v>
          </cell>
          <cell r="F2365">
            <v>45.893000000000001</v>
          </cell>
          <cell r="J2365">
            <v>7151.0872066806587</v>
          </cell>
          <cell r="K2365">
            <v>1.7241820000000001E-2</v>
          </cell>
          <cell r="L2365">
            <v>417.29300000000001</v>
          </cell>
          <cell r="M2365">
            <v>45.893000000000001</v>
          </cell>
          <cell r="N2365">
            <v>4061.7940095066601</v>
          </cell>
          <cell r="O2365">
            <v>4366.908355277923</v>
          </cell>
          <cell r="P2365">
            <v>1.3742080000000001</v>
          </cell>
        </row>
        <row r="2366">
          <cell r="B2366">
            <v>34136</v>
          </cell>
          <cell r="C2366">
            <v>39.840000000000003</v>
          </cell>
          <cell r="D2366">
            <v>1.7461819999999999E-2</v>
          </cell>
          <cell r="E2366">
            <v>426.98</v>
          </cell>
          <cell r="F2366">
            <v>49.372999999999998</v>
          </cell>
          <cell r="J2366">
            <v>7246.0536447853774</v>
          </cell>
          <cell r="K2366">
            <v>1.7461819999999999E-2</v>
          </cell>
          <cell r="L2366">
            <v>426.98</v>
          </cell>
          <cell r="M2366">
            <v>49.372999999999998</v>
          </cell>
          <cell r="N2366">
            <v>4061.7940095066601</v>
          </cell>
          <cell r="O2366">
            <v>4366.908355277923</v>
          </cell>
          <cell r="P2366">
            <v>1.3742080000000001</v>
          </cell>
        </row>
        <row r="2367">
          <cell r="B2367">
            <v>34137</v>
          </cell>
          <cell r="C2367">
            <v>39.6</v>
          </cell>
          <cell r="D2367">
            <v>1.768229E-2</v>
          </cell>
          <cell r="E2367">
            <v>427.30099999999999</v>
          </cell>
          <cell r="F2367">
            <v>47.067</v>
          </cell>
          <cell r="J2367">
            <v>7341.7015528965449</v>
          </cell>
          <cell r="K2367">
            <v>1.768229E-2</v>
          </cell>
          <cell r="L2367">
            <v>427.30099999999999</v>
          </cell>
          <cell r="M2367">
            <v>47.067</v>
          </cell>
          <cell r="N2367">
            <v>4061.7940095066601</v>
          </cell>
          <cell r="O2367">
            <v>4366.908355277923</v>
          </cell>
          <cell r="P2367">
            <v>1.3742080000000001</v>
          </cell>
        </row>
        <row r="2368">
          <cell r="B2368">
            <v>34138</v>
          </cell>
          <cell r="C2368">
            <v>39.308999999999997</v>
          </cell>
          <cell r="D2368">
            <v>1.7903269999999999E-2</v>
          </cell>
          <cell r="E2368">
            <v>425.58300000000003</v>
          </cell>
          <cell r="F2368">
            <v>47.378999999999998</v>
          </cell>
          <cell r="J2368">
            <v>7437.8998683441487</v>
          </cell>
          <cell r="K2368">
            <v>1.7903269999999999E-2</v>
          </cell>
          <cell r="L2368">
            <v>425.58300000000003</v>
          </cell>
          <cell r="M2368">
            <v>47.378999999999998</v>
          </cell>
          <cell r="N2368">
            <v>4061.7940095066601</v>
          </cell>
          <cell r="O2368">
            <v>4366.908355277923</v>
          </cell>
          <cell r="P2368">
            <v>1.3742080000000001</v>
          </cell>
        </row>
        <row r="2369">
          <cell r="B2369">
            <v>34141</v>
          </cell>
          <cell r="C2369">
            <v>39</v>
          </cell>
          <cell r="D2369">
            <v>1.8126550000000002E-2</v>
          </cell>
          <cell r="E2369">
            <v>427.76900000000001</v>
          </cell>
          <cell r="F2369">
            <v>47.930999999999997</v>
          </cell>
          <cell r="J2369">
            <v>7534.592566632622</v>
          </cell>
          <cell r="K2369">
            <v>1.8126550000000002E-2</v>
          </cell>
          <cell r="L2369">
            <v>427.76900000000001</v>
          </cell>
          <cell r="M2369">
            <v>47.930999999999997</v>
          </cell>
          <cell r="N2369">
            <v>4061.7940095066601</v>
          </cell>
          <cell r="O2369">
            <v>4366.908355277923</v>
          </cell>
          <cell r="P2369">
            <v>1.3742080000000001</v>
          </cell>
        </row>
        <row r="2370">
          <cell r="B2370">
            <v>34142</v>
          </cell>
          <cell r="C2370">
            <v>38.709000000000003</v>
          </cell>
          <cell r="D2370">
            <v>1.8350109999999999E-2</v>
          </cell>
          <cell r="E2370">
            <v>428.62099999999998</v>
          </cell>
          <cell r="F2370">
            <v>49.475000000000001</v>
          </cell>
          <cell r="J2370">
            <v>7631.8114145198833</v>
          </cell>
          <cell r="K2370">
            <v>1.8350109999999999E-2</v>
          </cell>
          <cell r="L2370">
            <v>428.62099999999998</v>
          </cell>
          <cell r="M2370">
            <v>49.475000000000001</v>
          </cell>
          <cell r="N2370">
            <v>4061.7940095066601</v>
          </cell>
          <cell r="O2370">
            <v>4366.908355277923</v>
          </cell>
          <cell r="P2370">
            <v>1.3742080000000001</v>
          </cell>
        </row>
        <row r="2371">
          <cell r="B2371">
            <v>34143</v>
          </cell>
          <cell r="C2371">
            <v>38.720999999999997</v>
          </cell>
          <cell r="D2371">
            <v>1.8580360000000001E-2</v>
          </cell>
          <cell r="E2371">
            <v>426.87900000000002</v>
          </cell>
          <cell r="F2371">
            <v>48.133000000000003</v>
          </cell>
          <cell r="J2371">
            <v>7730.3152044470917</v>
          </cell>
          <cell r="K2371">
            <v>1.8580360000000001E-2</v>
          </cell>
          <cell r="L2371">
            <v>426.87900000000002</v>
          </cell>
          <cell r="M2371">
            <v>48.133000000000003</v>
          </cell>
          <cell r="N2371">
            <v>4061.7940095066601</v>
          </cell>
          <cell r="O2371">
            <v>4366.908355277923</v>
          </cell>
          <cell r="P2371">
            <v>1.3742080000000001</v>
          </cell>
        </row>
        <row r="2372">
          <cell r="B2372">
            <v>34144</v>
          </cell>
          <cell r="C2372">
            <v>38.631</v>
          </cell>
          <cell r="D2372">
            <v>1.8807270000000001E-2</v>
          </cell>
          <cell r="E2372">
            <v>430.19499999999999</v>
          </cell>
          <cell r="F2372">
            <v>48.73</v>
          </cell>
          <cell r="J2372">
            <v>7829.858473334757</v>
          </cell>
          <cell r="K2372">
            <v>1.8807270000000001E-2</v>
          </cell>
          <cell r="L2372">
            <v>430.19499999999999</v>
          </cell>
          <cell r="M2372">
            <v>48.73</v>
          </cell>
          <cell r="N2372">
            <v>4061.7940095066601</v>
          </cell>
          <cell r="O2372">
            <v>4366.908355277923</v>
          </cell>
          <cell r="P2372">
            <v>1.3742080000000001</v>
          </cell>
        </row>
        <row r="2373">
          <cell r="B2373">
            <v>34145</v>
          </cell>
          <cell r="C2373">
            <v>38.709000000000003</v>
          </cell>
          <cell r="D2373">
            <v>1.9038550000000001E-2</v>
          </cell>
          <cell r="E2373">
            <v>438.76900000000001</v>
          </cell>
          <cell r="F2373">
            <v>52.231000000000002</v>
          </cell>
          <cell r="J2373">
            <v>7930.8871372161966</v>
          </cell>
          <cell r="K2373">
            <v>1.9038550000000001E-2</v>
          </cell>
          <cell r="L2373">
            <v>438.76900000000001</v>
          </cell>
          <cell r="M2373">
            <v>52.231000000000002</v>
          </cell>
          <cell r="N2373">
            <v>4061.7940095066601</v>
          </cell>
          <cell r="O2373">
            <v>4366.908355277923</v>
          </cell>
          <cell r="P2373">
            <v>1.3742080000000001</v>
          </cell>
        </row>
        <row r="2374">
          <cell r="B2374">
            <v>34148</v>
          </cell>
          <cell r="C2374">
            <v>38.619</v>
          </cell>
          <cell r="D2374">
            <v>1.9275270000000001E-2</v>
          </cell>
          <cell r="E2374">
            <v>446.26799999999997</v>
          </cell>
          <cell r="F2374">
            <v>53.572000000000003</v>
          </cell>
          <cell r="J2374">
            <v>8032.98144733358</v>
          </cell>
          <cell r="K2374">
            <v>1.9275270000000001E-2</v>
          </cell>
          <cell r="L2374">
            <v>446.26799999999997</v>
          </cell>
          <cell r="M2374">
            <v>53.572000000000003</v>
          </cell>
          <cell r="N2374">
            <v>4061.7940095066601</v>
          </cell>
          <cell r="O2374">
            <v>4366.908355277923</v>
          </cell>
          <cell r="P2374">
            <v>1.3742080000000001</v>
          </cell>
        </row>
        <row r="2375">
          <cell r="B2375">
            <v>34149</v>
          </cell>
          <cell r="C2375">
            <v>38.549999999999997</v>
          </cell>
          <cell r="D2375">
            <v>1.951491E-2</v>
          </cell>
          <cell r="E2375">
            <v>448.14499999999998</v>
          </cell>
          <cell r="F2375">
            <v>52.863</v>
          </cell>
          <cell r="J2375">
            <v>8136.2052589318164</v>
          </cell>
          <cell r="K2375">
            <v>1.951491E-2</v>
          </cell>
          <cell r="L2375">
            <v>448.14499999999998</v>
          </cell>
          <cell r="M2375">
            <v>52.863</v>
          </cell>
          <cell r="N2375">
            <v>4061.7940095066601</v>
          </cell>
          <cell r="O2375">
            <v>4366.908355277923</v>
          </cell>
          <cell r="P2375">
            <v>1.3742080000000001</v>
          </cell>
        </row>
        <row r="2376">
          <cell r="B2376">
            <v>34150</v>
          </cell>
          <cell r="C2376">
            <v>38.588999999999999</v>
          </cell>
          <cell r="D2376">
            <v>1.9757819999999999E-2</v>
          </cell>
          <cell r="E2376">
            <v>454.75700000000001</v>
          </cell>
          <cell r="F2376">
            <v>53.744999999999997</v>
          </cell>
          <cell r="G2376">
            <v>30.72</v>
          </cell>
          <cell r="H2376">
            <v>31.49</v>
          </cell>
          <cell r="I2376">
            <v>1.796508</v>
          </cell>
          <cell r="J2376">
            <v>8240.8612671774572</v>
          </cell>
          <cell r="K2376">
            <v>1.9757819999999999E-2</v>
          </cell>
          <cell r="L2376">
            <v>454.75700000000001</v>
          </cell>
          <cell r="M2376">
            <v>53.744999999999997</v>
          </cell>
          <cell r="N2376">
            <v>5309.5771292271056</v>
          </cell>
          <cell r="O2376">
            <v>5742.0477963549411</v>
          </cell>
          <cell r="P2376">
            <v>1.796508</v>
          </cell>
        </row>
        <row r="2377">
          <cell r="B2377">
            <v>34151</v>
          </cell>
          <cell r="C2377">
            <v>38.64</v>
          </cell>
          <cell r="D2377">
            <v>2.0246070000000001E-2</v>
          </cell>
          <cell r="E2377">
            <v>454.06400000000002</v>
          </cell>
          <cell r="F2377">
            <v>52.265000000000001</v>
          </cell>
          <cell r="J2377">
            <v>8347.0035602987027</v>
          </cell>
          <cell r="K2377">
            <v>2.0246070000000001E-2</v>
          </cell>
          <cell r="L2377">
            <v>454.06400000000002</v>
          </cell>
          <cell r="M2377">
            <v>52.265000000000001</v>
          </cell>
          <cell r="N2377">
            <v>5309.5771292271056</v>
          </cell>
          <cell r="O2377">
            <v>5742.0477963549411</v>
          </cell>
          <cell r="P2377">
            <v>1.796508</v>
          </cell>
        </row>
        <row r="2378">
          <cell r="B2378">
            <v>34152</v>
          </cell>
          <cell r="C2378">
            <v>38.64</v>
          </cell>
          <cell r="D2378">
            <v>2.0496E-2</v>
          </cell>
          <cell r="E2378">
            <v>452.303</v>
          </cell>
          <cell r="F2378">
            <v>52.329000000000001</v>
          </cell>
          <cell r="J2378">
            <v>8454.5129661553492</v>
          </cell>
          <cell r="K2378">
            <v>2.0496E-2</v>
          </cell>
          <cell r="L2378">
            <v>452.303</v>
          </cell>
          <cell r="M2378">
            <v>52.329000000000001</v>
          </cell>
          <cell r="N2378">
            <v>5309.5771292271056</v>
          </cell>
          <cell r="O2378">
            <v>5742.0477963549411</v>
          </cell>
          <cell r="P2378">
            <v>1.796508</v>
          </cell>
        </row>
        <row r="2379">
          <cell r="B2379">
            <v>34155</v>
          </cell>
          <cell r="C2379">
            <v>38.709000000000003</v>
          </cell>
          <cell r="D2379">
            <v>2.0494910000000002E-2</v>
          </cell>
          <cell r="E2379">
            <v>456.01499999999999</v>
          </cell>
          <cell r="F2379">
            <v>54.86</v>
          </cell>
          <cell r="J2379">
            <v>8563.6015469576523</v>
          </cell>
          <cell r="K2379">
            <v>2.0494910000000002E-2</v>
          </cell>
          <cell r="L2379">
            <v>456.01499999999999</v>
          </cell>
          <cell r="M2379">
            <v>54.86</v>
          </cell>
          <cell r="N2379">
            <v>5309.5771292271056</v>
          </cell>
          <cell r="O2379">
            <v>5742.0477963549411</v>
          </cell>
          <cell r="P2379">
            <v>1.796508</v>
          </cell>
        </row>
        <row r="2380">
          <cell r="B2380">
            <v>34156</v>
          </cell>
          <cell r="C2380">
            <v>38.76</v>
          </cell>
          <cell r="D2380">
            <v>2.0746179999999999E-2</v>
          </cell>
          <cell r="E2380">
            <v>467.56599999999997</v>
          </cell>
          <cell r="F2380">
            <v>56.103000000000002</v>
          </cell>
          <cell r="J2380">
            <v>8674.2432789443465</v>
          </cell>
          <cell r="K2380">
            <v>2.0746179999999999E-2</v>
          </cell>
          <cell r="L2380">
            <v>467.56599999999997</v>
          </cell>
          <cell r="M2380">
            <v>56.103000000000002</v>
          </cell>
          <cell r="N2380">
            <v>5309.5771292271056</v>
          </cell>
          <cell r="O2380">
            <v>5742.0477963549411</v>
          </cell>
          <cell r="P2380">
            <v>1.796508</v>
          </cell>
        </row>
        <row r="2381">
          <cell r="B2381">
            <v>34157</v>
          </cell>
          <cell r="C2381">
            <v>38.780999999999999</v>
          </cell>
          <cell r="D2381">
            <v>2.1001450000000001E-2</v>
          </cell>
          <cell r="E2381">
            <v>476.21499999999997</v>
          </cell>
          <cell r="F2381">
            <v>57.545999999999999</v>
          </cell>
          <cell r="J2381">
            <v>8786.3752218112586</v>
          </cell>
          <cell r="K2381">
            <v>2.1001450000000001E-2</v>
          </cell>
          <cell r="L2381">
            <v>476.21499999999997</v>
          </cell>
          <cell r="M2381">
            <v>57.545999999999999</v>
          </cell>
          <cell r="N2381">
            <v>5309.5771292271056</v>
          </cell>
          <cell r="O2381">
            <v>5742.0477963549411</v>
          </cell>
          <cell r="P2381">
            <v>1.796508</v>
          </cell>
        </row>
        <row r="2382">
          <cell r="B2382">
            <v>34158</v>
          </cell>
          <cell r="C2382">
            <v>38.780999999999999</v>
          </cell>
          <cell r="D2382">
            <v>2.125927E-2</v>
          </cell>
          <cell r="E2382">
            <v>479.892</v>
          </cell>
          <cell r="F2382">
            <v>57.100999999999999</v>
          </cell>
          <cell r="J2382">
            <v>8899.9566943036116</v>
          </cell>
          <cell r="K2382">
            <v>2.125927E-2</v>
          </cell>
          <cell r="L2382">
            <v>479.892</v>
          </cell>
          <cell r="M2382">
            <v>57.100999999999999</v>
          </cell>
          <cell r="N2382">
            <v>5309.5771292271056</v>
          </cell>
          <cell r="O2382">
            <v>5742.0477963549411</v>
          </cell>
          <cell r="P2382">
            <v>1.796508</v>
          </cell>
        </row>
        <row r="2383">
          <cell r="B2383">
            <v>34159</v>
          </cell>
          <cell r="C2383">
            <v>38.709000000000003</v>
          </cell>
          <cell r="D2383">
            <v>2.1519449999999999E-2</v>
          </cell>
          <cell r="E2383">
            <v>489.86</v>
          </cell>
          <cell r="F2383">
            <v>58.765999999999998</v>
          </cell>
          <cell r="J2383">
            <v>9014.792835530212</v>
          </cell>
          <cell r="K2383">
            <v>2.1519449999999999E-2</v>
          </cell>
          <cell r="L2383">
            <v>489.86</v>
          </cell>
          <cell r="M2383">
            <v>58.765999999999998</v>
          </cell>
          <cell r="N2383">
            <v>5309.5771292271056</v>
          </cell>
          <cell r="O2383">
            <v>5742.0477963549411</v>
          </cell>
          <cell r="P2383">
            <v>1.796508</v>
          </cell>
        </row>
        <row r="2384">
          <cell r="B2384">
            <v>34162</v>
          </cell>
          <cell r="C2384">
            <v>38.720999999999997</v>
          </cell>
          <cell r="D2384">
            <v>2.1782360000000001E-2</v>
          </cell>
          <cell r="E2384">
            <v>498.22500000000002</v>
          </cell>
          <cell r="F2384">
            <v>59.715000000000003</v>
          </cell>
          <cell r="J2384">
            <v>9131.1467666584012</v>
          </cell>
          <cell r="K2384">
            <v>2.1782360000000001E-2</v>
          </cell>
          <cell r="L2384">
            <v>498.22500000000002</v>
          </cell>
          <cell r="M2384">
            <v>59.715000000000003</v>
          </cell>
          <cell r="N2384">
            <v>5309.5771292271056</v>
          </cell>
          <cell r="O2384">
            <v>5742.0477963549411</v>
          </cell>
          <cell r="P2384">
            <v>1.796508</v>
          </cell>
        </row>
        <row r="2385">
          <cell r="B2385">
            <v>34163</v>
          </cell>
          <cell r="C2385">
            <v>38.76</v>
          </cell>
          <cell r="D2385">
            <v>2.2050549999999999E-2</v>
          </cell>
          <cell r="E2385">
            <v>502.51799999999997</v>
          </cell>
          <cell r="F2385">
            <v>60.42</v>
          </cell>
          <cell r="J2385">
            <v>9249.1211828836276</v>
          </cell>
          <cell r="K2385">
            <v>2.2050549999999999E-2</v>
          </cell>
          <cell r="L2385">
            <v>502.51799999999997</v>
          </cell>
          <cell r="M2385">
            <v>60.42</v>
          </cell>
          <cell r="N2385">
            <v>5309.5771292271056</v>
          </cell>
          <cell r="O2385">
            <v>5742.0477963549411</v>
          </cell>
          <cell r="P2385">
            <v>1.796508</v>
          </cell>
        </row>
        <row r="2386">
          <cell r="B2386">
            <v>34164</v>
          </cell>
          <cell r="C2386">
            <v>38.780999999999999</v>
          </cell>
          <cell r="D2386">
            <v>2.2321089999999998E-2</v>
          </cell>
          <cell r="E2386">
            <v>499.67500000000001</v>
          </cell>
          <cell r="F2386">
            <v>58.024000000000001</v>
          </cell>
          <cell r="J2386">
            <v>9368.6845724147643</v>
          </cell>
          <cell r="K2386">
            <v>2.2321089999999998E-2</v>
          </cell>
          <cell r="L2386">
            <v>499.67500000000001</v>
          </cell>
          <cell r="M2386">
            <v>58.024000000000001</v>
          </cell>
          <cell r="N2386">
            <v>5309.5771292271056</v>
          </cell>
          <cell r="O2386">
            <v>5742.0477963549411</v>
          </cell>
          <cell r="P2386">
            <v>1.796508</v>
          </cell>
        </row>
        <row r="2387">
          <cell r="B2387">
            <v>34165</v>
          </cell>
          <cell r="C2387">
            <v>38.780999999999999</v>
          </cell>
          <cell r="D2387">
            <v>2.2594909999999999E-2</v>
          </cell>
          <cell r="E2387">
            <v>504.43099999999998</v>
          </cell>
          <cell r="F2387">
            <v>57.103999999999999</v>
          </cell>
          <cell r="J2387">
            <v>9489.793557882369</v>
          </cell>
          <cell r="K2387">
            <v>2.2594909999999999E-2</v>
          </cell>
          <cell r="L2387">
            <v>504.43099999999998</v>
          </cell>
          <cell r="M2387">
            <v>57.103999999999999</v>
          </cell>
          <cell r="N2387">
            <v>5309.5771292271056</v>
          </cell>
          <cell r="O2387">
            <v>5742.0477963549411</v>
          </cell>
          <cell r="P2387">
            <v>1.796508</v>
          </cell>
        </row>
        <row r="2388">
          <cell r="B2388">
            <v>34166</v>
          </cell>
          <cell r="C2388">
            <v>38.76</v>
          </cell>
          <cell r="D2388">
            <v>2.2872360000000001E-2</v>
          </cell>
          <cell r="E2388">
            <v>514.25199999999995</v>
          </cell>
          <cell r="F2388">
            <v>58.268999999999998</v>
          </cell>
          <cell r="J2388">
            <v>9612.4016906502093</v>
          </cell>
          <cell r="K2388">
            <v>2.2872360000000001E-2</v>
          </cell>
          <cell r="L2388">
            <v>514.25199999999995</v>
          </cell>
          <cell r="M2388">
            <v>58.268999999999998</v>
          </cell>
          <cell r="N2388">
            <v>5309.5771292271056</v>
          </cell>
          <cell r="O2388">
            <v>5742.0477963549411</v>
          </cell>
          <cell r="P2388">
            <v>1.796508</v>
          </cell>
        </row>
        <row r="2389">
          <cell r="B2389">
            <v>34169</v>
          </cell>
          <cell r="C2389">
            <v>38.76</v>
          </cell>
          <cell r="D2389">
            <v>2.315236E-2</v>
          </cell>
          <cell r="E2389">
            <v>525.58199999999999</v>
          </cell>
          <cell r="F2389">
            <v>59.179000000000002</v>
          </cell>
          <cell r="J2389">
            <v>9736.5939204934111</v>
          </cell>
          <cell r="K2389">
            <v>2.315236E-2</v>
          </cell>
          <cell r="L2389">
            <v>525.58199999999999</v>
          </cell>
          <cell r="M2389">
            <v>59.179000000000002</v>
          </cell>
          <cell r="N2389">
            <v>5309.5771292271056</v>
          </cell>
          <cell r="O2389">
            <v>5742.0477963549411</v>
          </cell>
          <cell r="P2389">
            <v>1.796508</v>
          </cell>
        </row>
        <row r="2390">
          <cell r="B2390">
            <v>34170</v>
          </cell>
          <cell r="C2390">
            <v>38.780999999999999</v>
          </cell>
          <cell r="D2390">
            <v>2.343636E-2</v>
          </cell>
          <cell r="E2390">
            <v>540.83399999999995</v>
          </cell>
          <cell r="F2390">
            <v>62.335999999999999</v>
          </cell>
          <cell r="J2390">
            <v>9862.4588701036282</v>
          </cell>
          <cell r="K2390">
            <v>2.343636E-2</v>
          </cell>
          <cell r="L2390">
            <v>540.83399999999995</v>
          </cell>
          <cell r="M2390">
            <v>62.335999999999999</v>
          </cell>
          <cell r="N2390">
            <v>5309.5771292271056</v>
          </cell>
          <cell r="O2390">
            <v>5742.0477963549411</v>
          </cell>
          <cell r="P2390">
            <v>1.796508</v>
          </cell>
        </row>
        <row r="2391">
          <cell r="B2391">
            <v>34171</v>
          </cell>
          <cell r="C2391">
            <v>38.768999999999998</v>
          </cell>
          <cell r="D2391">
            <v>2.3723640000000001E-2</v>
          </cell>
          <cell r="E2391">
            <v>547.52499999999998</v>
          </cell>
          <cell r="F2391">
            <v>62.271999999999998</v>
          </cell>
          <cell r="J2391">
            <v>9989.911426081977</v>
          </cell>
          <cell r="K2391">
            <v>2.3723640000000001E-2</v>
          </cell>
          <cell r="L2391">
            <v>547.52499999999998</v>
          </cell>
          <cell r="M2391">
            <v>62.271999999999998</v>
          </cell>
          <cell r="N2391">
            <v>5309.5771292271056</v>
          </cell>
          <cell r="O2391">
            <v>5742.0477963549411</v>
          </cell>
          <cell r="P2391">
            <v>1.796508</v>
          </cell>
        </row>
        <row r="2392">
          <cell r="B2392">
            <v>34172</v>
          </cell>
          <cell r="C2392">
            <v>38.780999999999999</v>
          </cell>
          <cell r="D2392">
            <v>2.4014549999999999E-2</v>
          </cell>
          <cell r="E2392">
            <v>547.92600000000004</v>
          </cell>
          <cell r="F2392">
            <v>61.741999999999997</v>
          </cell>
          <cell r="J2392">
            <v>10119.051011086938</v>
          </cell>
          <cell r="K2392">
            <v>2.4014549999999999E-2</v>
          </cell>
          <cell r="L2392">
            <v>547.92600000000004</v>
          </cell>
          <cell r="M2392">
            <v>61.741999999999997</v>
          </cell>
          <cell r="N2392">
            <v>5309.5771292271056</v>
          </cell>
          <cell r="O2392">
            <v>5742.0477963549411</v>
          </cell>
          <cell r="P2392">
            <v>1.796508</v>
          </cell>
        </row>
        <row r="2393">
          <cell r="B2393">
            <v>34173</v>
          </cell>
          <cell r="C2393">
            <v>38.829000000000001</v>
          </cell>
          <cell r="D2393">
            <v>2.4309089999999998E-2</v>
          </cell>
          <cell r="E2393">
            <v>559.69299999999998</v>
          </cell>
          <cell r="F2393">
            <v>63.488999999999997</v>
          </cell>
          <cell r="J2393">
            <v>10250.021888323436</v>
          </cell>
          <cell r="K2393">
            <v>2.4309089999999998E-2</v>
          </cell>
          <cell r="L2393">
            <v>559.69299999999998</v>
          </cell>
          <cell r="M2393">
            <v>63.488999999999997</v>
          </cell>
          <cell r="N2393">
            <v>5309.5771292271056</v>
          </cell>
          <cell r="O2393">
            <v>5742.0477963549411</v>
          </cell>
          <cell r="P2393">
            <v>1.796508</v>
          </cell>
        </row>
        <row r="2394">
          <cell r="B2394">
            <v>34176</v>
          </cell>
          <cell r="C2394">
            <v>38.841000000000001</v>
          </cell>
          <cell r="D2394">
            <v>2.4608000000000001E-2</v>
          </cell>
          <cell r="E2394">
            <v>559.59500000000003</v>
          </cell>
          <cell r="F2394">
            <v>61.774999999999999</v>
          </cell>
          <cell r="J2394">
            <v>10382.728921711559</v>
          </cell>
          <cell r="K2394">
            <v>2.4608000000000001E-2</v>
          </cell>
          <cell r="L2394">
            <v>559.59500000000003</v>
          </cell>
          <cell r="M2394">
            <v>61.774999999999999</v>
          </cell>
          <cell r="N2394">
            <v>5309.5771292271056</v>
          </cell>
          <cell r="O2394">
            <v>5742.0477963549411</v>
          </cell>
          <cell r="P2394">
            <v>1.796508</v>
          </cell>
        </row>
        <row r="2395">
          <cell r="B2395">
            <v>34177</v>
          </cell>
          <cell r="C2395">
            <v>38.918999999999997</v>
          </cell>
          <cell r="D2395">
            <v>2.4912E-2</v>
          </cell>
          <cell r="E2395">
            <v>562.31700000000001</v>
          </cell>
          <cell r="F2395">
            <v>62.140999999999998</v>
          </cell>
          <cell r="J2395">
            <v>10517.424064012923</v>
          </cell>
          <cell r="K2395">
            <v>2.4912E-2</v>
          </cell>
          <cell r="L2395">
            <v>562.31700000000001</v>
          </cell>
          <cell r="M2395">
            <v>62.140999999999998</v>
          </cell>
          <cell r="N2395">
            <v>5309.5771292271056</v>
          </cell>
          <cell r="O2395">
            <v>5742.0477963549411</v>
          </cell>
          <cell r="P2395">
            <v>1.796508</v>
          </cell>
        </row>
        <row r="2396">
          <cell r="B2396">
            <v>34178</v>
          </cell>
          <cell r="C2396">
            <v>39.42</v>
          </cell>
          <cell r="D2396">
            <v>2.522545E-2</v>
          </cell>
          <cell r="E2396">
            <v>573.202</v>
          </cell>
          <cell r="F2396">
            <v>63.787999999999997</v>
          </cell>
          <cell r="J2396">
            <v>10655.623016214053</v>
          </cell>
          <cell r="K2396">
            <v>2.522545E-2</v>
          </cell>
          <cell r="L2396">
            <v>573.202</v>
          </cell>
          <cell r="M2396">
            <v>63.787999999999997</v>
          </cell>
          <cell r="N2396">
            <v>5309.5771292271056</v>
          </cell>
          <cell r="O2396">
            <v>5742.0477963549411</v>
          </cell>
          <cell r="P2396">
            <v>1.796508</v>
          </cell>
        </row>
        <row r="2397">
          <cell r="B2397">
            <v>34179</v>
          </cell>
          <cell r="C2397">
            <v>39.908999999999999</v>
          </cell>
          <cell r="D2397">
            <v>2.5546180000000002E-2</v>
          </cell>
          <cell r="E2397">
            <v>591.02700000000004</v>
          </cell>
          <cell r="F2397">
            <v>66.147999999999996</v>
          </cell>
          <cell r="J2397">
            <v>10797.374769198748</v>
          </cell>
          <cell r="K2397">
            <v>2.5546180000000002E-2</v>
          </cell>
          <cell r="L2397">
            <v>591.02700000000004</v>
          </cell>
          <cell r="M2397">
            <v>66.147999999999996</v>
          </cell>
          <cell r="N2397">
            <v>5309.5771292271056</v>
          </cell>
          <cell r="O2397">
            <v>5742.0477963549411</v>
          </cell>
          <cell r="P2397">
            <v>1.796508</v>
          </cell>
        </row>
        <row r="2398">
          <cell r="B2398">
            <v>34180</v>
          </cell>
          <cell r="C2398">
            <v>40.389000000000003</v>
          </cell>
          <cell r="D2398">
            <v>2.5873819999999999E-2</v>
          </cell>
          <cell r="E2398">
            <v>598.51599999999996</v>
          </cell>
          <cell r="F2398">
            <v>65.575000000000003</v>
          </cell>
          <cell r="G2398">
            <v>31.96</v>
          </cell>
          <cell r="H2398">
            <v>31.25</v>
          </cell>
          <cell r="I2398">
            <v>2.3538169999999998</v>
          </cell>
          <cell r="J2398">
            <v>10942.739825716471</v>
          </cell>
          <cell r="K2398">
            <v>2.5873819999999999E-2</v>
          </cell>
          <cell r="L2398">
            <v>598.51599999999996</v>
          </cell>
          <cell r="M2398">
            <v>65.575000000000003</v>
          </cell>
          <cell r="N2398">
            <v>7006.517979728088</v>
          </cell>
          <cell r="O2398">
            <v>7536.43773271586</v>
          </cell>
          <cell r="P2398">
            <v>2.3538169999999998</v>
          </cell>
        </row>
        <row r="2399">
          <cell r="B2399">
            <v>34183</v>
          </cell>
          <cell r="C2399">
            <v>40.619999999999997</v>
          </cell>
          <cell r="D2399">
            <v>2.620691E-2</v>
          </cell>
          <cell r="E2399">
            <v>594.32100000000003</v>
          </cell>
          <cell r="F2399">
            <v>62.677</v>
          </cell>
          <cell r="J2399">
            <v>11090.904522956673</v>
          </cell>
          <cell r="K2399">
            <v>2.620691E-2</v>
          </cell>
          <cell r="L2399">
            <v>594.32100000000003</v>
          </cell>
          <cell r="M2399">
            <v>62.677</v>
          </cell>
          <cell r="N2399">
            <v>7006.517979728088</v>
          </cell>
          <cell r="O2399">
            <v>7536.43773271586</v>
          </cell>
          <cell r="P2399">
            <v>2.3538169999999998</v>
          </cell>
        </row>
        <row r="2400">
          <cell r="B2400">
            <v>34184</v>
          </cell>
          <cell r="C2400">
            <v>40.478999999999999</v>
          </cell>
          <cell r="D2400">
            <v>2.6543270000000001E-2</v>
          </cell>
          <cell r="E2400">
            <v>597.63199999999995</v>
          </cell>
          <cell r="F2400">
            <v>62.563000000000002</v>
          </cell>
          <cell r="J2400">
            <v>11240.554097684926</v>
          </cell>
          <cell r="K2400">
            <v>2.6543270000000001E-2</v>
          </cell>
          <cell r="L2400">
            <v>597.63199999999995</v>
          </cell>
          <cell r="M2400">
            <v>62.563000000000002</v>
          </cell>
          <cell r="N2400">
            <v>7006.517979728088</v>
          </cell>
          <cell r="O2400">
            <v>7536.43773271586</v>
          </cell>
          <cell r="P2400">
            <v>2.3538169999999998</v>
          </cell>
        </row>
        <row r="2401">
          <cell r="B2401">
            <v>34185</v>
          </cell>
          <cell r="C2401">
            <v>40.418999999999997</v>
          </cell>
          <cell r="D2401">
            <v>2.6883270000000001E-2</v>
          </cell>
          <cell r="E2401">
            <v>597.88300000000004</v>
          </cell>
          <cell r="F2401">
            <v>61.82</v>
          </cell>
          <cell r="J2401">
            <v>11391.998083043036</v>
          </cell>
          <cell r="K2401">
            <v>2.6883270000000001E-2</v>
          </cell>
          <cell r="L2401">
            <v>597.88300000000004</v>
          </cell>
          <cell r="M2401">
            <v>61.82</v>
          </cell>
          <cell r="N2401">
            <v>7006.517979728088</v>
          </cell>
          <cell r="O2401">
            <v>7536.43773271586</v>
          </cell>
          <cell r="P2401">
            <v>2.3538169999999998</v>
          </cell>
        </row>
        <row r="2402">
          <cell r="B2402">
            <v>34186</v>
          </cell>
          <cell r="C2402">
            <v>40.418999999999997</v>
          </cell>
          <cell r="D2402">
            <v>2.7229090000000001E-2</v>
          </cell>
          <cell r="E2402">
            <v>603.08199999999999</v>
          </cell>
          <cell r="F2402">
            <v>62.707999999999998</v>
          </cell>
          <cell r="J2402">
            <v>11545.482473215876</v>
          </cell>
          <cell r="K2402">
            <v>2.7229090000000001E-2</v>
          </cell>
          <cell r="L2402">
            <v>603.08199999999999</v>
          </cell>
          <cell r="M2402">
            <v>62.707999999999998</v>
          </cell>
          <cell r="N2402">
            <v>7006.517979728088</v>
          </cell>
          <cell r="O2402">
            <v>7536.43773271586</v>
          </cell>
          <cell r="P2402">
            <v>2.3538169999999998</v>
          </cell>
        </row>
        <row r="2403">
          <cell r="B2403">
            <v>34187</v>
          </cell>
          <cell r="C2403">
            <v>40.509</v>
          </cell>
          <cell r="D2403">
            <v>2.758E-2</v>
          </cell>
          <cell r="E2403">
            <v>609.00800000000004</v>
          </cell>
          <cell r="F2403">
            <v>64.212999999999994</v>
          </cell>
          <cell r="J2403">
            <v>11701.381123051709</v>
          </cell>
          <cell r="K2403">
            <v>2.758E-2</v>
          </cell>
          <cell r="L2403">
            <v>609.00800000000004</v>
          </cell>
          <cell r="M2403">
            <v>64.212999999999994</v>
          </cell>
          <cell r="N2403">
            <v>7006.517979728088</v>
          </cell>
          <cell r="O2403">
            <v>7536.43773271586</v>
          </cell>
          <cell r="P2403">
            <v>2.3538169999999998</v>
          </cell>
        </row>
        <row r="2404">
          <cell r="B2404">
            <v>34190</v>
          </cell>
          <cell r="C2404">
            <v>40.401000000000003</v>
          </cell>
          <cell r="D2404">
            <v>2.793491E-2</v>
          </cell>
          <cell r="E2404">
            <v>609.20000000000005</v>
          </cell>
          <cell r="F2404">
            <v>64.295000000000002</v>
          </cell>
          <cell r="J2404">
            <v>11858.963622635845</v>
          </cell>
          <cell r="K2404">
            <v>2.793491E-2</v>
          </cell>
          <cell r="L2404">
            <v>609.20000000000005</v>
          </cell>
          <cell r="M2404">
            <v>64.295000000000002</v>
          </cell>
          <cell r="N2404">
            <v>7006.517979728088</v>
          </cell>
          <cell r="O2404">
            <v>7536.43773271586</v>
          </cell>
          <cell r="P2404">
            <v>2.3538169999999998</v>
          </cell>
        </row>
        <row r="2405">
          <cell r="B2405">
            <v>34191</v>
          </cell>
          <cell r="C2405">
            <v>40.409999999999997</v>
          </cell>
          <cell r="D2405">
            <v>2.8294179999999999E-2</v>
          </cell>
          <cell r="E2405">
            <v>618.49800000000005</v>
          </cell>
          <cell r="F2405">
            <v>67.498999999999995</v>
          </cell>
          <cell r="J2405">
            <v>12018.70386263275</v>
          </cell>
          <cell r="K2405">
            <v>2.8294179999999999E-2</v>
          </cell>
          <cell r="L2405">
            <v>618.49800000000005</v>
          </cell>
          <cell r="M2405">
            <v>67.498999999999995</v>
          </cell>
          <cell r="N2405">
            <v>7006.517979728088</v>
          </cell>
          <cell r="O2405">
            <v>7536.43773271586</v>
          </cell>
          <cell r="P2405">
            <v>2.3538169999999998</v>
          </cell>
        </row>
        <row r="2406">
          <cell r="B2406">
            <v>34192</v>
          </cell>
          <cell r="C2406">
            <v>40.280999999999999</v>
          </cell>
          <cell r="D2406">
            <v>2.8657450000000001E-2</v>
          </cell>
          <cell r="E2406">
            <v>623.346</v>
          </cell>
          <cell r="F2406">
            <v>69.944000000000003</v>
          </cell>
          <cell r="J2406">
            <v>12180.078999396321</v>
          </cell>
          <cell r="K2406">
            <v>2.8657450000000001E-2</v>
          </cell>
          <cell r="L2406">
            <v>623.346</v>
          </cell>
          <cell r="M2406">
            <v>69.944000000000003</v>
          </cell>
          <cell r="N2406">
            <v>7006.517979728088</v>
          </cell>
          <cell r="O2406">
            <v>7536.43773271586</v>
          </cell>
          <cell r="P2406">
            <v>2.3538169999999998</v>
          </cell>
        </row>
        <row r="2407">
          <cell r="B2407">
            <v>34193</v>
          </cell>
          <cell r="C2407">
            <v>40.311</v>
          </cell>
          <cell r="D2407">
            <v>2.902654E-2</v>
          </cell>
          <cell r="E2407">
            <v>647.476</v>
          </cell>
          <cell r="F2407">
            <v>73.983999999999995</v>
          </cell>
          <cell r="J2407">
            <v>12343.742720911208</v>
          </cell>
          <cell r="K2407">
            <v>2.902654E-2</v>
          </cell>
          <cell r="L2407">
            <v>647.476</v>
          </cell>
          <cell r="M2407">
            <v>73.983999999999995</v>
          </cell>
          <cell r="N2407">
            <v>7006.517979728088</v>
          </cell>
          <cell r="O2407">
            <v>7536.43773271586</v>
          </cell>
          <cell r="P2407">
            <v>2.3538169999999998</v>
          </cell>
        </row>
        <row r="2408">
          <cell r="B2408">
            <v>34194</v>
          </cell>
          <cell r="C2408">
            <v>40.380000000000003</v>
          </cell>
          <cell r="D2408">
            <v>2.940036E-2</v>
          </cell>
          <cell r="E2408">
            <v>657.16499999999996</v>
          </cell>
          <cell r="F2408">
            <v>72.739999999999995</v>
          </cell>
          <cell r="J2408">
            <v>12509.889497934673</v>
          </cell>
          <cell r="K2408">
            <v>2.940036E-2</v>
          </cell>
          <cell r="L2408">
            <v>657.16499999999996</v>
          </cell>
          <cell r="M2408">
            <v>72.739999999999995</v>
          </cell>
          <cell r="N2408">
            <v>7006.517979728088</v>
          </cell>
          <cell r="O2408">
            <v>7536.43773271586</v>
          </cell>
          <cell r="P2408">
            <v>2.3538169999999998</v>
          </cell>
        </row>
        <row r="2409">
          <cell r="B2409">
            <v>34197</v>
          </cell>
          <cell r="C2409">
            <v>40.44</v>
          </cell>
          <cell r="D2409">
            <v>2.9778909999999999E-2</v>
          </cell>
          <cell r="E2409">
            <v>669.13599999999997</v>
          </cell>
          <cell r="F2409">
            <v>77.278000000000006</v>
          </cell>
          <cell r="J2409">
            <v>12678.522808366832</v>
          </cell>
          <cell r="K2409">
            <v>2.9778909999999999E-2</v>
          </cell>
          <cell r="L2409">
            <v>669.13599999999997</v>
          </cell>
          <cell r="M2409">
            <v>77.278000000000006</v>
          </cell>
          <cell r="N2409">
            <v>7006.517979728088</v>
          </cell>
          <cell r="O2409">
            <v>7536.43773271586</v>
          </cell>
          <cell r="P2409">
            <v>2.3538169999999998</v>
          </cell>
        </row>
        <row r="2410">
          <cell r="B2410">
            <v>34198</v>
          </cell>
          <cell r="C2410">
            <v>40.430999999999997</v>
          </cell>
          <cell r="D2410">
            <v>3.0162540000000002E-2</v>
          </cell>
          <cell r="E2410">
            <v>690.66399999999999</v>
          </cell>
          <cell r="F2410">
            <v>80.236000000000004</v>
          </cell>
          <cell r="J2410">
            <v>12849.391260255192</v>
          </cell>
          <cell r="K2410">
            <v>3.0162540000000002E-2</v>
          </cell>
          <cell r="L2410">
            <v>690.66399999999999</v>
          </cell>
          <cell r="M2410">
            <v>80.236000000000004</v>
          </cell>
          <cell r="N2410">
            <v>7006.517979728088</v>
          </cell>
          <cell r="O2410">
            <v>7536.43773271586</v>
          </cell>
          <cell r="P2410">
            <v>2.3538169999999998</v>
          </cell>
        </row>
        <row r="2411">
          <cell r="B2411">
            <v>34199</v>
          </cell>
          <cell r="C2411">
            <v>40.460999999999999</v>
          </cell>
          <cell r="D2411">
            <v>3.0549819999999998E-2</v>
          </cell>
          <cell r="E2411">
            <v>703.94899999999996</v>
          </cell>
          <cell r="F2411">
            <v>79.534000000000006</v>
          </cell>
          <cell r="J2411">
            <v>13022.691000182254</v>
          </cell>
          <cell r="K2411">
            <v>3.0549819999999998E-2</v>
          </cell>
          <cell r="L2411">
            <v>703.94899999999996</v>
          </cell>
          <cell r="M2411">
            <v>79.534000000000006</v>
          </cell>
          <cell r="N2411">
            <v>7006.517979728088</v>
          </cell>
          <cell r="O2411">
            <v>7536.43773271586</v>
          </cell>
          <cell r="P2411">
            <v>2.3538169999999998</v>
          </cell>
        </row>
        <row r="2412">
          <cell r="B2412">
            <v>34200</v>
          </cell>
          <cell r="C2412">
            <v>40.551000000000002</v>
          </cell>
          <cell r="D2412">
            <v>3.0942549999999999E-2</v>
          </cell>
          <cell r="E2412">
            <v>728.58199999999999</v>
          </cell>
          <cell r="F2412">
            <v>85.132000000000005</v>
          </cell>
          <cell r="J2412">
            <v>13198.718714431718</v>
          </cell>
          <cell r="K2412">
            <v>3.0942549999999999E-2</v>
          </cell>
          <cell r="L2412">
            <v>728.58199999999999</v>
          </cell>
          <cell r="M2412">
            <v>85.132000000000005</v>
          </cell>
          <cell r="N2412">
            <v>7006.517979728088</v>
          </cell>
          <cell r="O2412">
            <v>7536.43773271586</v>
          </cell>
          <cell r="P2412">
            <v>2.3538169999999998</v>
          </cell>
        </row>
        <row r="2413">
          <cell r="B2413">
            <v>34201</v>
          </cell>
          <cell r="C2413">
            <v>40.658999999999999</v>
          </cell>
          <cell r="D2413">
            <v>3.1342910000000002E-2</v>
          </cell>
          <cell r="E2413">
            <v>741.41300000000001</v>
          </cell>
          <cell r="F2413">
            <v>88.275999999999996</v>
          </cell>
          <cell r="J2413">
            <v>13377.600949168409</v>
          </cell>
          <cell r="K2413">
            <v>3.1342910000000002E-2</v>
          </cell>
          <cell r="L2413">
            <v>741.41300000000001</v>
          </cell>
          <cell r="M2413">
            <v>88.275999999999996</v>
          </cell>
          <cell r="N2413">
            <v>7006.517979728088</v>
          </cell>
          <cell r="O2413">
            <v>7536.43773271586</v>
          </cell>
          <cell r="P2413">
            <v>2.3538169999999998</v>
          </cell>
        </row>
        <row r="2414">
          <cell r="B2414">
            <v>34204</v>
          </cell>
          <cell r="C2414">
            <v>40.731000000000002</v>
          </cell>
          <cell r="D2414">
            <v>3.1749090000000001E-2</v>
          </cell>
          <cell r="E2414">
            <v>756.69</v>
          </cell>
          <cell r="F2414">
            <v>89.938000000000002</v>
          </cell>
          <cell r="J2414">
            <v>13559.228637255268</v>
          </cell>
          <cell r="K2414">
            <v>3.1749090000000001E-2</v>
          </cell>
          <cell r="L2414">
            <v>756.69</v>
          </cell>
          <cell r="M2414">
            <v>89.938000000000002</v>
          </cell>
          <cell r="N2414">
            <v>7006.517979728088</v>
          </cell>
          <cell r="O2414">
            <v>7536.43773271586</v>
          </cell>
          <cell r="P2414">
            <v>2.3538169999999998</v>
          </cell>
        </row>
        <row r="2415">
          <cell r="B2415">
            <v>34205</v>
          </cell>
          <cell r="C2415">
            <v>41.061</v>
          </cell>
          <cell r="D2415">
            <v>3.2160359999999999E-2</v>
          </cell>
          <cell r="E2415">
            <v>772.447</v>
          </cell>
          <cell r="F2415">
            <v>90.561000000000007</v>
          </cell>
          <cell r="J2415">
            <v>13744.813799613381</v>
          </cell>
          <cell r="K2415">
            <v>3.2160359999999999E-2</v>
          </cell>
          <cell r="L2415">
            <v>772.447</v>
          </cell>
          <cell r="M2415">
            <v>90.561000000000007</v>
          </cell>
          <cell r="N2415">
            <v>7006.517979728088</v>
          </cell>
          <cell r="O2415">
            <v>7536.43773271586</v>
          </cell>
          <cell r="P2415">
            <v>2.3538169999999998</v>
          </cell>
        </row>
        <row r="2416">
          <cell r="B2416">
            <v>34206</v>
          </cell>
          <cell r="C2416">
            <v>41.61</v>
          </cell>
          <cell r="D2416">
            <v>3.2596729999999997E-2</v>
          </cell>
          <cell r="E2416">
            <v>783.53599999999994</v>
          </cell>
          <cell r="F2416">
            <v>91.528999999999996</v>
          </cell>
          <cell r="J2416">
            <v>13935.454367014019</v>
          </cell>
          <cell r="K2416">
            <v>3.2596729999999997E-2</v>
          </cell>
          <cell r="L2416">
            <v>783.53599999999994</v>
          </cell>
          <cell r="M2416">
            <v>91.528999999999996</v>
          </cell>
          <cell r="N2416">
            <v>7006.517979728088</v>
          </cell>
          <cell r="O2416">
            <v>7536.43773271586</v>
          </cell>
          <cell r="P2416">
            <v>2.3538169999999998</v>
          </cell>
        </row>
        <row r="2417">
          <cell r="B2417">
            <v>34207</v>
          </cell>
          <cell r="C2417">
            <v>42.12</v>
          </cell>
          <cell r="D2417">
            <v>3.3030909999999997E-2</v>
          </cell>
          <cell r="E2417">
            <v>818.10699999999997</v>
          </cell>
          <cell r="F2417">
            <v>97.299000000000007</v>
          </cell>
          <cell r="J2417">
            <v>14131.108146326897</v>
          </cell>
          <cell r="K2417">
            <v>3.3030909999999997E-2</v>
          </cell>
          <cell r="L2417">
            <v>818.10699999999997</v>
          </cell>
          <cell r="M2417">
            <v>97.299000000000007</v>
          </cell>
          <cell r="N2417">
            <v>7006.517979728088</v>
          </cell>
          <cell r="O2417">
            <v>7536.43773271586</v>
          </cell>
          <cell r="P2417">
            <v>2.3538169999999998</v>
          </cell>
        </row>
        <row r="2418">
          <cell r="B2418">
            <v>34208</v>
          </cell>
          <cell r="C2418">
            <v>42.651000000000003</v>
          </cell>
          <cell r="D2418">
            <v>3.348727E-2</v>
          </cell>
          <cell r="E2418">
            <v>833.774</v>
          </cell>
          <cell r="F2418">
            <v>97.29</v>
          </cell>
          <cell r="J2418">
            <v>14332.010110843225</v>
          </cell>
          <cell r="K2418">
            <v>3.348727E-2</v>
          </cell>
          <cell r="L2418">
            <v>833.774</v>
          </cell>
          <cell r="M2418">
            <v>97.29</v>
          </cell>
          <cell r="N2418">
            <v>7006.517979728088</v>
          </cell>
          <cell r="O2418">
            <v>7536.43773271586</v>
          </cell>
          <cell r="P2418">
            <v>2.3538169999999998</v>
          </cell>
        </row>
        <row r="2419">
          <cell r="B2419">
            <v>34211</v>
          </cell>
          <cell r="C2419">
            <v>43.131</v>
          </cell>
          <cell r="D2419">
            <v>3.3949090000000001E-2</v>
          </cell>
          <cell r="E2419">
            <v>850.39300000000003</v>
          </cell>
          <cell r="F2419">
            <v>99.84</v>
          </cell>
          <cell r="J2419">
            <v>14538.061420206819</v>
          </cell>
          <cell r="K2419">
            <v>3.3949090000000001E-2</v>
          </cell>
          <cell r="L2419">
            <v>850.39300000000003</v>
          </cell>
          <cell r="M2419">
            <v>99.84</v>
          </cell>
          <cell r="N2419">
            <v>7006.517979728088</v>
          </cell>
          <cell r="O2419">
            <v>7536.43773271586</v>
          </cell>
          <cell r="P2419">
            <v>2.3538169999999998</v>
          </cell>
        </row>
        <row r="2420">
          <cell r="B2420">
            <v>34212</v>
          </cell>
          <cell r="C2420">
            <v>43.850999999999999</v>
          </cell>
          <cell r="D2420">
            <v>3.4418909999999997E-2</v>
          </cell>
          <cell r="E2420">
            <v>852.38900000000001</v>
          </cell>
          <cell r="F2420">
            <v>96.42</v>
          </cell>
          <cell r="G2420">
            <v>33.53</v>
          </cell>
          <cell r="H2420">
            <v>31.79</v>
          </cell>
          <cell r="I2420">
            <v>3.1542729999999999</v>
          </cell>
          <cell r="J2420">
            <v>14750.564263985983</v>
          </cell>
          <cell r="K2420">
            <v>3.4418909999999997E-2</v>
          </cell>
          <cell r="L2420">
            <v>852.38900000000001</v>
          </cell>
          <cell r="M2420">
            <v>96.42</v>
          </cell>
          <cell r="N2420">
            <v>9355.8034583309145</v>
          </cell>
          <cell r="O2420">
            <v>9932.2712879462324</v>
          </cell>
          <cell r="P2420">
            <v>3.1542729999999999</v>
          </cell>
        </row>
        <row r="2421">
          <cell r="B2421">
            <v>34213</v>
          </cell>
          <cell r="C2421">
            <v>43.850999999999999</v>
          </cell>
          <cell r="D2421">
            <v>3.490182E-2</v>
          </cell>
          <cell r="E2421">
            <v>871.99400000000003</v>
          </cell>
          <cell r="F2421">
            <v>102.61</v>
          </cell>
          <cell r="J2421">
            <v>14966.173261832668</v>
          </cell>
          <cell r="K2421">
            <v>3.490182E-2</v>
          </cell>
          <cell r="L2421">
            <v>871.99400000000003</v>
          </cell>
          <cell r="M2421">
            <v>102.61</v>
          </cell>
          <cell r="N2421">
            <v>9355.8034583309145</v>
          </cell>
          <cell r="O2421">
            <v>9932.2712879462324</v>
          </cell>
          <cell r="P2421">
            <v>3.1542729999999999</v>
          </cell>
        </row>
        <row r="2422">
          <cell r="B2422">
            <v>34214</v>
          </cell>
          <cell r="C2422">
            <v>43.838999999999999</v>
          </cell>
          <cell r="D2422">
            <v>3.5909450000000002E-2</v>
          </cell>
          <cell r="E2422">
            <v>917.11099999999999</v>
          </cell>
          <cell r="F2422">
            <v>109.93</v>
          </cell>
          <cell r="J2422">
            <v>15184.873951707828</v>
          </cell>
          <cell r="K2422">
            <v>3.5909450000000002E-2</v>
          </cell>
          <cell r="L2422">
            <v>917.11099999999999</v>
          </cell>
          <cell r="M2422">
            <v>109.93</v>
          </cell>
          <cell r="N2422">
            <v>9355.8034583309145</v>
          </cell>
          <cell r="O2422">
            <v>9932.2712879462324</v>
          </cell>
          <cell r="P2422">
            <v>3.1542729999999999</v>
          </cell>
        </row>
        <row r="2423">
          <cell r="B2423">
            <v>34215</v>
          </cell>
          <cell r="C2423">
            <v>43.820999999999998</v>
          </cell>
          <cell r="D2423">
            <v>3.6410909999999998E-2</v>
          </cell>
          <cell r="E2423">
            <v>928.17899999999997</v>
          </cell>
          <cell r="F2423">
            <v>111.78</v>
          </cell>
          <cell r="J2423">
            <v>15406.679405520425</v>
          </cell>
          <cell r="K2423">
            <v>3.6410909999999998E-2</v>
          </cell>
          <cell r="L2423">
            <v>928.17899999999997</v>
          </cell>
          <cell r="M2423">
            <v>111.78</v>
          </cell>
          <cell r="N2423">
            <v>9355.8034583309145</v>
          </cell>
          <cell r="O2423">
            <v>9932.2712879462324</v>
          </cell>
          <cell r="P2423">
            <v>3.1542729999999999</v>
          </cell>
        </row>
        <row r="2424">
          <cell r="B2424">
            <v>34218</v>
          </cell>
          <cell r="C2424">
            <v>43.89</v>
          </cell>
          <cell r="D2424">
            <v>3.6404359999999997E-2</v>
          </cell>
          <cell r="F2424">
            <v>116.17</v>
          </cell>
          <cell r="J2424">
            <v>15632.079125223187</v>
          </cell>
          <cell r="K2424">
            <v>3.6404359999999997E-2</v>
          </cell>
          <cell r="L2424">
            <v>928.17899999999997</v>
          </cell>
          <cell r="M2424">
            <v>116.17</v>
          </cell>
          <cell r="N2424">
            <v>9355.8034583309145</v>
          </cell>
          <cell r="O2424">
            <v>9932.2712879462324</v>
          </cell>
          <cell r="P2424">
            <v>3.1542729999999999</v>
          </cell>
        </row>
        <row r="2425">
          <cell r="B2425">
            <v>34220</v>
          </cell>
          <cell r="C2425">
            <v>44.13</v>
          </cell>
          <cell r="D2425">
            <v>3.6909820000000003E-2</v>
          </cell>
          <cell r="E2425">
            <v>939.10699999999997</v>
          </cell>
          <cell r="F2425">
            <v>117.5</v>
          </cell>
          <cell r="J2425">
            <v>15862.027009155219</v>
          </cell>
          <cell r="K2425">
            <v>3.6909820000000003E-2</v>
          </cell>
          <cell r="L2425">
            <v>939.10699999999997</v>
          </cell>
          <cell r="M2425">
            <v>117.5</v>
          </cell>
          <cell r="N2425">
            <v>9355.8034583309145</v>
          </cell>
          <cell r="O2425">
            <v>9932.2712879462324</v>
          </cell>
          <cell r="P2425">
            <v>3.1542729999999999</v>
          </cell>
        </row>
        <row r="2426">
          <cell r="B2426">
            <v>34221</v>
          </cell>
          <cell r="C2426">
            <v>44.451000000000001</v>
          </cell>
          <cell r="D2426">
            <v>3.7428360000000001E-2</v>
          </cell>
          <cell r="E2426">
            <v>945.91200000000003</v>
          </cell>
          <cell r="F2426">
            <v>118.24</v>
          </cell>
          <cell r="J2426">
            <v>16097.054663349874</v>
          </cell>
          <cell r="K2426">
            <v>3.7428360000000001E-2</v>
          </cell>
          <cell r="L2426">
            <v>945.91200000000003</v>
          </cell>
          <cell r="M2426">
            <v>118.24</v>
          </cell>
          <cell r="N2426">
            <v>9355.8034583309145</v>
          </cell>
          <cell r="O2426">
            <v>9932.2712879462324</v>
          </cell>
          <cell r="P2426">
            <v>3.1542729999999999</v>
          </cell>
        </row>
        <row r="2427">
          <cell r="B2427">
            <v>34222</v>
          </cell>
          <cell r="C2427">
            <v>44.52</v>
          </cell>
          <cell r="D2427">
            <v>3.7958550000000001E-2</v>
          </cell>
          <cell r="E2427">
            <v>965.50800000000004</v>
          </cell>
          <cell r="F2427">
            <v>123.05</v>
          </cell>
          <cell r="J2427">
            <v>16335.934954553986</v>
          </cell>
          <cell r="K2427">
            <v>3.7958550000000001E-2</v>
          </cell>
          <cell r="L2427">
            <v>965.50800000000004</v>
          </cell>
          <cell r="M2427">
            <v>123.05</v>
          </cell>
          <cell r="N2427">
            <v>9355.8034583309145</v>
          </cell>
          <cell r="O2427">
            <v>9932.2712879462324</v>
          </cell>
          <cell r="P2427">
            <v>3.1542729999999999</v>
          </cell>
        </row>
        <row r="2428">
          <cell r="B2428">
            <v>34225</v>
          </cell>
          <cell r="C2428">
            <v>44.649000000000001</v>
          </cell>
          <cell r="D2428">
            <v>3.849673E-2</v>
          </cell>
          <cell r="E2428">
            <v>980.80499999999995</v>
          </cell>
          <cell r="F2428">
            <v>123.22</v>
          </cell>
          <cell r="J2428">
            <v>16579.062674482611</v>
          </cell>
          <cell r="K2428">
            <v>3.849673E-2</v>
          </cell>
          <cell r="L2428">
            <v>980.80499999999995</v>
          </cell>
          <cell r="M2428">
            <v>123.22</v>
          </cell>
          <cell r="N2428">
            <v>9355.8034583309145</v>
          </cell>
          <cell r="O2428">
            <v>9932.2712879462324</v>
          </cell>
          <cell r="P2428">
            <v>3.1542729999999999</v>
          </cell>
        </row>
        <row r="2429">
          <cell r="B2429">
            <v>34226</v>
          </cell>
          <cell r="C2429">
            <v>44.841000000000001</v>
          </cell>
          <cell r="D2429">
            <v>3.9051639999999999E-2</v>
          </cell>
          <cell r="E2429">
            <v>978.63300000000004</v>
          </cell>
          <cell r="F2429">
            <v>120.27</v>
          </cell>
          <cell r="J2429">
            <v>16826.869924278104</v>
          </cell>
          <cell r="K2429">
            <v>3.9051639999999999E-2</v>
          </cell>
          <cell r="L2429">
            <v>978.63300000000004</v>
          </cell>
          <cell r="M2429">
            <v>120.27</v>
          </cell>
          <cell r="N2429">
            <v>9355.8034583309145</v>
          </cell>
          <cell r="O2429">
            <v>9932.2712879462324</v>
          </cell>
          <cell r="P2429">
            <v>3.1542729999999999</v>
          </cell>
        </row>
        <row r="2430">
          <cell r="B2430">
            <v>34227</v>
          </cell>
          <cell r="C2430">
            <v>45.03</v>
          </cell>
          <cell r="D2430">
            <v>3.9615999999999998E-2</v>
          </cell>
          <cell r="E2430">
            <v>993.30799999999999</v>
          </cell>
          <cell r="F2430">
            <v>124.01</v>
          </cell>
          <cell r="J2430">
            <v>17079.44124184152</v>
          </cell>
          <cell r="K2430">
            <v>3.9615999999999998E-2</v>
          </cell>
          <cell r="L2430">
            <v>993.30799999999999</v>
          </cell>
          <cell r="M2430">
            <v>124.01</v>
          </cell>
          <cell r="N2430">
            <v>9355.8034583309145</v>
          </cell>
          <cell r="O2430">
            <v>9932.2712879462324</v>
          </cell>
          <cell r="P2430">
            <v>3.1542729999999999</v>
          </cell>
        </row>
        <row r="2431">
          <cell r="B2431">
            <v>34228</v>
          </cell>
          <cell r="C2431">
            <v>45.12</v>
          </cell>
          <cell r="D2431">
            <v>4.0183999999999997E-2</v>
          </cell>
          <cell r="E2431">
            <v>1028.1769999999999</v>
          </cell>
          <cell r="F2431">
            <v>127.76</v>
          </cell>
          <cell r="J2431">
            <v>17336.316038118814</v>
          </cell>
          <cell r="K2431">
            <v>4.0183999999999997E-2</v>
          </cell>
          <cell r="L2431">
            <v>1028.1769999999999</v>
          </cell>
          <cell r="M2431">
            <v>127.76</v>
          </cell>
          <cell r="N2431">
            <v>9355.8034583309145</v>
          </cell>
          <cell r="O2431">
            <v>9932.2712879462324</v>
          </cell>
          <cell r="P2431">
            <v>3.1542729999999999</v>
          </cell>
        </row>
        <row r="2432">
          <cell r="B2432">
            <v>34229</v>
          </cell>
          <cell r="C2432">
            <v>45.261000000000003</v>
          </cell>
          <cell r="D2432">
            <v>4.0779999999999997E-2</v>
          </cell>
          <cell r="E2432">
            <v>1082.3309999999999</v>
          </cell>
          <cell r="F2432">
            <v>138.91</v>
          </cell>
          <cell r="J2432">
            <v>17597.869038185912</v>
          </cell>
          <cell r="K2432">
            <v>4.0779999999999997E-2</v>
          </cell>
          <cell r="L2432">
            <v>1082.3309999999999</v>
          </cell>
          <cell r="M2432">
            <v>138.91</v>
          </cell>
          <cell r="N2432">
            <v>9355.8034583309145</v>
          </cell>
          <cell r="O2432">
            <v>9932.2712879462324</v>
          </cell>
          <cell r="P2432">
            <v>3.1542729999999999</v>
          </cell>
        </row>
        <row r="2433">
          <cell r="B2433">
            <v>34232</v>
          </cell>
          <cell r="C2433">
            <v>45.87</v>
          </cell>
          <cell r="D2433">
            <v>4.1358550000000001E-2</v>
          </cell>
          <cell r="E2433">
            <v>1093.78</v>
          </cell>
          <cell r="F2433">
            <v>138.04</v>
          </cell>
          <cell r="J2433">
            <v>17866.940455779775</v>
          </cell>
          <cell r="K2433">
            <v>4.1358550000000001E-2</v>
          </cell>
          <cell r="L2433">
            <v>1093.78</v>
          </cell>
          <cell r="M2433">
            <v>138.04</v>
          </cell>
          <cell r="N2433">
            <v>9355.8034583309145</v>
          </cell>
          <cell r="O2433">
            <v>9932.2712879462324</v>
          </cell>
          <cell r="P2433">
            <v>3.1542729999999999</v>
          </cell>
        </row>
        <row r="2434">
          <cell r="B2434">
            <v>34233</v>
          </cell>
          <cell r="C2434">
            <v>46.47</v>
          </cell>
          <cell r="D2434">
            <v>4.1943639999999997E-2</v>
          </cell>
          <cell r="E2434">
            <v>1104.729</v>
          </cell>
          <cell r="F2434">
            <v>134.72999999999999</v>
          </cell>
          <cell r="J2434">
            <v>18143.699363439802</v>
          </cell>
          <cell r="K2434">
            <v>4.1943639999999997E-2</v>
          </cell>
          <cell r="L2434">
            <v>1104.729</v>
          </cell>
          <cell r="M2434">
            <v>134.72999999999999</v>
          </cell>
          <cell r="N2434">
            <v>9355.8034583309145</v>
          </cell>
          <cell r="O2434">
            <v>9932.2712879462324</v>
          </cell>
          <cell r="P2434">
            <v>3.1542729999999999</v>
          </cell>
        </row>
        <row r="2435">
          <cell r="B2435">
            <v>34234</v>
          </cell>
          <cell r="C2435">
            <v>46.689</v>
          </cell>
          <cell r="D2435">
            <v>4.2569089999999997E-2</v>
          </cell>
          <cell r="E2435">
            <v>1104.5450000000001</v>
          </cell>
          <cell r="F2435">
            <v>136.15</v>
          </cell>
          <cell r="J2435">
            <v>18426.069756633016</v>
          </cell>
          <cell r="K2435">
            <v>4.2569089999999997E-2</v>
          </cell>
          <cell r="L2435">
            <v>1104.5450000000001</v>
          </cell>
          <cell r="M2435">
            <v>136.15</v>
          </cell>
          <cell r="N2435">
            <v>9355.8034583309145</v>
          </cell>
          <cell r="O2435">
            <v>9932.2712879462324</v>
          </cell>
          <cell r="P2435">
            <v>3.1542729999999999</v>
          </cell>
        </row>
        <row r="2436">
          <cell r="B2436">
            <v>34235</v>
          </cell>
          <cell r="C2436">
            <v>47.19</v>
          </cell>
          <cell r="D2436">
            <v>4.3193450000000001E-2</v>
          </cell>
          <cell r="E2436">
            <v>1119.4169999999999</v>
          </cell>
          <cell r="F2436">
            <v>143.04</v>
          </cell>
          <cell r="J2436">
            <v>18715.911833904855</v>
          </cell>
          <cell r="K2436">
            <v>4.3193450000000001E-2</v>
          </cell>
          <cell r="L2436">
            <v>1119.4169999999999</v>
          </cell>
          <cell r="M2436">
            <v>143.04</v>
          </cell>
          <cell r="N2436">
            <v>9355.8034583309145</v>
          </cell>
          <cell r="O2436">
            <v>9932.2712879462324</v>
          </cell>
          <cell r="P2436">
            <v>3.1542729999999999</v>
          </cell>
        </row>
        <row r="2437">
          <cell r="B2437">
            <v>34236</v>
          </cell>
          <cell r="C2437">
            <v>47.558999999999997</v>
          </cell>
          <cell r="D2437">
            <v>4.3847270000000001E-2</v>
          </cell>
          <cell r="E2437">
            <v>1133.6780000000001</v>
          </cell>
          <cell r="F2437">
            <v>142.69</v>
          </cell>
          <cell r="J2437">
            <v>19012.615184207745</v>
          </cell>
          <cell r="K2437">
            <v>4.3847270000000001E-2</v>
          </cell>
          <cell r="L2437">
            <v>1133.6780000000001</v>
          </cell>
          <cell r="M2437">
            <v>142.69</v>
          </cell>
          <cell r="N2437">
            <v>9355.8034583309145</v>
          </cell>
          <cell r="O2437">
            <v>9932.2712879462324</v>
          </cell>
          <cell r="P2437">
            <v>3.1542729999999999</v>
          </cell>
        </row>
        <row r="2438">
          <cell r="B2438">
            <v>34239</v>
          </cell>
          <cell r="C2438">
            <v>47.930999999999997</v>
          </cell>
          <cell r="D2438">
            <v>4.4494550000000001E-2</v>
          </cell>
          <cell r="E2438">
            <v>1125.558</v>
          </cell>
          <cell r="F2438">
            <v>139.05000000000001</v>
          </cell>
          <cell r="J2438">
            <v>19316.379737005831</v>
          </cell>
          <cell r="K2438">
            <v>4.4494550000000001E-2</v>
          </cell>
          <cell r="L2438">
            <v>1125.558</v>
          </cell>
          <cell r="M2438">
            <v>139.05000000000001</v>
          </cell>
          <cell r="N2438">
            <v>9355.8034583309145</v>
          </cell>
          <cell r="O2438">
            <v>9932.2712879462324</v>
          </cell>
          <cell r="P2438">
            <v>3.1542729999999999</v>
          </cell>
        </row>
        <row r="2439">
          <cell r="B2439">
            <v>34240</v>
          </cell>
          <cell r="C2439">
            <v>48.33</v>
          </cell>
          <cell r="D2439">
            <v>4.519273E-2</v>
          </cell>
          <cell r="E2439">
            <v>1140.088</v>
          </cell>
          <cell r="F2439">
            <v>143.87</v>
          </cell>
          <cell r="J2439">
            <v>19627.566614568997</v>
          </cell>
          <cell r="K2439">
            <v>4.519273E-2</v>
          </cell>
          <cell r="L2439">
            <v>1140.088</v>
          </cell>
          <cell r="M2439">
            <v>143.87</v>
          </cell>
          <cell r="N2439">
            <v>9355.8034583309145</v>
          </cell>
          <cell r="O2439">
            <v>9932.2712879462324</v>
          </cell>
          <cell r="P2439">
            <v>3.1542729999999999</v>
          </cell>
        </row>
        <row r="2440">
          <cell r="B2440">
            <v>34241</v>
          </cell>
          <cell r="C2440">
            <v>48.591000000000001</v>
          </cell>
          <cell r="D2440">
            <v>4.5863639999999997E-2</v>
          </cell>
          <cell r="E2440">
            <v>1161.5540000000001</v>
          </cell>
          <cell r="F2440">
            <v>147.41</v>
          </cell>
          <cell r="J2440">
            <v>19945.474311025173</v>
          </cell>
          <cell r="K2440">
            <v>4.5863639999999997E-2</v>
          </cell>
          <cell r="L2440">
            <v>1161.5540000000001</v>
          </cell>
          <cell r="M2440">
            <v>147.41</v>
          </cell>
          <cell r="N2440">
            <v>9355.8034583309145</v>
          </cell>
          <cell r="O2440">
            <v>9932.2712879462324</v>
          </cell>
          <cell r="P2440">
            <v>3.1542729999999999</v>
          </cell>
        </row>
        <row r="2441">
          <cell r="B2441">
            <v>34242</v>
          </cell>
          <cell r="C2441">
            <v>49.100999999999999</v>
          </cell>
          <cell r="D2441">
            <v>4.657091E-2</v>
          </cell>
          <cell r="E2441">
            <v>1176.586</v>
          </cell>
          <cell r="F2441">
            <v>146.6</v>
          </cell>
          <cell r="G2441">
            <v>36.99</v>
          </cell>
          <cell r="H2441">
            <v>35.28</v>
          </cell>
          <cell r="I2441">
            <v>4.2675130000000001</v>
          </cell>
          <cell r="J2441">
            <v>20271.921889073721</v>
          </cell>
          <cell r="K2441">
            <v>4.657091E-2</v>
          </cell>
          <cell r="L2441">
            <v>1176.586</v>
          </cell>
          <cell r="M2441">
            <v>146.6</v>
          </cell>
          <cell r="N2441">
            <v>12816.515157567519</v>
          </cell>
          <cell r="O2441">
            <v>13436.376598333663</v>
          </cell>
          <cell r="P2441">
            <v>4.2675130000000001</v>
          </cell>
        </row>
        <row r="2442">
          <cell r="B2442">
            <v>34243</v>
          </cell>
          <cell r="C2442">
            <v>49.17</v>
          </cell>
          <cell r="D2442">
            <v>4.7296360000000003E-2</v>
          </cell>
          <cell r="E2442">
            <v>1204</v>
          </cell>
          <cell r="F2442">
            <v>148.33000000000001</v>
          </cell>
          <cell r="J2442">
            <v>20604.178688835636</v>
          </cell>
          <cell r="K2442">
            <v>4.7296360000000003E-2</v>
          </cell>
          <cell r="L2442">
            <v>1204</v>
          </cell>
          <cell r="M2442">
            <v>148.33000000000001</v>
          </cell>
          <cell r="N2442">
            <v>12816.515157567519</v>
          </cell>
          <cell r="O2442">
            <v>13436.376598333663</v>
          </cell>
          <cell r="P2442">
            <v>4.2675130000000001</v>
          </cell>
        </row>
        <row r="2443">
          <cell r="B2443">
            <v>34246</v>
          </cell>
          <cell r="C2443">
            <v>49.149000000000001</v>
          </cell>
          <cell r="D2443">
            <v>4.802182E-2</v>
          </cell>
          <cell r="E2443">
            <v>1225</v>
          </cell>
          <cell r="F2443">
            <v>147.22</v>
          </cell>
          <cell r="J2443">
            <v>20941.736948294831</v>
          </cell>
          <cell r="K2443">
            <v>4.802182E-2</v>
          </cell>
          <cell r="L2443">
            <v>1225</v>
          </cell>
          <cell r="M2443">
            <v>147.22</v>
          </cell>
          <cell r="N2443">
            <v>12816.515157567519</v>
          </cell>
          <cell r="O2443">
            <v>13436.376598333663</v>
          </cell>
          <cell r="P2443">
            <v>4.2675130000000001</v>
          </cell>
        </row>
        <row r="2444">
          <cell r="B2444">
            <v>34247</v>
          </cell>
          <cell r="C2444">
            <v>49.14</v>
          </cell>
          <cell r="D2444">
            <v>4.8759999999999998E-2</v>
          </cell>
          <cell r="E2444">
            <v>1258</v>
          </cell>
          <cell r="F2444">
            <v>153.43</v>
          </cell>
          <cell r="J2444">
            <v>21284.7625995079</v>
          </cell>
          <cell r="K2444">
            <v>4.8759999999999998E-2</v>
          </cell>
          <cell r="L2444">
            <v>1258</v>
          </cell>
          <cell r="M2444">
            <v>153.43</v>
          </cell>
          <cell r="N2444">
            <v>12816.515157567519</v>
          </cell>
          <cell r="O2444">
            <v>13436.376598333663</v>
          </cell>
          <cell r="P2444">
            <v>4.2675130000000001</v>
          </cell>
        </row>
        <row r="2445">
          <cell r="B2445">
            <v>34248</v>
          </cell>
          <cell r="C2445">
            <v>49.131</v>
          </cell>
          <cell r="D2445">
            <v>4.9512729999999998E-2</v>
          </cell>
          <cell r="E2445">
            <v>1285</v>
          </cell>
          <cell r="F2445">
            <v>157.83000000000001</v>
          </cell>
          <cell r="J2445">
            <v>21633.343156600044</v>
          </cell>
          <cell r="K2445">
            <v>4.9512729999999998E-2</v>
          </cell>
          <cell r="L2445">
            <v>1285</v>
          </cell>
          <cell r="M2445">
            <v>157.83000000000001</v>
          </cell>
          <cell r="N2445">
            <v>12816.515157567519</v>
          </cell>
          <cell r="O2445">
            <v>13436.376598333663</v>
          </cell>
          <cell r="P2445">
            <v>4.2675130000000001</v>
          </cell>
        </row>
        <row r="2446">
          <cell r="B2446">
            <v>34249</v>
          </cell>
          <cell r="C2446">
            <v>49.14</v>
          </cell>
          <cell r="D2446">
            <v>5.1054540000000002E-2</v>
          </cell>
          <cell r="E2446">
            <v>1334</v>
          </cell>
          <cell r="F2446">
            <v>166.97</v>
          </cell>
          <cell r="J2446">
            <v>21987.697317505153</v>
          </cell>
          <cell r="K2446">
            <v>5.1054540000000002E-2</v>
          </cell>
          <cell r="L2446">
            <v>1334</v>
          </cell>
          <cell r="M2446">
            <v>166.97</v>
          </cell>
          <cell r="N2446">
            <v>12816.515157567519</v>
          </cell>
          <cell r="O2446">
            <v>13436.376598333663</v>
          </cell>
          <cell r="P2446">
            <v>4.2675130000000001</v>
          </cell>
        </row>
        <row r="2447">
          <cell r="B2447">
            <v>34250</v>
          </cell>
          <cell r="C2447">
            <v>49.14</v>
          </cell>
          <cell r="D2447">
            <v>5.1847270000000001E-2</v>
          </cell>
          <cell r="E2447">
            <v>1360</v>
          </cell>
          <cell r="F2447">
            <v>172.9</v>
          </cell>
          <cell r="J2447">
            <v>22347.855799565888</v>
          </cell>
          <cell r="K2447">
            <v>5.1847270000000001E-2</v>
          </cell>
          <cell r="L2447">
            <v>1360</v>
          </cell>
          <cell r="M2447">
            <v>172.9</v>
          </cell>
          <cell r="N2447">
            <v>12816.515157567519</v>
          </cell>
          <cell r="O2447">
            <v>13436.376598333663</v>
          </cell>
          <cell r="P2447">
            <v>4.2675130000000001</v>
          </cell>
        </row>
        <row r="2448">
          <cell r="B2448">
            <v>34253</v>
          </cell>
          <cell r="C2448">
            <v>49.14</v>
          </cell>
          <cell r="D2448">
            <v>5.1839999999999997E-2</v>
          </cell>
          <cell r="E2448">
            <v>1393</v>
          </cell>
          <cell r="F2448">
            <v>180.64</v>
          </cell>
          <cell r="J2448">
            <v>22713.913677562778</v>
          </cell>
          <cell r="K2448">
            <v>5.1839999999999997E-2</v>
          </cell>
          <cell r="L2448">
            <v>1393</v>
          </cell>
          <cell r="M2448">
            <v>180.64</v>
          </cell>
          <cell r="N2448">
            <v>12816.515157567519</v>
          </cell>
          <cell r="O2448">
            <v>13436.376598333663</v>
          </cell>
          <cell r="P2448">
            <v>4.2675130000000001</v>
          </cell>
        </row>
        <row r="2449">
          <cell r="B2449">
            <v>34255</v>
          </cell>
          <cell r="C2449">
            <v>49.131</v>
          </cell>
          <cell r="D2449">
            <v>5.2639999999999999E-2</v>
          </cell>
          <cell r="E2449">
            <v>1425</v>
          </cell>
          <cell r="F2449">
            <v>184.64</v>
          </cell>
          <cell r="J2449">
            <v>23085.899441860227</v>
          </cell>
          <cell r="K2449">
            <v>5.2639999999999999E-2</v>
          </cell>
          <cell r="L2449">
            <v>1425</v>
          </cell>
          <cell r="M2449">
            <v>184.64</v>
          </cell>
          <cell r="N2449">
            <v>12816.515157567519</v>
          </cell>
          <cell r="O2449">
            <v>13436.376598333663</v>
          </cell>
          <cell r="P2449">
            <v>4.2675130000000001</v>
          </cell>
        </row>
        <row r="2450">
          <cell r="B2450">
            <v>34256</v>
          </cell>
          <cell r="C2450">
            <v>49.100999999999999</v>
          </cell>
          <cell r="D2450">
            <v>5.3453819999999999E-2</v>
          </cell>
          <cell r="E2450">
            <v>1457</v>
          </cell>
          <cell r="F2450">
            <v>186.95</v>
          </cell>
          <cell r="J2450">
            <v>23463.746358025153</v>
          </cell>
          <cell r="K2450">
            <v>5.3453819999999999E-2</v>
          </cell>
          <cell r="L2450">
            <v>1457</v>
          </cell>
          <cell r="M2450">
            <v>186.95</v>
          </cell>
          <cell r="N2450">
            <v>12816.515157567519</v>
          </cell>
          <cell r="O2450">
            <v>13436.376598333663</v>
          </cell>
          <cell r="P2450">
            <v>4.2675130000000001</v>
          </cell>
        </row>
        <row r="2451">
          <cell r="B2451">
            <v>34257</v>
          </cell>
          <cell r="C2451">
            <v>49.11</v>
          </cell>
          <cell r="D2451">
            <v>5.4276360000000003E-2</v>
          </cell>
          <cell r="E2451">
            <v>1473</v>
          </cell>
          <cell r="F2451">
            <v>189.37</v>
          </cell>
          <cell r="J2451">
            <v>23847.847885906023</v>
          </cell>
          <cell r="K2451">
            <v>5.4276360000000003E-2</v>
          </cell>
          <cell r="L2451">
            <v>1473</v>
          </cell>
          <cell r="M2451">
            <v>189.37</v>
          </cell>
          <cell r="N2451">
            <v>12816.515157567519</v>
          </cell>
          <cell r="O2451">
            <v>13436.376598333663</v>
          </cell>
          <cell r="P2451">
            <v>4.2675130000000001</v>
          </cell>
        </row>
        <row r="2452">
          <cell r="B2452">
            <v>34260</v>
          </cell>
          <cell r="C2452">
            <v>49.119</v>
          </cell>
          <cell r="D2452">
            <v>5.5127269999999999E-2</v>
          </cell>
          <cell r="E2452">
            <v>1460</v>
          </cell>
          <cell r="F2452">
            <v>171.35</v>
          </cell>
          <cell r="J2452">
            <v>24238.30869934196</v>
          </cell>
          <cell r="K2452">
            <v>5.5127269999999999E-2</v>
          </cell>
          <cell r="L2452">
            <v>1460</v>
          </cell>
          <cell r="M2452">
            <v>171.35</v>
          </cell>
          <cell r="N2452">
            <v>12816.515157567519</v>
          </cell>
          <cell r="O2452">
            <v>13436.376598333663</v>
          </cell>
          <cell r="P2452">
            <v>4.2675130000000001</v>
          </cell>
        </row>
        <row r="2453">
          <cell r="B2453">
            <v>34261</v>
          </cell>
          <cell r="C2453">
            <v>49.131</v>
          </cell>
          <cell r="D2453">
            <v>5.596545E-2</v>
          </cell>
          <cell r="E2453">
            <v>1458</v>
          </cell>
          <cell r="F2453">
            <v>176.65</v>
          </cell>
          <cell r="J2453">
            <v>24635.259480911085</v>
          </cell>
          <cell r="K2453">
            <v>5.596545E-2</v>
          </cell>
          <cell r="L2453">
            <v>1458</v>
          </cell>
          <cell r="M2453">
            <v>176.65</v>
          </cell>
          <cell r="N2453">
            <v>12816.515157567519</v>
          </cell>
          <cell r="O2453">
            <v>13436.376598333663</v>
          </cell>
          <cell r="P2453">
            <v>4.2675130000000001</v>
          </cell>
        </row>
        <row r="2454">
          <cell r="B2454">
            <v>34262</v>
          </cell>
          <cell r="C2454">
            <v>49.131</v>
          </cell>
          <cell r="D2454">
            <v>5.6836360000000002E-2</v>
          </cell>
          <cell r="E2454">
            <v>1444</v>
          </cell>
          <cell r="F2454">
            <v>166.03</v>
          </cell>
          <cell r="J2454">
            <v>25038.711125429967</v>
          </cell>
          <cell r="K2454">
            <v>5.6836360000000002E-2</v>
          </cell>
          <cell r="L2454">
            <v>1444</v>
          </cell>
          <cell r="M2454">
            <v>166.03</v>
          </cell>
          <cell r="N2454">
            <v>12816.515157567519</v>
          </cell>
          <cell r="O2454">
            <v>13436.376598333663</v>
          </cell>
          <cell r="P2454">
            <v>4.2675130000000001</v>
          </cell>
        </row>
        <row r="2455">
          <cell r="B2455">
            <v>34263</v>
          </cell>
          <cell r="C2455">
            <v>49.14</v>
          </cell>
          <cell r="D2455">
            <v>5.770728E-2</v>
          </cell>
          <cell r="E2455">
            <v>1411</v>
          </cell>
          <cell r="F2455">
            <v>150.32</v>
          </cell>
          <cell r="J2455">
            <v>25448.84521366451</v>
          </cell>
          <cell r="K2455">
            <v>5.770728E-2</v>
          </cell>
          <cell r="L2455">
            <v>1411</v>
          </cell>
          <cell r="M2455">
            <v>150.32</v>
          </cell>
          <cell r="N2455">
            <v>12816.515157567519</v>
          </cell>
          <cell r="O2455">
            <v>13436.376598333663</v>
          </cell>
          <cell r="P2455">
            <v>4.2675130000000001</v>
          </cell>
        </row>
        <row r="2456">
          <cell r="B2456">
            <v>34264</v>
          </cell>
          <cell r="C2456">
            <v>49.14</v>
          </cell>
          <cell r="D2456">
            <v>5.8601819999999999E-2</v>
          </cell>
          <cell r="E2456">
            <v>1493</v>
          </cell>
          <cell r="F2456">
            <v>166.84</v>
          </cell>
          <cell r="J2456">
            <v>25865.697298264335</v>
          </cell>
          <cell r="K2456">
            <v>5.8601819999999999E-2</v>
          </cell>
          <cell r="L2456">
            <v>1493</v>
          </cell>
          <cell r="M2456">
            <v>166.84</v>
          </cell>
          <cell r="N2456">
            <v>12816.515157567519</v>
          </cell>
          <cell r="O2456">
            <v>13436.376598333663</v>
          </cell>
          <cell r="P2456">
            <v>4.2675130000000001</v>
          </cell>
        </row>
        <row r="2457">
          <cell r="B2457">
            <v>34267</v>
          </cell>
          <cell r="C2457">
            <v>49.14</v>
          </cell>
          <cell r="D2457">
            <v>5.9507270000000001E-2</v>
          </cell>
          <cell r="E2457">
            <v>1489</v>
          </cell>
          <cell r="F2457">
            <v>156.07</v>
          </cell>
          <cell r="J2457">
            <v>26289.377420009907</v>
          </cell>
          <cell r="K2457">
            <v>5.9507270000000001E-2</v>
          </cell>
          <cell r="L2457">
            <v>1489</v>
          </cell>
          <cell r="M2457">
            <v>156.07</v>
          </cell>
          <cell r="N2457">
            <v>12816.515157567519</v>
          </cell>
          <cell r="O2457">
            <v>13436.376598333663</v>
          </cell>
          <cell r="P2457">
            <v>4.2675130000000001</v>
          </cell>
        </row>
        <row r="2458">
          <cell r="B2458">
            <v>34268</v>
          </cell>
          <cell r="C2458">
            <v>49.14</v>
          </cell>
          <cell r="D2458">
            <v>6.0426180000000003E-2</v>
          </cell>
          <cell r="E2458">
            <v>1507</v>
          </cell>
          <cell r="F2458">
            <v>164.29</v>
          </cell>
          <cell r="J2458">
            <v>26719.99742214967</v>
          </cell>
          <cell r="K2458">
            <v>6.0426180000000003E-2</v>
          </cell>
          <cell r="L2458">
            <v>1507</v>
          </cell>
          <cell r="M2458">
            <v>164.29</v>
          </cell>
          <cell r="N2458">
            <v>12816.515157567519</v>
          </cell>
          <cell r="O2458">
            <v>13436.376598333663</v>
          </cell>
          <cell r="P2458">
            <v>4.2675130000000001</v>
          </cell>
        </row>
        <row r="2459">
          <cell r="B2459">
            <v>34269</v>
          </cell>
          <cell r="C2459">
            <v>49.14</v>
          </cell>
          <cell r="D2459">
            <v>6.1360360000000003E-2</v>
          </cell>
          <cell r="E2459">
            <v>1558</v>
          </cell>
          <cell r="F2459">
            <v>179.82</v>
          </cell>
          <cell r="J2459">
            <v>27157.670979924485</v>
          </cell>
          <cell r="K2459">
            <v>6.1360360000000003E-2</v>
          </cell>
          <cell r="L2459">
            <v>1558</v>
          </cell>
          <cell r="M2459">
            <v>179.82</v>
          </cell>
          <cell r="N2459">
            <v>12816.515157567519</v>
          </cell>
          <cell r="O2459">
            <v>13436.376598333663</v>
          </cell>
          <cell r="P2459">
            <v>4.2675130000000001</v>
          </cell>
        </row>
        <row r="2460">
          <cell r="B2460">
            <v>34270</v>
          </cell>
          <cell r="C2460">
            <v>49.070999999999998</v>
          </cell>
          <cell r="D2460">
            <v>6.2330910000000003E-2</v>
          </cell>
          <cell r="E2460">
            <v>1577</v>
          </cell>
          <cell r="F2460">
            <v>177.5</v>
          </cell>
          <cell r="J2460">
            <v>27601.889004143108</v>
          </cell>
          <cell r="K2460">
            <v>6.2330910000000003E-2</v>
          </cell>
          <cell r="L2460">
            <v>1577</v>
          </cell>
          <cell r="M2460">
            <v>177.5</v>
          </cell>
          <cell r="N2460">
            <v>12816.515157567519</v>
          </cell>
          <cell r="O2460">
            <v>13436.376598333663</v>
          </cell>
          <cell r="P2460">
            <v>4.2675130000000001</v>
          </cell>
        </row>
        <row r="2461">
          <cell r="B2461">
            <v>34271</v>
          </cell>
          <cell r="C2461">
            <v>49.100999999999999</v>
          </cell>
          <cell r="D2461">
            <v>6.3272729999999999E-2</v>
          </cell>
          <cell r="E2461">
            <v>1627</v>
          </cell>
          <cell r="F2461">
            <v>184.35</v>
          </cell>
          <cell r="G2461">
            <v>35.14</v>
          </cell>
          <cell r="H2461">
            <v>35.04</v>
          </cell>
          <cell r="I2461">
            <v>5.8555659999999996</v>
          </cell>
          <cell r="J2461">
            <v>28053.649121473918</v>
          </cell>
          <cell r="K2461">
            <v>6.3272729999999999E-2</v>
          </cell>
          <cell r="L2461">
            <v>1627</v>
          </cell>
          <cell r="M2461">
            <v>184.35</v>
          </cell>
          <cell r="N2461">
            <v>17320.238583936745</v>
          </cell>
          <cell r="O2461">
            <v>18144.482958389781</v>
          </cell>
          <cell r="P2461">
            <v>5.8555659999999996</v>
          </cell>
        </row>
        <row r="2462">
          <cell r="B2462">
            <v>34274</v>
          </cell>
          <cell r="C2462">
            <v>49.131</v>
          </cell>
          <cell r="D2462">
            <v>6.4250909999999994E-2</v>
          </cell>
          <cell r="E2462">
            <v>1685</v>
          </cell>
          <cell r="F2462">
            <v>203.55</v>
          </cell>
          <cell r="J2462">
            <v>28513.0837331363</v>
          </cell>
          <cell r="K2462">
            <v>6.4250909999999994E-2</v>
          </cell>
          <cell r="L2462">
            <v>1685</v>
          </cell>
          <cell r="M2462">
            <v>203.55</v>
          </cell>
          <cell r="N2462">
            <v>17320.238583936745</v>
          </cell>
          <cell r="O2462">
            <v>18144.482958389781</v>
          </cell>
          <cell r="P2462">
            <v>5.8555659999999996</v>
          </cell>
        </row>
        <row r="2463">
          <cell r="B2463">
            <v>34276</v>
          </cell>
          <cell r="C2463">
            <v>49.14</v>
          </cell>
          <cell r="D2463">
            <v>6.5241090000000002E-2</v>
          </cell>
          <cell r="E2463">
            <v>1705</v>
          </cell>
          <cell r="F2463">
            <v>201.44</v>
          </cell>
          <cell r="J2463">
            <v>28980.128044685076</v>
          </cell>
          <cell r="K2463">
            <v>6.5241090000000002E-2</v>
          </cell>
          <cell r="L2463">
            <v>1705</v>
          </cell>
          <cell r="M2463">
            <v>201.44</v>
          </cell>
          <cell r="N2463">
            <v>17320.238583936745</v>
          </cell>
          <cell r="O2463">
            <v>18144.482958389781</v>
          </cell>
          <cell r="P2463">
            <v>5.8555659999999996</v>
          </cell>
        </row>
        <row r="2464">
          <cell r="B2464">
            <v>34277</v>
          </cell>
          <cell r="C2464">
            <v>49.14</v>
          </cell>
          <cell r="D2464">
            <v>6.6261819999999999E-2</v>
          </cell>
          <cell r="E2464">
            <v>1714</v>
          </cell>
          <cell r="F2464">
            <v>198.08</v>
          </cell>
          <cell r="J2464">
            <v>29454.82254205702</v>
          </cell>
          <cell r="K2464">
            <v>6.6261819999999999E-2</v>
          </cell>
          <cell r="L2464">
            <v>1714</v>
          </cell>
          <cell r="M2464">
            <v>198.08</v>
          </cell>
          <cell r="N2464">
            <v>17320.238583936745</v>
          </cell>
          <cell r="O2464">
            <v>18144.482958389781</v>
          </cell>
          <cell r="P2464">
            <v>5.8555659999999996</v>
          </cell>
        </row>
        <row r="2465">
          <cell r="B2465">
            <v>34278</v>
          </cell>
          <cell r="C2465">
            <v>49.14</v>
          </cell>
          <cell r="D2465">
            <v>6.7272730000000003E-2</v>
          </cell>
          <cell r="E2465">
            <v>1724</v>
          </cell>
          <cell r="F2465">
            <v>201.46</v>
          </cell>
          <cell r="J2465">
            <v>29937.292535295917</v>
          </cell>
          <cell r="K2465">
            <v>6.7272730000000003E-2</v>
          </cell>
          <cell r="L2465">
            <v>1724</v>
          </cell>
          <cell r="M2465">
            <v>201.46</v>
          </cell>
          <cell r="N2465">
            <v>17320.238583936745</v>
          </cell>
          <cell r="O2465">
            <v>18144.482958389781</v>
          </cell>
          <cell r="P2465">
            <v>5.8555659999999996</v>
          </cell>
        </row>
        <row r="2466">
          <cell r="B2466">
            <v>34281</v>
          </cell>
          <cell r="C2466">
            <v>49.131</v>
          </cell>
          <cell r="D2466">
            <v>6.8312730000000002E-2</v>
          </cell>
          <cell r="E2466">
            <v>1761</v>
          </cell>
          <cell r="F2466">
            <v>212.89</v>
          </cell>
          <cell r="J2466">
            <v>30427.57557514646</v>
          </cell>
          <cell r="K2466">
            <v>6.8312730000000002E-2</v>
          </cell>
          <cell r="L2466">
            <v>1761</v>
          </cell>
          <cell r="M2466">
            <v>212.89</v>
          </cell>
          <cell r="N2466">
            <v>17320.238583936745</v>
          </cell>
          <cell r="O2466">
            <v>18144.482958389781</v>
          </cell>
          <cell r="P2466">
            <v>5.8555659999999996</v>
          </cell>
        </row>
        <row r="2467">
          <cell r="B2467">
            <v>34282</v>
          </cell>
          <cell r="C2467">
            <v>49.131</v>
          </cell>
          <cell r="D2467">
            <v>7.0436360000000003E-2</v>
          </cell>
          <cell r="E2467">
            <v>1806</v>
          </cell>
          <cell r="F2467">
            <v>213.43</v>
          </cell>
          <cell r="J2467">
            <v>30925.887980340638</v>
          </cell>
          <cell r="K2467">
            <v>7.0436360000000003E-2</v>
          </cell>
          <cell r="L2467">
            <v>1806</v>
          </cell>
          <cell r="M2467">
            <v>213.43</v>
          </cell>
          <cell r="N2467">
            <v>17320.238583936745</v>
          </cell>
          <cell r="O2467">
            <v>18144.482958389781</v>
          </cell>
          <cell r="P2467">
            <v>5.8555659999999996</v>
          </cell>
        </row>
        <row r="2468">
          <cell r="B2468">
            <v>34283</v>
          </cell>
          <cell r="C2468">
            <v>49.13</v>
          </cell>
          <cell r="D2468">
            <v>7.1525459999999999E-2</v>
          </cell>
          <cell r="E2468">
            <v>1850</v>
          </cell>
          <cell r="F2468">
            <v>228.28</v>
          </cell>
          <cell r="J2468">
            <v>31432.35093916535</v>
          </cell>
          <cell r="K2468">
            <v>7.1525459999999999E-2</v>
          </cell>
          <cell r="L2468">
            <v>1850</v>
          </cell>
          <cell r="M2468">
            <v>228.28</v>
          </cell>
          <cell r="N2468">
            <v>17320.238583936745</v>
          </cell>
          <cell r="O2468">
            <v>18144.482958389781</v>
          </cell>
          <cell r="P2468">
            <v>5.8555659999999996</v>
          </cell>
        </row>
        <row r="2469">
          <cell r="B2469">
            <v>34284</v>
          </cell>
          <cell r="C2469">
            <v>49.040999999999997</v>
          </cell>
          <cell r="D2469">
            <v>7.1526909999999999E-2</v>
          </cell>
          <cell r="E2469">
            <v>1877</v>
          </cell>
          <cell r="F2469">
            <v>232.76</v>
          </cell>
          <cell r="J2469">
            <v>31946.17557996789</v>
          </cell>
          <cell r="K2469">
            <v>7.1526909999999999E-2</v>
          </cell>
          <cell r="L2469">
            <v>1877</v>
          </cell>
          <cell r="M2469">
            <v>232.76</v>
          </cell>
          <cell r="N2469">
            <v>17320.238583936745</v>
          </cell>
          <cell r="O2469">
            <v>18144.482958389781</v>
          </cell>
          <cell r="P2469">
            <v>5.8555659999999996</v>
          </cell>
        </row>
        <row r="2470">
          <cell r="B2470">
            <v>34285</v>
          </cell>
          <cell r="C2470">
            <v>49.100999999999999</v>
          </cell>
          <cell r="D2470">
            <v>7.2639999999999996E-2</v>
          </cell>
          <cell r="E2470">
            <v>1905</v>
          </cell>
          <cell r="F2470">
            <v>235.88</v>
          </cell>
          <cell r="J2470">
            <v>32469.038635685225</v>
          </cell>
          <cell r="K2470">
            <v>7.2639999999999996E-2</v>
          </cell>
          <cell r="L2470">
            <v>1905</v>
          </cell>
          <cell r="M2470">
            <v>235.88</v>
          </cell>
          <cell r="N2470">
            <v>17320.238583936745</v>
          </cell>
          <cell r="O2470">
            <v>18144.482958389781</v>
          </cell>
          <cell r="P2470">
            <v>5.8555659999999996</v>
          </cell>
        </row>
        <row r="2471">
          <cell r="B2471">
            <v>34289</v>
          </cell>
          <cell r="C2471">
            <v>49.119</v>
          </cell>
          <cell r="D2471">
            <v>7.3749090000000003E-2</v>
          </cell>
          <cell r="E2471">
            <v>1923</v>
          </cell>
          <cell r="F2471">
            <v>239.33</v>
          </cell>
          <cell r="J2471">
            <v>33000.654205267296</v>
          </cell>
          <cell r="K2471">
            <v>7.3749090000000003E-2</v>
          </cell>
          <cell r="L2471">
            <v>1923</v>
          </cell>
          <cell r="M2471">
            <v>239.33</v>
          </cell>
          <cell r="N2471">
            <v>17320.238583936745</v>
          </cell>
          <cell r="O2471">
            <v>18144.482958389781</v>
          </cell>
          <cell r="P2471">
            <v>5.8555659999999996</v>
          </cell>
        </row>
        <row r="2472">
          <cell r="B2472">
            <v>34290</v>
          </cell>
          <cell r="C2472">
            <v>49.119</v>
          </cell>
          <cell r="D2472">
            <v>7.4886910000000001E-2</v>
          </cell>
          <cell r="E2472">
            <v>1981</v>
          </cell>
          <cell r="F2472">
            <v>250.49</v>
          </cell>
          <cell r="J2472">
            <v>33540.973916570139</v>
          </cell>
          <cell r="K2472">
            <v>7.4886910000000001E-2</v>
          </cell>
          <cell r="L2472">
            <v>1981</v>
          </cell>
          <cell r="M2472">
            <v>250.49</v>
          </cell>
          <cell r="N2472">
            <v>17320.238583936745</v>
          </cell>
          <cell r="O2472">
            <v>18144.482958389781</v>
          </cell>
          <cell r="P2472">
            <v>5.8555659999999996</v>
          </cell>
        </row>
        <row r="2473">
          <cell r="B2473">
            <v>34291</v>
          </cell>
          <cell r="C2473">
            <v>49.11</v>
          </cell>
          <cell r="D2473">
            <v>7.6043630000000001E-2</v>
          </cell>
          <cell r="E2473">
            <v>2010</v>
          </cell>
          <cell r="F2473">
            <v>251.26</v>
          </cell>
          <cell r="J2473">
            <v>34090.039659584392</v>
          </cell>
          <cell r="K2473">
            <v>7.6043630000000001E-2</v>
          </cell>
          <cell r="L2473">
            <v>2010</v>
          </cell>
          <cell r="M2473">
            <v>251.26</v>
          </cell>
          <cell r="N2473">
            <v>17320.238583936745</v>
          </cell>
          <cell r="O2473">
            <v>18144.482958389781</v>
          </cell>
          <cell r="P2473">
            <v>5.8555659999999996</v>
          </cell>
        </row>
        <row r="2474">
          <cell r="B2474">
            <v>34292</v>
          </cell>
          <cell r="C2474">
            <v>49.08</v>
          </cell>
          <cell r="D2474">
            <v>7.7200000000000005E-2</v>
          </cell>
          <cell r="E2474">
            <v>2045</v>
          </cell>
          <cell r="F2474">
            <v>249.79</v>
          </cell>
          <cell r="J2474">
            <v>34647.752708415188</v>
          </cell>
          <cell r="K2474">
            <v>7.7200000000000005E-2</v>
          </cell>
          <cell r="L2474">
            <v>2045</v>
          </cell>
          <cell r="M2474">
            <v>249.79</v>
          </cell>
          <cell r="N2474">
            <v>17320.238583936745</v>
          </cell>
          <cell r="O2474">
            <v>18144.482958389781</v>
          </cell>
          <cell r="P2474">
            <v>5.8555659999999996</v>
          </cell>
        </row>
        <row r="2475">
          <cell r="B2475">
            <v>34295</v>
          </cell>
          <cell r="C2475">
            <v>49.100999999999999</v>
          </cell>
          <cell r="D2475">
            <v>7.8399999999999997E-2</v>
          </cell>
          <cell r="E2475">
            <v>2052</v>
          </cell>
          <cell r="F2475">
            <v>247.38</v>
          </cell>
          <cell r="J2475">
            <v>35214.832476993819</v>
          </cell>
          <cell r="K2475">
            <v>7.8399999999999997E-2</v>
          </cell>
          <cell r="L2475">
            <v>2052</v>
          </cell>
          <cell r="M2475">
            <v>247.38</v>
          </cell>
          <cell r="N2475">
            <v>17320.238583936745</v>
          </cell>
          <cell r="O2475">
            <v>18144.482958389781</v>
          </cell>
          <cell r="P2475">
            <v>5.8555659999999996</v>
          </cell>
        </row>
        <row r="2476">
          <cell r="B2476">
            <v>34296</v>
          </cell>
          <cell r="C2476">
            <v>49.11</v>
          </cell>
          <cell r="D2476">
            <v>8.0847269999999999E-2</v>
          </cell>
          <cell r="E2476">
            <v>2105</v>
          </cell>
          <cell r="F2476">
            <v>258.38</v>
          </cell>
          <cell r="J2476">
            <v>35791.299284642206</v>
          </cell>
          <cell r="K2476">
            <v>8.0847269999999999E-2</v>
          </cell>
          <cell r="L2476">
            <v>2105</v>
          </cell>
          <cell r="M2476">
            <v>258.38</v>
          </cell>
          <cell r="N2476">
            <v>17320.238583936745</v>
          </cell>
          <cell r="O2476">
            <v>18144.482958389781</v>
          </cell>
          <cell r="P2476">
            <v>5.8555659999999996</v>
          </cell>
        </row>
        <row r="2477">
          <cell r="B2477">
            <v>34297</v>
          </cell>
          <cell r="C2477">
            <v>49.100999999999999</v>
          </cell>
          <cell r="D2477">
            <v>8.2119999999999999E-2</v>
          </cell>
          <cell r="E2477">
            <v>2150</v>
          </cell>
          <cell r="F2477">
            <v>270.12</v>
          </cell>
          <cell r="J2477">
            <v>36377.095480033946</v>
          </cell>
          <cell r="K2477">
            <v>8.2119999999999999E-2</v>
          </cell>
          <cell r="L2477">
            <v>2150</v>
          </cell>
          <cell r="M2477">
            <v>270.12</v>
          </cell>
          <cell r="N2477">
            <v>17320.238583936745</v>
          </cell>
          <cell r="O2477">
            <v>18144.482958389781</v>
          </cell>
          <cell r="P2477">
            <v>5.8555659999999996</v>
          </cell>
        </row>
        <row r="2478">
          <cell r="B2478">
            <v>34298</v>
          </cell>
          <cell r="C2478">
            <v>49.088999999999999</v>
          </cell>
          <cell r="D2478">
            <v>8.2096359999999993E-2</v>
          </cell>
          <cell r="E2478">
            <v>2166</v>
          </cell>
          <cell r="F2478">
            <v>276.36</v>
          </cell>
          <cell r="J2478">
            <v>36972.33389337374</v>
          </cell>
          <cell r="K2478">
            <v>8.2096359999999993E-2</v>
          </cell>
          <cell r="L2478">
            <v>2166</v>
          </cell>
          <cell r="M2478">
            <v>276.36</v>
          </cell>
          <cell r="N2478">
            <v>17320.238583936745</v>
          </cell>
          <cell r="O2478">
            <v>18144.482958389781</v>
          </cell>
          <cell r="P2478">
            <v>5.8555659999999996</v>
          </cell>
        </row>
        <row r="2479">
          <cell r="B2479">
            <v>34299</v>
          </cell>
          <cell r="C2479">
            <v>49.08</v>
          </cell>
          <cell r="D2479">
            <v>8.3369090000000007E-2</v>
          </cell>
          <cell r="E2479">
            <v>2214</v>
          </cell>
          <cell r="F2479">
            <v>282.19</v>
          </cell>
          <cell r="J2479">
            <v>37577.201275869331</v>
          </cell>
          <cell r="K2479">
            <v>8.3369090000000007E-2</v>
          </cell>
          <cell r="L2479">
            <v>2214</v>
          </cell>
          <cell r="M2479">
            <v>282.19</v>
          </cell>
          <cell r="N2479">
            <v>17320.238583936745</v>
          </cell>
          <cell r="O2479">
            <v>18144.482958389781</v>
          </cell>
          <cell r="P2479">
            <v>5.8555659999999996</v>
          </cell>
        </row>
        <row r="2480">
          <cell r="B2480">
            <v>34302</v>
          </cell>
          <cell r="C2480">
            <v>49.878999999999998</v>
          </cell>
          <cell r="D2480">
            <v>8.4698179999999998E-2</v>
          </cell>
          <cell r="E2480">
            <v>2232</v>
          </cell>
          <cell r="F2480">
            <v>276.45</v>
          </cell>
          <cell r="J2480">
            <v>38201.972350015698</v>
          </cell>
          <cell r="K2480">
            <v>8.4698179999999998E-2</v>
          </cell>
          <cell r="L2480">
            <v>2232</v>
          </cell>
          <cell r="M2480">
            <v>276.45</v>
          </cell>
          <cell r="N2480">
            <v>17320.238583936745</v>
          </cell>
          <cell r="O2480">
            <v>18144.482958389781</v>
          </cell>
          <cell r="P2480">
            <v>5.8555659999999996</v>
          </cell>
        </row>
        <row r="2481">
          <cell r="B2481">
            <v>34303</v>
          </cell>
          <cell r="C2481">
            <v>42.651000000000003</v>
          </cell>
          <cell r="D2481">
            <v>8.5814550000000003E-2</v>
          </cell>
          <cell r="E2481">
            <v>2239</v>
          </cell>
          <cell r="F2481">
            <v>274.02999999999997</v>
          </cell>
          <cell r="G2481">
            <v>36.96</v>
          </cell>
          <cell r="H2481">
            <v>36.15</v>
          </cell>
          <cell r="I2481">
            <v>8.0128039999999991</v>
          </cell>
          <cell r="J2481">
            <v>38745.089790915867</v>
          </cell>
          <cell r="K2481">
            <v>8.5814550000000003E-2</v>
          </cell>
          <cell r="L2481">
            <v>2239</v>
          </cell>
          <cell r="M2481">
            <v>274.02999999999997</v>
          </cell>
          <cell r="N2481">
            <v>23721.798764559764</v>
          </cell>
          <cell r="O2481">
            <v>24703.713547847685</v>
          </cell>
          <cell r="P2481">
            <v>8.0128039999999991</v>
          </cell>
        </row>
        <row r="2482">
          <cell r="B2482">
            <v>34304</v>
          </cell>
          <cell r="C2482">
            <v>42.680999999999997</v>
          </cell>
          <cell r="D2482">
            <v>8.6969089999999999E-2</v>
          </cell>
          <cell r="E2482">
            <v>2248</v>
          </cell>
          <cell r="F2482">
            <v>266.97000000000003</v>
          </cell>
          <cell r="J2482">
            <v>39296.316183371229</v>
          </cell>
          <cell r="K2482">
            <v>8.6969089999999999E-2</v>
          </cell>
          <cell r="L2482">
            <v>2248</v>
          </cell>
          <cell r="M2482">
            <v>266.97000000000003</v>
          </cell>
          <cell r="N2482">
            <v>23721.798764559764</v>
          </cell>
          <cell r="O2482">
            <v>24703.713547847685</v>
          </cell>
          <cell r="P2482">
            <v>8.0128039999999991</v>
          </cell>
        </row>
        <row r="2483">
          <cell r="B2483">
            <v>34305</v>
          </cell>
          <cell r="C2483">
            <v>42.680999999999997</v>
          </cell>
          <cell r="D2483">
            <v>8.8134539999999997E-2</v>
          </cell>
          <cell r="E2483">
            <v>2268</v>
          </cell>
          <cell r="F2483">
            <v>271.64</v>
          </cell>
          <cell r="J2483">
            <v>39855.38487371205</v>
          </cell>
          <cell r="K2483">
            <v>8.8134539999999997E-2</v>
          </cell>
          <cell r="L2483">
            <v>2268</v>
          </cell>
          <cell r="M2483">
            <v>271.64</v>
          </cell>
          <cell r="N2483">
            <v>23721.798764559764</v>
          </cell>
          <cell r="O2483">
            <v>24703.713547847685</v>
          </cell>
          <cell r="P2483">
            <v>8.0128039999999991</v>
          </cell>
        </row>
        <row r="2484">
          <cell r="B2484">
            <v>34306</v>
          </cell>
          <cell r="C2484">
            <v>42.668999999999997</v>
          </cell>
          <cell r="D2484">
            <v>8.9316359999999997E-2</v>
          </cell>
          <cell r="E2484">
            <v>2313</v>
          </cell>
          <cell r="F2484">
            <v>288.68</v>
          </cell>
          <cell r="J2484">
            <v>40422.248012770862</v>
          </cell>
          <cell r="K2484">
            <v>8.9316359999999997E-2</v>
          </cell>
          <cell r="L2484">
            <v>2313</v>
          </cell>
          <cell r="M2484">
            <v>288.68</v>
          </cell>
          <cell r="N2484">
            <v>23721.798764559764</v>
          </cell>
          <cell r="O2484">
            <v>24703.713547847685</v>
          </cell>
          <cell r="P2484">
            <v>8.0128039999999991</v>
          </cell>
        </row>
        <row r="2485">
          <cell r="B2485">
            <v>34309</v>
          </cell>
          <cell r="C2485">
            <v>42.668999999999997</v>
          </cell>
          <cell r="D2485">
            <v>9.0516360000000004E-2</v>
          </cell>
          <cell r="E2485">
            <v>2371</v>
          </cell>
          <cell r="F2485">
            <v>296.14999999999998</v>
          </cell>
          <cell r="J2485">
            <v>40997.17364625651</v>
          </cell>
          <cell r="K2485">
            <v>9.0516360000000004E-2</v>
          </cell>
          <cell r="L2485">
            <v>2371</v>
          </cell>
          <cell r="M2485">
            <v>296.14999999999998</v>
          </cell>
          <cell r="N2485">
            <v>23721.798764559764</v>
          </cell>
          <cell r="O2485">
            <v>24703.713547847685</v>
          </cell>
          <cell r="P2485">
            <v>8.0128039999999991</v>
          </cell>
        </row>
        <row r="2486">
          <cell r="B2486">
            <v>34310</v>
          </cell>
          <cell r="C2486">
            <v>42.680999999999997</v>
          </cell>
          <cell r="D2486">
            <v>9.1734549999999998E-2</v>
          </cell>
          <cell r="E2486">
            <v>2400</v>
          </cell>
          <cell r="F2486">
            <v>292.95999999999998</v>
          </cell>
          <cell r="J2486">
            <v>41580.440435721801</v>
          </cell>
          <cell r="K2486">
            <v>9.1734549999999998E-2</v>
          </cell>
          <cell r="L2486">
            <v>2400</v>
          </cell>
          <cell r="M2486">
            <v>292.95999999999998</v>
          </cell>
          <cell r="N2486">
            <v>23721.798764559764</v>
          </cell>
          <cell r="O2486">
            <v>24703.713547847685</v>
          </cell>
          <cell r="P2486">
            <v>8.0128039999999991</v>
          </cell>
        </row>
        <row r="2487">
          <cell r="B2487">
            <v>34311</v>
          </cell>
          <cell r="C2487">
            <v>42.698999999999998</v>
          </cell>
          <cell r="D2487">
            <v>9.2976359999999994E-2</v>
          </cell>
          <cell r="E2487">
            <v>2445</v>
          </cell>
          <cell r="F2487">
            <v>291.14999999999998</v>
          </cell>
          <cell r="J2487">
            <v>42172.254844443429</v>
          </cell>
          <cell r="K2487">
            <v>9.2976359999999994E-2</v>
          </cell>
          <cell r="L2487">
            <v>2445</v>
          </cell>
          <cell r="M2487">
            <v>291.14999999999998</v>
          </cell>
          <cell r="N2487">
            <v>23721.798764559764</v>
          </cell>
          <cell r="O2487">
            <v>24703.713547847685</v>
          </cell>
          <cell r="P2487">
            <v>8.0128039999999991</v>
          </cell>
        </row>
        <row r="2488">
          <cell r="B2488">
            <v>34312</v>
          </cell>
          <cell r="C2488">
            <v>42.710999999999999</v>
          </cell>
          <cell r="D2488">
            <v>9.4218179999999999E-2</v>
          </cell>
          <cell r="E2488">
            <v>2462</v>
          </cell>
          <cell r="F2488">
            <v>284.69</v>
          </cell>
          <cell r="J2488">
            <v>42772.661236663771</v>
          </cell>
          <cell r="K2488">
            <v>9.4218179999999999E-2</v>
          </cell>
          <cell r="L2488">
            <v>2462</v>
          </cell>
          <cell r="M2488">
            <v>284.69</v>
          </cell>
          <cell r="N2488">
            <v>23721.798764559764</v>
          </cell>
          <cell r="O2488">
            <v>24703.713547847685</v>
          </cell>
          <cell r="P2488">
            <v>8.0128039999999991</v>
          </cell>
        </row>
        <row r="2489">
          <cell r="B2489">
            <v>34313</v>
          </cell>
          <cell r="C2489">
            <v>42.801000000000002</v>
          </cell>
          <cell r="D2489">
            <v>9.5494540000000003E-2</v>
          </cell>
          <cell r="E2489">
            <v>2506</v>
          </cell>
          <cell r="F2489">
            <v>290.55</v>
          </cell>
          <cell r="J2489">
            <v>43382.898794527253</v>
          </cell>
          <cell r="K2489">
            <v>9.5494540000000003E-2</v>
          </cell>
          <cell r="L2489">
            <v>2506</v>
          </cell>
          <cell r="M2489">
            <v>290.55</v>
          </cell>
          <cell r="N2489">
            <v>23721.798764559764</v>
          </cell>
          <cell r="O2489">
            <v>24703.713547847685</v>
          </cell>
          <cell r="P2489">
            <v>8.0128039999999991</v>
          </cell>
        </row>
        <row r="2490">
          <cell r="B2490">
            <v>34316</v>
          </cell>
          <cell r="C2490">
            <v>45.03</v>
          </cell>
          <cell r="D2490">
            <v>9.6843639999999995E-2</v>
          </cell>
          <cell r="E2490">
            <v>2499</v>
          </cell>
          <cell r="F2490">
            <v>294.31</v>
          </cell>
          <cell r="J2490">
            <v>44034.076105433109</v>
          </cell>
          <cell r="K2490">
            <v>9.6843639999999995E-2</v>
          </cell>
          <cell r="L2490">
            <v>2499</v>
          </cell>
          <cell r="M2490">
            <v>294.31</v>
          </cell>
          <cell r="N2490">
            <v>23721.798764559764</v>
          </cell>
          <cell r="O2490">
            <v>24703.713547847685</v>
          </cell>
          <cell r="P2490">
            <v>8.0128039999999991</v>
          </cell>
        </row>
        <row r="2491">
          <cell r="B2491">
            <v>34317</v>
          </cell>
          <cell r="C2491">
            <v>45.009</v>
          </cell>
          <cell r="D2491">
            <v>9.8205459999999994E-2</v>
          </cell>
          <cell r="E2491">
            <v>2541</v>
          </cell>
          <cell r="F2491">
            <v>304.83999999999997</v>
          </cell>
          <cell r="J2491">
            <v>44694.719349242929</v>
          </cell>
          <cell r="K2491">
            <v>9.8205459999999994E-2</v>
          </cell>
          <cell r="L2491">
            <v>2541</v>
          </cell>
          <cell r="M2491">
            <v>304.83999999999997</v>
          </cell>
          <cell r="N2491">
            <v>23721.798764559764</v>
          </cell>
          <cell r="O2491">
            <v>24703.713547847685</v>
          </cell>
          <cell r="P2491">
            <v>8.0128039999999991</v>
          </cell>
        </row>
        <row r="2492">
          <cell r="B2492">
            <v>34318</v>
          </cell>
          <cell r="C2492">
            <v>45</v>
          </cell>
          <cell r="D2492">
            <v>9.9592730000000004E-2</v>
          </cell>
          <cell r="E2492">
            <v>2570</v>
          </cell>
          <cell r="F2492">
            <v>301.16000000000003</v>
          </cell>
          <cell r="J2492">
            <v>45365.140139481569</v>
          </cell>
          <cell r="K2492">
            <v>9.9592730000000004E-2</v>
          </cell>
          <cell r="L2492">
            <v>2570</v>
          </cell>
          <cell r="M2492">
            <v>301.16000000000003</v>
          </cell>
          <cell r="N2492">
            <v>23721.798764559764</v>
          </cell>
          <cell r="O2492">
            <v>24703.713547847685</v>
          </cell>
          <cell r="P2492">
            <v>8.0128039999999991</v>
          </cell>
        </row>
        <row r="2493">
          <cell r="B2493">
            <v>34319</v>
          </cell>
          <cell r="C2493">
            <v>44.991</v>
          </cell>
          <cell r="D2493">
            <v>0.1009945</v>
          </cell>
          <cell r="E2493">
            <v>2591</v>
          </cell>
          <cell r="F2493">
            <v>304.3</v>
          </cell>
          <cell r="J2493">
            <v>46045.481146153368</v>
          </cell>
          <cell r="K2493">
            <v>0.1009945</v>
          </cell>
          <cell r="L2493">
            <v>2591</v>
          </cell>
          <cell r="M2493">
            <v>304.3</v>
          </cell>
          <cell r="N2493">
            <v>23721.798764559764</v>
          </cell>
          <cell r="O2493">
            <v>24703.713547847685</v>
          </cell>
          <cell r="P2493">
            <v>8.0128039999999991</v>
          </cell>
        </row>
        <row r="2494">
          <cell r="B2494">
            <v>34320</v>
          </cell>
          <cell r="C2494">
            <v>44.991</v>
          </cell>
          <cell r="D2494">
            <v>0.1024236</v>
          </cell>
          <cell r="E2494">
            <v>2646</v>
          </cell>
          <cell r="F2494">
            <v>309.42</v>
          </cell>
          <cell r="J2494">
            <v>46736.025226902224</v>
          </cell>
          <cell r="K2494">
            <v>0.1024236</v>
          </cell>
          <cell r="L2494">
            <v>2646</v>
          </cell>
          <cell r="M2494">
            <v>309.42</v>
          </cell>
          <cell r="N2494">
            <v>23721.798764559764</v>
          </cell>
          <cell r="O2494">
            <v>24703.713547847685</v>
          </cell>
          <cell r="P2494">
            <v>8.0128039999999991</v>
          </cell>
        </row>
        <row r="2495">
          <cell r="B2495">
            <v>34323</v>
          </cell>
          <cell r="C2495">
            <v>44.978999999999999</v>
          </cell>
          <cell r="D2495">
            <v>0.10386910000000001</v>
          </cell>
          <cell r="E2495">
            <v>2677</v>
          </cell>
          <cell r="F2495">
            <v>309.98</v>
          </cell>
          <cell r="J2495">
            <v>47436.738453129168</v>
          </cell>
          <cell r="K2495">
            <v>0.10386910000000001</v>
          </cell>
          <cell r="L2495">
            <v>2677</v>
          </cell>
          <cell r="M2495">
            <v>309.98</v>
          </cell>
          <cell r="N2495">
            <v>23721.798764559764</v>
          </cell>
          <cell r="O2495">
            <v>24703.713547847685</v>
          </cell>
          <cell r="P2495">
            <v>8.0128039999999991</v>
          </cell>
        </row>
        <row r="2496">
          <cell r="B2496">
            <v>34324</v>
          </cell>
          <cell r="C2496">
            <v>44.978999999999999</v>
          </cell>
          <cell r="D2496">
            <v>0.1053418</v>
          </cell>
          <cell r="E2496">
            <v>2744</v>
          </cell>
          <cell r="F2496">
            <v>329.72</v>
          </cell>
          <cell r="J2496">
            <v>48147.957472756934</v>
          </cell>
          <cell r="K2496">
            <v>0.1053418</v>
          </cell>
          <cell r="L2496">
            <v>2744</v>
          </cell>
          <cell r="M2496">
            <v>329.72</v>
          </cell>
          <cell r="N2496">
            <v>23721.798764559764</v>
          </cell>
          <cell r="O2496">
            <v>24703.713547847685</v>
          </cell>
          <cell r="P2496">
            <v>8.0128039999999991</v>
          </cell>
        </row>
        <row r="2497">
          <cell r="B2497">
            <v>34325</v>
          </cell>
          <cell r="C2497">
            <v>90.51</v>
          </cell>
          <cell r="D2497">
            <v>0.10686180000000001</v>
          </cell>
          <cell r="E2497">
            <v>2895</v>
          </cell>
          <cell r="F2497">
            <v>343.36</v>
          </cell>
          <cell r="J2497">
            <v>49600.58134971001</v>
          </cell>
          <cell r="K2497">
            <v>0.10686180000000001</v>
          </cell>
          <cell r="L2497">
            <v>2895</v>
          </cell>
          <cell r="M2497">
            <v>343.36</v>
          </cell>
          <cell r="N2497">
            <v>23721.798764559764</v>
          </cell>
          <cell r="O2497">
            <v>24703.713547847685</v>
          </cell>
          <cell r="P2497">
            <v>8.0128039999999991</v>
          </cell>
        </row>
        <row r="2498">
          <cell r="B2498">
            <v>34326</v>
          </cell>
          <cell r="C2498">
            <v>44.91</v>
          </cell>
          <cell r="D2498">
            <v>0.1083563</v>
          </cell>
          <cell r="E2498">
            <v>2961</v>
          </cell>
          <cell r="F2498">
            <v>349.17</v>
          </cell>
          <cell r="J2498">
            <v>50343.102052515162</v>
          </cell>
          <cell r="K2498">
            <v>0.1083563</v>
          </cell>
          <cell r="L2498">
            <v>2961</v>
          </cell>
          <cell r="M2498">
            <v>349.17</v>
          </cell>
          <cell r="N2498">
            <v>23721.798764559764</v>
          </cell>
          <cell r="O2498">
            <v>24703.713547847685</v>
          </cell>
          <cell r="P2498">
            <v>8.0128039999999991</v>
          </cell>
        </row>
        <row r="2499">
          <cell r="B2499">
            <v>34327</v>
          </cell>
          <cell r="C2499">
            <v>44.889000000000003</v>
          </cell>
          <cell r="J2499">
            <v>51096.385888526951</v>
          </cell>
          <cell r="K2499">
            <v>0.1083563</v>
          </cell>
          <cell r="L2499">
            <v>2961</v>
          </cell>
          <cell r="M2499">
            <v>349.17</v>
          </cell>
          <cell r="N2499">
            <v>23721.798764559764</v>
          </cell>
          <cell r="O2499">
            <v>24703.713547847685</v>
          </cell>
          <cell r="P2499">
            <v>8.0128039999999991</v>
          </cell>
        </row>
        <row r="2500">
          <cell r="B2500">
            <v>34330</v>
          </cell>
          <cell r="C2500">
            <v>45.999000000000002</v>
          </cell>
          <cell r="D2500">
            <v>0.1114941</v>
          </cell>
          <cell r="E2500">
            <v>3045</v>
          </cell>
          <cell r="F2500">
            <v>359.29</v>
          </cell>
          <cell r="J2500">
            <v>51879.846773355734</v>
          </cell>
          <cell r="K2500">
            <v>0.1114941</v>
          </cell>
          <cell r="L2500">
            <v>3045</v>
          </cell>
          <cell r="M2500">
            <v>359.29</v>
          </cell>
          <cell r="N2500">
            <v>23721.798764559764</v>
          </cell>
          <cell r="O2500">
            <v>24703.713547847685</v>
          </cell>
          <cell r="P2500">
            <v>8.0128039999999991</v>
          </cell>
        </row>
        <row r="2501">
          <cell r="B2501">
            <v>34331</v>
          </cell>
          <cell r="C2501">
            <v>46.988999999999997</v>
          </cell>
          <cell r="D2501">
            <v>0.11318540000000001</v>
          </cell>
          <cell r="E2501">
            <v>3056</v>
          </cell>
          <cell r="F2501">
            <v>360.44</v>
          </cell>
          <cell r="J2501">
            <v>52692.440813366804</v>
          </cell>
          <cell r="K2501">
            <v>0.11318540000000001</v>
          </cell>
          <cell r="L2501">
            <v>3056</v>
          </cell>
          <cell r="M2501">
            <v>360.44</v>
          </cell>
          <cell r="N2501">
            <v>23721.798764559764</v>
          </cell>
          <cell r="O2501">
            <v>24703.713547847685</v>
          </cell>
          <cell r="P2501">
            <v>8.0128039999999991</v>
          </cell>
        </row>
        <row r="2502">
          <cell r="B2502">
            <v>34332</v>
          </cell>
          <cell r="C2502">
            <v>47.901000000000003</v>
          </cell>
          <cell r="D2502">
            <v>0.11491270000000001</v>
          </cell>
          <cell r="E2502">
            <v>3125</v>
          </cell>
          <cell r="F2502">
            <v>373.6</v>
          </cell>
          <cell r="J2502">
            <v>53533.781015833832</v>
          </cell>
          <cell r="K2502">
            <v>0.11491270000000001</v>
          </cell>
          <cell r="L2502">
            <v>3125</v>
          </cell>
          <cell r="M2502">
            <v>373.6</v>
          </cell>
          <cell r="N2502">
            <v>23721.798764559764</v>
          </cell>
          <cell r="O2502">
            <v>24703.713547847685</v>
          </cell>
          <cell r="P2502">
            <v>8.0128039999999991</v>
          </cell>
        </row>
        <row r="2503">
          <cell r="B2503">
            <v>34333</v>
          </cell>
          <cell r="C2503">
            <v>99.429000000000002</v>
          </cell>
          <cell r="D2503">
            <v>0.1166981</v>
          </cell>
          <cell r="E2503">
            <v>3180</v>
          </cell>
          <cell r="F2503">
            <v>375.45</v>
          </cell>
          <cell r="J2503">
            <v>55308.051120041608</v>
          </cell>
          <cell r="K2503">
            <v>0.1166981</v>
          </cell>
          <cell r="L2503">
            <v>3180</v>
          </cell>
          <cell r="M2503">
            <v>375.45</v>
          </cell>
          <cell r="N2503">
            <v>23721.798764559764</v>
          </cell>
          <cell r="O2503">
            <v>24703.713547847685</v>
          </cell>
          <cell r="P2503">
            <v>8.0128039999999991</v>
          </cell>
        </row>
        <row r="2504">
          <cell r="B2504">
            <v>34334</v>
          </cell>
          <cell r="C2504">
            <v>49.158000000000001</v>
          </cell>
          <cell r="D2504">
            <v>0.1185836</v>
          </cell>
          <cell r="G2504">
            <v>36.22</v>
          </cell>
          <cell r="H2504">
            <v>38.32</v>
          </cell>
          <cell r="I2504">
            <v>11.01632</v>
          </cell>
          <cell r="J2504">
            <v>56214.32884569461</v>
          </cell>
          <cell r="K2504">
            <v>0.1185836</v>
          </cell>
          <cell r="L2504">
            <v>3180</v>
          </cell>
          <cell r="M2504">
            <v>375.45</v>
          </cell>
          <cell r="N2504">
            <v>32313.834277083311</v>
          </cell>
          <cell r="O2504">
            <v>34170.176579382918</v>
          </cell>
          <cell r="P2504">
            <v>11.01632</v>
          </cell>
        </row>
        <row r="2505">
          <cell r="B2505">
            <v>34337</v>
          </cell>
          <cell r="C2505">
            <v>50.109000000000002</v>
          </cell>
          <cell r="D2505">
            <v>0.1204436</v>
          </cell>
          <cell r="E2505">
            <v>3238</v>
          </cell>
          <cell r="F2505">
            <v>380.09</v>
          </cell>
          <cell r="J2505">
            <v>57153.276780404245</v>
          </cell>
          <cell r="K2505">
            <v>0.1204436</v>
          </cell>
          <cell r="L2505">
            <v>3238</v>
          </cell>
          <cell r="M2505">
            <v>380.09</v>
          </cell>
          <cell r="N2505">
            <v>32313.834277083311</v>
          </cell>
          <cell r="O2505">
            <v>34170.176579382918</v>
          </cell>
          <cell r="P2505">
            <v>11.01632</v>
          </cell>
        </row>
        <row r="2506">
          <cell r="B2506">
            <v>34338</v>
          </cell>
          <cell r="C2506">
            <v>50.109000000000002</v>
          </cell>
          <cell r="D2506">
            <v>0.1223636</v>
          </cell>
          <cell r="E2506">
            <v>3348</v>
          </cell>
          <cell r="F2506">
            <v>400.54</v>
          </cell>
          <cell r="J2506">
            <v>58107.907962467332</v>
          </cell>
          <cell r="K2506">
            <v>0.1223636</v>
          </cell>
          <cell r="L2506">
            <v>3348</v>
          </cell>
          <cell r="M2506">
            <v>400.54</v>
          </cell>
          <cell r="N2506">
            <v>32313.834277083311</v>
          </cell>
          <cell r="O2506">
            <v>34170.176579382918</v>
          </cell>
          <cell r="P2506">
            <v>11.01632</v>
          </cell>
        </row>
        <row r="2507">
          <cell r="B2507">
            <v>34339</v>
          </cell>
          <cell r="C2507">
            <v>50.1</v>
          </cell>
          <cell r="D2507">
            <v>0.1243018</v>
          </cell>
          <cell r="E2507">
            <v>3520</v>
          </cell>
          <cell r="F2507">
            <v>421.04</v>
          </cell>
          <cell r="J2507">
            <v>59078.310025440536</v>
          </cell>
          <cell r="K2507">
            <v>0.1243018</v>
          </cell>
          <cell r="L2507">
            <v>3520</v>
          </cell>
          <cell r="M2507">
            <v>421.04</v>
          </cell>
          <cell r="N2507">
            <v>32313.834277083311</v>
          </cell>
          <cell r="O2507">
            <v>34170.176579382918</v>
          </cell>
          <cell r="P2507">
            <v>11.01632</v>
          </cell>
        </row>
        <row r="2508">
          <cell r="B2508">
            <v>34340</v>
          </cell>
          <cell r="C2508">
            <v>50.091000000000001</v>
          </cell>
          <cell r="D2508">
            <v>0.12629090000000001</v>
          </cell>
          <cell r="E2508">
            <v>3659</v>
          </cell>
          <cell r="F2508">
            <v>444.17</v>
          </cell>
          <cell r="J2508">
            <v>60064.740567935318</v>
          </cell>
          <cell r="K2508">
            <v>0.12629090000000001</v>
          </cell>
          <cell r="L2508">
            <v>3659</v>
          </cell>
          <cell r="M2508">
            <v>444.17</v>
          </cell>
          <cell r="N2508">
            <v>32313.834277083311</v>
          </cell>
          <cell r="O2508">
            <v>34170.176579382918</v>
          </cell>
          <cell r="P2508">
            <v>11.01632</v>
          </cell>
        </row>
        <row r="2509">
          <cell r="B2509">
            <v>34341</v>
          </cell>
          <cell r="C2509">
            <v>50.079000000000001</v>
          </cell>
          <cell r="D2509">
            <v>0.12826360000000001</v>
          </cell>
          <cell r="E2509">
            <v>3877</v>
          </cell>
          <cell r="F2509">
            <v>476.39</v>
          </cell>
          <cell r="J2509">
            <v>61067.401282235864</v>
          </cell>
          <cell r="K2509">
            <v>0.12826360000000001</v>
          </cell>
          <cell r="L2509">
            <v>3877</v>
          </cell>
          <cell r="M2509">
            <v>476.39</v>
          </cell>
          <cell r="N2509">
            <v>32313.834277083311</v>
          </cell>
          <cell r="O2509">
            <v>34170.176579382918</v>
          </cell>
          <cell r="P2509">
            <v>11.01632</v>
          </cell>
        </row>
        <row r="2510">
          <cell r="B2510">
            <v>34344</v>
          </cell>
          <cell r="C2510">
            <v>50.079000000000001</v>
          </cell>
          <cell r="D2510">
            <v>0.13029270000000001</v>
          </cell>
          <cell r="E2510">
            <v>4047</v>
          </cell>
          <cell r="F2510">
            <v>495.39</v>
          </cell>
          <cell r="J2510">
            <v>62086.799411840228</v>
          </cell>
          <cell r="K2510">
            <v>0.13029270000000001</v>
          </cell>
          <cell r="L2510">
            <v>4047</v>
          </cell>
          <cell r="M2510">
            <v>495.39</v>
          </cell>
          <cell r="N2510">
            <v>32313.834277083311</v>
          </cell>
          <cell r="O2510">
            <v>34170.176579382918</v>
          </cell>
          <cell r="P2510">
            <v>11.01632</v>
          </cell>
        </row>
        <row r="2511">
          <cell r="B2511">
            <v>34345</v>
          </cell>
          <cell r="C2511">
            <v>50.091000000000001</v>
          </cell>
          <cell r="D2511">
            <v>0.13235089999999999</v>
          </cell>
          <cell r="E2511">
            <v>4124</v>
          </cell>
          <cell r="F2511">
            <v>501.41</v>
          </cell>
          <cell r="J2511">
            <v>63123.462701619719</v>
          </cell>
          <cell r="K2511">
            <v>0.13235089999999999</v>
          </cell>
          <cell r="L2511">
            <v>4124</v>
          </cell>
          <cell r="M2511">
            <v>501.41</v>
          </cell>
          <cell r="N2511">
            <v>32313.834277083311</v>
          </cell>
          <cell r="O2511">
            <v>34170.176579382918</v>
          </cell>
          <cell r="P2511">
            <v>11.01632</v>
          </cell>
        </row>
        <row r="2512">
          <cell r="B2512">
            <v>34346</v>
          </cell>
          <cell r="C2512">
            <v>50.1</v>
          </cell>
          <cell r="D2512">
            <v>0.1344455</v>
          </cell>
          <cell r="E2512">
            <v>4257</v>
          </cell>
          <cell r="F2512">
            <v>536.42999999999995</v>
          </cell>
          <cell r="J2512">
            <v>64177.624528736764</v>
          </cell>
          <cell r="K2512">
            <v>0.1344455</v>
          </cell>
          <cell r="L2512">
            <v>4257</v>
          </cell>
          <cell r="M2512">
            <v>536.42999999999995</v>
          </cell>
          <cell r="N2512">
            <v>32313.834277083311</v>
          </cell>
          <cell r="O2512">
            <v>34170.176579382918</v>
          </cell>
          <cell r="P2512">
            <v>11.01632</v>
          </cell>
        </row>
        <row r="2513">
          <cell r="B2513">
            <v>34347</v>
          </cell>
          <cell r="C2513">
            <v>50.1</v>
          </cell>
          <cell r="D2513">
            <v>0.13873820000000001</v>
          </cell>
          <cell r="E2513">
            <v>4414</v>
          </cell>
          <cell r="F2513">
            <v>561.65</v>
          </cell>
          <cell r="J2513">
            <v>65249.390858366663</v>
          </cell>
          <cell r="K2513">
            <v>0.13873820000000001</v>
          </cell>
          <cell r="L2513">
            <v>4414</v>
          </cell>
          <cell r="M2513">
            <v>561.65</v>
          </cell>
          <cell r="N2513">
            <v>32313.834277083311</v>
          </cell>
          <cell r="O2513">
            <v>34170.176579382918</v>
          </cell>
          <cell r="P2513">
            <v>11.01632</v>
          </cell>
        </row>
        <row r="2514">
          <cell r="B2514">
            <v>34348</v>
          </cell>
          <cell r="C2514">
            <v>50.1</v>
          </cell>
          <cell r="D2514">
            <v>0.14093449999999999</v>
          </cell>
          <cell r="E2514">
            <v>4413</v>
          </cell>
          <cell r="F2514">
            <v>551.05999999999995</v>
          </cell>
          <cell r="J2514">
            <v>66339.055685701387</v>
          </cell>
          <cell r="K2514">
            <v>0.14093449999999999</v>
          </cell>
          <cell r="L2514">
            <v>4413</v>
          </cell>
          <cell r="M2514">
            <v>551.05999999999995</v>
          </cell>
          <cell r="N2514">
            <v>32313.834277083311</v>
          </cell>
          <cell r="O2514">
            <v>34170.176579382918</v>
          </cell>
          <cell r="P2514">
            <v>11.01632</v>
          </cell>
        </row>
        <row r="2515">
          <cell r="B2515">
            <v>34351</v>
          </cell>
          <cell r="C2515">
            <v>50.109000000000002</v>
          </cell>
          <cell r="D2515">
            <v>0.1409291</v>
          </cell>
          <cell r="E2515">
            <v>4588</v>
          </cell>
          <cell r="F2515">
            <v>598.04999999999995</v>
          </cell>
          <cell r="J2515">
            <v>67447.116932819656</v>
          </cell>
          <cell r="K2515">
            <v>0.1409291</v>
          </cell>
          <cell r="L2515">
            <v>4588</v>
          </cell>
          <cell r="M2515">
            <v>598.04999999999995</v>
          </cell>
          <cell r="N2515">
            <v>32313.834277083311</v>
          </cell>
          <cell r="O2515">
            <v>34170.176579382918</v>
          </cell>
          <cell r="P2515">
            <v>11.01632</v>
          </cell>
        </row>
        <row r="2516">
          <cell r="B2516">
            <v>34352</v>
          </cell>
          <cell r="C2516">
            <v>52.02</v>
          </cell>
          <cell r="D2516">
            <v>0.14324000000000001</v>
          </cell>
          <cell r="E2516">
            <v>4698</v>
          </cell>
          <cell r="F2516">
            <v>605.71</v>
          </cell>
          <cell r="J2516">
            <v>68616.649940434741</v>
          </cell>
          <cell r="K2516">
            <v>0.14324000000000001</v>
          </cell>
          <cell r="L2516">
            <v>4698</v>
          </cell>
          <cell r="M2516">
            <v>605.71</v>
          </cell>
          <cell r="N2516">
            <v>32313.834277083311</v>
          </cell>
          <cell r="O2516">
            <v>34170.176579382918</v>
          </cell>
          <cell r="P2516">
            <v>11.01632</v>
          </cell>
        </row>
        <row r="2517">
          <cell r="B2517">
            <v>34353</v>
          </cell>
          <cell r="C2517">
            <v>52.011000000000003</v>
          </cell>
          <cell r="D2517">
            <v>0.14559639999999999</v>
          </cell>
          <cell r="E2517">
            <v>4801</v>
          </cell>
          <cell r="F2517">
            <v>642.02</v>
          </cell>
          <cell r="J2517">
            <v>69806.256800452058</v>
          </cell>
          <cell r="K2517">
            <v>0.14559639999999999</v>
          </cell>
          <cell r="L2517">
            <v>4801</v>
          </cell>
          <cell r="M2517">
            <v>642.02</v>
          </cell>
          <cell r="N2517">
            <v>32313.834277083311</v>
          </cell>
          <cell r="O2517">
            <v>34170.176579382918</v>
          </cell>
          <cell r="P2517">
            <v>11.01632</v>
          </cell>
        </row>
        <row r="2518">
          <cell r="B2518">
            <v>34354</v>
          </cell>
          <cell r="C2518">
            <v>52.161000000000001</v>
          </cell>
          <cell r="D2518">
            <v>0.1479964</v>
          </cell>
          <cell r="F2518">
            <v>689.67</v>
          </cell>
          <cell r="J2518">
            <v>71019.97818744152</v>
          </cell>
          <cell r="K2518">
            <v>0.1479964</v>
          </cell>
          <cell r="L2518">
            <v>4801</v>
          </cell>
          <cell r="M2518">
            <v>689.67</v>
          </cell>
          <cell r="N2518">
            <v>32313.834277083311</v>
          </cell>
          <cell r="O2518">
            <v>34170.176579382918</v>
          </cell>
          <cell r="P2518">
            <v>11.01632</v>
          </cell>
        </row>
        <row r="2519">
          <cell r="B2519">
            <v>34355</v>
          </cell>
          <cell r="C2519">
            <v>52.209000000000003</v>
          </cell>
          <cell r="D2519">
            <v>0.15043090000000001</v>
          </cell>
          <cell r="E2519">
            <v>5121</v>
          </cell>
          <cell r="F2519">
            <v>689.17</v>
          </cell>
          <cell r="J2519">
            <v>72255.938867837569</v>
          </cell>
          <cell r="K2519">
            <v>0.15043090000000001</v>
          </cell>
          <cell r="L2519">
            <v>5121</v>
          </cell>
          <cell r="M2519">
            <v>689.17</v>
          </cell>
          <cell r="N2519">
            <v>32313.834277083311</v>
          </cell>
          <cell r="O2519">
            <v>34170.176579382918</v>
          </cell>
          <cell r="P2519">
            <v>11.01632</v>
          </cell>
        </row>
        <row r="2520">
          <cell r="B2520">
            <v>34358</v>
          </cell>
          <cell r="C2520">
            <v>52.029000000000003</v>
          </cell>
          <cell r="D2520">
            <v>0.1529073</v>
          </cell>
          <cell r="E2520">
            <v>5172</v>
          </cell>
          <cell r="F2520">
            <v>689.56</v>
          </cell>
          <cell r="J2520">
            <v>73509.073615622488</v>
          </cell>
          <cell r="K2520">
            <v>0.1529073</v>
          </cell>
          <cell r="L2520">
            <v>5172</v>
          </cell>
          <cell r="M2520">
            <v>689.56</v>
          </cell>
          <cell r="N2520">
            <v>32313.834277083311</v>
          </cell>
          <cell r="O2520">
            <v>34170.176579382918</v>
          </cell>
          <cell r="P2520">
            <v>11.01632</v>
          </cell>
        </row>
        <row r="2521">
          <cell r="B2521">
            <v>34359</v>
          </cell>
          <cell r="C2521">
            <v>54.009</v>
          </cell>
          <cell r="D2521">
            <v>0.15553819999999999</v>
          </cell>
          <cell r="J2521">
            <v>74832.457467924542</v>
          </cell>
          <cell r="K2521">
            <v>0.15553819999999999</v>
          </cell>
          <cell r="L2521">
            <v>5172</v>
          </cell>
          <cell r="M2521">
            <v>689.56</v>
          </cell>
          <cell r="N2521">
            <v>32313.834277083311</v>
          </cell>
          <cell r="O2521">
            <v>34170.176579382918</v>
          </cell>
          <cell r="P2521">
            <v>11.01632</v>
          </cell>
        </row>
        <row r="2522">
          <cell r="B2522">
            <v>34360</v>
          </cell>
          <cell r="C2522">
            <v>54</v>
          </cell>
          <cell r="D2522">
            <v>0.15820000000000001</v>
          </cell>
          <cell r="E2522">
            <v>5300</v>
          </cell>
          <cell r="F2522">
            <v>704.93</v>
          </cell>
          <cell r="J2522">
            <v>76179.441702347191</v>
          </cell>
          <cell r="K2522">
            <v>0.15820000000000001</v>
          </cell>
          <cell r="L2522">
            <v>5300</v>
          </cell>
          <cell r="M2522">
            <v>704.93</v>
          </cell>
          <cell r="N2522">
            <v>32313.834277083311</v>
          </cell>
          <cell r="O2522">
            <v>34170.176579382918</v>
          </cell>
          <cell r="P2522">
            <v>11.01632</v>
          </cell>
        </row>
        <row r="2523">
          <cell r="B2523">
            <v>34361</v>
          </cell>
          <cell r="C2523">
            <v>54</v>
          </cell>
          <cell r="D2523">
            <v>0.16090550000000001</v>
          </cell>
          <cell r="E2523">
            <v>5332</v>
          </cell>
          <cell r="F2523">
            <v>684.49</v>
          </cell>
          <cell r="J2523">
            <v>77550.671652989447</v>
          </cell>
          <cell r="K2523">
            <v>0.16090550000000001</v>
          </cell>
          <cell r="L2523">
            <v>5332</v>
          </cell>
          <cell r="M2523">
            <v>684.49</v>
          </cell>
          <cell r="N2523">
            <v>32313.834277083311</v>
          </cell>
          <cell r="O2523">
            <v>34170.176579382918</v>
          </cell>
          <cell r="P2523">
            <v>11.01632</v>
          </cell>
        </row>
        <row r="2524">
          <cell r="B2524">
            <v>34362</v>
          </cell>
          <cell r="C2524">
            <v>53.901000000000003</v>
          </cell>
          <cell r="D2524">
            <v>0.16366910000000001</v>
          </cell>
          <cell r="E2524">
            <v>5280</v>
          </cell>
          <cell r="F2524">
            <v>689.21</v>
          </cell>
          <cell r="J2524">
            <v>78944.024570578709</v>
          </cell>
          <cell r="K2524">
            <v>0.16366910000000001</v>
          </cell>
          <cell r="L2524">
            <v>5280</v>
          </cell>
          <cell r="M2524">
            <v>689.21</v>
          </cell>
          <cell r="N2524">
            <v>32313.834277083311</v>
          </cell>
          <cell r="O2524">
            <v>34170.176579382918</v>
          </cell>
          <cell r="P2524">
            <v>11.01632</v>
          </cell>
        </row>
        <row r="2525">
          <cell r="B2525">
            <v>34365</v>
          </cell>
          <cell r="C2525">
            <v>60.170999999999999</v>
          </cell>
          <cell r="D2525">
            <v>0.1667855</v>
          </cell>
          <cell r="E2525">
            <v>5491</v>
          </cell>
          <cell r="F2525">
            <v>740.55</v>
          </cell>
          <cell r="G2525">
            <v>42.19</v>
          </cell>
          <cell r="H2525">
            <v>39.07</v>
          </cell>
          <cell r="I2525">
            <v>15.65939</v>
          </cell>
          <cell r="J2525">
            <v>80527.404871390812</v>
          </cell>
          <cell r="K2525">
            <v>0.1667855</v>
          </cell>
          <cell r="L2525">
            <v>5491</v>
          </cell>
          <cell r="M2525">
            <v>740.55</v>
          </cell>
          <cell r="N2525">
            <v>45947.040958584759</v>
          </cell>
          <cell r="O2525">
            <v>47520.464568947828</v>
          </cell>
          <cell r="P2525">
            <v>15.65939</v>
          </cell>
        </row>
        <row r="2526">
          <cell r="B2526">
            <v>34366</v>
          </cell>
          <cell r="C2526">
            <v>60.21</v>
          </cell>
          <cell r="D2526">
            <v>0.16995270000000001</v>
          </cell>
          <cell r="E2526">
            <v>5772</v>
          </cell>
          <cell r="F2526">
            <v>826.86</v>
          </cell>
          <cell r="J2526">
            <v>82143.589887159629</v>
          </cell>
          <cell r="K2526">
            <v>0.16995270000000001</v>
          </cell>
          <cell r="L2526">
            <v>5772</v>
          </cell>
          <cell r="M2526">
            <v>826.86</v>
          </cell>
          <cell r="N2526">
            <v>45947.040958584759</v>
          </cell>
          <cell r="O2526">
            <v>47520.464568947828</v>
          </cell>
          <cell r="P2526">
            <v>15.65939</v>
          </cell>
        </row>
        <row r="2527">
          <cell r="B2527">
            <v>34367</v>
          </cell>
          <cell r="C2527">
            <v>60.21</v>
          </cell>
          <cell r="D2527">
            <v>0.17318</v>
          </cell>
          <cell r="E2527">
            <v>5993</v>
          </cell>
          <cell r="F2527">
            <v>823.05</v>
          </cell>
          <cell r="J2527">
            <v>83792.21173619492</v>
          </cell>
          <cell r="K2527">
            <v>0.17318</v>
          </cell>
          <cell r="L2527">
            <v>5993</v>
          </cell>
          <cell r="M2527">
            <v>823.05</v>
          </cell>
          <cell r="N2527">
            <v>45947.040958584759</v>
          </cell>
          <cell r="O2527">
            <v>47520.464568947828</v>
          </cell>
          <cell r="P2527">
            <v>15.65939</v>
          </cell>
        </row>
        <row r="2528">
          <cell r="B2528">
            <v>34368</v>
          </cell>
          <cell r="C2528">
            <v>60.21</v>
          </cell>
          <cell r="D2528">
            <v>0.17647450000000001</v>
          </cell>
          <cell r="E2528">
            <v>6130</v>
          </cell>
          <cell r="F2528">
            <v>798.35</v>
          </cell>
          <cell r="J2528">
            <v>85473.921425740351</v>
          </cell>
          <cell r="K2528">
            <v>0.17647450000000001</v>
          </cell>
          <cell r="L2528">
            <v>6130</v>
          </cell>
          <cell r="M2528">
            <v>798.35</v>
          </cell>
          <cell r="N2528">
            <v>45947.040958584759</v>
          </cell>
          <cell r="O2528">
            <v>47520.464568947828</v>
          </cell>
          <cell r="P2528">
            <v>15.65939</v>
          </cell>
        </row>
        <row r="2529">
          <cell r="B2529">
            <v>34369</v>
          </cell>
          <cell r="C2529">
            <v>59.67</v>
          </cell>
          <cell r="D2529">
            <v>0.1797964</v>
          </cell>
          <cell r="E2529">
            <v>6344</v>
          </cell>
          <cell r="F2529">
            <v>821.28</v>
          </cell>
          <cell r="J2529">
            <v>87173.997722898319</v>
          </cell>
          <cell r="K2529">
            <v>0.1797964</v>
          </cell>
          <cell r="L2529">
            <v>6344</v>
          </cell>
          <cell r="M2529">
            <v>821.28</v>
          </cell>
          <cell r="N2529">
            <v>45947.040958584759</v>
          </cell>
          <cell r="O2529">
            <v>47520.464568947828</v>
          </cell>
          <cell r="P2529">
            <v>15.65939</v>
          </cell>
        </row>
        <row r="2530">
          <cell r="B2530">
            <v>34372</v>
          </cell>
          <cell r="C2530">
            <v>59.67</v>
          </cell>
          <cell r="D2530">
            <v>0.18318619999999999</v>
          </cell>
          <cell r="E2530">
            <v>6545</v>
          </cell>
          <cell r="F2530">
            <v>848.72</v>
          </cell>
          <cell r="J2530">
            <v>88907.888537606763</v>
          </cell>
          <cell r="K2530">
            <v>0.18318619999999999</v>
          </cell>
          <cell r="L2530">
            <v>6545</v>
          </cell>
          <cell r="M2530">
            <v>848.72</v>
          </cell>
          <cell r="N2530">
            <v>45947.040958584759</v>
          </cell>
          <cell r="O2530">
            <v>47520.464568947828</v>
          </cell>
          <cell r="P2530">
            <v>15.65939</v>
          </cell>
        </row>
        <row r="2531">
          <cell r="B2531">
            <v>34373</v>
          </cell>
          <cell r="C2531">
            <v>59.67</v>
          </cell>
          <cell r="D2531">
            <v>0.18663640000000001</v>
          </cell>
          <cell r="E2531">
            <v>6835</v>
          </cell>
          <cell r="F2531">
            <v>887.98</v>
          </cell>
          <cell r="J2531">
            <v>90676.266440619758</v>
          </cell>
          <cell r="K2531">
            <v>0.18663640000000001</v>
          </cell>
          <cell r="L2531">
            <v>6835</v>
          </cell>
          <cell r="M2531">
            <v>887.98</v>
          </cell>
          <cell r="N2531">
            <v>45947.040958584759</v>
          </cell>
          <cell r="O2531">
            <v>47520.464568947828</v>
          </cell>
          <cell r="P2531">
            <v>15.65939</v>
          </cell>
        </row>
        <row r="2532">
          <cell r="B2532">
            <v>34374</v>
          </cell>
          <cell r="C2532">
            <v>59.67</v>
          </cell>
          <cell r="D2532">
            <v>0.1901545</v>
          </cell>
          <cell r="E2532">
            <v>7081</v>
          </cell>
          <cell r="F2532">
            <v>904.66</v>
          </cell>
          <cell r="J2532">
            <v>92479.817380123684</v>
          </cell>
          <cell r="K2532">
            <v>0.1901545</v>
          </cell>
          <cell r="L2532">
            <v>7081</v>
          </cell>
          <cell r="M2532">
            <v>904.66</v>
          </cell>
          <cell r="N2532">
            <v>45947.040958584759</v>
          </cell>
          <cell r="O2532">
            <v>47520.464568947828</v>
          </cell>
          <cell r="P2532">
            <v>15.65939</v>
          </cell>
        </row>
        <row r="2533">
          <cell r="B2533">
            <v>34375</v>
          </cell>
          <cell r="C2533">
            <v>58.970999999999997</v>
          </cell>
          <cell r="D2533">
            <v>0.19369639999999999</v>
          </cell>
          <cell r="E2533">
            <v>7487</v>
          </cell>
          <cell r="F2533">
            <v>1000.9</v>
          </cell>
          <cell r="J2533">
            <v>94297.693150364779</v>
          </cell>
          <cell r="K2533">
            <v>0.19369639999999999</v>
          </cell>
          <cell r="L2533">
            <v>7487</v>
          </cell>
          <cell r="M2533">
            <v>1000.9</v>
          </cell>
          <cell r="N2533">
            <v>45947.040958584759</v>
          </cell>
          <cell r="O2533">
            <v>47520.464568947828</v>
          </cell>
          <cell r="P2533">
            <v>15.65939</v>
          </cell>
        </row>
        <row r="2534">
          <cell r="B2534">
            <v>34376</v>
          </cell>
          <cell r="C2534">
            <v>119.121</v>
          </cell>
          <cell r="D2534">
            <v>0.1973</v>
          </cell>
          <cell r="E2534">
            <v>8067</v>
          </cell>
          <cell r="F2534">
            <v>1035.4000000000001</v>
          </cell>
          <cell r="J2534">
            <v>98041.971652286302</v>
          </cell>
          <cell r="K2534">
            <v>0.1973</v>
          </cell>
          <cell r="L2534">
            <v>8067</v>
          </cell>
          <cell r="M2534">
            <v>1035.4000000000001</v>
          </cell>
          <cell r="N2534">
            <v>45947.040958584759</v>
          </cell>
          <cell r="O2534">
            <v>47520.464568947828</v>
          </cell>
          <cell r="P2534">
            <v>15.65939</v>
          </cell>
        </row>
        <row r="2535">
          <cell r="B2535">
            <v>34381</v>
          </cell>
          <cell r="D2535">
            <v>0.20098179999999999</v>
          </cell>
          <cell r="J2535">
            <v>98041.971652286302</v>
          </cell>
          <cell r="K2535">
            <v>0.20098179999999999</v>
          </cell>
          <cell r="L2535">
            <v>8067</v>
          </cell>
          <cell r="M2535">
            <v>1035.4000000000001</v>
          </cell>
          <cell r="N2535">
            <v>45947.040958584759</v>
          </cell>
          <cell r="O2535">
            <v>47520.464568947828</v>
          </cell>
          <cell r="P2535">
            <v>15.65939</v>
          </cell>
        </row>
        <row r="2536">
          <cell r="B2536">
            <v>34382</v>
          </cell>
          <cell r="C2536">
            <v>58.98</v>
          </cell>
          <cell r="D2536">
            <v>0.20852000000000001</v>
          </cell>
          <cell r="E2536">
            <v>8350</v>
          </cell>
          <cell r="F2536">
            <v>1040.9000000000001</v>
          </cell>
          <cell r="J2536">
            <v>99969.476814970258</v>
          </cell>
          <cell r="K2536">
            <v>0.20852000000000001</v>
          </cell>
          <cell r="L2536">
            <v>8350</v>
          </cell>
          <cell r="M2536">
            <v>1040.9000000000001</v>
          </cell>
          <cell r="N2536">
            <v>45947.040958584759</v>
          </cell>
          <cell r="O2536">
            <v>47520.464568947828</v>
          </cell>
          <cell r="P2536">
            <v>15.65939</v>
          </cell>
        </row>
        <row r="2537">
          <cell r="B2537">
            <v>34383</v>
          </cell>
          <cell r="C2537">
            <v>58.98</v>
          </cell>
          <cell r="D2537">
            <v>0.21240909999999999</v>
          </cell>
          <cell r="E2537">
            <v>8177</v>
          </cell>
          <cell r="F2537">
            <v>944.8</v>
          </cell>
          <cell r="J2537">
            <v>101934.87672915257</v>
          </cell>
          <cell r="K2537">
            <v>0.21240909999999999</v>
          </cell>
          <cell r="L2537">
            <v>8177</v>
          </cell>
          <cell r="M2537">
            <v>944.8</v>
          </cell>
          <cell r="N2537">
            <v>45947.040958584759</v>
          </cell>
          <cell r="O2537">
            <v>47520.464568947828</v>
          </cell>
          <cell r="P2537">
            <v>15.65939</v>
          </cell>
        </row>
        <row r="2538">
          <cell r="B2538">
            <v>34386</v>
          </cell>
          <cell r="C2538">
            <v>58.970999999999997</v>
          </cell>
          <cell r="D2538">
            <v>0.2124018</v>
          </cell>
          <cell r="E2538">
            <v>8009</v>
          </cell>
          <cell r="F2538">
            <v>928.5</v>
          </cell>
          <cell r="J2538">
            <v>103938.61060101753</v>
          </cell>
          <cell r="K2538">
            <v>0.2124018</v>
          </cell>
          <cell r="L2538">
            <v>8009</v>
          </cell>
          <cell r="M2538">
            <v>928.5</v>
          </cell>
          <cell r="N2538">
            <v>45947.040958584759</v>
          </cell>
          <cell r="O2538">
            <v>47520.464568947828</v>
          </cell>
          <cell r="P2538">
            <v>15.65939</v>
          </cell>
        </row>
        <row r="2539">
          <cell r="B2539">
            <v>34387</v>
          </cell>
          <cell r="C2539">
            <v>57.18</v>
          </cell>
          <cell r="D2539">
            <v>0.2162327</v>
          </cell>
          <cell r="E2539">
            <v>8470</v>
          </cell>
          <cell r="F2539">
            <v>1053.5999999999999</v>
          </cell>
          <cell r="J2539">
            <v>105919.68051907294</v>
          </cell>
          <cell r="K2539">
            <v>0.2162327</v>
          </cell>
          <cell r="L2539">
            <v>8470</v>
          </cell>
          <cell r="M2539">
            <v>1053.5999999999999</v>
          </cell>
          <cell r="N2539">
            <v>45947.040958584759</v>
          </cell>
          <cell r="O2539">
            <v>47520.464568947828</v>
          </cell>
          <cell r="P2539">
            <v>15.65939</v>
          </cell>
        </row>
        <row r="2540">
          <cell r="B2540">
            <v>34388</v>
          </cell>
          <cell r="C2540">
            <v>57.170999999999999</v>
          </cell>
          <cell r="D2540">
            <v>0.22014909999999999</v>
          </cell>
          <cell r="E2540">
            <v>8757</v>
          </cell>
          <cell r="F2540">
            <v>1063</v>
          </cell>
          <cell r="J2540">
            <v>107938.19187072491</v>
          </cell>
          <cell r="K2540">
            <v>0.22014909999999999</v>
          </cell>
          <cell r="L2540">
            <v>8757</v>
          </cell>
          <cell r="M2540">
            <v>1063</v>
          </cell>
          <cell r="N2540">
            <v>45947.040958584759</v>
          </cell>
          <cell r="O2540">
            <v>47520.464568947828</v>
          </cell>
          <cell r="P2540">
            <v>15.65939</v>
          </cell>
        </row>
        <row r="2541">
          <cell r="B2541">
            <v>34389</v>
          </cell>
          <cell r="C2541">
            <v>57.170999999999999</v>
          </cell>
          <cell r="D2541">
            <v>0.22415270000000001</v>
          </cell>
          <cell r="E2541">
            <v>8514</v>
          </cell>
          <cell r="F2541">
            <v>997.9</v>
          </cell>
          <cell r="J2541">
            <v>109995.16999320533</v>
          </cell>
          <cell r="K2541">
            <v>0.22415270000000001</v>
          </cell>
          <cell r="L2541">
            <v>8514</v>
          </cell>
          <cell r="M2541">
            <v>997.9</v>
          </cell>
          <cell r="N2541">
            <v>45947.040958584759</v>
          </cell>
          <cell r="O2541">
            <v>47520.464568947828</v>
          </cell>
          <cell r="P2541">
            <v>15.65939</v>
          </cell>
        </row>
        <row r="2542">
          <cell r="B2542">
            <v>34390</v>
          </cell>
          <cell r="C2542">
            <v>57.009</v>
          </cell>
          <cell r="D2542">
            <v>0.2282545</v>
          </cell>
          <cell r="E2542">
            <v>8704</v>
          </cell>
          <cell r="F2542">
            <v>1008.3</v>
          </cell>
          <cell r="J2542">
            <v>112085.40820858622</v>
          </cell>
          <cell r="K2542">
            <v>0.2282545</v>
          </cell>
          <cell r="L2542">
            <v>8704</v>
          </cell>
          <cell r="M2542">
            <v>1008.3</v>
          </cell>
          <cell r="N2542">
            <v>45947.040958584759</v>
          </cell>
          <cell r="O2542">
            <v>47520.464568947828</v>
          </cell>
          <cell r="P2542">
            <v>15.65939</v>
          </cell>
        </row>
        <row r="2543">
          <cell r="B2543">
            <v>34393</v>
          </cell>
          <cell r="C2543">
            <v>48.920999999999999</v>
          </cell>
          <cell r="D2543">
            <v>0.23173820000000001</v>
          </cell>
          <cell r="E2543">
            <v>8924</v>
          </cell>
          <cell r="F2543">
            <v>1053.8</v>
          </cell>
          <cell r="G2543">
            <v>42.41</v>
          </cell>
          <cell r="H2543">
            <v>40.78</v>
          </cell>
          <cell r="I2543">
            <v>22.010739999999998</v>
          </cell>
          <cell r="J2543">
            <v>113913.18496024364</v>
          </cell>
          <cell r="K2543">
            <v>0.23173820000000001</v>
          </cell>
          <cell r="L2543">
            <v>8924</v>
          </cell>
          <cell r="M2543">
            <v>1053.8</v>
          </cell>
          <cell r="N2543">
            <v>65433.181029120555</v>
          </cell>
          <cell r="O2543">
            <v>66899.310020164747</v>
          </cell>
          <cell r="P2543">
            <v>22.010739999999998</v>
          </cell>
        </row>
        <row r="2544">
          <cell r="B2544">
            <v>34394</v>
          </cell>
          <cell r="C2544">
            <v>48.93</v>
          </cell>
          <cell r="D2544">
            <v>0.2353818</v>
          </cell>
          <cell r="E2544">
            <v>9257</v>
          </cell>
          <cell r="F2544">
            <v>1073.3</v>
          </cell>
          <cell r="J2544">
            <v>115771.10900694522</v>
          </cell>
          <cell r="K2544">
            <v>0.2353818</v>
          </cell>
          <cell r="L2544">
            <v>9257</v>
          </cell>
          <cell r="M2544">
            <v>1073.3</v>
          </cell>
          <cell r="N2544">
            <v>65433.181029120555</v>
          </cell>
          <cell r="O2544">
            <v>66899.310020164747</v>
          </cell>
          <cell r="P2544">
            <v>22.010739999999998</v>
          </cell>
        </row>
        <row r="2545">
          <cell r="B2545">
            <v>34395</v>
          </cell>
          <cell r="C2545">
            <v>48.920999999999999</v>
          </cell>
          <cell r="D2545">
            <v>0.2390909</v>
          </cell>
          <cell r="E2545">
            <v>9173</v>
          </cell>
          <cell r="F2545">
            <v>1021.4</v>
          </cell>
          <cell r="J2545">
            <v>117658.98848152148</v>
          </cell>
          <cell r="K2545">
            <v>0.2390909</v>
          </cell>
          <cell r="L2545">
            <v>9173</v>
          </cell>
          <cell r="M2545">
            <v>1021.4</v>
          </cell>
          <cell r="N2545">
            <v>65433.181029120555</v>
          </cell>
          <cell r="O2545">
            <v>66899.310020164747</v>
          </cell>
          <cell r="P2545">
            <v>22.010739999999998</v>
          </cell>
        </row>
        <row r="2546">
          <cell r="B2546">
            <v>34396</v>
          </cell>
          <cell r="C2546">
            <v>48.908999999999999</v>
          </cell>
          <cell r="D2546">
            <v>0.2427182</v>
          </cell>
          <cell r="E2546">
            <v>9188</v>
          </cell>
          <cell r="F2546">
            <v>1045.7</v>
          </cell>
          <cell r="J2546">
            <v>119577.18297073571</v>
          </cell>
          <cell r="K2546">
            <v>0.2427182</v>
          </cell>
          <cell r="L2546">
            <v>9188</v>
          </cell>
          <cell r="M2546">
            <v>1045.7</v>
          </cell>
          <cell r="N2546">
            <v>65433.181029120555</v>
          </cell>
          <cell r="O2546">
            <v>66899.310020164747</v>
          </cell>
          <cell r="P2546">
            <v>22.010739999999998</v>
          </cell>
        </row>
        <row r="2547">
          <cell r="B2547">
            <v>34397</v>
          </cell>
          <cell r="C2547">
            <v>48.920999999999999</v>
          </cell>
          <cell r="D2547">
            <v>0.24649090000000001</v>
          </cell>
          <cell r="E2547">
            <v>9566</v>
          </cell>
          <cell r="F2547">
            <v>1114</v>
          </cell>
          <cell r="J2547">
            <v>121527.1280934395</v>
          </cell>
          <cell r="K2547">
            <v>0.24649090000000001</v>
          </cell>
          <cell r="L2547">
            <v>9566</v>
          </cell>
          <cell r="M2547">
            <v>1114</v>
          </cell>
          <cell r="N2547">
            <v>65433.181029120555</v>
          </cell>
          <cell r="O2547">
            <v>66899.310020164747</v>
          </cell>
          <cell r="P2547">
            <v>22.010739999999998</v>
          </cell>
        </row>
        <row r="2548">
          <cell r="B2548">
            <v>34400</v>
          </cell>
          <cell r="C2548">
            <v>48.93</v>
          </cell>
          <cell r="D2548">
            <v>0.25030950000000002</v>
          </cell>
          <cell r="E2548">
            <v>9945</v>
          </cell>
          <cell r="F2548">
            <v>1193.9000000000001</v>
          </cell>
          <cell r="J2548">
            <v>123509.23555264351</v>
          </cell>
          <cell r="K2548">
            <v>0.25030950000000002</v>
          </cell>
          <cell r="L2548">
            <v>9945</v>
          </cell>
          <cell r="M2548">
            <v>1193.9000000000001</v>
          </cell>
          <cell r="N2548">
            <v>65433.181029120555</v>
          </cell>
          <cell r="O2548">
            <v>66899.310020164747</v>
          </cell>
          <cell r="P2548">
            <v>22.010739999999998</v>
          </cell>
        </row>
        <row r="2549">
          <cell r="B2549">
            <v>34401</v>
          </cell>
          <cell r="C2549">
            <v>50.511000000000003</v>
          </cell>
          <cell r="D2549">
            <v>0.25420150000000002</v>
          </cell>
          <cell r="E2549">
            <v>10191</v>
          </cell>
          <cell r="F2549">
            <v>1204.5</v>
          </cell>
          <cell r="J2549">
            <v>125588.76055164337</v>
          </cell>
          <cell r="K2549">
            <v>0.25420150000000002</v>
          </cell>
          <cell r="L2549">
            <v>10191</v>
          </cell>
          <cell r="M2549">
            <v>1204.5</v>
          </cell>
          <cell r="N2549">
            <v>65433.181029120555</v>
          </cell>
          <cell r="O2549">
            <v>66899.310020164747</v>
          </cell>
          <cell r="P2549">
            <v>22.010739999999998</v>
          </cell>
        </row>
        <row r="2550">
          <cell r="B2550">
            <v>34402</v>
          </cell>
          <cell r="C2550">
            <v>50.529000000000003</v>
          </cell>
          <cell r="D2550">
            <v>0.2581407</v>
          </cell>
          <cell r="E2550">
            <v>10505</v>
          </cell>
          <cell r="F2550">
            <v>1260.2</v>
          </cell>
          <cell r="J2550">
            <v>127704.05204561469</v>
          </cell>
          <cell r="K2550">
            <v>0.2581407</v>
          </cell>
          <cell r="L2550">
            <v>10505</v>
          </cell>
          <cell r="M2550">
            <v>1260.2</v>
          </cell>
          <cell r="N2550">
            <v>65433.181029120555</v>
          </cell>
          <cell r="O2550">
            <v>66899.310020164747</v>
          </cell>
          <cell r="P2550">
            <v>22.010739999999998</v>
          </cell>
        </row>
        <row r="2551">
          <cell r="B2551">
            <v>34403</v>
          </cell>
          <cell r="C2551">
            <v>50.52</v>
          </cell>
          <cell r="D2551">
            <v>0.26214330000000002</v>
          </cell>
          <cell r="E2551">
            <v>10758</v>
          </cell>
          <cell r="F2551">
            <v>1266.9000000000001</v>
          </cell>
          <cell r="J2551">
            <v>129854.58828206283</v>
          </cell>
          <cell r="K2551">
            <v>0.26214330000000002</v>
          </cell>
          <cell r="L2551">
            <v>10758</v>
          </cell>
          <cell r="M2551">
            <v>1266.9000000000001</v>
          </cell>
          <cell r="N2551">
            <v>65433.181029120555</v>
          </cell>
          <cell r="O2551">
            <v>66899.310020164747</v>
          </cell>
          <cell r="P2551">
            <v>22.010739999999998</v>
          </cell>
        </row>
        <row r="2552">
          <cell r="B2552">
            <v>34404</v>
          </cell>
          <cell r="C2552">
            <v>50.619</v>
          </cell>
          <cell r="D2552">
            <v>0.26622220000000002</v>
          </cell>
          <cell r="E2552">
            <v>11002</v>
          </cell>
          <cell r="F2552">
            <v>1268.7</v>
          </cell>
          <cell r="J2552">
            <v>132045.62475014606</v>
          </cell>
          <cell r="K2552">
            <v>0.26622220000000002</v>
          </cell>
          <cell r="L2552">
            <v>11002</v>
          </cell>
          <cell r="M2552">
            <v>1268.7</v>
          </cell>
          <cell r="N2552">
            <v>65433.181029120555</v>
          </cell>
          <cell r="O2552">
            <v>66899.310020164747</v>
          </cell>
          <cell r="P2552">
            <v>22.010739999999998</v>
          </cell>
        </row>
        <row r="2553">
          <cell r="B2553">
            <v>34407</v>
          </cell>
          <cell r="C2553">
            <v>50.811</v>
          </cell>
          <cell r="D2553">
            <v>0.27042759999999999</v>
          </cell>
          <cell r="E2553">
            <v>11253</v>
          </cell>
          <cell r="F2553">
            <v>1329.6</v>
          </cell>
          <cell r="J2553">
            <v>134282.08149653929</v>
          </cell>
          <cell r="K2553">
            <v>0.27042759999999999</v>
          </cell>
          <cell r="L2553">
            <v>11253</v>
          </cell>
          <cell r="M2553">
            <v>1329.6</v>
          </cell>
          <cell r="N2553">
            <v>65433.181029120555</v>
          </cell>
          <cell r="O2553">
            <v>66899.310020164747</v>
          </cell>
          <cell r="P2553">
            <v>22.010739999999998</v>
          </cell>
        </row>
        <row r="2554">
          <cell r="B2554">
            <v>34408</v>
          </cell>
          <cell r="C2554">
            <v>50.811</v>
          </cell>
          <cell r="D2554">
            <v>0.27470440000000002</v>
          </cell>
          <cell r="E2554">
            <v>11443</v>
          </cell>
          <cell r="F2554">
            <v>1350.9</v>
          </cell>
          <cell r="J2554">
            <v>136556.41711084617</v>
          </cell>
          <cell r="K2554">
            <v>0.27470440000000002</v>
          </cell>
          <cell r="L2554">
            <v>11443</v>
          </cell>
          <cell r="M2554">
            <v>1350.9</v>
          </cell>
          <cell r="N2554">
            <v>65433.181029120555</v>
          </cell>
          <cell r="O2554">
            <v>66899.310020164747</v>
          </cell>
          <cell r="P2554">
            <v>22.010739999999998</v>
          </cell>
        </row>
        <row r="2555">
          <cell r="B2555">
            <v>34409</v>
          </cell>
          <cell r="C2555">
            <v>50.811</v>
          </cell>
          <cell r="D2555">
            <v>0.27905530000000001</v>
          </cell>
          <cell r="E2555">
            <v>11741</v>
          </cell>
          <cell r="F2555">
            <v>1408.4</v>
          </cell>
          <cell r="J2555">
            <v>138869.27314745256</v>
          </cell>
          <cell r="K2555">
            <v>0.27905530000000001</v>
          </cell>
          <cell r="L2555">
            <v>11741</v>
          </cell>
          <cell r="M2555">
            <v>1408.4</v>
          </cell>
          <cell r="N2555">
            <v>65433.181029120555</v>
          </cell>
          <cell r="O2555">
            <v>66899.310020164747</v>
          </cell>
          <cell r="P2555">
            <v>22.010739999999998</v>
          </cell>
        </row>
        <row r="2556">
          <cell r="B2556">
            <v>34410</v>
          </cell>
          <cell r="C2556">
            <v>51.308999999999997</v>
          </cell>
          <cell r="D2556">
            <v>0.28347129999999998</v>
          </cell>
          <cell r="E2556">
            <v>11901</v>
          </cell>
          <cell r="F2556">
            <v>1393.7</v>
          </cell>
          <cell r="J2556">
            <v>141244.35432609345</v>
          </cell>
          <cell r="K2556">
            <v>0.28347129999999998</v>
          </cell>
          <cell r="L2556">
            <v>11901</v>
          </cell>
          <cell r="M2556">
            <v>1393.7</v>
          </cell>
          <cell r="N2556">
            <v>65433.181029120555</v>
          </cell>
          <cell r="O2556">
            <v>66899.310020164747</v>
          </cell>
          <cell r="P2556">
            <v>22.010739999999998</v>
          </cell>
        </row>
        <row r="2557">
          <cell r="B2557">
            <v>34411</v>
          </cell>
          <cell r="C2557">
            <v>54</v>
          </cell>
          <cell r="D2557">
            <v>0.28802729999999999</v>
          </cell>
          <cell r="E2557">
            <v>11790</v>
          </cell>
          <cell r="F2557">
            <v>1331.8</v>
          </cell>
          <cell r="J2557">
            <v>143786.75270396314</v>
          </cell>
          <cell r="K2557">
            <v>0.28802729999999999</v>
          </cell>
          <cell r="L2557">
            <v>11790</v>
          </cell>
          <cell r="M2557">
            <v>1331.8</v>
          </cell>
          <cell r="N2557">
            <v>65433.181029120555</v>
          </cell>
          <cell r="O2557">
            <v>66899.310020164747</v>
          </cell>
          <cell r="P2557">
            <v>22.010739999999998</v>
          </cell>
        </row>
        <row r="2558">
          <cell r="B2558">
            <v>34414</v>
          </cell>
          <cell r="C2558">
            <v>56.511000000000003</v>
          </cell>
          <cell r="D2558">
            <v>0.29289159999999997</v>
          </cell>
          <cell r="E2558">
            <v>11638</v>
          </cell>
          <cell r="F2558">
            <v>1270.8</v>
          </cell>
          <cell r="J2558">
            <v>146495.26376464768</v>
          </cell>
          <cell r="K2558">
            <v>0.29289159999999997</v>
          </cell>
          <cell r="L2558">
            <v>11638</v>
          </cell>
          <cell r="M2558">
            <v>1270.8</v>
          </cell>
          <cell r="N2558">
            <v>65433.181029120555</v>
          </cell>
          <cell r="O2558">
            <v>66899.310020164747</v>
          </cell>
          <cell r="P2558">
            <v>22.010739999999998</v>
          </cell>
        </row>
        <row r="2559">
          <cell r="B2559">
            <v>34415</v>
          </cell>
          <cell r="C2559">
            <v>56.49</v>
          </cell>
          <cell r="D2559">
            <v>0.29807460000000002</v>
          </cell>
          <cell r="E2559">
            <v>11889</v>
          </cell>
          <cell r="F2559">
            <v>1353.5</v>
          </cell>
          <cell r="J2559">
            <v>149253.76958133598</v>
          </cell>
          <cell r="K2559">
            <v>0.29807460000000002</v>
          </cell>
          <cell r="L2559">
            <v>11889</v>
          </cell>
          <cell r="M2559">
            <v>1353.5</v>
          </cell>
          <cell r="N2559">
            <v>65433.181029120555</v>
          </cell>
          <cell r="O2559">
            <v>66899.310020164747</v>
          </cell>
          <cell r="P2559">
            <v>22.010739999999998</v>
          </cell>
        </row>
        <row r="2560">
          <cell r="B2560">
            <v>34416</v>
          </cell>
          <cell r="C2560">
            <v>56.499000000000002</v>
          </cell>
          <cell r="D2560">
            <v>0.30335820000000002</v>
          </cell>
          <cell r="E2560">
            <v>12070</v>
          </cell>
          <cell r="F2560">
            <v>1415.7</v>
          </cell>
          <cell r="J2560">
            <v>152064.66582386129</v>
          </cell>
          <cell r="K2560">
            <v>0.30335820000000002</v>
          </cell>
          <cell r="L2560">
            <v>12070</v>
          </cell>
          <cell r="M2560">
            <v>1415.7</v>
          </cell>
          <cell r="N2560">
            <v>65433.181029120555</v>
          </cell>
          <cell r="O2560">
            <v>66899.310020164747</v>
          </cell>
          <cell r="P2560">
            <v>22.010739999999998</v>
          </cell>
        </row>
        <row r="2561">
          <cell r="B2561">
            <v>34417</v>
          </cell>
          <cell r="C2561">
            <v>56.49</v>
          </cell>
          <cell r="D2561">
            <v>0.30873820000000002</v>
          </cell>
          <cell r="E2561">
            <v>12032</v>
          </cell>
          <cell r="F2561">
            <v>1376.6</v>
          </cell>
          <cell r="J2561">
            <v>154928.04348132457</v>
          </cell>
          <cell r="K2561">
            <v>0.30873820000000002</v>
          </cell>
          <cell r="L2561">
            <v>12032</v>
          </cell>
          <cell r="M2561">
            <v>1376.6</v>
          </cell>
          <cell r="N2561">
            <v>65433.181029120555</v>
          </cell>
          <cell r="O2561">
            <v>66899.310020164747</v>
          </cell>
          <cell r="P2561">
            <v>22.010739999999998</v>
          </cell>
        </row>
        <row r="2562">
          <cell r="B2562">
            <v>34418</v>
          </cell>
          <cell r="C2562">
            <v>57.039000000000001</v>
          </cell>
          <cell r="D2562">
            <v>0.31420759999999998</v>
          </cell>
          <cell r="E2562">
            <v>12375</v>
          </cell>
          <cell r="F2562">
            <v>1459</v>
          </cell>
          <cell r="J2562">
            <v>157873.69037203499</v>
          </cell>
          <cell r="K2562">
            <v>0.31420759999999998</v>
          </cell>
          <cell r="L2562">
            <v>12375</v>
          </cell>
          <cell r="M2562">
            <v>1459</v>
          </cell>
          <cell r="N2562">
            <v>65433.181029120555</v>
          </cell>
          <cell r="O2562">
            <v>66899.310020164747</v>
          </cell>
          <cell r="P2562">
            <v>22.010739999999998</v>
          </cell>
        </row>
        <row r="2563">
          <cell r="B2563">
            <v>34421</v>
          </cell>
          <cell r="C2563">
            <v>56.67</v>
          </cell>
          <cell r="D2563">
            <v>0.31979780000000002</v>
          </cell>
          <cell r="E2563">
            <v>12635</v>
          </cell>
          <cell r="F2563">
            <v>1469.2</v>
          </cell>
          <cell r="J2563">
            <v>160855.92438316275</v>
          </cell>
          <cell r="K2563">
            <v>0.31979780000000002</v>
          </cell>
          <cell r="L2563">
            <v>12635</v>
          </cell>
          <cell r="M2563">
            <v>1469.2</v>
          </cell>
          <cell r="N2563">
            <v>65433.181029120555</v>
          </cell>
          <cell r="O2563">
            <v>66899.310020164747</v>
          </cell>
          <cell r="P2563">
            <v>22.010739999999998</v>
          </cell>
        </row>
        <row r="2564">
          <cell r="B2564">
            <v>34422</v>
          </cell>
          <cell r="C2564">
            <v>59.588999999999999</v>
          </cell>
          <cell r="D2564">
            <v>0.32542979999999999</v>
          </cell>
          <cell r="E2564">
            <v>12700</v>
          </cell>
          <cell r="F2564">
            <v>1440.7</v>
          </cell>
          <cell r="J2564">
            <v>164051.00560918552</v>
          </cell>
          <cell r="K2564">
            <v>0.32542979999999999</v>
          </cell>
          <cell r="L2564">
            <v>12700</v>
          </cell>
          <cell r="M2564">
            <v>1440.7</v>
          </cell>
          <cell r="N2564">
            <v>65433.181029120555</v>
          </cell>
          <cell r="O2564">
            <v>66899.310020164747</v>
          </cell>
          <cell r="P2564">
            <v>22.010739999999998</v>
          </cell>
        </row>
        <row r="2565">
          <cell r="B2565">
            <v>34423</v>
          </cell>
          <cell r="C2565">
            <v>61.77</v>
          </cell>
          <cell r="D2565">
            <v>0.33212540000000002</v>
          </cell>
          <cell r="E2565">
            <v>13038</v>
          </cell>
          <cell r="F2565">
            <v>1515.5</v>
          </cell>
          <cell r="J2565">
            <v>167428.81581467867</v>
          </cell>
          <cell r="K2565">
            <v>0.33212540000000002</v>
          </cell>
          <cell r="L2565">
            <v>13038</v>
          </cell>
          <cell r="M2565">
            <v>1515.5</v>
          </cell>
          <cell r="N2565">
            <v>65433.181029120555</v>
          </cell>
          <cell r="O2565">
            <v>66899.310020164747</v>
          </cell>
          <cell r="P2565">
            <v>22.010739999999998</v>
          </cell>
        </row>
        <row r="2566">
          <cell r="B2566">
            <v>34424</v>
          </cell>
          <cell r="G2566">
            <v>44.83</v>
          </cell>
          <cell r="H2566">
            <v>45.71</v>
          </cell>
          <cell r="I2566">
            <v>31.378329999999998</v>
          </cell>
          <cell r="J2566">
            <v>167428.81581467867</v>
          </cell>
          <cell r="K2566">
            <v>0.33212540000000002</v>
          </cell>
          <cell r="L2566">
            <v>13038</v>
          </cell>
          <cell r="M2566">
            <v>1515.5</v>
          </cell>
          <cell r="N2566">
            <v>94766.876084475298</v>
          </cell>
          <cell r="O2566">
            <v>97478.984630382052</v>
          </cell>
          <cell r="P2566">
            <v>31.378329999999998</v>
          </cell>
        </row>
        <row r="2567">
          <cell r="B2567">
            <v>34428</v>
          </cell>
          <cell r="C2567">
            <v>61.929000000000002</v>
          </cell>
          <cell r="D2567">
            <v>0.33850980000000003</v>
          </cell>
          <cell r="E2567">
            <v>13117</v>
          </cell>
          <cell r="F2567">
            <v>1355</v>
          </cell>
          <cell r="J2567">
            <v>170885.04885954107</v>
          </cell>
          <cell r="K2567">
            <v>0.33850980000000003</v>
          </cell>
          <cell r="L2567">
            <v>13117</v>
          </cell>
          <cell r="M2567">
            <v>1355</v>
          </cell>
          <cell r="N2567">
            <v>94766.876084475298</v>
          </cell>
          <cell r="O2567">
            <v>97478.984630382052</v>
          </cell>
          <cell r="P2567">
            <v>31.378329999999998</v>
          </cell>
        </row>
        <row r="2568">
          <cell r="B2568">
            <v>34429</v>
          </cell>
          <cell r="C2568">
            <v>61.929000000000002</v>
          </cell>
          <cell r="D2568">
            <v>0.3450182</v>
          </cell>
          <cell r="E2568">
            <v>13659</v>
          </cell>
          <cell r="F2568">
            <v>1427.9</v>
          </cell>
          <cell r="J2568">
            <v>174412.62892314859</v>
          </cell>
          <cell r="K2568">
            <v>0.3450182</v>
          </cell>
          <cell r="L2568">
            <v>13659</v>
          </cell>
          <cell r="M2568">
            <v>1427.9</v>
          </cell>
          <cell r="N2568">
            <v>94766.876084475298</v>
          </cell>
          <cell r="O2568">
            <v>97478.984630382052</v>
          </cell>
          <cell r="P2568">
            <v>31.378329999999998</v>
          </cell>
        </row>
        <row r="2569">
          <cell r="B2569">
            <v>34430</v>
          </cell>
          <cell r="C2569">
            <v>62.061</v>
          </cell>
          <cell r="D2569">
            <v>0.35165020000000002</v>
          </cell>
          <cell r="E2569">
            <v>13832</v>
          </cell>
          <cell r="F2569">
            <v>1435.5</v>
          </cell>
          <cell r="J2569">
            <v>178020.70297768174</v>
          </cell>
          <cell r="K2569">
            <v>0.35165020000000002</v>
          </cell>
          <cell r="L2569">
            <v>13832</v>
          </cell>
          <cell r="M2569">
            <v>1435.5</v>
          </cell>
          <cell r="N2569">
            <v>94766.876084475298</v>
          </cell>
          <cell r="O2569">
            <v>97478.984630382052</v>
          </cell>
          <cell r="P2569">
            <v>31.378329999999998</v>
          </cell>
        </row>
        <row r="2570">
          <cell r="B2570">
            <v>34431</v>
          </cell>
          <cell r="C2570">
            <v>62.030999999999999</v>
          </cell>
          <cell r="D2570">
            <v>0.35841269999999997</v>
          </cell>
          <cell r="E2570">
            <v>14053</v>
          </cell>
          <cell r="F2570">
            <v>1474.8</v>
          </cell>
          <cell r="J2570">
            <v>181701.63705315127</v>
          </cell>
          <cell r="K2570">
            <v>0.35841269999999997</v>
          </cell>
          <cell r="L2570">
            <v>14053</v>
          </cell>
          <cell r="M2570">
            <v>1474.8</v>
          </cell>
          <cell r="N2570">
            <v>94766.876084475298</v>
          </cell>
          <cell r="O2570">
            <v>97478.984630382052</v>
          </cell>
          <cell r="P2570">
            <v>31.378329999999998</v>
          </cell>
        </row>
        <row r="2571">
          <cell r="B2571">
            <v>34432</v>
          </cell>
          <cell r="C2571">
            <v>62.018999999999998</v>
          </cell>
          <cell r="D2571">
            <v>0.36529640000000002</v>
          </cell>
          <cell r="E2571">
            <v>14382</v>
          </cell>
          <cell r="F2571">
            <v>1537.4</v>
          </cell>
          <cell r="J2571">
            <v>185457.95499595106</v>
          </cell>
          <cell r="K2571">
            <v>0.36529640000000002</v>
          </cell>
          <cell r="L2571">
            <v>14382</v>
          </cell>
          <cell r="M2571">
            <v>1537.4</v>
          </cell>
          <cell r="N2571">
            <v>94766.876084475298</v>
          </cell>
          <cell r="O2571">
            <v>97478.984630382052</v>
          </cell>
          <cell r="P2571">
            <v>31.378329999999998</v>
          </cell>
        </row>
        <row r="2572">
          <cell r="B2572">
            <v>34435</v>
          </cell>
          <cell r="C2572">
            <v>62.018999999999998</v>
          </cell>
          <cell r="D2572">
            <v>0.37231639999999999</v>
          </cell>
          <cell r="E2572">
            <v>14930</v>
          </cell>
          <cell r="F2572">
            <v>1659.5</v>
          </cell>
          <cell r="J2572">
            <v>189291.92729958234</v>
          </cell>
          <cell r="K2572">
            <v>0.37231639999999999</v>
          </cell>
          <cell r="L2572">
            <v>14930</v>
          </cell>
          <cell r="M2572">
            <v>1659.5</v>
          </cell>
          <cell r="N2572">
            <v>94766.876084475298</v>
          </cell>
          <cell r="O2572">
            <v>97478.984630382052</v>
          </cell>
          <cell r="P2572">
            <v>31.378329999999998</v>
          </cell>
        </row>
        <row r="2573">
          <cell r="B2573">
            <v>34436</v>
          </cell>
          <cell r="C2573">
            <v>62.01</v>
          </cell>
          <cell r="D2573">
            <v>0.37946550000000001</v>
          </cell>
          <cell r="E2573">
            <v>14973</v>
          </cell>
          <cell r="F2573">
            <v>1648.8</v>
          </cell>
          <cell r="J2573">
            <v>193204.59143686469</v>
          </cell>
          <cell r="K2573">
            <v>0.37946550000000001</v>
          </cell>
          <cell r="L2573">
            <v>14973</v>
          </cell>
          <cell r="M2573">
            <v>1648.8</v>
          </cell>
          <cell r="N2573">
            <v>94766.876084475298</v>
          </cell>
          <cell r="O2573">
            <v>97478.984630382052</v>
          </cell>
          <cell r="P2573">
            <v>31.378329999999998</v>
          </cell>
        </row>
        <row r="2574">
          <cell r="B2574">
            <v>34437</v>
          </cell>
          <cell r="C2574">
            <v>62.01</v>
          </cell>
          <cell r="D2574">
            <v>0.38675999999999999</v>
          </cell>
          <cell r="E2574">
            <v>14926</v>
          </cell>
          <cell r="F2574">
            <v>1552.7</v>
          </cell>
          <cell r="J2574">
            <v>197198.13034186469</v>
          </cell>
          <cell r="K2574">
            <v>0.38675999999999999</v>
          </cell>
          <cell r="L2574">
            <v>14926</v>
          </cell>
          <cell r="M2574">
            <v>1552.7</v>
          </cell>
          <cell r="N2574">
            <v>94766.876084475298</v>
          </cell>
          <cell r="O2574">
            <v>97478.984630382052</v>
          </cell>
          <cell r="P2574">
            <v>31.378329999999998</v>
          </cell>
        </row>
        <row r="2575">
          <cell r="B2575">
            <v>34438</v>
          </cell>
          <cell r="C2575">
            <v>62.000999999999998</v>
          </cell>
          <cell r="D2575">
            <v>0.3941964</v>
          </cell>
          <cell r="E2575">
            <v>14722</v>
          </cell>
          <cell r="F2575">
            <v>1506.2</v>
          </cell>
          <cell r="J2575">
            <v>201273.62410163999</v>
          </cell>
          <cell r="K2575">
            <v>0.3941964</v>
          </cell>
          <cell r="L2575">
            <v>14722</v>
          </cell>
          <cell r="M2575">
            <v>1506.2</v>
          </cell>
          <cell r="N2575">
            <v>94766.876084475298</v>
          </cell>
          <cell r="O2575">
            <v>97478.984630382052</v>
          </cell>
          <cell r="P2575">
            <v>31.378329999999998</v>
          </cell>
        </row>
        <row r="2576">
          <cell r="B2576">
            <v>34439</v>
          </cell>
          <cell r="C2576">
            <v>61.92</v>
          </cell>
          <cell r="D2576">
            <v>0.40177449999999998</v>
          </cell>
          <cell r="E2576">
            <v>14455</v>
          </cell>
          <cell r="F2576">
            <v>1443.4</v>
          </cell>
          <cell r="J2576">
            <v>205427.91170309784</v>
          </cell>
          <cell r="K2576">
            <v>0.40177449999999998</v>
          </cell>
          <cell r="L2576">
            <v>14455</v>
          </cell>
          <cell r="M2576">
            <v>1443.4</v>
          </cell>
          <cell r="N2576">
            <v>94766.876084475298</v>
          </cell>
          <cell r="O2576">
            <v>97478.984630382052</v>
          </cell>
          <cell r="P2576">
            <v>31.378329999999998</v>
          </cell>
        </row>
        <row r="2577">
          <cell r="B2577">
            <v>34442</v>
          </cell>
          <cell r="C2577">
            <v>61.98</v>
          </cell>
          <cell r="D2577">
            <v>0.4094873</v>
          </cell>
          <cell r="E2577">
            <v>14249</v>
          </cell>
          <cell r="F2577">
            <v>1401.1</v>
          </cell>
          <cell r="J2577">
            <v>209672.05235888381</v>
          </cell>
          <cell r="K2577">
            <v>0.4094873</v>
          </cell>
          <cell r="L2577">
            <v>14249</v>
          </cell>
          <cell r="M2577">
            <v>1401.1</v>
          </cell>
          <cell r="N2577">
            <v>94766.876084475298</v>
          </cell>
          <cell r="O2577">
            <v>97478.984630382052</v>
          </cell>
          <cell r="P2577">
            <v>31.378329999999998</v>
          </cell>
        </row>
        <row r="2578">
          <cell r="B2578">
            <v>34443</v>
          </cell>
          <cell r="C2578">
            <v>61.95</v>
          </cell>
          <cell r="D2578">
            <v>0.41735270000000002</v>
          </cell>
          <cell r="E2578">
            <v>14099</v>
          </cell>
          <cell r="F2578">
            <v>1345.6</v>
          </cell>
          <cell r="J2578">
            <v>214001.78024009478</v>
          </cell>
          <cell r="K2578">
            <v>0.41735270000000002</v>
          </cell>
          <cell r="L2578">
            <v>14099</v>
          </cell>
          <cell r="M2578">
            <v>1345.6</v>
          </cell>
          <cell r="N2578">
            <v>94766.876084475298</v>
          </cell>
          <cell r="O2578">
            <v>97478.984630382052</v>
          </cell>
          <cell r="P2578">
            <v>31.378329999999998</v>
          </cell>
        </row>
        <row r="2579">
          <cell r="B2579">
            <v>34444</v>
          </cell>
          <cell r="C2579">
            <v>61.628999999999998</v>
          </cell>
          <cell r="D2579">
            <v>0.42534909999999998</v>
          </cell>
          <cell r="E2579">
            <v>13911</v>
          </cell>
          <cell r="F2579">
            <v>1283.8</v>
          </cell>
          <cell r="J2579">
            <v>218398.01881156705</v>
          </cell>
          <cell r="K2579">
            <v>0.42534909999999998</v>
          </cell>
          <cell r="L2579">
            <v>13911</v>
          </cell>
          <cell r="M2579">
            <v>1283.8</v>
          </cell>
          <cell r="N2579">
            <v>94766.876084475298</v>
          </cell>
          <cell r="O2579">
            <v>97478.984630382052</v>
          </cell>
          <cell r="P2579">
            <v>31.378329999999998</v>
          </cell>
        </row>
        <row r="2580">
          <cell r="B2580">
            <v>34446</v>
          </cell>
          <cell r="C2580">
            <v>59.82</v>
          </cell>
          <cell r="D2580">
            <v>0.43339640000000001</v>
          </cell>
          <cell r="E2580">
            <v>14237</v>
          </cell>
          <cell r="F2580">
            <v>1420.2</v>
          </cell>
          <cell r="J2580">
            <v>222752.87530666971</v>
          </cell>
          <cell r="K2580">
            <v>0.43339640000000001</v>
          </cell>
          <cell r="L2580">
            <v>14237</v>
          </cell>
          <cell r="M2580">
            <v>1420.2</v>
          </cell>
          <cell r="N2580">
            <v>94766.876084475298</v>
          </cell>
          <cell r="O2580">
            <v>97478.984630382052</v>
          </cell>
          <cell r="P2580">
            <v>31.378329999999998</v>
          </cell>
        </row>
        <row r="2581">
          <cell r="B2581">
            <v>34449</v>
          </cell>
          <cell r="C2581">
            <v>58.38</v>
          </cell>
          <cell r="D2581">
            <v>0.44139270000000003</v>
          </cell>
          <cell r="E2581">
            <v>14883</v>
          </cell>
          <cell r="F2581">
            <v>1551.6</v>
          </cell>
          <cell r="J2581">
            <v>227087.64626013752</v>
          </cell>
          <cell r="K2581">
            <v>0.44139270000000003</v>
          </cell>
          <cell r="L2581">
            <v>14883</v>
          </cell>
          <cell r="M2581">
            <v>1551.6</v>
          </cell>
          <cell r="N2581">
            <v>94766.876084475298</v>
          </cell>
          <cell r="O2581">
            <v>97478.984630382052</v>
          </cell>
          <cell r="P2581">
            <v>31.378329999999998</v>
          </cell>
        </row>
        <row r="2582">
          <cell r="B2582">
            <v>34450</v>
          </cell>
          <cell r="C2582">
            <v>57.6</v>
          </cell>
          <cell r="D2582">
            <v>0.44936359999999997</v>
          </cell>
          <cell r="E2582">
            <v>15173</v>
          </cell>
          <cell r="F2582">
            <v>1583.8</v>
          </cell>
          <cell r="J2582">
            <v>231447.72906833218</v>
          </cell>
          <cell r="K2582">
            <v>0.44936359999999997</v>
          </cell>
          <cell r="L2582">
            <v>15173</v>
          </cell>
          <cell r="M2582">
            <v>1583.8</v>
          </cell>
          <cell r="N2582">
            <v>94766.876084475298</v>
          </cell>
          <cell r="O2582">
            <v>97478.984630382052</v>
          </cell>
          <cell r="P2582">
            <v>31.378329999999998</v>
          </cell>
        </row>
        <row r="2583">
          <cell r="B2583">
            <v>34451</v>
          </cell>
          <cell r="C2583">
            <v>57.03</v>
          </cell>
          <cell r="D2583">
            <v>0.45746910000000002</v>
          </cell>
          <cell r="E2583">
            <v>15473</v>
          </cell>
          <cell r="F2583">
            <v>1605.1</v>
          </cell>
          <cell r="J2583">
            <v>235847.55039792118</v>
          </cell>
          <cell r="K2583">
            <v>0.45746910000000002</v>
          </cell>
          <cell r="L2583">
            <v>15473</v>
          </cell>
          <cell r="M2583">
            <v>1605.1</v>
          </cell>
          <cell r="N2583">
            <v>94766.876084475298</v>
          </cell>
          <cell r="O2583">
            <v>97478.984630382052</v>
          </cell>
          <cell r="P2583">
            <v>31.378329999999998</v>
          </cell>
        </row>
        <row r="2584">
          <cell r="B2584">
            <v>34452</v>
          </cell>
          <cell r="C2584">
            <v>53.889000000000003</v>
          </cell>
          <cell r="D2584">
            <v>0.46530179999999999</v>
          </cell>
          <cell r="E2584">
            <v>16057</v>
          </cell>
          <cell r="F2584">
            <v>1672.7</v>
          </cell>
          <cell r="J2584">
            <v>240084.07994571902</v>
          </cell>
          <cell r="K2584">
            <v>0.46530179999999999</v>
          </cell>
          <cell r="L2584">
            <v>16057</v>
          </cell>
          <cell r="M2584">
            <v>1672.7</v>
          </cell>
          <cell r="N2584">
            <v>94766.876084475298</v>
          </cell>
          <cell r="O2584">
            <v>97478.984630382052</v>
          </cell>
          <cell r="P2584">
            <v>31.378329999999998</v>
          </cell>
        </row>
        <row r="2585">
          <cell r="B2585">
            <v>34453</v>
          </cell>
          <cell r="C2585">
            <v>53.841000000000001</v>
          </cell>
          <cell r="D2585">
            <v>0.4735491</v>
          </cell>
          <cell r="E2585">
            <v>16352</v>
          </cell>
          <cell r="F2585">
            <v>1708.4</v>
          </cell>
          <cell r="G2585">
            <v>42.46</v>
          </cell>
          <cell r="H2585">
            <v>40.909999999999997</v>
          </cell>
          <cell r="I2585">
            <v>46.031950000000002</v>
          </cell>
          <cell r="J2585">
            <v>244392.86892850482</v>
          </cell>
          <cell r="K2585">
            <v>0.4735491</v>
          </cell>
          <cell r="L2585">
            <v>16352</v>
          </cell>
          <cell r="M2585">
            <v>1708.4</v>
          </cell>
          <cell r="N2585">
            <v>135004.89166994352</v>
          </cell>
          <cell r="O2585">
            <v>137357.63724267136</v>
          </cell>
          <cell r="P2585">
            <v>46.031950000000002</v>
          </cell>
        </row>
        <row r="2586">
          <cell r="B2586">
            <v>34456</v>
          </cell>
          <cell r="C2586">
            <v>52.719000000000001</v>
          </cell>
          <cell r="D2586">
            <v>0.48128359999999998</v>
          </cell>
          <cell r="E2586">
            <v>16669</v>
          </cell>
          <cell r="F2586">
            <v>1725.6</v>
          </cell>
          <cell r="J2586">
            <v>248687.58481418545</v>
          </cell>
          <cell r="K2586">
            <v>0.48128359999999998</v>
          </cell>
          <cell r="L2586">
            <v>16669</v>
          </cell>
          <cell r="M2586">
            <v>1725.6</v>
          </cell>
          <cell r="N2586">
            <v>135004.89166994352</v>
          </cell>
          <cell r="O2586">
            <v>137357.63724267136</v>
          </cell>
          <cell r="P2586">
            <v>46.031950000000002</v>
          </cell>
        </row>
        <row r="2587">
          <cell r="B2587">
            <v>34457</v>
          </cell>
          <cell r="C2587">
            <v>55.779000000000003</v>
          </cell>
          <cell r="D2587">
            <v>0.48914180000000002</v>
          </cell>
          <cell r="E2587">
            <v>16674</v>
          </cell>
          <cell r="F2587">
            <v>1648.3</v>
          </cell>
          <cell r="J2587">
            <v>253311.43307863563</v>
          </cell>
          <cell r="K2587">
            <v>0.48914180000000002</v>
          </cell>
          <cell r="L2587">
            <v>16674</v>
          </cell>
          <cell r="M2587">
            <v>1648.3</v>
          </cell>
          <cell r="N2587">
            <v>135004.89166994352</v>
          </cell>
          <cell r="O2587">
            <v>137357.63724267136</v>
          </cell>
          <cell r="P2587">
            <v>46.031950000000002</v>
          </cell>
        </row>
        <row r="2588">
          <cell r="B2588">
            <v>34458</v>
          </cell>
          <cell r="C2588">
            <v>53.01</v>
          </cell>
          <cell r="D2588">
            <v>0.49714910000000001</v>
          </cell>
          <cell r="E2588">
            <v>16579</v>
          </cell>
          <cell r="F2588">
            <v>1573.8</v>
          </cell>
          <cell r="J2588">
            <v>257787.44610113514</v>
          </cell>
          <cell r="K2588">
            <v>0.49714910000000001</v>
          </cell>
          <cell r="L2588">
            <v>16579</v>
          </cell>
          <cell r="M2588">
            <v>1573.8</v>
          </cell>
          <cell r="N2588">
            <v>135004.89166994352</v>
          </cell>
          <cell r="O2588">
            <v>137357.63724267136</v>
          </cell>
          <cell r="P2588">
            <v>46.031950000000002</v>
          </cell>
        </row>
        <row r="2589">
          <cell r="B2589">
            <v>34459</v>
          </cell>
          <cell r="C2589">
            <v>52.959000000000003</v>
          </cell>
          <cell r="D2589">
            <v>0.50528729999999999</v>
          </cell>
          <cell r="E2589">
            <v>16243</v>
          </cell>
          <cell r="F2589">
            <v>1447.8</v>
          </cell>
          <cell r="J2589">
            <v>262338.16788715846</v>
          </cell>
          <cell r="K2589">
            <v>0.50528729999999999</v>
          </cell>
          <cell r="L2589">
            <v>16243</v>
          </cell>
          <cell r="M2589">
            <v>1447.8</v>
          </cell>
          <cell r="N2589">
            <v>135004.89166994352</v>
          </cell>
          <cell r="O2589">
            <v>137357.63724267136</v>
          </cell>
          <cell r="P2589">
            <v>46.031950000000002</v>
          </cell>
        </row>
        <row r="2590">
          <cell r="B2590">
            <v>34460</v>
          </cell>
          <cell r="C2590">
            <v>53.210999999999999</v>
          </cell>
          <cell r="D2590">
            <v>0.51358179999999998</v>
          </cell>
          <cell r="E2590">
            <v>15764</v>
          </cell>
          <cell r="F2590">
            <v>1510.3</v>
          </cell>
          <cell r="J2590">
            <v>266991.25997097295</v>
          </cell>
          <cell r="K2590">
            <v>0.51358179999999998</v>
          </cell>
          <cell r="L2590">
            <v>15764</v>
          </cell>
          <cell r="M2590">
            <v>1510.3</v>
          </cell>
          <cell r="N2590">
            <v>135004.89166994352</v>
          </cell>
          <cell r="O2590">
            <v>137357.63724267136</v>
          </cell>
          <cell r="P2590">
            <v>46.031950000000002</v>
          </cell>
        </row>
        <row r="2591">
          <cell r="B2591">
            <v>34463</v>
          </cell>
          <cell r="C2591">
            <v>53.151000000000003</v>
          </cell>
          <cell r="D2591">
            <v>0.5220146</v>
          </cell>
          <cell r="E2591">
            <v>15696</v>
          </cell>
          <cell r="F2591">
            <v>1421.7</v>
          </cell>
          <cell r="J2591">
            <v>271721.5441238787</v>
          </cell>
          <cell r="K2591">
            <v>0.5220146</v>
          </cell>
          <cell r="L2591">
            <v>15696</v>
          </cell>
          <cell r="M2591">
            <v>1421.7</v>
          </cell>
          <cell r="N2591">
            <v>135004.89166994352</v>
          </cell>
          <cell r="O2591">
            <v>137357.63724267136</v>
          </cell>
          <cell r="P2591">
            <v>46.031950000000002</v>
          </cell>
        </row>
        <row r="2592">
          <cell r="B2592">
            <v>34464</v>
          </cell>
          <cell r="C2592">
            <v>53.619</v>
          </cell>
          <cell r="D2592">
            <v>0.53068000000000004</v>
          </cell>
          <cell r="E2592">
            <v>16075</v>
          </cell>
          <cell r="F2592">
            <v>1547.9</v>
          </cell>
          <cell r="J2592">
            <v>276578.02328200481</v>
          </cell>
          <cell r="K2592">
            <v>0.53068000000000004</v>
          </cell>
          <cell r="L2592">
            <v>16075</v>
          </cell>
          <cell r="M2592">
            <v>1547.9</v>
          </cell>
          <cell r="N2592">
            <v>135004.89166994352</v>
          </cell>
          <cell r="O2592">
            <v>137357.63724267136</v>
          </cell>
          <cell r="P2592">
            <v>46.031950000000002</v>
          </cell>
        </row>
        <row r="2593">
          <cell r="B2593">
            <v>34465</v>
          </cell>
          <cell r="C2593">
            <v>54.27</v>
          </cell>
          <cell r="D2593">
            <v>0.53959999999999997</v>
          </cell>
          <cell r="E2593">
            <v>16254</v>
          </cell>
          <cell r="F2593">
            <v>1546</v>
          </cell>
          <cell r="J2593">
            <v>281581.31972317625</v>
          </cell>
          <cell r="K2593">
            <v>0.53959999999999997</v>
          </cell>
          <cell r="L2593">
            <v>16254</v>
          </cell>
          <cell r="M2593">
            <v>1546</v>
          </cell>
          <cell r="N2593">
            <v>135004.89166994352</v>
          </cell>
          <cell r="O2593">
            <v>137357.63724267136</v>
          </cell>
          <cell r="P2593">
            <v>46.031950000000002</v>
          </cell>
        </row>
        <row r="2594">
          <cell r="B2594">
            <v>34466</v>
          </cell>
          <cell r="C2594">
            <v>54.381</v>
          </cell>
          <cell r="D2594">
            <v>0.54866910000000002</v>
          </cell>
          <cell r="E2594">
            <v>16949</v>
          </cell>
          <cell r="F2594">
            <v>1637.8</v>
          </cell>
          <cell r="J2594">
            <v>286685.54430579825</v>
          </cell>
          <cell r="K2594">
            <v>0.54866910000000002</v>
          </cell>
          <cell r="L2594">
            <v>16949</v>
          </cell>
          <cell r="M2594">
            <v>1637.8</v>
          </cell>
          <cell r="N2594">
            <v>135004.89166994352</v>
          </cell>
          <cell r="O2594">
            <v>137357.63724267136</v>
          </cell>
          <cell r="P2594">
            <v>46.031950000000002</v>
          </cell>
        </row>
        <row r="2595">
          <cell r="B2595">
            <v>34467</v>
          </cell>
          <cell r="C2595">
            <v>54.381</v>
          </cell>
          <cell r="D2595">
            <v>0.55792730000000001</v>
          </cell>
          <cell r="E2595">
            <v>16882</v>
          </cell>
          <cell r="F2595">
            <v>1585.8</v>
          </cell>
          <cell r="J2595">
            <v>291882.29316742945</v>
          </cell>
          <cell r="K2595">
            <v>0.55792730000000001</v>
          </cell>
          <cell r="L2595">
            <v>16882</v>
          </cell>
          <cell r="M2595">
            <v>1585.8</v>
          </cell>
          <cell r="N2595">
            <v>135004.89166994352</v>
          </cell>
          <cell r="O2595">
            <v>137357.63724267136</v>
          </cell>
          <cell r="P2595">
            <v>46.031950000000002</v>
          </cell>
        </row>
        <row r="2596">
          <cell r="B2596">
            <v>34470</v>
          </cell>
          <cell r="C2596">
            <v>54.369</v>
          </cell>
          <cell r="D2596">
            <v>0.56733820000000001</v>
          </cell>
          <cell r="E2596">
            <v>17090</v>
          </cell>
          <cell r="F2596">
            <v>1562.6</v>
          </cell>
          <cell r="J2596">
            <v>297172.07596650283</v>
          </cell>
          <cell r="K2596">
            <v>0.56733820000000001</v>
          </cell>
          <cell r="L2596">
            <v>17090</v>
          </cell>
          <cell r="M2596">
            <v>1562.6</v>
          </cell>
          <cell r="N2596">
            <v>135004.89166994352</v>
          </cell>
          <cell r="O2596">
            <v>137357.63724267136</v>
          </cell>
          <cell r="P2596">
            <v>46.031950000000002</v>
          </cell>
        </row>
        <row r="2597">
          <cell r="B2597">
            <v>34471</v>
          </cell>
          <cell r="C2597">
            <v>54.369</v>
          </cell>
          <cell r="D2597">
            <v>0.57690909999999995</v>
          </cell>
          <cell r="E2597">
            <v>17436</v>
          </cell>
          <cell r="F2597">
            <v>1648.3</v>
          </cell>
          <cell r="J2597">
            <v>302557.72549924377</v>
          </cell>
          <cell r="K2597">
            <v>0.57690909999999995</v>
          </cell>
          <cell r="L2597">
            <v>17436</v>
          </cell>
          <cell r="M2597">
            <v>1648.3</v>
          </cell>
          <cell r="N2597">
            <v>135004.89166994352</v>
          </cell>
          <cell r="O2597">
            <v>137357.63724267136</v>
          </cell>
          <cell r="P2597">
            <v>46.031950000000002</v>
          </cell>
        </row>
        <row r="2598">
          <cell r="B2598">
            <v>34472</v>
          </cell>
          <cell r="C2598">
            <v>54.381</v>
          </cell>
          <cell r="D2598">
            <v>0.58664729999999998</v>
          </cell>
          <cell r="E2598">
            <v>17989</v>
          </cell>
          <cell r="F2598">
            <v>1790.9</v>
          </cell>
          <cell r="J2598">
            <v>308042.18938936858</v>
          </cell>
          <cell r="K2598">
            <v>0.58664729999999998</v>
          </cell>
          <cell r="L2598">
            <v>17989</v>
          </cell>
          <cell r="M2598">
            <v>1790.9</v>
          </cell>
          <cell r="N2598">
            <v>135004.89166994352</v>
          </cell>
          <cell r="O2598">
            <v>137357.63724267136</v>
          </cell>
          <cell r="P2598">
            <v>46.031950000000002</v>
          </cell>
        </row>
        <row r="2599">
          <cell r="B2599">
            <v>34473</v>
          </cell>
          <cell r="C2599">
            <v>54.36</v>
          </cell>
          <cell r="D2599">
            <v>0.59654180000000001</v>
          </cell>
          <cell r="E2599">
            <v>19268</v>
          </cell>
          <cell r="F2599">
            <v>2008.4</v>
          </cell>
          <cell r="J2599">
            <v>313623.91386110394</v>
          </cell>
          <cell r="K2599">
            <v>0.59654180000000001</v>
          </cell>
          <cell r="L2599">
            <v>19268</v>
          </cell>
          <cell r="M2599">
            <v>2008.4</v>
          </cell>
          <cell r="N2599">
            <v>135004.89166994352</v>
          </cell>
          <cell r="O2599">
            <v>137357.63724267136</v>
          </cell>
          <cell r="P2599">
            <v>46.031950000000002</v>
          </cell>
        </row>
        <row r="2600">
          <cell r="B2600">
            <v>34474</v>
          </cell>
          <cell r="C2600">
            <v>54.369</v>
          </cell>
          <cell r="D2600">
            <v>0.60660729999999996</v>
          </cell>
          <cell r="E2600">
            <v>19876</v>
          </cell>
          <cell r="F2600">
            <v>2031.7</v>
          </cell>
          <cell r="J2600">
            <v>319307.72005200875</v>
          </cell>
          <cell r="K2600">
            <v>0.60660729999999996</v>
          </cell>
          <cell r="L2600">
            <v>19876</v>
          </cell>
          <cell r="M2600">
            <v>2031.7</v>
          </cell>
          <cell r="N2600">
            <v>135004.89166994352</v>
          </cell>
          <cell r="O2600">
            <v>137357.63724267136</v>
          </cell>
          <cell r="P2600">
            <v>46.031950000000002</v>
          </cell>
        </row>
        <row r="2601">
          <cell r="B2601">
            <v>34477</v>
          </cell>
          <cell r="C2601">
            <v>54.369</v>
          </cell>
          <cell r="D2601">
            <v>0.61684360000000005</v>
          </cell>
          <cell r="E2601">
            <v>20420</v>
          </cell>
          <cell r="F2601">
            <v>2096.1999999999998</v>
          </cell>
          <cell r="J2601">
            <v>325094.53386251134</v>
          </cell>
          <cell r="K2601">
            <v>0.61684360000000005</v>
          </cell>
          <cell r="L2601">
            <v>20420</v>
          </cell>
          <cell r="M2601">
            <v>2096.1999999999998</v>
          </cell>
          <cell r="N2601">
            <v>135004.89166994352</v>
          </cell>
          <cell r="O2601">
            <v>137357.63724267136</v>
          </cell>
          <cell r="P2601">
            <v>46.031950000000002</v>
          </cell>
        </row>
        <row r="2602">
          <cell r="B2602">
            <v>34478</v>
          </cell>
          <cell r="C2602">
            <v>54.369</v>
          </cell>
          <cell r="D2602">
            <v>0.62724729999999995</v>
          </cell>
          <cell r="E2602">
            <v>20829</v>
          </cell>
          <cell r="F2602">
            <v>2127.6999999999998</v>
          </cell>
          <cell r="J2602">
            <v>330986.22209970164</v>
          </cell>
          <cell r="K2602">
            <v>0.62724729999999995</v>
          </cell>
          <cell r="L2602">
            <v>20829</v>
          </cell>
          <cell r="M2602">
            <v>2127.6999999999998</v>
          </cell>
          <cell r="N2602">
            <v>135004.89166994352</v>
          </cell>
          <cell r="O2602">
            <v>137357.63724267136</v>
          </cell>
          <cell r="P2602">
            <v>46.031950000000002</v>
          </cell>
        </row>
        <row r="2603">
          <cell r="B2603">
            <v>34479</v>
          </cell>
          <cell r="C2603">
            <v>54.369</v>
          </cell>
          <cell r="D2603">
            <v>0.63782550000000005</v>
          </cell>
          <cell r="E2603">
            <v>21918</v>
          </cell>
          <cell r="F2603">
            <v>2301.6999999999998</v>
          </cell>
          <cell r="J2603">
            <v>336984.68540281459</v>
          </cell>
          <cell r="K2603">
            <v>0.63782550000000005</v>
          </cell>
          <cell r="L2603">
            <v>21918</v>
          </cell>
          <cell r="M2603">
            <v>2301.6999999999998</v>
          </cell>
          <cell r="N2603">
            <v>135004.89166994352</v>
          </cell>
          <cell r="O2603">
            <v>137357.63724267136</v>
          </cell>
          <cell r="P2603">
            <v>46.031950000000002</v>
          </cell>
        </row>
        <row r="2604">
          <cell r="B2604">
            <v>34480</v>
          </cell>
          <cell r="C2604">
            <v>54.249000000000002</v>
          </cell>
          <cell r="D2604">
            <v>0.64827270000000004</v>
          </cell>
          <cell r="E2604">
            <v>22377</v>
          </cell>
          <cell r="F2604">
            <v>2342.1</v>
          </cell>
          <cell r="J2604">
            <v>343078.3794689537</v>
          </cell>
          <cell r="K2604">
            <v>0.64827270000000004</v>
          </cell>
          <cell r="L2604">
            <v>22377</v>
          </cell>
          <cell r="M2604">
            <v>2342.1</v>
          </cell>
          <cell r="N2604">
            <v>135004.89166994352</v>
          </cell>
          <cell r="O2604">
            <v>137357.63724267136</v>
          </cell>
          <cell r="P2604">
            <v>46.031950000000002</v>
          </cell>
        </row>
        <row r="2605">
          <cell r="B2605">
            <v>34481</v>
          </cell>
          <cell r="C2605">
            <v>54.3</v>
          </cell>
          <cell r="D2605">
            <v>0.6590473</v>
          </cell>
          <cell r="E2605">
            <v>22654</v>
          </cell>
          <cell r="F2605">
            <v>2349.4</v>
          </cell>
          <cell r="J2605">
            <v>349288.09813734179</v>
          </cell>
          <cell r="K2605">
            <v>0.6590473</v>
          </cell>
          <cell r="L2605">
            <v>22654</v>
          </cell>
          <cell r="M2605">
            <v>2349.4</v>
          </cell>
          <cell r="N2605">
            <v>135004.89166994352</v>
          </cell>
          <cell r="O2605">
            <v>137357.63724267136</v>
          </cell>
          <cell r="P2605">
            <v>46.031950000000002</v>
          </cell>
        </row>
        <row r="2606">
          <cell r="B2606">
            <v>34484</v>
          </cell>
          <cell r="C2606">
            <v>54.18</v>
          </cell>
          <cell r="D2606">
            <v>0.67049820000000004</v>
          </cell>
          <cell r="E2606">
            <v>23361</v>
          </cell>
          <cell r="F2606">
            <v>2428.4</v>
          </cell>
          <cell r="J2606">
            <v>355596.24118970218</v>
          </cell>
          <cell r="K2606">
            <v>0.67049820000000004</v>
          </cell>
          <cell r="L2606">
            <v>23361</v>
          </cell>
          <cell r="M2606">
            <v>2428.4</v>
          </cell>
          <cell r="N2606">
            <v>135004.89166994352</v>
          </cell>
          <cell r="O2606">
            <v>137357.63724267136</v>
          </cell>
          <cell r="P2606">
            <v>46.031950000000002</v>
          </cell>
        </row>
        <row r="2607">
          <cell r="B2607">
            <v>34485</v>
          </cell>
          <cell r="C2607">
            <v>56.930999999999997</v>
          </cell>
          <cell r="D2607">
            <v>0.68191639999999998</v>
          </cell>
          <cell r="E2607">
            <v>24243</v>
          </cell>
          <cell r="F2607">
            <v>2467.1999999999998</v>
          </cell>
          <cell r="G2607">
            <v>40.950000000000003</v>
          </cell>
          <cell r="H2607">
            <v>42.58</v>
          </cell>
          <cell r="I2607">
            <v>67.746229999999997</v>
          </cell>
          <cell r="J2607">
            <v>362344.39105875918</v>
          </cell>
          <cell r="K2607">
            <v>0.68191639999999998</v>
          </cell>
          <cell r="L2607">
            <v>24243</v>
          </cell>
          <cell r="M2607">
            <v>2467.1999999999998</v>
          </cell>
          <cell r="N2607">
            <v>190289.39480878538</v>
          </cell>
          <cell r="O2607">
            <v>195844.51918060082</v>
          </cell>
          <cell r="P2607">
            <v>67.746229999999997</v>
          </cell>
        </row>
        <row r="2608">
          <cell r="B2608">
            <v>34486</v>
          </cell>
          <cell r="C2608">
            <v>56.511000000000003</v>
          </cell>
          <cell r="D2608">
            <v>0.69386179999999997</v>
          </cell>
          <cell r="E2608">
            <v>24460</v>
          </cell>
          <cell r="F2608">
            <v>2526.4</v>
          </cell>
          <cell r="J2608">
            <v>369169.87235313305</v>
          </cell>
          <cell r="K2608">
            <v>0.69386179999999997</v>
          </cell>
          <cell r="L2608">
            <v>24460</v>
          </cell>
          <cell r="M2608">
            <v>2526.4</v>
          </cell>
          <cell r="N2608">
            <v>190289.39480878538</v>
          </cell>
          <cell r="O2608">
            <v>195844.51918060082</v>
          </cell>
          <cell r="P2608">
            <v>67.746229999999997</v>
          </cell>
        </row>
        <row r="2609">
          <cell r="B2609">
            <v>34488</v>
          </cell>
          <cell r="C2609">
            <v>56.529000000000003</v>
          </cell>
          <cell r="D2609">
            <v>0.7060109</v>
          </cell>
          <cell r="E2609">
            <v>24958</v>
          </cell>
          <cell r="F2609">
            <v>2695.9</v>
          </cell>
          <cell r="J2609">
            <v>376126.14025788312</v>
          </cell>
          <cell r="K2609">
            <v>0.7060109</v>
          </cell>
          <cell r="L2609">
            <v>24958</v>
          </cell>
          <cell r="M2609">
            <v>2695.9</v>
          </cell>
          <cell r="N2609">
            <v>190289.39480878538</v>
          </cell>
          <cell r="O2609">
            <v>195844.51918060082</v>
          </cell>
          <cell r="P2609">
            <v>67.746229999999997</v>
          </cell>
        </row>
        <row r="2610">
          <cell r="B2610">
            <v>34491</v>
          </cell>
          <cell r="C2610">
            <v>56.499000000000002</v>
          </cell>
          <cell r="D2610">
            <v>0.71836730000000004</v>
          </cell>
          <cell r="E2610">
            <v>26014</v>
          </cell>
          <cell r="F2610">
            <v>2908.6</v>
          </cell>
          <cell r="J2610">
            <v>383209.72385735984</v>
          </cell>
          <cell r="K2610">
            <v>0.71836730000000004</v>
          </cell>
          <cell r="L2610">
            <v>26014</v>
          </cell>
          <cell r="M2610">
            <v>2908.6</v>
          </cell>
          <cell r="N2610">
            <v>190289.39480878538</v>
          </cell>
          <cell r="O2610">
            <v>195844.51918060082</v>
          </cell>
          <cell r="P2610">
            <v>67.746229999999997</v>
          </cell>
        </row>
        <row r="2611">
          <cell r="B2611">
            <v>34492</v>
          </cell>
          <cell r="C2611">
            <v>56.960999999999999</v>
          </cell>
          <cell r="D2611">
            <v>0.73094179999999997</v>
          </cell>
          <cell r="E2611">
            <v>26495</v>
          </cell>
          <cell r="F2611">
            <v>2920.5</v>
          </cell>
          <cell r="J2611">
            <v>390485.72688423959</v>
          </cell>
          <cell r="K2611">
            <v>0.73094179999999997</v>
          </cell>
          <cell r="L2611">
            <v>26495</v>
          </cell>
          <cell r="M2611">
            <v>2920.5</v>
          </cell>
          <cell r="N2611">
            <v>190289.39480878538</v>
          </cell>
          <cell r="O2611">
            <v>195844.51918060082</v>
          </cell>
          <cell r="P2611">
            <v>67.746229999999997</v>
          </cell>
        </row>
        <row r="2612">
          <cell r="B2612">
            <v>34493</v>
          </cell>
          <cell r="C2612">
            <v>57.219000000000001</v>
          </cell>
          <cell r="D2612">
            <v>0.74389450000000001</v>
          </cell>
          <cell r="E2612">
            <v>26955</v>
          </cell>
          <cell r="F2612">
            <v>2821.8</v>
          </cell>
          <cell r="J2612">
            <v>397933.46115310263</v>
          </cell>
          <cell r="K2612">
            <v>0.74389450000000001</v>
          </cell>
          <cell r="L2612">
            <v>26955</v>
          </cell>
          <cell r="M2612">
            <v>2821.8</v>
          </cell>
          <cell r="N2612">
            <v>190289.39480878538</v>
          </cell>
          <cell r="O2612">
            <v>195844.51918060082</v>
          </cell>
          <cell r="P2612">
            <v>67.746229999999997</v>
          </cell>
        </row>
        <row r="2613">
          <cell r="B2613">
            <v>34494</v>
          </cell>
          <cell r="C2613">
            <v>57.219000000000001</v>
          </cell>
          <cell r="D2613">
            <v>0.75708730000000002</v>
          </cell>
          <cell r="E2613">
            <v>27444</v>
          </cell>
          <cell r="F2613">
            <v>2932.4</v>
          </cell>
          <cell r="J2613">
            <v>405523.24605767574</v>
          </cell>
          <cell r="K2613">
            <v>0.75708730000000002</v>
          </cell>
          <cell r="L2613">
            <v>27444</v>
          </cell>
          <cell r="M2613">
            <v>2932.4</v>
          </cell>
          <cell r="N2613">
            <v>190289.39480878538</v>
          </cell>
          <cell r="O2613">
            <v>195844.51918060082</v>
          </cell>
          <cell r="P2613">
            <v>67.746229999999997</v>
          </cell>
        </row>
        <row r="2614">
          <cell r="B2614">
            <v>34495</v>
          </cell>
          <cell r="C2614">
            <v>57.87</v>
          </cell>
          <cell r="D2614">
            <v>0.77061820000000003</v>
          </cell>
          <cell r="E2614">
            <v>28167</v>
          </cell>
          <cell r="F2614">
            <v>3020.4</v>
          </cell>
          <cell r="J2614">
            <v>413345.78947412834</v>
          </cell>
          <cell r="K2614">
            <v>0.77061820000000003</v>
          </cell>
          <cell r="L2614">
            <v>28167</v>
          </cell>
          <cell r="M2614">
            <v>3020.4</v>
          </cell>
          <cell r="N2614">
            <v>190289.39480878538</v>
          </cell>
          <cell r="O2614">
            <v>195844.51918060082</v>
          </cell>
          <cell r="P2614">
            <v>67.746229999999997</v>
          </cell>
        </row>
        <row r="2615">
          <cell r="B2615">
            <v>34498</v>
          </cell>
          <cell r="C2615">
            <v>57.920999999999999</v>
          </cell>
          <cell r="D2615">
            <v>0.78443269999999998</v>
          </cell>
          <cell r="E2615">
            <v>28365</v>
          </cell>
          <cell r="F2615">
            <v>2946.9</v>
          </cell>
          <cell r="J2615">
            <v>421326.25663150533</v>
          </cell>
          <cell r="K2615">
            <v>0.78443269999999998</v>
          </cell>
          <cell r="L2615">
            <v>28365</v>
          </cell>
          <cell r="M2615">
            <v>2946.9</v>
          </cell>
          <cell r="N2615">
            <v>190289.39480878538</v>
          </cell>
          <cell r="O2615">
            <v>195844.51918060082</v>
          </cell>
          <cell r="P2615">
            <v>67.746229999999997</v>
          </cell>
        </row>
        <row r="2616">
          <cell r="B2616">
            <v>34499</v>
          </cell>
          <cell r="C2616">
            <v>58.058999999999997</v>
          </cell>
          <cell r="D2616">
            <v>0.79854179999999997</v>
          </cell>
          <cell r="E2616">
            <v>28526</v>
          </cell>
          <cell r="F2616">
            <v>3017.3</v>
          </cell>
          <cell r="J2616">
            <v>429480.18367609481</v>
          </cell>
          <cell r="K2616">
            <v>0.79854179999999997</v>
          </cell>
          <cell r="L2616">
            <v>28526</v>
          </cell>
          <cell r="M2616">
            <v>3017.3</v>
          </cell>
          <cell r="N2616">
            <v>190289.39480878538</v>
          </cell>
          <cell r="O2616">
            <v>195844.51918060082</v>
          </cell>
          <cell r="P2616">
            <v>67.746229999999997</v>
          </cell>
        </row>
        <row r="2617">
          <cell r="B2617">
            <v>34500</v>
          </cell>
          <cell r="C2617">
            <v>58.058999999999997</v>
          </cell>
          <cell r="D2617">
            <v>0.81291270000000004</v>
          </cell>
          <cell r="E2617">
            <v>29072</v>
          </cell>
          <cell r="F2617">
            <v>3069.7</v>
          </cell>
          <cell r="J2617">
            <v>437791.91367077827</v>
          </cell>
          <cell r="K2617">
            <v>0.81291270000000004</v>
          </cell>
          <cell r="L2617">
            <v>29072</v>
          </cell>
          <cell r="M2617">
            <v>3069.7</v>
          </cell>
          <cell r="N2617">
            <v>190289.39480878538</v>
          </cell>
          <cell r="O2617">
            <v>195844.51918060082</v>
          </cell>
          <cell r="P2617">
            <v>67.746229999999997</v>
          </cell>
        </row>
        <row r="2618">
          <cell r="B2618">
            <v>34501</v>
          </cell>
          <cell r="C2618">
            <v>59.061</v>
          </cell>
          <cell r="D2618">
            <v>0.82778910000000006</v>
          </cell>
          <cell r="E2618">
            <v>29684</v>
          </cell>
          <cell r="F2618">
            <v>3033.8</v>
          </cell>
          <cell r="J2618">
            <v>446410.72307521489</v>
          </cell>
          <cell r="K2618">
            <v>0.82778910000000006</v>
          </cell>
          <cell r="L2618">
            <v>29684</v>
          </cell>
          <cell r="M2618">
            <v>3033.8</v>
          </cell>
          <cell r="N2618">
            <v>190289.39480878538</v>
          </cell>
          <cell r="O2618">
            <v>195844.51918060082</v>
          </cell>
          <cell r="P2618">
            <v>67.746229999999997</v>
          </cell>
        </row>
        <row r="2619">
          <cell r="B2619">
            <v>34502</v>
          </cell>
          <cell r="C2619">
            <v>59.439</v>
          </cell>
          <cell r="D2619">
            <v>0.84295629999999999</v>
          </cell>
          <cell r="E2619">
            <v>30364</v>
          </cell>
          <cell r="F2619">
            <v>3237.6</v>
          </cell>
          <cell r="J2619">
            <v>455255.45873150416</v>
          </cell>
          <cell r="K2619">
            <v>0.84295629999999999</v>
          </cell>
          <cell r="L2619">
            <v>30364</v>
          </cell>
          <cell r="M2619">
            <v>3237.6</v>
          </cell>
          <cell r="N2619">
            <v>190289.39480878538</v>
          </cell>
          <cell r="O2619">
            <v>195844.51918060082</v>
          </cell>
          <cell r="P2619">
            <v>67.746229999999997</v>
          </cell>
        </row>
        <row r="2620">
          <cell r="B2620">
            <v>34505</v>
          </cell>
          <cell r="C2620">
            <v>60.36</v>
          </cell>
          <cell r="D2620">
            <v>0.85857819999999996</v>
          </cell>
          <cell r="E2620">
            <v>30640</v>
          </cell>
          <cell r="F2620">
            <v>3237.8</v>
          </cell>
          <cell r="J2620">
            <v>464415.19856118195</v>
          </cell>
          <cell r="K2620">
            <v>0.85857819999999996</v>
          </cell>
          <cell r="L2620">
            <v>30640</v>
          </cell>
          <cell r="M2620">
            <v>3237.8</v>
          </cell>
          <cell r="N2620">
            <v>190289.39480878538</v>
          </cell>
          <cell r="O2620">
            <v>195844.51918060082</v>
          </cell>
          <cell r="P2620">
            <v>67.746229999999997</v>
          </cell>
        </row>
        <row r="2621">
          <cell r="B2621">
            <v>34506</v>
          </cell>
          <cell r="C2621">
            <v>61.610999999999997</v>
          </cell>
          <cell r="D2621">
            <v>0.87478180000000005</v>
          </cell>
          <cell r="E2621">
            <v>30741</v>
          </cell>
          <cell r="F2621">
            <v>3127.6</v>
          </cell>
          <cell r="J2621">
            <v>473952.89349403296</v>
          </cell>
          <cell r="K2621">
            <v>0.87478180000000005</v>
          </cell>
          <cell r="L2621">
            <v>30741</v>
          </cell>
          <cell r="M2621">
            <v>3127.6</v>
          </cell>
          <cell r="N2621">
            <v>190289.39480878538</v>
          </cell>
          <cell r="O2621">
            <v>195844.51918060082</v>
          </cell>
          <cell r="P2621">
            <v>67.746229999999997</v>
          </cell>
        </row>
        <row r="2622">
          <cell r="B2622">
            <v>34507</v>
          </cell>
          <cell r="C2622">
            <v>62.139000000000003</v>
          </cell>
          <cell r="D2622">
            <v>0.89156000000000002</v>
          </cell>
          <cell r="E2622">
            <v>31701</v>
          </cell>
          <cell r="F2622">
            <v>3198.5</v>
          </cell>
          <cell r="J2622">
            <v>483769.87977697485</v>
          </cell>
          <cell r="K2622">
            <v>0.89156000000000002</v>
          </cell>
          <cell r="L2622">
            <v>31701</v>
          </cell>
          <cell r="M2622">
            <v>3198.5</v>
          </cell>
          <cell r="N2622">
            <v>190289.39480878538</v>
          </cell>
          <cell r="O2622">
            <v>195844.51918060082</v>
          </cell>
          <cell r="P2622">
            <v>67.746229999999997</v>
          </cell>
        </row>
        <row r="2623">
          <cell r="B2623">
            <v>34508</v>
          </cell>
          <cell r="C2623">
            <v>62.061</v>
          </cell>
          <cell r="D2623">
            <v>0.90865090000000004</v>
          </cell>
          <cell r="E2623">
            <v>32008</v>
          </cell>
          <cell r="F2623">
            <v>3140</v>
          </cell>
          <cell r="J2623">
            <v>493777.62727992109</v>
          </cell>
          <cell r="K2623">
            <v>0.90865090000000004</v>
          </cell>
          <cell r="L2623">
            <v>32008</v>
          </cell>
          <cell r="M2623">
            <v>3140</v>
          </cell>
          <cell r="N2623">
            <v>190289.39480878538</v>
          </cell>
          <cell r="O2623">
            <v>195844.51918060082</v>
          </cell>
          <cell r="P2623">
            <v>67.746229999999997</v>
          </cell>
        </row>
        <row r="2624">
          <cell r="B2624">
            <v>34509</v>
          </cell>
          <cell r="C2624">
            <v>61.820999999999998</v>
          </cell>
          <cell r="D2624">
            <v>0.92614540000000001</v>
          </cell>
          <cell r="E2624">
            <v>32307</v>
          </cell>
          <cell r="F2624">
            <v>3109.6</v>
          </cell>
          <cell r="J2624">
            <v>503952.90284527844</v>
          </cell>
          <cell r="K2624">
            <v>0.92614540000000001</v>
          </cell>
          <cell r="L2624">
            <v>32307</v>
          </cell>
          <cell r="M2624">
            <v>3109.6</v>
          </cell>
          <cell r="N2624">
            <v>190289.39480878538</v>
          </cell>
          <cell r="O2624">
            <v>195844.51918060082</v>
          </cell>
          <cell r="P2624">
            <v>67.746229999999997</v>
          </cell>
        </row>
        <row r="2625">
          <cell r="B2625">
            <v>34512</v>
          </cell>
          <cell r="C2625">
            <v>62.91</v>
          </cell>
          <cell r="D2625">
            <v>0.94410910000000003</v>
          </cell>
          <cell r="E2625">
            <v>33001</v>
          </cell>
          <cell r="F2625">
            <v>3372.1</v>
          </cell>
          <cell r="J2625">
            <v>514520.7952179439</v>
          </cell>
          <cell r="K2625">
            <v>0.94410910000000003</v>
          </cell>
          <cell r="L2625">
            <v>33001</v>
          </cell>
          <cell r="M2625">
            <v>3372.1</v>
          </cell>
          <cell r="N2625">
            <v>190289.39480878538</v>
          </cell>
          <cell r="O2625">
            <v>195844.51918060082</v>
          </cell>
          <cell r="P2625">
            <v>67.746229999999997</v>
          </cell>
        </row>
        <row r="2626">
          <cell r="B2626">
            <v>34513</v>
          </cell>
          <cell r="C2626">
            <v>62.619</v>
          </cell>
          <cell r="D2626">
            <v>0.96254550000000005</v>
          </cell>
          <cell r="E2626">
            <v>34224</v>
          </cell>
          <cell r="F2626">
            <v>3563.498</v>
          </cell>
          <cell r="J2626">
            <v>525260.38777652802</v>
          </cell>
          <cell r="K2626">
            <v>0.96254550000000005</v>
          </cell>
          <cell r="L2626">
            <v>34224</v>
          </cell>
          <cell r="M2626">
            <v>3563.498</v>
          </cell>
          <cell r="N2626">
            <v>190289.39480878538</v>
          </cell>
          <cell r="O2626">
            <v>195844.51918060082</v>
          </cell>
          <cell r="P2626">
            <v>67.746229999999997</v>
          </cell>
        </row>
        <row r="2627">
          <cell r="B2627">
            <v>34514</v>
          </cell>
          <cell r="C2627">
            <v>60.66</v>
          </cell>
          <cell r="D2627">
            <v>0.98125819999999997</v>
          </cell>
          <cell r="E2627">
            <v>35986</v>
          </cell>
          <cell r="F2627">
            <v>3828.3</v>
          </cell>
          <cell r="J2627">
            <v>535881.15281736932</v>
          </cell>
          <cell r="K2627">
            <v>0.98125819999999997</v>
          </cell>
          <cell r="L2627">
            <v>35986</v>
          </cell>
          <cell r="M2627">
            <v>3828.3</v>
          </cell>
          <cell r="N2627">
            <v>190289.39480878538</v>
          </cell>
          <cell r="O2627">
            <v>195844.51918060082</v>
          </cell>
          <cell r="P2627">
            <v>67.746229999999997</v>
          </cell>
        </row>
        <row r="2628">
          <cell r="B2628">
            <v>34515</v>
          </cell>
          <cell r="C2628">
            <v>10.911</v>
          </cell>
          <cell r="D2628">
            <v>1</v>
          </cell>
          <cell r="E2628">
            <v>36436</v>
          </cell>
          <cell r="F2628">
            <v>3623.1</v>
          </cell>
          <cell r="G2628">
            <v>46.58</v>
          </cell>
          <cell r="H2628">
            <v>45.21</v>
          </cell>
          <cell r="I2628">
            <v>100</v>
          </cell>
          <cell r="J2628">
            <v>537830.15257016604</v>
          </cell>
          <cell r="K2628">
            <v>1</v>
          </cell>
          <cell r="L2628">
            <v>36436</v>
          </cell>
          <cell r="M2628">
            <v>3623.1</v>
          </cell>
          <cell r="N2628">
            <v>278926.1949107176</v>
          </cell>
          <cell r="O2628">
            <v>284385.82630215044</v>
          </cell>
          <cell r="P2628">
            <v>100</v>
          </cell>
        </row>
        <row r="2629">
          <cell r="B2629">
            <v>34516</v>
          </cell>
          <cell r="D2629">
            <v>1</v>
          </cell>
          <cell r="E2629">
            <v>36293</v>
          </cell>
          <cell r="J2629">
            <v>537830.15257016604</v>
          </cell>
          <cell r="K2629">
            <v>1</v>
          </cell>
          <cell r="L2629">
            <v>36293</v>
          </cell>
          <cell r="M2629">
            <v>3623.1</v>
          </cell>
          <cell r="N2629">
            <v>278926.1949107176</v>
          </cell>
          <cell r="O2629">
            <v>284385.82630215044</v>
          </cell>
          <cell r="P2629">
            <v>100</v>
          </cell>
        </row>
        <row r="2630">
          <cell r="B2630">
            <v>34519</v>
          </cell>
          <cell r="C2630">
            <v>11.94</v>
          </cell>
          <cell r="D2630">
            <v>0.94</v>
          </cell>
          <cell r="E2630">
            <v>36293</v>
          </cell>
          <cell r="F2630">
            <v>3580.8</v>
          </cell>
          <cell r="J2630">
            <v>539970.71657739533</v>
          </cell>
          <cell r="K2630">
            <v>0.94</v>
          </cell>
          <cell r="L2630">
            <v>36293</v>
          </cell>
          <cell r="M2630">
            <v>3580.8</v>
          </cell>
          <cell r="N2630">
            <v>278926.1949107176</v>
          </cell>
          <cell r="O2630">
            <v>284385.82630215044</v>
          </cell>
          <cell r="P2630">
            <v>100</v>
          </cell>
        </row>
        <row r="2631">
          <cell r="B2631">
            <v>34520</v>
          </cell>
          <cell r="C2631">
            <v>11.991</v>
          </cell>
          <cell r="D2631">
            <v>0.93200000000000005</v>
          </cell>
          <cell r="E2631">
            <v>36324</v>
          </cell>
          <cell r="F2631">
            <v>3564.3</v>
          </cell>
          <cell r="J2631">
            <v>542128.9795315552</v>
          </cell>
          <cell r="K2631">
            <v>0.93200000000000005</v>
          </cell>
          <cell r="L2631">
            <v>36324</v>
          </cell>
          <cell r="M2631">
            <v>3564.3</v>
          </cell>
          <cell r="N2631">
            <v>278926.1949107176</v>
          </cell>
          <cell r="O2631">
            <v>284385.82630215044</v>
          </cell>
          <cell r="P2631">
            <v>100</v>
          </cell>
        </row>
        <row r="2632">
          <cell r="B2632">
            <v>34521</v>
          </cell>
          <cell r="C2632">
            <v>12</v>
          </cell>
          <cell r="D2632">
            <v>0.91500000000000004</v>
          </cell>
          <cell r="E2632">
            <v>37178</v>
          </cell>
          <cell r="F2632">
            <v>3753.5</v>
          </cell>
          <cell r="J2632">
            <v>544297.49544968142</v>
          </cell>
          <cell r="K2632">
            <v>0.91500000000000004</v>
          </cell>
          <cell r="L2632">
            <v>37178</v>
          </cell>
          <cell r="M2632">
            <v>3753.5</v>
          </cell>
          <cell r="N2632">
            <v>278926.1949107176</v>
          </cell>
          <cell r="O2632">
            <v>284385.82630215044</v>
          </cell>
          <cell r="P2632">
            <v>100</v>
          </cell>
        </row>
        <row r="2633">
          <cell r="B2633">
            <v>34522</v>
          </cell>
          <cell r="C2633">
            <v>11.91</v>
          </cell>
          <cell r="D2633">
            <v>0.91</v>
          </cell>
          <cell r="E2633">
            <v>37786</v>
          </cell>
          <cell r="F2633">
            <v>3904.9</v>
          </cell>
          <cell r="J2633">
            <v>546458.35650661669</v>
          </cell>
          <cell r="K2633">
            <v>0.91</v>
          </cell>
          <cell r="L2633">
            <v>37786</v>
          </cell>
          <cell r="M2633">
            <v>3904.9</v>
          </cell>
          <cell r="N2633">
            <v>278926.1949107176</v>
          </cell>
          <cell r="O2633">
            <v>284385.82630215044</v>
          </cell>
          <cell r="P2633">
            <v>100</v>
          </cell>
        </row>
        <row r="2634">
          <cell r="B2634">
            <v>34523</v>
          </cell>
          <cell r="C2634">
            <v>11.67</v>
          </cell>
          <cell r="D2634">
            <v>0.92</v>
          </cell>
          <cell r="E2634">
            <v>38223</v>
          </cell>
          <cell r="F2634">
            <v>4051.9</v>
          </cell>
          <cell r="J2634">
            <v>548584.07951342745</v>
          </cell>
          <cell r="K2634">
            <v>0.92</v>
          </cell>
          <cell r="L2634">
            <v>38223</v>
          </cell>
          <cell r="M2634">
            <v>4051.9</v>
          </cell>
          <cell r="N2634">
            <v>278926.1949107176</v>
          </cell>
          <cell r="O2634">
            <v>284385.82630215044</v>
          </cell>
          <cell r="P2634">
            <v>100</v>
          </cell>
        </row>
        <row r="2635">
          <cell r="B2635">
            <v>34526</v>
          </cell>
          <cell r="C2635">
            <v>11.271000000000001</v>
          </cell>
          <cell r="D2635">
            <v>0.92300000000000004</v>
          </cell>
          <cell r="E2635">
            <v>38463</v>
          </cell>
          <cell r="F2635">
            <v>4010.8</v>
          </cell>
          <cell r="J2635">
            <v>550645.10990015941</v>
          </cell>
          <cell r="K2635">
            <v>0.92300000000000004</v>
          </cell>
          <cell r="L2635">
            <v>38463</v>
          </cell>
          <cell r="M2635">
            <v>4010.8</v>
          </cell>
          <cell r="N2635">
            <v>278926.1949107176</v>
          </cell>
          <cell r="O2635">
            <v>284385.82630215044</v>
          </cell>
          <cell r="P2635">
            <v>100</v>
          </cell>
        </row>
        <row r="2636">
          <cell r="B2636">
            <v>34527</v>
          </cell>
          <cell r="C2636">
            <v>11.4</v>
          </cell>
          <cell r="D2636">
            <v>0.92</v>
          </cell>
          <cell r="E2636">
            <v>38737</v>
          </cell>
          <cell r="F2636">
            <v>3919.7</v>
          </cell>
          <cell r="J2636">
            <v>552737.56131778006</v>
          </cell>
          <cell r="K2636">
            <v>0.92</v>
          </cell>
          <cell r="L2636">
            <v>38737</v>
          </cell>
          <cell r="M2636">
            <v>3919.7</v>
          </cell>
          <cell r="N2636">
            <v>278926.1949107176</v>
          </cell>
          <cell r="O2636">
            <v>284385.82630215044</v>
          </cell>
          <cell r="P2636">
            <v>100</v>
          </cell>
        </row>
        <row r="2637">
          <cell r="B2637">
            <v>34528</v>
          </cell>
          <cell r="C2637">
            <v>11.409000000000001</v>
          </cell>
          <cell r="D2637">
            <v>0.92</v>
          </cell>
          <cell r="E2637">
            <v>38605</v>
          </cell>
          <cell r="F2637">
            <v>3840.8</v>
          </cell>
          <cell r="J2637">
            <v>554839.6222634716</v>
          </cell>
          <cell r="K2637">
            <v>0.92</v>
          </cell>
          <cell r="L2637">
            <v>38605</v>
          </cell>
          <cell r="M2637">
            <v>3840.8</v>
          </cell>
          <cell r="N2637">
            <v>278926.1949107176</v>
          </cell>
          <cell r="O2637">
            <v>284385.82630215044</v>
          </cell>
          <cell r="P2637">
            <v>100</v>
          </cell>
        </row>
        <row r="2638">
          <cell r="B2638">
            <v>34529</v>
          </cell>
          <cell r="C2638">
            <v>11.241</v>
          </cell>
          <cell r="D2638">
            <v>0.92500000000000004</v>
          </cell>
          <cell r="E2638">
            <v>39506</v>
          </cell>
          <cell r="F2638">
            <v>4016.5</v>
          </cell>
          <cell r="J2638">
            <v>556918.60632809275</v>
          </cell>
          <cell r="K2638">
            <v>0.92500000000000004</v>
          </cell>
          <cell r="L2638">
            <v>39506</v>
          </cell>
          <cell r="M2638">
            <v>4016.5</v>
          </cell>
          <cell r="N2638">
            <v>278926.1949107176</v>
          </cell>
          <cell r="O2638">
            <v>284385.82630215044</v>
          </cell>
          <cell r="P2638">
            <v>100</v>
          </cell>
        </row>
        <row r="2639">
          <cell r="B2639">
            <v>34530</v>
          </cell>
          <cell r="C2639">
            <v>10.281000000000001</v>
          </cell>
          <cell r="D2639">
            <v>0.93500000000000005</v>
          </cell>
          <cell r="E2639">
            <v>39470</v>
          </cell>
          <cell r="F2639">
            <v>4079.9</v>
          </cell>
          <cell r="J2639">
            <v>558827.1663919792</v>
          </cell>
          <cell r="K2639">
            <v>0.93500000000000005</v>
          </cell>
          <cell r="L2639">
            <v>39470</v>
          </cell>
          <cell r="M2639">
            <v>4079.9</v>
          </cell>
          <cell r="N2639">
            <v>278926.1949107176</v>
          </cell>
          <cell r="O2639">
            <v>284385.82630215044</v>
          </cell>
          <cell r="P2639">
            <v>100</v>
          </cell>
        </row>
        <row r="2640">
          <cell r="B2640">
            <v>34533</v>
          </cell>
          <cell r="C2640">
            <v>9.9689999999999994</v>
          </cell>
          <cell r="D2640">
            <v>0.93500000000000005</v>
          </cell>
          <cell r="E2640">
            <v>39677</v>
          </cell>
          <cell r="F2640">
            <v>4045.3</v>
          </cell>
          <cell r="J2640">
            <v>560684.14906589978</v>
          </cell>
          <cell r="K2640">
            <v>0.93500000000000005</v>
          </cell>
          <cell r="L2640">
            <v>39677</v>
          </cell>
          <cell r="M2640">
            <v>4045.3</v>
          </cell>
          <cell r="N2640">
            <v>278926.1949107176</v>
          </cell>
          <cell r="O2640">
            <v>284385.82630215044</v>
          </cell>
          <cell r="P2640">
            <v>100</v>
          </cell>
        </row>
        <row r="2641">
          <cell r="B2641">
            <v>34534</v>
          </cell>
          <cell r="C2641">
            <v>10.128</v>
          </cell>
          <cell r="D2641">
            <v>0.93500000000000005</v>
          </cell>
          <cell r="E2641">
            <v>39393</v>
          </cell>
          <cell r="F2641">
            <v>3874.6</v>
          </cell>
          <cell r="J2641">
            <v>562577.01875314629</v>
          </cell>
          <cell r="K2641">
            <v>0.93500000000000005</v>
          </cell>
          <cell r="L2641">
            <v>39393</v>
          </cell>
          <cell r="M2641">
            <v>3874.6</v>
          </cell>
          <cell r="N2641">
            <v>278926.1949107176</v>
          </cell>
          <cell r="O2641">
            <v>284385.82630215044</v>
          </cell>
          <cell r="P2641">
            <v>100</v>
          </cell>
        </row>
        <row r="2642">
          <cell r="B2642">
            <v>34535</v>
          </cell>
          <cell r="C2642">
            <v>10.089</v>
          </cell>
          <cell r="D2642">
            <v>0.93200000000000005</v>
          </cell>
          <cell r="E2642">
            <v>39905</v>
          </cell>
          <cell r="F2642">
            <v>4038.6</v>
          </cell>
          <cell r="J2642">
            <v>564468.96526721318</v>
          </cell>
          <cell r="K2642">
            <v>0.93200000000000005</v>
          </cell>
          <cell r="L2642">
            <v>39905</v>
          </cell>
          <cell r="M2642">
            <v>4038.6</v>
          </cell>
          <cell r="N2642">
            <v>278926.1949107176</v>
          </cell>
          <cell r="O2642">
            <v>284385.82630215044</v>
          </cell>
          <cell r="P2642">
            <v>100</v>
          </cell>
        </row>
        <row r="2643">
          <cell r="B2643">
            <v>34536</v>
          </cell>
          <cell r="C2643">
            <v>8.2889999999999997</v>
          </cell>
          <cell r="D2643">
            <v>0.93200000000000005</v>
          </cell>
          <cell r="E2643">
            <v>40228</v>
          </cell>
          <cell r="F2643">
            <v>4018.4</v>
          </cell>
          <cell r="J2643">
            <v>566028.59301824658</v>
          </cell>
          <cell r="K2643">
            <v>0.93200000000000005</v>
          </cell>
          <cell r="L2643">
            <v>40228</v>
          </cell>
          <cell r="M2643">
            <v>4018.4</v>
          </cell>
          <cell r="N2643">
            <v>278926.1949107176</v>
          </cell>
          <cell r="O2643">
            <v>284385.82630215044</v>
          </cell>
          <cell r="P2643">
            <v>100</v>
          </cell>
        </row>
        <row r="2644">
          <cell r="B2644">
            <v>34537</v>
          </cell>
          <cell r="C2644">
            <v>7.14</v>
          </cell>
          <cell r="D2644">
            <v>0.93700000000000006</v>
          </cell>
          <cell r="E2644">
            <v>40257</v>
          </cell>
          <cell r="F2644">
            <v>3986.6</v>
          </cell>
          <cell r="J2644">
            <v>567375.74106963002</v>
          </cell>
          <cell r="K2644">
            <v>0.93700000000000006</v>
          </cell>
          <cell r="L2644">
            <v>40257</v>
          </cell>
          <cell r="M2644">
            <v>3986.6</v>
          </cell>
          <cell r="N2644">
            <v>278926.1949107176</v>
          </cell>
          <cell r="O2644">
            <v>284385.82630215044</v>
          </cell>
          <cell r="P2644">
            <v>100</v>
          </cell>
        </row>
        <row r="2645">
          <cell r="B2645">
            <v>34540</v>
          </cell>
          <cell r="C2645">
            <v>7.3380000000000001</v>
          </cell>
          <cell r="D2645">
            <v>0.93600000000000005</v>
          </cell>
          <cell r="E2645">
            <v>40239</v>
          </cell>
          <cell r="F2645">
            <v>3993.9</v>
          </cell>
          <cell r="J2645">
            <v>568763.54213228635</v>
          </cell>
          <cell r="K2645">
            <v>0.93600000000000005</v>
          </cell>
          <cell r="L2645">
            <v>40239</v>
          </cell>
          <cell r="M2645">
            <v>3993.9</v>
          </cell>
          <cell r="N2645">
            <v>278926.1949107176</v>
          </cell>
          <cell r="O2645">
            <v>284385.82630215044</v>
          </cell>
          <cell r="P2645">
            <v>100</v>
          </cell>
        </row>
        <row r="2646">
          <cell r="B2646">
            <v>34541</v>
          </cell>
          <cell r="C2646">
            <v>7.02</v>
          </cell>
          <cell r="D2646">
            <v>0.93400000000000005</v>
          </cell>
          <cell r="E2646">
            <v>40122</v>
          </cell>
          <cell r="F2646">
            <v>4077.2</v>
          </cell>
          <cell r="J2646">
            <v>570094.44882087596</v>
          </cell>
          <cell r="K2646">
            <v>0.93400000000000005</v>
          </cell>
          <cell r="L2646">
            <v>40122</v>
          </cell>
          <cell r="M2646">
            <v>4077.2</v>
          </cell>
          <cell r="N2646">
            <v>278926.1949107176</v>
          </cell>
          <cell r="O2646">
            <v>284385.82630215044</v>
          </cell>
          <cell r="P2646">
            <v>100</v>
          </cell>
        </row>
        <row r="2647">
          <cell r="B2647">
            <v>34542</v>
          </cell>
          <cell r="C2647">
            <v>7.359</v>
          </cell>
          <cell r="D2647">
            <v>0.93600000000000005</v>
          </cell>
          <cell r="E2647">
            <v>40152</v>
          </cell>
          <cell r="F2647">
            <v>4150</v>
          </cell>
          <cell r="J2647">
            <v>571492.89050383354</v>
          </cell>
          <cell r="K2647">
            <v>0.93600000000000005</v>
          </cell>
          <cell r="L2647">
            <v>40152</v>
          </cell>
          <cell r="M2647">
            <v>4150</v>
          </cell>
          <cell r="N2647">
            <v>278926.1949107176</v>
          </cell>
          <cell r="O2647">
            <v>284385.82630215044</v>
          </cell>
          <cell r="P2647">
            <v>100</v>
          </cell>
        </row>
        <row r="2648">
          <cell r="B2648">
            <v>34543</v>
          </cell>
          <cell r="C2648">
            <v>6.2880000000000003</v>
          </cell>
          <cell r="D2648">
            <v>0.94</v>
          </cell>
          <cell r="E2648">
            <v>39990</v>
          </cell>
          <cell r="F2648">
            <v>4255.3</v>
          </cell>
          <cell r="J2648">
            <v>572690.73960232968</v>
          </cell>
          <cell r="K2648">
            <v>0.94</v>
          </cell>
          <cell r="L2648">
            <v>39990</v>
          </cell>
          <cell r="M2648">
            <v>4255.3</v>
          </cell>
          <cell r="N2648">
            <v>278926.1949107176</v>
          </cell>
          <cell r="O2648">
            <v>284385.82630215044</v>
          </cell>
          <cell r="P2648">
            <v>100</v>
          </cell>
        </row>
        <row r="2649">
          <cell r="B2649">
            <v>34544</v>
          </cell>
          <cell r="C2649">
            <v>5.4989999999999997</v>
          </cell>
          <cell r="D2649">
            <v>0.94</v>
          </cell>
          <cell r="E2649">
            <v>39869</v>
          </cell>
          <cell r="F2649">
            <v>4201.3</v>
          </cell>
          <cell r="G2649">
            <v>5.47</v>
          </cell>
          <cell r="H2649">
            <v>4.33</v>
          </cell>
          <cell r="I2649">
            <v>105.5513</v>
          </cell>
          <cell r="J2649">
            <v>573740.48172802071</v>
          </cell>
          <cell r="K2649">
            <v>0.94</v>
          </cell>
          <cell r="L2649">
            <v>39869</v>
          </cell>
          <cell r="M2649">
            <v>4201.3</v>
          </cell>
          <cell r="N2649">
            <v>294183.45777233387</v>
          </cell>
          <cell r="O2649">
            <v>296699.73258103355</v>
          </cell>
          <cell r="P2649">
            <v>105.5513</v>
          </cell>
        </row>
        <row r="2650">
          <cell r="B2650">
            <v>34547</v>
          </cell>
          <cell r="C2650">
            <v>5.5289999999999999</v>
          </cell>
          <cell r="D2650">
            <v>0.93200000000000005</v>
          </cell>
          <cell r="E2650">
            <v>39979</v>
          </cell>
          <cell r="F2650">
            <v>4152</v>
          </cell>
          <cell r="J2650">
            <v>574797.88543584547</v>
          </cell>
          <cell r="K2650">
            <v>0.93200000000000005</v>
          </cell>
          <cell r="L2650">
            <v>39979</v>
          </cell>
          <cell r="M2650">
            <v>4152</v>
          </cell>
          <cell r="N2650">
            <v>294183.45777233387</v>
          </cell>
          <cell r="O2650">
            <v>296699.73258103355</v>
          </cell>
          <cell r="P2650">
            <v>105.5513</v>
          </cell>
        </row>
        <row r="2651">
          <cell r="B2651">
            <v>34548</v>
          </cell>
          <cell r="C2651">
            <v>5.508</v>
          </cell>
          <cell r="D2651">
            <v>0.92</v>
          </cell>
          <cell r="E2651">
            <v>40270</v>
          </cell>
          <cell r="F2651">
            <v>4310.7</v>
          </cell>
          <cell r="J2651">
            <v>575853.21435350564</v>
          </cell>
          <cell r="K2651">
            <v>0.92</v>
          </cell>
          <cell r="L2651">
            <v>40270</v>
          </cell>
          <cell r="M2651">
            <v>4310.7</v>
          </cell>
          <cell r="N2651">
            <v>294183.45777233387</v>
          </cell>
          <cell r="O2651">
            <v>296699.73258103355</v>
          </cell>
          <cell r="P2651">
            <v>105.5513</v>
          </cell>
        </row>
        <row r="2652">
          <cell r="B2652">
            <v>34549</v>
          </cell>
          <cell r="C2652">
            <v>5.5289999999999999</v>
          </cell>
          <cell r="D2652">
            <v>0.91</v>
          </cell>
          <cell r="E2652">
            <v>40745</v>
          </cell>
          <cell r="F2652">
            <v>4392.1000000000004</v>
          </cell>
          <cell r="J2652">
            <v>576914.51182755921</v>
          </cell>
          <cell r="K2652">
            <v>0.91</v>
          </cell>
          <cell r="L2652">
            <v>40745</v>
          </cell>
          <cell r="M2652">
            <v>4392.1000000000004</v>
          </cell>
          <cell r="N2652">
            <v>294183.45777233387</v>
          </cell>
          <cell r="O2652">
            <v>296699.73258103355</v>
          </cell>
          <cell r="P2652">
            <v>105.5513</v>
          </cell>
        </row>
        <row r="2653">
          <cell r="B2653">
            <v>34550</v>
          </cell>
          <cell r="C2653">
            <v>5.52</v>
          </cell>
          <cell r="D2653">
            <v>0.91</v>
          </cell>
          <cell r="E2653">
            <v>41024</v>
          </cell>
          <cell r="F2653">
            <v>4354.8999999999996</v>
          </cell>
          <cell r="J2653">
            <v>577976.03452932194</v>
          </cell>
          <cell r="K2653">
            <v>0.91</v>
          </cell>
          <cell r="L2653">
            <v>41024</v>
          </cell>
          <cell r="M2653">
            <v>4354.8999999999996</v>
          </cell>
          <cell r="N2653">
            <v>294183.45777233387</v>
          </cell>
          <cell r="O2653">
            <v>296699.73258103355</v>
          </cell>
          <cell r="P2653">
            <v>105.5513</v>
          </cell>
        </row>
        <row r="2654">
          <cell r="B2654">
            <v>34551</v>
          </cell>
          <cell r="C2654">
            <v>5.2290000000000001</v>
          </cell>
          <cell r="D2654">
            <v>0.91200000000000003</v>
          </cell>
          <cell r="E2654">
            <v>41455</v>
          </cell>
          <cell r="F2654">
            <v>4469.5</v>
          </cell>
          <cell r="J2654">
            <v>578983.44675750658</v>
          </cell>
          <cell r="K2654">
            <v>0.91200000000000003</v>
          </cell>
          <cell r="L2654">
            <v>41455</v>
          </cell>
          <cell r="M2654">
            <v>4469.5</v>
          </cell>
          <cell r="N2654">
            <v>294183.45777233387</v>
          </cell>
          <cell r="O2654">
            <v>296699.73258103355</v>
          </cell>
          <cell r="P2654">
            <v>105.5513</v>
          </cell>
        </row>
        <row r="2655">
          <cell r="B2655">
            <v>34554</v>
          </cell>
          <cell r="C2655">
            <v>5.31</v>
          </cell>
          <cell r="D2655">
            <v>0.90600000000000003</v>
          </cell>
          <cell r="E2655">
            <v>41715</v>
          </cell>
          <cell r="F2655">
            <v>4580.8999999999996</v>
          </cell>
          <cell r="J2655">
            <v>580008.24745826737</v>
          </cell>
          <cell r="K2655">
            <v>0.90600000000000003</v>
          </cell>
          <cell r="L2655">
            <v>41715</v>
          </cell>
          <cell r="M2655">
            <v>4580.8999999999996</v>
          </cell>
          <cell r="N2655">
            <v>294183.45777233387</v>
          </cell>
          <cell r="O2655">
            <v>296699.73258103355</v>
          </cell>
          <cell r="P2655">
            <v>105.5513</v>
          </cell>
        </row>
        <row r="2656">
          <cell r="B2656">
            <v>34555</v>
          </cell>
          <cell r="C2656">
            <v>5.319</v>
          </cell>
          <cell r="D2656">
            <v>0.89100000000000001</v>
          </cell>
          <cell r="E2656">
            <v>41822</v>
          </cell>
          <cell r="F2656">
            <v>4558.2</v>
          </cell>
          <cell r="J2656">
            <v>581036.60208101093</v>
          </cell>
          <cell r="K2656">
            <v>0.89100000000000001</v>
          </cell>
          <cell r="L2656">
            <v>41822</v>
          </cell>
          <cell r="M2656">
            <v>4558.2</v>
          </cell>
          <cell r="N2656">
            <v>294183.45777233387</v>
          </cell>
          <cell r="O2656">
            <v>296699.73258103355</v>
          </cell>
          <cell r="P2656">
            <v>105.5513</v>
          </cell>
        </row>
        <row r="2657">
          <cell r="B2657">
            <v>34556</v>
          </cell>
          <cell r="C2657">
            <v>5.319</v>
          </cell>
          <cell r="D2657">
            <v>0.89200000000000002</v>
          </cell>
          <cell r="E2657">
            <v>41529</v>
          </cell>
          <cell r="F2657">
            <v>4513.2</v>
          </cell>
          <cell r="J2657">
            <v>582066.77997650055</v>
          </cell>
          <cell r="K2657">
            <v>0.89200000000000002</v>
          </cell>
          <cell r="L2657">
            <v>41529</v>
          </cell>
          <cell r="M2657">
            <v>4513.2</v>
          </cell>
          <cell r="N2657">
            <v>294183.45777233387</v>
          </cell>
          <cell r="O2657">
            <v>296699.73258103355</v>
          </cell>
          <cell r="P2657">
            <v>105.5513</v>
          </cell>
        </row>
        <row r="2658">
          <cell r="B2658">
            <v>34557</v>
          </cell>
          <cell r="C2658">
            <v>5.319</v>
          </cell>
          <cell r="D2658">
            <v>0.89400000000000002</v>
          </cell>
          <cell r="E2658">
            <v>41803</v>
          </cell>
          <cell r="F2658">
            <v>4463.7</v>
          </cell>
          <cell r="J2658">
            <v>583098.7843773989</v>
          </cell>
          <cell r="K2658">
            <v>0.89400000000000002</v>
          </cell>
          <cell r="L2658">
            <v>41803</v>
          </cell>
          <cell r="M2658">
            <v>4463.7</v>
          </cell>
          <cell r="N2658">
            <v>294183.45777233387</v>
          </cell>
          <cell r="O2658">
            <v>296699.73258103355</v>
          </cell>
          <cell r="P2658">
            <v>105.5513</v>
          </cell>
        </row>
        <row r="2659">
          <cell r="B2659">
            <v>34558</v>
          </cell>
          <cell r="C2659">
            <v>5.3280000000000003</v>
          </cell>
          <cell r="D2659">
            <v>0.90600000000000003</v>
          </cell>
          <cell r="E2659">
            <v>42633</v>
          </cell>
          <cell r="F2659">
            <v>4547.1000000000004</v>
          </cell>
          <cell r="J2659">
            <v>584134.36781845312</v>
          </cell>
          <cell r="K2659">
            <v>0.90600000000000003</v>
          </cell>
          <cell r="L2659">
            <v>42633</v>
          </cell>
          <cell r="M2659">
            <v>4547.1000000000004</v>
          </cell>
          <cell r="N2659">
            <v>294183.45777233387</v>
          </cell>
          <cell r="O2659">
            <v>296699.73258103355</v>
          </cell>
          <cell r="P2659">
            <v>105.5513</v>
          </cell>
        </row>
        <row r="2660">
          <cell r="B2660">
            <v>34561</v>
          </cell>
          <cell r="C2660">
            <v>5.31</v>
          </cell>
          <cell r="D2660">
            <v>0.90100000000000002</v>
          </cell>
          <cell r="E2660">
            <v>43716</v>
          </cell>
          <cell r="F2660">
            <v>4651</v>
          </cell>
          <cell r="J2660">
            <v>585168.28564949182</v>
          </cell>
          <cell r="K2660">
            <v>0.90100000000000002</v>
          </cell>
          <cell r="L2660">
            <v>43716</v>
          </cell>
          <cell r="M2660">
            <v>4651</v>
          </cell>
          <cell r="N2660">
            <v>294183.45777233387</v>
          </cell>
          <cell r="O2660">
            <v>296699.73258103355</v>
          </cell>
          <cell r="P2660">
            <v>105.5513</v>
          </cell>
        </row>
        <row r="2661">
          <cell r="B2661">
            <v>34562</v>
          </cell>
          <cell r="C2661">
            <v>5.2679999999999998</v>
          </cell>
          <cell r="D2661">
            <v>0.89600000000000002</v>
          </cell>
          <cell r="E2661">
            <v>44302</v>
          </cell>
          <cell r="F2661">
            <v>4744.1000000000004</v>
          </cell>
          <cell r="J2661">
            <v>586195.84115909238</v>
          </cell>
          <cell r="K2661">
            <v>0.89600000000000002</v>
          </cell>
          <cell r="L2661">
            <v>44302</v>
          </cell>
          <cell r="M2661">
            <v>4744.1000000000004</v>
          </cell>
          <cell r="N2661">
            <v>294183.45777233387</v>
          </cell>
          <cell r="O2661">
            <v>296699.73258103355</v>
          </cell>
          <cell r="P2661">
            <v>105.5513</v>
          </cell>
        </row>
        <row r="2662">
          <cell r="B2662">
            <v>34563</v>
          </cell>
          <cell r="C2662">
            <v>5.2679999999999998</v>
          </cell>
          <cell r="D2662">
            <v>0.90100000000000002</v>
          </cell>
          <cell r="E2662">
            <v>46728</v>
          </cell>
          <cell r="F2662">
            <v>4968.8999999999996</v>
          </cell>
          <cell r="J2662">
            <v>587225.20105616783</v>
          </cell>
          <cell r="K2662">
            <v>0.90100000000000002</v>
          </cell>
          <cell r="L2662">
            <v>46728</v>
          </cell>
          <cell r="M2662">
            <v>4968.8999999999996</v>
          </cell>
          <cell r="N2662">
            <v>294183.45777233387</v>
          </cell>
          <cell r="O2662">
            <v>296699.73258103355</v>
          </cell>
          <cell r="P2662">
            <v>105.5513</v>
          </cell>
        </row>
        <row r="2663">
          <cell r="B2663">
            <v>34564</v>
          </cell>
          <cell r="C2663">
            <v>5.28</v>
          </cell>
          <cell r="D2663">
            <v>0.89700000000000002</v>
          </cell>
          <cell r="E2663">
            <v>47941</v>
          </cell>
          <cell r="F2663">
            <v>5026.5</v>
          </cell>
          <cell r="J2663">
            <v>588258.7174100267</v>
          </cell>
          <cell r="K2663">
            <v>0.89700000000000002</v>
          </cell>
          <cell r="L2663">
            <v>47941</v>
          </cell>
          <cell r="M2663">
            <v>5026.5</v>
          </cell>
          <cell r="N2663">
            <v>294183.45777233387</v>
          </cell>
          <cell r="O2663">
            <v>296699.73258103355</v>
          </cell>
          <cell r="P2663">
            <v>105.5513</v>
          </cell>
        </row>
        <row r="2664">
          <cell r="B2664">
            <v>34565</v>
          </cell>
          <cell r="C2664">
            <v>5.28</v>
          </cell>
          <cell r="D2664">
            <v>0.89400000000000002</v>
          </cell>
          <cell r="E2664">
            <v>48605</v>
          </cell>
          <cell r="F2664">
            <v>5138.2</v>
          </cell>
          <cell r="J2664">
            <v>589294.05275266839</v>
          </cell>
          <cell r="K2664">
            <v>0.89400000000000002</v>
          </cell>
          <cell r="L2664">
            <v>48605</v>
          </cell>
          <cell r="M2664">
            <v>5138.2</v>
          </cell>
          <cell r="N2664">
            <v>294183.45777233387</v>
          </cell>
          <cell r="O2664">
            <v>296699.73258103355</v>
          </cell>
          <cell r="P2664">
            <v>105.5513</v>
          </cell>
        </row>
        <row r="2665">
          <cell r="B2665">
            <v>34568</v>
          </cell>
          <cell r="C2665">
            <v>5.28</v>
          </cell>
          <cell r="D2665">
            <v>0.88700000000000001</v>
          </cell>
          <cell r="E2665">
            <v>50602</v>
          </cell>
          <cell r="F2665">
            <v>5385.8</v>
          </cell>
          <cell r="J2665">
            <v>590331.21028551308</v>
          </cell>
          <cell r="K2665">
            <v>0.88700000000000001</v>
          </cell>
          <cell r="L2665">
            <v>50602</v>
          </cell>
          <cell r="M2665">
            <v>5385.8</v>
          </cell>
          <cell r="N2665">
            <v>294183.45777233387</v>
          </cell>
          <cell r="O2665">
            <v>296699.73258103355</v>
          </cell>
          <cell r="P2665">
            <v>105.5513</v>
          </cell>
        </row>
        <row r="2666">
          <cell r="B2666">
            <v>34569</v>
          </cell>
          <cell r="C2666">
            <v>5.2590000000000003</v>
          </cell>
          <cell r="D2666">
            <v>0.88700000000000001</v>
          </cell>
          <cell r="E2666">
            <v>50633</v>
          </cell>
          <cell r="F2666">
            <v>5303.9</v>
          </cell>
          <cell r="J2666">
            <v>591366.06089714356</v>
          </cell>
          <cell r="K2666">
            <v>0.88700000000000001</v>
          </cell>
          <cell r="L2666">
            <v>50633</v>
          </cell>
          <cell r="M2666">
            <v>5303.9</v>
          </cell>
          <cell r="N2666">
            <v>294183.45777233387</v>
          </cell>
          <cell r="O2666">
            <v>296699.73258103355</v>
          </cell>
          <cell r="P2666">
            <v>105.5513</v>
          </cell>
        </row>
        <row r="2667">
          <cell r="B2667">
            <v>34570</v>
          </cell>
          <cell r="C2667">
            <v>5.2590000000000003</v>
          </cell>
          <cell r="D2667">
            <v>0.88400000000000001</v>
          </cell>
          <cell r="E2667">
            <v>50471</v>
          </cell>
          <cell r="F2667">
            <v>5207.7</v>
          </cell>
          <cell r="J2667">
            <v>592402.72560189618</v>
          </cell>
          <cell r="K2667">
            <v>0.88400000000000001</v>
          </cell>
          <cell r="L2667">
            <v>50471</v>
          </cell>
          <cell r="M2667">
            <v>5207.7</v>
          </cell>
          <cell r="N2667">
            <v>294183.45777233387</v>
          </cell>
          <cell r="O2667">
            <v>296699.73258103355</v>
          </cell>
          <cell r="P2667">
            <v>105.5513</v>
          </cell>
        </row>
        <row r="2668">
          <cell r="B2668">
            <v>34571</v>
          </cell>
          <cell r="C2668">
            <v>5.2590000000000003</v>
          </cell>
          <cell r="D2668">
            <v>0.88800000000000001</v>
          </cell>
          <cell r="E2668">
            <v>50931</v>
          </cell>
          <cell r="F2668">
            <v>5354.6</v>
          </cell>
          <cell r="J2668">
            <v>593441.2075798763</v>
          </cell>
          <cell r="K2668">
            <v>0.88800000000000001</v>
          </cell>
          <cell r="L2668">
            <v>50931</v>
          </cell>
          <cell r="M2668">
            <v>5354.6</v>
          </cell>
          <cell r="N2668">
            <v>294183.45777233387</v>
          </cell>
          <cell r="O2668">
            <v>296699.73258103355</v>
          </cell>
          <cell r="P2668">
            <v>105.5513</v>
          </cell>
        </row>
        <row r="2669">
          <cell r="B2669">
            <v>34572</v>
          </cell>
          <cell r="C2669">
            <v>5.2679999999999998</v>
          </cell>
          <cell r="D2669">
            <v>0.88800000000000001</v>
          </cell>
          <cell r="E2669">
            <v>50516</v>
          </cell>
          <cell r="F2669">
            <v>5214.3</v>
          </cell>
          <cell r="J2669">
            <v>594483.29034038656</v>
          </cell>
          <cell r="K2669">
            <v>0.88800000000000001</v>
          </cell>
          <cell r="L2669">
            <v>50516</v>
          </cell>
          <cell r="M2669">
            <v>5214.3</v>
          </cell>
          <cell r="N2669">
            <v>294183.45777233387</v>
          </cell>
          <cell r="O2669">
            <v>296699.73258103355</v>
          </cell>
          <cell r="P2669">
            <v>105.5513</v>
          </cell>
        </row>
        <row r="2670">
          <cell r="B2670">
            <v>34575</v>
          </cell>
          <cell r="C2670">
            <v>5.2590000000000003</v>
          </cell>
          <cell r="D2670">
            <v>0.89600000000000002</v>
          </cell>
          <cell r="E2670">
            <v>50648</v>
          </cell>
          <cell r="F2670">
            <v>5323</v>
          </cell>
          <cell r="J2670">
            <v>595525.41954835318</v>
          </cell>
          <cell r="K2670">
            <v>0.89600000000000002</v>
          </cell>
          <cell r="L2670">
            <v>50648</v>
          </cell>
          <cell r="M2670">
            <v>5323</v>
          </cell>
          <cell r="N2670">
            <v>294183.45777233387</v>
          </cell>
          <cell r="O2670">
            <v>296699.73258103355</v>
          </cell>
          <cell r="P2670">
            <v>105.5513</v>
          </cell>
        </row>
        <row r="2671">
          <cell r="B2671">
            <v>34576</v>
          </cell>
          <cell r="C2671">
            <v>5.25</v>
          </cell>
          <cell r="D2671">
            <v>0.88700000000000001</v>
          </cell>
          <cell r="E2671">
            <v>50911</v>
          </cell>
          <cell r="F2671">
            <v>5379.6</v>
          </cell>
          <cell r="J2671">
            <v>596567.5890325628</v>
          </cell>
          <cell r="K2671">
            <v>0.88700000000000001</v>
          </cell>
          <cell r="L2671">
            <v>50911</v>
          </cell>
          <cell r="M2671">
            <v>5379.6</v>
          </cell>
          <cell r="N2671">
            <v>294183.45777233387</v>
          </cell>
          <cell r="O2671">
            <v>296699.73258103355</v>
          </cell>
          <cell r="P2671">
            <v>105.5513</v>
          </cell>
        </row>
        <row r="2672">
          <cell r="B2672">
            <v>34577</v>
          </cell>
          <cell r="C2672">
            <v>5.319</v>
          </cell>
          <cell r="D2672">
            <v>0.88900000000000001</v>
          </cell>
          <cell r="E2672">
            <v>50886</v>
          </cell>
          <cell r="F2672">
            <v>5329.4</v>
          </cell>
          <cell r="G2672">
            <v>3.34</v>
          </cell>
          <cell r="H2672">
            <v>3.94</v>
          </cell>
          <cell r="I2672">
            <v>108.34010000000001</v>
          </cell>
          <cell r="J2672">
            <v>597625.30336791754</v>
          </cell>
          <cell r="K2672">
            <v>0.88900000000000001</v>
          </cell>
          <cell r="L2672">
            <v>50886</v>
          </cell>
          <cell r="M2672">
            <v>5329.4</v>
          </cell>
          <cell r="N2672">
            <v>304009.18526192987</v>
          </cell>
          <cell r="O2672">
            <v>308389.70204472629</v>
          </cell>
          <cell r="P2672">
            <v>108.34010000000001</v>
          </cell>
        </row>
        <row r="2673">
          <cell r="B2673">
            <v>34578</v>
          </cell>
          <cell r="C2673">
            <v>5.2590000000000003</v>
          </cell>
          <cell r="D2673">
            <v>0.88500000000000001</v>
          </cell>
          <cell r="E2673">
            <v>51349</v>
          </cell>
          <cell r="F2673">
            <v>5436.9</v>
          </cell>
          <cell r="J2673">
            <v>598672.9405247214</v>
          </cell>
          <cell r="K2673">
            <v>0.88500000000000001</v>
          </cell>
          <cell r="L2673">
            <v>51349</v>
          </cell>
          <cell r="M2673">
            <v>5436.9</v>
          </cell>
          <cell r="N2673">
            <v>304009.18526192987</v>
          </cell>
          <cell r="O2673">
            <v>308389.70204472629</v>
          </cell>
          <cell r="P2673">
            <v>108.34010000000001</v>
          </cell>
        </row>
        <row r="2674">
          <cell r="B2674">
            <v>34579</v>
          </cell>
          <cell r="C2674">
            <v>5.3280000000000003</v>
          </cell>
          <cell r="D2674">
            <v>0.88600000000000001</v>
          </cell>
          <cell r="E2674">
            <v>51533</v>
          </cell>
          <cell r="F2674">
            <v>5367.4</v>
          </cell>
          <cell r="J2674">
            <v>599736.18366709328</v>
          </cell>
          <cell r="K2674">
            <v>0.88600000000000001</v>
          </cell>
          <cell r="L2674">
            <v>51533</v>
          </cell>
          <cell r="M2674">
            <v>5367.4</v>
          </cell>
          <cell r="N2674">
            <v>304009.18526192987</v>
          </cell>
          <cell r="O2674">
            <v>308389.70204472629</v>
          </cell>
          <cell r="P2674">
            <v>108.34010000000001</v>
          </cell>
        </row>
        <row r="2675">
          <cell r="B2675">
            <v>34582</v>
          </cell>
          <cell r="C2675">
            <v>5.3579999999999997</v>
          </cell>
          <cell r="D2675">
            <v>0.89200000000000002</v>
          </cell>
          <cell r="E2675">
            <v>49182</v>
          </cell>
          <cell r="F2675">
            <v>4804</v>
          </cell>
          <cell r="J2675">
            <v>600807.31249112275</v>
          </cell>
          <cell r="K2675">
            <v>0.89200000000000002</v>
          </cell>
          <cell r="L2675">
            <v>49182</v>
          </cell>
          <cell r="M2675">
            <v>4804</v>
          </cell>
          <cell r="N2675">
            <v>304009.18526192987</v>
          </cell>
          <cell r="O2675">
            <v>308389.70204472629</v>
          </cell>
          <cell r="P2675">
            <v>108.34010000000001</v>
          </cell>
        </row>
        <row r="2676">
          <cell r="B2676">
            <v>34583</v>
          </cell>
          <cell r="C2676">
            <v>5.3579999999999997</v>
          </cell>
          <cell r="D2676">
            <v>0.88600000000000001</v>
          </cell>
          <cell r="E2676">
            <v>50474</v>
          </cell>
          <cell r="F2676">
            <v>4988.6000000000004</v>
          </cell>
          <cell r="J2676">
            <v>601880.35435123194</v>
          </cell>
          <cell r="K2676">
            <v>0.88600000000000001</v>
          </cell>
          <cell r="L2676">
            <v>50474</v>
          </cell>
          <cell r="M2676">
            <v>4988.6000000000004</v>
          </cell>
          <cell r="N2676">
            <v>304009.18526192987</v>
          </cell>
          <cell r="O2676">
            <v>308389.70204472629</v>
          </cell>
          <cell r="P2676">
            <v>108.34010000000001</v>
          </cell>
        </row>
        <row r="2677">
          <cell r="B2677">
            <v>34585</v>
          </cell>
          <cell r="C2677">
            <v>5.3789999999999996</v>
          </cell>
          <cell r="D2677">
            <v>0.88100000000000001</v>
          </cell>
          <cell r="E2677">
            <v>51492</v>
          </cell>
          <cell r="F2677">
            <v>5272.1</v>
          </cell>
          <cell r="J2677">
            <v>602959.52582658362</v>
          </cell>
          <cell r="K2677">
            <v>0.88100000000000001</v>
          </cell>
          <cell r="L2677">
            <v>51492</v>
          </cell>
          <cell r="M2677">
            <v>5272.1</v>
          </cell>
          <cell r="N2677">
            <v>304009.18526192987</v>
          </cell>
          <cell r="O2677">
            <v>308389.70204472629</v>
          </cell>
          <cell r="P2677">
            <v>108.34010000000001</v>
          </cell>
        </row>
        <row r="2678">
          <cell r="B2678">
            <v>34586</v>
          </cell>
          <cell r="C2678">
            <v>5.3579999999999997</v>
          </cell>
          <cell r="D2678">
            <v>0.872</v>
          </cell>
          <cell r="E2678">
            <v>52289</v>
          </cell>
          <cell r="F2678">
            <v>5351.1</v>
          </cell>
          <cell r="J2678">
            <v>604036.41153970989</v>
          </cell>
          <cell r="K2678">
            <v>0.872</v>
          </cell>
          <cell r="L2678">
            <v>52289</v>
          </cell>
          <cell r="M2678">
            <v>5351.1</v>
          </cell>
          <cell r="N2678">
            <v>304009.18526192987</v>
          </cell>
          <cell r="O2678">
            <v>308389.70204472629</v>
          </cell>
          <cell r="P2678">
            <v>108.34010000000001</v>
          </cell>
        </row>
        <row r="2679">
          <cell r="B2679">
            <v>34589</v>
          </cell>
          <cell r="C2679">
            <v>5.37</v>
          </cell>
          <cell r="D2679">
            <v>0.85299999999999998</v>
          </cell>
          <cell r="E2679">
            <v>53523</v>
          </cell>
          <cell r="F2679">
            <v>5510.9</v>
          </cell>
          <cell r="J2679">
            <v>605117.63671636593</v>
          </cell>
          <cell r="K2679">
            <v>0.85299999999999998</v>
          </cell>
          <cell r="L2679">
            <v>53523</v>
          </cell>
          <cell r="M2679">
            <v>5510.9</v>
          </cell>
          <cell r="N2679">
            <v>304009.18526192987</v>
          </cell>
          <cell r="O2679">
            <v>308389.70204472629</v>
          </cell>
          <cell r="P2679">
            <v>108.34010000000001</v>
          </cell>
        </row>
        <row r="2680">
          <cell r="B2680">
            <v>34590</v>
          </cell>
          <cell r="C2680">
            <v>5.4</v>
          </cell>
          <cell r="D2680">
            <v>0.86</v>
          </cell>
          <cell r="E2680">
            <v>54718</v>
          </cell>
          <cell r="F2680">
            <v>5510.9</v>
          </cell>
          <cell r="J2680">
            <v>606206.84846245544</v>
          </cell>
          <cell r="K2680">
            <v>0.86</v>
          </cell>
          <cell r="L2680">
            <v>54718</v>
          </cell>
          <cell r="M2680">
            <v>5510.9</v>
          </cell>
          <cell r="N2680">
            <v>304009.18526192987</v>
          </cell>
          <cell r="O2680">
            <v>308389.70204472629</v>
          </cell>
          <cell r="P2680">
            <v>108.34010000000001</v>
          </cell>
        </row>
        <row r="2681">
          <cell r="B2681">
            <v>34591</v>
          </cell>
          <cell r="C2681">
            <v>5.4180000000000001</v>
          </cell>
          <cell r="D2681">
            <v>0.85499999999999998</v>
          </cell>
          <cell r="E2681">
            <v>55749</v>
          </cell>
          <cell r="F2681">
            <v>5476.4</v>
          </cell>
          <cell r="J2681">
            <v>607301.65803077864</v>
          </cell>
          <cell r="K2681">
            <v>0.85499999999999998</v>
          </cell>
          <cell r="L2681">
            <v>55749</v>
          </cell>
          <cell r="M2681">
            <v>5476.4</v>
          </cell>
          <cell r="N2681">
            <v>304009.18526192987</v>
          </cell>
          <cell r="O2681">
            <v>308389.70204472629</v>
          </cell>
          <cell r="P2681">
            <v>108.34010000000001</v>
          </cell>
        </row>
        <row r="2682">
          <cell r="B2682">
            <v>34592</v>
          </cell>
          <cell r="C2682">
            <v>5.4</v>
          </cell>
          <cell r="D2682">
            <v>0.85699999999999998</v>
          </cell>
          <cell r="E2682">
            <v>55103</v>
          </cell>
          <cell r="F2682">
            <v>5287.4</v>
          </cell>
          <cell r="J2682">
            <v>608394.80101523409</v>
          </cell>
          <cell r="K2682">
            <v>0.85699999999999998</v>
          </cell>
          <cell r="L2682">
            <v>55103</v>
          </cell>
          <cell r="M2682">
            <v>5287.4</v>
          </cell>
          <cell r="N2682">
            <v>304009.18526192987</v>
          </cell>
          <cell r="O2682">
            <v>308389.70204472629</v>
          </cell>
          <cell r="P2682">
            <v>108.34010000000001</v>
          </cell>
        </row>
        <row r="2683">
          <cell r="B2683">
            <v>34593</v>
          </cell>
          <cell r="C2683">
            <v>5.3879999999999999</v>
          </cell>
          <cell r="D2683">
            <v>0.85699999999999998</v>
          </cell>
          <cell r="E2683">
            <v>54893</v>
          </cell>
          <cell r="F2683">
            <v>5293.7</v>
          </cell>
          <cell r="J2683">
            <v>609487.47807785741</v>
          </cell>
          <cell r="K2683">
            <v>0.85699999999999998</v>
          </cell>
          <cell r="L2683">
            <v>54893</v>
          </cell>
          <cell r="M2683">
            <v>5293.7</v>
          </cell>
          <cell r="N2683">
            <v>304009.18526192987</v>
          </cell>
          <cell r="O2683">
            <v>308389.70204472629</v>
          </cell>
          <cell r="P2683">
            <v>108.34010000000001</v>
          </cell>
        </row>
        <row r="2684">
          <cell r="B2684">
            <v>34596</v>
          </cell>
          <cell r="C2684">
            <v>5.3789999999999996</v>
          </cell>
          <cell r="D2684">
            <v>0.85399999999999998</v>
          </cell>
          <cell r="E2684">
            <v>54917</v>
          </cell>
          <cell r="F2684">
            <v>5291.8</v>
          </cell>
          <cell r="J2684">
            <v>610580.28912605101</v>
          </cell>
          <cell r="K2684">
            <v>0.85399999999999998</v>
          </cell>
          <cell r="L2684">
            <v>54917</v>
          </cell>
          <cell r="M2684">
            <v>5291.8</v>
          </cell>
          <cell r="N2684">
            <v>304009.18526192987</v>
          </cell>
          <cell r="O2684">
            <v>308389.70204472629</v>
          </cell>
          <cell r="P2684">
            <v>108.34010000000001</v>
          </cell>
        </row>
        <row r="2685">
          <cell r="B2685">
            <v>34597</v>
          </cell>
          <cell r="C2685">
            <v>5.3789999999999996</v>
          </cell>
          <cell r="D2685">
            <v>0.85399999999999998</v>
          </cell>
          <cell r="E2685">
            <v>54515</v>
          </cell>
          <cell r="F2685">
            <v>5177.3</v>
          </cell>
          <cell r="J2685">
            <v>611675.05958445393</v>
          </cell>
          <cell r="K2685">
            <v>0.85399999999999998</v>
          </cell>
          <cell r="L2685">
            <v>54515</v>
          </cell>
          <cell r="M2685">
            <v>5177.3</v>
          </cell>
          <cell r="N2685">
            <v>304009.18526192987</v>
          </cell>
          <cell r="O2685">
            <v>308389.70204472629</v>
          </cell>
          <cell r="P2685">
            <v>108.34010000000001</v>
          </cell>
        </row>
        <row r="2686">
          <cell r="B2686">
            <v>34598</v>
          </cell>
          <cell r="C2686">
            <v>5.3789999999999996</v>
          </cell>
          <cell r="D2686">
            <v>0.85699999999999998</v>
          </cell>
          <cell r="E2686">
            <v>55120</v>
          </cell>
          <cell r="F2686">
            <v>5343.5</v>
          </cell>
          <cell r="J2686">
            <v>612771.79296628886</v>
          </cell>
          <cell r="K2686">
            <v>0.85699999999999998</v>
          </cell>
          <cell r="L2686">
            <v>55120</v>
          </cell>
          <cell r="M2686">
            <v>5343.5</v>
          </cell>
          <cell r="N2686">
            <v>304009.18526192987</v>
          </cell>
          <cell r="O2686">
            <v>308389.70204472629</v>
          </cell>
          <cell r="P2686">
            <v>108.34010000000001</v>
          </cell>
        </row>
        <row r="2687">
          <cell r="B2687">
            <v>34599</v>
          </cell>
          <cell r="C2687">
            <v>5.3789999999999996</v>
          </cell>
          <cell r="D2687">
            <v>0.85499999999999998</v>
          </cell>
          <cell r="E2687">
            <v>55627</v>
          </cell>
          <cell r="F2687">
            <v>5395.2</v>
          </cell>
          <cell r="J2687">
            <v>613870.49279107735</v>
          </cell>
          <cell r="K2687">
            <v>0.85499999999999998</v>
          </cell>
          <cell r="L2687">
            <v>55627</v>
          </cell>
          <cell r="M2687">
            <v>5395.2</v>
          </cell>
          <cell r="N2687">
            <v>304009.18526192987</v>
          </cell>
          <cell r="O2687">
            <v>308389.70204472629</v>
          </cell>
          <cell r="P2687">
            <v>108.34010000000001</v>
          </cell>
        </row>
        <row r="2688">
          <cell r="B2688">
            <v>34600</v>
          </cell>
          <cell r="C2688">
            <v>5.37</v>
          </cell>
          <cell r="D2688">
            <v>0.85699999999999998</v>
          </cell>
          <cell r="E2688">
            <v>55742</v>
          </cell>
          <cell r="F2688">
            <v>5453.2</v>
          </cell>
          <cell r="J2688">
            <v>614969.32097317337</v>
          </cell>
          <cell r="K2688">
            <v>0.85699999999999998</v>
          </cell>
          <cell r="L2688">
            <v>55742</v>
          </cell>
          <cell r="M2688">
            <v>5453.2</v>
          </cell>
          <cell r="N2688">
            <v>304009.18526192987</v>
          </cell>
          <cell r="O2688">
            <v>308389.70204472629</v>
          </cell>
          <cell r="P2688">
            <v>108.34010000000001</v>
          </cell>
        </row>
        <row r="2689">
          <cell r="B2689">
            <v>34603</v>
          </cell>
          <cell r="C2689">
            <v>5.37</v>
          </cell>
          <cell r="D2689">
            <v>0.86199999999999999</v>
          </cell>
          <cell r="E2689">
            <v>54948</v>
          </cell>
          <cell r="F2689">
            <v>5265</v>
          </cell>
          <cell r="J2689">
            <v>616070.11605771538</v>
          </cell>
          <cell r="K2689">
            <v>0.86199999999999999</v>
          </cell>
          <cell r="L2689">
            <v>54948</v>
          </cell>
          <cell r="M2689">
            <v>5265</v>
          </cell>
          <cell r="N2689">
            <v>304009.18526192987</v>
          </cell>
          <cell r="O2689">
            <v>308389.70204472629</v>
          </cell>
          <cell r="P2689">
            <v>108.34010000000001</v>
          </cell>
        </row>
        <row r="2690">
          <cell r="B2690">
            <v>34604</v>
          </cell>
          <cell r="C2690">
            <v>5.4</v>
          </cell>
          <cell r="D2690">
            <v>0.86799999999999999</v>
          </cell>
          <cell r="E2690">
            <v>55005</v>
          </cell>
          <cell r="F2690">
            <v>5217.5</v>
          </cell>
          <cell r="J2690">
            <v>617179.04226661928</v>
          </cell>
          <cell r="K2690">
            <v>0.86799999999999999</v>
          </cell>
          <cell r="L2690">
            <v>55005</v>
          </cell>
          <cell r="M2690">
            <v>5217.5</v>
          </cell>
          <cell r="N2690">
            <v>304009.18526192987</v>
          </cell>
          <cell r="O2690">
            <v>308389.70204472629</v>
          </cell>
          <cell r="P2690">
            <v>108.34010000000001</v>
          </cell>
        </row>
        <row r="2691">
          <cell r="B2691">
            <v>34605</v>
          </cell>
          <cell r="C2691">
            <v>5.4</v>
          </cell>
          <cell r="D2691">
            <v>0.86399999999999999</v>
          </cell>
          <cell r="E2691">
            <v>55712</v>
          </cell>
          <cell r="F2691">
            <v>5277</v>
          </cell>
          <cell r="J2691">
            <v>618289.96454269916</v>
          </cell>
          <cell r="K2691">
            <v>0.86399999999999999</v>
          </cell>
          <cell r="L2691">
            <v>55712</v>
          </cell>
          <cell r="M2691">
            <v>5277</v>
          </cell>
          <cell r="N2691">
            <v>304009.18526192987</v>
          </cell>
          <cell r="O2691">
            <v>308389.70204472629</v>
          </cell>
          <cell r="P2691">
            <v>108.34010000000001</v>
          </cell>
        </row>
        <row r="2692">
          <cell r="B2692">
            <v>34606</v>
          </cell>
          <cell r="C2692">
            <v>5.4089999999999998</v>
          </cell>
          <cell r="D2692">
            <v>0.86099999999999999</v>
          </cell>
          <cell r="E2692">
            <v>56252</v>
          </cell>
          <cell r="F2692">
            <v>5442.6</v>
          </cell>
          <cell r="J2692">
            <v>619404.74134876963</v>
          </cell>
          <cell r="K2692">
            <v>0.86099999999999999</v>
          </cell>
          <cell r="L2692">
            <v>56252</v>
          </cell>
          <cell r="M2692">
            <v>5442.6</v>
          </cell>
          <cell r="N2692">
            <v>304009.18526192987</v>
          </cell>
          <cell r="O2692">
            <v>308389.70204472629</v>
          </cell>
          <cell r="P2692">
            <v>108.34010000000001</v>
          </cell>
        </row>
        <row r="2693">
          <cell r="B2693">
            <v>34607</v>
          </cell>
          <cell r="C2693">
            <v>5.8289999999999997</v>
          </cell>
          <cell r="D2693">
            <v>0.85299999999999998</v>
          </cell>
          <cell r="E2693">
            <v>57299</v>
          </cell>
          <cell r="F2693">
            <v>5484</v>
          </cell>
          <cell r="G2693">
            <v>1.55</v>
          </cell>
          <cell r="H2693">
            <v>1.75</v>
          </cell>
          <cell r="I2693">
            <v>111.5372</v>
          </cell>
          <cell r="J2693">
            <v>620608.24476121028</v>
          </cell>
          <cell r="K2693">
            <v>0.85299999999999998</v>
          </cell>
          <cell r="L2693">
            <v>57299</v>
          </cell>
          <cell r="M2693">
            <v>5484</v>
          </cell>
          <cell r="N2693">
            <v>308721.3276334898</v>
          </cell>
          <cell r="O2693">
            <v>313786.52183050901</v>
          </cell>
          <cell r="P2693">
            <v>111.5372</v>
          </cell>
        </row>
        <row r="2694">
          <cell r="B2694">
            <v>34611</v>
          </cell>
          <cell r="C2694">
            <v>5.6189999999999998</v>
          </cell>
          <cell r="D2694">
            <v>0.84899999999999998</v>
          </cell>
          <cell r="E2694">
            <v>57110</v>
          </cell>
          <cell r="F2694">
            <v>5335.1</v>
          </cell>
          <cell r="J2694">
            <v>621770.64400364808</v>
          </cell>
          <cell r="K2694">
            <v>0.84899999999999998</v>
          </cell>
          <cell r="L2694">
            <v>57110</v>
          </cell>
          <cell r="M2694">
            <v>5335.1</v>
          </cell>
          <cell r="N2694">
            <v>308721.3276334898</v>
          </cell>
          <cell r="O2694">
            <v>313786.52183050901</v>
          </cell>
          <cell r="P2694">
            <v>111.5372</v>
          </cell>
        </row>
        <row r="2695">
          <cell r="B2695">
            <v>34612</v>
          </cell>
          <cell r="C2695">
            <v>5.6879999999999997</v>
          </cell>
          <cell r="D2695">
            <v>0.84699999999999998</v>
          </cell>
          <cell r="E2695">
            <v>56695</v>
          </cell>
          <cell r="F2695">
            <v>5166.8</v>
          </cell>
          <cell r="J2695">
            <v>622949.52114467893</v>
          </cell>
          <cell r="K2695">
            <v>0.84699999999999998</v>
          </cell>
          <cell r="L2695">
            <v>56695</v>
          </cell>
          <cell r="M2695">
            <v>5166.8</v>
          </cell>
          <cell r="N2695">
            <v>308721.3276334898</v>
          </cell>
          <cell r="O2695">
            <v>313786.52183050901</v>
          </cell>
          <cell r="P2695">
            <v>111.5372</v>
          </cell>
        </row>
        <row r="2696">
          <cell r="B2696">
            <v>34613</v>
          </cell>
          <cell r="C2696">
            <v>5.649</v>
          </cell>
          <cell r="D2696">
            <v>0.84599999999999997</v>
          </cell>
          <cell r="E2696">
            <v>56009</v>
          </cell>
          <cell r="F2696">
            <v>4979.3</v>
          </cell>
          <cell r="J2696">
            <v>624122.53509299445</v>
          </cell>
          <cell r="K2696">
            <v>0.84599999999999997</v>
          </cell>
          <cell r="L2696">
            <v>56009</v>
          </cell>
          <cell r="M2696">
            <v>4979.3</v>
          </cell>
          <cell r="N2696">
            <v>308721.3276334898</v>
          </cell>
          <cell r="O2696">
            <v>313786.52183050901</v>
          </cell>
          <cell r="P2696">
            <v>111.5372</v>
          </cell>
        </row>
        <row r="2697">
          <cell r="B2697">
            <v>34614</v>
          </cell>
          <cell r="C2697">
            <v>5.67</v>
          </cell>
          <cell r="D2697">
            <v>0.84399999999999997</v>
          </cell>
          <cell r="E2697">
            <v>55517</v>
          </cell>
          <cell r="F2697">
            <v>4876.7</v>
          </cell>
          <cell r="J2697">
            <v>625302.12668432016</v>
          </cell>
          <cell r="K2697">
            <v>0.84399999999999997</v>
          </cell>
          <cell r="L2697">
            <v>55517</v>
          </cell>
          <cell r="M2697">
            <v>4876.7</v>
          </cell>
          <cell r="N2697">
            <v>308721.3276334898</v>
          </cell>
          <cell r="O2697">
            <v>313786.52183050901</v>
          </cell>
          <cell r="P2697">
            <v>111.5372</v>
          </cell>
        </row>
        <row r="2698">
          <cell r="B2698">
            <v>34617</v>
          </cell>
          <cell r="C2698">
            <v>5.64</v>
          </cell>
          <cell r="D2698">
            <v>0.83899999999999997</v>
          </cell>
          <cell r="E2698">
            <v>56635</v>
          </cell>
          <cell r="F2698">
            <v>5032.1000000000004</v>
          </cell>
          <cell r="J2698">
            <v>626477.6946824867</v>
          </cell>
          <cell r="K2698">
            <v>0.83899999999999997</v>
          </cell>
          <cell r="L2698">
            <v>56635</v>
          </cell>
          <cell r="M2698">
            <v>5032.1000000000004</v>
          </cell>
          <cell r="N2698">
            <v>308721.3276334898</v>
          </cell>
          <cell r="O2698">
            <v>313786.52183050901</v>
          </cell>
          <cell r="P2698">
            <v>111.5372</v>
          </cell>
        </row>
        <row r="2699">
          <cell r="B2699">
            <v>34618</v>
          </cell>
          <cell r="C2699">
            <v>5.64</v>
          </cell>
          <cell r="D2699">
            <v>0.83499999999999996</v>
          </cell>
          <cell r="E2699">
            <v>56903</v>
          </cell>
          <cell r="F2699">
            <v>4925.8999999999996</v>
          </cell>
          <cell r="J2699">
            <v>627655.47274848982</v>
          </cell>
          <cell r="K2699">
            <v>0.83499999999999996</v>
          </cell>
          <cell r="L2699">
            <v>56903</v>
          </cell>
          <cell r="M2699">
            <v>4925.8999999999996</v>
          </cell>
          <cell r="N2699">
            <v>308721.3276334898</v>
          </cell>
          <cell r="O2699">
            <v>313786.52183050901</v>
          </cell>
          <cell r="P2699">
            <v>111.5372</v>
          </cell>
        </row>
        <row r="2700">
          <cell r="B2700">
            <v>34620</v>
          </cell>
          <cell r="C2700">
            <v>5.649</v>
          </cell>
          <cell r="D2700">
            <v>0.83599999999999997</v>
          </cell>
          <cell r="E2700">
            <v>57836</v>
          </cell>
          <cell r="F2700">
            <v>4944.5</v>
          </cell>
          <cell r="J2700">
            <v>628837.34800367523</v>
          </cell>
          <cell r="K2700">
            <v>0.83599999999999997</v>
          </cell>
          <cell r="L2700">
            <v>57836</v>
          </cell>
          <cell r="M2700">
            <v>4944.5</v>
          </cell>
          <cell r="N2700">
            <v>308721.3276334898</v>
          </cell>
          <cell r="O2700">
            <v>313786.52183050901</v>
          </cell>
          <cell r="P2700">
            <v>111.5372</v>
          </cell>
        </row>
        <row r="2701">
          <cell r="B2701">
            <v>34621</v>
          </cell>
          <cell r="C2701">
            <v>5.649</v>
          </cell>
          <cell r="D2701">
            <v>0.82899999999999996</v>
          </cell>
          <cell r="E2701">
            <v>57720</v>
          </cell>
          <cell r="F2701">
            <v>4833.7</v>
          </cell>
          <cell r="J2701">
            <v>630021.44872996619</v>
          </cell>
          <cell r="K2701">
            <v>0.82899999999999996</v>
          </cell>
          <cell r="L2701">
            <v>57720</v>
          </cell>
          <cell r="M2701">
            <v>4833.7</v>
          </cell>
          <cell r="N2701">
            <v>308721.3276334898</v>
          </cell>
          <cell r="O2701">
            <v>313786.52183050901</v>
          </cell>
          <cell r="P2701">
            <v>111.5372</v>
          </cell>
        </row>
        <row r="2702">
          <cell r="B2702">
            <v>34624</v>
          </cell>
          <cell r="C2702">
            <v>5.64</v>
          </cell>
          <cell r="D2702">
            <v>0.82899999999999996</v>
          </cell>
          <cell r="E2702">
            <v>57711</v>
          </cell>
          <cell r="F2702">
            <v>4784.3</v>
          </cell>
          <cell r="J2702">
            <v>631205.8890535786</v>
          </cell>
          <cell r="K2702">
            <v>0.82899999999999996</v>
          </cell>
          <cell r="L2702">
            <v>57711</v>
          </cell>
          <cell r="M2702">
            <v>4784.3</v>
          </cell>
          <cell r="N2702">
            <v>308721.3276334898</v>
          </cell>
          <cell r="O2702">
            <v>313786.52183050901</v>
          </cell>
          <cell r="P2702">
            <v>111.5372</v>
          </cell>
        </row>
        <row r="2703">
          <cell r="B2703">
            <v>34625</v>
          </cell>
          <cell r="C2703">
            <v>5.64</v>
          </cell>
          <cell r="D2703">
            <v>0.84699999999999998</v>
          </cell>
          <cell r="E2703">
            <v>58307</v>
          </cell>
          <cell r="F2703">
            <v>4909.5</v>
          </cell>
          <cell r="J2703">
            <v>632392.55612499942</v>
          </cell>
          <cell r="K2703">
            <v>0.84699999999999998</v>
          </cell>
          <cell r="L2703">
            <v>58307</v>
          </cell>
          <cell r="M2703">
            <v>4909.5</v>
          </cell>
          <cell r="N2703">
            <v>308721.3276334898</v>
          </cell>
          <cell r="O2703">
            <v>313786.52183050901</v>
          </cell>
          <cell r="P2703">
            <v>111.5372</v>
          </cell>
        </row>
        <row r="2704">
          <cell r="B2704">
            <v>34626</v>
          </cell>
          <cell r="C2704">
            <v>5.649</v>
          </cell>
          <cell r="D2704">
            <v>0.85299999999999998</v>
          </cell>
          <cell r="E2704">
            <v>57586</v>
          </cell>
          <cell r="F2704">
            <v>4758.7</v>
          </cell>
          <cell r="J2704">
            <v>633583.35130818281</v>
          </cell>
          <cell r="K2704">
            <v>0.85299999999999998</v>
          </cell>
          <cell r="L2704">
            <v>57586</v>
          </cell>
          <cell r="M2704">
            <v>4758.7</v>
          </cell>
          <cell r="N2704">
            <v>308721.3276334898</v>
          </cell>
          <cell r="O2704">
            <v>313786.52183050901</v>
          </cell>
          <cell r="P2704">
            <v>111.5372</v>
          </cell>
        </row>
        <row r="2705">
          <cell r="B2705">
            <v>34627</v>
          </cell>
          <cell r="C2705">
            <v>5.649</v>
          </cell>
          <cell r="D2705">
            <v>0.85599999999999998</v>
          </cell>
          <cell r="E2705">
            <v>57499</v>
          </cell>
          <cell r="F2705">
            <v>4724.3999999999996</v>
          </cell>
          <cell r="J2705">
            <v>634776.38875869615</v>
          </cell>
          <cell r="K2705">
            <v>0.85599999999999998</v>
          </cell>
          <cell r="L2705">
            <v>57499</v>
          </cell>
          <cell r="M2705">
            <v>4724.3999999999996</v>
          </cell>
          <cell r="N2705">
            <v>308721.3276334898</v>
          </cell>
          <cell r="O2705">
            <v>313786.52183050901</v>
          </cell>
          <cell r="P2705">
            <v>111.5372</v>
          </cell>
        </row>
        <row r="2706">
          <cell r="B2706">
            <v>34628</v>
          </cell>
          <cell r="C2706">
            <v>5.649</v>
          </cell>
          <cell r="D2706">
            <v>0.85299999999999998</v>
          </cell>
          <cell r="E2706">
            <v>56642</v>
          </cell>
          <cell r="F2706">
            <v>4561.8999999999996</v>
          </cell>
          <cell r="J2706">
            <v>635971.67269872886</v>
          </cell>
          <cell r="K2706">
            <v>0.85299999999999998</v>
          </cell>
          <cell r="L2706">
            <v>56642</v>
          </cell>
          <cell r="M2706">
            <v>4561.8999999999996</v>
          </cell>
          <cell r="N2706">
            <v>308721.3276334898</v>
          </cell>
          <cell r="O2706">
            <v>313786.52183050901</v>
          </cell>
          <cell r="P2706">
            <v>111.5372</v>
          </cell>
        </row>
        <row r="2707">
          <cell r="B2707">
            <v>34631</v>
          </cell>
          <cell r="C2707">
            <v>5.6580000000000004</v>
          </cell>
          <cell r="D2707">
            <v>0.85299999999999998</v>
          </cell>
          <cell r="E2707">
            <v>55769</v>
          </cell>
          <cell r="F2707">
            <v>4344</v>
          </cell>
          <cell r="J2707">
            <v>637171.11527343874</v>
          </cell>
          <cell r="K2707">
            <v>0.85299999999999998</v>
          </cell>
          <cell r="L2707">
            <v>55769</v>
          </cell>
          <cell r="M2707">
            <v>4344</v>
          </cell>
          <cell r="N2707">
            <v>308721.3276334898</v>
          </cell>
          <cell r="O2707">
            <v>313786.52183050901</v>
          </cell>
          <cell r="P2707">
            <v>111.5372</v>
          </cell>
        </row>
        <row r="2708">
          <cell r="B2708">
            <v>34632</v>
          </cell>
          <cell r="C2708">
            <v>5.6580000000000004</v>
          </cell>
          <cell r="D2708">
            <v>0.85399999999999998</v>
          </cell>
          <cell r="E2708">
            <v>56330</v>
          </cell>
          <cell r="F2708">
            <v>4543.3</v>
          </cell>
          <cell r="J2708">
            <v>638372.81999684451</v>
          </cell>
          <cell r="K2708">
            <v>0.85399999999999998</v>
          </cell>
          <cell r="L2708">
            <v>56330</v>
          </cell>
          <cell r="M2708">
            <v>4543.3</v>
          </cell>
          <cell r="N2708">
            <v>308721.3276334898</v>
          </cell>
          <cell r="O2708">
            <v>313786.52183050901</v>
          </cell>
          <cell r="P2708">
            <v>111.5372</v>
          </cell>
        </row>
        <row r="2709">
          <cell r="B2709">
            <v>34633</v>
          </cell>
          <cell r="C2709">
            <v>5.6580000000000004</v>
          </cell>
          <cell r="D2709">
            <v>0.85599999999999998</v>
          </cell>
          <cell r="E2709">
            <v>56575</v>
          </cell>
          <cell r="F2709">
            <v>4663.7</v>
          </cell>
          <cell r="J2709">
            <v>639576.79113535862</v>
          </cell>
          <cell r="K2709">
            <v>0.85599999999999998</v>
          </cell>
          <cell r="L2709">
            <v>56575</v>
          </cell>
          <cell r="M2709">
            <v>4663.7</v>
          </cell>
          <cell r="N2709">
            <v>308721.3276334898</v>
          </cell>
          <cell r="O2709">
            <v>313786.52183050901</v>
          </cell>
          <cell r="P2709">
            <v>111.5372</v>
          </cell>
        </row>
        <row r="2710">
          <cell r="B2710">
            <v>34634</v>
          </cell>
          <cell r="C2710">
            <v>5.67</v>
          </cell>
          <cell r="D2710">
            <v>0.85199999999999998</v>
          </cell>
          <cell r="E2710">
            <v>56901</v>
          </cell>
          <cell r="F2710">
            <v>4706.7</v>
          </cell>
          <cell r="J2710">
            <v>640785.5912706044</v>
          </cell>
          <cell r="K2710">
            <v>0.85199999999999998</v>
          </cell>
          <cell r="L2710">
            <v>56901</v>
          </cell>
          <cell r="M2710">
            <v>4706.7</v>
          </cell>
          <cell r="N2710">
            <v>308721.3276334898</v>
          </cell>
          <cell r="O2710">
            <v>313786.52183050901</v>
          </cell>
          <cell r="P2710">
            <v>111.5372</v>
          </cell>
        </row>
        <row r="2711">
          <cell r="B2711">
            <v>34635</v>
          </cell>
          <cell r="C2711">
            <v>5.6580000000000004</v>
          </cell>
          <cell r="D2711">
            <v>0.85</v>
          </cell>
          <cell r="E2711">
            <v>59089</v>
          </cell>
          <cell r="F2711">
            <v>4927.5</v>
          </cell>
          <cell r="I2711">
            <v>114.9589</v>
          </cell>
          <cell r="J2711">
            <v>641994.11289574078</v>
          </cell>
          <cell r="K2711">
            <v>0.85</v>
          </cell>
          <cell r="L2711">
            <v>59089</v>
          </cell>
          <cell r="M2711">
            <v>4927.5</v>
          </cell>
          <cell r="N2711">
            <v>308721.3276334898</v>
          </cell>
          <cell r="O2711">
            <v>313786.52183050901</v>
          </cell>
          <cell r="P2711">
            <v>114.9589</v>
          </cell>
        </row>
        <row r="2712">
          <cell r="B2712">
            <v>34638</v>
          </cell>
          <cell r="C2712">
            <v>6.0389999999999997</v>
          </cell>
          <cell r="D2712">
            <v>0.84599999999999997</v>
          </cell>
          <cell r="E2712">
            <v>59453</v>
          </cell>
          <cell r="F2712">
            <v>4797.8999999999996</v>
          </cell>
          <cell r="G2712">
            <v>2.5499999999999998</v>
          </cell>
          <cell r="H2712">
            <v>1.82</v>
          </cell>
          <cell r="J2712">
            <v>643286.44704499992</v>
          </cell>
          <cell r="K2712">
            <v>0.84599999999999997</v>
          </cell>
          <cell r="L2712">
            <v>59453</v>
          </cell>
          <cell r="M2712">
            <v>4797.8999999999996</v>
          </cell>
          <cell r="N2712">
            <v>316593.72148814378</v>
          </cell>
          <cell r="O2712">
            <v>319497.43652782426</v>
          </cell>
          <cell r="P2712">
            <v>114.9589</v>
          </cell>
        </row>
        <row r="2713">
          <cell r="B2713">
            <v>34639</v>
          </cell>
          <cell r="C2713">
            <v>6.069</v>
          </cell>
          <cell r="D2713">
            <v>0.84499999999999997</v>
          </cell>
          <cell r="E2713">
            <v>58955</v>
          </cell>
          <cell r="F2713">
            <v>4700.8</v>
          </cell>
          <cell r="J2713">
            <v>644587.81552737206</v>
          </cell>
          <cell r="K2713">
            <v>0.84499999999999997</v>
          </cell>
          <cell r="L2713">
            <v>58955</v>
          </cell>
          <cell r="M2713">
            <v>4700.8</v>
          </cell>
          <cell r="N2713">
            <v>316593.72148814378</v>
          </cell>
          <cell r="O2713">
            <v>319497.43652782426</v>
          </cell>
          <cell r="P2713">
            <v>114.9589</v>
          </cell>
        </row>
        <row r="2714">
          <cell r="B2714">
            <v>34641</v>
          </cell>
          <cell r="C2714">
            <v>6.069</v>
          </cell>
          <cell r="D2714">
            <v>0.84599999999999997</v>
          </cell>
          <cell r="E2714">
            <v>58362</v>
          </cell>
          <cell r="F2714">
            <v>4508</v>
          </cell>
          <cell r="J2714">
            <v>645891.81667818397</v>
          </cell>
          <cell r="K2714">
            <v>0.84599999999999997</v>
          </cell>
          <cell r="L2714">
            <v>58362</v>
          </cell>
          <cell r="M2714">
            <v>4508</v>
          </cell>
          <cell r="N2714">
            <v>316593.72148814378</v>
          </cell>
          <cell r="O2714">
            <v>319497.43652782426</v>
          </cell>
          <cell r="P2714">
            <v>114.9589</v>
          </cell>
        </row>
        <row r="2715">
          <cell r="B2715">
            <v>34642</v>
          </cell>
          <cell r="C2715">
            <v>6.0780000000000003</v>
          </cell>
          <cell r="D2715">
            <v>0.84499999999999997</v>
          </cell>
          <cell r="E2715">
            <v>59397</v>
          </cell>
          <cell r="F2715">
            <v>4666.6000000000004</v>
          </cell>
          <cell r="J2715">
            <v>647200.39349877404</v>
          </cell>
          <cell r="K2715">
            <v>0.84499999999999997</v>
          </cell>
          <cell r="L2715">
            <v>59397</v>
          </cell>
          <cell r="M2715">
            <v>4666.6000000000004</v>
          </cell>
          <cell r="N2715">
            <v>316593.72148814378</v>
          </cell>
          <cell r="O2715">
            <v>319497.43652782426</v>
          </cell>
          <cell r="P2715">
            <v>114.9589</v>
          </cell>
        </row>
        <row r="2716">
          <cell r="B2716">
            <v>34645</v>
          </cell>
          <cell r="C2716">
            <v>6.1079999999999997</v>
          </cell>
          <cell r="D2716">
            <v>0.84</v>
          </cell>
          <cell r="E2716">
            <v>60391</v>
          </cell>
          <cell r="F2716">
            <v>4808.7</v>
          </cell>
          <cell r="J2716">
            <v>648518.09349993744</v>
          </cell>
          <cell r="K2716">
            <v>0.84</v>
          </cell>
          <cell r="L2716">
            <v>60391</v>
          </cell>
          <cell r="M2716">
            <v>4808.7</v>
          </cell>
          <cell r="N2716">
            <v>316593.72148814378</v>
          </cell>
          <cell r="O2716">
            <v>319497.43652782426</v>
          </cell>
          <cell r="P2716">
            <v>114.9589</v>
          </cell>
        </row>
        <row r="2717">
          <cell r="B2717">
            <v>34646</v>
          </cell>
          <cell r="C2717">
            <v>6.12</v>
          </cell>
          <cell r="D2717">
            <v>0.83399999999999996</v>
          </cell>
          <cell r="E2717">
            <v>60921</v>
          </cell>
          <cell r="F2717">
            <v>4782.1000000000004</v>
          </cell>
          <cell r="J2717">
            <v>649841.07041067735</v>
          </cell>
          <cell r="K2717">
            <v>0.83399999999999996</v>
          </cell>
          <cell r="L2717">
            <v>60921</v>
          </cell>
          <cell r="M2717">
            <v>4782.1000000000004</v>
          </cell>
          <cell r="N2717">
            <v>316593.72148814378</v>
          </cell>
          <cell r="O2717">
            <v>319497.43652782426</v>
          </cell>
          <cell r="P2717">
            <v>114.9589</v>
          </cell>
        </row>
        <row r="2718">
          <cell r="B2718">
            <v>34647</v>
          </cell>
          <cell r="C2718">
            <v>6.1289999999999996</v>
          </cell>
          <cell r="D2718">
            <v>0.83099999999999996</v>
          </cell>
          <cell r="E2718">
            <v>61333</v>
          </cell>
          <cell r="F2718">
            <v>4885</v>
          </cell>
          <cell r="J2718">
            <v>651168.69571752637</v>
          </cell>
          <cell r="K2718">
            <v>0.83099999999999996</v>
          </cell>
          <cell r="L2718">
            <v>61333</v>
          </cell>
          <cell r="M2718">
            <v>4885</v>
          </cell>
          <cell r="N2718">
            <v>316593.72148814378</v>
          </cell>
          <cell r="O2718">
            <v>319497.43652782426</v>
          </cell>
          <cell r="P2718">
            <v>114.9589</v>
          </cell>
        </row>
        <row r="2719">
          <cell r="B2719">
            <v>34648</v>
          </cell>
          <cell r="C2719">
            <v>6.12</v>
          </cell>
          <cell r="D2719">
            <v>0.83399999999999996</v>
          </cell>
          <cell r="E2719">
            <v>63077</v>
          </cell>
          <cell r="F2719">
            <v>4992.5</v>
          </cell>
          <cell r="J2719">
            <v>652497.07985679014</v>
          </cell>
          <cell r="K2719">
            <v>0.83399999999999996</v>
          </cell>
          <cell r="L2719">
            <v>63077</v>
          </cell>
          <cell r="M2719">
            <v>4992.5</v>
          </cell>
          <cell r="N2719">
            <v>316593.72148814378</v>
          </cell>
          <cell r="O2719">
            <v>319497.43652782426</v>
          </cell>
          <cell r="P2719">
            <v>114.9589</v>
          </cell>
        </row>
        <row r="2720">
          <cell r="B2720">
            <v>34649</v>
          </cell>
          <cell r="C2720">
            <v>6.09</v>
          </cell>
          <cell r="D2720">
            <v>0.83799999999999997</v>
          </cell>
          <cell r="E2720">
            <v>63629</v>
          </cell>
          <cell r="F2720">
            <v>4951.8999999999996</v>
          </cell>
          <cell r="J2720">
            <v>653821.64892889943</v>
          </cell>
          <cell r="K2720">
            <v>0.83799999999999997</v>
          </cell>
          <cell r="L2720">
            <v>63629</v>
          </cell>
          <cell r="M2720">
            <v>4951.8999999999996</v>
          </cell>
          <cell r="N2720">
            <v>316593.72148814378</v>
          </cell>
          <cell r="O2720">
            <v>319497.43652782426</v>
          </cell>
          <cell r="P2720">
            <v>114.9589</v>
          </cell>
        </row>
        <row r="2721">
          <cell r="B2721">
            <v>34652</v>
          </cell>
          <cell r="C2721">
            <v>6.0990000000000002</v>
          </cell>
          <cell r="D2721">
            <v>0.83799999999999997</v>
          </cell>
          <cell r="E2721">
            <v>64403</v>
          </cell>
          <cell r="F2721">
            <v>4948.7</v>
          </cell>
          <cell r="J2721">
            <v>655150.86834117188</v>
          </cell>
          <cell r="K2721">
            <v>0.83799999999999997</v>
          </cell>
          <cell r="L2721">
            <v>64403</v>
          </cell>
          <cell r="M2721">
            <v>4948.7</v>
          </cell>
          <cell r="N2721">
            <v>316593.72148814378</v>
          </cell>
          <cell r="O2721">
            <v>319497.43652782426</v>
          </cell>
          <cell r="P2721">
            <v>114.9589</v>
          </cell>
        </row>
        <row r="2722">
          <cell r="B2722">
            <v>34654</v>
          </cell>
          <cell r="C2722">
            <v>6.09</v>
          </cell>
          <cell r="D2722">
            <v>0.83299999999999996</v>
          </cell>
          <cell r="E2722">
            <v>64989</v>
          </cell>
          <cell r="F2722">
            <v>4989.5</v>
          </cell>
          <cell r="J2722">
            <v>656480.82460390439</v>
          </cell>
          <cell r="K2722">
            <v>0.83299999999999996</v>
          </cell>
          <cell r="L2722">
            <v>64989</v>
          </cell>
          <cell r="M2722">
            <v>4989.5</v>
          </cell>
          <cell r="N2722">
            <v>316593.72148814378</v>
          </cell>
          <cell r="O2722">
            <v>319497.43652782426</v>
          </cell>
          <cell r="P2722">
            <v>114.9589</v>
          </cell>
        </row>
        <row r="2723">
          <cell r="B2723">
            <v>34655</v>
          </cell>
          <cell r="C2723">
            <v>6.0780000000000003</v>
          </cell>
          <cell r="D2723">
            <v>0.83299999999999996</v>
          </cell>
          <cell r="E2723">
            <v>64965</v>
          </cell>
          <cell r="F2723">
            <v>4873.7</v>
          </cell>
          <cell r="J2723">
            <v>657810.8547545519</v>
          </cell>
          <cell r="K2723">
            <v>0.83299999999999996</v>
          </cell>
          <cell r="L2723">
            <v>64965</v>
          </cell>
          <cell r="M2723">
            <v>4873.7</v>
          </cell>
          <cell r="N2723">
            <v>316593.72148814378</v>
          </cell>
          <cell r="O2723">
            <v>319497.43652782426</v>
          </cell>
          <cell r="P2723">
            <v>114.9589</v>
          </cell>
        </row>
        <row r="2724">
          <cell r="B2724">
            <v>34656</v>
          </cell>
          <cell r="C2724">
            <v>6.0780000000000003</v>
          </cell>
          <cell r="D2724">
            <v>0.83599999999999997</v>
          </cell>
          <cell r="E2724">
            <v>64150</v>
          </cell>
          <cell r="F2724">
            <v>4712.3999999999996</v>
          </cell>
          <cell r="J2724">
            <v>659143.57954628463</v>
          </cell>
          <cell r="K2724">
            <v>0.83599999999999997</v>
          </cell>
          <cell r="L2724">
            <v>64150</v>
          </cell>
          <cell r="M2724">
            <v>4712.3999999999996</v>
          </cell>
          <cell r="N2724">
            <v>316593.72148814378</v>
          </cell>
          <cell r="O2724">
            <v>319497.43652782426</v>
          </cell>
          <cell r="P2724">
            <v>114.9589</v>
          </cell>
        </row>
        <row r="2725">
          <cell r="B2725">
            <v>34659</v>
          </cell>
          <cell r="C2725">
            <v>6.0780000000000003</v>
          </cell>
          <cell r="D2725">
            <v>0.83499999999999996</v>
          </cell>
          <cell r="E2725">
            <v>63050</v>
          </cell>
          <cell r="F2725">
            <v>4483.3999999999996</v>
          </cell>
          <cell r="J2725">
            <v>660479.00443844544</v>
          </cell>
          <cell r="K2725">
            <v>0.83499999999999996</v>
          </cell>
          <cell r="L2725">
            <v>63050</v>
          </cell>
          <cell r="M2725">
            <v>4483.3999999999996</v>
          </cell>
          <cell r="N2725">
            <v>316593.72148814378</v>
          </cell>
          <cell r="O2725">
            <v>319497.43652782426</v>
          </cell>
          <cell r="P2725">
            <v>114.9589</v>
          </cell>
        </row>
        <row r="2726">
          <cell r="B2726">
            <v>34660</v>
          </cell>
          <cell r="C2726">
            <v>6.069</v>
          </cell>
          <cell r="D2726">
            <v>0.83599999999999997</v>
          </cell>
          <cell r="E2726">
            <v>62156</v>
          </cell>
          <cell r="F2726">
            <v>4494.8</v>
          </cell>
          <cell r="J2726">
            <v>661815.15346442454</v>
          </cell>
          <cell r="K2726">
            <v>0.83599999999999997</v>
          </cell>
          <cell r="L2726">
            <v>62156</v>
          </cell>
          <cell r="M2726">
            <v>4494.8</v>
          </cell>
          <cell r="N2726">
            <v>316593.72148814378</v>
          </cell>
          <cell r="O2726">
            <v>319497.43652782426</v>
          </cell>
          <cell r="P2726">
            <v>114.9589</v>
          </cell>
        </row>
        <row r="2727">
          <cell r="B2727">
            <v>34661</v>
          </cell>
          <cell r="C2727">
            <v>6.06</v>
          </cell>
          <cell r="D2727">
            <v>0.84299999999999997</v>
          </cell>
          <cell r="E2727">
            <v>62149</v>
          </cell>
          <cell r="F2727">
            <v>4393</v>
          </cell>
          <cell r="J2727">
            <v>663152.02007442259</v>
          </cell>
          <cell r="K2727">
            <v>0.84299999999999997</v>
          </cell>
          <cell r="L2727">
            <v>62149</v>
          </cell>
          <cell r="M2727">
            <v>4393</v>
          </cell>
          <cell r="N2727">
            <v>316593.72148814378</v>
          </cell>
          <cell r="O2727">
            <v>319497.43652782426</v>
          </cell>
          <cell r="P2727">
            <v>114.9589</v>
          </cell>
        </row>
        <row r="2728">
          <cell r="B2728">
            <v>34662</v>
          </cell>
          <cell r="C2728">
            <v>6.048</v>
          </cell>
          <cell r="D2728">
            <v>0.85399999999999998</v>
          </cell>
          <cell r="E2728">
            <v>63065</v>
          </cell>
          <cell r="F2728">
            <v>4573.3</v>
          </cell>
          <cell r="J2728">
            <v>664488.93454689265</v>
          </cell>
          <cell r="K2728">
            <v>0.85399999999999998</v>
          </cell>
          <cell r="L2728">
            <v>63065</v>
          </cell>
          <cell r="M2728">
            <v>4573.3</v>
          </cell>
          <cell r="N2728">
            <v>316593.72148814378</v>
          </cell>
          <cell r="O2728">
            <v>319497.43652782426</v>
          </cell>
          <cell r="P2728">
            <v>114.9589</v>
          </cell>
        </row>
        <row r="2729">
          <cell r="B2729">
            <v>34663</v>
          </cell>
          <cell r="C2729">
            <v>6.0389999999999997</v>
          </cell>
          <cell r="D2729">
            <v>0.85899999999999999</v>
          </cell>
          <cell r="E2729">
            <v>62909</v>
          </cell>
          <cell r="F2729">
            <v>4398.7</v>
          </cell>
          <cell r="J2729">
            <v>665826.55077213561</v>
          </cell>
          <cell r="K2729">
            <v>0.85899999999999999</v>
          </cell>
          <cell r="L2729">
            <v>62909</v>
          </cell>
          <cell r="M2729">
            <v>4398.7</v>
          </cell>
          <cell r="N2729">
            <v>316593.72148814378</v>
          </cell>
          <cell r="O2729">
            <v>319497.43652782426</v>
          </cell>
          <cell r="P2729">
            <v>114.9589</v>
          </cell>
        </row>
        <row r="2730">
          <cell r="B2730">
            <v>34666</v>
          </cell>
          <cell r="C2730">
            <v>6.0389999999999997</v>
          </cell>
          <cell r="D2730">
            <v>0.85699999999999998</v>
          </cell>
          <cell r="E2730">
            <v>62368</v>
          </cell>
          <cell r="F2730">
            <v>4398.7</v>
          </cell>
          <cell r="J2730">
            <v>667166.85961883992</v>
          </cell>
          <cell r="K2730">
            <v>0.85699999999999998</v>
          </cell>
          <cell r="L2730">
            <v>62368</v>
          </cell>
          <cell r="M2730">
            <v>4398.7</v>
          </cell>
          <cell r="N2730">
            <v>316593.72148814378</v>
          </cell>
          <cell r="O2730">
            <v>319497.43652782426</v>
          </cell>
          <cell r="P2730">
            <v>114.9589</v>
          </cell>
        </row>
        <row r="2731">
          <cell r="B2731">
            <v>34667</v>
          </cell>
          <cell r="C2731">
            <v>5.9790000000000001</v>
          </cell>
          <cell r="D2731">
            <v>0.85299999999999998</v>
          </cell>
          <cell r="E2731">
            <v>62789</v>
          </cell>
          <cell r="F2731">
            <v>4672</v>
          </cell>
          <cell r="J2731">
            <v>668496.52317006025</v>
          </cell>
          <cell r="K2731">
            <v>0.85299999999999998</v>
          </cell>
          <cell r="L2731">
            <v>62789</v>
          </cell>
          <cell r="M2731">
            <v>4672</v>
          </cell>
          <cell r="N2731">
            <v>316593.72148814378</v>
          </cell>
          <cell r="O2731">
            <v>319497.43652782426</v>
          </cell>
          <cell r="P2731">
            <v>114.9589</v>
          </cell>
        </row>
        <row r="2732">
          <cell r="B2732">
            <v>34668</v>
          </cell>
          <cell r="C2732">
            <v>5.4989999999999997</v>
          </cell>
          <cell r="D2732">
            <v>0.84499999999999997</v>
          </cell>
          <cell r="E2732">
            <v>63376</v>
          </cell>
          <cell r="F2732">
            <v>4656</v>
          </cell>
          <cell r="G2732">
            <v>2.4700000000000002</v>
          </cell>
          <cell r="H2732">
            <v>2.85</v>
          </cell>
          <cell r="I2732">
            <v>118.9085</v>
          </cell>
          <cell r="J2732">
            <v>669721.87729703099</v>
          </cell>
          <cell r="K2732">
            <v>0.84499999999999997</v>
          </cell>
          <cell r="L2732">
            <v>63376</v>
          </cell>
          <cell r="M2732">
            <v>4656</v>
          </cell>
          <cell r="N2732">
            <v>324413.58640890091</v>
          </cell>
          <cell r="O2732">
            <v>328603.11346886726</v>
          </cell>
          <cell r="P2732">
            <v>118.9085</v>
          </cell>
        </row>
        <row r="2733">
          <cell r="B2733">
            <v>34669</v>
          </cell>
          <cell r="C2733">
            <v>5.4989999999999997</v>
          </cell>
          <cell r="D2733">
            <v>0.84799999999999998</v>
          </cell>
          <cell r="E2733">
            <v>63619</v>
          </cell>
          <cell r="F2733">
            <v>4652.3</v>
          </cell>
          <cell r="J2733">
            <v>670949.47749811644</v>
          </cell>
          <cell r="K2733">
            <v>0.84799999999999998</v>
          </cell>
          <cell r="L2733">
            <v>63619</v>
          </cell>
          <cell r="M2733">
            <v>4652.3</v>
          </cell>
          <cell r="N2733">
            <v>324413.58640890091</v>
          </cell>
          <cell r="O2733">
            <v>328603.11346886726</v>
          </cell>
          <cell r="P2733">
            <v>118.9085</v>
          </cell>
        </row>
        <row r="2734">
          <cell r="B2734">
            <v>34670</v>
          </cell>
          <cell r="C2734">
            <v>5.4989999999999997</v>
          </cell>
          <cell r="D2734">
            <v>0.85699999999999998</v>
          </cell>
          <cell r="E2734">
            <v>62689</v>
          </cell>
          <cell r="F2734">
            <v>4525.3999999999996</v>
          </cell>
          <cell r="J2734">
            <v>672179.32789037051</v>
          </cell>
          <cell r="K2734">
            <v>0.85699999999999998</v>
          </cell>
          <cell r="L2734">
            <v>62689</v>
          </cell>
          <cell r="M2734">
            <v>4525.3999999999996</v>
          </cell>
          <cell r="N2734">
            <v>324413.58640890091</v>
          </cell>
          <cell r="O2734">
            <v>328603.11346886726</v>
          </cell>
          <cell r="P2734">
            <v>118.9085</v>
          </cell>
        </row>
        <row r="2735">
          <cell r="B2735">
            <v>34673</v>
          </cell>
          <cell r="C2735">
            <v>5.4989999999999997</v>
          </cell>
          <cell r="D2735">
            <v>0.85799999999999998</v>
          </cell>
          <cell r="E2735">
            <v>62768</v>
          </cell>
          <cell r="F2735">
            <v>4631.3</v>
          </cell>
          <cell r="J2735">
            <v>673411.43259839353</v>
          </cell>
          <cell r="K2735">
            <v>0.85799999999999998</v>
          </cell>
          <cell r="L2735">
            <v>62768</v>
          </cell>
          <cell r="M2735">
            <v>4631.3</v>
          </cell>
          <cell r="N2735">
            <v>324413.58640890091</v>
          </cell>
          <cell r="O2735">
            <v>328603.11346886726</v>
          </cell>
          <cell r="P2735">
            <v>118.9085</v>
          </cell>
        </row>
        <row r="2736">
          <cell r="B2736">
            <v>34674</v>
          </cell>
          <cell r="C2736">
            <v>5.2590000000000003</v>
          </cell>
          <cell r="D2736">
            <v>0.84599999999999997</v>
          </cell>
          <cell r="E2736">
            <v>62302</v>
          </cell>
          <cell r="F2736">
            <v>4573</v>
          </cell>
          <cell r="J2736">
            <v>674591.92283973843</v>
          </cell>
          <cell r="K2736">
            <v>0.84599999999999997</v>
          </cell>
          <cell r="L2736">
            <v>62302</v>
          </cell>
          <cell r="M2736">
            <v>4573</v>
          </cell>
          <cell r="N2736">
            <v>324413.58640890091</v>
          </cell>
          <cell r="O2736">
            <v>328603.11346886726</v>
          </cell>
          <cell r="P2736">
            <v>118.9085</v>
          </cell>
        </row>
        <row r="2737">
          <cell r="B2737">
            <v>34675</v>
          </cell>
          <cell r="C2737">
            <v>5.2290000000000001</v>
          </cell>
          <cell r="D2737">
            <v>0.84699999999999998</v>
          </cell>
          <cell r="E2737">
            <v>62166</v>
          </cell>
          <cell r="F2737">
            <v>4597.1000000000004</v>
          </cell>
          <cell r="J2737">
            <v>675767.73656124808</v>
          </cell>
          <cell r="K2737">
            <v>0.84699999999999998</v>
          </cell>
          <cell r="L2737">
            <v>62166</v>
          </cell>
          <cell r="M2737">
            <v>4597.1000000000004</v>
          </cell>
          <cell r="N2737">
            <v>324413.58640890091</v>
          </cell>
          <cell r="O2737">
            <v>328603.11346886726</v>
          </cell>
          <cell r="P2737">
            <v>118.9085</v>
          </cell>
        </row>
        <row r="2738">
          <cell r="B2738">
            <v>34676</v>
          </cell>
          <cell r="C2738">
            <v>5.2290000000000001</v>
          </cell>
          <cell r="D2738">
            <v>0.84699999999999998</v>
          </cell>
          <cell r="E2738">
            <v>62574</v>
          </cell>
          <cell r="F2738">
            <v>4768.6000000000004</v>
          </cell>
          <cell r="J2738">
            <v>676945.59972607438</v>
          </cell>
          <cell r="K2738">
            <v>0.84699999999999998</v>
          </cell>
          <cell r="L2738">
            <v>62574</v>
          </cell>
          <cell r="M2738">
            <v>4768.6000000000004</v>
          </cell>
          <cell r="N2738">
            <v>324413.58640890091</v>
          </cell>
          <cell r="O2738">
            <v>328603.11346886726</v>
          </cell>
          <cell r="P2738">
            <v>118.9085</v>
          </cell>
        </row>
        <row r="2739">
          <cell r="B2739">
            <v>34677</v>
          </cell>
          <cell r="C2739">
            <v>5.22</v>
          </cell>
          <cell r="D2739">
            <v>0.84799999999999998</v>
          </cell>
          <cell r="E2739">
            <v>62380</v>
          </cell>
          <cell r="F2739">
            <v>4731.3</v>
          </cell>
          <cell r="J2739">
            <v>678123.48506959784</v>
          </cell>
          <cell r="K2739">
            <v>0.84799999999999998</v>
          </cell>
          <cell r="L2739">
            <v>62380</v>
          </cell>
          <cell r="M2739">
            <v>4731.3</v>
          </cell>
          <cell r="N2739">
            <v>324413.58640890091</v>
          </cell>
          <cell r="O2739">
            <v>328603.11346886726</v>
          </cell>
          <cell r="P2739">
            <v>118.9085</v>
          </cell>
        </row>
        <row r="2740">
          <cell r="B2740">
            <v>34680</v>
          </cell>
          <cell r="C2740">
            <v>5.2290000000000001</v>
          </cell>
          <cell r="D2740">
            <v>0.84399999999999997</v>
          </cell>
          <cell r="E2740">
            <v>62724</v>
          </cell>
          <cell r="F2740">
            <v>4813.1000000000004</v>
          </cell>
          <cell r="J2740">
            <v>679305.45430407417</v>
          </cell>
          <cell r="K2740">
            <v>0.84399999999999997</v>
          </cell>
          <cell r="L2740">
            <v>62724</v>
          </cell>
          <cell r="M2740">
            <v>4813.1000000000004</v>
          </cell>
          <cell r="N2740">
            <v>324413.58640890091</v>
          </cell>
          <cell r="O2740">
            <v>328603.11346886726</v>
          </cell>
          <cell r="P2740">
            <v>118.9085</v>
          </cell>
        </row>
        <row r="2741">
          <cell r="B2741">
            <v>34681</v>
          </cell>
          <cell r="C2741">
            <v>5.22</v>
          </cell>
          <cell r="D2741">
            <v>0.84299999999999997</v>
          </cell>
          <cell r="E2741">
            <v>62234</v>
          </cell>
          <cell r="F2741">
            <v>4835.1000000000004</v>
          </cell>
          <cell r="J2741">
            <v>680487.44579456327</v>
          </cell>
          <cell r="K2741">
            <v>0.84299999999999997</v>
          </cell>
          <cell r="L2741">
            <v>62234</v>
          </cell>
          <cell r="M2741">
            <v>4835.1000000000004</v>
          </cell>
          <cell r="N2741">
            <v>324413.58640890091</v>
          </cell>
          <cell r="O2741">
            <v>328603.11346886726</v>
          </cell>
          <cell r="P2741">
            <v>118.9085</v>
          </cell>
        </row>
        <row r="2742">
          <cell r="B2742">
            <v>34682</v>
          </cell>
          <cell r="C2742">
            <v>5.1390000000000002</v>
          </cell>
          <cell r="D2742">
            <v>0.84699999999999998</v>
          </cell>
          <cell r="E2742">
            <v>62444</v>
          </cell>
          <cell r="F2742">
            <v>4976.8</v>
          </cell>
          <cell r="J2742">
            <v>681653.12078920938</v>
          </cell>
          <cell r="K2742">
            <v>0.84699999999999998</v>
          </cell>
          <cell r="L2742">
            <v>62444</v>
          </cell>
          <cell r="M2742">
            <v>4976.8</v>
          </cell>
          <cell r="N2742">
            <v>324413.58640890091</v>
          </cell>
          <cell r="O2742">
            <v>328603.11346886726</v>
          </cell>
          <cell r="P2742">
            <v>118.9085</v>
          </cell>
        </row>
        <row r="2743">
          <cell r="B2743">
            <v>34683</v>
          </cell>
          <cell r="C2743">
            <v>4.9290000000000003</v>
          </cell>
          <cell r="D2743">
            <v>0.85099999999999998</v>
          </cell>
          <cell r="E2743">
            <v>62268</v>
          </cell>
          <cell r="F2743">
            <v>4842.6000000000004</v>
          </cell>
          <cell r="J2743">
            <v>682773.07686666609</v>
          </cell>
          <cell r="K2743">
            <v>0.85099999999999998</v>
          </cell>
          <cell r="L2743">
            <v>62268</v>
          </cell>
          <cell r="M2743">
            <v>4842.6000000000004</v>
          </cell>
          <cell r="N2743">
            <v>324413.58640890091</v>
          </cell>
          <cell r="O2743">
            <v>328603.11346886726</v>
          </cell>
          <cell r="P2743">
            <v>118.9085</v>
          </cell>
        </row>
        <row r="2744">
          <cell r="B2744">
            <v>34684</v>
          </cell>
          <cell r="C2744">
            <v>4.9080000000000004</v>
          </cell>
          <cell r="D2744">
            <v>0.84899999999999998</v>
          </cell>
          <cell r="E2744">
            <v>62412</v>
          </cell>
          <cell r="F2744">
            <v>4917.6000000000004</v>
          </cell>
          <cell r="J2744">
            <v>683890.09362041997</v>
          </cell>
          <cell r="K2744">
            <v>0.84899999999999998</v>
          </cell>
          <cell r="L2744">
            <v>62412</v>
          </cell>
          <cell r="M2744">
            <v>4917.6000000000004</v>
          </cell>
          <cell r="N2744">
            <v>324413.58640890091</v>
          </cell>
          <cell r="O2744">
            <v>328603.11346886726</v>
          </cell>
          <cell r="P2744">
            <v>118.9085</v>
          </cell>
        </row>
        <row r="2745">
          <cell r="B2745">
            <v>34687</v>
          </cell>
          <cell r="C2745">
            <v>4.9379999999999997</v>
          </cell>
          <cell r="D2745">
            <v>0.84799999999999998</v>
          </cell>
          <cell r="E2745">
            <v>62622</v>
          </cell>
          <cell r="F2745">
            <v>4922.8999999999996</v>
          </cell>
          <cell r="J2745">
            <v>685015.77671451925</v>
          </cell>
          <cell r="K2745">
            <v>0.84799999999999998</v>
          </cell>
          <cell r="L2745">
            <v>62622</v>
          </cell>
          <cell r="M2745">
            <v>4922.8999999999996</v>
          </cell>
          <cell r="N2745">
            <v>324413.58640890091</v>
          </cell>
          <cell r="O2745">
            <v>328603.11346886726</v>
          </cell>
          <cell r="P2745">
            <v>118.9085</v>
          </cell>
        </row>
        <row r="2746">
          <cell r="B2746">
            <v>34688</v>
          </cell>
          <cell r="C2746">
            <v>4.8899999999999997</v>
          </cell>
          <cell r="D2746">
            <v>0.85</v>
          </cell>
          <cell r="E2746">
            <v>62276</v>
          </cell>
          <cell r="F2746">
            <v>4799</v>
          </cell>
          <cell r="J2746">
            <v>686132.35243056389</v>
          </cell>
          <cell r="K2746">
            <v>0.85</v>
          </cell>
          <cell r="L2746">
            <v>62276</v>
          </cell>
          <cell r="M2746">
            <v>4799</v>
          </cell>
          <cell r="N2746">
            <v>324413.58640890091</v>
          </cell>
          <cell r="O2746">
            <v>328603.11346886726</v>
          </cell>
          <cell r="P2746">
            <v>118.9085</v>
          </cell>
        </row>
        <row r="2747">
          <cell r="B2747">
            <v>34689</v>
          </cell>
          <cell r="C2747">
            <v>5.0279999999999996</v>
          </cell>
          <cell r="D2747">
            <v>0.85299999999999998</v>
          </cell>
          <cell r="E2747">
            <v>61008</v>
          </cell>
          <cell r="F2747">
            <v>4495.2</v>
          </cell>
          <cell r="J2747">
            <v>687282.31025323749</v>
          </cell>
          <cell r="K2747">
            <v>0.85299999999999998</v>
          </cell>
          <cell r="L2747">
            <v>61008</v>
          </cell>
          <cell r="M2747">
            <v>4495.2</v>
          </cell>
          <cell r="N2747">
            <v>324413.58640890091</v>
          </cell>
          <cell r="O2747">
            <v>328603.11346886726</v>
          </cell>
          <cell r="P2747">
            <v>118.9085</v>
          </cell>
        </row>
        <row r="2748">
          <cell r="B2748">
            <v>34690</v>
          </cell>
          <cell r="C2748">
            <v>4.9980000000000002</v>
          </cell>
          <cell r="D2748">
            <v>0.86</v>
          </cell>
          <cell r="E2748">
            <v>59340</v>
          </cell>
          <cell r="F2748">
            <v>4221.2</v>
          </cell>
          <cell r="J2748">
            <v>688427.32258211938</v>
          </cell>
          <cell r="K2748">
            <v>0.86</v>
          </cell>
          <cell r="L2748">
            <v>59340</v>
          </cell>
          <cell r="M2748">
            <v>4221.2</v>
          </cell>
          <cell r="N2748">
            <v>324413.58640890091</v>
          </cell>
          <cell r="O2748">
            <v>328603.11346886726</v>
          </cell>
          <cell r="P2748">
            <v>118.9085</v>
          </cell>
        </row>
        <row r="2749">
          <cell r="B2749">
            <v>34691</v>
          </cell>
          <cell r="C2749">
            <v>4.9800000000000004</v>
          </cell>
          <cell r="D2749">
            <v>0.85499999999999998</v>
          </cell>
          <cell r="E2749">
            <v>59817</v>
          </cell>
          <cell r="F2749">
            <v>4351.3999999999996</v>
          </cell>
          <cell r="J2749">
            <v>689570.11193760566</v>
          </cell>
          <cell r="K2749">
            <v>0.85499999999999998</v>
          </cell>
          <cell r="L2749">
            <v>59817</v>
          </cell>
          <cell r="M2749">
            <v>4351.3999999999996</v>
          </cell>
          <cell r="N2749">
            <v>324413.58640890091</v>
          </cell>
          <cell r="O2749">
            <v>328603.11346886726</v>
          </cell>
          <cell r="P2749">
            <v>118.9085</v>
          </cell>
        </row>
        <row r="2750">
          <cell r="B2750">
            <v>34694</v>
          </cell>
          <cell r="C2750">
            <v>5.0010000000000003</v>
          </cell>
          <cell r="D2750">
            <v>0.85</v>
          </cell>
          <cell r="E2750">
            <v>60423</v>
          </cell>
          <cell r="F2750">
            <v>4278.2</v>
          </cell>
          <cell r="J2750">
            <v>690719.62531420565</v>
          </cell>
          <cell r="K2750">
            <v>0.85</v>
          </cell>
          <cell r="L2750">
            <v>60423</v>
          </cell>
          <cell r="M2750">
            <v>4278.2</v>
          </cell>
          <cell r="N2750">
            <v>324413.58640890091</v>
          </cell>
          <cell r="O2750">
            <v>328603.11346886726</v>
          </cell>
          <cell r="P2750">
            <v>118.9085</v>
          </cell>
        </row>
        <row r="2751">
          <cell r="B2751">
            <v>34695</v>
          </cell>
          <cell r="C2751">
            <v>4.9980000000000002</v>
          </cell>
          <cell r="D2751">
            <v>0.85199999999999998</v>
          </cell>
          <cell r="E2751">
            <v>59330</v>
          </cell>
          <cell r="F2751">
            <v>4113.7</v>
          </cell>
          <cell r="J2751">
            <v>691870.36420997907</v>
          </cell>
          <cell r="K2751">
            <v>0.85199999999999998</v>
          </cell>
          <cell r="L2751">
            <v>59330</v>
          </cell>
          <cell r="M2751">
            <v>4113.7</v>
          </cell>
          <cell r="N2751">
            <v>324413.58640890091</v>
          </cell>
          <cell r="O2751">
            <v>328603.11346886726</v>
          </cell>
          <cell r="P2751">
            <v>118.9085</v>
          </cell>
        </row>
        <row r="2752">
          <cell r="B2752">
            <v>34696</v>
          </cell>
          <cell r="C2752">
            <v>4.9980000000000002</v>
          </cell>
          <cell r="D2752">
            <v>0.85599999999999998</v>
          </cell>
          <cell r="E2752">
            <v>59649</v>
          </cell>
          <cell r="F2752">
            <v>4195.2</v>
          </cell>
          <cell r="J2752">
            <v>693023.02023675281</v>
          </cell>
          <cell r="K2752">
            <v>0.85599999999999998</v>
          </cell>
          <cell r="L2752">
            <v>59649</v>
          </cell>
          <cell r="M2752">
            <v>4195.2</v>
          </cell>
          <cell r="N2752">
            <v>324413.58640890091</v>
          </cell>
          <cell r="O2752">
            <v>328603.11346886726</v>
          </cell>
          <cell r="P2752">
            <v>118.9085</v>
          </cell>
        </row>
        <row r="2753">
          <cell r="B2753">
            <v>34697</v>
          </cell>
          <cell r="C2753">
            <v>4.899</v>
          </cell>
          <cell r="D2753">
            <v>0.84799999999999998</v>
          </cell>
          <cell r="E2753">
            <v>61293</v>
          </cell>
          <cell r="F2753">
            <v>4353.8999999999996</v>
          </cell>
          <cell r="J2753">
            <v>694154.72682879947</v>
          </cell>
          <cell r="K2753">
            <v>0.84799999999999998</v>
          </cell>
          <cell r="L2753">
            <v>61293</v>
          </cell>
          <cell r="M2753">
            <v>4353.8999999999996</v>
          </cell>
          <cell r="N2753">
            <v>324413.58640890091</v>
          </cell>
          <cell r="O2753">
            <v>328603.11346886726</v>
          </cell>
          <cell r="P2753">
            <v>118.9085</v>
          </cell>
        </row>
        <row r="2754">
          <cell r="B2754">
            <v>34698</v>
          </cell>
          <cell r="C2754">
            <v>4.899</v>
          </cell>
          <cell r="D2754">
            <v>0.84599999999999997</v>
          </cell>
          <cell r="G2754">
            <v>0.56999999999999995</v>
          </cell>
          <cell r="H2754">
            <v>0.84</v>
          </cell>
          <cell r="I2754">
            <v>122.9365</v>
          </cell>
          <cell r="J2754">
            <v>695288.28149771085</v>
          </cell>
          <cell r="K2754">
            <v>0.84599999999999997</v>
          </cell>
          <cell r="L2754">
            <v>61293</v>
          </cell>
          <cell r="M2754">
            <v>4353.8999999999996</v>
          </cell>
          <cell r="N2754">
            <v>326262.74385143165</v>
          </cell>
          <cell r="O2754">
            <v>331363.37962200574</v>
          </cell>
          <cell r="P2754">
            <v>122.9365</v>
          </cell>
        </row>
        <row r="2755">
          <cell r="B2755">
            <v>34701</v>
          </cell>
          <cell r="C2755">
            <v>4.7190000000000003</v>
          </cell>
          <cell r="D2755">
            <v>0.84499999999999997</v>
          </cell>
          <cell r="E2755">
            <v>61560</v>
          </cell>
          <cell r="F2755">
            <v>4319</v>
          </cell>
          <cell r="J2755">
            <v>696381.9699645068</v>
          </cell>
          <cell r="K2755">
            <v>0.84499999999999997</v>
          </cell>
          <cell r="L2755">
            <v>61560</v>
          </cell>
          <cell r="M2755">
            <v>4319</v>
          </cell>
          <cell r="N2755">
            <v>326262.74385143165</v>
          </cell>
          <cell r="O2755">
            <v>331363.37962200574</v>
          </cell>
          <cell r="P2755">
            <v>122.9365</v>
          </cell>
        </row>
        <row r="2756">
          <cell r="B2756">
            <v>34702</v>
          </cell>
          <cell r="C2756">
            <v>4.8390000000000004</v>
          </cell>
          <cell r="D2756">
            <v>0.84599999999999997</v>
          </cell>
          <cell r="E2756">
            <v>60689</v>
          </cell>
          <cell r="F2756">
            <v>4097.8999999999996</v>
          </cell>
          <cell r="J2756">
            <v>697505.23408205959</v>
          </cell>
          <cell r="K2756">
            <v>0.84599999999999997</v>
          </cell>
          <cell r="L2756">
            <v>60689</v>
          </cell>
          <cell r="M2756">
            <v>4097.8999999999996</v>
          </cell>
          <cell r="N2756">
            <v>326262.74385143165</v>
          </cell>
          <cell r="O2756">
            <v>331363.37962200574</v>
          </cell>
          <cell r="P2756">
            <v>122.9365</v>
          </cell>
        </row>
        <row r="2757">
          <cell r="B2757">
            <v>34703</v>
          </cell>
          <cell r="C2757">
            <v>4.8090000000000002</v>
          </cell>
          <cell r="D2757">
            <v>0.84599999999999997</v>
          </cell>
          <cell r="E2757">
            <v>58837</v>
          </cell>
          <cell r="F2757">
            <v>3967.9</v>
          </cell>
          <cell r="J2757">
            <v>698623.33497229312</v>
          </cell>
          <cell r="K2757">
            <v>0.84599999999999997</v>
          </cell>
          <cell r="L2757">
            <v>58837</v>
          </cell>
          <cell r="M2757">
            <v>3967.9</v>
          </cell>
          <cell r="N2757">
            <v>326262.74385143165</v>
          </cell>
          <cell r="O2757">
            <v>331363.37962200574</v>
          </cell>
          <cell r="P2757">
            <v>122.9365</v>
          </cell>
        </row>
        <row r="2758">
          <cell r="B2758">
            <v>34704</v>
          </cell>
          <cell r="C2758">
            <v>4.7279999999999998</v>
          </cell>
          <cell r="D2758">
            <v>0.84399999999999997</v>
          </cell>
          <cell r="E2758">
            <v>58399</v>
          </cell>
          <cell r="F2758">
            <v>4036.6</v>
          </cell>
          <cell r="J2758">
            <v>699724.36534820951</v>
          </cell>
          <cell r="K2758">
            <v>0.84399999999999997</v>
          </cell>
          <cell r="L2758">
            <v>58399</v>
          </cell>
          <cell r="M2758">
            <v>4036.6</v>
          </cell>
          <cell r="N2758">
            <v>326262.74385143165</v>
          </cell>
          <cell r="O2758">
            <v>331363.37962200574</v>
          </cell>
          <cell r="P2758">
            <v>122.9365</v>
          </cell>
        </row>
        <row r="2759">
          <cell r="B2759">
            <v>34705</v>
          </cell>
          <cell r="C2759">
            <v>4.6890000000000001</v>
          </cell>
          <cell r="D2759">
            <v>0.84099999999999997</v>
          </cell>
          <cell r="E2759">
            <v>57453</v>
          </cell>
          <cell r="F2759">
            <v>3827.3</v>
          </cell>
          <cell r="J2759">
            <v>700818.03453124873</v>
          </cell>
          <cell r="K2759">
            <v>0.84099999999999997</v>
          </cell>
          <cell r="L2759">
            <v>57453</v>
          </cell>
          <cell r="M2759">
            <v>3827.3</v>
          </cell>
          <cell r="N2759">
            <v>326262.74385143165</v>
          </cell>
          <cell r="O2759">
            <v>331363.37962200574</v>
          </cell>
          <cell r="P2759">
            <v>122.9365</v>
          </cell>
        </row>
        <row r="2760">
          <cell r="B2760">
            <v>34708</v>
          </cell>
          <cell r="C2760">
            <v>4.68</v>
          </cell>
          <cell r="D2760">
            <v>0.84599999999999997</v>
          </cell>
          <cell r="E2760">
            <v>55752</v>
          </cell>
          <cell r="F2760">
            <v>3627.8</v>
          </cell>
          <cell r="J2760">
            <v>701911.31066511746</v>
          </cell>
          <cell r="K2760">
            <v>0.84599999999999997</v>
          </cell>
          <cell r="L2760">
            <v>55752</v>
          </cell>
          <cell r="M2760">
            <v>3627.8</v>
          </cell>
          <cell r="N2760">
            <v>326262.74385143165</v>
          </cell>
          <cell r="O2760">
            <v>331363.37962200574</v>
          </cell>
          <cell r="P2760">
            <v>122.9365</v>
          </cell>
        </row>
        <row r="2761">
          <cell r="B2761">
            <v>34709</v>
          </cell>
          <cell r="C2761">
            <v>4.68</v>
          </cell>
          <cell r="D2761">
            <v>0.84799999999999998</v>
          </cell>
          <cell r="E2761">
            <v>53230</v>
          </cell>
          <cell r="F2761">
            <v>3270</v>
          </cell>
          <cell r="J2761">
            <v>703006.29230975499</v>
          </cell>
          <cell r="K2761">
            <v>0.84799999999999998</v>
          </cell>
          <cell r="L2761">
            <v>53230</v>
          </cell>
          <cell r="M2761">
            <v>3270</v>
          </cell>
          <cell r="N2761">
            <v>326262.74385143165</v>
          </cell>
          <cell r="O2761">
            <v>331363.37962200574</v>
          </cell>
          <cell r="P2761">
            <v>122.9365</v>
          </cell>
        </row>
        <row r="2762">
          <cell r="B2762">
            <v>34710</v>
          </cell>
          <cell r="C2762">
            <v>4.5599999999999996</v>
          </cell>
          <cell r="D2762">
            <v>0.85099999999999998</v>
          </cell>
          <cell r="E2762">
            <v>53213</v>
          </cell>
          <cell r="F2762">
            <v>3499.1</v>
          </cell>
          <cell r="J2762">
            <v>704074.86187406583</v>
          </cell>
          <cell r="K2762">
            <v>0.85099999999999998</v>
          </cell>
          <cell r="L2762">
            <v>53213</v>
          </cell>
          <cell r="M2762">
            <v>3499.1</v>
          </cell>
          <cell r="N2762">
            <v>326262.74385143165</v>
          </cell>
          <cell r="O2762">
            <v>331363.37962200574</v>
          </cell>
          <cell r="P2762">
            <v>122.9365</v>
          </cell>
        </row>
        <row r="2763">
          <cell r="B2763">
            <v>34711</v>
          </cell>
          <cell r="C2763">
            <v>4.5990000000000002</v>
          </cell>
          <cell r="D2763">
            <v>0.84599999999999997</v>
          </cell>
          <cell r="E2763">
            <v>55205</v>
          </cell>
          <cell r="F2763">
            <v>3840.6</v>
          </cell>
          <cell r="J2763">
            <v>705154.20863731881</v>
          </cell>
          <cell r="K2763">
            <v>0.84599999999999997</v>
          </cell>
          <cell r="L2763">
            <v>55205</v>
          </cell>
          <cell r="M2763">
            <v>3840.6</v>
          </cell>
          <cell r="N2763">
            <v>326262.74385143165</v>
          </cell>
          <cell r="O2763">
            <v>331363.37962200574</v>
          </cell>
          <cell r="P2763">
            <v>122.9365</v>
          </cell>
        </row>
        <row r="2764">
          <cell r="B2764">
            <v>34712</v>
          </cell>
          <cell r="C2764">
            <v>4.62</v>
          </cell>
          <cell r="D2764">
            <v>0.84699999999999998</v>
          </cell>
          <cell r="E2764">
            <v>57046</v>
          </cell>
          <cell r="F2764">
            <v>4103.8</v>
          </cell>
          <cell r="J2764">
            <v>706240.14611862029</v>
          </cell>
          <cell r="K2764">
            <v>0.84699999999999998</v>
          </cell>
          <cell r="L2764">
            <v>57046</v>
          </cell>
          <cell r="M2764">
            <v>4103.8</v>
          </cell>
          <cell r="N2764">
            <v>326262.74385143165</v>
          </cell>
          <cell r="O2764">
            <v>331363.37962200574</v>
          </cell>
          <cell r="P2764">
            <v>122.9365</v>
          </cell>
        </row>
        <row r="2765">
          <cell r="B2765">
            <v>34715</v>
          </cell>
          <cell r="C2765">
            <v>4.62</v>
          </cell>
          <cell r="D2765">
            <v>0.85</v>
          </cell>
          <cell r="E2765">
            <v>56596</v>
          </cell>
          <cell r="F2765">
            <v>4056.4</v>
          </cell>
          <cell r="J2765">
            <v>707327.75594364305</v>
          </cell>
          <cell r="K2765">
            <v>0.85</v>
          </cell>
          <cell r="L2765">
            <v>56596</v>
          </cell>
          <cell r="M2765">
            <v>4056.4</v>
          </cell>
          <cell r="N2765">
            <v>326262.74385143165</v>
          </cell>
          <cell r="O2765">
            <v>331363.37962200574</v>
          </cell>
          <cell r="P2765">
            <v>122.9365</v>
          </cell>
        </row>
        <row r="2766">
          <cell r="B2766">
            <v>34716</v>
          </cell>
          <cell r="C2766">
            <v>4.62</v>
          </cell>
          <cell r="D2766">
            <v>0.84599999999999997</v>
          </cell>
          <cell r="E2766">
            <v>58599</v>
          </cell>
          <cell r="F2766">
            <v>4209.7</v>
          </cell>
          <cell r="J2766">
            <v>708417.04068779631</v>
          </cell>
          <cell r="K2766">
            <v>0.84599999999999997</v>
          </cell>
          <cell r="L2766">
            <v>58599</v>
          </cell>
          <cell r="M2766">
            <v>4209.7</v>
          </cell>
          <cell r="N2766">
            <v>326262.74385143165</v>
          </cell>
          <cell r="O2766">
            <v>331363.37962200574</v>
          </cell>
          <cell r="P2766">
            <v>122.9365</v>
          </cell>
        </row>
        <row r="2767">
          <cell r="B2767">
            <v>34717</v>
          </cell>
          <cell r="C2767">
            <v>4.62</v>
          </cell>
          <cell r="D2767">
            <v>0.84599999999999997</v>
          </cell>
          <cell r="E2767">
            <v>58817</v>
          </cell>
          <cell r="F2767">
            <v>4078.5</v>
          </cell>
          <cell r="J2767">
            <v>709508.00293045561</v>
          </cell>
          <cell r="K2767">
            <v>0.84599999999999997</v>
          </cell>
          <cell r="L2767">
            <v>58817</v>
          </cell>
          <cell r="M2767">
            <v>4078.5</v>
          </cell>
          <cell r="N2767">
            <v>326262.74385143165</v>
          </cell>
          <cell r="O2767">
            <v>331363.37962200574</v>
          </cell>
          <cell r="P2767">
            <v>122.9365</v>
          </cell>
        </row>
        <row r="2768">
          <cell r="B2768">
            <v>34718</v>
          </cell>
          <cell r="C2768">
            <v>4.641</v>
          </cell>
          <cell r="D2768">
            <v>0.84799999999999998</v>
          </cell>
          <cell r="E2768">
            <v>57222</v>
          </cell>
          <cell r="F2768">
            <v>3809.3</v>
          </cell>
          <cell r="J2768">
            <v>710605.61181098898</v>
          </cell>
          <cell r="K2768">
            <v>0.84799999999999998</v>
          </cell>
          <cell r="L2768">
            <v>57222</v>
          </cell>
          <cell r="M2768">
            <v>3809.3</v>
          </cell>
          <cell r="N2768">
            <v>326262.74385143165</v>
          </cell>
          <cell r="O2768">
            <v>331363.37962200574</v>
          </cell>
          <cell r="P2768">
            <v>122.9365</v>
          </cell>
        </row>
        <row r="2769">
          <cell r="B2769">
            <v>34719</v>
          </cell>
          <cell r="C2769">
            <v>4.5990000000000002</v>
          </cell>
          <cell r="D2769">
            <v>0.84799999999999998</v>
          </cell>
          <cell r="F2769">
            <v>3862.3</v>
          </cell>
          <cell r="J2769">
            <v>711694.9702138952</v>
          </cell>
          <cell r="K2769">
            <v>0.84799999999999998</v>
          </cell>
          <cell r="L2769">
            <v>57222</v>
          </cell>
          <cell r="M2769">
            <v>3862.3</v>
          </cell>
          <cell r="N2769">
            <v>326262.74385143165</v>
          </cell>
          <cell r="O2769">
            <v>331363.37962200574</v>
          </cell>
          <cell r="P2769">
            <v>122.9365</v>
          </cell>
        </row>
        <row r="2770">
          <cell r="B2770">
            <v>34722</v>
          </cell>
          <cell r="C2770">
            <v>4.5990000000000002</v>
          </cell>
          <cell r="D2770">
            <v>0.85199999999999998</v>
          </cell>
          <cell r="E2770">
            <v>56279</v>
          </cell>
          <cell r="F2770">
            <v>3758.4</v>
          </cell>
          <cell r="J2770">
            <v>712785.99860323314</v>
          </cell>
          <cell r="K2770">
            <v>0.85199999999999998</v>
          </cell>
          <cell r="L2770">
            <v>56279</v>
          </cell>
          <cell r="M2770">
            <v>3758.4</v>
          </cell>
          <cell r="N2770">
            <v>326262.74385143165</v>
          </cell>
          <cell r="O2770">
            <v>331363.37962200574</v>
          </cell>
          <cell r="P2770">
            <v>122.9365</v>
          </cell>
        </row>
        <row r="2771">
          <cell r="B2771">
            <v>34723</v>
          </cell>
          <cell r="C2771">
            <v>4.548</v>
          </cell>
          <cell r="D2771">
            <v>0.85399999999999998</v>
          </cell>
          <cell r="E2771">
            <v>56571</v>
          </cell>
          <cell r="F2771">
            <v>3840.2</v>
          </cell>
          <cell r="J2771">
            <v>713866.58217711572</v>
          </cell>
          <cell r="K2771">
            <v>0.85399999999999998</v>
          </cell>
          <cell r="L2771">
            <v>56571</v>
          </cell>
          <cell r="M2771">
            <v>3840.2</v>
          </cell>
          <cell r="N2771">
            <v>326262.74385143165</v>
          </cell>
          <cell r="O2771">
            <v>331363.37962200574</v>
          </cell>
          <cell r="P2771">
            <v>122.9365</v>
          </cell>
        </row>
        <row r="2772">
          <cell r="B2772">
            <v>34724</v>
          </cell>
          <cell r="C2772">
            <v>4.53</v>
          </cell>
          <cell r="D2772">
            <v>0.85299999999999998</v>
          </cell>
          <cell r="J2772">
            <v>714944.52071620314</v>
          </cell>
          <cell r="K2772">
            <v>0.85299999999999998</v>
          </cell>
          <cell r="L2772">
            <v>56571</v>
          </cell>
          <cell r="M2772">
            <v>3840.2</v>
          </cell>
          <cell r="N2772">
            <v>326262.74385143165</v>
          </cell>
          <cell r="O2772">
            <v>331363.37962200574</v>
          </cell>
          <cell r="P2772">
            <v>122.9365</v>
          </cell>
        </row>
        <row r="2773">
          <cell r="B2773">
            <v>34725</v>
          </cell>
          <cell r="C2773">
            <v>4.5</v>
          </cell>
          <cell r="D2773">
            <v>0.84599999999999997</v>
          </cell>
          <cell r="E2773">
            <v>57143</v>
          </cell>
          <cell r="F2773">
            <v>3926.8</v>
          </cell>
          <cell r="J2773">
            <v>716016.93749727751</v>
          </cell>
          <cell r="K2773">
            <v>0.84599999999999997</v>
          </cell>
          <cell r="L2773">
            <v>57143</v>
          </cell>
          <cell r="M2773">
            <v>3926.8</v>
          </cell>
          <cell r="N2773">
            <v>326262.74385143165</v>
          </cell>
          <cell r="O2773">
            <v>331363.37962200574</v>
          </cell>
          <cell r="P2773">
            <v>122.9365</v>
          </cell>
        </row>
        <row r="2774">
          <cell r="B2774">
            <v>34726</v>
          </cell>
          <cell r="C2774">
            <v>4.4880000000000004</v>
          </cell>
          <cell r="D2774">
            <v>0.84499999999999997</v>
          </cell>
          <cell r="E2774">
            <v>56796</v>
          </cell>
          <cell r="F2774">
            <v>3784.3</v>
          </cell>
          <cell r="J2774">
            <v>717088.09883577342</v>
          </cell>
          <cell r="K2774">
            <v>0.84499999999999997</v>
          </cell>
          <cell r="L2774">
            <v>56796</v>
          </cell>
          <cell r="M2774">
            <v>3784.3</v>
          </cell>
          <cell r="N2774">
            <v>326262.74385143165</v>
          </cell>
          <cell r="O2774">
            <v>331363.37962200574</v>
          </cell>
          <cell r="P2774">
            <v>122.9365</v>
          </cell>
        </row>
        <row r="2775">
          <cell r="B2775">
            <v>34729</v>
          </cell>
          <cell r="C2775">
            <v>4.5090000000000003</v>
          </cell>
          <cell r="D2775">
            <v>0.84699999999999998</v>
          </cell>
          <cell r="E2775">
            <v>54907</v>
          </cell>
          <cell r="F2775">
            <v>3580.7</v>
          </cell>
          <cell r="J2775">
            <v>718165.88224832364</v>
          </cell>
          <cell r="K2775">
            <v>0.84699999999999998</v>
          </cell>
          <cell r="L2775">
            <v>54907</v>
          </cell>
          <cell r="M2775">
            <v>3580.7</v>
          </cell>
          <cell r="N2775">
            <v>326262.74385143165</v>
          </cell>
          <cell r="O2775">
            <v>331363.37962200574</v>
          </cell>
          <cell r="P2775">
            <v>122.9365</v>
          </cell>
        </row>
        <row r="2776">
          <cell r="B2776">
            <v>34730</v>
          </cell>
          <cell r="C2776">
            <v>5.3490000000000002</v>
          </cell>
          <cell r="D2776">
            <v>0.84199999999999997</v>
          </cell>
          <cell r="E2776">
            <v>56706</v>
          </cell>
          <cell r="F2776">
            <v>3885</v>
          </cell>
          <cell r="G2776">
            <v>1.36</v>
          </cell>
          <cell r="H2776">
            <v>0.92</v>
          </cell>
          <cell r="I2776">
            <v>126.1477</v>
          </cell>
          <cell r="J2776">
            <v>719446.37201637251</v>
          </cell>
          <cell r="K2776">
            <v>0.84199999999999997</v>
          </cell>
          <cell r="L2776">
            <v>56706</v>
          </cell>
          <cell r="M2776">
            <v>3885</v>
          </cell>
          <cell r="N2776">
            <v>330699.91716781113</v>
          </cell>
          <cell r="O2776">
            <v>334411.92271452822</v>
          </cell>
          <cell r="P2776">
            <v>126.1477</v>
          </cell>
        </row>
        <row r="2777">
          <cell r="B2777">
            <v>34731</v>
          </cell>
          <cell r="C2777">
            <v>5.34</v>
          </cell>
          <cell r="D2777">
            <v>0.84299999999999997</v>
          </cell>
          <cell r="E2777">
            <v>57698</v>
          </cell>
          <cell r="F2777">
            <v>3989.8</v>
          </cell>
          <cell r="J2777">
            <v>720726.98655856156</v>
          </cell>
          <cell r="K2777">
            <v>0.84299999999999997</v>
          </cell>
          <cell r="L2777">
            <v>57698</v>
          </cell>
          <cell r="M2777">
            <v>3989.8</v>
          </cell>
          <cell r="N2777">
            <v>330699.91716781113</v>
          </cell>
          <cell r="O2777">
            <v>334411.92271452822</v>
          </cell>
          <cell r="P2777">
            <v>126.1477</v>
          </cell>
        </row>
        <row r="2778">
          <cell r="B2778">
            <v>34732</v>
          </cell>
          <cell r="C2778">
            <v>5.34</v>
          </cell>
          <cell r="D2778">
            <v>0.84</v>
          </cell>
          <cell r="E2778">
            <v>57124</v>
          </cell>
          <cell r="F2778">
            <v>3897.8</v>
          </cell>
          <cell r="J2778">
            <v>722009.88059463573</v>
          </cell>
          <cell r="K2778">
            <v>0.84</v>
          </cell>
          <cell r="L2778">
            <v>57124</v>
          </cell>
          <cell r="M2778">
            <v>3897.8</v>
          </cell>
          <cell r="N2778">
            <v>330699.91716781113</v>
          </cell>
          <cell r="O2778">
            <v>334411.92271452822</v>
          </cell>
          <cell r="P2778">
            <v>126.1477</v>
          </cell>
        </row>
        <row r="2779">
          <cell r="B2779">
            <v>34733</v>
          </cell>
          <cell r="C2779">
            <v>5.3490000000000002</v>
          </cell>
          <cell r="D2779">
            <v>0.84</v>
          </cell>
          <cell r="E2779">
            <v>57578</v>
          </cell>
          <cell r="F2779">
            <v>3944.3</v>
          </cell>
          <cell r="J2779">
            <v>723297.224211736</v>
          </cell>
          <cell r="K2779">
            <v>0.84</v>
          </cell>
          <cell r="L2779">
            <v>57578</v>
          </cell>
          <cell r="M2779">
            <v>3944.3</v>
          </cell>
          <cell r="N2779">
            <v>330699.91716781113</v>
          </cell>
          <cell r="O2779">
            <v>334411.92271452822</v>
          </cell>
          <cell r="P2779">
            <v>126.1477</v>
          </cell>
        </row>
        <row r="2780">
          <cell r="B2780">
            <v>34736</v>
          </cell>
          <cell r="C2780">
            <v>5.37</v>
          </cell>
          <cell r="D2780">
            <v>0.83799999999999997</v>
          </cell>
          <cell r="E2780">
            <v>57183</v>
          </cell>
          <cell r="F2780">
            <v>3829.8</v>
          </cell>
          <cell r="J2780">
            <v>724591.92624307494</v>
          </cell>
          <cell r="K2780">
            <v>0.83799999999999997</v>
          </cell>
          <cell r="L2780">
            <v>57183</v>
          </cell>
          <cell r="M2780">
            <v>3829.8</v>
          </cell>
          <cell r="N2780">
            <v>330699.91716781113</v>
          </cell>
          <cell r="O2780">
            <v>334411.92271452822</v>
          </cell>
          <cell r="P2780">
            <v>126.1477</v>
          </cell>
        </row>
        <row r="2781">
          <cell r="B2781">
            <v>34737</v>
          </cell>
          <cell r="C2781">
            <v>5.37</v>
          </cell>
          <cell r="D2781">
            <v>0.83699999999999997</v>
          </cell>
          <cell r="E2781">
            <v>56011</v>
          </cell>
          <cell r="F2781">
            <v>3637.4</v>
          </cell>
          <cell r="J2781">
            <v>725888.94579104998</v>
          </cell>
          <cell r="K2781">
            <v>0.83699999999999997</v>
          </cell>
          <cell r="L2781">
            <v>56011</v>
          </cell>
          <cell r="M2781">
            <v>3637.4</v>
          </cell>
          <cell r="N2781">
            <v>330699.91716781113</v>
          </cell>
          <cell r="O2781">
            <v>334411.92271452822</v>
          </cell>
          <cell r="P2781">
            <v>126.1477</v>
          </cell>
        </row>
        <row r="2782">
          <cell r="B2782">
            <v>34738</v>
          </cell>
          <cell r="C2782">
            <v>5.3579999999999997</v>
          </cell>
          <cell r="D2782">
            <v>0.83599999999999997</v>
          </cell>
          <cell r="E2782">
            <v>55499</v>
          </cell>
          <cell r="F2782">
            <v>3556.2</v>
          </cell>
          <cell r="J2782">
            <v>727185.3834482329</v>
          </cell>
          <cell r="K2782">
            <v>0.83599999999999997</v>
          </cell>
          <cell r="L2782">
            <v>55499</v>
          </cell>
          <cell r="M2782">
            <v>3556.2</v>
          </cell>
          <cell r="N2782">
            <v>330699.91716781113</v>
          </cell>
          <cell r="O2782">
            <v>334411.92271452822</v>
          </cell>
          <cell r="P2782">
            <v>126.1477</v>
          </cell>
        </row>
        <row r="2783">
          <cell r="B2783">
            <v>34739</v>
          </cell>
          <cell r="C2783">
            <v>5.37</v>
          </cell>
          <cell r="D2783">
            <v>0.83399999999999996</v>
          </cell>
          <cell r="E2783">
            <v>54113</v>
          </cell>
          <cell r="F2783">
            <v>3401.5</v>
          </cell>
          <cell r="J2783">
            <v>728487.04528460524</v>
          </cell>
          <cell r="K2783">
            <v>0.83399999999999996</v>
          </cell>
          <cell r="L2783">
            <v>54113</v>
          </cell>
          <cell r="M2783">
            <v>3401.5</v>
          </cell>
          <cell r="N2783">
            <v>330699.91716781113</v>
          </cell>
          <cell r="O2783">
            <v>334411.92271452822</v>
          </cell>
          <cell r="P2783">
            <v>126.1477</v>
          </cell>
        </row>
        <row r="2784">
          <cell r="B2784">
            <v>34740</v>
          </cell>
          <cell r="C2784">
            <v>5.3789999999999996</v>
          </cell>
          <cell r="D2784">
            <v>0.83499999999999996</v>
          </cell>
          <cell r="E2784">
            <v>53663</v>
          </cell>
          <cell r="F2784">
            <v>3307.7</v>
          </cell>
          <cell r="J2784">
            <v>729793.22255680047</v>
          </cell>
          <cell r="K2784">
            <v>0.83499999999999996</v>
          </cell>
          <cell r="L2784">
            <v>53663</v>
          </cell>
          <cell r="M2784">
            <v>3307.7</v>
          </cell>
          <cell r="N2784">
            <v>330699.91716781113</v>
          </cell>
          <cell r="O2784">
            <v>334411.92271452822</v>
          </cell>
          <cell r="P2784">
            <v>126.1477</v>
          </cell>
        </row>
        <row r="2785">
          <cell r="B2785">
            <v>34743</v>
          </cell>
          <cell r="C2785">
            <v>5.4</v>
          </cell>
          <cell r="D2785">
            <v>0.83399999999999996</v>
          </cell>
          <cell r="E2785">
            <v>53572</v>
          </cell>
          <cell r="F2785">
            <v>3294.9</v>
          </cell>
          <cell r="J2785">
            <v>731106.8503574027</v>
          </cell>
          <cell r="K2785">
            <v>0.83399999999999996</v>
          </cell>
          <cell r="L2785">
            <v>53572</v>
          </cell>
          <cell r="M2785">
            <v>3294.9</v>
          </cell>
          <cell r="N2785">
            <v>330699.91716781113</v>
          </cell>
          <cell r="O2785">
            <v>334411.92271452822</v>
          </cell>
          <cell r="P2785">
            <v>126.1477</v>
          </cell>
        </row>
        <row r="2786">
          <cell r="B2786">
            <v>34744</v>
          </cell>
          <cell r="C2786">
            <v>5.3879999999999999</v>
          </cell>
          <cell r="D2786">
            <v>0.83499999999999996</v>
          </cell>
          <cell r="E2786">
            <v>52792</v>
          </cell>
          <cell r="F2786">
            <v>3192.2</v>
          </cell>
          <cell r="J2786">
            <v>732419.91826064454</v>
          </cell>
          <cell r="K2786">
            <v>0.83499999999999996</v>
          </cell>
          <cell r="L2786">
            <v>52792</v>
          </cell>
          <cell r="M2786">
            <v>3192.2</v>
          </cell>
          <cell r="N2786">
            <v>330699.91716781113</v>
          </cell>
          <cell r="O2786">
            <v>334411.92271452822</v>
          </cell>
          <cell r="P2786">
            <v>126.1477</v>
          </cell>
        </row>
        <row r="2787">
          <cell r="B2787">
            <v>34745</v>
          </cell>
          <cell r="C2787">
            <v>5.3789999999999996</v>
          </cell>
          <cell r="D2787">
            <v>0.83699999999999997</v>
          </cell>
          <cell r="E2787">
            <v>51954</v>
          </cell>
          <cell r="F2787">
            <v>3069.4</v>
          </cell>
          <cell r="J2787">
            <v>733733.14717408584</v>
          </cell>
          <cell r="K2787">
            <v>0.83699999999999997</v>
          </cell>
          <cell r="L2787">
            <v>51954</v>
          </cell>
          <cell r="M2787">
            <v>3069.4</v>
          </cell>
          <cell r="N2787">
            <v>330699.91716781113</v>
          </cell>
          <cell r="O2787">
            <v>334411.92271452822</v>
          </cell>
          <cell r="P2787">
            <v>126.1477</v>
          </cell>
        </row>
        <row r="2788">
          <cell r="B2788">
            <v>34746</v>
          </cell>
          <cell r="C2788">
            <v>5.4</v>
          </cell>
          <cell r="D2788">
            <v>0.84499999999999997</v>
          </cell>
          <cell r="E2788">
            <v>50340</v>
          </cell>
          <cell r="F2788">
            <v>2863.8</v>
          </cell>
          <cell r="J2788">
            <v>735053.86683899921</v>
          </cell>
          <cell r="K2788">
            <v>0.84499999999999997</v>
          </cell>
          <cell r="L2788">
            <v>50340</v>
          </cell>
          <cell r="M2788">
            <v>2863.8</v>
          </cell>
          <cell r="N2788">
            <v>330699.91716781113</v>
          </cell>
          <cell r="O2788">
            <v>334411.92271452822</v>
          </cell>
          <cell r="P2788">
            <v>126.1477</v>
          </cell>
        </row>
        <row r="2789">
          <cell r="B2789">
            <v>34747</v>
          </cell>
          <cell r="C2789">
            <v>5.4</v>
          </cell>
          <cell r="D2789">
            <v>0.85</v>
          </cell>
          <cell r="E2789">
            <v>50773</v>
          </cell>
          <cell r="F2789">
            <v>3023.2</v>
          </cell>
          <cell r="J2789">
            <v>736376.96379930945</v>
          </cell>
          <cell r="K2789">
            <v>0.85</v>
          </cell>
          <cell r="L2789">
            <v>50773</v>
          </cell>
          <cell r="M2789">
            <v>3023.2</v>
          </cell>
          <cell r="N2789">
            <v>330699.91716781113</v>
          </cell>
          <cell r="O2789">
            <v>334411.92271452822</v>
          </cell>
          <cell r="P2789">
            <v>126.1477</v>
          </cell>
        </row>
        <row r="2790">
          <cell r="B2790">
            <v>34750</v>
          </cell>
          <cell r="C2790">
            <v>5.4</v>
          </cell>
          <cell r="D2790">
            <v>0.84199999999999997</v>
          </cell>
          <cell r="E2790">
            <v>50646</v>
          </cell>
          <cell r="F2790">
            <v>2961.6</v>
          </cell>
          <cell r="J2790">
            <v>737702.44233414822</v>
          </cell>
          <cell r="K2790">
            <v>0.84199999999999997</v>
          </cell>
          <cell r="L2790">
            <v>50646</v>
          </cell>
          <cell r="M2790">
            <v>2961.6</v>
          </cell>
          <cell r="N2790">
            <v>330699.91716781113</v>
          </cell>
          <cell r="O2790">
            <v>334411.92271452822</v>
          </cell>
          <cell r="P2790">
            <v>126.1477</v>
          </cell>
        </row>
        <row r="2791">
          <cell r="B2791">
            <v>34751</v>
          </cell>
          <cell r="C2791">
            <v>5.4</v>
          </cell>
          <cell r="D2791">
            <v>0.84299999999999997</v>
          </cell>
          <cell r="E2791">
            <v>50434</v>
          </cell>
          <cell r="F2791">
            <v>2793</v>
          </cell>
          <cell r="J2791">
            <v>739030.30673034966</v>
          </cell>
          <cell r="K2791">
            <v>0.84299999999999997</v>
          </cell>
          <cell r="L2791">
            <v>50434</v>
          </cell>
          <cell r="M2791">
            <v>2793</v>
          </cell>
          <cell r="N2791">
            <v>330699.91716781113</v>
          </cell>
          <cell r="O2791">
            <v>334411.92271452822</v>
          </cell>
          <cell r="P2791">
            <v>126.1477</v>
          </cell>
        </row>
        <row r="2792">
          <cell r="B2792">
            <v>34752</v>
          </cell>
          <cell r="C2792">
            <v>5.4</v>
          </cell>
          <cell r="D2792">
            <v>0.84799999999999998</v>
          </cell>
          <cell r="E2792">
            <v>50574</v>
          </cell>
          <cell r="F2792">
            <v>2872.3</v>
          </cell>
          <cell r="J2792">
            <v>740360.5612824643</v>
          </cell>
          <cell r="K2792">
            <v>0.84799999999999998</v>
          </cell>
          <cell r="L2792">
            <v>50574</v>
          </cell>
          <cell r="M2792">
            <v>2872.3</v>
          </cell>
          <cell r="N2792">
            <v>330699.91716781113</v>
          </cell>
          <cell r="O2792">
            <v>334411.92271452822</v>
          </cell>
          <cell r="P2792">
            <v>126.1477</v>
          </cell>
        </row>
        <row r="2793">
          <cell r="B2793">
            <v>34753</v>
          </cell>
          <cell r="C2793">
            <v>5.4</v>
          </cell>
          <cell r="D2793">
            <v>0.84499999999999997</v>
          </cell>
          <cell r="E2793">
            <v>52995</v>
          </cell>
          <cell r="F2793">
            <v>3217.4</v>
          </cell>
          <cell r="J2793">
            <v>741693.21029277274</v>
          </cell>
          <cell r="K2793">
            <v>0.84499999999999997</v>
          </cell>
          <cell r="L2793">
            <v>52995</v>
          </cell>
          <cell r="M2793">
            <v>3217.4</v>
          </cell>
          <cell r="N2793">
            <v>330699.91716781113</v>
          </cell>
          <cell r="O2793">
            <v>334411.92271452822</v>
          </cell>
          <cell r="P2793">
            <v>126.1477</v>
          </cell>
        </row>
        <row r="2794">
          <cell r="B2794">
            <v>34754</v>
          </cell>
          <cell r="C2794">
            <v>4.2210000000000001</v>
          </cell>
          <cell r="D2794">
            <v>0.85099999999999998</v>
          </cell>
          <cell r="E2794">
            <v>54621</v>
          </cell>
          <cell r="F2794">
            <v>3270.8</v>
          </cell>
          <cell r="J2794">
            <v>742736.77263965458</v>
          </cell>
          <cell r="K2794">
            <v>0.85099999999999998</v>
          </cell>
          <cell r="L2794">
            <v>54621</v>
          </cell>
          <cell r="M2794">
            <v>3270.8</v>
          </cell>
          <cell r="N2794">
            <v>330699.91716781113</v>
          </cell>
          <cell r="O2794">
            <v>334411.92271452822</v>
          </cell>
          <cell r="P2794">
            <v>126.1477</v>
          </cell>
        </row>
        <row r="2795">
          <cell r="B2795">
            <v>34758</v>
          </cell>
          <cell r="G2795">
            <v>1.1499999999999999</v>
          </cell>
          <cell r="H2795">
            <v>1.39</v>
          </cell>
          <cell r="I2795">
            <v>129.1276</v>
          </cell>
          <cell r="J2795">
            <v>742736.77263965458</v>
          </cell>
          <cell r="K2795">
            <v>0.85099999999999998</v>
          </cell>
          <cell r="L2795">
            <v>54621</v>
          </cell>
          <cell r="M2795">
            <v>3270.8</v>
          </cell>
          <cell r="N2795">
            <v>334502.966215241</v>
          </cell>
          <cell r="O2795">
            <v>339060.24844026018</v>
          </cell>
          <cell r="P2795">
            <v>129.1276</v>
          </cell>
        </row>
        <row r="2796">
          <cell r="B2796">
            <v>34759</v>
          </cell>
          <cell r="C2796">
            <v>4.2</v>
          </cell>
          <cell r="D2796">
            <v>0.85</v>
          </cell>
          <cell r="J2796">
            <v>743776.6041213501</v>
          </cell>
          <cell r="K2796">
            <v>0.85</v>
          </cell>
          <cell r="L2796">
            <v>54621</v>
          </cell>
          <cell r="M2796">
            <v>3270.8</v>
          </cell>
          <cell r="N2796">
            <v>334502.966215241</v>
          </cell>
          <cell r="O2796">
            <v>339060.24844026018</v>
          </cell>
          <cell r="P2796">
            <v>129.1276</v>
          </cell>
        </row>
        <row r="2797">
          <cell r="B2797">
            <v>34760</v>
          </cell>
          <cell r="C2797">
            <v>4.2</v>
          </cell>
          <cell r="D2797">
            <v>0.85299999999999998</v>
          </cell>
          <cell r="E2797">
            <v>53015</v>
          </cell>
          <cell r="F2797">
            <v>2989</v>
          </cell>
          <cell r="J2797">
            <v>744817.89136712009</v>
          </cell>
          <cell r="K2797">
            <v>0.85299999999999998</v>
          </cell>
          <cell r="L2797">
            <v>53015</v>
          </cell>
          <cell r="M2797">
            <v>2989</v>
          </cell>
          <cell r="N2797">
            <v>334502.966215241</v>
          </cell>
          <cell r="O2797">
            <v>339060.24844026018</v>
          </cell>
          <cell r="P2797">
            <v>129.1276</v>
          </cell>
        </row>
        <row r="2798">
          <cell r="B2798">
            <v>34761</v>
          </cell>
          <cell r="C2798">
            <v>4.2089999999999996</v>
          </cell>
          <cell r="D2798">
            <v>0.85799999999999998</v>
          </cell>
          <cell r="E2798">
            <v>51862</v>
          </cell>
          <cell r="F2798">
            <v>2988</v>
          </cell>
          <cell r="J2798">
            <v>745862.87086870824</v>
          </cell>
          <cell r="K2798">
            <v>0.85799999999999998</v>
          </cell>
          <cell r="L2798">
            <v>51862</v>
          </cell>
          <cell r="M2798">
            <v>2988</v>
          </cell>
          <cell r="N2798">
            <v>334502.966215241</v>
          </cell>
          <cell r="O2798">
            <v>339060.24844026018</v>
          </cell>
          <cell r="P2798">
            <v>129.1276</v>
          </cell>
        </row>
        <row r="2799">
          <cell r="B2799">
            <v>34764</v>
          </cell>
          <cell r="C2799">
            <v>4.218</v>
          </cell>
          <cell r="D2799">
            <v>0.86799999999999999</v>
          </cell>
          <cell r="E2799">
            <v>51469</v>
          </cell>
          <cell r="F2799">
            <v>2867.1</v>
          </cell>
          <cell r="J2799">
            <v>746911.55406514963</v>
          </cell>
          <cell r="K2799">
            <v>0.86799999999999999</v>
          </cell>
          <cell r="L2799">
            <v>51469</v>
          </cell>
          <cell r="M2799">
            <v>2867.1</v>
          </cell>
          <cell r="N2799">
            <v>334502.966215241</v>
          </cell>
          <cell r="O2799">
            <v>339060.24844026018</v>
          </cell>
          <cell r="P2799">
            <v>129.1276</v>
          </cell>
        </row>
        <row r="2800">
          <cell r="B2800">
            <v>34765</v>
          </cell>
          <cell r="C2800">
            <v>4.2300000000000004</v>
          </cell>
          <cell r="D2800">
            <v>0.88600000000000001</v>
          </cell>
          <cell r="E2800">
            <v>50131</v>
          </cell>
          <cell r="F2800">
            <v>2615.6999999999998</v>
          </cell>
          <cell r="J2800">
            <v>747964.69935638143</v>
          </cell>
          <cell r="K2800">
            <v>0.88600000000000001</v>
          </cell>
          <cell r="L2800">
            <v>50131</v>
          </cell>
          <cell r="M2800">
            <v>2615.6999999999998</v>
          </cell>
          <cell r="N2800">
            <v>334502.966215241</v>
          </cell>
          <cell r="O2800">
            <v>339060.24844026018</v>
          </cell>
          <cell r="P2800">
            <v>129.1276</v>
          </cell>
        </row>
        <row r="2801">
          <cell r="B2801">
            <v>34766</v>
          </cell>
          <cell r="C2801">
            <v>4.26</v>
          </cell>
          <cell r="D2801">
            <v>0.88600000000000001</v>
          </cell>
          <cell r="E2801">
            <v>47703</v>
          </cell>
          <cell r="F2801">
            <v>2363.3000000000002</v>
          </cell>
          <cell r="J2801">
            <v>749026.80922946753</v>
          </cell>
          <cell r="K2801">
            <v>0.88600000000000001</v>
          </cell>
          <cell r="L2801">
            <v>47703</v>
          </cell>
          <cell r="M2801">
            <v>2363.3000000000002</v>
          </cell>
          <cell r="N2801">
            <v>334502.966215241</v>
          </cell>
          <cell r="O2801">
            <v>339060.24844026018</v>
          </cell>
          <cell r="P2801">
            <v>129.1276</v>
          </cell>
        </row>
        <row r="2802">
          <cell r="B2802">
            <v>34767</v>
          </cell>
          <cell r="C2802">
            <v>4.2779999999999996</v>
          </cell>
          <cell r="D2802">
            <v>0.88800000000000001</v>
          </cell>
          <cell r="E2802">
            <v>45094</v>
          </cell>
          <cell r="F2802">
            <v>2138.1999999999998</v>
          </cell>
          <cell r="J2802">
            <v>750094.92145942873</v>
          </cell>
          <cell r="K2802">
            <v>0.88800000000000001</v>
          </cell>
          <cell r="L2802">
            <v>45094</v>
          </cell>
          <cell r="M2802">
            <v>2138.1999999999998</v>
          </cell>
          <cell r="N2802">
            <v>334502.966215241</v>
          </cell>
          <cell r="O2802">
            <v>339060.24844026018</v>
          </cell>
          <cell r="P2802">
            <v>129.1276</v>
          </cell>
        </row>
        <row r="2803">
          <cell r="B2803">
            <v>34768</v>
          </cell>
          <cell r="C2803">
            <v>7.4790000000000001</v>
          </cell>
          <cell r="D2803">
            <v>0.88</v>
          </cell>
          <cell r="E2803">
            <v>47889</v>
          </cell>
          <cell r="F2803">
            <v>2686.1</v>
          </cell>
          <cell r="J2803">
            <v>751964.90809862711</v>
          </cell>
          <cell r="K2803">
            <v>0.88</v>
          </cell>
          <cell r="L2803">
            <v>47889</v>
          </cell>
          <cell r="M2803">
            <v>2686.1</v>
          </cell>
          <cell r="N2803">
            <v>334502.966215241</v>
          </cell>
          <cell r="O2803">
            <v>339060.24844026018</v>
          </cell>
          <cell r="P2803">
            <v>129.1276</v>
          </cell>
        </row>
        <row r="2804">
          <cell r="B2804">
            <v>34771</v>
          </cell>
          <cell r="C2804">
            <v>6.3</v>
          </cell>
          <cell r="D2804">
            <v>0.88049999999999995</v>
          </cell>
          <cell r="E2804">
            <v>48586</v>
          </cell>
          <cell r="F2804">
            <v>2670.8</v>
          </cell>
          <cell r="J2804">
            <v>753544.03440563427</v>
          </cell>
          <cell r="K2804">
            <v>0.88049999999999995</v>
          </cell>
          <cell r="L2804">
            <v>48586</v>
          </cell>
          <cell r="M2804">
            <v>2670.8</v>
          </cell>
          <cell r="N2804">
            <v>334502.966215241</v>
          </cell>
          <cell r="O2804">
            <v>339060.24844026018</v>
          </cell>
          <cell r="P2804">
            <v>129.1276</v>
          </cell>
        </row>
        <row r="2805">
          <cell r="B2805">
            <v>34772</v>
          </cell>
          <cell r="C2805">
            <v>6.0990000000000002</v>
          </cell>
          <cell r="D2805">
            <v>0.88100000000000001</v>
          </cell>
          <cell r="E2805">
            <v>51595</v>
          </cell>
          <cell r="F2805">
            <v>3016.9</v>
          </cell>
          <cell r="J2805">
            <v>755075.98942758085</v>
          </cell>
          <cell r="K2805">
            <v>0.88100000000000001</v>
          </cell>
          <cell r="L2805">
            <v>51595</v>
          </cell>
          <cell r="M2805">
            <v>3016.9</v>
          </cell>
          <cell r="N2805">
            <v>334502.966215241</v>
          </cell>
          <cell r="O2805">
            <v>339060.24844026018</v>
          </cell>
          <cell r="P2805">
            <v>129.1276</v>
          </cell>
        </row>
        <row r="2806">
          <cell r="B2806">
            <v>34773</v>
          </cell>
          <cell r="C2806">
            <v>6.069</v>
          </cell>
          <cell r="D2806">
            <v>0.88400000000000001</v>
          </cell>
          <cell r="E2806">
            <v>51508</v>
          </cell>
          <cell r="F2806">
            <v>2939.4</v>
          </cell>
          <cell r="J2806">
            <v>756603.50815419294</v>
          </cell>
          <cell r="K2806">
            <v>0.88400000000000001</v>
          </cell>
          <cell r="L2806">
            <v>51508</v>
          </cell>
          <cell r="M2806">
            <v>2939.4</v>
          </cell>
          <cell r="N2806">
            <v>334502.966215241</v>
          </cell>
          <cell r="O2806">
            <v>339060.24844026018</v>
          </cell>
          <cell r="P2806">
            <v>129.1276</v>
          </cell>
        </row>
        <row r="2807">
          <cell r="B2807">
            <v>34774</v>
          </cell>
          <cell r="C2807">
            <v>6.069</v>
          </cell>
          <cell r="D2807">
            <v>0.89500000000000002</v>
          </cell>
          <cell r="E2807">
            <v>52222</v>
          </cell>
          <cell r="F2807">
            <v>3141.7</v>
          </cell>
          <cell r="J2807">
            <v>758134.11705118895</v>
          </cell>
          <cell r="K2807">
            <v>0.89500000000000002</v>
          </cell>
          <cell r="L2807">
            <v>52222</v>
          </cell>
          <cell r="M2807">
            <v>3141.7</v>
          </cell>
          <cell r="N2807">
            <v>334502.966215241</v>
          </cell>
          <cell r="O2807">
            <v>339060.24844026018</v>
          </cell>
          <cell r="P2807">
            <v>129.1276</v>
          </cell>
        </row>
        <row r="2808">
          <cell r="B2808">
            <v>34775</v>
          </cell>
          <cell r="C2808">
            <v>6.069</v>
          </cell>
          <cell r="D2808">
            <v>0.89</v>
          </cell>
          <cell r="E2808">
            <v>51779</v>
          </cell>
          <cell r="F2808">
            <v>2981.1</v>
          </cell>
          <cell r="J2808">
            <v>759667.82236998354</v>
          </cell>
          <cell r="K2808">
            <v>0.89</v>
          </cell>
          <cell r="L2808">
            <v>51779</v>
          </cell>
          <cell r="M2808">
            <v>2981.1</v>
          </cell>
          <cell r="N2808">
            <v>334502.966215241</v>
          </cell>
          <cell r="O2808">
            <v>339060.24844026018</v>
          </cell>
          <cell r="P2808">
            <v>129.1276</v>
          </cell>
        </row>
        <row r="2809">
          <cell r="B2809">
            <v>34778</v>
          </cell>
          <cell r="C2809">
            <v>6.06</v>
          </cell>
          <cell r="D2809">
            <v>0.90300000000000002</v>
          </cell>
          <cell r="E2809">
            <v>51428</v>
          </cell>
          <cell r="F2809">
            <v>2870</v>
          </cell>
          <cell r="J2809">
            <v>761202.35137117084</v>
          </cell>
          <cell r="K2809">
            <v>0.90300000000000002</v>
          </cell>
          <cell r="L2809">
            <v>51428</v>
          </cell>
          <cell r="M2809">
            <v>2870</v>
          </cell>
          <cell r="N2809">
            <v>334502.966215241</v>
          </cell>
          <cell r="O2809">
            <v>339060.24844026018</v>
          </cell>
          <cell r="P2809">
            <v>129.1276</v>
          </cell>
        </row>
        <row r="2810">
          <cell r="B2810">
            <v>34779</v>
          </cell>
          <cell r="C2810">
            <v>6.06</v>
          </cell>
          <cell r="D2810">
            <v>0.90100000000000002</v>
          </cell>
          <cell r="E2810">
            <v>51845</v>
          </cell>
          <cell r="F2810">
            <v>3006.1</v>
          </cell>
          <cell r="J2810">
            <v>762739.98012094048</v>
          </cell>
          <cell r="K2810">
            <v>0.90100000000000002</v>
          </cell>
          <cell r="L2810">
            <v>51845</v>
          </cell>
          <cell r="M2810">
            <v>3006.1</v>
          </cell>
          <cell r="N2810">
            <v>334502.966215241</v>
          </cell>
          <cell r="O2810">
            <v>339060.24844026018</v>
          </cell>
          <cell r="P2810">
            <v>129.1276</v>
          </cell>
        </row>
        <row r="2811">
          <cell r="B2811">
            <v>34780</v>
          </cell>
          <cell r="C2811">
            <v>6.0510000000000002</v>
          </cell>
          <cell r="D2811">
            <v>0.90200000000000002</v>
          </cell>
          <cell r="E2811">
            <v>51734</v>
          </cell>
          <cell r="F2811">
            <v>3003.9</v>
          </cell>
          <cell r="J2811">
            <v>764278.42666084436</v>
          </cell>
          <cell r="K2811">
            <v>0.90200000000000002</v>
          </cell>
          <cell r="L2811">
            <v>51734</v>
          </cell>
          <cell r="M2811">
            <v>3003.9</v>
          </cell>
          <cell r="N2811">
            <v>334502.966215241</v>
          </cell>
          <cell r="O2811">
            <v>339060.24844026018</v>
          </cell>
          <cell r="P2811">
            <v>129.1276</v>
          </cell>
        </row>
        <row r="2812">
          <cell r="B2812">
            <v>34781</v>
          </cell>
          <cell r="C2812">
            <v>6.048</v>
          </cell>
          <cell r="D2812">
            <v>0.91400000000000003</v>
          </cell>
          <cell r="E2812">
            <v>51947</v>
          </cell>
          <cell r="F2812">
            <v>3145.6</v>
          </cell>
          <cell r="J2812">
            <v>765819.2119689926</v>
          </cell>
          <cell r="K2812">
            <v>0.91400000000000003</v>
          </cell>
          <cell r="L2812">
            <v>51947</v>
          </cell>
          <cell r="M2812">
            <v>3145.6</v>
          </cell>
          <cell r="N2812">
            <v>334502.966215241</v>
          </cell>
          <cell r="O2812">
            <v>339060.24844026018</v>
          </cell>
          <cell r="P2812">
            <v>129.1276</v>
          </cell>
        </row>
        <row r="2813">
          <cell r="B2813">
            <v>34782</v>
          </cell>
          <cell r="C2813">
            <v>6.048</v>
          </cell>
          <cell r="D2813">
            <v>0.90900000000000003</v>
          </cell>
          <cell r="E2813">
            <v>53160</v>
          </cell>
          <cell r="F2813">
            <v>3361.2</v>
          </cell>
          <cell r="J2813">
            <v>767363.10350032209</v>
          </cell>
          <cell r="K2813">
            <v>0.90900000000000003</v>
          </cell>
          <cell r="L2813">
            <v>53160</v>
          </cell>
          <cell r="M2813">
            <v>3361.2</v>
          </cell>
          <cell r="N2813">
            <v>334502.966215241</v>
          </cell>
          <cell r="O2813">
            <v>339060.24844026018</v>
          </cell>
          <cell r="P2813">
            <v>129.1276</v>
          </cell>
        </row>
        <row r="2814">
          <cell r="B2814">
            <v>34785</v>
          </cell>
          <cell r="C2814">
            <v>6.048</v>
          </cell>
          <cell r="D2814">
            <v>0.91</v>
          </cell>
          <cell r="E2814">
            <v>53862</v>
          </cell>
          <cell r="F2814">
            <v>3372.2</v>
          </cell>
          <cell r="J2814">
            <v>768910.10751697875</v>
          </cell>
          <cell r="K2814">
            <v>0.91</v>
          </cell>
          <cell r="L2814">
            <v>53862</v>
          </cell>
          <cell r="M2814">
            <v>3372.2</v>
          </cell>
          <cell r="N2814">
            <v>334502.966215241</v>
          </cell>
          <cell r="O2814">
            <v>339060.24844026018</v>
          </cell>
          <cell r="P2814">
            <v>129.1276</v>
          </cell>
        </row>
        <row r="2815">
          <cell r="B2815">
            <v>34786</v>
          </cell>
          <cell r="C2815">
            <v>6.06</v>
          </cell>
          <cell r="D2815">
            <v>0.91100000000000003</v>
          </cell>
          <cell r="E2815">
            <v>53386</v>
          </cell>
          <cell r="F2815">
            <v>3255.7</v>
          </cell>
          <cell r="J2815">
            <v>770463.30593416293</v>
          </cell>
          <cell r="K2815">
            <v>0.91100000000000003</v>
          </cell>
          <cell r="L2815">
            <v>53386</v>
          </cell>
          <cell r="M2815">
            <v>3255.7</v>
          </cell>
          <cell r="N2815">
            <v>334502.966215241</v>
          </cell>
          <cell r="O2815">
            <v>339060.24844026018</v>
          </cell>
          <cell r="P2815">
            <v>129.1276</v>
          </cell>
        </row>
        <row r="2816">
          <cell r="B2816">
            <v>34787</v>
          </cell>
          <cell r="C2816">
            <v>6.06</v>
          </cell>
          <cell r="D2816">
            <v>0.90700000000000003</v>
          </cell>
          <cell r="E2816">
            <v>52616</v>
          </cell>
          <cell r="F2816">
            <v>3198.1</v>
          </cell>
          <cell r="J2816">
            <v>772019.6418121499</v>
          </cell>
          <cell r="K2816">
            <v>0.90700000000000003</v>
          </cell>
          <cell r="L2816">
            <v>52616</v>
          </cell>
          <cell r="M2816">
            <v>3198.1</v>
          </cell>
          <cell r="N2816">
            <v>334502.966215241</v>
          </cell>
          <cell r="O2816">
            <v>339060.24844026018</v>
          </cell>
          <cell r="P2816">
            <v>129.1276</v>
          </cell>
        </row>
        <row r="2817">
          <cell r="B2817">
            <v>34788</v>
          </cell>
          <cell r="C2817">
            <v>6.048</v>
          </cell>
          <cell r="D2817">
            <v>0.90300000000000002</v>
          </cell>
          <cell r="E2817">
            <v>52450</v>
          </cell>
          <cell r="F2817">
            <v>3125.5</v>
          </cell>
          <cell r="J2817">
            <v>773576.03341004322</v>
          </cell>
          <cell r="K2817">
            <v>0.90300000000000002</v>
          </cell>
          <cell r="L2817">
            <v>52450</v>
          </cell>
          <cell r="M2817">
            <v>3125.5</v>
          </cell>
          <cell r="N2817">
            <v>334502.966215241</v>
          </cell>
          <cell r="O2817">
            <v>339060.24844026018</v>
          </cell>
          <cell r="P2817">
            <v>129.1276</v>
          </cell>
        </row>
        <row r="2818">
          <cell r="B2818">
            <v>34789</v>
          </cell>
          <cell r="C2818">
            <v>7.359</v>
          </cell>
          <cell r="D2818">
            <v>0.89600000000000002</v>
          </cell>
          <cell r="E2818">
            <v>51173</v>
          </cell>
          <cell r="F2818">
            <v>2978.9</v>
          </cell>
          <cell r="G2818">
            <v>1.81</v>
          </cell>
          <cell r="H2818">
            <v>1.1200000000000001</v>
          </cell>
          <cell r="I2818">
            <v>132.7577</v>
          </cell>
          <cell r="J2818">
            <v>775473.61541999807</v>
          </cell>
          <cell r="K2818">
            <v>0.89600000000000002</v>
          </cell>
          <cell r="L2818">
            <v>51173</v>
          </cell>
          <cell r="M2818">
            <v>2978.9</v>
          </cell>
          <cell r="N2818">
            <v>340557.46990373684</v>
          </cell>
          <cell r="O2818">
            <v>342857.72322279116</v>
          </cell>
          <cell r="P2818">
            <v>132.7577</v>
          </cell>
        </row>
        <row r="2819">
          <cell r="B2819">
            <v>34792</v>
          </cell>
          <cell r="C2819">
            <v>7.38</v>
          </cell>
          <cell r="D2819">
            <v>0.90200000000000002</v>
          </cell>
          <cell r="E2819">
            <v>50661</v>
          </cell>
          <cell r="F2819">
            <v>2893.5</v>
          </cell>
          <cell r="J2819">
            <v>777381.28051393118</v>
          </cell>
          <cell r="K2819">
            <v>0.90200000000000002</v>
          </cell>
          <cell r="L2819">
            <v>50661</v>
          </cell>
          <cell r="M2819">
            <v>2893.5</v>
          </cell>
          <cell r="N2819">
            <v>340557.46990373684</v>
          </cell>
          <cell r="O2819">
            <v>342857.72322279116</v>
          </cell>
          <cell r="P2819">
            <v>132.7577</v>
          </cell>
        </row>
        <row r="2820">
          <cell r="B2820">
            <v>34793</v>
          </cell>
          <cell r="C2820">
            <v>7.38</v>
          </cell>
          <cell r="D2820">
            <v>0.90100000000000002</v>
          </cell>
          <cell r="E2820">
            <v>51232</v>
          </cell>
          <cell r="F2820">
            <v>3125.1</v>
          </cell>
          <cell r="J2820">
            <v>779293.63846399542</v>
          </cell>
          <cell r="K2820">
            <v>0.90100000000000002</v>
          </cell>
          <cell r="L2820">
            <v>51232</v>
          </cell>
          <cell r="M2820">
            <v>3125.1</v>
          </cell>
          <cell r="N2820">
            <v>340557.46990373684</v>
          </cell>
          <cell r="O2820">
            <v>342857.72322279116</v>
          </cell>
          <cell r="P2820">
            <v>132.7577</v>
          </cell>
        </row>
        <row r="2821">
          <cell r="B2821">
            <v>34794</v>
          </cell>
          <cell r="C2821">
            <v>7.38</v>
          </cell>
          <cell r="D2821">
            <v>0.9</v>
          </cell>
          <cell r="E2821">
            <v>50885</v>
          </cell>
          <cell r="F2821">
            <v>3180.3</v>
          </cell>
          <cell r="J2821">
            <v>781210.70081461675</v>
          </cell>
          <cell r="K2821">
            <v>0.9</v>
          </cell>
          <cell r="L2821">
            <v>50885</v>
          </cell>
          <cell r="M2821">
            <v>3180.3</v>
          </cell>
          <cell r="N2821">
            <v>340557.46990373684</v>
          </cell>
          <cell r="O2821">
            <v>342857.72322279116</v>
          </cell>
          <cell r="P2821">
            <v>132.7577</v>
          </cell>
        </row>
        <row r="2822">
          <cell r="B2822">
            <v>34795</v>
          </cell>
          <cell r="C2822">
            <v>7.38</v>
          </cell>
          <cell r="D2822">
            <v>0.89400000000000002</v>
          </cell>
          <cell r="E2822">
            <v>51455</v>
          </cell>
          <cell r="F2822">
            <v>3254.5</v>
          </cell>
          <cell r="J2822">
            <v>783132.47913862066</v>
          </cell>
          <cell r="K2822">
            <v>0.89400000000000002</v>
          </cell>
          <cell r="L2822">
            <v>51455</v>
          </cell>
          <cell r="M2822">
            <v>3254.5</v>
          </cell>
          <cell r="N2822">
            <v>340557.46990373684</v>
          </cell>
          <cell r="O2822">
            <v>342857.72322279116</v>
          </cell>
          <cell r="P2822">
            <v>132.7577</v>
          </cell>
        </row>
        <row r="2823">
          <cell r="B2823">
            <v>34796</v>
          </cell>
          <cell r="C2823">
            <v>7.38</v>
          </cell>
          <cell r="D2823">
            <v>0.9</v>
          </cell>
          <cell r="E2823">
            <v>51205</v>
          </cell>
          <cell r="F2823">
            <v>3192.6</v>
          </cell>
          <cell r="J2823">
            <v>785058.98503730155</v>
          </cell>
          <cell r="K2823">
            <v>0.9</v>
          </cell>
          <cell r="L2823">
            <v>51205</v>
          </cell>
          <cell r="M2823">
            <v>3192.6</v>
          </cell>
          <cell r="N2823">
            <v>340557.46990373684</v>
          </cell>
          <cell r="O2823">
            <v>342857.72322279116</v>
          </cell>
          <cell r="P2823">
            <v>132.7577</v>
          </cell>
        </row>
        <row r="2824">
          <cell r="B2824">
            <v>34799</v>
          </cell>
          <cell r="C2824">
            <v>7.3979999999999997</v>
          </cell>
          <cell r="D2824">
            <v>0.89700000000000002</v>
          </cell>
          <cell r="E2824">
            <v>50778</v>
          </cell>
          <cell r="F2824">
            <v>3114</v>
          </cell>
          <cell r="J2824">
            <v>786994.94049440359</v>
          </cell>
          <cell r="K2824">
            <v>0.89700000000000002</v>
          </cell>
          <cell r="L2824">
            <v>50778</v>
          </cell>
          <cell r="M2824">
            <v>3114</v>
          </cell>
          <cell r="N2824">
            <v>340557.46990373684</v>
          </cell>
          <cell r="O2824">
            <v>342857.72322279116</v>
          </cell>
          <cell r="P2824">
            <v>132.7577</v>
          </cell>
        </row>
        <row r="2825">
          <cell r="B2825">
            <v>34800</v>
          </cell>
          <cell r="C2825">
            <v>7.4580000000000002</v>
          </cell>
          <cell r="D2825">
            <v>0.90100000000000002</v>
          </cell>
          <cell r="E2825">
            <v>50125</v>
          </cell>
          <cell r="F2825">
            <v>3017.7</v>
          </cell>
          <cell r="J2825">
            <v>788951.40991647262</v>
          </cell>
          <cell r="K2825">
            <v>0.90100000000000002</v>
          </cell>
          <cell r="L2825">
            <v>50125</v>
          </cell>
          <cell r="M2825">
            <v>3017.7</v>
          </cell>
          <cell r="N2825">
            <v>340557.46990373684</v>
          </cell>
          <cell r="O2825">
            <v>342857.72322279116</v>
          </cell>
          <cell r="P2825">
            <v>132.7577</v>
          </cell>
        </row>
        <row r="2826">
          <cell r="B2826">
            <v>34801</v>
          </cell>
          <cell r="C2826">
            <v>7.47</v>
          </cell>
          <cell r="D2826">
            <v>0.90800000000000003</v>
          </cell>
          <cell r="E2826">
            <v>49777</v>
          </cell>
          <cell r="F2826">
            <v>3020.7</v>
          </cell>
          <cell r="J2826">
            <v>790915.89892716473</v>
          </cell>
          <cell r="K2826">
            <v>0.90800000000000003</v>
          </cell>
          <cell r="L2826">
            <v>49777</v>
          </cell>
          <cell r="M2826">
            <v>3020.7</v>
          </cell>
          <cell r="N2826">
            <v>340557.46990373684</v>
          </cell>
          <cell r="O2826">
            <v>342857.72322279116</v>
          </cell>
          <cell r="P2826">
            <v>132.7577</v>
          </cell>
        </row>
        <row r="2827">
          <cell r="B2827">
            <v>34806</v>
          </cell>
          <cell r="C2827">
            <v>7.4580000000000002</v>
          </cell>
          <cell r="D2827">
            <v>0.90500000000000003</v>
          </cell>
          <cell r="E2827">
            <v>50238</v>
          </cell>
          <cell r="F2827">
            <v>3113.1</v>
          </cell>
          <cell r="J2827">
            <v>792882.11585189763</v>
          </cell>
          <cell r="K2827">
            <v>0.90500000000000003</v>
          </cell>
          <cell r="L2827">
            <v>50238</v>
          </cell>
          <cell r="M2827">
            <v>3113.1</v>
          </cell>
          <cell r="N2827">
            <v>340557.46990373684</v>
          </cell>
          <cell r="O2827">
            <v>342857.72322279116</v>
          </cell>
          <cell r="P2827">
            <v>132.7577</v>
          </cell>
        </row>
        <row r="2828">
          <cell r="B2828">
            <v>34807</v>
          </cell>
          <cell r="C2828">
            <v>7.4279999999999999</v>
          </cell>
          <cell r="D2828">
            <v>0.90500000000000003</v>
          </cell>
          <cell r="E2828">
            <v>50740</v>
          </cell>
          <cell r="F2828">
            <v>3193.9</v>
          </cell>
          <cell r="J2828">
            <v>794845.29197074682</v>
          </cell>
          <cell r="K2828">
            <v>0.90500000000000003</v>
          </cell>
          <cell r="L2828">
            <v>50740</v>
          </cell>
          <cell r="M2828">
            <v>3193.9</v>
          </cell>
          <cell r="N2828">
            <v>340557.46990373684</v>
          </cell>
          <cell r="O2828">
            <v>342857.72322279116</v>
          </cell>
          <cell r="P2828">
            <v>132.7577</v>
          </cell>
        </row>
        <row r="2829">
          <cell r="B2829">
            <v>34808</v>
          </cell>
          <cell r="C2829">
            <v>7.41</v>
          </cell>
          <cell r="D2829">
            <v>0.91400000000000003</v>
          </cell>
          <cell r="E2829">
            <v>51646</v>
          </cell>
          <cell r="F2829">
            <v>3330.6</v>
          </cell>
          <cell r="J2829">
            <v>796808.55984191457</v>
          </cell>
          <cell r="K2829">
            <v>0.91400000000000003</v>
          </cell>
          <cell r="L2829">
            <v>51646</v>
          </cell>
          <cell r="M2829">
            <v>3330.6</v>
          </cell>
          <cell r="N2829">
            <v>340557.46990373684</v>
          </cell>
          <cell r="O2829">
            <v>342857.72322279116</v>
          </cell>
          <cell r="P2829">
            <v>132.7577</v>
          </cell>
        </row>
        <row r="2830">
          <cell r="B2830">
            <v>34809</v>
          </cell>
          <cell r="C2830">
            <v>7.3890000000000002</v>
          </cell>
          <cell r="D2830">
            <v>0.91800000000000004</v>
          </cell>
          <cell r="E2830">
            <v>51848</v>
          </cell>
          <cell r="F2830">
            <v>3384.2</v>
          </cell>
          <cell r="J2830">
            <v>798771.09932480531</v>
          </cell>
          <cell r="K2830">
            <v>0.91800000000000004</v>
          </cell>
          <cell r="L2830">
            <v>51848</v>
          </cell>
          <cell r="M2830">
            <v>3384.2</v>
          </cell>
          <cell r="N2830">
            <v>340557.46990373684</v>
          </cell>
          <cell r="O2830">
            <v>342857.72322279116</v>
          </cell>
          <cell r="P2830">
            <v>132.7577</v>
          </cell>
        </row>
        <row r="2831">
          <cell r="B2831">
            <v>34813</v>
          </cell>
          <cell r="C2831">
            <v>7.3890000000000002</v>
          </cell>
          <cell r="D2831">
            <v>0.91300000000000003</v>
          </cell>
          <cell r="E2831">
            <v>52314</v>
          </cell>
          <cell r="F2831">
            <v>3512.8</v>
          </cell>
          <cell r="J2831">
            <v>800738.47254244238</v>
          </cell>
          <cell r="K2831">
            <v>0.91300000000000003</v>
          </cell>
          <cell r="L2831">
            <v>52314</v>
          </cell>
          <cell r="M2831">
            <v>3512.8</v>
          </cell>
          <cell r="N2831">
            <v>340557.46990373684</v>
          </cell>
          <cell r="O2831">
            <v>342857.72322279116</v>
          </cell>
          <cell r="P2831">
            <v>132.7577</v>
          </cell>
        </row>
        <row r="2832">
          <cell r="B2832">
            <v>34814</v>
          </cell>
          <cell r="C2832">
            <v>7.38</v>
          </cell>
          <cell r="D2832">
            <v>0.92100000000000004</v>
          </cell>
          <cell r="E2832">
            <v>53421</v>
          </cell>
          <cell r="F2832">
            <v>3699.1</v>
          </cell>
          <cell r="J2832">
            <v>802708.28918489674</v>
          </cell>
          <cell r="K2832">
            <v>0.92100000000000004</v>
          </cell>
          <cell r="L2832">
            <v>53421</v>
          </cell>
          <cell r="M2832">
            <v>3699.1</v>
          </cell>
          <cell r="N2832">
            <v>340557.46990373684</v>
          </cell>
          <cell r="O2832">
            <v>342857.72322279116</v>
          </cell>
          <cell r="P2832">
            <v>132.7577</v>
          </cell>
        </row>
        <row r="2833">
          <cell r="B2833">
            <v>34815</v>
          </cell>
          <cell r="C2833">
            <v>7.38</v>
          </cell>
          <cell r="D2833">
            <v>0.91700000000000004</v>
          </cell>
          <cell r="E2833">
            <v>54217</v>
          </cell>
          <cell r="F2833">
            <v>3825.8</v>
          </cell>
          <cell r="J2833">
            <v>804682.95157629147</v>
          </cell>
          <cell r="K2833">
            <v>0.91700000000000004</v>
          </cell>
          <cell r="L2833">
            <v>54217</v>
          </cell>
          <cell r="M2833">
            <v>3825.8</v>
          </cell>
          <cell r="N2833">
            <v>340557.46990373684</v>
          </cell>
          <cell r="O2833">
            <v>342857.72322279116</v>
          </cell>
          <cell r="P2833">
            <v>132.7577</v>
          </cell>
        </row>
        <row r="2834">
          <cell r="B2834">
            <v>34816</v>
          </cell>
          <cell r="C2834">
            <v>7.38</v>
          </cell>
          <cell r="D2834">
            <v>0.91900000000000004</v>
          </cell>
          <cell r="E2834">
            <v>54786</v>
          </cell>
          <cell r="F2834">
            <v>3851</v>
          </cell>
          <cell r="J2834">
            <v>806662.47163716902</v>
          </cell>
          <cell r="K2834">
            <v>0.91900000000000004</v>
          </cell>
          <cell r="L2834">
            <v>54786</v>
          </cell>
          <cell r="M2834">
            <v>3851</v>
          </cell>
          <cell r="N2834">
            <v>340557.46990373684</v>
          </cell>
          <cell r="O2834">
            <v>342857.72322279116</v>
          </cell>
          <cell r="P2834">
            <v>132.7577</v>
          </cell>
        </row>
        <row r="2835">
          <cell r="B2835">
            <v>34817</v>
          </cell>
          <cell r="C2835">
            <v>5.7</v>
          </cell>
          <cell r="D2835">
            <v>0.91300000000000003</v>
          </cell>
          <cell r="E2835">
            <v>55650</v>
          </cell>
          <cell r="F2835">
            <v>3813.7</v>
          </cell>
          <cell r="G2835">
            <v>2.2999999999999998</v>
          </cell>
          <cell r="H2835">
            <v>2.1</v>
          </cell>
          <cell r="I2835">
            <v>138.04689999999999</v>
          </cell>
          <cell r="J2835">
            <v>808195.13033327961</v>
          </cell>
          <cell r="K2835">
            <v>0.91300000000000003</v>
          </cell>
          <cell r="L2835">
            <v>55650</v>
          </cell>
          <cell r="M2835">
            <v>3813.7</v>
          </cell>
          <cell r="N2835">
            <v>348390.29171152273</v>
          </cell>
          <cell r="O2835">
            <v>350057.73541046976</v>
          </cell>
          <cell r="P2835">
            <v>138.04689999999999</v>
          </cell>
        </row>
        <row r="2836">
          <cell r="B2836">
            <v>34821</v>
          </cell>
          <cell r="C2836">
            <v>5.7089999999999996</v>
          </cell>
          <cell r="D2836">
            <v>0.91400000000000003</v>
          </cell>
          <cell r="E2836">
            <v>56051</v>
          </cell>
          <cell r="F2836">
            <v>3861.5</v>
          </cell>
          <cell r="J2836">
            <v>809733.12566630379</v>
          </cell>
          <cell r="K2836">
            <v>0.91400000000000003</v>
          </cell>
          <cell r="L2836">
            <v>56051</v>
          </cell>
          <cell r="M2836">
            <v>3861.5</v>
          </cell>
          <cell r="N2836">
            <v>348390.29171152273</v>
          </cell>
          <cell r="O2836">
            <v>350057.73541046976</v>
          </cell>
          <cell r="P2836">
            <v>138.04689999999999</v>
          </cell>
        </row>
        <row r="2837">
          <cell r="B2837">
            <v>34822</v>
          </cell>
          <cell r="C2837">
            <v>5.7690000000000001</v>
          </cell>
          <cell r="D2837">
            <v>0.90600000000000003</v>
          </cell>
          <cell r="E2837">
            <v>57842</v>
          </cell>
          <cell r="F2837">
            <v>3975.9</v>
          </cell>
          <cell r="J2837">
            <v>811290.24246695999</v>
          </cell>
          <cell r="K2837">
            <v>0.90600000000000003</v>
          </cell>
          <cell r="L2837">
            <v>57842</v>
          </cell>
          <cell r="M2837">
            <v>3975.9</v>
          </cell>
          <cell r="N2837">
            <v>348390.29171152273</v>
          </cell>
          <cell r="O2837">
            <v>350057.73541046976</v>
          </cell>
          <cell r="P2837">
            <v>138.04689999999999</v>
          </cell>
        </row>
        <row r="2838">
          <cell r="B2838">
            <v>34823</v>
          </cell>
          <cell r="C2838">
            <v>5.76</v>
          </cell>
          <cell r="D2838">
            <v>0.90500000000000003</v>
          </cell>
          <cell r="E2838">
            <v>58471</v>
          </cell>
          <cell r="F2838">
            <v>4043.9</v>
          </cell>
          <cell r="J2838">
            <v>812847.91973249649</v>
          </cell>
          <cell r="K2838">
            <v>0.90500000000000003</v>
          </cell>
          <cell r="L2838">
            <v>58471</v>
          </cell>
          <cell r="M2838">
            <v>4043.9</v>
          </cell>
          <cell r="N2838">
            <v>348390.29171152273</v>
          </cell>
          <cell r="O2838">
            <v>350057.73541046976</v>
          </cell>
          <cell r="P2838">
            <v>138.04689999999999</v>
          </cell>
        </row>
        <row r="2839">
          <cell r="B2839">
            <v>34824</v>
          </cell>
          <cell r="C2839">
            <v>5.73</v>
          </cell>
          <cell r="D2839">
            <v>0.90200000000000002</v>
          </cell>
          <cell r="E2839">
            <v>58539</v>
          </cell>
          <cell r="F2839">
            <v>4008.2</v>
          </cell>
          <cell r="J2839">
            <v>814400.45925918559</v>
          </cell>
          <cell r="K2839">
            <v>0.90200000000000002</v>
          </cell>
          <cell r="L2839">
            <v>58539</v>
          </cell>
          <cell r="M2839">
            <v>4008.2</v>
          </cell>
          <cell r="N2839">
            <v>348390.29171152273</v>
          </cell>
          <cell r="O2839">
            <v>350057.73541046976</v>
          </cell>
          <cell r="P2839">
            <v>138.04689999999999</v>
          </cell>
        </row>
        <row r="2840">
          <cell r="B2840">
            <v>34827</v>
          </cell>
          <cell r="C2840">
            <v>5.73</v>
          </cell>
          <cell r="D2840">
            <v>0.89900000000000002</v>
          </cell>
          <cell r="E2840">
            <v>57938</v>
          </cell>
          <cell r="F2840">
            <v>3914.2</v>
          </cell>
          <cell r="J2840">
            <v>815955.96413637069</v>
          </cell>
          <cell r="K2840">
            <v>0.89900000000000002</v>
          </cell>
          <cell r="L2840">
            <v>57938</v>
          </cell>
          <cell r="M2840">
            <v>3914.2</v>
          </cell>
          <cell r="N2840">
            <v>348390.29171152273</v>
          </cell>
          <cell r="O2840">
            <v>350057.73541046976</v>
          </cell>
          <cell r="P2840">
            <v>138.04689999999999</v>
          </cell>
        </row>
        <row r="2841">
          <cell r="B2841">
            <v>34828</v>
          </cell>
          <cell r="C2841">
            <v>5.7480000000000002</v>
          </cell>
          <cell r="D2841">
            <v>0.89700000000000002</v>
          </cell>
          <cell r="E2841">
            <v>59086</v>
          </cell>
          <cell r="F2841">
            <v>4065.4</v>
          </cell>
          <cell r="J2841">
            <v>817519.33576365595</v>
          </cell>
          <cell r="K2841">
            <v>0.89700000000000002</v>
          </cell>
          <cell r="L2841">
            <v>59086</v>
          </cell>
          <cell r="M2841">
            <v>4065.4</v>
          </cell>
          <cell r="N2841">
            <v>348390.29171152273</v>
          </cell>
          <cell r="O2841">
            <v>350057.73541046976</v>
          </cell>
          <cell r="P2841">
            <v>138.04689999999999</v>
          </cell>
        </row>
        <row r="2842">
          <cell r="B2842">
            <v>34829</v>
          </cell>
          <cell r="C2842">
            <v>5.7480000000000002</v>
          </cell>
          <cell r="D2842">
            <v>0.89400000000000002</v>
          </cell>
          <cell r="E2842">
            <v>59208</v>
          </cell>
          <cell r="F2842">
            <v>4050.4</v>
          </cell>
          <cell r="J2842">
            <v>819085.7028109791</v>
          </cell>
          <cell r="K2842">
            <v>0.89400000000000002</v>
          </cell>
          <cell r="L2842">
            <v>59208</v>
          </cell>
          <cell r="M2842">
            <v>4050.4</v>
          </cell>
          <cell r="N2842">
            <v>348390.29171152273</v>
          </cell>
          <cell r="O2842">
            <v>350057.73541046976</v>
          </cell>
          <cell r="P2842">
            <v>138.04689999999999</v>
          </cell>
        </row>
        <row r="2843">
          <cell r="B2843">
            <v>34830</v>
          </cell>
          <cell r="C2843">
            <v>5.7389999999999999</v>
          </cell>
          <cell r="D2843">
            <v>0.89600000000000002</v>
          </cell>
          <cell r="E2843">
            <v>58763</v>
          </cell>
          <cell r="F2843">
            <v>3951</v>
          </cell>
          <cell r="J2843">
            <v>820652.61376045656</v>
          </cell>
          <cell r="K2843">
            <v>0.89600000000000002</v>
          </cell>
          <cell r="L2843">
            <v>58763</v>
          </cell>
          <cell r="M2843">
            <v>3951</v>
          </cell>
          <cell r="N2843">
            <v>348390.29171152273</v>
          </cell>
          <cell r="O2843">
            <v>350057.73541046976</v>
          </cell>
          <cell r="P2843">
            <v>138.04689999999999</v>
          </cell>
        </row>
        <row r="2844">
          <cell r="B2844">
            <v>34831</v>
          </cell>
          <cell r="C2844">
            <v>5.73</v>
          </cell>
          <cell r="D2844">
            <v>0.89700000000000002</v>
          </cell>
          <cell r="E2844">
            <v>59031</v>
          </cell>
          <cell r="F2844">
            <v>3998.3</v>
          </cell>
          <cell r="J2844">
            <v>822220.06025273912</v>
          </cell>
          <cell r="K2844">
            <v>0.89700000000000002</v>
          </cell>
          <cell r="L2844">
            <v>59031</v>
          </cell>
          <cell r="M2844">
            <v>3998.3</v>
          </cell>
          <cell r="N2844">
            <v>348390.29171152273</v>
          </cell>
          <cell r="O2844">
            <v>350057.73541046976</v>
          </cell>
          <cell r="P2844">
            <v>138.04689999999999</v>
          </cell>
        </row>
        <row r="2845">
          <cell r="B2845">
            <v>34834</v>
          </cell>
          <cell r="C2845">
            <v>5.718</v>
          </cell>
          <cell r="D2845">
            <v>0.89100000000000001</v>
          </cell>
          <cell r="E2845">
            <v>58671</v>
          </cell>
          <cell r="F2845">
            <v>3894</v>
          </cell>
          <cell r="J2845">
            <v>823787.2116875808</v>
          </cell>
          <cell r="K2845">
            <v>0.89100000000000001</v>
          </cell>
          <cell r="L2845">
            <v>58671</v>
          </cell>
          <cell r="M2845">
            <v>3894</v>
          </cell>
          <cell r="N2845">
            <v>348390.29171152273</v>
          </cell>
          <cell r="O2845">
            <v>350057.73541046976</v>
          </cell>
          <cell r="P2845">
            <v>138.04689999999999</v>
          </cell>
        </row>
        <row r="2846">
          <cell r="B2846">
            <v>34835</v>
          </cell>
          <cell r="C2846">
            <v>5.7</v>
          </cell>
          <cell r="D2846">
            <v>0.89100000000000001</v>
          </cell>
          <cell r="E2846">
            <v>58386</v>
          </cell>
          <cell r="F2846">
            <v>3835.1</v>
          </cell>
          <cell r="J2846">
            <v>825352.40738978726</v>
          </cell>
          <cell r="K2846">
            <v>0.89100000000000001</v>
          </cell>
          <cell r="L2846">
            <v>58386</v>
          </cell>
          <cell r="M2846">
            <v>3835.1</v>
          </cell>
          <cell r="N2846">
            <v>348390.29171152273</v>
          </cell>
          <cell r="O2846">
            <v>350057.73541046976</v>
          </cell>
          <cell r="P2846">
            <v>138.04689999999999</v>
          </cell>
        </row>
        <row r="2847">
          <cell r="B2847">
            <v>34836</v>
          </cell>
          <cell r="C2847">
            <v>5.6879999999999997</v>
          </cell>
          <cell r="D2847">
            <v>0.89100000000000001</v>
          </cell>
          <cell r="E2847">
            <v>58698</v>
          </cell>
          <cell r="F2847">
            <v>3964.3</v>
          </cell>
          <cell r="J2847">
            <v>826917.27555419819</v>
          </cell>
          <cell r="K2847">
            <v>0.89100000000000001</v>
          </cell>
          <cell r="L2847">
            <v>58698</v>
          </cell>
          <cell r="M2847">
            <v>3964.3</v>
          </cell>
          <cell r="N2847">
            <v>348390.29171152273</v>
          </cell>
          <cell r="O2847">
            <v>350057.73541046976</v>
          </cell>
          <cell r="P2847">
            <v>138.04689999999999</v>
          </cell>
        </row>
        <row r="2848">
          <cell r="B2848">
            <v>34837</v>
          </cell>
          <cell r="C2848">
            <v>5.6790000000000003</v>
          </cell>
          <cell r="D2848">
            <v>0.89</v>
          </cell>
          <cell r="E2848">
            <v>58448</v>
          </cell>
          <cell r="F2848">
            <v>4008</v>
          </cell>
          <cell r="J2848">
            <v>828482.62995682226</v>
          </cell>
          <cell r="K2848">
            <v>0.89</v>
          </cell>
          <cell r="L2848">
            <v>58448</v>
          </cell>
          <cell r="M2848">
            <v>4008</v>
          </cell>
          <cell r="N2848">
            <v>348390.29171152273</v>
          </cell>
          <cell r="O2848">
            <v>350057.73541046976</v>
          </cell>
          <cell r="P2848">
            <v>138.04689999999999</v>
          </cell>
        </row>
        <row r="2849">
          <cell r="B2849">
            <v>34838</v>
          </cell>
          <cell r="C2849">
            <v>5.6790000000000003</v>
          </cell>
          <cell r="D2849">
            <v>0.89100000000000001</v>
          </cell>
          <cell r="E2849">
            <v>58077</v>
          </cell>
          <cell r="F2849">
            <v>3950</v>
          </cell>
          <cell r="J2849">
            <v>830050.9475753305</v>
          </cell>
          <cell r="K2849">
            <v>0.89100000000000001</v>
          </cell>
          <cell r="L2849">
            <v>58077</v>
          </cell>
          <cell r="M2849">
            <v>3950</v>
          </cell>
          <cell r="N2849">
            <v>348390.29171152273</v>
          </cell>
          <cell r="O2849">
            <v>350057.73541046976</v>
          </cell>
          <cell r="P2849">
            <v>138.04689999999999</v>
          </cell>
        </row>
        <row r="2850">
          <cell r="B2850">
            <v>34841</v>
          </cell>
          <cell r="C2850">
            <v>5.6790000000000003</v>
          </cell>
          <cell r="D2850">
            <v>0.89</v>
          </cell>
          <cell r="E2850">
            <v>57553</v>
          </cell>
          <cell r="F2850">
            <v>4033.7</v>
          </cell>
          <cell r="J2850">
            <v>831622.23401909054</v>
          </cell>
          <cell r="K2850">
            <v>0.89</v>
          </cell>
          <cell r="L2850">
            <v>57553</v>
          </cell>
          <cell r="M2850">
            <v>4033.7</v>
          </cell>
          <cell r="N2850">
            <v>348390.29171152273</v>
          </cell>
          <cell r="O2850">
            <v>350057.73541046976</v>
          </cell>
          <cell r="P2850">
            <v>138.04689999999999</v>
          </cell>
        </row>
        <row r="2851">
          <cell r="B2851">
            <v>34842</v>
          </cell>
          <cell r="C2851">
            <v>5.6790000000000003</v>
          </cell>
          <cell r="D2851">
            <v>0.89</v>
          </cell>
          <cell r="E2851">
            <v>57504</v>
          </cell>
          <cell r="F2851">
            <v>4048.7</v>
          </cell>
          <cell r="J2851">
            <v>833196.49490808859</v>
          </cell>
          <cell r="K2851">
            <v>0.89</v>
          </cell>
          <cell r="L2851">
            <v>57504</v>
          </cell>
          <cell r="M2851">
            <v>4048.7</v>
          </cell>
          <cell r="N2851">
            <v>348390.29171152273</v>
          </cell>
          <cell r="O2851">
            <v>350057.73541046976</v>
          </cell>
          <cell r="P2851">
            <v>138.04689999999999</v>
          </cell>
        </row>
        <row r="2852">
          <cell r="B2852">
            <v>34843</v>
          </cell>
          <cell r="C2852">
            <v>5.7</v>
          </cell>
          <cell r="D2852">
            <v>0.89</v>
          </cell>
          <cell r="E2852">
            <v>57688</v>
          </cell>
          <cell r="F2852">
            <v>4099.5</v>
          </cell>
          <cell r="J2852">
            <v>834779.56824841397</v>
          </cell>
          <cell r="K2852">
            <v>0.89</v>
          </cell>
          <cell r="L2852">
            <v>57688</v>
          </cell>
          <cell r="M2852">
            <v>4099.5</v>
          </cell>
          <cell r="N2852">
            <v>348390.29171152273</v>
          </cell>
          <cell r="O2852">
            <v>350057.73541046976</v>
          </cell>
          <cell r="P2852">
            <v>138.04689999999999</v>
          </cell>
        </row>
        <row r="2853">
          <cell r="B2853">
            <v>34844</v>
          </cell>
          <cell r="C2853">
            <v>5.6790000000000003</v>
          </cell>
          <cell r="D2853">
            <v>0.89300000000000002</v>
          </cell>
          <cell r="E2853">
            <v>57180</v>
          </cell>
          <cell r="F2853">
            <v>4018.9</v>
          </cell>
          <cell r="J2853">
            <v>836359.80597110814</v>
          </cell>
          <cell r="K2853">
            <v>0.89300000000000002</v>
          </cell>
          <cell r="L2853">
            <v>57180</v>
          </cell>
          <cell r="M2853">
            <v>4018.9</v>
          </cell>
          <cell r="N2853">
            <v>348390.29171152273</v>
          </cell>
          <cell r="O2853">
            <v>350057.73541046976</v>
          </cell>
          <cell r="P2853">
            <v>138.04689999999999</v>
          </cell>
        </row>
        <row r="2854">
          <cell r="B2854">
            <v>34845</v>
          </cell>
          <cell r="C2854">
            <v>5.6790000000000003</v>
          </cell>
          <cell r="D2854">
            <v>0.89700000000000002</v>
          </cell>
          <cell r="E2854">
            <v>56357</v>
          </cell>
          <cell r="F2854">
            <v>3904.9</v>
          </cell>
          <cell r="J2854">
            <v>837943.03508381138</v>
          </cell>
          <cell r="K2854">
            <v>0.89700000000000002</v>
          </cell>
          <cell r="L2854">
            <v>56357</v>
          </cell>
          <cell r="M2854">
            <v>3904.9</v>
          </cell>
          <cell r="N2854">
            <v>348390.29171152273</v>
          </cell>
          <cell r="O2854">
            <v>350057.73541046976</v>
          </cell>
          <cell r="P2854">
            <v>138.04689999999999</v>
          </cell>
        </row>
        <row r="2855">
          <cell r="B2855">
            <v>34848</v>
          </cell>
          <cell r="C2855">
            <v>5.67</v>
          </cell>
          <cell r="D2855">
            <v>0.90600000000000003</v>
          </cell>
          <cell r="E2855">
            <v>56371</v>
          </cell>
          <cell r="F2855">
            <v>3896.3</v>
          </cell>
          <cell r="J2855">
            <v>839526.7474201197</v>
          </cell>
          <cell r="K2855">
            <v>0.90600000000000003</v>
          </cell>
          <cell r="L2855">
            <v>56371</v>
          </cell>
          <cell r="M2855">
            <v>3896.3</v>
          </cell>
          <cell r="N2855">
            <v>348390.29171152273</v>
          </cell>
          <cell r="O2855">
            <v>350057.73541046976</v>
          </cell>
          <cell r="P2855">
            <v>138.04689999999999</v>
          </cell>
        </row>
        <row r="2856">
          <cell r="B2856">
            <v>34849</v>
          </cell>
          <cell r="C2856">
            <v>5.67</v>
          </cell>
          <cell r="D2856">
            <v>0.90600000000000003</v>
          </cell>
          <cell r="E2856">
            <v>55055</v>
          </cell>
          <cell r="F2856">
            <v>3706.8</v>
          </cell>
          <cell r="J2856">
            <v>841113.45297274366</v>
          </cell>
          <cell r="K2856">
            <v>0.90600000000000003</v>
          </cell>
          <cell r="L2856">
            <v>55055</v>
          </cell>
          <cell r="M2856">
            <v>3706.8</v>
          </cell>
          <cell r="N2856">
            <v>348390.29171152273</v>
          </cell>
          <cell r="O2856">
            <v>350057.73541046976</v>
          </cell>
          <cell r="P2856">
            <v>138.04689999999999</v>
          </cell>
        </row>
        <row r="2857">
          <cell r="B2857">
            <v>34850</v>
          </cell>
          <cell r="C2857">
            <v>5.67</v>
          </cell>
          <cell r="D2857">
            <v>0.90600000000000003</v>
          </cell>
          <cell r="E2857">
            <v>55691</v>
          </cell>
          <cell r="F2857">
            <v>3720.5</v>
          </cell>
          <cell r="G2857">
            <v>0.4</v>
          </cell>
          <cell r="H2857">
            <v>0.57999999999999996</v>
          </cell>
          <cell r="I2857">
            <v>143.24209999999999</v>
          </cell>
          <cell r="J2857">
            <v>842703.15739886207</v>
          </cell>
          <cell r="K2857">
            <v>0.90600000000000003</v>
          </cell>
          <cell r="L2857">
            <v>55691</v>
          </cell>
          <cell r="M2857">
            <v>3720.5</v>
          </cell>
          <cell r="N2857">
            <v>349783.85287836881</v>
          </cell>
          <cell r="O2857">
            <v>352088.07027585048</v>
          </cell>
          <cell r="P2857">
            <v>143.24209999999999</v>
          </cell>
        </row>
        <row r="2858">
          <cell r="B2858">
            <v>34851</v>
          </cell>
          <cell r="C2858">
            <v>5.67</v>
          </cell>
          <cell r="D2858">
            <v>0.90800000000000003</v>
          </cell>
          <cell r="E2858">
            <v>54948</v>
          </cell>
          <cell r="F2858">
            <v>3773.5</v>
          </cell>
          <cell r="J2858">
            <v>844295.8663663459</v>
          </cell>
          <cell r="K2858">
            <v>0.90800000000000003</v>
          </cell>
          <cell r="L2858">
            <v>54948</v>
          </cell>
          <cell r="M2858">
            <v>3773.5</v>
          </cell>
          <cell r="N2858">
            <v>349783.85287836881</v>
          </cell>
          <cell r="O2858">
            <v>352088.07027585048</v>
          </cell>
          <cell r="P2858">
            <v>143.24209999999999</v>
          </cell>
        </row>
        <row r="2859">
          <cell r="B2859">
            <v>34852</v>
          </cell>
          <cell r="C2859">
            <v>5.67</v>
          </cell>
          <cell r="D2859">
            <v>0.90500000000000003</v>
          </cell>
          <cell r="E2859">
            <v>56249</v>
          </cell>
          <cell r="F2859">
            <v>3966.4</v>
          </cell>
          <cell r="J2859">
            <v>845891.58555377822</v>
          </cell>
          <cell r="K2859">
            <v>0.90500000000000003</v>
          </cell>
          <cell r="L2859">
            <v>56249</v>
          </cell>
          <cell r="M2859">
            <v>3966.4</v>
          </cell>
          <cell r="N2859">
            <v>349783.85287836881</v>
          </cell>
          <cell r="O2859">
            <v>352088.07027585048</v>
          </cell>
          <cell r="P2859">
            <v>143.24209999999999</v>
          </cell>
        </row>
        <row r="2860">
          <cell r="B2860">
            <v>34855</v>
          </cell>
          <cell r="C2860">
            <v>5.67</v>
          </cell>
          <cell r="D2860">
            <v>0.90500000000000003</v>
          </cell>
          <cell r="E2860">
            <v>56357</v>
          </cell>
          <cell r="F2860">
            <v>4062.8</v>
          </cell>
          <cell r="J2860">
            <v>847490.32065047487</v>
          </cell>
          <cell r="K2860">
            <v>0.90500000000000003</v>
          </cell>
          <cell r="L2860">
            <v>56357</v>
          </cell>
          <cell r="M2860">
            <v>4062.8</v>
          </cell>
          <cell r="N2860">
            <v>349783.85287836881</v>
          </cell>
          <cell r="O2860">
            <v>352088.07027585048</v>
          </cell>
          <cell r="P2860">
            <v>143.24209999999999</v>
          </cell>
        </row>
        <row r="2861">
          <cell r="B2861">
            <v>34856</v>
          </cell>
          <cell r="C2861">
            <v>5.67</v>
          </cell>
          <cell r="D2861">
            <v>0.90600000000000003</v>
          </cell>
          <cell r="E2861">
            <v>55679</v>
          </cell>
          <cell r="F2861">
            <v>3933.2</v>
          </cell>
          <cell r="J2861">
            <v>849092.07735650428</v>
          </cell>
          <cell r="K2861">
            <v>0.90600000000000003</v>
          </cell>
          <cell r="L2861">
            <v>55679</v>
          </cell>
          <cell r="M2861">
            <v>3933.2</v>
          </cell>
          <cell r="N2861">
            <v>349783.85287836881</v>
          </cell>
          <cell r="O2861">
            <v>352088.07027585048</v>
          </cell>
          <cell r="P2861">
            <v>143.24209999999999</v>
          </cell>
        </row>
        <row r="2862">
          <cell r="B2862">
            <v>34857</v>
          </cell>
          <cell r="C2862">
            <v>5.6879999999999997</v>
          </cell>
          <cell r="D2862">
            <v>0.91100000000000003</v>
          </cell>
          <cell r="E2862">
            <v>54948</v>
          </cell>
          <cell r="F2862">
            <v>3808.1</v>
          </cell>
          <cell r="J2862">
            <v>850701.95593517215</v>
          </cell>
          <cell r="K2862">
            <v>0.91100000000000003</v>
          </cell>
          <cell r="L2862">
            <v>54948</v>
          </cell>
          <cell r="M2862">
            <v>3808.1</v>
          </cell>
          <cell r="N2862">
            <v>349783.85287836881</v>
          </cell>
          <cell r="O2862">
            <v>352088.07027585048</v>
          </cell>
          <cell r="P2862">
            <v>143.24209999999999</v>
          </cell>
        </row>
        <row r="2863">
          <cell r="B2863">
            <v>34858</v>
          </cell>
          <cell r="C2863">
            <v>5.6790000000000003</v>
          </cell>
          <cell r="D2863">
            <v>0.91200000000000003</v>
          </cell>
          <cell r="E2863">
            <v>55038</v>
          </cell>
          <cell r="F2863">
            <v>3818.4</v>
          </cell>
          <cell r="J2863">
            <v>852312.33473775734</v>
          </cell>
          <cell r="K2863">
            <v>0.91200000000000003</v>
          </cell>
          <cell r="L2863">
            <v>55038</v>
          </cell>
          <cell r="M2863">
            <v>3818.4</v>
          </cell>
          <cell r="N2863">
            <v>349783.85287836881</v>
          </cell>
          <cell r="O2863">
            <v>352088.07027585048</v>
          </cell>
          <cell r="P2863">
            <v>143.24209999999999</v>
          </cell>
        </row>
        <row r="2864">
          <cell r="B2864">
            <v>34859</v>
          </cell>
          <cell r="C2864">
            <v>5.6790000000000003</v>
          </cell>
          <cell r="D2864">
            <v>0.91300000000000003</v>
          </cell>
          <cell r="E2864">
            <v>54091</v>
          </cell>
          <cell r="F2864">
            <v>3670.6</v>
          </cell>
          <cell r="J2864">
            <v>853925.76198741584</v>
          </cell>
          <cell r="K2864">
            <v>0.91300000000000003</v>
          </cell>
          <cell r="L2864">
            <v>54091</v>
          </cell>
          <cell r="M2864">
            <v>3670.6</v>
          </cell>
          <cell r="N2864">
            <v>349783.85287836881</v>
          </cell>
          <cell r="O2864">
            <v>352088.07027585048</v>
          </cell>
          <cell r="P2864">
            <v>143.24209999999999</v>
          </cell>
        </row>
        <row r="2865">
          <cell r="B2865">
            <v>34862</v>
          </cell>
          <cell r="C2865">
            <v>5.6790000000000003</v>
          </cell>
          <cell r="D2865">
            <v>0.91800000000000004</v>
          </cell>
          <cell r="E2865">
            <v>53905</v>
          </cell>
          <cell r="F2865">
            <v>3704.7</v>
          </cell>
          <cell r="J2865">
            <v>855542.24345485796</v>
          </cell>
          <cell r="K2865">
            <v>0.91800000000000004</v>
          </cell>
          <cell r="L2865">
            <v>53905</v>
          </cell>
          <cell r="M2865">
            <v>3704.7</v>
          </cell>
          <cell r="N2865">
            <v>349783.85287836881</v>
          </cell>
          <cell r="O2865">
            <v>352088.07027585048</v>
          </cell>
          <cell r="P2865">
            <v>143.24209999999999</v>
          </cell>
        </row>
        <row r="2866">
          <cell r="B2866">
            <v>34863</v>
          </cell>
          <cell r="C2866">
            <v>5.6790000000000003</v>
          </cell>
          <cell r="D2866">
            <v>0.91500000000000004</v>
          </cell>
          <cell r="E2866">
            <v>54205</v>
          </cell>
          <cell r="F2866">
            <v>3789.2</v>
          </cell>
          <cell r="J2866">
            <v>857161.78492171795</v>
          </cell>
          <cell r="K2866">
            <v>0.91500000000000004</v>
          </cell>
          <cell r="L2866">
            <v>54205</v>
          </cell>
          <cell r="M2866">
            <v>3789.2</v>
          </cell>
          <cell r="N2866">
            <v>349783.85287836881</v>
          </cell>
          <cell r="O2866">
            <v>352088.07027585048</v>
          </cell>
          <cell r="P2866">
            <v>143.24209999999999</v>
          </cell>
        </row>
        <row r="2867">
          <cell r="B2867">
            <v>34864</v>
          </cell>
          <cell r="C2867">
            <v>5.6790000000000003</v>
          </cell>
          <cell r="D2867">
            <v>0.90700000000000003</v>
          </cell>
          <cell r="E2867">
            <v>53888</v>
          </cell>
          <cell r="F2867">
            <v>3665</v>
          </cell>
          <cell r="J2867">
            <v>858784.39218057471</v>
          </cell>
          <cell r="K2867">
            <v>0.90700000000000003</v>
          </cell>
          <cell r="L2867">
            <v>53888</v>
          </cell>
          <cell r="M2867">
            <v>3665</v>
          </cell>
          <cell r="N2867">
            <v>349783.85287836881</v>
          </cell>
          <cell r="O2867">
            <v>352088.07027585048</v>
          </cell>
          <cell r="P2867">
            <v>143.24209999999999</v>
          </cell>
        </row>
        <row r="2868">
          <cell r="B2868">
            <v>34866</v>
          </cell>
          <cell r="C2868">
            <v>5.6790000000000003</v>
          </cell>
          <cell r="D2868">
            <v>0.90900000000000003</v>
          </cell>
          <cell r="E2868">
            <v>54281</v>
          </cell>
          <cell r="F2868">
            <v>3717.8</v>
          </cell>
          <cell r="J2868">
            <v>860410.07103497244</v>
          </cell>
          <cell r="K2868">
            <v>0.90900000000000003</v>
          </cell>
          <cell r="L2868">
            <v>54281</v>
          </cell>
          <cell r="M2868">
            <v>3717.8</v>
          </cell>
          <cell r="N2868">
            <v>349783.85287836881</v>
          </cell>
          <cell r="O2868">
            <v>352088.07027585048</v>
          </cell>
          <cell r="P2868">
            <v>143.24209999999999</v>
          </cell>
        </row>
        <row r="2869">
          <cell r="B2869">
            <v>34869</v>
          </cell>
          <cell r="C2869">
            <v>5.6790000000000003</v>
          </cell>
          <cell r="D2869">
            <v>0.91200000000000003</v>
          </cell>
          <cell r="E2869">
            <v>53924</v>
          </cell>
          <cell r="F2869">
            <v>3696.1</v>
          </cell>
          <cell r="J2869">
            <v>862038.82729944156</v>
          </cell>
          <cell r="K2869">
            <v>0.91200000000000003</v>
          </cell>
          <cell r="L2869">
            <v>53924</v>
          </cell>
          <cell r="M2869">
            <v>3696.1</v>
          </cell>
          <cell r="N2869">
            <v>349783.85287836881</v>
          </cell>
          <cell r="O2869">
            <v>352088.07027585048</v>
          </cell>
          <cell r="P2869">
            <v>143.24209999999999</v>
          </cell>
        </row>
        <row r="2870">
          <cell r="B2870">
            <v>34870</v>
          </cell>
          <cell r="C2870">
            <v>5.67</v>
          </cell>
          <cell r="D2870">
            <v>0.91400000000000003</v>
          </cell>
          <cell r="E2870">
            <v>53573</v>
          </cell>
          <cell r="F2870">
            <v>3576.9</v>
          </cell>
          <cell r="J2870">
            <v>863668.08068303741</v>
          </cell>
          <cell r="K2870">
            <v>0.91400000000000003</v>
          </cell>
          <cell r="L2870">
            <v>53573</v>
          </cell>
          <cell r="M2870">
            <v>3576.9</v>
          </cell>
          <cell r="N2870">
            <v>349783.85287836881</v>
          </cell>
          <cell r="O2870">
            <v>352088.07027585048</v>
          </cell>
          <cell r="P2870">
            <v>143.24209999999999</v>
          </cell>
        </row>
        <row r="2871">
          <cell r="B2871">
            <v>34871</v>
          </cell>
          <cell r="C2871">
            <v>5.67</v>
          </cell>
          <cell r="D2871">
            <v>0.91900000000000004</v>
          </cell>
          <cell r="E2871">
            <v>53450</v>
          </cell>
          <cell r="F2871">
            <v>3631.6</v>
          </cell>
          <cell r="J2871">
            <v>865300.41335552826</v>
          </cell>
          <cell r="K2871">
            <v>0.91900000000000004</v>
          </cell>
          <cell r="L2871">
            <v>53450</v>
          </cell>
          <cell r="M2871">
            <v>3631.6</v>
          </cell>
          <cell r="N2871">
            <v>349783.85287836881</v>
          </cell>
          <cell r="O2871">
            <v>352088.07027585048</v>
          </cell>
          <cell r="P2871">
            <v>143.24209999999999</v>
          </cell>
        </row>
        <row r="2872">
          <cell r="B2872">
            <v>34872</v>
          </cell>
          <cell r="C2872">
            <v>5.67</v>
          </cell>
          <cell r="D2872">
            <v>0.92</v>
          </cell>
          <cell r="E2872">
            <v>53371</v>
          </cell>
          <cell r="F2872">
            <v>3598.8</v>
          </cell>
          <cell r="J2872">
            <v>866935.8311367702</v>
          </cell>
          <cell r="K2872">
            <v>0.92</v>
          </cell>
          <cell r="L2872">
            <v>53371</v>
          </cell>
          <cell r="M2872">
            <v>3598.8</v>
          </cell>
          <cell r="N2872">
            <v>349783.85287836881</v>
          </cell>
          <cell r="O2872">
            <v>352088.07027585048</v>
          </cell>
          <cell r="P2872">
            <v>143.24209999999999</v>
          </cell>
        </row>
        <row r="2873">
          <cell r="B2873">
            <v>34873</v>
          </cell>
          <cell r="C2873">
            <v>5.6790000000000003</v>
          </cell>
          <cell r="D2873">
            <v>0.92</v>
          </cell>
          <cell r="E2873">
            <v>53570</v>
          </cell>
          <cell r="F2873">
            <v>3585.6</v>
          </cell>
          <cell r="J2873">
            <v>868576.94066511199</v>
          </cell>
          <cell r="K2873">
            <v>0.92</v>
          </cell>
          <cell r="L2873">
            <v>53570</v>
          </cell>
          <cell r="M2873">
            <v>3585.6</v>
          </cell>
          <cell r="N2873">
            <v>349783.85287836881</v>
          </cell>
          <cell r="O2873">
            <v>352088.07027585048</v>
          </cell>
          <cell r="P2873">
            <v>143.24209999999999</v>
          </cell>
        </row>
        <row r="2874">
          <cell r="B2874">
            <v>34876</v>
          </cell>
          <cell r="C2874">
            <v>5.6790000000000003</v>
          </cell>
          <cell r="D2874">
            <v>0.91900000000000004</v>
          </cell>
          <cell r="E2874">
            <v>53381</v>
          </cell>
          <cell r="F2874">
            <v>3537</v>
          </cell>
          <cell r="J2874">
            <v>870221.15681379102</v>
          </cell>
          <cell r="K2874">
            <v>0.91900000000000004</v>
          </cell>
          <cell r="L2874">
            <v>53381</v>
          </cell>
          <cell r="M2874">
            <v>3537</v>
          </cell>
          <cell r="N2874">
            <v>349783.85287836881</v>
          </cell>
          <cell r="O2874">
            <v>352088.07027585048</v>
          </cell>
          <cell r="P2874">
            <v>143.24209999999999</v>
          </cell>
        </row>
        <row r="2875">
          <cell r="B2875">
            <v>34877</v>
          </cell>
          <cell r="C2875">
            <v>5.6790000000000003</v>
          </cell>
          <cell r="D2875">
            <v>0.92</v>
          </cell>
          <cell r="E2875">
            <v>53907</v>
          </cell>
          <cell r="F2875">
            <v>3661.3</v>
          </cell>
          <cell r="J2875">
            <v>871868.48546363949</v>
          </cell>
          <cell r="K2875">
            <v>0.92</v>
          </cell>
          <cell r="L2875">
            <v>53907</v>
          </cell>
          <cell r="M2875">
            <v>3661.3</v>
          </cell>
          <cell r="N2875">
            <v>349783.85287836881</v>
          </cell>
          <cell r="O2875">
            <v>352088.07027585048</v>
          </cell>
          <cell r="P2875">
            <v>143.24209999999999</v>
          </cell>
        </row>
        <row r="2876">
          <cell r="B2876">
            <v>34878</v>
          </cell>
          <cell r="C2876">
            <v>5.6790000000000003</v>
          </cell>
          <cell r="D2876">
            <v>0.92</v>
          </cell>
          <cell r="E2876">
            <v>54491</v>
          </cell>
          <cell r="F2876">
            <v>3715.4</v>
          </cell>
          <cell r="J2876">
            <v>873518.93250662205</v>
          </cell>
          <cell r="K2876">
            <v>0.92</v>
          </cell>
          <cell r="L2876">
            <v>54491</v>
          </cell>
          <cell r="M2876">
            <v>3715.4</v>
          </cell>
          <cell r="N2876">
            <v>349783.85287836881</v>
          </cell>
          <cell r="O2876">
            <v>352088.07027585048</v>
          </cell>
          <cell r="P2876">
            <v>143.24209999999999</v>
          </cell>
        </row>
        <row r="2877">
          <cell r="B2877">
            <v>34879</v>
          </cell>
          <cell r="C2877">
            <v>5.6790000000000003</v>
          </cell>
          <cell r="D2877">
            <v>0.92</v>
          </cell>
          <cell r="E2877">
            <v>54020</v>
          </cell>
          <cell r="F2877">
            <v>3678</v>
          </cell>
          <cell r="J2877">
            <v>875172.50384585699</v>
          </cell>
          <cell r="K2877">
            <v>0.92</v>
          </cell>
          <cell r="L2877">
            <v>54020</v>
          </cell>
          <cell r="M2877">
            <v>3678</v>
          </cell>
          <cell r="N2877">
            <v>349783.85287836881</v>
          </cell>
          <cell r="O2877">
            <v>352088.07027585048</v>
          </cell>
          <cell r="P2877">
            <v>143.24209999999999</v>
          </cell>
        </row>
        <row r="2878">
          <cell r="B2878">
            <v>34880</v>
          </cell>
          <cell r="C2878">
            <v>5.67</v>
          </cell>
          <cell r="D2878">
            <v>0.92200000000000004</v>
          </cell>
          <cell r="E2878">
            <v>53967</v>
          </cell>
          <cell r="F2878">
            <v>3603.3</v>
          </cell>
          <cell r="G2878">
            <v>2.62</v>
          </cell>
          <cell r="H2878">
            <v>2.46</v>
          </cell>
          <cell r="I2878">
            <v>148.11349999999999</v>
          </cell>
          <cell r="J2878">
            <v>876826.57987812557</v>
          </cell>
          <cell r="K2878">
            <v>0.92200000000000004</v>
          </cell>
          <cell r="L2878">
            <v>53967</v>
          </cell>
          <cell r="M2878">
            <v>3603.3</v>
          </cell>
          <cell r="N2878">
            <v>358948.18982378207</v>
          </cell>
          <cell r="O2878">
            <v>360749.43680463638</v>
          </cell>
          <cell r="P2878">
            <v>148.11349999999999</v>
          </cell>
        </row>
        <row r="2879">
          <cell r="B2879">
            <v>34883</v>
          </cell>
          <cell r="C2879">
            <v>5.67</v>
          </cell>
          <cell r="D2879">
            <v>0.92</v>
          </cell>
          <cell r="E2879">
            <v>53452</v>
          </cell>
          <cell r="F2879">
            <v>3594.3</v>
          </cell>
          <cell r="J2879">
            <v>878483.78211409517</v>
          </cell>
          <cell r="K2879">
            <v>0.92</v>
          </cell>
          <cell r="L2879">
            <v>53452</v>
          </cell>
          <cell r="M2879">
            <v>3594.3</v>
          </cell>
          <cell r="N2879">
            <v>358948.18982378207</v>
          </cell>
          <cell r="O2879">
            <v>360749.43680463638</v>
          </cell>
          <cell r="P2879">
            <v>148.11349999999999</v>
          </cell>
        </row>
        <row r="2880">
          <cell r="B2880">
            <v>34884</v>
          </cell>
          <cell r="C2880">
            <v>5.67</v>
          </cell>
          <cell r="D2880">
            <v>0.92</v>
          </cell>
          <cell r="E2880">
            <v>53080</v>
          </cell>
          <cell r="F2880">
            <v>3633.6</v>
          </cell>
          <cell r="J2880">
            <v>880144.11646229075</v>
          </cell>
          <cell r="K2880">
            <v>0.92</v>
          </cell>
          <cell r="L2880">
            <v>53080</v>
          </cell>
          <cell r="M2880">
            <v>3633.6</v>
          </cell>
          <cell r="N2880">
            <v>358948.18982378207</v>
          </cell>
          <cell r="O2880">
            <v>360749.43680463638</v>
          </cell>
          <cell r="P2880">
            <v>148.11349999999999</v>
          </cell>
        </row>
        <row r="2881">
          <cell r="B2881">
            <v>34885</v>
          </cell>
          <cell r="C2881">
            <v>5.67</v>
          </cell>
          <cell r="D2881">
            <v>0.92200000000000004</v>
          </cell>
          <cell r="E2881">
            <v>53523</v>
          </cell>
          <cell r="F2881">
            <v>3700.3</v>
          </cell>
          <cell r="J2881">
            <v>881807.58884240442</v>
          </cell>
          <cell r="K2881">
            <v>0.92200000000000004</v>
          </cell>
          <cell r="L2881">
            <v>53523</v>
          </cell>
          <cell r="M2881">
            <v>3700.3</v>
          </cell>
          <cell r="N2881">
            <v>358948.18982378207</v>
          </cell>
          <cell r="O2881">
            <v>360749.43680463638</v>
          </cell>
          <cell r="P2881">
            <v>148.11349999999999</v>
          </cell>
        </row>
        <row r="2882">
          <cell r="B2882">
            <v>34886</v>
          </cell>
          <cell r="C2882">
            <v>5.67</v>
          </cell>
          <cell r="D2882">
            <v>0.92500000000000004</v>
          </cell>
          <cell r="E2882">
            <v>54037</v>
          </cell>
          <cell r="F2882">
            <v>3820.9</v>
          </cell>
          <cell r="J2882">
            <v>883474.2051853165</v>
          </cell>
          <cell r="K2882">
            <v>0.92500000000000004</v>
          </cell>
          <cell r="L2882">
            <v>54037</v>
          </cell>
          <cell r="M2882">
            <v>3820.9</v>
          </cell>
          <cell r="N2882">
            <v>358948.18982378207</v>
          </cell>
          <cell r="O2882">
            <v>360749.43680463638</v>
          </cell>
          <cell r="P2882">
            <v>148.11349999999999</v>
          </cell>
        </row>
        <row r="2883">
          <cell r="B2883">
            <v>34887</v>
          </cell>
          <cell r="C2883">
            <v>5.67</v>
          </cell>
          <cell r="D2883">
            <v>0.92500000000000004</v>
          </cell>
          <cell r="E2883">
            <v>54748</v>
          </cell>
          <cell r="F2883">
            <v>3961.7</v>
          </cell>
          <cell r="J2883">
            <v>885143.97143311671</v>
          </cell>
          <cell r="K2883">
            <v>0.92500000000000004</v>
          </cell>
          <cell r="L2883">
            <v>54748</v>
          </cell>
          <cell r="M2883">
            <v>3961.7</v>
          </cell>
          <cell r="N2883">
            <v>358948.18982378207</v>
          </cell>
          <cell r="O2883">
            <v>360749.43680463638</v>
          </cell>
          <cell r="P2883">
            <v>148.11349999999999</v>
          </cell>
        </row>
        <row r="2884">
          <cell r="B2884">
            <v>34890</v>
          </cell>
          <cell r="C2884">
            <v>5.67</v>
          </cell>
          <cell r="D2884">
            <v>0.92500000000000004</v>
          </cell>
          <cell r="E2884">
            <v>55025</v>
          </cell>
          <cell r="F2884">
            <v>3958.4</v>
          </cell>
          <cell r="J2884">
            <v>886816.89353912522</v>
          </cell>
          <cell r="K2884">
            <v>0.92500000000000004</v>
          </cell>
          <cell r="L2884">
            <v>55025</v>
          </cell>
          <cell r="M2884">
            <v>3958.4</v>
          </cell>
          <cell r="N2884">
            <v>358948.18982378207</v>
          </cell>
          <cell r="O2884">
            <v>360749.43680463638</v>
          </cell>
          <cell r="P2884">
            <v>148.11349999999999</v>
          </cell>
        </row>
        <row r="2885">
          <cell r="B2885">
            <v>34891</v>
          </cell>
          <cell r="C2885">
            <v>5.67</v>
          </cell>
          <cell r="D2885">
            <v>0.92500000000000004</v>
          </cell>
          <cell r="E2885">
            <v>54804</v>
          </cell>
          <cell r="F2885">
            <v>3889.2</v>
          </cell>
          <cell r="J2885">
            <v>888492.97746791411</v>
          </cell>
          <cell r="K2885">
            <v>0.92500000000000004</v>
          </cell>
          <cell r="L2885">
            <v>54804</v>
          </cell>
          <cell r="M2885">
            <v>3889.2</v>
          </cell>
          <cell r="N2885">
            <v>358948.18982378207</v>
          </cell>
          <cell r="O2885">
            <v>360749.43680463638</v>
          </cell>
          <cell r="P2885">
            <v>148.11349999999999</v>
          </cell>
        </row>
        <row r="2886">
          <cell r="B2886">
            <v>34892</v>
          </cell>
          <cell r="C2886">
            <v>5.6580000000000004</v>
          </cell>
          <cell r="D2886">
            <v>0.92500000000000004</v>
          </cell>
          <cell r="E2886">
            <v>55049</v>
          </cell>
          <cell r="F2886">
            <v>4026.4</v>
          </cell>
          <cell r="J2886">
            <v>890168.67522341863</v>
          </cell>
          <cell r="K2886">
            <v>0.92500000000000004</v>
          </cell>
          <cell r="L2886">
            <v>55049</v>
          </cell>
          <cell r="M2886">
            <v>4026.4</v>
          </cell>
          <cell r="N2886">
            <v>358948.18982378207</v>
          </cell>
          <cell r="O2886">
            <v>360749.43680463638</v>
          </cell>
          <cell r="P2886">
            <v>148.11349999999999</v>
          </cell>
        </row>
        <row r="2887">
          <cell r="B2887">
            <v>34893</v>
          </cell>
          <cell r="C2887">
            <v>5.6580000000000004</v>
          </cell>
          <cell r="D2887">
            <v>0.92600000000000005</v>
          </cell>
          <cell r="E2887">
            <v>55171</v>
          </cell>
          <cell r="F2887">
            <v>4007.5</v>
          </cell>
          <cell r="J2887">
            <v>891847.53334488999</v>
          </cell>
          <cell r="K2887">
            <v>0.92600000000000005</v>
          </cell>
          <cell r="L2887">
            <v>55171</v>
          </cell>
          <cell r="M2887">
            <v>4007.5</v>
          </cell>
          <cell r="N2887">
            <v>358948.18982378207</v>
          </cell>
          <cell r="O2887">
            <v>360749.43680463638</v>
          </cell>
          <cell r="P2887">
            <v>148.11349999999999</v>
          </cell>
        </row>
        <row r="2888">
          <cell r="B2888">
            <v>34894</v>
          </cell>
          <cell r="C2888">
            <v>5.649</v>
          </cell>
          <cell r="D2888">
            <v>0.92600000000000005</v>
          </cell>
          <cell r="E2888">
            <v>54824</v>
          </cell>
          <cell r="F2888">
            <v>4026.8</v>
          </cell>
          <cell r="J2888">
            <v>893526.88225017849</v>
          </cell>
          <cell r="K2888">
            <v>0.92600000000000005</v>
          </cell>
          <cell r="L2888">
            <v>54824</v>
          </cell>
          <cell r="M2888">
            <v>4026.8</v>
          </cell>
          <cell r="N2888">
            <v>358948.18982378207</v>
          </cell>
          <cell r="O2888">
            <v>360749.43680463638</v>
          </cell>
          <cell r="P2888">
            <v>148.11349999999999</v>
          </cell>
        </row>
        <row r="2889">
          <cell r="B2889">
            <v>34897</v>
          </cell>
          <cell r="C2889">
            <v>5.649</v>
          </cell>
          <cell r="D2889">
            <v>0.92800000000000005</v>
          </cell>
          <cell r="E2889">
            <v>54700</v>
          </cell>
          <cell r="F2889">
            <v>4016.1</v>
          </cell>
          <cell r="J2889">
            <v>895209.39336945559</v>
          </cell>
          <cell r="K2889">
            <v>0.92800000000000005</v>
          </cell>
          <cell r="L2889">
            <v>54700</v>
          </cell>
          <cell r="M2889">
            <v>4016.1</v>
          </cell>
          <cell r="N2889">
            <v>358948.18982378207</v>
          </cell>
          <cell r="O2889">
            <v>360749.43680463638</v>
          </cell>
          <cell r="P2889">
            <v>148.11349999999999</v>
          </cell>
        </row>
        <row r="2890">
          <cell r="B2890">
            <v>34898</v>
          </cell>
          <cell r="C2890">
            <v>5.64</v>
          </cell>
          <cell r="D2890">
            <v>0.92900000000000005</v>
          </cell>
          <cell r="E2890">
            <v>53999</v>
          </cell>
          <cell r="F2890">
            <v>3919.1</v>
          </cell>
          <cell r="J2890">
            <v>896892.38702899031</v>
          </cell>
          <cell r="K2890">
            <v>0.92900000000000005</v>
          </cell>
          <cell r="L2890">
            <v>53999</v>
          </cell>
          <cell r="M2890">
            <v>3919.1</v>
          </cell>
          <cell r="N2890">
            <v>358948.18982378207</v>
          </cell>
          <cell r="O2890">
            <v>360749.43680463638</v>
          </cell>
          <cell r="P2890">
            <v>148.11349999999999</v>
          </cell>
        </row>
        <row r="2891">
          <cell r="B2891">
            <v>34899</v>
          </cell>
          <cell r="C2891">
            <v>5.64</v>
          </cell>
          <cell r="D2891">
            <v>0.92900000000000005</v>
          </cell>
          <cell r="E2891">
            <v>53134</v>
          </cell>
          <cell r="F2891">
            <v>3829.4</v>
          </cell>
          <cell r="J2891">
            <v>898578.54471660487</v>
          </cell>
          <cell r="K2891">
            <v>0.92900000000000005</v>
          </cell>
          <cell r="L2891">
            <v>53134</v>
          </cell>
          <cell r="M2891">
            <v>3829.4</v>
          </cell>
          <cell r="N2891">
            <v>358948.18982378207</v>
          </cell>
          <cell r="O2891">
            <v>360749.43680463638</v>
          </cell>
          <cell r="P2891">
            <v>148.11349999999999</v>
          </cell>
        </row>
        <row r="2892">
          <cell r="B2892">
            <v>34900</v>
          </cell>
          <cell r="C2892">
            <v>5.64</v>
          </cell>
          <cell r="D2892">
            <v>0.92900000000000005</v>
          </cell>
          <cell r="E2892">
            <v>53267</v>
          </cell>
          <cell r="F2892">
            <v>3939</v>
          </cell>
          <cell r="J2892">
            <v>900267.87238067214</v>
          </cell>
          <cell r="K2892">
            <v>0.92900000000000005</v>
          </cell>
          <cell r="L2892">
            <v>53267</v>
          </cell>
          <cell r="M2892">
            <v>3939</v>
          </cell>
          <cell r="N2892">
            <v>358948.18982378207</v>
          </cell>
          <cell r="O2892">
            <v>360749.43680463638</v>
          </cell>
          <cell r="P2892">
            <v>148.11349999999999</v>
          </cell>
        </row>
        <row r="2893">
          <cell r="B2893">
            <v>34901</v>
          </cell>
          <cell r="C2893">
            <v>5.64</v>
          </cell>
          <cell r="D2893">
            <v>0.93400000000000005</v>
          </cell>
          <cell r="E2893">
            <v>53694</v>
          </cell>
          <cell r="F2893">
            <v>3862.3</v>
          </cell>
          <cell r="J2893">
            <v>901960.37598074786</v>
          </cell>
          <cell r="K2893">
            <v>0.93400000000000005</v>
          </cell>
          <cell r="L2893">
            <v>53694</v>
          </cell>
          <cell r="M2893">
            <v>3862.3</v>
          </cell>
          <cell r="N2893">
            <v>358948.18982378207</v>
          </cell>
          <cell r="O2893">
            <v>360749.43680463638</v>
          </cell>
          <cell r="P2893">
            <v>148.11349999999999</v>
          </cell>
        </row>
        <row r="2894">
          <cell r="B2894">
            <v>34904</v>
          </cell>
          <cell r="C2894">
            <v>5.64</v>
          </cell>
          <cell r="D2894">
            <v>0.93400000000000005</v>
          </cell>
          <cell r="E2894">
            <v>53662</v>
          </cell>
          <cell r="F2894">
            <v>3899.6</v>
          </cell>
          <cell r="J2894">
            <v>903656.06148759171</v>
          </cell>
          <cell r="K2894">
            <v>0.93400000000000005</v>
          </cell>
          <cell r="L2894">
            <v>53662</v>
          </cell>
          <cell r="M2894">
            <v>3899.6</v>
          </cell>
          <cell r="N2894">
            <v>358948.18982378207</v>
          </cell>
          <cell r="O2894">
            <v>360749.43680463638</v>
          </cell>
          <cell r="P2894">
            <v>148.11349999999999</v>
          </cell>
        </row>
        <row r="2895">
          <cell r="B2895">
            <v>34905</v>
          </cell>
          <cell r="C2895">
            <v>5.6280000000000001</v>
          </cell>
          <cell r="D2895">
            <v>0.93600000000000005</v>
          </cell>
          <cell r="E2895">
            <v>53985</v>
          </cell>
          <cell r="F2895">
            <v>3917.9</v>
          </cell>
          <cell r="J2895">
            <v>905351.32025894243</v>
          </cell>
          <cell r="K2895">
            <v>0.93600000000000005</v>
          </cell>
          <cell r="L2895">
            <v>53985</v>
          </cell>
          <cell r="M2895">
            <v>3917.9</v>
          </cell>
          <cell r="N2895">
            <v>358948.18982378207</v>
          </cell>
          <cell r="O2895">
            <v>360749.43680463638</v>
          </cell>
          <cell r="P2895">
            <v>148.11349999999999</v>
          </cell>
        </row>
        <row r="2896">
          <cell r="B2896">
            <v>34906</v>
          </cell>
          <cell r="C2896">
            <v>5.6280000000000001</v>
          </cell>
          <cell r="D2896">
            <v>0.93600000000000005</v>
          </cell>
          <cell r="E2896">
            <v>53762</v>
          </cell>
          <cell r="F2896">
            <v>3878.8</v>
          </cell>
          <cell r="J2896">
            <v>907049.75933574815</v>
          </cell>
          <cell r="K2896">
            <v>0.93600000000000005</v>
          </cell>
          <cell r="L2896">
            <v>53762</v>
          </cell>
          <cell r="M2896">
            <v>3878.8</v>
          </cell>
          <cell r="N2896">
            <v>358948.18982378207</v>
          </cell>
          <cell r="O2896">
            <v>360749.43680463638</v>
          </cell>
          <cell r="P2896">
            <v>148.11349999999999</v>
          </cell>
        </row>
        <row r="2897">
          <cell r="B2897">
            <v>34907</v>
          </cell>
          <cell r="C2897">
            <v>5.6280000000000001</v>
          </cell>
          <cell r="D2897">
            <v>0.93700000000000006</v>
          </cell>
          <cell r="E2897">
            <v>53677</v>
          </cell>
          <cell r="F2897">
            <v>3912.8</v>
          </cell>
          <cell r="J2897">
            <v>908751.38468426198</v>
          </cell>
          <cell r="K2897">
            <v>0.93700000000000006</v>
          </cell>
          <cell r="L2897">
            <v>53677</v>
          </cell>
          <cell r="M2897">
            <v>3912.8</v>
          </cell>
          <cell r="N2897">
            <v>358948.18982378207</v>
          </cell>
          <cell r="O2897">
            <v>360749.43680463638</v>
          </cell>
          <cell r="P2897">
            <v>148.11349999999999</v>
          </cell>
        </row>
        <row r="2898">
          <cell r="B2898">
            <v>34908</v>
          </cell>
          <cell r="C2898">
            <v>5.6280000000000001</v>
          </cell>
          <cell r="D2898">
            <v>0.93700000000000006</v>
          </cell>
          <cell r="E2898">
            <v>53712</v>
          </cell>
          <cell r="F2898">
            <v>3888.3</v>
          </cell>
          <cell r="J2898">
            <v>910456.20228192967</v>
          </cell>
          <cell r="K2898">
            <v>0.93700000000000006</v>
          </cell>
          <cell r="L2898">
            <v>53712</v>
          </cell>
          <cell r="M2898">
            <v>3888.3</v>
          </cell>
          <cell r="N2898">
            <v>358948.18982378207</v>
          </cell>
          <cell r="O2898">
            <v>360749.43680463638</v>
          </cell>
          <cell r="P2898">
            <v>148.11349999999999</v>
          </cell>
        </row>
        <row r="2899">
          <cell r="B2899">
            <v>34911</v>
          </cell>
          <cell r="C2899">
            <v>4.9980000000000002</v>
          </cell>
          <cell r="D2899">
            <v>0.93600000000000005</v>
          </cell>
          <cell r="E2899">
            <v>53913</v>
          </cell>
          <cell r="F2899">
            <v>3877.4</v>
          </cell>
          <cell r="G2899">
            <v>2.2400000000000002</v>
          </cell>
          <cell r="H2899">
            <v>1.82</v>
          </cell>
          <cell r="I2899">
            <v>153.30549999999999</v>
          </cell>
          <cell r="J2899">
            <v>911973.02231493127</v>
          </cell>
          <cell r="K2899">
            <v>0.93600000000000005</v>
          </cell>
          <cell r="L2899">
            <v>53913</v>
          </cell>
          <cell r="M2899">
            <v>3877.4</v>
          </cell>
          <cell r="N2899">
            <v>366988.62927583477</v>
          </cell>
          <cell r="O2899">
            <v>367315.07655448077</v>
          </cell>
          <cell r="P2899">
            <v>153.30549999999999</v>
          </cell>
        </row>
        <row r="2900">
          <cell r="B2900">
            <v>34912</v>
          </cell>
          <cell r="C2900">
            <v>4.9980000000000002</v>
          </cell>
          <cell r="D2900">
            <v>0.93600000000000005</v>
          </cell>
          <cell r="E2900">
            <v>53482</v>
          </cell>
          <cell r="F2900">
            <v>3870.8</v>
          </cell>
          <cell r="J2900">
            <v>913492.36937010789</v>
          </cell>
          <cell r="K2900">
            <v>0.93600000000000005</v>
          </cell>
          <cell r="L2900">
            <v>53482</v>
          </cell>
          <cell r="M2900">
            <v>3870.8</v>
          </cell>
          <cell r="N2900">
            <v>366988.62927583477</v>
          </cell>
          <cell r="O2900">
            <v>367315.07655448077</v>
          </cell>
          <cell r="P2900">
            <v>153.30549999999999</v>
          </cell>
        </row>
        <row r="2901">
          <cell r="B2901">
            <v>34913</v>
          </cell>
          <cell r="C2901">
            <v>4.9980000000000002</v>
          </cell>
          <cell r="D2901">
            <v>0.93600000000000005</v>
          </cell>
          <cell r="E2901">
            <v>53885</v>
          </cell>
          <cell r="F2901">
            <v>3918.4</v>
          </cell>
          <cell r="J2901">
            <v>915014.24765747844</v>
          </cell>
          <cell r="K2901">
            <v>0.93600000000000005</v>
          </cell>
          <cell r="L2901">
            <v>53885</v>
          </cell>
          <cell r="M2901">
            <v>3918.4</v>
          </cell>
          <cell r="N2901">
            <v>366988.62927583477</v>
          </cell>
          <cell r="O2901">
            <v>367315.07655448077</v>
          </cell>
          <cell r="P2901">
            <v>153.30549999999999</v>
          </cell>
        </row>
        <row r="2902">
          <cell r="B2902">
            <v>34914</v>
          </cell>
          <cell r="C2902">
            <v>4.9980000000000002</v>
          </cell>
          <cell r="D2902">
            <v>0.93600000000000005</v>
          </cell>
          <cell r="E2902">
            <v>54207</v>
          </cell>
          <cell r="F2902">
            <v>4025.5</v>
          </cell>
          <cell r="J2902">
            <v>916538.66139407572</v>
          </cell>
          <cell r="K2902">
            <v>0.93600000000000005</v>
          </cell>
          <cell r="L2902">
            <v>54207</v>
          </cell>
          <cell r="M2902">
            <v>4025.5</v>
          </cell>
          <cell r="N2902">
            <v>366988.62927583477</v>
          </cell>
          <cell r="O2902">
            <v>367315.07655448077</v>
          </cell>
          <cell r="P2902">
            <v>153.30549999999999</v>
          </cell>
        </row>
        <row r="2903">
          <cell r="B2903">
            <v>34915</v>
          </cell>
          <cell r="C2903">
            <v>4.899</v>
          </cell>
          <cell r="D2903">
            <v>0.93600000000000005</v>
          </cell>
          <cell r="E2903">
            <v>54962</v>
          </cell>
          <cell r="F2903">
            <v>4200.3</v>
          </cell>
          <cell r="J2903">
            <v>918035.36902813229</v>
          </cell>
          <cell r="K2903">
            <v>0.93600000000000005</v>
          </cell>
          <cell r="L2903">
            <v>54962</v>
          </cell>
          <cell r="M2903">
            <v>4200.3</v>
          </cell>
          <cell r="N2903">
            <v>366988.62927583477</v>
          </cell>
          <cell r="O2903">
            <v>367315.07655448077</v>
          </cell>
          <cell r="P2903">
            <v>153.30549999999999</v>
          </cell>
        </row>
        <row r="2904">
          <cell r="B2904">
            <v>34918</v>
          </cell>
          <cell r="C2904">
            <v>4.899</v>
          </cell>
          <cell r="D2904">
            <v>0.93600000000000005</v>
          </cell>
          <cell r="E2904">
            <v>55638</v>
          </cell>
          <cell r="F2904">
            <v>4393.8</v>
          </cell>
          <cell r="J2904">
            <v>919534.52078575525</v>
          </cell>
          <cell r="K2904">
            <v>0.93600000000000005</v>
          </cell>
          <cell r="L2904">
            <v>55638</v>
          </cell>
          <cell r="M2904">
            <v>4393.8</v>
          </cell>
          <cell r="N2904">
            <v>366988.62927583477</v>
          </cell>
          <cell r="O2904">
            <v>367315.07655448077</v>
          </cell>
          <cell r="P2904">
            <v>153.30549999999999</v>
          </cell>
        </row>
        <row r="2905">
          <cell r="B2905">
            <v>34919</v>
          </cell>
          <cell r="C2905">
            <v>4.899</v>
          </cell>
          <cell r="D2905">
            <v>0.93600000000000005</v>
          </cell>
          <cell r="E2905">
            <v>55292</v>
          </cell>
          <cell r="F2905">
            <v>4310.7</v>
          </cell>
          <cell r="J2905">
            <v>921036.12065819837</v>
          </cell>
          <cell r="K2905">
            <v>0.93600000000000005</v>
          </cell>
          <cell r="L2905">
            <v>55292</v>
          </cell>
          <cell r="M2905">
            <v>4310.7</v>
          </cell>
          <cell r="N2905">
            <v>366988.62927583477</v>
          </cell>
          <cell r="O2905">
            <v>367315.07655448077</v>
          </cell>
          <cell r="P2905">
            <v>153.30549999999999</v>
          </cell>
        </row>
        <row r="2906">
          <cell r="B2906">
            <v>34920</v>
          </cell>
          <cell r="C2906">
            <v>4.8899999999999997</v>
          </cell>
          <cell r="D2906">
            <v>0.93600000000000005</v>
          </cell>
          <cell r="E2906">
            <v>55487</v>
          </cell>
          <cell r="F2906">
            <v>4279.7</v>
          </cell>
          <cell r="J2906">
            <v>922537.40953487123</v>
          </cell>
          <cell r="K2906">
            <v>0.93600000000000005</v>
          </cell>
          <cell r="L2906">
            <v>55487</v>
          </cell>
          <cell r="M2906">
            <v>4279.7</v>
          </cell>
          <cell r="N2906">
            <v>366988.62927583477</v>
          </cell>
          <cell r="O2906">
            <v>367315.07655448077</v>
          </cell>
          <cell r="P2906">
            <v>153.30549999999999</v>
          </cell>
        </row>
        <row r="2907">
          <cell r="B2907">
            <v>34921</v>
          </cell>
          <cell r="C2907">
            <v>4.8899999999999997</v>
          </cell>
          <cell r="D2907">
            <v>0.93600000000000005</v>
          </cell>
          <cell r="E2907">
            <v>55636</v>
          </cell>
          <cell r="F2907">
            <v>4337</v>
          </cell>
          <cell r="J2907">
            <v>924041.14551241312</v>
          </cell>
          <cell r="K2907">
            <v>0.93600000000000005</v>
          </cell>
          <cell r="L2907">
            <v>55636</v>
          </cell>
          <cell r="M2907">
            <v>4337</v>
          </cell>
          <cell r="N2907">
            <v>366988.62927583477</v>
          </cell>
          <cell r="O2907">
            <v>367315.07655448077</v>
          </cell>
          <cell r="P2907">
            <v>153.30549999999999</v>
          </cell>
        </row>
        <row r="2908">
          <cell r="B2908">
            <v>34922</v>
          </cell>
          <cell r="C2908">
            <v>4.8899999999999997</v>
          </cell>
          <cell r="D2908">
            <v>0.93700000000000006</v>
          </cell>
          <cell r="E2908">
            <v>55039</v>
          </cell>
          <cell r="F2908">
            <v>4193</v>
          </cell>
          <cell r="J2908">
            <v>925547.33257959841</v>
          </cell>
          <cell r="K2908">
            <v>0.93700000000000006</v>
          </cell>
          <cell r="L2908">
            <v>55039</v>
          </cell>
          <cell r="M2908">
            <v>4193</v>
          </cell>
          <cell r="N2908">
            <v>366988.62927583477</v>
          </cell>
          <cell r="O2908">
            <v>367315.07655448077</v>
          </cell>
          <cell r="P2908">
            <v>153.30549999999999</v>
          </cell>
        </row>
        <row r="2909">
          <cell r="B2909">
            <v>34925</v>
          </cell>
          <cell r="C2909">
            <v>4.8689999999999998</v>
          </cell>
          <cell r="D2909">
            <v>0.94099999999999995</v>
          </cell>
          <cell r="E2909">
            <v>54477</v>
          </cell>
          <cell r="F2909">
            <v>4081.2</v>
          </cell>
          <cell r="J2909">
            <v>927049.49590037507</v>
          </cell>
          <cell r="K2909">
            <v>0.94099999999999995</v>
          </cell>
          <cell r="L2909">
            <v>54477</v>
          </cell>
          <cell r="M2909">
            <v>4081.2</v>
          </cell>
          <cell r="N2909">
            <v>366988.62927583477</v>
          </cell>
          <cell r="O2909">
            <v>367315.07655448077</v>
          </cell>
          <cell r="P2909">
            <v>153.30549999999999</v>
          </cell>
        </row>
        <row r="2910">
          <cell r="B2910">
            <v>34926</v>
          </cell>
          <cell r="C2910">
            <v>4.8479999999999999</v>
          </cell>
          <cell r="D2910">
            <v>0.94199999999999995</v>
          </cell>
          <cell r="E2910">
            <v>55090</v>
          </cell>
          <cell r="F2910">
            <v>4156.3</v>
          </cell>
          <cell r="J2910">
            <v>928547.60788575013</v>
          </cell>
          <cell r="K2910">
            <v>0.94199999999999995</v>
          </cell>
          <cell r="L2910">
            <v>55090</v>
          </cell>
          <cell r="M2910">
            <v>4156.3</v>
          </cell>
          <cell r="N2910">
            <v>366988.62927583477</v>
          </cell>
          <cell r="O2910">
            <v>367315.07655448077</v>
          </cell>
          <cell r="P2910">
            <v>153.30549999999999</v>
          </cell>
        </row>
        <row r="2911">
          <cell r="B2911">
            <v>34927</v>
          </cell>
          <cell r="C2911">
            <v>4.8479999999999999</v>
          </cell>
          <cell r="D2911">
            <v>0.94199999999999995</v>
          </cell>
          <cell r="E2911">
            <v>55245</v>
          </cell>
          <cell r="F2911">
            <v>4223.3</v>
          </cell>
          <cell r="J2911">
            <v>930048.14082009357</v>
          </cell>
          <cell r="K2911">
            <v>0.94199999999999995</v>
          </cell>
          <cell r="L2911">
            <v>55245</v>
          </cell>
          <cell r="M2911">
            <v>4223.3</v>
          </cell>
          <cell r="N2911">
            <v>366988.62927583477</v>
          </cell>
          <cell r="O2911">
            <v>367315.07655448077</v>
          </cell>
          <cell r="P2911">
            <v>153.30549999999999</v>
          </cell>
        </row>
        <row r="2912">
          <cell r="B2912">
            <v>34928</v>
          </cell>
          <cell r="C2912">
            <v>4.8479999999999999</v>
          </cell>
          <cell r="D2912">
            <v>0.94199999999999995</v>
          </cell>
          <cell r="E2912">
            <v>55684</v>
          </cell>
          <cell r="F2912">
            <v>4229.1000000000004</v>
          </cell>
          <cell r="J2912">
            <v>931551.09861565894</v>
          </cell>
          <cell r="K2912">
            <v>0.94199999999999995</v>
          </cell>
          <cell r="L2912">
            <v>55684</v>
          </cell>
          <cell r="M2912">
            <v>4229.1000000000004</v>
          </cell>
          <cell r="N2912">
            <v>366988.62927583477</v>
          </cell>
          <cell r="O2912">
            <v>367315.07655448077</v>
          </cell>
          <cell r="P2912">
            <v>153.30549999999999</v>
          </cell>
        </row>
        <row r="2913">
          <cell r="B2913">
            <v>34929</v>
          </cell>
          <cell r="C2913">
            <v>4.8390000000000004</v>
          </cell>
          <cell r="D2913">
            <v>0.94299999999999995</v>
          </cell>
          <cell r="E2913">
            <v>55857</v>
          </cell>
          <cell r="F2913">
            <v>4235.3</v>
          </cell>
          <cell r="J2913">
            <v>933053.69053772604</v>
          </cell>
          <cell r="K2913">
            <v>0.94299999999999995</v>
          </cell>
          <cell r="L2913">
            <v>55857</v>
          </cell>
          <cell r="M2913">
            <v>4235.3</v>
          </cell>
          <cell r="N2913">
            <v>366988.62927583477</v>
          </cell>
          <cell r="O2913">
            <v>367315.07655448077</v>
          </cell>
          <cell r="P2913">
            <v>153.30549999999999</v>
          </cell>
        </row>
        <row r="2914">
          <cell r="B2914">
            <v>34932</v>
          </cell>
          <cell r="C2914">
            <v>4.8390000000000004</v>
          </cell>
          <cell r="D2914">
            <v>0.94199999999999995</v>
          </cell>
          <cell r="E2914">
            <v>56060</v>
          </cell>
          <cell r="F2914">
            <v>4298.8999999999996</v>
          </cell>
          <cell r="J2914">
            <v>934558.70614056347</v>
          </cell>
          <cell r="K2914">
            <v>0.94199999999999995</v>
          </cell>
          <cell r="L2914">
            <v>56060</v>
          </cell>
          <cell r="M2914">
            <v>4298.8999999999996</v>
          </cell>
          <cell r="N2914">
            <v>366988.62927583477</v>
          </cell>
          <cell r="O2914">
            <v>367315.07655448077</v>
          </cell>
          <cell r="P2914">
            <v>153.30549999999999</v>
          </cell>
        </row>
        <row r="2915">
          <cell r="B2915">
            <v>34933</v>
          </cell>
          <cell r="C2915">
            <v>4.8390000000000004</v>
          </cell>
          <cell r="D2915">
            <v>0.94399999999999995</v>
          </cell>
          <cell r="E2915">
            <v>56317</v>
          </cell>
          <cell r="F2915">
            <v>4305.5</v>
          </cell>
          <cell r="J2915">
            <v>936066.14933356829</v>
          </cell>
          <cell r="K2915">
            <v>0.94399999999999995</v>
          </cell>
          <cell r="L2915">
            <v>56317</v>
          </cell>
          <cell r="M2915">
            <v>4305.5</v>
          </cell>
          <cell r="N2915">
            <v>366988.62927583477</v>
          </cell>
          <cell r="O2915">
            <v>367315.07655448077</v>
          </cell>
          <cell r="P2915">
            <v>153.30549999999999</v>
          </cell>
        </row>
        <row r="2916">
          <cell r="B2916">
            <v>34934</v>
          </cell>
          <cell r="C2916">
            <v>4.8390000000000004</v>
          </cell>
          <cell r="D2916">
            <v>0.94699999999999995</v>
          </cell>
          <cell r="E2916">
            <v>57005</v>
          </cell>
          <cell r="F2916">
            <v>4471.1000000000004</v>
          </cell>
          <cell r="J2916">
            <v>937576.02403244341</v>
          </cell>
          <cell r="K2916">
            <v>0.94699999999999995</v>
          </cell>
          <cell r="L2916">
            <v>57005</v>
          </cell>
          <cell r="M2916">
            <v>4471.1000000000004</v>
          </cell>
          <cell r="N2916">
            <v>366988.62927583477</v>
          </cell>
          <cell r="O2916">
            <v>367315.07655448077</v>
          </cell>
          <cell r="P2916">
            <v>153.30549999999999</v>
          </cell>
        </row>
        <row r="2917">
          <cell r="B2917">
            <v>34935</v>
          </cell>
          <cell r="C2917">
            <v>4.8390000000000004</v>
          </cell>
          <cell r="D2917">
            <v>0.94699999999999995</v>
          </cell>
          <cell r="E2917">
            <v>56587</v>
          </cell>
          <cell r="F2917">
            <v>4445</v>
          </cell>
          <cell r="J2917">
            <v>939088.33415920788</v>
          </cell>
          <cell r="K2917">
            <v>0.94699999999999995</v>
          </cell>
          <cell r="L2917">
            <v>56587</v>
          </cell>
          <cell r="M2917">
            <v>4445</v>
          </cell>
          <cell r="N2917">
            <v>366988.62927583477</v>
          </cell>
          <cell r="O2917">
            <v>367315.07655448077</v>
          </cell>
          <cell r="P2917">
            <v>153.30549999999999</v>
          </cell>
        </row>
        <row r="2918">
          <cell r="B2918">
            <v>34936</v>
          </cell>
          <cell r="C2918">
            <v>4.8390000000000004</v>
          </cell>
          <cell r="D2918">
            <v>0.94799999999999995</v>
          </cell>
          <cell r="E2918">
            <v>56754</v>
          </cell>
          <cell r="F2918">
            <v>4459.2</v>
          </cell>
          <cell r="J2918">
            <v>940603.08364220674</v>
          </cell>
          <cell r="K2918">
            <v>0.94799999999999995</v>
          </cell>
          <cell r="L2918">
            <v>56754</v>
          </cell>
          <cell r="M2918">
            <v>4459.2</v>
          </cell>
          <cell r="N2918">
            <v>366988.62927583477</v>
          </cell>
          <cell r="O2918">
            <v>367315.07655448077</v>
          </cell>
          <cell r="P2918">
            <v>153.30549999999999</v>
          </cell>
        </row>
        <row r="2919">
          <cell r="B2919">
            <v>34939</v>
          </cell>
          <cell r="C2919">
            <v>4.83</v>
          </cell>
          <cell r="D2919">
            <v>0.94899999999999995</v>
          </cell>
          <cell r="E2919">
            <v>57299</v>
          </cell>
          <cell r="F2919">
            <v>4514.8999999999996</v>
          </cell>
          <cell r="J2919">
            <v>942117.45460687054</v>
          </cell>
          <cell r="K2919">
            <v>0.94899999999999995</v>
          </cell>
          <cell r="L2919">
            <v>57299</v>
          </cell>
          <cell r="M2919">
            <v>4514.8999999999996</v>
          </cell>
          <cell r="N2919">
            <v>366988.62927583477</v>
          </cell>
          <cell r="O2919">
            <v>367315.07655448077</v>
          </cell>
          <cell r="P2919">
            <v>153.30549999999999</v>
          </cell>
        </row>
        <row r="2920">
          <cell r="B2920">
            <v>34940</v>
          </cell>
          <cell r="C2920">
            <v>4.83</v>
          </cell>
          <cell r="D2920">
            <v>0.95099999999999996</v>
          </cell>
          <cell r="E2920">
            <v>56573</v>
          </cell>
          <cell r="F2920">
            <v>4367.8</v>
          </cell>
          <cell r="J2920">
            <v>943634.2637087875</v>
          </cell>
          <cell r="K2920">
            <v>0.95099999999999996</v>
          </cell>
          <cell r="L2920">
            <v>56573</v>
          </cell>
          <cell r="M2920">
            <v>4367.8</v>
          </cell>
          <cell r="N2920">
            <v>366988.62927583477</v>
          </cell>
          <cell r="O2920">
            <v>367315.07655448077</v>
          </cell>
          <cell r="P2920">
            <v>153.30549999999999</v>
          </cell>
        </row>
        <row r="2921">
          <cell r="B2921">
            <v>34941</v>
          </cell>
          <cell r="C2921">
            <v>5.0579999999999998</v>
          </cell>
          <cell r="D2921">
            <v>0.95099999999999996</v>
          </cell>
          <cell r="E2921">
            <v>56046</v>
          </cell>
          <cell r="F2921">
            <v>4236</v>
          </cell>
          <cell r="J2921">
            <v>945225.23107740062</v>
          </cell>
          <cell r="K2921">
            <v>0.95099999999999996</v>
          </cell>
          <cell r="L2921">
            <v>56046</v>
          </cell>
          <cell r="M2921">
            <v>4236</v>
          </cell>
          <cell r="N2921">
            <v>366988.62927583477</v>
          </cell>
          <cell r="O2921">
            <v>367315.07655448077</v>
          </cell>
          <cell r="P2921">
            <v>153.30549999999999</v>
          </cell>
        </row>
        <row r="2922">
          <cell r="B2922">
            <v>34942</v>
          </cell>
          <cell r="C2922">
            <v>4.8479999999999999</v>
          </cell>
          <cell r="D2922">
            <v>0.95099999999999996</v>
          </cell>
          <cell r="E2922">
            <v>56033</v>
          </cell>
          <cell r="F2922">
            <v>4310.5</v>
          </cell>
          <cell r="G2922">
            <v>1.29</v>
          </cell>
          <cell r="H2922">
            <v>2.2000000000000002</v>
          </cell>
          <cell r="I2922">
            <v>158.08449999999999</v>
          </cell>
          <cell r="J2922">
            <v>946752.71505082177</v>
          </cell>
          <cell r="K2922">
            <v>0.95099999999999996</v>
          </cell>
          <cell r="L2922">
            <v>56033</v>
          </cell>
          <cell r="M2922">
            <v>4310.5</v>
          </cell>
          <cell r="N2922">
            <v>371722.782593493</v>
          </cell>
          <cell r="O2922">
            <v>375396.00823867932</v>
          </cell>
          <cell r="P2922">
            <v>158.08449999999999</v>
          </cell>
        </row>
        <row r="2923">
          <cell r="B2923">
            <v>34943</v>
          </cell>
          <cell r="C2923">
            <v>4.8479999999999999</v>
          </cell>
          <cell r="D2923">
            <v>0.95099999999999996</v>
          </cell>
          <cell r="E2923">
            <v>56438</v>
          </cell>
          <cell r="F2923">
            <v>4449.8999999999996</v>
          </cell>
          <cell r="J2923">
            <v>948282.66743834398</v>
          </cell>
          <cell r="K2923">
            <v>0.95099999999999996</v>
          </cell>
          <cell r="L2923">
            <v>56438</v>
          </cell>
          <cell r="M2923">
            <v>4449.8999999999996</v>
          </cell>
          <cell r="N2923">
            <v>371722.782593493</v>
          </cell>
          <cell r="O2923">
            <v>375396.00823867932</v>
          </cell>
          <cell r="P2923">
            <v>158.08449999999999</v>
          </cell>
        </row>
        <row r="2924">
          <cell r="B2924">
            <v>34946</v>
          </cell>
          <cell r="C2924">
            <v>4.8479999999999999</v>
          </cell>
          <cell r="D2924">
            <v>0.94899999999999995</v>
          </cell>
          <cell r="E2924">
            <v>56379</v>
          </cell>
          <cell r="F2924">
            <v>4520.1000000000004</v>
          </cell>
          <cell r="J2924">
            <v>949815.09222892439</v>
          </cell>
          <cell r="K2924">
            <v>0.94899999999999995</v>
          </cell>
          <cell r="L2924">
            <v>56379</v>
          </cell>
          <cell r="M2924">
            <v>4520.1000000000004</v>
          </cell>
          <cell r="N2924">
            <v>371722.782593493</v>
          </cell>
          <cell r="O2924">
            <v>375396.00823867932</v>
          </cell>
          <cell r="P2924">
            <v>158.08449999999999</v>
          </cell>
        </row>
        <row r="2925">
          <cell r="B2925">
            <v>34947</v>
          </cell>
          <cell r="C2925">
            <v>4.8390000000000004</v>
          </cell>
          <cell r="D2925">
            <v>0.94899999999999995</v>
          </cell>
          <cell r="E2925">
            <v>56435</v>
          </cell>
          <cell r="F2925">
            <v>4563.1000000000004</v>
          </cell>
          <cell r="J2925">
            <v>951347.14397268975</v>
          </cell>
          <cell r="K2925">
            <v>0.94899999999999995</v>
          </cell>
          <cell r="L2925">
            <v>56435</v>
          </cell>
          <cell r="M2925">
            <v>4563.1000000000004</v>
          </cell>
          <cell r="N2925">
            <v>371722.782593493</v>
          </cell>
          <cell r="O2925">
            <v>375396.00823867932</v>
          </cell>
          <cell r="P2925">
            <v>158.08449999999999</v>
          </cell>
        </row>
        <row r="2926">
          <cell r="B2926">
            <v>34948</v>
          </cell>
          <cell r="C2926">
            <v>4.8390000000000004</v>
          </cell>
          <cell r="D2926">
            <v>0.94899999999999995</v>
          </cell>
          <cell r="E2926">
            <v>56392</v>
          </cell>
          <cell r="F2926">
            <v>4550</v>
          </cell>
          <cell r="J2926">
            <v>952881.66691591777</v>
          </cell>
          <cell r="K2926">
            <v>0.94899999999999995</v>
          </cell>
          <cell r="L2926">
            <v>56392</v>
          </cell>
          <cell r="M2926">
            <v>4550</v>
          </cell>
          <cell r="N2926">
            <v>371722.782593493</v>
          </cell>
          <cell r="O2926">
            <v>375396.00823867932</v>
          </cell>
          <cell r="P2926">
            <v>158.08449999999999</v>
          </cell>
        </row>
        <row r="2927">
          <cell r="B2927">
            <v>34950</v>
          </cell>
          <cell r="C2927">
            <v>4.8390000000000004</v>
          </cell>
          <cell r="D2927">
            <v>0.95099999999999996</v>
          </cell>
          <cell r="E2927">
            <v>56437</v>
          </cell>
          <cell r="F2927">
            <v>4531.6000000000004</v>
          </cell>
          <cell r="J2927">
            <v>954418.66504465323</v>
          </cell>
          <cell r="K2927">
            <v>0.95099999999999996</v>
          </cell>
          <cell r="L2927">
            <v>56437</v>
          </cell>
          <cell r="M2927">
            <v>4531.6000000000004</v>
          </cell>
          <cell r="N2927">
            <v>371722.782593493</v>
          </cell>
          <cell r="O2927">
            <v>375396.00823867932</v>
          </cell>
          <cell r="P2927">
            <v>158.08449999999999</v>
          </cell>
        </row>
        <row r="2928">
          <cell r="B2928">
            <v>34953</v>
          </cell>
          <cell r="C2928">
            <v>4.8390000000000004</v>
          </cell>
          <cell r="D2928">
            <v>0.95199999999999996</v>
          </cell>
          <cell r="E2928">
            <v>56263</v>
          </cell>
          <cell r="F2928">
            <v>4638.6000000000004</v>
          </cell>
          <cell r="J2928">
            <v>955958.1423513703</v>
          </cell>
          <cell r="K2928">
            <v>0.95199999999999996</v>
          </cell>
          <cell r="L2928">
            <v>56263</v>
          </cell>
          <cell r="M2928">
            <v>4638.6000000000004</v>
          </cell>
          <cell r="N2928">
            <v>371722.782593493</v>
          </cell>
          <cell r="O2928">
            <v>375396.00823867932</v>
          </cell>
          <cell r="P2928">
            <v>158.08449999999999</v>
          </cell>
        </row>
        <row r="2929">
          <cell r="B2929">
            <v>34954</v>
          </cell>
          <cell r="C2929">
            <v>4.8390000000000004</v>
          </cell>
          <cell r="D2929">
            <v>0.95199999999999996</v>
          </cell>
          <cell r="E2929">
            <v>56709</v>
          </cell>
          <cell r="F2929">
            <v>4703.6000000000004</v>
          </cell>
          <cell r="J2929">
            <v>957500.10283498315</v>
          </cell>
          <cell r="K2929">
            <v>0.95199999999999996</v>
          </cell>
          <cell r="L2929">
            <v>56709</v>
          </cell>
          <cell r="M2929">
            <v>4703.6000000000004</v>
          </cell>
          <cell r="N2929">
            <v>371722.782593493</v>
          </cell>
          <cell r="O2929">
            <v>375396.00823867932</v>
          </cell>
          <cell r="P2929">
            <v>158.08449999999999</v>
          </cell>
        </row>
        <row r="2930">
          <cell r="B2930">
            <v>34955</v>
          </cell>
          <cell r="C2930">
            <v>4.8390000000000004</v>
          </cell>
          <cell r="D2930">
            <v>0.95299999999999996</v>
          </cell>
          <cell r="E2930">
            <v>57106</v>
          </cell>
          <cell r="F2930">
            <v>4737.3</v>
          </cell>
          <cell r="J2930">
            <v>959044.55050085601</v>
          </cell>
          <cell r="K2930">
            <v>0.95299999999999996</v>
          </cell>
          <cell r="L2930">
            <v>57106</v>
          </cell>
          <cell r="M2930">
            <v>4737.3</v>
          </cell>
          <cell r="N2930">
            <v>371722.782593493</v>
          </cell>
          <cell r="O2930">
            <v>375396.00823867932</v>
          </cell>
          <cell r="P2930">
            <v>158.08449999999999</v>
          </cell>
        </row>
        <row r="2931">
          <cell r="B2931">
            <v>34956</v>
          </cell>
          <cell r="C2931">
            <v>4.83</v>
          </cell>
          <cell r="D2931">
            <v>0.95299999999999996</v>
          </cell>
          <cell r="E2931">
            <v>57482</v>
          </cell>
          <cell r="F2931">
            <v>4810.5</v>
          </cell>
          <cell r="J2931">
            <v>960588.61222716223</v>
          </cell>
          <cell r="K2931">
            <v>0.95299999999999996</v>
          </cell>
          <cell r="L2931">
            <v>57482</v>
          </cell>
          <cell r="M2931">
            <v>4810.5</v>
          </cell>
          <cell r="N2931">
            <v>371722.782593493</v>
          </cell>
          <cell r="O2931">
            <v>375396.00823867932</v>
          </cell>
          <cell r="P2931">
            <v>158.08449999999999</v>
          </cell>
        </row>
        <row r="2932">
          <cell r="B2932">
            <v>34957</v>
          </cell>
          <cell r="C2932">
            <v>4.83</v>
          </cell>
          <cell r="D2932">
            <v>0.95299999999999996</v>
          </cell>
          <cell r="E2932">
            <v>57494</v>
          </cell>
          <cell r="F2932">
            <v>4801.8</v>
          </cell>
          <cell r="J2932">
            <v>962135.15989284788</v>
          </cell>
          <cell r="K2932">
            <v>0.95299999999999996</v>
          </cell>
          <cell r="L2932">
            <v>57494</v>
          </cell>
          <cell r="M2932">
            <v>4801.8</v>
          </cell>
          <cell r="N2932">
            <v>371722.782593493</v>
          </cell>
          <cell r="O2932">
            <v>375396.00823867932</v>
          </cell>
          <cell r="P2932">
            <v>158.08449999999999</v>
          </cell>
        </row>
        <row r="2933">
          <cell r="B2933">
            <v>34960</v>
          </cell>
          <cell r="C2933">
            <v>4.83</v>
          </cell>
          <cell r="D2933">
            <v>0.95299999999999996</v>
          </cell>
          <cell r="E2933">
            <v>57720</v>
          </cell>
          <cell r="F2933">
            <v>4851.3</v>
          </cell>
          <cell r="J2933">
            <v>963684.19750027522</v>
          </cell>
          <cell r="K2933">
            <v>0.95299999999999996</v>
          </cell>
          <cell r="L2933">
            <v>57720</v>
          </cell>
          <cell r="M2933">
            <v>4851.3</v>
          </cell>
          <cell r="N2933">
            <v>371722.782593493</v>
          </cell>
          <cell r="O2933">
            <v>375396.00823867932</v>
          </cell>
          <cell r="P2933">
            <v>158.08449999999999</v>
          </cell>
        </row>
        <row r="2934">
          <cell r="B2934">
            <v>34961</v>
          </cell>
          <cell r="C2934">
            <v>4.83</v>
          </cell>
          <cell r="D2934">
            <v>0.95299999999999996</v>
          </cell>
          <cell r="E2934">
            <v>57680</v>
          </cell>
          <cell r="F2934">
            <v>4861.2</v>
          </cell>
          <cell r="J2934">
            <v>965235.72905825055</v>
          </cell>
          <cell r="K2934">
            <v>0.95299999999999996</v>
          </cell>
          <cell r="L2934">
            <v>57680</v>
          </cell>
          <cell r="M2934">
            <v>4861.2</v>
          </cell>
          <cell r="N2934">
            <v>371722.782593493</v>
          </cell>
          <cell r="O2934">
            <v>375396.00823867932</v>
          </cell>
          <cell r="P2934">
            <v>158.08449999999999</v>
          </cell>
        </row>
        <row r="2935">
          <cell r="B2935">
            <v>34962</v>
          </cell>
          <cell r="C2935">
            <v>4.83</v>
          </cell>
          <cell r="D2935">
            <v>0.95399999999999996</v>
          </cell>
          <cell r="E2935">
            <v>57345</v>
          </cell>
          <cell r="F2935">
            <v>4776.6000000000004</v>
          </cell>
          <cell r="J2935">
            <v>966789.75858203426</v>
          </cell>
          <cell r="K2935">
            <v>0.95399999999999996</v>
          </cell>
          <cell r="L2935">
            <v>57345</v>
          </cell>
          <cell r="M2935">
            <v>4776.6000000000004</v>
          </cell>
          <cell r="N2935">
            <v>371722.782593493</v>
          </cell>
          <cell r="O2935">
            <v>375396.00823867932</v>
          </cell>
          <cell r="P2935">
            <v>158.08449999999999</v>
          </cell>
        </row>
        <row r="2936">
          <cell r="B2936">
            <v>34963</v>
          </cell>
          <cell r="C2936">
            <v>4.83</v>
          </cell>
          <cell r="D2936">
            <v>0.95399999999999996</v>
          </cell>
          <cell r="E2936">
            <v>56973</v>
          </cell>
          <cell r="F2936">
            <v>4693.5</v>
          </cell>
          <cell r="J2936">
            <v>968346.29009335127</v>
          </cell>
          <cell r="K2936">
            <v>0.95399999999999996</v>
          </cell>
          <cell r="L2936">
            <v>56973</v>
          </cell>
          <cell r="M2936">
            <v>4693.5</v>
          </cell>
          <cell r="N2936">
            <v>371722.782593493</v>
          </cell>
          <cell r="O2936">
            <v>375396.00823867932</v>
          </cell>
          <cell r="P2936">
            <v>158.08449999999999</v>
          </cell>
        </row>
        <row r="2937">
          <cell r="B2937">
            <v>34964</v>
          </cell>
          <cell r="C2937">
            <v>4.83</v>
          </cell>
          <cell r="D2937">
            <v>0.95399999999999996</v>
          </cell>
          <cell r="E2937">
            <v>56638</v>
          </cell>
          <cell r="F2937">
            <v>4673.7</v>
          </cell>
          <cell r="J2937">
            <v>969905.32762040151</v>
          </cell>
          <cell r="K2937">
            <v>0.95399999999999996</v>
          </cell>
          <cell r="L2937">
            <v>56638</v>
          </cell>
          <cell r="M2937">
            <v>4673.7</v>
          </cell>
          <cell r="N2937">
            <v>371722.782593493</v>
          </cell>
          <cell r="O2937">
            <v>375396.00823867932</v>
          </cell>
          <cell r="P2937">
            <v>158.08449999999999</v>
          </cell>
        </row>
        <row r="2938">
          <cell r="B2938">
            <v>34967</v>
          </cell>
          <cell r="C2938">
            <v>4.83</v>
          </cell>
          <cell r="D2938">
            <v>0.95399999999999996</v>
          </cell>
          <cell r="E2938">
            <v>56050</v>
          </cell>
          <cell r="F2938">
            <v>4579</v>
          </cell>
          <cell r="J2938">
            <v>971466.87519787031</v>
          </cell>
          <cell r="K2938">
            <v>0.95399999999999996</v>
          </cell>
          <cell r="L2938">
            <v>56050</v>
          </cell>
          <cell r="M2938">
            <v>4579</v>
          </cell>
          <cell r="N2938">
            <v>371722.782593493</v>
          </cell>
          <cell r="O2938">
            <v>375396.00823867932</v>
          </cell>
          <cell r="P2938">
            <v>158.08449999999999</v>
          </cell>
        </row>
        <row r="2939">
          <cell r="B2939">
            <v>34968</v>
          </cell>
          <cell r="C2939">
            <v>4.83</v>
          </cell>
          <cell r="D2939">
            <v>0.95499999999999996</v>
          </cell>
          <cell r="E2939">
            <v>55939</v>
          </cell>
          <cell r="F2939">
            <v>4543.8999999999996</v>
          </cell>
          <cell r="J2939">
            <v>973030.93686693872</v>
          </cell>
          <cell r="K2939">
            <v>0.95499999999999996</v>
          </cell>
          <cell r="L2939">
            <v>55939</v>
          </cell>
          <cell r="M2939">
            <v>4543.8999999999996</v>
          </cell>
          <cell r="N2939">
            <v>371722.782593493</v>
          </cell>
          <cell r="O2939">
            <v>375396.00823867932</v>
          </cell>
          <cell r="P2939">
            <v>158.08449999999999</v>
          </cell>
        </row>
        <row r="2940">
          <cell r="B2940">
            <v>34969</v>
          </cell>
          <cell r="C2940">
            <v>4.83</v>
          </cell>
          <cell r="D2940">
            <v>0.95599999999999996</v>
          </cell>
          <cell r="E2940">
            <v>55403</v>
          </cell>
          <cell r="F2940">
            <v>4548</v>
          </cell>
          <cell r="J2940">
            <v>974597.51667529438</v>
          </cell>
          <cell r="K2940">
            <v>0.95599999999999996</v>
          </cell>
          <cell r="L2940">
            <v>55403</v>
          </cell>
          <cell r="M2940">
            <v>4548</v>
          </cell>
          <cell r="N2940">
            <v>371722.782593493</v>
          </cell>
          <cell r="O2940">
            <v>375396.00823867932</v>
          </cell>
          <cell r="P2940">
            <v>158.08449999999999</v>
          </cell>
        </row>
        <row r="2941">
          <cell r="B2941">
            <v>34970</v>
          </cell>
          <cell r="C2941">
            <v>4.7489999999999997</v>
          </cell>
          <cell r="D2941">
            <v>0.95599999999999996</v>
          </cell>
          <cell r="E2941">
            <v>55458</v>
          </cell>
          <cell r="F2941">
            <v>4566.6000000000004</v>
          </cell>
          <cell r="J2941">
            <v>976140.30454419123</v>
          </cell>
          <cell r="K2941">
            <v>0.95599999999999996</v>
          </cell>
          <cell r="L2941">
            <v>55458</v>
          </cell>
          <cell r="M2941">
            <v>4566.6000000000004</v>
          </cell>
          <cell r="N2941">
            <v>371722.782593493</v>
          </cell>
          <cell r="O2941">
            <v>375396.00823867932</v>
          </cell>
          <cell r="P2941">
            <v>158.08449999999999</v>
          </cell>
        </row>
        <row r="2942">
          <cell r="B2942">
            <v>34971</v>
          </cell>
          <cell r="C2942">
            <v>4.32</v>
          </cell>
          <cell r="D2942">
            <v>0.95399999999999996</v>
          </cell>
          <cell r="E2942">
            <v>55858</v>
          </cell>
          <cell r="F2942">
            <v>4670.1000000000004</v>
          </cell>
          <cell r="G2942">
            <v>1.08</v>
          </cell>
          <cell r="H2942">
            <v>0.71</v>
          </cell>
          <cell r="I2942">
            <v>161.9563</v>
          </cell>
          <cell r="J2942">
            <v>977545.94658273493</v>
          </cell>
          <cell r="K2942">
            <v>0.95399999999999996</v>
          </cell>
          <cell r="L2942">
            <v>55858</v>
          </cell>
          <cell r="M2942">
            <v>4670.1000000000004</v>
          </cell>
          <cell r="N2942">
            <v>375737.38864550268</v>
          </cell>
          <cell r="O2942">
            <v>378061.31989717396</v>
          </cell>
          <cell r="P2942">
            <v>161.9563</v>
          </cell>
        </row>
        <row r="2943">
          <cell r="B2943">
            <v>34974</v>
          </cell>
          <cell r="C2943">
            <v>4.32</v>
          </cell>
          <cell r="D2943">
            <v>0.95499999999999996</v>
          </cell>
          <cell r="E2943">
            <v>55436</v>
          </cell>
          <cell r="F2943">
            <v>4538</v>
          </cell>
          <cell r="J2943">
            <v>978953.61274581414</v>
          </cell>
          <cell r="K2943">
            <v>0.95499999999999996</v>
          </cell>
          <cell r="L2943">
            <v>55436</v>
          </cell>
          <cell r="M2943">
            <v>4538</v>
          </cell>
          <cell r="N2943">
            <v>375737.38864550268</v>
          </cell>
          <cell r="O2943">
            <v>378061.31989717396</v>
          </cell>
          <cell r="P2943">
            <v>161.9563</v>
          </cell>
        </row>
        <row r="2944">
          <cell r="B2944">
            <v>34975</v>
          </cell>
          <cell r="C2944">
            <v>4.3289999999999997</v>
          </cell>
          <cell r="D2944">
            <v>0.95850000000000002</v>
          </cell>
          <cell r="E2944">
            <v>54998</v>
          </cell>
          <cell r="F2944">
            <v>4504.2</v>
          </cell>
          <cell r="J2944">
            <v>980366.24280900648</v>
          </cell>
          <cell r="K2944">
            <v>0.95850000000000002</v>
          </cell>
          <cell r="L2944">
            <v>54998</v>
          </cell>
          <cell r="M2944">
            <v>4504.2</v>
          </cell>
          <cell r="N2944">
            <v>375737.38864550268</v>
          </cell>
          <cell r="O2944">
            <v>378061.31989717396</v>
          </cell>
          <cell r="P2944">
            <v>161.9563</v>
          </cell>
        </row>
        <row r="2945">
          <cell r="B2945">
            <v>34976</v>
          </cell>
          <cell r="C2945">
            <v>4.3289999999999997</v>
          </cell>
          <cell r="D2945">
            <v>0.95850000000000002</v>
          </cell>
          <cell r="E2945">
            <v>54686</v>
          </cell>
          <cell r="F2945">
            <v>4426.3</v>
          </cell>
          <cell r="J2945">
            <v>981780.91129737999</v>
          </cell>
          <cell r="K2945">
            <v>0.95850000000000002</v>
          </cell>
          <cell r="L2945">
            <v>54686</v>
          </cell>
          <cell r="M2945">
            <v>4426.3</v>
          </cell>
          <cell r="N2945">
            <v>375737.38864550268</v>
          </cell>
          <cell r="O2945">
            <v>378061.31989717396</v>
          </cell>
          <cell r="P2945">
            <v>161.9563</v>
          </cell>
        </row>
        <row r="2946">
          <cell r="B2946">
            <v>34977</v>
          </cell>
          <cell r="C2946">
            <v>4.4790000000000001</v>
          </cell>
          <cell r="D2946">
            <v>0.95850000000000002</v>
          </cell>
          <cell r="E2946">
            <v>54594</v>
          </cell>
          <cell r="F2946">
            <v>4498.6000000000004</v>
          </cell>
          <cell r="J2946">
            <v>983246.71019794699</v>
          </cell>
          <cell r="K2946">
            <v>0.95850000000000002</v>
          </cell>
          <cell r="L2946">
            <v>54594</v>
          </cell>
          <cell r="M2946">
            <v>4498.6000000000004</v>
          </cell>
          <cell r="N2946">
            <v>375737.38864550268</v>
          </cell>
          <cell r="O2946">
            <v>378061.31989717396</v>
          </cell>
          <cell r="P2946">
            <v>161.9563</v>
          </cell>
        </row>
        <row r="2947">
          <cell r="B2947">
            <v>34978</v>
          </cell>
          <cell r="C2947">
            <v>4.2690000000000001</v>
          </cell>
          <cell r="D2947">
            <v>0.9587</v>
          </cell>
          <cell r="E2947">
            <v>54451</v>
          </cell>
          <cell r="F2947">
            <v>4514.6000000000004</v>
          </cell>
          <cell r="J2947">
            <v>984645.8702665586</v>
          </cell>
          <cell r="K2947">
            <v>0.9587</v>
          </cell>
          <cell r="L2947">
            <v>54451</v>
          </cell>
          <cell r="M2947">
            <v>4514.6000000000004</v>
          </cell>
          <cell r="N2947">
            <v>375737.38864550268</v>
          </cell>
          <cell r="O2947">
            <v>378061.31989717396</v>
          </cell>
          <cell r="P2947">
            <v>161.9563</v>
          </cell>
        </row>
        <row r="2948">
          <cell r="B2948">
            <v>34981</v>
          </cell>
          <cell r="C2948">
            <v>4.2480000000000002</v>
          </cell>
          <cell r="D2948">
            <v>0.95850000000000002</v>
          </cell>
          <cell r="E2948">
            <v>54140</v>
          </cell>
          <cell r="F2948">
            <v>4456.6000000000004</v>
          </cell>
          <cell r="J2948">
            <v>986040.12881885609</v>
          </cell>
          <cell r="K2948">
            <v>0.95850000000000002</v>
          </cell>
          <cell r="L2948">
            <v>54140</v>
          </cell>
          <cell r="M2948">
            <v>4456.6000000000004</v>
          </cell>
          <cell r="N2948">
            <v>375737.38864550268</v>
          </cell>
          <cell r="O2948">
            <v>378061.31989717396</v>
          </cell>
          <cell r="P2948">
            <v>161.9563</v>
          </cell>
        </row>
        <row r="2949">
          <cell r="B2949">
            <v>34982</v>
          </cell>
          <cell r="C2949">
            <v>4.2690000000000001</v>
          </cell>
          <cell r="D2949">
            <v>0.95850000000000002</v>
          </cell>
          <cell r="E2949">
            <v>53622</v>
          </cell>
          <cell r="F2949">
            <v>4409.5</v>
          </cell>
          <cell r="J2949">
            <v>987443.26392216526</v>
          </cell>
          <cell r="K2949">
            <v>0.95850000000000002</v>
          </cell>
          <cell r="L2949">
            <v>53622</v>
          </cell>
          <cell r="M2949">
            <v>4409.5</v>
          </cell>
          <cell r="N2949">
            <v>375737.38864550268</v>
          </cell>
          <cell r="O2949">
            <v>378061.31989717396</v>
          </cell>
          <cell r="P2949">
            <v>161.9563</v>
          </cell>
        </row>
        <row r="2950">
          <cell r="B2950">
            <v>34983</v>
          </cell>
          <cell r="C2950">
            <v>4.2690000000000001</v>
          </cell>
          <cell r="D2950">
            <v>0.95850000000000002</v>
          </cell>
          <cell r="E2950">
            <v>53832</v>
          </cell>
          <cell r="F2950">
            <v>4500.6000000000004</v>
          </cell>
          <cell r="J2950">
            <v>988848.39568672644</v>
          </cell>
          <cell r="K2950">
            <v>0.95850000000000002</v>
          </cell>
          <cell r="L2950">
            <v>53832</v>
          </cell>
          <cell r="M2950">
            <v>4500.6000000000004</v>
          </cell>
          <cell r="N2950">
            <v>375737.38864550268</v>
          </cell>
          <cell r="O2950">
            <v>378061.31989717396</v>
          </cell>
          <cell r="P2950">
            <v>161.9563</v>
          </cell>
        </row>
        <row r="2951">
          <cell r="B2951">
            <v>34985</v>
          </cell>
          <cell r="C2951">
            <v>4.2690000000000001</v>
          </cell>
          <cell r="D2951">
            <v>0.95850000000000002</v>
          </cell>
          <cell r="E2951">
            <v>54009</v>
          </cell>
          <cell r="F2951">
            <v>4513.6000000000004</v>
          </cell>
          <cell r="J2951">
            <v>990255.52695378859</v>
          </cell>
          <cell r="K2951">
            <v>0.95850000000000002</v>
          </cell>
          <cell r="L2951">
            <v>54009</v>
          </cell>
          <cell r="M2951">
            <v>4513.6000000000004</v>
          </cell>
          <cell r="N2951">
            <v>375737.38864550268</v>
          </cell>
          <cell r="O2951">
            <v>378061.31989717396</v>
          </cell>
          <cell r="P2951">
            <v>161.9563</v>
          </cell>
        </row>
        <row r="2952">
          <cell r="B2952">
            <v>34988</v>
          </cell>
          <cell r="C2952">
            <v>4.2690000000000001</v>
          </cell>
          <cell r="D2952">
            <v>0.95850000000000002</v>
          </cell>
          <cell r="E2952">
            <v>53881</v>
          </cell>
          <cell r="F2952">
            <v>4549.6000000000004</v>
          </cell>
          <cell r="J2952">
            <v>991664.66056864383</v>
          </cell>
          <cell r="K2952">
            <v>0.95850000000000002</v>
          </cell>
          <cell r="L2952">
            <v>53881</v>
          </cell>
          <cell r="M2952">
            <v>4549.6000000000004</v>
          </cell>
          <cell r="N2952">
            <v>375737.38864550268</v>
          </cell>
          <cell r="O2952">
            <v>378061.31989717396</v>
          </cell>
          <cell r="P2952">
            <v>161.9563</v>
          </cell>
        </row>
        <row r="2953">
          <cell r="B2953">
            <v>34989</v>
          </cell>
          <cell r="C2953">
            <v>4.2990000000000004</v>
          </cell>
          <cell r="D2953">
            <v>0.95850000000000002</v>
          </cell>
          <cell r="E2953">
            <v>54005</v>
          </cell>
          <cell r="F2953">
            <v>4620.8999999999996</v>
          </cell>
          <cell r="J2953">
            <v>993085.71602723876</v>
          </cell>
          <cell r="K2953">
            <v>0.95850000000000002</v>
          </cell>
          <cell r="L2953">
            <v>54005</v>
          </cell>
          <cell r="M2953">
            <v>4620.8999999999996</v>
          </cell>
          <cell r="N2953">
            <v>375737.38864550268</v>
          </cell>
          <cell r="O2953">
            <v>378061.31989717396</v>
          </cell>
          <cell r="P2953">
            <v>161.9563</v>
          </cell>
        </row>
        <row r="2954">
          <cell r="B2954">
            <v>34990</v>
          </cell>
          <cell r="C2954">
            <v>4.359</v>
          </cell>
          <cell r="D2954">
            <v>0.95899999999999996</v>
          </cell>
          <cell r="E2954">
            <v>53963</v>
          </cell>
          <cell r="F2954">
            <v>4601.7</v>
          </cell>
          <cell r="J2954">
            <v>994528.66957262624</v>
          </cell>
          <cell r="K2954">
            <v>0.95899999999999996</v>
          </cell>
          <cell r="L2954">
            <v>53963</v>
          </cell>
          <cell r="M2954">
            <v>4601.7</v>
          </cell>
          <cell r="N2954">
            <v>375737.38864550268</v>
          </cell>
          <cell r="O2954">
            <v>378061.31989717396</v>
          </cell>
          <cell r="P2954">
            <v>161.9563</v>
          </cell>
        </row>
        <row r="2955">
          <cell r="B2955">
            <v>34991</v>
          </cell>
          <cell r="C2955">
            <v>4.359</v>
          </cell>
          <cell r="D2955">
            <v>0.95930000000000004</v>
          </cell>
          <cell r="E2955">
            <v>53793</v>
          </cell>
          <cell r="F2955">
            <v>4585</v>
          </cell>
          <cell r="J2955">
            <v>995973.71972951514</v>
          </cell>
          <cell r="K2955">
            <v>0.95930000000000004</v>
          </cell>
          <cell r="L2955">
            <v>53793</v>
          </cell>
          <cell r="M2955">
            <v>4585</v>
          </cell>
          <cell r="N2955">
            <v>375737.38864550268</v>
          </cell>
          <cell r="O2955">
            <v>378061.31989717396</v>
          </cell>
          <cell r="P2955">
            <v>161.9563</v>
          </cell>
        </row>
        <row r="2956">
          <cell r="B2956">
            <v>34992</v>
          </cell>
          <cell r="C2956">
            <v>4.3710000000000004</v>
          </cell>
          <cell r="D2956">
            <v>0.96130000000000004</v>
          </cell>
          <cell r="E2956">
            <v>54062</v>
          </cell>
          <cell r="F2956">
            <v>4668.8</v>
          </cell>
          <cell r="J2956">
            <v>997424.85343916109</v>
          </cell>
          <cell r="K2956">
            <v>0.96130000000000004</v>
          </cell>
          <cell r="L2956">
            <v>54062</v>
          </cell>
          <cell r="M2956">
            <v>4668.8</v>
          </cell>
          <cell r="N2956">
            <v>375737.38864550268</v>
          </cell>
          <cell r="O2956">
            <v>378061.31989717396</v>
          </cell>
          <cell r="P2956">
            <v>161.9563</v>
          </cell>
        </row>
        <row r="2957">
          <cell r="B2957">
            <v>34995</v>
          </cell>
          <cell r="C2957">
            <v>4.3680000000000003</v>
          </cell>
          <cell r="D2957">
            <v>0.96150000000000002</v>
          </cell>
          <cell r="E2957">
            <v>53709</v>
          </cell>
          <cell r="F2957">
            <v>4563.8999999999996</v>
          </cell>
          <cell r="J2957">
            <v>998877.10402576847</v>
          </cell>
          <cell r="K2957">
            <v>0.96150000000000002</v>
          </cell>
          <cell r="L2957">
            <v>53709</v>
          </cell>
          <cell r="M2957">
            <v>4563.8999999999996</v>
          </cell>
          <cell r="N2957">
            <v>375737.38864550268</v>
          </cell>
          <cell r="O2957">
            <v>378061.31989717396</v>
          </cell>
          <cell r="P2957">
            <v>161.9563</v>
          </cell>
        </row>
        <row r="2958">
          <cell r="B2958">
            <v>34996</v>
          </cell>
          <cell r="C2958">
            <v>4.3380000000000001</v>
          </cell>
          <cell r="D2958">
            <v>0.9617</v>
          </cell>
          <cell r="E2958">
            <v>53560</v>
          </cell>
          <cell r="F2958">
            <v>4528.1000000000004</v>
          </cell>
          <cell r="J2958">
            <v>1000321.4803181898</v>
          </cell>
          <cell r="K2958">
            <v>0.9617</v>
          </cell>
          <cell r="L2958">
            <v>53560</v>
          </cell>
          <cell r="M2958">
            <v>4528.1000000000004</v>
          </cell>
          <cell r="N2958">
            <v>375737.38864550268</v>
          </cell>
          <cell r="O2958">
            <v>378061.31989717396</v>
          </cell>
          <cell r="P2958">
            <v>161.9563</v>
          </cell>
        </row>
        <row r="2959">
          <cell r="B2959">
            <v>34997</v>
          </cell>
          <cell r="C2959">
            <v>4.3289999999999997</v>
          </cell>
          <cell r="D2959">
            <v>0.9617</v>
          </cell>
          <cell r="E2959">
            <v>52964</v>
          </cell>
          <cell r="F2959">
            <v>4343.7</v>
          </cell>
          <cell r="J2959">
            <v>1001764.9442142891</v>
          </cell>
          <cell r="K2959">
            <v>0.9617</v>
          </cell>
          <cell r="L2959">
            <v>52964</v>
          </cell>
          <cell r="M2959">
            <v>4343.7</v>
          </cell>
          <cell r="N2959">
            <v>375737.38864550268</v>
          </cell>
          <cell r="O2959">
            <v>378061.31989717396</v>
          </cell>
          <cell r="P2959">
            <v>161.9563</v>
          </cell>
        </row>
        <row r="2960">
          <cell r="B2960">
            <v>34998</v>
          </cell>
          <cell r="C2960">
            <v>4.32</v>
          </cell>
          <cell r="D2960">
            <v>0.96199999999999997</v>
          </cell>
          <cell r="E2960">
            <v>51889</v>
          </cell>
          <cell r="F2960">
            <v>4060.2</v>
          </cell>
          <cell r="J2960">
            <v>1003207.4857339577</v>
          </cell>
          <cell r="K2960">
            <v>0.96199999999999997</v>
          </cell>
          <cell r="L2960">
            <v>51889</v>
          </cell>
          <cell r="M2960">
            <v>4060.2</v>
          </cell>
          <cell r="N2960">
            <v>375737.38864550268</v>
          </cell>
          <cell r="O2960">
            <v>378061.31989717396</v>
          </cell>
          <cell r="P2960">
            <v>161.9563</v>
          </cell>
        </row>
        <row r="2961">
          <cell r="B2961">
            <v>34999</v>
          </cell>
          <cell r="C2961">
            <v>4.2779999999999996</v>
          </cell>
          <cell r="D2961">
            <v>0.96220000000000006</v>
          </cell>
          <cell r="E2961">
            <v>51779</v>
          </cell>
          <cell r="F2961">
            <v>4140.6000000000004</v>
          </cell>
          <cell r="J2961">
            <v>1004638.0596086143</v>
          </cell>
          <cell r="K2961">
            <v>0.96220000000000006</v>
          </cell>
          <cell r="L2961">
            <v>51779</v>
          </cell>
          <cell r="M2961">
            <v>4140.6000000000004</v>
          </cell>
          <cell r="N2961">
            <v>375737.38864550268</v>
          </cell>
          <cell r="O2961">
            <v>378061.31989717396</v>
          </cell>
          <cell r="P2961">
            <v>161.9563</v>
          </cell>
        </row>
        <row r="2962">
          <cell r="B2962">
            <v>35002</v>
          </cell>
          <cell r="C2962">
            <v>4.26</v>
          </cell>
          <cell r="D2962">
            <v>0.9617</v>
          </cell>
          <cell r="E2962">
            <v>51509</v>
          </cell>
          <cell r="F2962">
            <v>4069</v>
          </cell>
          <cell r="J2962">
            <v>1006064.6456532585</v>
          </cell>
          <cell r="K2962">
            <v>0.9617</v>
          </cell>
          <cell r="L2962">
            <v>51509</v>
          </cell>
          <cell r="M2962">
            <v>4069</v>
          </cell>
          <cell r="N2962">
            <v>375737.38864550268</v>
          </cell>
          <cell r="O2962">
            <v>378061.31989717396</v>
          </cell>
          <cell r="P2962">
            <v>161.9563</v>
          </cell>
        </row>
        <row r="2963">
          <cell r="B2963">
            <v>35003</v>
          </cell>
          <cell r="C2963">
            <v>4.2089999999999996</v>
          </cell>
          <cell r="D2963">
            <v>0.96189999999999998</v>
          </cell>
          <cell r="E2963">
            <v>51775</v>
          </cell>
          <cell r="F2963">
            <v>4128.3</v>
          </cell>
          <cell r="G2963">
            <v>0.23</v>
          </cell>
          <cell r="H2963">
            <v>0.52</v>
          </cell>
          <cell r="I2963">
            <v>165.4579</v>
          </cell>
          <cell r="J2963">
            <v>1007476.1543511101</v>
          </cell>
          <cell r="K2963">
            <v>0.96189999999999998</v>
          </cell>
          <cell r="L2963">
            <v>51775</v>
          </cell>
          <cell r="M2963">
            <v>4128.3</v>
          </cell>
          <cell r="N2963">
            <v>376601.58463938732</v>
          </cell>
          <cell r="O2963">
            <v>380027.23876063927</v>
          </cell>
          <cell r="P2963">
            <v>165.4579</v>
          </cell>
        </row>
        <row r="2964">
          <cell r="B2964">
            <v>35004</v>
          </cell>
          <cell r="C2964">
            <v>4.1189999999999998</v>
          </cell>
          <cell r="D2964">
            <v>0.96299999999999997</v>
          </cell>
          <cell r="E2964">
            <v>51635</v>
          </cell>
          <cell r="F2964">
            <v>4099.8</v>
          </cell>
          <cell r="J2964">
            <v>1008859.4191110343</v>
          </cell>
          <cell r="K2964">
            <v>0.96299999999999997</v>
          </cell>
          <cell r="L2964">
            <v>51635</v>
          </cell>
          <cell r="M2964">
            <v>4099.8</v>
          </cell>
          <cell r="N2964">
            <v>376601.58463938732</v>
          </cell>
          <cell r="O2964">
            <v>380027.23876063927</v>
          </cell>
          <cell r="P2964">
            <v>165.4579</v>
          </cell>
        </row>
        <row r="2965">
          <cell r="B2965">
            <v>35006</v>
          </cell>
          <cell r="C2965">
            <v>4.1310000000000002</v>
          </cell>
          <cell r="D2965">
            <v>0.9627</v>
          </cell>
          <cell r="E2965">
            <v>51613</v>
          </cell>
          <cell r="F2965">
            <v>4158.7</v>
          </cell>
          <cell r="J2965">
            <v>1010248.6185311502</v>
          </cell>
          <cell r="K2965">
            <v>0.9627</v>
          </cell>
          <cell r="L2965">
            <v>51613</v>
          </cell>
          <cell r="M2965">
            <v>4158.7</v>
          </cell>
          <cell r="N2965">
            <v>376601.58463938732</v>
          </cell>
          <cell r="O2965">
            <v>380027.23876063927</v>
          </cell>
          <cell r="P2965">
            <v>165.4579</v>
          </cell>
        </row>
        <row r="2966">
          <cell r="B2966">
            <v>35009</v>
          </cell>
          <cell r="C2966">
            <v>4.17</v>
          </cell>
          <cell r="D2966">
            <v>0.96230000000000004</v>
          </cell>
          <cell r="E2966">
            <v>51345</v>
          </cell>
          <cell r="F2966">
            <v>4094.3</v>
          </cell>
          <cell r="J2966">
            <v>1011652.8641109085</v>
          </cell>
          <cell r="K2966">
            <v>0.96230000000000004</v>
          </cell>
          <cell r="L2966">
            <v>51345</v>
          </cell>
          <cell r="M2966">
            <v>4094.3</v>
          </cell>
          <cell r="N2966">
            <v>376601.58463938732</v>
          </cell>
          <cell r="O2966">
            <v>380027.23876063927</v>
          </cell>
          <cell r="P2966">
            <v>165.4579</v>
          </cell>
        </row>
        <row r="2967">
          <cell r="B2967">
            <v>35010</v>
          </cell>
          <cell r="C2967">
            <v>4.2</v>
          </cell>
          <cell r="D2967">
            <v>0.96179999999999999</v>
          </cell>
          <cell r="E2967">
            <v>50864</v>
          </cell>
          <cell r="F2967">
            <v>4111.2</v>
          </cell>
          <cell r="J2967">
            <v>1013069.1781206639</v>
          </cell>
          <cell r="K2967">
            <v>0.96179999999999999</v>
          </cell>
          <cell r="L2967">
            <v>50864</v>
          </cell>
          <cell r="M2967">
            <v>4111.2</v>
          </cell>
          <cell r="N2967">
            <v>376601.58463938732</v>
          </cell>
          <cell r="O2967">
            <v>380027.23876063927</v>
          </cell>
          <cell r="P2967">
            <v>165.4579</v>
          </cell>
        </row>
        <row r="2968">
          <cell r="B2968">
            <v>35011</v>
          </cell>
          <cell r="C2968">
            <v>4.2690000000000001</v>
          </cell>
          <cell r="D2968">
            <v>0.96179999999999999</v>
          </cell>
          <cell r="E2968">
            <v>50545</v>
          </cell>
          <cell r="F2968">
            <v>4117</v>
          </cell>
          <cell r="J2968">
            <v>1014510.7755611296</v>
          </cell>
          <cell r="K2968">
            <v>0.96179999999999999</v>
          </cell>
          <cell r="L2968">
            <v>50545</v>
          </cell>
          <cell r="M2968">
            <v>4117</v>
          </cell>
          <cell r="N2968">
            <v>376601.58463938732</v>
          </cell>
          <cell r="O2968">
            <v>380027.23876063927</v>
          </cell>
          <cell r="P2968">
            <v>165.4579</v>
          </cell>
        </row>
        <row r="2969">
          <cell r="B2969">
            <v>35012</v>
          </cell>
          <cell r="C2969">
            <v>4.26</v>
          </cell>
          <cell r="D2969">
            <v>0.9617</v>
          </cell>
          <cell r="E2969">
            <v>50112</v>
          </cell>
          <cell r="F2969">
            <v>4112.8999999999996</v>
          </cell>
          <cell r="J2969">
            <v>1015951.3808624264</v>
          </cell>
          <cell r="K2969">
            <v>0.9617</v>
          </cell>
          <cell r="L2969">
            <v>50112</v>
          </cell>
          <cell r="M2969">
            <v>4112.8999999999996</v>
          </cell>
          <cell r="N2969">
            <v>376601.58463938732</v>
          </cell>
          <cell r="O2969">
            <v>380027.23876063927</v>
          </cell>
          <cell r="P2969">
            <v>165.4579</v>
          </cell>
        </row>
        <row r="2970">
          <cell r="B2970">
            <v>35013</v>
          </cell>
          <cell r="C2970">
            <v>4.2990000000000004</v>
          </cell>
          <cell r="D2970">
            <v>0.9617</v>
          </cell>
          <cell r="E2970">
            <v>49245</v>
          </cell>
          <cell r="F2970">
            <v>3957.9</v>
          </cell>
          <cell r="J2970">
            <v>1017407.2391912022</v>
          </cell>
          <cell r="K2970">
            <v>0.9617</v>
          </cell>
          <cell r="L2970">
            <v>49245</v>
          </cell>
          <cell r="M2970">
            <v>3957.9</v>
          </cell>
          <cell r="N2970">
            <v>376601.58463938732</v>
          </cell>
          <cell r="O2970">
            <v>380027.23876063927</v>
          </cell>
          <cell r="P2970">
            <v>165.4579</v>
          </cell>
        </row>
        <row r="2971">
          <cell r="B2971">
            <v>35016</v>
          </cell>
          <cell r="C2971">
            <v>4.32</v>
          </cell>
          <cell r="D2971">
            <v>0.96199999999999997</v>
          </cell>
          <cell r="E2971">
            <v>48011</v>
          </cell>
          <cell r="F2971">
            <v>3787</v>
          </cell>
          <cell r="J2971">
            <v>1018872.3056156377</v>
          </cell>
          <cell r="K2971">
            <v>0.96199999999999997</v>
          </cell>
          <cell r="L2971">
            <v>48011</v>
          </cell>
          <cell r="M2971">
            <v>3787</v>
          </cell>
          <cell r="N2971">
            <v>376601.58463938732</v>
          </cell>
          <cell r="O2971">
            <v>380027.23876063927</v>
          </cell>
          <cell r="P2971">
            <v>165.4579</v>
          </cell>
        </row>
        <row r="2972">
          <cell r="B2972">
            <v>35017</v>
          </cell>
          <cell r="C2972">
            <v>4.32</v>
          </cell>
          <cell r="D2972">
            <v>0.96279999999999999</v>
          </cell>
          <cell r="E2972">
            <v>48061</v>
          </cell>
          <cell r="F2972">
            <v>3797.3</v>
          </cell>
          <cell r="J2972">
            <v>1020339.4817357243</v>
          </cell>
          <cell r="K2972">
            <v>0.96279999999999999</v>
          </cell>
          <cell r="L2972">
            <v>48061</v>
          </cell>
          <cell r="M2972">
            <v>3797.3</v>
          </cell>
          <cell r="N2972">
            <v>376601.58463938732</v>
          </cell>
          <cell r="O2972">
            <v>380027.23876063927</v>
          </cell>
          <cell r="P2972">
            <v>165.4579</v>
          </cell>
        </row>
        <row r="2973">
          <cell r="B2973">
            <v>35019</v>
          </cell>
          <cell r="C2973">
            <v>4.32</v>
          </cell>
          <cell r="D2973">
            <v>0.96279999999999999</v>
          </cell>
          <cell r="E2973">
            <v>48415</v>
          </cell>
          <cell r="F2973">
            <v>4003.6</v>
          </cell>
          <cell r="J2973">
            <v>1021808.7705894238</v>
          </cell>
          <cell r="K2973">
            <v>0.96279999999999999</v>
          </cell>
          <cell r="L2973">
            <v>48415</v>
          </cell>
          <cell r="M2973">
            <v>4003.6</v>
          </cell>
          <cell r="N2973">
            <v>376601.58463938732</v>
          </cell>
          <cell r="O2973">
            <v>380027.23876063927</v>
          </cell>
          <cell r="P2973">
            <v>165.4579</v>
          </cell>
        </row>
        <row r="2974">
          <cell r="B2974">
            <v>35020</v>
          </cell>
          <cell r="C2974">
            <v>4.32</v>
          </cell>
          <cell r="D2974">
            <v>0.96240000000000003</v>
          </cell>
          <cell r="E2974">
            <v>48642</v>
          </cell>
          <cell r="F2974">
            <v>4063.5</v>
          </cell>
          <cell r="J2974">
            <v>1023280.1752190727</v>
          </cell>
          <cell r="K2974">
            <v>0.96240000000000003</v>
          </cell>
          <cell r="L2974">
            <v>48642</v>
          </cell>
          <cell r="M2974">
            <v>4063.5</v>
          </cell>
          <cell r="N2974">
            <v>376601.58463938732</v>
          </cell>
          <cell r="O2974">
            <v>380027.23876063927</v>
          </cell>
          <cell r="P2974">
            <v>165.4579</v>
          </cell>
        </row>
        <row r="2975">
          <cell r="B2975">
            <v>35023</v>
          </cell>
          <cell r="C2975">
            <v>4.2990000000000004</v>
          </cell>
          <cell r="D2975">
            <v>0.96260000000000001</v>
          </cell>
          <cell r="E2975">
            <v>48064</v>
          </cell>
          <cell r="F2975">
            <v>3966</v>
          </cell>
          <cell r="J2975">
            <v>1024746.5357101617</v>
          </cell>
          <cell r="K2975">
            <v>0.96260000000000001</v>
          </cell>
          <cell r="L2975">
            <v>48064</v>
          </cell>
          <cell r="M2975">
            <v>3966</v>
          </cell>
          <cell r="N2975">
            <v>376601.58463938732</v>
          </cell>
          <cell r="O2975">
            <v>380027.23876063927</v>
          </cell>
          <cell r="P2975">
            <v>165.4579</v>
          </cell>
        </row>
        <row r="2976">
          <cell r="B2976">
            <v>35024</v>
          </cell>
          <cell r="C2976">
            <v>4.149</v>
          </cell>
          <cell r="D2976">
            <v>0.96389999999999998</v>
          </cell>
          <cell r="E2976">
            <v>47952</v>
          </cell>
          <cell r="F2976">
            <v>4059.5</v>
          </cell>
          <cell r="J2976">
            <v>1026163.7601690487</v>
          </cell>
          <cell r="K2976">
            <v>0.96389999999999998</v>
          </cell>
          <cell r="L2976">
            <v>47952</v>
          </cell>
          <cell r="M2976">
            <v>4059.5</v>
          </cell>
          <cell r="N2976">
            <v>376601.58463938732</v>
          </cell>
          <cell r="O2976">
            <v>380027.23876063927</v>
          </cell>
          <cell r="P2976">
            <v>165.4579</v>
          </cell>
        </row>
        <row r="2977">
          <cell r="B2977">
            <v>35025</v>
          </cell>
          <cell r="C2977">
            <v>4.1580000000000004</v>
          </cell>
          <cell r="D2977">
            <v>0.96479999999999999</v>
          </cell>
          <cell r="E2977">
            <v>47992</v>
          </cell>
          <cell r="F2977">
            <v>4105.7</v>
          </cell>
          <cell r="J2977">
            <v>1027586.0231406431</v>
          </cell>
          <cell r="K2977">
            <v>0.96479999999999999</v>
          </cell>
          <cell r="L2977">
            <v>47992</v>
          </cell>
          <cell r="M2977">
            <v>4105.7</v>
          </cell>
          <cell r="N2977">
            <v>376601.58463938732</v>
          </cell>
          <cell r="O2977">
            <v>380027.23876063927</v>
          </cell>
          <cell r="P2977">
            <v>165.4579</v>
          </cell>
        </row>
        <row r="2978">
          <cell r="B2978">
            <v>35026</v>
          </cell>
          <cell r="C2978">
            <v>4.1399999999999997</v>
          </cell>
          <cell r="D2978">
            <v>0.9647</v>
          </cell>
          <cell r="E2978">
            <v>47876</v>
          </cell>
          <cell r="F2978">
            <v>4191</v>
          </cell>
          <cell r="J2978">
            <v>1029004.0918525772</v>
          </cell>
          <cell r="K2978">
            <v>0.9647</v>
          </cell>
          <cell r="L2978">
            <v>47876</v>
          </cell>
          <cell r="M2978">
            <v>4191</v>
          </cell>
          <cell r="N2978">
            <v>376601.58463938732</v>
          </cell>
          <cell r="O2978">
            <v>380027.23876063927</v>
          </cell>
          <cell r="P2978">
            <v>165.4579</v>
          </cell>
        </row>
        <row r="2979">
          <cell r="B2979">
            <v>35027</v>
          </cell>
          <cell r="C2979">
            <v>4.1399999999999997</v>
          </cell>
          <cell r="D2979">
            <v>0.96550000000000002</v>
          </cell>
          <cell r="E2979">
            <v>47677</v>
          </cell>
          <cell r="F2979">
            <v>4081.6</v>
          </cell>
          <cell r="J2979">
            <v>1030424.1174993337</v>
          </cell>
          <cell r="K2979">
            <v>0.96550000000000002</v>
          </cell>
          <cell r="L2979">
            <v>47677</v>
          </cell>
          <cell r="M2979">
            <v>4081.6</v>
          </cell>
          <cell r="N2979">
            <v>376601.58463938732</v>
          </cell>
          <cell r="O2979">
            <v>380027.23876063927</v>
          </cell>
          <cell r="P2979">
            <v>165.4579</v>
          </cell>
        </row>
        <row r="2980">
          <cell r="B2980">
            <v>35030</v>
          </cell>
          <cell r="C2980">
            <v>4.149</v>
          </cell>
          <cell r="D2980">
            <v>0.96489999999999998</v>
          </cell>
          <cell r="E2980">
            <v>47642</v>
          </cell>
          <cell r="F2980">
            <v>4105.1000000000004</v>
          </cell>
          <cell r="J2980">
            <v>1031849.1940538352</v>
          </cell>
          <cell r="K2980">
            <v>0.96489999999999998</v>
          </cell>
          <cell r="L2980">
            <v>47642</v>
          </cell>
          <cell r="M2980">
            <v>4105.1000000000004</v>
          </cell>
          <cell r="N2980">
            <v>376601.58463938732</v>
          </cell>
          <cell r="O2980">
            <v>380027.23876063927</v>
          </cell>
          <cell r="P2980">
            <v>165.4579</v>
          </cell>
        </row>
        <row r="2981">
          <cell r="B2981">
            <v>35031</v>
          </cell>
          <cell r="C2981">
            <v>4.149</v>
          </cell>
          <cell r="D2981">
            <v>0.96479999999999999</v>
          </cell>
          <cell r="E2981">
            <v>47648</v>
          </cell>
          <cell r="F2981">
            <v>4049.8</v>
          </cell>
          <cell r="J2981">
            <v>1033276.2414892116</v>
          </cell>
          <cell r="K2981">
            <v>0.96479999999999999</v>
          </cell>
          <cell r="L2981">
            <v>47648</v>
          </cell>
          <cell r="M2981">
            <v>4049.8</v>
          </cell>
          <cell r="N2981">
            <v>376601.58463938732</v>
          </cell>
          <cell r="O2981">
            <v>380027.23876063927</v>
          </cell>
          <cell r="P2981">
            <v>165.4579</v>
          </cell>
        </row>
        <row r="2982">
          <cell r="B2982">
            <v>35032</v>
          </cell>
          <cell r="C2982">
            <v>4.1399999999999997</v>
          </cell>
          <cell r="D2982">
            <v>0.9647</v>
          </cell>
          <cell r="E2982">
            <v>47625</v>
          </cell>
          <cell r="F2982">
            <v>4182.3999999999996</v>
          </cell>
          <cell r="J2982">
            <v>1034702.1627024666</v>
          </cell>
          <cell r="K2982">
            <v>0.9647</v>
          </cell>
          <cell r="L2982">
            <v>47625</v>
          </cell>
          <cell r="M2982">
            <v>4182.3999999999996</v>
          </cell>
          <cell r="N2982">
            <v>376601.58463938732</v>
          </cell>
          <cell r="O2982">
            <v>380027.23876063927</v>
          </cell>
          <cell r="P2982">
            <v>165.4579</v>
          </cell>
        </row>
        <row r="2983">
          <cell r="B2983">
            <v>35033</v>
          </cell>
          <cell r="C2983">
            <v>3.96</v>
          </cell>
          <cell r="D2983">
            <v>0.96660000000000001</v>
          </cell>
          <cell r="E2983">
            <v>48495</v>
          </cell>
          <cell r="F2983">
            <v>4378.5</v>
          </cell>
          <cell r="G2983">
            <v>1.33</v>
          </cell>
          <cell r="H2983">
            <v>1.2</v>
          </cell>
          <cell r="I2983">
            <v>168.678</v>
          </cell>
          <cell r="J2983">
            <v>1036067.9695572339</v>
          </cell>
          <cell r="K2983">
            <v>0.96660000000000001</v>
          </cell>
          <cell r="L2983">
            <v>48495</v>
          </cell>
          <cell r="M2983">
            <v>4378.5</v>
          </cell>
          <cell r="N2983">
            <v>381610.38571509119</v>
          </cell>
          <cell r="O2983">
            <v>384587.56562576693</v>
          </cell>
          <cell r="P2983">
            <v>168.678</v>
          </cell>
        </row>
        <row r="2984">
          <cell r="B2984">
            <v>35034</v>
          </cell>
          <cell r="C2984">
            <v>3.9780000000000002</v>
          </cell>
          <cell r="D2984">
            <v>0.96660000000000001</v>
          </cell>
          <cell r="E2984">
            <v>48478</v>
          </cell>
          <cell r="F2984">
            <v>4345.8999999999996</v>
          </cell>
          <cell r="J2984">
            <v>1037441.7956848667</v>
          </cell>
          <cell r="K2984">
            <v>0.96660000000000001</v>
          </cell>
          <cell r="L2984">
            <v>48478</v>
          </cell>
          <cell r="M2984">
            <v>4345.8999999999996</v>
          </cell>
          <cell r="N2984">
            <v>381610.38571509119</v>
          </cell>
          <cell r="O2984">
            <v>384587.56562576693</v>
          </cell>
          <cell r="P2984">
            <v>168.678</v>
          </cell>
        </row>
        <row r="2985">
          <cell r="B2985">
            <v>35037</v>
          </cell>
          <cell r="C2985">
            <v>3.99</v>
          </cell>
          <cell r="D2985">
            <v>0.96660000000000001</v>
          </cell>
          <cell r="E2985">
            <v>48128</v>
          </cell>
          <cell r="F2985">
            <v>4334.1000000000004</v>
          </cell>
          <cell r="J2985">
            <v>1038821.5932731277</v>
          </cell>
          <cell r="K2985">
            <v>0.96660000000000001</v>
          </cell>
          <cell r="L2985">
            <v>48128</v>
          </cell>
          <cell r="M2985">
            <v>4334.1000000000004</v>
          </cell>
          <cell r="N2985">
            <v>381610.38571509119</v>
          </cell>
          <cell r="O2985">
            <v>384587.56562576693</v>
          </cell>
          <cell r="P2985">
            <v>168.678</v>
          </cell>
        </row>
        <row r="2986">
          <cell r="B2986">
            <v>35038</v>
          </cell>
          <cell r="C2986">
            <v>3.9809999999999999</v>
          </cell>
          <cell r="D2986">
            <v>0.9667</v>
          </cell>
          <cell r="E2986">
            <v>47982</v>
          </cell>
          <cell r="F2986">
            <v>4281</v>
          </cell>
          <cell r="J2986">
            <v>1040200.1095274012</v>
          </cell>
          <cell r="K2986">
            <v>0.9667</v>
          </cell>
          <cell r="L2986">
            <v>47982</v>
          </cell>
          <cell r="M2986">
            <v>4281</v>
          </cell>
          <cell r="N2986">
            <v>381610.38571509119</v>
          </cell>
          <cell r="O2986">
            <v>384587.56562576693</v>
          </cell>
          <cell r="P2986">
            <v>168.678</v>
          </cell>
        </row>
        <row r="2987">
          <cell r="B2987">
            <v>35039</v>
          </cell>
          <cell r="C2987">
            <v>3.99</v>
          </cell>
          <cell r="D2987">
            <v>0.9667</v>
          </cell>
          <cell r="E2987">
            <v>47447</v>
          </cell>
          <cell r="F2987">
            <v>4303.6000000000004</v>
          </cell>
          <cell r="J2987">
            <v>1041583.5756730727</v>
          </cell>
          <cell r="K2987">
            <v>0.9667</v>
          </cell>
          <cell r="L2987">
            <v>47447</v>
          </cell>
          <cell r="M2987">
            <v>4303.6000000000004</v>
          </cell>
          <cell r="N2987">
            <v>381610.38571509119</v>
          </cell>
          <cell r="O2987">
            <v>384587.56562576693</v>
          </cell>
          <cell r="P2987">
            <v>168.678</v>
          </cell>
        </row>
        <row r="2988">
          <cell r="B2988">
            <v>35040</v>
          </cell>
          <cell r="C2988">
            <v>3.9990000000000001</v>
          </cell>
          <cell r="D2988">
            <v>0.96660000000000001</v>
          </cell>
          <cell r="E2988">
            <v>47114</v>
          </cell>
          <cell r="F2988">
            <v>4318.7</v>
          </cell>
          <cell r="J2988">
            <v>1042972.006579445</v>
          </cell>
          <cell r="K2988">
            <v>0.96660000000000001</v>
          </cell>
          <cell r="L2988">
            <v>47114</v>
          </cell>
          <cell r="M2988">
            <v>4318.7</v>
          </cell>
          <cell r="N2988">
            <v>381610.38571509119</v>
          </cell>
          <cell r="O2988">
            <v>384587.56562576693</v>
          </cell>
          <cell r="P2988">
            <v>168.678</v>
          </cell>
        </row>
        <row r="2989">
          <cell r="B2989">
            <v>35041</v>
          </cell>
          <cell r="C2989">
            <v>3.9990000000000001</v>
          </cell>
          <cell r="D2989">
            <v>0.9667</v>
          </cell>
          <cell r="E2989">
            <v>47015</v>
          </cell>
          <cell r="F2989">
            <v>4299.2</v>
          </cell>
          <cell r="J2989">
            <v>1044362.2882642155</v>
          </cell>
          <cell r="K2989">
            <v>0.9667</v>
          </cell>
          <cell r="L2989">
            <v>47015</v>
          </cell>
          <cell r="M2989">
            <v>4299.2</v>
          </cell>
          <cell r="N2989">
            <v>381610.38571509119</v>
          </cell>
          <cell r="O2989">
            <v>384587.56562576693</v>
          </cell>
          <cell r="P2989">
            <v>168.678</v>
          </cell>
        </row>
        <row r="2990">
          <cell r="B2990">
            <v>35044</v>
          </cell>
          <cell r="C2990">
            <v>4.0289999999999999</v>
          </cell>
          <cell r="D2990">
            <v>0.9667</v>
          </cell>
          <cell r="E2990">
            <v>46695</v>
          </cell>
          <cell r="F2990">
            <v>4306.2</v>
          </cell>
          <cell r="J2990">
            <v>1045764.8668173543</v>
          </cell>
          <cell r="K2990">
            <v>0.9667</v>
          </cell>
          <cell r="L2990">
            <v>46695</v>
          </cell>
          <cell r="M2990">
            <v>4306.2</v>
          </cell>
          <cell r="N2990">
            <v>381610.38571509119</v>
          </cell>
          <cell r="O2990">
            <v>384587.56562576693</v>
          </cell>
          <cell r="P2990">
            <v>168.678</v>
          </cell>
        </row>
        <row r="2991">
          <cell r="B2991">
            <v>35045</v>
          </cell>
          <cell r="C2991">
            <v>4.0380000000000003</v>
          </cell>
          <cell r="D2991">
            <v>0.96679999999999999</v>
          </cell>
          <cell r="E2991">
            <v>46651</v>
          </cell>
          <cell r="F2991">
            <v>4365.6000000000004</v>
          </cell>
          <cell r="J2991">
            <v>1047172.4663280905</v>
          </cell>
          <cell r="K2991">
            <v>0.96679999999999999</v>
          </cell>
          <cell r="L2991">
            <v>46651</v>
          </cell>
          <cell r="M2991">
            <v>4365.6000000000004</v>
          </cell>
          <cell r="N2991">
            <v>381610.38571509119</v>
          </cell>
          <cell r="O2991">
            <v>384587.56562576693</v>
          </cell>
          <cell r="P2991">
            <v>168.678</v>
          </cell>
        </row>
        <row r="2992">
          <cell r="B2992">
            <v>35046</v>
          </cell>
          <cell r="C2992">
            <v>4.0380000000000003</v>
          </cell>
          <cell r="D2992">
            <v>0.96709999999999996</v>
          </cell>
          <cell r="E2992">
            <v>46304</v>
          </cell>
          <cell r="F2992">
            <v>4369.7</v>
          </cell>
          <cell r="J2992">
            <v>1048581.9604677681</v>
          </cell>
          <cell r="K2992">
            <v>0.96709999999999996</v>
          </cell>
          <cell r="L2992">
            <v>46304</v>
          </cell>
          <cell r="M2992">
            <v>4369.7</v>
          </cell>
          <cell r="N2992">
            <v>381610.38571509119</v>
          </cell>
          <cell r="O2992">
            <v>384587.56562576693</v>
          </cell>
          <cell r="P2992">
            <v>168.678</v>
          </cell>
        </row>
        <row r="2993">
          <cell r="B2993">
            <v>35047</v>
          </cell>
          <cell r="C2993">
            <v>4.17</v>
          </cell>
          <cell r="D2993">
            <v>0.96730000000000005</v>
          </cell>
          <cell r="E2993">
            <v>45262</v>
          </cell>
          <cell r="F2993">
            <v>4183.3</v>
          </cell>
          <cell r="J2993">
            <v>1050039.4893928184</v>
          </cell>
          <cell r="K2993">
            <v>0.96730000000000005</v>
          </cell>
          <cell r="L2993">
            <v>45262</v>
          </cell>
          <cell r="M2993">
            <v>4183.3</v>
          </cell>
          <cell r="N2993">
            <v>381610.38571509119</v>
          </cell>
          <cell r="O2993">
            <v>384587.56562576693</v>
          </cell>
          <cell r="P2993">
            <v>168.678</v>
          </cell>
        </row>
        <row r="2994">
          <cell r="B2994">
            <v>35048</v>
          </cell>
          <cell r="C2994">
            <v>4.1790000000000003</v>
          </cell>
          <cell r="D2994">
            <v>0.9677</v>
          </cell>
          <cell r="E2994">
            <v>45366</v>
          </cell>
          <cell r="F2994">
            <v>4158.6000000000004</v>
          </cell>
          <cell r="J2994">
            <v>1051502.1944015427</v>
          </cell>
          <cell r="K2994">
            <v>0.9677</v>
          </cell>
          <cell r="L2994">
            <v>45366</v>
          </cell>
          <cell r="M2994">
            <v>4158.6000000000004</v>
          </cell>
          <cell r="N2994">
            <v>381610.38571509119</v>
          </cell>
          <cell r="O2994">
            <v>384587.56562576693</v>
          </cell>
          <cell r="P2994">
            <v>168.678</v>
          </cell>
        </row>
        <row r="2995">
          <cell r="B2995">
            <v>35051</v>
          </cell>
          <cell r="C2995">
            <v>4.17</v>
          </cell>
          <cell r="D2995">
            <v>0.96809999999999996</v>
          </cell>
          <cell r="E2995">
            <v>44835</v>
          </cell>
          <cell r="F2995">
            <v>4056</v>
          </cell>
          <cell r="J2995">
            <v>1052963.7824517607</v>
          </cell>
          <cell r="K2995">
            <v>0.96809999999999996</v>
          </cell>
          <cell r="L2995">
            <v>44835</v>
          </cell>
          <cell r="M2995">
            <v>4056</v>
          </cell>
          <cell r="N2995">
            <v>381610.38571509119</v>
          </cell>
          <cell r="O2995">
            <v>384587.56562576693</v>
          </cell>
          <cell r="P2995">
            <v>168.678</v>
          </cell>
        </row>
        <row r="2996">
          <cell r="B2996">
            <v>35052</v>
          </cell>
          <cell r="C2996">
            <v>4.17</v>
          </cell>
          <cell r="D2996">
            <v>0.96760000000000002</v>
          </cell>
          <cell r="E2996">
            <v>44757</v>
          </cell>
          <cell r="F2996">
            <v>4034.9</v>
          </cell>
          <cell r="J2996">
            <v>1054427.4021093687</v>
          </cell>
          <cell r="K2996">
            <v>0.96760000000000002</v>
          </cell>
          <cell r="L2996">
            <v>44757</v>
          </cell>
          <cell r="M2996">
            <v>4034.9</v>
          </cell>
          <cell r="N2996">
            <v>381610.38571509119</v>
          </cell>
          <cell r="O2996">
            <v>384587.56562576693</v>
          </cell>
          <cell r="P2996">
            <v>168.678</v>
          </cell>
        </row>
        <row r="2997">
          <cell r="B2997">
            <v>35053</v>
          </cell>
          <cell r="C2997">
            <v>4.17</v>
          </cell>
          <cell r="D2997">
            <v>0.96860000000000002</v>
          </cell>
          <cell r="E2997">
            <v>45101</v>
          </cell>
          <cell r="F2997">
            <v>4205.7</v>
          </cell>
          <cell r="J2997">
            <v>1055893.0561983008</v>
          </cell>
          <cell r="K2997">
            <v>0.96860000000000002</v>
          </cell>
          <cell r="L2997">
            <v>45101</v>
          </cell>
          <cell r="M2997">
            <v>4205.7</v>
          </cell>
          <cell r="N2997">
            <v>381610.38571509119</v>
          </cell>
          <cell r="O2997">
            <v>384587.56562576693</v>
          </cell>
          <cell r="P2997">
            <v>168.678</v>
          </cell>
        </row>
        <row r="2998">
          <cell r="B2998">
            <v>35054</v>
          </cell>
          <cell r="C2998">
            <v>4.1580000000000004</v>
          </cell>
          <cell r="D2998">
            <v>0.96940000000000004</v>
          </cell>
          <cell r="E2998">
            <v>45263</v>
          </cell>
          <cell r="F2998">
            <v>4252</v>
          </cell>
          <cell r="J2998">
            <v>1057356.5239741919</v>
          </cell>
          <cell r="K2998">
            <v>0.96940000000000004</v>
          </cell>
          <cell r="L2998">
            <v>45263</v>
          </cell>
          <cell r="M2998">
            <v>4252</v>
          </cell>
          <cell r="N2998">
            <v>381610.38571509119</v>
          </cell>
          <cell r="O2998">
            <v>384587.56562576693</v>
          </cell>
          <cell r="P2998">
            <v>168.678</v>
          </cell>
        </row>
        <row r="2999">
          <cell r="B2999">
            <v>35055</v>
          </cell>
          <cell r="C2999">
            <v>4.149</v>
          </cell>
          <cell r="D2999">
            <v>0.97019999999999995</v>
          </cell>
          <cell r="E2999">
            <v>45586</v>
          </cell>
          <cell r="F2999">
            <v>4343.2</v>
          </cell>
          <cell r="J2999">
            <v>1058818.8480468481</v>
          </cell>
          <cell r="K2999">
            <v>0.97019999999999995</v>
          </cell>
          <cell r="L2999">
            <v>45586</v>
          </cell>
          <cell r="M2999">
            <v>4343.2</v>
          </cell>
          <cell r="N2999">
            <v>381610.38571509119</v>
          </cell>
          <cell r="O2999">
            <v>384587.56562576693</v>
          </cell>
          <cell r="P2999">
            <v>168.678</v>
          </cell>
        </row>
        <row r="3000">
          <cell r="B3000">
            <v>35059</v>
          </cell>
          <cell r="C3000">
            <v>4.0590000000000002</v>
          </cell>
          <cell r="D3000">
            <v>0.97019999999999995</v>
          </cell>
          <cell r="E3000">
            <v>45755</v>
          </cell>
          <cell r="F3000">
            <v>4364</v>
          </cell>
          <cell r="J3000">
            <v>1060251.4299482554</v>
          </cell>
          <cell r="K3000">
            <v>0.97019999999999995</v>
          </cell>
          <cell r="L3000">
            <v>45755</v>
          </cell>
          <cell r="M3000">
            <v>4364</v>
          </cell>
          <cell r="N3000">
            <v>381610.38571509119</v>
          </cell>
          <cell r="O3000">
            <v>384587.56562576693</v>
          </cell>
          <cell r="P3000">
            <v>168.678</v>
          </cell>
        </row>
        <row r="3001">
          <cell r="B3001">
            <v>35060</v>
          </cell>
          <cell r="C3001">
            <v>3.9990000000000001</v>
          </cell>
          <cell r="D3001">
            <v>0.97089999999999999</v>
          </cell>
          <cell r="E3001">
            <v>45735</v>
          </cell>
          <cell r="F3001">
            <v>4346.2</v>
          </cell>
          <cell r="J3001">
            <v>1061664.7451043765</v>
          </cell>
          <cell r="K3001">
            <v>0.97089999999999999</v>
          </cell>
          <cell r="L3001">
            <v>45735</v>
          </cell>
          <cell r="M3001">
            <v>4346.2</v>
          </cell>
          <cell r="N3001">
            <v>381610.38571509119</v>
          </cell>
          <cell r="O3001">
            <v>384587.56562576693</v>
          </cell>
          <cell r="P3001">
            <v>168.678</v>
          </cell>
        </row>
        <row r="3002">
          <cell r="B3002">
            <v>35061</v>
          </cell>
          <cell r="C3002">
            <v>3.7290000000000001</v>
          </cell>
          <cell r="D3002">
            <v>0.97260000000000002</v>
          </cell>
          <cell r="E3002">
            <v>45600</v>
          </cell>
          <cell r="F3002">
            <v>4299</v>
          </cell>
          <cell r="G3002">
            <v>0.27</v>
          </cell>
          <cell r="H3002">
            <v>0.71</v>
          </cell>
          <cell r="J3002">
            <v>1062984.3943825413</v>
          </cell>
          <cell r="K3002">
            <v>0.97260000000000002</v>
          </cell>
          <cell r="L3002">
            <v>45600</v>
          </cell>
          <cell r="M3002">
            <v>4299</v>
          </cell>
          <cell r="N3002">
            <v>382640.73375652189</v>
          </cell>
          <cell r="O3002">
            <v>387318.13734170992</v>
          </cell>
          <cell r="P3002">
            <v>168.678</v>
          </cell>
        </row>
        <row r="3003">
          <cell r="B3003">
            <v>35062</v>
          </cell>
          <cell r="C3003">
            <v>3.7290000000000001</v>
          </cell>
          <cell r="D3003">
            <v>0.97250000000000003</v>
          </cell>
          <cell r="I3003">
            <v>171.79259999999999</v>
          </cell>
          <cell r="J3003">
            <v>1064305.6839847588</v>
          </cell>
          <cell r="K3003">
            <v>0.97250000000000003</v>
          </cell>
          <cell r="L3003">
            <v>45600</v>
          </cell>
          <cell r="M3003">
            <v>4299</v>
          </cell>
          <cell r="N3003">
            <v>382640.73375652189</v>
          </cell>
          <cell r="O3003">
            <v>387318.13734170992</v>
          </cell>
          <cell r="P3003">
            <v>171.79259999999999</v>
          </cell>
        </row>
        <row r="3004">
          <cell r="B3004">
            <v>35066</v>
          </cell>
          <cell r="C3004">
            <v>3.528</v>
          </cell>
          <cell r="D3004">
            <v>0.97260000000000002</v>
          </cell>
          <cell r="E3004">
            <v>45422</v>
          </cell>
          <cell r="F3004">
            <v>4390</v>
          </cell>
          <cell r="J3004">
            <v>1065557.3074691249</v>
          </cell>
          <cell r="K3004">
            <v>0.97260000000000002</v>
          </cell>
          <cell r="L3004">
            <v>45422</v>
          </cell>
          <cell r="M3004">
            <v>4390</v>
          </cell>
          <cell r="N3004">
            <v>382640.73375652189</v>
          </cell>
          <cell r="O3004">
            <v>387318.13734170992</v>
          </cell>
          <cell r="P3004">
            <v>171.79259999999999</v>
          </cell>
        </row>
        <row r="3005">
          <cell r="B3005">
            <v>35067</v>
          </cell>
          <cell r="C3005">
            <v>3.5190000000000001</v>
          </cell>
          <cell r="D3005">
            <v>0.97270000000000001</v>
          </cell>
          <cell r="E3005">
            <v>46252</v>
          </cell>
          <cell r="F3005">
            <v>4681.3999999999996</v>
          </cell>
          <cell r="J3005">
            <v>1066807.2061907863</v>
          </cell>
          <cell r="K3005">
            <v>0.97270000000000001</v>
          </cell>
          <cell r="L3005">
            <v>46252</v>
          </cell>
          <cell r="M3005">
            <v>4681.3999999999996</v>
          </cell>
          <cell r="N3005">
            <v>382640.73375652189</v>
          </cell>
          <cell r="O3005">
            <v>387318.13734170992</v>
          </cell>
          <cell r="P3005">
            <v>171.79259999999999</v>
          </cell>
        </row>
        <row r="3006">
          <cell r="B3006">
            <v>35068</v>
          </cell>
          <cell r="C3006">
            <v>3.3690000000000002</v>
          </cell>
          <cell r="D3006">
            <v>0.9728</v>
          </cell>
          <cell r="E3006">
            <v>46367</v>
          </cell>
          <cell r="F3006">
            <v>4684</v>
          </cell>
          <cell r="J3006">
            <v>1068005.2306833386</v>
          </cell>
          <cell r="K3006">
            <v>0.9728</v>
          </cell>
          <cell r="L3006">
            <v>46367</v>
          </cell>
          <cell r="M3006">
            <v>4684</v>
          </cell>
          <cell r="N3006">
            <v>382640.73375652189</v>
          </cell>
          <cell r="O3006">
            <v>387318.13734170992</v>
          </cell>
          <cell r="P3006">
            <v>171.79259999999999</v>
          </cell>
        </row>
        <row r="3007">
          <cell r="B3007">
            <v>35069</v>
          </cell>
          <cell r="C3007">
            <v>3.3690000000000002</v>
          </cell>
          <cell r="D3007">
            <v>0.97270000000000001</v>
          </cell>
          <cell r="E3007">
            <v>46222</v>
          </cell>
          <cell r="F3007">
            <v>4694.3</v>
          </cell>
          <cell r="J3007">
            <v>1069204.600557396</v>
          </cell>
          <cell r="K3007">
            <v>0.97270000000000001</v>
          </cell>
          <cell r="L3007">
            <v>46222</v>
          </cell>
          <cell r="M3007">
            <v>4694.3</v>
          </cell>
          <cell r="N3007">
            <v>382640.73375652189</v>
          </cell>
          <cell r="O3007">
            <v>387318.13734170992</v>
          </cell>
          <cell r="P3007">
            <v>171.79259999999999</v>
          </cell>
        </row>
        <row r="3008">
          <cell r="B3008">
            <v>35072</v>
          </cell>
          <cell r="C3008">
            <v>3.3690000000000002</v>
          </cell>
          <cell r="D3008">
            <v>0.97260000000000002</v>
          </cell>
          <cell r="E3008">
            <v>45907</v>
          </cell>
          <cell r="F3008">
            <v>4741</v>
          </cell>
          <cell r="I3008">
            <v>174.55520000000001</v>
          </cell>
          <cell r="J3008">
            <v>1070405.3173238218</v>
          </cell>
          <cell r="K3008">
            <v>0.97260000000000002</v>
          </cell>
          <cell r="L3008">
            <v>45907</v>
          </cell>
          <cell r="M3008">
            <v>4741</v>
          </cell>
          <cell r="N3008">
            <v>382640.73375652189</v>
          </cell>
          <cell r="O3008">
            <v>387318.13734170992</v>
          </cell>
          <cell r="P3008">
            <v>174.55520000000001</v>
          </cell>
        </row>
        <row r="3009">
          <cell r="B3009">
            <v>35073</v>
          </cell>
          <cell r="C3009">
            <v>3.3809999999999998</v>
          </cell>
          <cell r="D3009">
            <v>0.97260000000000002</v>
          </cell>
          <cell r="E3009">
            <v>45382</v>
          </cell>
          <cell r="F3009">
            <v>4653.8</v>
          </cell>
          <cell r="I3009">
            <v>177.47300000000001</v>
          </cell>
          <cell r="J3009">
            <v>1071611.6641164459</v>
          </cell>
          <cell r="K3009">
            <v>0.97260000000000002</v>
          </cell>
          <cell r="L3009">
            <v>45382</v>
          </cell>
          <cell r="M3009">
            <v>4653.8</v>
          </cell>
          <cell r="N3009">
            <v>382640.73375652189</v>
          </cell>
          <cell r="O3009">
            <v>387318.13734170992</v>
          </cell>
          <cell r="P3009">
            <v>177.47300000000001</v>
          </cell>
        </row>
        <row r="3010">
          <cell r="B3010">
            <v>35074</v>
          </cell>
          <cell r="C3010">
            <v>3.399</v>
          </cell>
          <cell r="D3010">
            <v>0.97260000000000002</v>
          </cell>
          <cell r="E3010">
            <v>45133</v>
          </cell>
          <cell r="F3010">
            <v>4622.1000000000004</v>
          </cell>
          <cell r="J3010">
            <v>1072825.80013189</v>
          </cell>
          <cell r="K3010">
            <v>0.97260000000000002</v>
          </cell>
          <cell r="L3010">
            <v>45133</v>
          </cell>
          <cell r="M3010">
            <v>4622.1000000000004</v>
          </cell>
          <cell r="N3010">
            <v>382640.73375652189</v>
          </cell>
          <cell r="O3010">
            <v>387318.13734170992</v>
          </cell>
          <cell r="P3010">
            <v>177.47300000000001</v>
          </cell>
        </row>
        <row r="3011">
          <cell r="B3011">
            <v>35075</v>
          </cell>
          <cell r="C3011">
            <v>3.399</v>
          </cell>
          <cell r="D3011">
            <v>0.97309999999999997</v>
          </cell>
          <cell r="E3011">
            <v>45451</v>
          </cell>
          <cell r="F3011">
            <v>4748.6000000000004</v>
          </cell>
          <cell r="J3011">
            <v>1074041.3117634396</v>
          </cell>
          <cell r="K3011">
            <v>0.97309999999999997</v>
          </cell>
          <cell r="L3011">
            <v>45451</v>
          </cell>
          <cell r="M3011">
            <v>4748.6000000000004</v>
          </cell>
          <cell r="N3011">
            <v>382640.73375652189</v>
          </cell>
          <cell r="O3011">
            <v>387318.13734170992</v>
          </cell>
          <cell r="P3011">
            <v>177.47300000000001</v>
          </cell>
        </row>
        <row r="3012">
          <cell r="B3012">
            <v>35076</v>
          </cell>
          <cell r="C3012">
            <v>3.399</v>
          </cell>
          <cell r="D3012">
            <v>0.97340000000000004</v>
          </cell>
          <cell r="E3012">
            <v>46051</v>
          </cell>
          <cell r="F3012">
            <v>4846.5</v>
          </cell>
          <cell r="J3012">
            <v>1075258.2005696676</v>
          </cell>
          <cell r="K3012">
            <v>0.97340000000000004</v>
          </cell>
          <cell r="L3012">
            <v>46051</v>
          </cell>
          <cell r="M3012">
            <v>4846.5</v>
          </cell>
          <cell r="N3012">
            <v>382640.73375652189</v>
          </cell>
          <cell r="O3012">
            <v>387318.13734170992</v>
          </cell>
          <cell r="P3012">
            <v>177.47300000000001</v>
          </cell>
        </row>
        <row r="3013">
          <cell r="B3013">
            <v>35079</v>
          </cell>
          <cell r="C3013">
            <v>3.399</v>
          </cell>
          <cell r="D3013">
            <v>0.97270000000000001</v>
          </cell>
          <cell r="E3013">
            <v>46522</v>
          </cell>
          <cell r="F3013">
            <v>4895.3999999999996</v>
          </cell>
          <cell r="J3013">
            <v>1076476.4681109132</v>
          </cell>
          <cell r="K3013">
            <v>0.97270000000000001</v>
          </cell>
          <cell r="L3013">
            <v>46522</v>
          </cell>
          <cell r="M3013">
            <v>4895.3999999999996</v>
          </cell>
          <cell r="N3013">
            <v>382640.73375652189</v>
          </cell>
          <cell r="O3013">
            <v>387318.13734170992</v>
          </cell>
          <cell r="P3013">
            <v>177.47300000000001</v>
          </cell>
        </row>
        <row r="3014">
          <cell r="B3014">
            <v>35080</v>
          </cell>
          <cell r="C3014">
            <v>3.42</v>
          </cell>
          <cell r="D3014">
            <v>0.97260000000000002</v>
          </cell>
          <cell r="E3014">
            <v>46831</v>
          </cell>
          <cell r="F3014">
            <v>4846.7</v>
          </cell>
          <cell r="J3014">
            <v>1077703.6512845596</v>
          </cell>
          <cell r="K3014">
            <v>0.97260000000000002</v>
          </cell>
          <cell r="L3014">
            <v>46831</v>
          </cell>
          <cell r="M3014">
            <v>4846.7</v>
          </cell>
          <cell r="N3014">
            <v>382640.73375652189</v>
          </cell>
          <cell r="O3014">
            <v>387318.13734170992</v>
          </cell>
          <cell r="P3014">
            <v>177.47300000000001</v>
          </cell>
        </row>
        <row r="3015">
          <cell r="B3015">
            <v>35081</v>
          </cell>
          <cell r="C3015">
            <v>3.4079999999999999</v>
          </cell>
          <cell r="D3015">
            <v>0.97270000000000001</v>
          </cell>
          <cell r="E3015">
            <v>47094</v>
          </cell>
          <cell r="F3015">
            <v>4836.2</v>
          </cell>
          <cell r="J3015">
            <v>1078927.9226324188</v>
          </cell>
          <cell r="K3015">
            <v>0.97270000000000001</v>
          </cell>
          <cell r="L3015">
            <v>47094</v>
          </cell>
          <cell r="M3015">
            <v>4836.2</v>
          </cell>
          <cell r="N3015">
            <v>382640.73375652189</v>
          </cell>
          <cell r="O3015">
            <v>387318.13734170992</v>
          </cell>
          <cell r="P3015">
            <v>177.47300000000001</v>
          </cell>
        </row>
        <row r="3016">
          <cell r="B3016">
            <v>35082</v>
          </cell>
          <cell r="C3016">
            <v>3.399</v>
          </cell>
          <cell r="D3016">
            <v>0.97289999999999999</v>
          </cell>
          <cell r="E3016">
            <v>47478</v>
          </cell>
          <cell r="F3016">
            <v>4833.8</v>
          </cell>
          <cell r="J3016">
            <v>1080150.3479687613</v>
          </cell>
          <cell r="K3016">
            <v>0.97289999999999999</v>
          </cell>
          <cell r="L3016">
            <v>47478</v>
          </cell>
          <cell r="M3016">
            <v>4833.8</v>
          </cell>
          <cell r="N3016">
            <v>382640.73375652189</v>
          </cell>
          <cell r="O3016">
            <v>387318.13734170992</v>
          </cell>
          <cell r="P3016">
            <v>177.47300000000001</v>
          </cell>
        </row>
        <row r="3017">
          <cell r="B3017">
            <v>35083</v>
          </cell>
          <cell r="C3017">
            <v>3.5489999999999999</v>
          </cell>
          <cell r="D3017">
            <v>0.97319999999999995</v>
          </cell>
          <cell r="E3017">
            <v>47968</v>
          </cell>
          <cell r="F3017">
            <v>4909</v>
          </cell>
          <cell r="J3017">
            <v>1081428.1658304082</v>
          </cell>
          <cell r="K3017">
            <v>0.97319999999999995</v>
          </cell>
          <cell r="L3017">
            <v>47968</v>
          </cell>
          <cell r="M3017">
            <v>4909</v>
          </cell>
          <cell r="N3017">
            <v>382640.73375652189</v>
          </cell>
          <cell r="O3017">
            <v>387318.13734170992</v>
          </cell>
          <cell r="P3017">
            <v>177.47300000000001</v>
          </cell>
        </row>
        <row r="3018">
          <cell r="B3018">
            <v>35086</v>
          </cell>
          <cell r="C3018">
            <v>3.51</v>
          </cell>
          <cell r="D3018">
            <v>0.97460000000000002</v>
          </cell>
          <cell r="E3018">
            <v>48418</v>
          </cell>
          <cell r="F3018">
            <v>4893.8</v>
          </cell>
          <cell r="J3018">
            <v>1082693.4367844297</v>
          </cell>
          <cell r="K3018">
            <v>0.97460000000000002</v>
          </cell>
          <cell r="L3018">
            <v>48418</v>
          </cell>
          <cell r="M3018">
            <v>4893.8</v>
          </cell>
          <cell r="N3018">
            <v>382640.73375652189</v>
          </cell>
          <cell r="O3018">
            <v>387318.13734170992</v>
          </cell>
          <cell r="P3018">
            <v>177.47300000000001</v>
          </cell>
        </row>
        <row r="3019">
          <cell r="B3019">
            <v>35087</v>
          </cell>
          <cell r="C3019">
            <v>3.48</v>
          </cell>
          <cell r="D3019">
            <v>0.97660000000000002</v>
          </cell>
          <cell r="E3019">
            <v>49770</v>
          </cell>
          <cell r="F3019">
            <v>4985.2</v>
          </cell>
          <cell r="J3019">
            <v>1083949.3611710996</v>
          </cell>
          <cell r="K3019">
            <v>0.97660000000000002</v>
          </cell>
          <cell r="L3019">
            <v>49770</v>
          </cell>
          <cell r="M3019">
            <v>4985.2</v>
          </cell>
          <cell r="N3019">
            <v>382640.73375652189</v>
          </cell>
          <cell r="O3019">
            <v>387318.13734170992</v>
          </cell>
          <cell r="P3019">
            <v>177.47300000000001</v>
          </cell>
        </row>
        <row r="3020">
          <cell r="B3020">
            <v>35088</v>
          </cell>
          <cell r="C3020">
            <v>3.528</v>
          </cell>
          <cell r="D3020">
            <v>0.97689999999999999</v>
          </cell>
          <cell r="E3020">
            <v>49859</v>
          </cell>
          <cell r="F3020">
            <v>4945.2</v>
          </cell>
          <cell r="J3020">
            <v>1085224.0856198368</v>
          </cell>
          <cell r="K3020">
            <v>0.97689999999999999</v>
          </cell>
          <cell r="L3020">
            <v>49859</v>
          </cell>
          <cell r="M3020">
            <v>4945.2</v>
          </cell>
          <cell r="N3020">
            <v>382640.73375652189</v>
          </cell>
          <cell r="O3020">
            <v>387318.13734170992</v>
          </cell>
          <cell r="P3020">
            <v>177.47300000000001</v>
          </cell>
        </row>
        <row r="3021">
          <cell r="B3021">
            <v>35089</v>
          </cell>
          <cell r="C3021">
            <v>3.4590000000000001</v>
          </cell>
          <cell r="D3021">
            <v>0.9768</v>
          </cell>
          <cell r="J3021">
            <v>1086475.3489905566</v>
          </cell>
          <cell r="K3021">
            <v>0.9768</v>
          </cell>
          <cell r="L3021">
            <v>49859</v>
          </cell>
          <cell r="M3021">
            <v>4945.2</v>
          </cell>
          <cell r="N3021">
            <v>382640.73375652189</v>
          </cell>
          <cell r="O3021">
            <v>387318.13734170992</v>
          </cell>
          <cell r="P3021">
            <v>177.47300000000001</v>
          </cell>
        </row>
        <row r="3022">
          <cell r="B3022">
            <v>35090</v>
          </cell>
          <cell r="C3022">
            <v>3.4380000000000002</v>
          </cell>
          <cell r="D3022">
            <v>0.97840000000000005</v>
          </cell>
          <cell r="E3022">
            <v>50219</v>
          </cell>
          <cell r="F3022">
            <v>4907.7</v>
          </cell>
          <cell r="J3022">
            <v>1087720.4497404997</v>
          </cell>
          <cell r="K3022">
            <v>0.97840000000000005</v>
          </cell>
          <cell r="L3022">
            <v>50219</v>
          </cell>
          <cell r="M3022">
            <v>4907.7</v>
          </cell>
          <cell r="N3022">
            <v>382640.73375652189</v>
          </cell>
          <cell r="O3022">
            <v>387318.13734170992</v>
          </cell>
          <cell r="P3022">
            <v>177.47300000000001</v>
          </cell>
        </row>
        <row r="3023">
          <cell r="B3023">
            <v>35093</v>
          </cell>
          <cell r="C3023">
            <v>3.4079999999999999</v>
          </cell>
          <cell r="D3023">
            <v>0.9788</v>
          </cell>
          <cell r="E3023">
            <v>50852</v>
          </cell>
          <cell r="F3023">
            <v>4934.8</v>
          </cell>
          <cell r="J3023">
            <v>1088956.1001714049</v>
          </cell>
          <cell r="K3023">
            <v>0.9788</v>
          </cell>
          <cell r="L3023">
            <v>50852</v>
          </cell>
          <cell r="M3023">
            <v>4934.8</v>
          </cell>
          <cell r="N3023">
            <v>382640.73375652189</v>
          </cell>
          <cell r="O3023">
            <v>387318.13734170992</v>
          </cell>
          <cell r="P3023">
            <v>177.47300000000001</v>
          </cell>
        </row>
        <row r="3024">
          <cell r="B3024">
            <v>35094</v>
          </cell>
          <cell r="C3024">
            <v>3.48</v>
          </cell>
          <cell r="D3024">
            <v>0.97870000000000001</v>
          </cell>
          <cell r="E3024">
            <v>51903</v>
          </cell>
          <cell r="F3024">
            <v>5133.3999999999996</v>
          </cell>
          <cell r="J3024">
            <v>1090219.2892476039</v>
          </cell>
          <cell r="K3024">
            <v>0.97870000000000001</v>
          </cell>
          <cell r="L3024">
            <v>51903</v>
          </cell>
          <cell r="M3024">
            <v>5133.3999999999996</v>
          </cell>
          <cell r="N3024">
            <v>382640.73375652189</v>
          </cell>
          <cell r="O3024">
            <v>387318.13734170992</v>
          </cell>
          <cell r="P3024">
            <v>177.47300000000001</v>
          </cell>
        </row>
        <row r="3025">
          <cell r="B3025">
            <v>35095</v>
          </cell>
          <cell r="C3025">
            <v>3.6480000000000001</v>
          </cell>
          <cell r="D3025">
            <v>0.97860000000000003</v>
          </cell>
          <cell r="E3025">
            <v>52570</v>
          </cell>
          <cell r="F3025">
            <v>5151.5</v>
          </cell>
          <cell r="G3025">
            <v>1.79</v>
          </cell>
          <cell r="H3025">
            <v>1.73</v>
          </cell>
          <cell r="I3025">
            <v>180.59440000000001</v>
          </cell>
          <cell r="J3025">
            <v>1091544.995903329</v>
          </cell>
          <cell r="K3025">
            <v>0.97860000000000003</v>
          </cell>
          <cell r="L3025">
            <v>52570</v>
          </cell>
          <cell r="M3025">
            <v>5151.5</v>
          </cell>
          <cell r="N3025">
            <v>389490.00289076363</v>
          </cell>
          <cell r="O3025">
            <v>394018.74111772154</v>
          </cell>
          <cell r="P3025">
            <v>180.59440000000001</v>
          </cell>
        </row>
        <row r="3026">
          <cell r="B3026">
            <v>35096</v>
          </cell>
          <cell r="C3026">
            <v>3.5819999999999999</v>
          </cell>
          <cell r="D3026">
            <v>0.97860000000000003</v>
          </cell>
          <cell r="E3026">
            <v>53623</v>
          </cell>
          <cell r="F3026">
            <v>5269.3</v>
          </cell>
          <cell r="J3026">
            <v>1092848.3006284374</v>
          </cell>
          <cell r="K3026">
            <v>0.97860000000000003</v>
          </cell>
          <cell r="L3026">
            <v>53623</v>
          </cell>
          <cell r="M3026">
            <v>5269.3</v>
          </cell>
          <cell r="N3026">
            <v>389490.00289076363</v>
          </cell>
          <cell r="O3026">
            <v>394018.74111772154</v>
          </cell>
          <cell r="P3026">
            <v>180.59440000000001</v>
          </cell>
        </row>
        <row r="3027">
          <cell r="B3027">
            <v>35097</v>
          </cell>
          <cell r="C3027">
            <v>3.5880000000000001</v>
          </cell>
          <cell r="D3027">
            <v>0.97860000000000003</v>
          </cell>
          <cell r="E3027">
            <v>54828</v>
          </cell>
          <cell r="F3027">
            <v>5410.9</v>
          </cell>
          <cell r="J3027">
            <v>1094155.347195989</v>
          </cell>
          <cell r="K3027">
            <v>0.97860000000000003</v>
          </cell>
          <cell r="L3027">
            <v>54828</v>
          </cell>
          <cell r="M3027">
            <v>5410.9</v>
          </cell>
          <cell r="N3027">
            <v>389490.00289076363</v>
          </cell>
          <cell r="O3027">
            <v>394018.74111772154</v>
          </cell>
          <cell r="P3027">
            <v>180.59440000000001</v>
          </cell>
        </row>
        <row r="3028">
          <cell r="B3028">
            <v>35100</v>
          </cell>
          <cell r="C3028">
            <v>3.5880000000000001</v>
          </cell>
          <cell r="D3028">
            <v>0.97870000000000001</v>
          </cell>
          <cell r="E3028">
            <v>54435</v>
          </cell>
          <cell r="F3028">
            <v>5332.9</v>
          </cell>
          <cell r="J3028">
            <v>1095463.9569912353</v>
          </cell>
          <cell r="K3028">
            <v>0.97870000000000001</v>
          </cell>
          <cell r="L3028">
            <v>54435</v>
          </cell>
          <cell r="M3028">
            <v>5332.9</v>
          </cell>
          <cell r="N3028">
            <v>389490.00289076363</v>
          </cell>
          <cell r="O3028">
            <v>394018.74111772154</v>
          </cell>
          <cell r="P3028">
            <v>180.59440000000001</v>
          </cell>
        </row>
        <row r="3029">
          <cell r="B3029">
            <v>35101</v>
          </cell>
          <cell r="C3029">
            <v>3.5880000000000001</v>
          </cell>
          <cell r="D3029">
            <v>0.97860000000000003</v>
          </cell>
          <cell r="E3029">
            <v>54333</v>
          </cell>
          <cell r="F3029">
            <v>5354</v>
          </cell>
          <cell r="J3029">
            <v>1096774.1318837968</v>
          </cell>
          <cell r="K3029">
            <v>0.97860000000000003</v>
          </cell>
          <cell r="L3029">
            <v>54333</v>
          </cell>
          <cell r="M3029">
            <v>5354</v>
          </cell>
          <cell r="N3029">
            <v>389490.00289076363</v>
          </cell>
          <cell r="O3029">
            <v>394018.74111772154</v>
          </cell>
          <cell r="P3029">
            <v>180.59440000000001</v>
          </cell>
        </row>
        <row r="3030">
          <cell r="B3030">
            <v>35102</v>
          </cell>
          <cell r="C3030">
            <v>3.5880000000000001</v>
          </cell>
          <cell r="D3030">
            <v>0.9788</v>
          </cell>
          <cell r="E3030">
            <v>54339</v>
          </cell>
          <cell r="F3030">
            <v>5283</v>
          </cell>
          <cell r="J3030">
            <v>1098085.8737455297</v>
          </cell>
          <cell r="K3030">
            <v>0.9788</v>
          </cell>
          <cell r="L3030">
            <v>54339</v>
          </cell>
          <cell r="M3030">
            <v>5283</v>
          </cell>
          <cell r="N3030">
            <v>389490.00289076363</v>
          </cell>
          <cell r="O3030">
            <v>394018.74111772154</v>
          </cell>
          <cell r="P3030">
            <v>180.59440000000001</v>
          </cell>
        </row>
        <row r="3031">
          <cell r="B3031">
            <v>35103</v>
          </cell>
          <cell r="C3031">
            <v>3.5910000000000002</v>
          </cell>
          <cell r="D3031">
            <v>0.97870000000000001</v>
          </cell>
          <cell r="E3031">
            <v>54262</v>
          </cell>
          <cell r="F3031">
            <v>5322.6</v>
          </cell>
          <cell r="J3031">
            <v>1099400.282536403</v>
          </cell>
          <cell r="K3031">
            <v>0.97870000000000001</v>
          </cell>
          <cell r="L3031">
            <v>54262</v>
          </cell>
          <cell r="M3031">
            <v>5322.6</v>
          </cell>
          <cell r="N3031">
            <v>389490.00289076363</v>
          </cell>
          <cell r="O3031">
            <v>394018.74111772154</v>
          </cell>
          <cell r="P3031">
            <v>180.59440000000001</v>
          </cell>
        </row>
        <row r="3032">
          <cell r="B3032">
            <v>35104</v>
          </cell>
          <cell r="C3032">
            <v>3.5880000000000001</v>
          </cell>
          <cell r="D3032">
            <v>0.9788</v>
          </cell>
          <cell r="E3032">
            <v>54516</v>
          </cell>
          <cell r="F3032">
            <v>5305.4</v>
          </cell>
          <cell r="J3032">
            <v>1100715.1652743164</v>
          </cell>
          <cell r="K3032">
            <v>0.9788</v>
          </cell>
          <cell r="L3032">
            <v>54516</v>
          </cell>
          <cell r="M3032">
            <v>5305.4</v>
          </cell>
          <cell r="N3032">
            <v>389490.00289076363</v>
          </cell>
          <cell r="O3032">
            <v>394018.74111772154</v>
          </cell>
          <cell r="P3032">
            <v>180.59440000000001</v>
          </cell>
        </row>
        <row r="3033">
          <cell r="B3033">
            <v>35107</v>
          </cell>
          <cell r="C3033">
            <v>3.5880000000000001</v>
          </cell>
          <cell r="D3033">
            <v>0.97870000000000001</v>
          </cell>
          <cell r="E3033">
            <v>54758</v>
          </cell>
          <cell r="F3033">
            <v>5338.9</v>
          </cell>
          <cell r="J3033">
            <v>1102031.6206119845</v>
          </cell>
          <cell r="K3033">
            <v>0.97870000000000001</v>
          </cell>
          <cell r="L3033">
            <v>54758</v>
          </cell>
          <cell r="M3033">
            <v>5338.9</v>
          </cell>
          <cell r="N3033">
            <v>389490.00289076363</v>
          </cell>
          <cell r="O3033">
            <v>394018.74111772154</v>
          </cell>
          <cell r="P3033">
            <v>180.59440000000001</v>
          </cell>
        </row>
        <row r="3034">
          <cell r="B3034">
            <v>35108</v>
          </cell>
          <cell r="C3034">
            <v>3.621</v>
          </cell>
          <cell r="D3034">
            <v>0.98060000000000003</v>
          </cell>
          <cell r="E3034">
            <v>55080</v>
          </cell>
          <cell r="F3034">
            <v>5385.5</v>
          </cell>
          <cell r="J3034">
            <v>1103361.7727780631</v>
          </cell>
          <cell r="K3034">
            <v>0.98060000000000003</v>
          </cell>
          <cell r="L3034">
            <v>55080</v>
          </cell>
          <cell r="M3034">
            <v>5385.5</v>
          </cell>
          <cell r="N3034">
            <v>389490.00289076363</v>
          </cell>
          <cell r="O3034">
            <v>394018.74111772154</v>
          </cell>
          <cell r="P3034">
            <v>180.59440000000001</v>
          </cell>
        </row>
        <row r="3035">
          <cell r="B3035">
            <v>35109</v>
          </cell>
          <cell r="C3035">
            <v>3.69</v>
          </cell>
          <cell r="D3035">
            <v>0.98129999999999995</v>
          </cell>
          <cell r="E3035">
            <v>54483</v>
          </cell>
          <cell r="F3035">
            <v>5330.8</v>
          </cell>
          <cell r="J3035">
            <v>1104718.9077585801</v>
          </cell>
          <cell r="K3035">
            <v>0.98129999999999995</v>
          </cell>
          <cell r="L3035">
            <v>54483</v>
          </cell>
          <cell r="M3035">
            <v>5330.8</v>
          </cell>
          <cell r="N3035">
            <v>389490.00289076363</v>
          </cell>
          <cell r="O3035">
            <v>394018.74111772154</v>
          </cell>
          <cell r="P3035">
            <v>180.59440000000001</v>
          </cell>
        </row>
        <row r="3036">
          <cell r="B3036">
            <v>35110</v>
          </cell>
          <cell r="C3036">
            <v>3.6989999999999998</v>
          </cell>
          <cell r="D3036">
            <v>0.98340000000000005</v>
          </cell>
          <cell r="E3036">
            <v>53673</v>
          </cell>
          <cell r="F3036">
            <v>5273.7</v>
          </cell>
          <cell r="J3036">
            <v>1106081.0261718463</v>
          </cell>
          <cell r="K3036">
            <v>0.98340000000000005</v>
          </cell>
          <cell r="L3036">
            <v>53673</v>
          </cell>
          <cell r="M3036">
            <v>5273.7</v>
          </cell>
          <cell r="N3036">
            <v>389490.00289076363</v>
          </cell>
          <cell r="O3036">
            <v>394018.74111772154</v>
          </cell>
          <cell r="P3036">
            <v>180.59440000000001</v>
          </cell>
        </row>
        <row r="3037">
          <cell r="B3037">
            <v>35111</v>
          </cell>
          <cell r="C3037">
            <v>3.72</v>
          </cell>
          <cell r="D3037">
            <v>0.98319999999999996</v>
          </cell>
          <cell r="E3037">
            <v>52952</v>
          </cell>
          <cell r="F3037">
            <v>5172.8999999999996</v>
          </cell>
          <cell r="J3037">
            <v>1107452.5666442993</v>
          </cell>
          <cell r="K3037">
            <v>0.98319999999999996</v>
          </cell>
          <cell r="L3037">
            <v>52952</v>
          </cell>
          <cell r="M3037">
            <v>5172.8999999999996</v>
          </cell>
          <cell r="N3037">
            <v>389490.00289076363</v>
          </cell>
          <cell r="O3037">
            <v>394018.74111772154</v>
          </cell>
          <cell r="P3037">
            <v>180.59440000000001</v>
          </cell>
        </row>
        <row r="3038">
          <cell r="B3038">
            <v>35116</v>
          </cell>
          <cell r="C3038">
            <v>3.7290000000000001</v>
          </cell>
          <cell r="D3038">
            <v>0.98229999999999995</v>
          </cell>
          <cell r="J3038">
            <v>1108829.1301846383</v>
          </cell>
          <cell r="K3038">
            <v>0.98229999999999995</v>
          </cell>
          <cell r="L3038">
            <v>52952</v>
          </cell>
          <cell r="M3038">
            <v>5172.8999999999996</v>
          </cell>
          <cell r="N3038">
            <v>389490.00289076363</v>
          </cell>
          <cell r="O3038">
            <v>394018.74111772154</v>
          </cell>
          <cell r="P3038">
            <v>180.59440000000001</v>
          </cell>
        </row>
        <row r="3039">
          <cell r="B3039">
            <v>35117</v>
          </cell>
          <cell r="C3039">
            <v>3.7290000000000001</v>
          </cell>
          <cell r="D3039">
            <v>0.98240000000000005</v>
          </cell>
          <cell r="E3039">
            <v>53405</v>
          </cell>
          <cell r="F3039">
            <v>5237.7</v>
          </cell>
          <cell r="J3039">
            <v>1110207.4047934578</v>
          </cell>
          <cell r="K3039">
            <v>0.98240000000000005</v>
          </cell>
          <cell r="L3039">
            <v>53405</v>
          </cell>
          <cell r="M3039">
            <v>5237.7</v>
          </cell>
          <cell r="N3039">
            <v>389490.00289076363</v>
          </cell>
          <cell r="O3039">
            <v>394018.74111772154</v>
          </cell>
          <cell r="P3039">
            <v>180.59440000000001</v>
          </cell>
        </row>
        <row r="3040">
          <cell r="B3040">
            <v>35118</v>
          </cell>
          <cell r="C3040">
            <v>3.72</v>
          </cell>
          <cell r="D3040">
            <v>0.98219999999999996</v>
          </cell>
          <cell r="E3040">
            <v>53872</v>
          </cell>
          <cell r="F3040">
            <v>5274.3</v>
          </cell>
          <cell r="J3040">
            <v>1111584.0619754016</v>
          </cell>
          <cell r="K3040">
            <v>0.98219999999999996</v>
          </cell>
          <cell r="L3040">
            <v>53872</v>
          </cell>
          <cell r="M3040">
            <v>5274.3</v>
          </cell>
          <cell r="N3040">
            <v>389490.00289076363</v>
          </cell>
          <cell r="O3040">
            <v>394018.74111772154</v>
          </cell>
          <cell r="P3040">
            <v>180.59440000000001</v>
          </cell>
        </row>
        <row r="3041">
          <cell r="B3041">
            <v>35121</v>
          </cell>
          <cell r="C3041">
            <v>3.609</v>
          </cell>
          <cell r="D3041">
            <v>0.98360000000000003</v>
          </cell>
          <cell r="E3041">
            <v>53684</v>
          </cell>
          <cell r="F3041">
            <v>5245.2</v>
          </cell>
          <cell r="J3041">
            <v>1112921.297601958</v>
          </cell>
          <cell r="K3041">
            <v>0.98360000000000003</v>
          </cell>
          <cell r="L3041">
            <v>53684</v>
          </cell>
          <cell r="M3041">
            <v>5245.2</v>
          </cell>
          <cell r="N3041">
            <v>389490.00289076363</v>
          </cell>
          <cell r="O3041">
            <v>394018.74111772154</v>
          </cell>
          <cell r="P3041">
            <v>180.59440000000001</v>
          </cell>
        </row>
        <row r="3042">
          <cell r="B3042">
            <v>35122</v>
          </cell>
          <cell r="C3042">
            <v>3.57</v>
          </cell>
          <cell r="D3042">
            <v>0.9869</v>
          </cell>
          <cell r="E3042">
            <v>53056</v>
          </cell>
          <cell r="F3042">
            <v>5193</v>
          </cell>
          <cell r="J3042">
            <v>1114245.6739461045</v>
          </cell>
          <cell r="K3042">
            <v>0.9869</v>
          </cell>
          <cell r="L3042">
            <v>53056</v>
          </cell>
          <cell r="M3042">
            <v>5193</v>
          </cell>
          <cell r="N3042">
            <v>389490.00289076363</v>
          </cell>
          <cell r="O3042">
            <v>394018.74111772154</v>
          </cell>
          <cell r="P3042">
            <v>180.59440000000001</v>
          </cell>
        </row>
        <row r="3043">
          <cell r="B3043">
            <v>35123</v>
          </cell>
          <cell r="C3043">
            <v>3.5489999999999999</v>
          </cell>
          <cell r="D3043">
            <v>0.98380000000000001</v>
          </cell>
          <cell r="E3043">
            <v>52946</v>
          </cell>
          <cell r="F3043">
            <v>5199.2</v>
          </cell>
          <cell r="J3043">
            <v>1115563.8265783826</v>
          </cell>
          <cell r="K3043">
            <v>0.98380000000000001</v>
          </cell>
          <cell r="L3043">
            <v>52946</v>
          </cell>
          <cell r="M3043">
            <v>5199.2</v>
          </cell>
          <cell r="N3043">
            <v>389490.00289076363</v>
          </cell>
          <cell r="O3043">
            <v>394018.74111772154</v>
          </cell>
          <cell r="P3043">
            <v>180.59440000000001</v>
          </cell>
        </row>
        <row r="3044">
          <cell r="B3044">
            <v>35124</v>
          </cell>
          <cell r="C3044">
            <v>3.0990000000000002</v>
          </cell>
          <cell r="D3044">
            <v>0.98419999999999996</v>
          </cell>
          <cell r="E3044">
            <v>51156</v>
          </cell>
          <cell r="F3044">
            <v>4957.7</v>
          </cell>
          <cell r="G3044">
            <v>0.76</v>
          </cell>
          <cell r="H3044">
            <v>0.97</v>
          </cell>
          <cell r="I3044">
            <v>183.24420000000001</v>
          </cell>
          <cell r="J3044">
            <v>1116716.2040112382</v>
          </cell>
          <cell r="K3044">
            <v>0.98419999999999996</v>
          </cell>
          <cell r="L3044">
            <v>51156</v>
          </cell>
          <cell r="M3044">
            <v>4957.7</v>
          </cell>
          <cell r="N3044">
            <v>392450.12691273348</v>
          </cell>
          <cell r="O3044">
            <v>397840.72290656343</v>
          </cell>
          <cell r="P3044">
            <v>183.24420000000001</v>
          </cell>
        </row>
        <row r="3045">
          <cell r="B3045">
            <v>35125</v>
          </cell>
          <cell r="C3045">
            <v>3.1680000000000001</v>
          </cell>
          <cell r="D3045">
            <v>0.98399999999999999</v>
          </cell>
          <cell r="E3045">
            <v>52043</v>
          </cell>
          <cell r="F3045">
            <v>5083.3</v>
          </cell>
          <cell r="J3045">
            <v>1117895.4563226739</v>
          </cell>
          <cell r="K3045">
            <v>0.98399999999999999</v>
          </cell>
          <cell r="L3045">
            <v>52043</v>
          </cell>
          <cell r="M3045">
            <v>5083.3</v>
          </cell>
          <cell r="N3045">
            <v>392450.12691273348</v>
          </cell>
          <cell r="O3045">
            <v>397840.72290656343</v>
          </cell>
          <cell r="P3045">
            <v>183.24420000000001</v>
          </cell>
        </row>
        <row r="3046">
          <cell r="B3046">
            <v>35128</v>
          </cell>
          <cell r="C3046">
            <v>3.15</v>
          </cell>
          <cell r="D3046">
            <v>0.98370000000000002</v>
          </cell>
          <cell r="E3046">
            <v>52642</v>
          </cell>
          <cell r="F3046">
            <v>5152.6000000000004</v>
          </cell>
          <cell r="J3046">
            <v>1119069.2465518129</v>
          </cell>
          <cell r="K3046">
            <v>0.98370000000000002</v>
          </cell>
          <cell r="L3046">
            <v>52642</v>
          </cell>
          <cell r="M3046">
            <v>5152.6000000000004</v>
          </cell>
          <cell r="N3046">
            <v>392450.12691273348</v>
          </cell>
          <cell r="O3046">
            <v>397840.72290656343</v>
          </cell>
          <cell r="P3046">
            <v>183.24420000000001</v>
          </cell>
        </row>
        <row r="3047">
          <cell r="B3047">
            <v>35129</v>
          </cell>
          <cell r="C3047">
            <v>3.1080000000000001</v>
          </cell>
          <cell r="D3047">
            <v>0.98370000000000002</v>
          </cell>
          <cell r="E3047">
            <v>52885</v>
          </cell>
          <cell r="F3047">
            <v>5197.8999999999996</v>
          </cell>
          <cell r="J3047">
            <v>1120228.6022912406</v>
          </cell>
          <cell r="K3047">
            <v>0.98370000000000002</v>
          </cell>
          <cell r="L3047">
            <v>52885</v>
          </cell>
          <cell r="M3047">
            <v>5197.8999999999996</v>
          </cell>
          <cell r="N3047">
            <v>392450.12691273348</v>
          </cell>
          <cell r="O3047">
            <v>397840.72290656343</v>
          </cell>
          <cell r="P3047">
            <v>183.24420000000001</v>
          </cell>
        </row>
        <row r="3048">
          <cell r="B3048">
            <v>35130</v>
          </cell>
          <cell r="C3048">
            <v>3.12</v>
          </cell>
          <cell r="D3048">
            <v>0.98370000000000002</v>
          </cell>
          <cell r="E3048">
            <v>51545</v>
          </cell>
          <cell r="F3048">
            <v>4975.3</v>
          </cell>
          <cell r="J3048">
            <v>1121393.6400376235</v>
          </cell>
          <cell r="K3048">
            <v>0.98370000000000002</v>
          </cell>
          <cell r="L3048">
            <v>51545</v>
          </cell>
          <cell r="M3048">
            <v>4975.3</v>
          </cell>
          <cell r="N3048">
            <v>392450.12691273348</v>
          </cell>
          <cell r="O3048">
            <v>397840.72290656343</v>
          </cell>
          <cell r="P3048">
            <v>183.24420000000001</v>
          </cell>
        </row>
        <row r="3049">
          <cell r="B3049">
            <v>35131</v>
          </cell>
          <cell r="C3049">
            <v>3.1110000000000002</v>
          </cell>
          <cell r="D3049">
            <v>0.98450000000000004</v>
          </cell>
          <cell r="E3049">
            <v>50076</v>
          </cell>
          <cell r="F3049">
            <v>4755.8999999999996</v>
          </cell>
          <cell r="J3049">
            <v>1122556.5252423424</v>
          </cell>
          <cell r="K3049">
            <v>0.98450000000000004</v>
          </cell>
          <cell r="L3049">
            <v>50076</v>
          </cell>
          <cell r="M3049">
            <v>4755.8999999999996</v>
          </cell>
          <cell r="N3049">
            <v>392450.12691273348</v>
          </cell>
          <cell r="O3049">
            <v>397840.72290656343</v>
          </cell>
          <cell r="P3049">
            <v>183.24420000000001</v>
          </cell>
        </row>
        <row r="3050">
          <cell r="B3050">
            <v>35132</v>
          </cell>
          <cell r="C3050">
            <v>3.0990000000000002</v>
          </cell>
          <cell r="D3050">
            <v>0.98429999999999995</v>
          </cell>
          <cell r="E3050">
            <v>49962</v>
          </cell>
          <cell r="F3050">
            <v>4721.8999999999996</v>
          </cell>
          <cell r="J3050">
            <v>1123716.1261329178</v>
          </cell>
          <cell r="K3050">
            <v>0.98429999999999995</v>
          </cell>
          <cell r="L3050">
            <v>49962</v>
          </cell>
          <cell r="M3050">
            <v>4721.8999999999996</v>
          </cell>
          <cell r="N3050">
            <v>392450.12691273348</v>
          </cell>
          <cell r="O3050">
            <v>397840.72290656343</v>
          </cell>
          <cell r="P3050">
            <v>183.24420000000001</v>
          </cell>
        </row>
        <row r="3051">
          <cell r="B3051">
            <v>35135</v>
          </cell>
          <cell r="C3051">
            <v>3.129</v>
          </cell>
          <cell r="D3051">
            <v>0.98429999999999995</v>
          </cell>
          <cell r="E3051">
            <v>50143</v>
          </cell>
          <cell r="F3051">
            <v>4771.7</v>
          </cell>
          <cell r="J3051">
            <v>1124888.1620524745</v>
          </cell>
          <cell r="K3051">
            <v>0.98429999999999995</v>
          </cell>
          <cell r="L3051">
            <v>50143</v>
          </cell>
          <cell r="M3051">
            <v>4771.7</v>
          </cell>
          <cell r="N3051">
            <v>392450.12691273348</v>
          </cell>
          <cell r="O3051">
            <v>397840.72290656343</v>
          </cell>
          <cell r="P3051">
            <v>183.24420000000001</v>
          </cell>
        </row>
        <row r="3052">
          <cell r="B3052">
            <v>35136</v>
          </cell>
          <cell r="C3052">
            <v>3.12</v>
          </cell>
          <cell r="D3052">
            <v>0.98419999999999996</v>
          </cell>
          <cell r="E3052">
            <v>50077</v>
          </cell>
          <cell r="F3052">
            <v>4739.3999999999996</v>
          </cell>
          <cell r="J3052">
            <v>1126058.0457410091</v>
          </cell>
          <cell r="K3052">
            <v>0.98419999999999996</v>
          </cell>
          <cell r="L3052">
            <v>50077</v>
          </cell>
          <cell r="M3052">
            <v>4739.3999999999996</v>
          </cell>
          <cell r="N3052">
            <v>392450.12691273348</v>
          </cell>
          <cell r="O3052">
            <v>397840.72290656343</v>
          </cell>
          <cell r="P3052">
            <v>183.24420000000001</v>
          </cell>
        </row>
        <row r="3053">
          <cell r="B3053">
            <v>35137</v>
          </cell>
          <cell r="C3053">
            <v>3.0990000000000002</v>
          </cell>
          <cell r="D3053">
            <v>0.98540000000000005</v>
          </cell>
          <cell r="E3053">
            <v>50548</v>
          </cell>
          <cell r="F3053">
            <v>4805.5</v>
          </cell>
          <cell r="J3053">
            <v>1127221.2637022596</v>
          </cell>
          <cell r="K3053">
            <v>0.98540000000000005</v>
          </cell>
          <cell r="L3053">
            <v>50548</v>
          </cell>
          <cell r="M3053">
            <v>4805.5</v>
          </cell>
          <cell r="N3053">
            <v>392450.12691273348</v>
          </cell>
          <cell r="O3053">
            <v>397840.72290656343</v>
          </cell>
          <cell r="P3053">
            <v>183.24420000000001</v>
          </cell>
        </row>
        <row r="3054">
          <cell r="B3054">
            <v>35138</v>
          </cell>
          <cell r="C3054">
            <v>3.0990000000000002</v>
          </cell>
          <cell r="D3054">
            <v>0.9869</v>
          </cell>
          <cell r="E3054">
            <v>50745</v>
          </cell>
          <cell r="F3054">
            <v>4841.2</v>
          </cell>
          <cell r="J3054">
            <v>1128385.6832676642</v>
          </cell>
          <cell r="K3054">
            <v>0.9869</v>
          </cell>
          <cell r="L3054">
            <v>50745</v>
          </cell>
          <cell r="M3054">
            <v>4841.2</v>
          </cell>
          <cell r="N3054">
            <v>392450.12691273348</v>
          </cell>
          <cell r="O3054">
            <v>397840.72290656343</v>
          </cell>
          <cell r="P3054">
            <v>183.24420000000001</v>
          </cell>
        </row>
        <row r="3055">
          <cell r="B3055">
            <v>35139</v>
          </cell>
          <cell r="C3055">
            <v>3.0990000000000002</v>
          </cell>
          <cell r="D3055">
            <v>0.98680000000000001</v>
          </cell>
          <cell r="E3055">
            <v>50665</v>
          </cell>
          <cell r="F3055">
            <v>4852.5</v>
          </cell>
          <cell r="J3055">
            <v>1129551.3056784798</v>
          </cell>
          <cell r="K3055">
            <v>0.98680000000000001</v>
          </cell>
          <cell r="L3055">
            <v>50665</v>
          </cell>
          <cell r="M3055">
            <v>4852.5</v>
          </cell>
          <cell r="N3055">
            <v>392450.12691273348</v>
          </cell>
          <cell r="O3055">
            <v>397840.72290656343</v>
          </cell>
          <cell r="P3055">
            <v>183.24420000000001</v>
          </cell>
        </row>
        <row r="3056">
          <cell r="B3056">
            <v>35142</v>
          </cell>
          <cell r="C3056">
            <v>3.0990000000000002</v>
          </cell>
          <cell r="D3056">
            <v>0.98660000000000003</v>
          </cell>
          <cell r="E3056">
            <v>50794</v>
          </cell>
          <cell r="F3056">
            <v>4886.8999999999996</v>
          </cell>
          <cell r="J3056">
            <v>1130718.1321772458</v>
          </cell>
          <cell r="K3056">
            <v>0.98660000000000003</v>
          </cell>
          <cell r="L3056">
            <v>50794</v>
          </cell>
          <cell r="M3056">
            <v>4886.8999999999996</v>
          </cell>
          <cell r="N3056">
            <v>392450.12691273348</v>
          </cell>
          <cell r="O3056">
            <v>397840.72290656343</v>
          </cell>
          <cell r="P3056">
            <v>183.24420000000001</v>
          </cell>
        </row>
        <row r="3057">
          <cell r="B3057">
            <v>35143</v>
          </cell>
          <cell r="C3057">
            <v>3.0990000000000002</v>
          </cell>
          <cell r="D3057">
            <v>0.98680000000000001</v>
          </cell>
          <cell r="E3057">
            <v>50536</v>
          </cell>
          <cell r="F3057">
            <v>4851.5</v>
          </cell>
          <cell r="J3057">
            <v>1131886.164007785</v>
          </cell>
          <cell r="K3057">
            <v>0.98680000000000001</v>
          </cell>
          <cell r="L3057">
            <v>50536</v>
          </cell>
          <cell r="M3057">
            <v>4851.5</v>
          </cell>
          <cell r="N3057">
            <v>392450.12691273348</v>
          </cell>
          <cell r="O3057">
            <v>397840.72290656343</v>
          </cell>
          <cell r="P3057">
            <v>183.24420000000001</v>
          </cell>
        </row>
        <row r="3058">
          <cell r="B3058">
            <v>35144</v>
          </cell>
          <cell r="C3058">
            <v>3.0990000000000002</v>
          </cell>
          <cell r="D3058">
            <v>0.98829999999999996</v>
          </cell>
          <cell r="E3058">
            <v>50363</v>
          </cell>
          <cell r="F3058">
            <v>4868.3</v>
          </cell>
          <cell r="J3058">
            <v>1133055.4024152053</v>
          </cell>
          <cell r="K3058">
            <v>0.98829999999999996</v>
          </cell>
          <cell r="L3058">
            <v>50363</v>
          </cell>
          <cell r="M3058">
            <v>4868.3</v>
          </cell>
          <cell r="N3058">
            <v>392450.12691273348</v>
          </cell>
          <cell r="O3058">
            <v>397840.72290656343</v>
          </cell>
          <cell r="P3058">
            <v>183.24420000000001</v>
          </cell>
        </row>
        <row r="3059">
          <cell r="B3059">
            <v>35145</v>
          </cell>
          <cell r="C3059">
            <v>3.0990000000000002</v>
          </cell>
          <cell r="D3059">
            <v>0.98740000000000006</v>
          </cell>
          <cell r="E3059">
            <v>51104</v>
          </cell>
          <cell r="F3059">
            <v>4979.7</v>
          </cell>
          <cell r="J3059">
            <v>1134225.8486459001</v>
          </cell>
          <cell r="K3059">
            <v>0.98740000000000006</v>
          </cell>
          <cell r="L3059">
            <v>51104</v>
          </cell>
          <cell r="M3059">
            <v>4979.7</v>
          </cell>
          <cell r="N3059">
            <v>392450.12691273348</v>
          </cell>
          <cell r="O3059">
            <v>397840.72290656343</v>
          </cell>
          <cell r="P3059">
            <v>183.24420000000001</v>
          </cell>
        </row>
        <row r="3060">
          <cell r="B3060">
            <v>35146</v>
          </cell>
          <cell r="C3060">
            <v>3.0990000000000002</v>
          </cell>
          <cell r="D3060">
            <v>0.98750000000000004</v>
          </cell>
          <cell r="E3060">
            <v>51078</v>
          </cell>
          <cell r="F3060">
            <v>5051.2</v>
          </cell>
          <cell r="J3060">
            <v>1135397.5039475514</v>
          </cell>
          <cell r="K3060">
            <v>0.98750000000000004</v>
          </cell>
          <cell r="L3060">
            <v>51078</v>
          </cell>
          <cell r="M3060">
            <v>5051.2</v>
          </cell>
          <cell r="N3060">
            <v>392450.12691273348</v>
          </cell>
          <cell r="O3060">
            <v>397840.72290656343</v>
          </cell>
          <cell r="P3060">
            <v>183.24420000000001</v>
          </cell>
        </row>
        <row r="3061">
          <cell r="B3061">
            <v>35149</v>
          </cell>
          <cell r="C3061">
            <v>3.09</v>
          </cell>
          <cell r="D3061">
            <v>0.9879</v>
          </cell>
          <cell r="E3061">
            <v>50924</v>
          </cell>
          <cell r="F3061">
            <v>5031.6000000000004</v>
          </cell>
          <cell r="J3061">
            <v>1136566.9633766175</v>
          </cell>
          <cell r="K3061">
            <v>0.9879</v>
          </cell>
          <cell r="L3061">
            <v>50924</v>
          </cell>
          <cell r="M3061">
            <v>5031.6000000000004</v>
          </cell>
          <cell r="N3061">
            <v>392450.12691273348</v>
          </cell>
          <cell r="O3061">
            <v>397840.72290656343</v>
          </cell>
          <cell r="P3061">
            <v>183.24420000000001</v>
          </cell>
        </row>
        <row r="3062">
          <cell r="B3062">
            <v>35150</v>
          </cell>
          <cell r="C3062">
            <v>3.09</v>
          </cell>
          <cell r="D3062">
            <v>0.98809999999999998</v>
          </cell>
          <cell r="E3062">
            <v>50635</v>
          </cell>
          <cell r="F3062">
            <v>4981.7</v>
          </cell>
          <cell r="J3062">
            <v>1137737.6273488957</v>
          </cell>
          <cell r="K3062">
            <v>0.98809999999999998</v>
          </cell>
          <cell r="L3062">
            <v>50635</v>
          </cell>
          <cell r="M3062">
            <v>4981.7</v>
          </cell>
          <cell r="N3062">
            <v>392450.12691273348</v>
          </cell>
          <cell r="O3062">
            <v>397840.72290656343</v>
          </cell>
          <cell r="P3062">
            <v>183.24420000000001</v>
          </cell>
        </row>
        <row r="3063">
          <cell r="B3063">
            <v>35151</v>
          </cell>
          <cell r="C3063">
            <v>3.09</v>
          </cell>
          <cell r="D3063">
            <v>0.98780000000000001</v>
          </cell>
          <cell r="E3063">
            <v>50543</v>
          </cell>
          <cell r="F3063">
            <v>5039.6000000000004</v>
          </cell>
          <cell r="J3063">
            <v>1138909.497105065</v>
          </cell>
          <cell r="K3063">
            <v>0.98780000000000001</v>
          </cell>
          <cell r="L3063">
            <v>50543</v>
          </cell>
          <cell r="M3063">
            <v>5039.6000000000004</v>
          </cell>
          <cell r="N3063">
            <v>392450.12691273348</v>
          </cell>
          <cell r="O3063">
            <v>397840.72290656343</v>
          </cell>
          <cell r="P3063">
            <v>183.24420000000001</v>
          </cell>
        </row>
        <row r="3064">
          <cell r="B3064">
            <v>35152</v>
          </cell>
          <cell r="C3064">
            <v>3.09</v>
          </cell>
          <cell r="D3064">
            <v>0.98809999999999998</v>
          </cell>
          <cell r="E3064">
            <v>50974</v>
          </cell>
          <cell r="F3064">
            <v>4980.5</v>
          </cell>
          <cell r="J3064">
            <v>1140082.5738870834</v>
          </cell>
          <cell r="K3064">
            <v>0.98809999999999998</v>
          </cell>
          <cell r="L3064">
            <v>50974</v>
          </cell>
          <cell r="M3064">
            <v>4980.5</v>
          </cell>
          <cell r="N3064">
            <v>392450.12691273348</v>
          </cell>
          <cell r="O3064">
            <v>397840.72290656343</v>
          </cell>
          <cell r="P3064">
            <v>183.24420000000001</v>
          </cell>
        </row>
        <row r="3065">
          <cell r="B3065">
            <v>35153</v>
          </cell>
          <cell r="C3065">
            <v>3.09</v>
          </cell>
          <cell r="D3065">
            <v>0.98799999999999999</v>
          </cell>
          <cell r="E3065">
            <v>50712</v>
          </cell>
          <cell r="F3065">
            <v>4954.8999999999996</v>
          </cell>
          <cell r="G3065">
            <v>0.22</v>
          </cell>
          <cell r="H3065">
            <v>0.4</v>
          </cell>
          <cell r="I3065">
            <v>185.65950000000001</v>
          </cell>
          <cell r="J3065">
            <v>1141256.8589381871</v>
          </cell>
          <cell r="K3065">
            <v>0.98799999999999999</v>
          </cell>
          <cell r="L3065">
            <v>50712</v>
          </cell>
          <cell r="M3065">
            <v>4954.8999999999996</v>
          </cell>
          <cell r="N3065">
            <v>393313.5171919415</v>
          </cell>
          <cell r="O3065">
            <v>399432.08579818968</v>
          </cell>
          <cell r="P3065">
            <v>185.65950000000001</v>
          </cell>
        </row>
        <row r="3066">
          <cell r="B3066">
            <v>35156</v>
          </cell>
          <cell r="C3066">
            <v>2.988</v>
          </cell>
          <cell r="D3066">
            <v>0.98809999999999998</v>
          </cell>
          <cell r="E3066">
            <v>50735</v>
          </cell>
          <cell r="F3066">
            <v>5009.2</v>
          </cell>
          <cell r="J3066">
            <v>1142393.5507696895</v>
          </cell>
          <cell r="K3066">
            <v>0.98809999999999998</v>
          </cell>
          <cell r="L3066">
            <v>50735</v>
          </cell>
          <cell r="M3066">
            <v>5009.2</v>
          </cell>
          <cell r="N3066">
            <v>393313.5171919415</v>
          </cell>
          <cell r="O3066">
            <v>399432.08579818968</v>
          </cell>
          <cell r="P3066">
            <v>185.65950000000001</v>
          </cell>
        </row>
        <row r="3067">
          <cell r="B3067">
            <v>35157</v>
          </cell>
          <cell r="C3067">
            <v>2.988</v>
          </cell>
          <cell r="D3067">
            <v>0.98750000000000004</v>
          </cell>
          <cell r="E3067">
            <v>50383</v>
          </cell>
          <cell r="F3067">
            <v>4985.5</v>
          </cell>
          <cell r="J3067">
            <v>1143531.374746256</v>
          </cell>
          <cell r="K3067">
            <v>0.98750000000000004</v>
          </cell>
          <cell r="L3067">
            <v>50383</v>
          </cell>
          <cell r="M3067">
            <v>4985.5</v>
          </cell>
          <cell r="N3067">
            <v>393313.5171919415</v>
          </cell>
          <cell r="O3067">
            <v>399432.08579818968</v>
          </cell>
          <cell r="P3067">
            <v>185.65950000000001</v>
          </cell>
        </row>
        <row r="3068">
          <cell r="B3068">
            <v>35158</v>
          </cell>
          <cell r="C3068">
            <v>2.988</v>
          </cell>
          <cell r="D3068">
            <v>0.98740000000000006</v>
          </cell>
          <cell r="E3068">
            <v>50064</v>
          </cell>
          <cell r="F3068">
            <v>4977.5</v>
          </cell>
          <cell r="J3068">
            <v>1144670.3319955033</v>
          </cell>
          <cell r="K3068">
            <v>0.98740000000000006</v>
          </cell>
          <cell r="L3068">
            <v>50064</v>
          </cell>
          <cell r="M3068">
            <v>4977.5</v>
          </cell>
          <cell r="N3068">
            <v>393313.5171919415</v>
          </cell>
          <cell r="O3068">
            <v>399432.08579818968</v>
          </cell>
          <cell r="P3068">
            <v>185.65950000000001</v>
          </cell>
        </row>
        <row r="3069">
          <cell r="B3069">
            <v>35163</v>
          </cell>
          <cell r="C3069">
            <v>3</v>
          </cell>
          <cell r="D3069">
            <v>0.98750000000000004</v>
          </cell>
          <cell r="E3069">
            <v>49293</v>
          </cell>
          <cell r="F3069">
            <v>4853.6000000000004</v>
          </cell>
          <cell r="J3069">
            <v>1145815.0023274987</v>
          </cell>
          <cell r="K3069">
            <v>0.98750000000000004</v>
          </cell>
          <cell r="L3069">
            <v>49293</v>
          </cell>
          <cell r="M3069">
            <v>4853.6000000000004</v>
          </cell>
          <cell r="N3069">
            <v>393313.5171919415</v>
          </cell>
          <cell r="O3069">
            <v>399432.08579818968</v>
          </cell>
          <cell r="P3069">
            <v>185.65950000000001</v>
          </cell>
        </row>
        <row r="3070">
          <cell r="B3070">
            <v>35164</v>
          </cell>
          <cell r="C3070">
            <v>3</v>
          </cell>
          <cell r="D3070">
            <v>0.98860000000000003</v>
          </cell>
          <cell r="E3070">
            <v>49292</v>
          </cell>
          <cell r="F3070">
            <v>4866.3999999999996</v>
          </cell>
          <cell r="J3070">
            <v>1146960.8173298261</v>
          </cell>
          <cell r="K3070">
            <v>0.98860000000000003</v>
          </cell>
          <cell r="L3070">
            <v>49292</v>
          </cell>
          <cell r="M3070">
            <v>4866.3999999999996</v>
          </cell>
          <cell r="N3070">
            <v>393313.5171919415</v>
          </cell>
          <cell r="O3070">
            <v>399432.08579818968</v>
          </cell>
          <cell r="P3070">
            <v>185.65950000000001</v>
          </cell>
        </row>
        <row r="3071">
          <cell r="B3071">
            <v>35165</v>
          </cell>
          <cell r="C3071">
            <v>3.129</v>
          </cell>
          <cell r="D3071">
            <v>0.98960000000000004</v>
          </cell>
          <cell r="E3071">
            <v>49410</v>
          </cell>
          <cell r="F3071">
            <v>4889.5</v>
          </cell>
          <cell r="J3071">
            <v>1148157.0974623009</v>
          </cell>
          <cell r="K3071">
            <v>0.98960000000000004</v>
          </cell>
          <cell r="L3071">
            <v>49410</v>
          </cell>
          <cell r="M3071">
            <v>4889.5</v>
          </cell>
          <cell r="N3071">
            <v>393313.5171919415</v>
          </cell>
          <cell r="O3071">
            <v>399432.08579818968</v>
          </cell>
          <cell r="P3071">
            <v>185.65950000000001</v>
          </cell>
        </row>
        <row r="3072">
          <cell r="B3072">
            <v>35166</v>
          </cell>
          <cell r="C3072">
            <v>3.129</v>
          </cell>
          <cell r="D3072">
            <v>0.99080000000000001</v>
          </cell>
          <cell r="E3072">
            <v>49068</v>
          </cell>
          <cell r="F3072">
            <v>4885.1000000000004</v>
          </cell>
          <cell r="J3072">
            <v>1149354.625314954</v>
          </cell>
          <cell r="K3072">
            <v>0.99080000000000001</v>
          </cell>
          <cell r="L3072">
            <v>49068</v>
          </cell>
          <cell r="M3072">
            <v>4885.1000000000004</v>
          </cell>
          <cell r="N3072">
            <v>393313.5171919415</v>
          </cell>
          <cell r="O3072">
            <v>399432.08579818968</v>
          </cell>
          <cell r="P3072">
            <v>185.65950000000001</v>
          </cell>
        </row>
        <row r="3073">
          <cell r="B3073">
            <v>35167</v>
          </cell>
          <cell r="C3073">
            <v>3.1379999999999999</v>
          </cell>
          <cell r="D3073">
            <v>0.99050000000000005</v>
          </cell>
          <cell r="E3073">
            <v>49547</v>
          </cell>
          <cell r="F3073">
            <v>5015.5</v>
          </cell>
          <cell r="J3073">
            <v>1150556.8502530335</v>
          </cell>
          <cell r="K3073">
            <v>0.99050000000000005</v>
          </cell>
          <cell r="L3073">
            <v>49547</v>
          </cell>
          <cell r="M3073">
            <v>5015.5</v>
          </cell>
          <cell r="N3073">
            <v>393313.5171919415</v>
          </cell>
          <cell r="O3073">
            <v>399432.08579818968</v>
          </cell>
          <cell r="P3073">
            <v>185.65950000000001</v>
          </cell>
        </row>
        <row r="3074">
          <cell r="B3074">
            <v>35170</v>
          </cell>
          <cell r="C3074">
            <v>3.1589999999999998</v>
          </cell>
          <cell r="D3074">
            <v>0.9899</v>
          </cell>
          <cell r="E3074">
            <v>49474</v>
          </cell>
          <cell r="F3074">
            <v>5022.3</v>
          </cell>
          <cell r="J3074">
            <v>1151768.3866163499</v>
          </cell>
          <cell r="K3074">
            <v>0.9899</v>
          </cell>
          <cell r="L3074">
            <v>49474</v>
          </cell>
          <cell r="M3074">
            <v>5022.3</v>
          </cell>
          <cell r="N3074">
            <v>393313.5171919415</v>
          </cell>
          <cell r="O3074">
            <v>399432.08579818968</v>
          </cell>
          <cell r="P3074">
            <v>185.65950000000001</v>
          </cell>
        </row>
        <row r="3075">
          <cell r="B3075">
            <v>35171</v>
          </cell>
          <cell r="C3075">
            <v>3.1680000000000001</v>
          </cell>
          <cell r="D3075">
            <v>0.99029999999999996</v>
          </cell>
          <cell r="E3075">
            <v>49506</v>
          </cell>
          <cell r="F3075">
            <v>4989.3</v>
          </cell>
          <cell r="J3075">
            <v>1152984.6540326166</v>
          </cell>
          <cell r="K3075">
            <v>0.99029999999999996</v>
          </cell>
          <cell r="L3075">
            <v>49506</v>
          </cell>
          <cell r="M3075">
            <v>4989.3</v>
          </cell>
          <cell r="N3075">
            <v>393313.5171919415</v>
          </cell>
          <cell r="O3075">
            <v>399432.08579818968</v>
          </cell>
          <cell r="P3075">
            <v>185.65950000000001</v>
          </cell>
        </row>
        <row r="3076">
          <cell r="B3076">
            <v>35172</v>
          </cell>
          <cell r="C3076">
            <v>3.1680000000000001</v>
          </cell>
          <cell r="D3076">
            <v>0.99</v>
          </cell>
          <cell r="E3076">
            <v>49664</v>
          </cell>
          <cell r="F3076">
            <v>5003.8999999999996</v>
          </cell>
          <cell r="J3076">
            <v>1154202.2058272751</v>
          </cell>
          <cell r="K3076">
            <v>0.99</v>
          </cell>
          <cell r="L3076">
            <v>49664</v>
          </cell>
          <cell r="M3076">
            <v>5003.8999999999996</v>
          </cell>
          <cell r="N3076">
            <v>393313.5171919415</v>
          </cell>
          <cell r="O3076">
            <v>399432.08579818968</v>
          </cell>
          <cell r="P3076">
            <v>185.65950000000001</v>
          </cell>
        </row>
        <row r="3077">
          <cell r="B3077">
            <v>35173</v>
          </cell>
          <cell r="C3077">
            <v>3.1680000000000001</v>
          </cell>
          <cell r="D3077">
            <v>0.98960000000000004</v>
          </cell>
          <cell r="E3077">
            <v>49612</v>
          </cell>
          <cell r="F3077">
            <v>5002</v>
          </cell>
          <cell r="J3077">
            <v>1155421.0433566286</v>
          </cell>
          <cell r="K3077">
            <v>0.98960000000000004</v>
          </cell>
          <cell r="L3077">
            <v>49612</v>
          </cell>
          <cell r="M3077">
            <v>5002</v>
          </cell>
          <cell r="N3077">
            <v>393313.5171919415</v>
          </cell>
          <cell r="O3077">
            <v>399432.08579818968</v>
          </cell>
          <cell r="P3077">
            <v>185.65950000000001</v>
          </cell>
        </row>
        <row r="3078">
          <cell r="B3078">
            <v>35174</v>
          </cell>
          <cell r="C3078">
            <v>3.1379999999999999</v>
          </cell>
          <cell r="D3078">
            <v>0.99150000000000005</v>
          </cell>
          <cell r="E3078">
            <v>50042</v>
          </cell>
          <cell r="F3078">
            <v>5075.6000000000004</v>
          </cell>
          <cell r="J3078">
            <v>1156629.6137679797</v>
          </cell>
          <cell r="K3078">
            <v>0.99150000000000005</v>
          </cell>
          <cell r="L3078">
            <v>50042</v>
          </cell>
          <cell r="M3078">
            <v>5075.6000000000004</v>
          </cell>
          <cell r="N3078">
            <v>393313.5171919415</v>
          </cell>
          <cell r="O3078">
            <v>399432.08579818968</v>
          </cell>
          <cell r="P3078">
            <v>185.65950000000001</v>
          </cell>
        </row>
        <row r="3079">
          <cell r="B3079">
            <v>35177</v>
          </cell>
          <cell r="C3079">
            <v>3.12</v>
          </cell>
          <cell r="D3079">
            <v>0.99160000000000004</v>
          </cell>
          <cell r="E3079">
            <v>50131</v>
          </cell>
          <cell r="F3079">
            <v>5079.6000000000004</v>
          </cell>
          <cell r="J3079">
            <v>1157832.5085662983</v>
          </cell>
          <cell r="K3079">
            <v>0.99160000000000004</v>
          </cell>
          <cell r="L3079">
            <v>50131</v>
          </cell>
          <cell r="M3079">
            <v>5079.6000000000004</v>
          </cell>
          <cell r="N3079">
            <v>393313.5171919415</v>
          </cell>
          <cell r="O3079">
            <v>399432.08579818968</v>
          </cell>
          <cell r="P3079">
            <v>185.65950000000001</v>
          </cell>
        </row>
        <row r="3080">
          <cell r="B3080">
            <v>35178</v>
          </cell>
          <cell r="C3080">
            <v>3.0089999999999999</v>
          </cell>
          <cell r="D3080">
            <v>0.99150000000000005</v>
          </cell>
          <cell r="E3080">
            <v>50097</v>
          </cell>
          <cell r="F3080">
            <v>5061.8999999999996</v>
          </cell>
          <cell r="J3080">
            <v>1158993.8145723904</v>
          </cell>
          <cell r="K3080">
            <v>0.99150000000000005</v>
          </cell>
          <cell r="L3080">
            <v>50097</v>
          </cell>
          <cell r="M3080">
            <v>5061.8999999999996</v>
          </cell>
          <cell r="N3080">
            <v>393313.5171919415</v>
          </cell>
          <cell r="O3080">
            <v>399432.08579818968</v>
          </cell>
          <cell r="P3080">
            <v>185.65950000000001</v>
          </cell>
        </row>
        <row r="3081">
          <cell r="B3081">
            <v>35179</v>
          </cell>
          <cell r="C3081">
            <v>3</v>
          </cell>
          <cell r="D3081">
            <v>0.99160000000000004</v>
          </cell>
          <cell r="E3081">
            <v>50123</v>
          </cell>
          <cell r="F3081">
            <v>5047</v>
          </cell>
          <cell r="J3081">
            <v>1160152.8083869626</v>
          </cell>
          <cell r="K3081">
            <v>0.99160000000000004</v>
          </cell>
          <cell r="L3081">
            <v>50123</v>
          </cell>
          <cell r="M3081">
            <v>5047</v>
          </cell>
          <cell r="N3081">
            <v>393313.5171919415</v>
          </cell>
          <cell r="O3081">
            <v>399432.08579818968</v>
          </cell>
          <cell r="P3081">
            <v>185.65950000000001</v>
          </cell>
        </row>
        <row r="3082">
          <cell r="B3082">
            <v>35180</v>
          </cell>
          <cell r="C3082">
            <v>2.9790000000000001</v>
          </cell>
          <cell r="D3082">
            <v>0.99170000000000003</v>
          </cell>
          <cell r="E3082">
            <v>50352</v>
          </cell>
          <cell r="F3082">
            <v>5121.8</v>
          </cell>
          <cell r="J3082">
            <v>1161304.8401256909</v>
          </cell>
          <cell r="K3082">
            <v>0.99170000000000003</v>
          </cell>
          <cell r="L3082">
            <v>50352</v>
          </cell>
          <cell r="M3082">
            <v>5121.8</v>
          </cell>
          <cell r="N3082">
            <v>393313.5171919415</v>
          </cell>
          <cell r="O3082">
            <v>399432.08579818968</v>
          </cell>
          <cell r="P3082">
            <v>185.65950000000001</v>
          </cell>
        </row>
        <row r="3083">
          <cell r="B3083">
            <v>35181</v>
          </cell>
          <cell r="C3083">
            <v>2.7989999999999999</v>
          </cell>
          <cell r="D3083">
            <v>0.99219999999999997</v>
          </cell>
          <cell r="E3083">
            <v>50476</v>
          </cell>
          <cell r="F3083">
            <v>5142.6000000000004</v>
          </cell>
          <cell r="J3083">
            <v>1162388.3375415283</v>
          </cell>
          <cell r="K3083">
            <v>0.99219999999999997</v>
          </cell>
          <cell r="L3083">
            <v>50476</v>
          </cell>
          <cell r="M3083">
            <v>5142.6000000000004</v>
          </cell>
          <cell r="N3083">
            <v>393313.5171919415</v>
          </cell>
          <cell r="O3083">
            <v>399432.08579818968</v>
          </cell>
          <cell r="P3083">
            <v>185.65950000000001</v>
          </cell>
        </row>
        <row r="3084">
          <cell r="B3084">
            <v>35184</v>
          </cell>
          <cell r="C3084">
            <v>2.7090000000000001</v>
          </cell>
          <cell r="D3084">
            <v>0.99260000000000004</v>
          </cell>
          <cell r="E3084">
            <v>50570</v>
          </cell>
          <cell r="F3084">
            <v>5149.3</v>
          </cell>
          <cell r="J3084">
            <v>1163437.9742103284</v>
          </cell>
          <cell r="K3084">
            <v>0.99260000000000004</v>
          </cell>
          <cell r="L3084">
            <v>50570</v>
          </cell>
          <cell r="M3084">
            <v>5149.3</v>
          </cell>
          <cell r="N3084">
            <v>393313.5171919415</v>
          </cell>
          <cell r="O3084">
            <v>399432.08579818968</v>
          </cell>
          <cell r="P3084">
            <v>185.65950000000001</v>
          </cell>
        </row>
        <row r="3085">
          <cell r="B3085">
            <v>35185</v>
          </cell>
          <cell r="C3085">
            <v>2.64</v>
          </cell>
          <cell r="D3085">
            <v>0.99250000000000005</v>
          </cell>
          <cell r="E3085">
            <v>50844</v>
          </cell>
          <cell r="F3085">
            <v>5164.1000000000004</v>
          </cell>
          <cell r="G3085">
            <v>0.7</v>
          </cell>
          <cell r="H3085">
            <v>0.32</v>
          </cell>
          <cell r="I3085">
            <v>187.8184</v>
          </cell>
          <cell r="J3085">
            <v>1164461.7996276335</v>
          </cell>
          <cell r="K3085">
            <v>0.99250000000000005</v>
          </cell>
          <cell r="L3085">
            <v>50844</v>
          </cell>
          <cell r="M3085">
            <v>5164.1000000000004</v>
          </cell>
          <cell r="N3085">
            <v>396066.71181228507</v>
          </cell>
          <cell r="O3085">
            <v>400710.26847274392</v>
          </cell>
          <cell r="P3085">
            <v>187.8184</v>
          </cell>
        </row>
        <row r="3086">
          <cell r="B3086">
            <v>35187</v>
          </cell>
          <cell r="C3086">
            <v>2.67</v>
          </cell>
          <cell r="D3086">
            <v>0.99250000000000005</v>
          </cell>
          <cell r="E3086">
            <v>50811</v>
          </cell>
          <cell r="F3086">
            <v>5146</v>
          </cell>
          <cell r="J3086">
            <v>1165498.1706293023</v>
          </cell>
          <cell r="K3086">
            <v>0.99250000000000005</v>
          </cell>
          <cell r="L3086">
            <v>50811</v>
          </cell>
          <cell r="M3086">
            <v>5146</v>
          </cell>
          <cell r="N3086">
            <v>396066.71181228507</v>
          </cell>
          <cell r="O3086">
            <v>400710.26847274392</v>
          </cell>
          <cell r="P3086">
            <v>187.8184</v>
          </cell>
        </row>
        <row r="3087">
          <cell r="B3087">
            <v>35188</v>
          </cell>
          <cell r="C3087">
            <v>2.64</v>
          </cell>
          <cell r="D3087">
            <v>0.99260000000000004</v>
          </cell>
          <cell r="E3087">
            <v>51001</v>
          </cell>
          <cell r="F3087">
            <v>5101.3999999999996</v>
          </cell>
          <cell r="J3087">
            <v>1166523.8090194562</v>
          </cell>
          <cell r="K3087">
            <v>0.99260000000000004</v>
          </cell>
          <cell r="L3087">
            <v>51001</v>
          </cell>
          <cell r="M3087">
            <v>5101.3999999999996</v>
          </cell>
          <cell r="N3087">
            <v>396066.71181228507</v>
          </cell>
          <cell r="O3087">
            <v>400710.26847274392</v>
          </cell>
          <cell r="P3087">
            <v>187.8184</v>
          </cell>
        </row>
        <row r="3088">
          <cell r="B3088">
            <v>35191</v>
          </cell>
          <cell r="C3088">
            <v>2.64</v>
          </cell>
          <cell r="D3088">
            <v>0.99260000000000004</v>
          </cell>
          <cell r="E3088">
            <v>50951</v>
          </cell>
          <cell r="F3088">
            <v>5153</v>
          </cell>
          <cell r="J3088">
            <v>1167550.3499713934</v>
          </cell>
          <cell r="K3088">
            <v>0.99260000000000004</v>
          </cell>
          <cell r="L3088">
            <v>50951</v>
          </cell>
          <cell r="M3088">
            <v>5153</v>
          </cell>
          <cell r="N3088">
            <v>396066.71181228507</v>
          </cell>
          <cell r="O3088">
            <v>400710.26847274392</v>
          </cell>
          <cell r="P3088">
            <v>187.8184</v>
          </cell>
        </row>
        <row r="3089">
          <cell r="B3089">
            <v>35192</v>
          </cell>
          <cell r="C3089">
            <v>2.64</v>
          </cell>
          <cell r="D3089">
            <v>0.99270000000000003</v>
          </cell>
          <cell r="E3089">
            <v>51213</v>
          </cell>
          <cell r="F3089">
            <v>5283.9</v>
          </cell>
          <cell r="J3089">
            <v>1168577.7942793681</v>
          </cell>
          <cell r="K3089">
            <v>0.99270000000000003</v>
          </cell>
          <cell r="L3089">
            <v>51213</v>
          </cell>
          <cell r="M3089">
            <v>5283.9</v>
          </cell>
          <cell r="N3089">
            <v>396066.71181228507</v>
          </cell>
          <cell r="O3089">
            <v>400710.26847274392</v>
          </cell>
          <cell r="P3089">
            <v>187.8184</v>
          </cell>
        </row>
        <row r="3090">
          <cell r="B3090">
            <v>35193</v>
          </cell>
          <cell r="C3090">
            <v>2.64</v>
          </cell>
          <cell r="D3090">
            <v>0.99280000000000002</v>
          </cell>
          <cell r="E3090">
            <v>51545</v>
          </cell>
          <cell r="F3090">
            <v>5360.5</v>
          </cell>
          <cell r="J3090">
            <v>1169606.1427383339</v>
          </cell>
          <cell r="K3090">
            <v>0.99280000000000002</v>
          </cell>
          <cell r="L3090">
            <v>51545</v>
          </cell>
          <cell r="M3090">
            <v>5360.5</v>
          </cell>
          <cell r="N3090">
            <v>396066.71181228507</v>
          </cell>
          <cell r="O3090">
            <v>400710.26847274392</v>
          </cell>
          <cell r="P3090">
            <v>187.8184</v>
          </cell>
        </row>
        <row r="3091">
          <cell r="B3091">
            <v>35194</v>
          </cell>
          <cell r="C3091">
            <v>2.64</v>
          </cell>
          <cell r="D3091">
            <v>0.99390000000000001</v>
          </cell>
          <cell r="E3091">
            <v>51495</v>
          </cell>
          <cell r="F3091">
            <v>5388.5</v>
          </cell>
          <cell r="J3091">
            <v>1170635.3961439435</v>
          </cell>
          <cell r="K3091">
            <v>0.99390000000000001</v>
          </cell>
          <cell r="L3091">
            <v>51495</v>
          </cell>
          <cell r="M3091">
            <v>5388.5</v>
          </cell>
          <cell r="N3091">
            <v>396066.71181228507</v>
          </cell>
          <cell r="O3091">
            <v>400710.26847274392</v>
          </cell>
          <cell r="P3091">
            <v>187.8184</v>
          </cell>
        </row>
        <row r="3092">
          <cell r="B3092">
            <v>35195</v>
          </cell>
          <cell r="C3092">
            <v>2.64</v>
          </cell>
          <cell r="D3092">
            <v>0.99460000000000004</v>
          </cell>
          <cell r="E3092">
            <v>51568</v>
          </cell>
          <cell r="F3092">
            <v>5345.4</v>
          </cell>
          <cell r="J3092">
            <v>1171665.5552925502</v>
          </cell>
          <cell r="K3092">
            <v>0.99460000000000004</v>
          </cell>
          <cell r="L3092">
            <v>51568</v>
          </cell>
          <cell r="M3092">
            <v>5345.4</v>
          </cell>
          <cell r="N3092">
            <v>396066.71181228507</v>
          </cell>
          <cell r="O3092">
            <v>400710.26847274392</v>
          </cell>
          <cell r="P3092">
            <v>187.8184</v>
          </cell>
        </row>
        <row r="3093">
          <cell r="B3093">
            <v>35198</v>
          </cell>
          <cell r="C3093">
            <v>2.64</v>
          </cell>
          <cell r="D3093">
            <v>0.99509999999999998</v>
          </cell>
          <cell r="E3093">
            <v>51861</v>
          </cell>
          <cell r="F3093">
            <v>5480.2</v>
          </cell>
          <cell r="J3093">
            <v>1172696.6209812076</v>
          </cell>
          <cell r="K3093">
            <v>0.99509999999999998</v>
          </cell>
          <cell r="L3093">
            <v>51861</v>
          </cell>
          <cell r="M3093">
            <v>5480.2</v>
          </cell>
          <cell r="N3093">
            <v>396066.71181228507</v>
          </cell>
          <cell r="O3093">
            <v>400710.26847274392</v>
          </cell>
          <cell r="P3093">
            <v>187.8184</v>
          </cell>
        </row>
        <row r="3094">
          <cell r="B3094">
            <v>35199</v>
          </cell>
          <cell r="C3094">
            <v>2.649</v>
          </cell>
          <cell r="D3094">
            <v>0.996</v>
          </cell>
          <cell r="E3094">
            <v>51369</v>
          </cell>
          <cell r="F3094">
            <v>5428.1</v>
          </cell>
          <cell r="J3094">
            <v>1173732.1120975339</v>
          </cell>
          <cell r="K3094">
            <v>0.996</v>
          </cell>
          <cell r="L3094">
            <v>51369</v>
          </cell>
          <cell r="M3094">
            <v>5428.1</v>
          </cell>
          <cell r="N3094">
            <v>396066.71181228507</v>
          </cell>
          <cell r="O3094">
            <v>400710.26847274392</v>
          </cell>
          <cell r="P3094">
            <v>187.8184</v>
          </cell>
        </row>
        <row r="3095">
          <cell r="B3095">
            <v>35200</v>
          </cell>
          <cell r="C3095">
            <v>2.649</v>
          </cell>
          <cell r="D3095">
            <v>0.99580000000000002</v>
          </cell>
          <cell r="E3095">
            <v>51456</v>
          </cell>
          <cell r="F3095">
            <v>5448.3</v>
          </cell>
          <cell r="J3095">
            <v>1174768.517552516</v>
          </cell>
          <cell r="K3095">
            <v>0.99580000000000002</v>
          </cell>
          <cell r="L3095">
            <v>51456</v>
          </cell>
          <cell r="M3095">
            <v>5448.3</v>
          </cell>
          <cell r="N3095">
            <v>396066.71181228507</v>
          </cell>
          <cell r="O3095">
            <v>400710.26847274392</v>
          </cell>
          <cell r="P3095">
            <v>187.8184</v>
          </cell>
        </row>
        <row r="3096">
          <cell r="B3096">
            <v>35201</v>
          </cell>
          <cell r="C3096">
            <v>2.649</v>
          </cell>
          <cell r="D3096">
            <v>0.99650000000000005</v>
          </cell>
          <cell r="E3096">
            <v>51054</v>
          </cell>
          <cell r="F3096">
            <v>5475.6</v>
          </cell>
          <cell r="J3096">
            <v>1175805.8381535148</v>
          </cell>
          <cell r="K3096">
            <v>0.99650000000000005</v>
          </cell>
          <cell r="L3096">
            <v>51054</v>
          </cell>
          <cell r="M3096">
            <v>5475.6</v>
          </cell>
          <cell r="N3096">
            <v>396066.71181228507</v>
          </cell>
          <cell r="O3096">
            <v>400710.26847274392</v>
          </cell>
          <cell r="P3096">
            <v>187.8184</v>
          </cell>
        </row>
        <row r="3097">
          <cell r="B3097">
            <v>35202</v>
          </cell>
          <cell r="C3097">
            <v>2.649</v>
          </cell>
          <cell r="D3097">
            <v>0.99580000000000002</v>
          </cell>
          <cell r="E3097">
            <v>50838</v>
          </cell>
          <cell r="F3097">
            <v>5560.3</v>
          </cell>
          <cell r="J3097">
            <v>1176844.0747086043</v>
          </cell>
          <cell r="K3097">
            <v>0.99580000000000002</v>
          </cell>
          <cell r="L3097">
            <v>50838</v>
          </cell>
          <cell r="M3097">
            <v>5560.3</v>
          </cell>
          <cell r="N3097">
            <v>396066.71181228507</v>
          </cell>
          <cell r="O3097">
            <v>400710.26847274392</v>
          </cell>
          <cell r="P3097">
            <v>187.8184</v>
          </cell>
        </row>
        <row r="3098">
          <cell r="B3098">
            <v>35205</v>
          </cell>
          <cell r="C3098">
            <v>2.649</v>
          </cell>
          <cell r="D3098">
            <v>0.99560000000000004</v>
          </cell>
          <cell r="E3098">
            <v>50773</v>
          </cell>
          <cell r="F3098">
            <v>5655.6</v>
          </cell>
          <cell r="J3098">
            <v>1177883.2280265719</v>
          </cell>
          <cell r="K3098">
            <v>0.99560000000000004</v>
          </cell>
          <cell r="L3098">
            <v>50773</v>
          </cell>
          <cell r="M3098">
            <v>5655.6</v>
          </cell>
          <cell r="N3098">
            <v>396066.71181228507</v>
          </cell>
          <cell r="O3098">
            <v>400710.26847274392</v>
          </cell>
          <cell r="P3098">
            <v>187.8184</v>
          </cell>
        </row>
        <row r="3099">
          <cell r="B3099">
            <v>35206</v>
          </cell>
          <cell r="C3099">
            <v>2.649</v>
          </cell>
          <cell r="D3099">
            <v>0.99560000000000004</v>
          </cell>
          <cell r="E3099">
            <v>50713</v>
          </cell>
          <cell r="F3099">
            <v>5601.9</v>
          </cell>
          <cell r="J3099">
            <v>1178923.2989169194</v>
          </cell>
          <cell r="K3099">
            <v>0.99560000000000004</v>
          </cell>
          <cell r="L3099">
            <v>50713</v>
          </cell>
          <cell r="M3099">
            <v>5601.9</v>
          </cell>
          <cell r="N3099">
            <v>396066.71181228507</v>
          </cell>
          <cell r="O3099">
            <v>400710.26847274392</v>
          </cell>
          <cell r="P3099">
            <v>187.8184</v>
          </cell>
        </row>
        <row r="3100">
          <cell r="B3100">
            <v>35207</v>
          </cell>
          <cell r="C3100">
            <v>2.649</v>
          </cell>
          <cell r="D3100">
            <v>0.99580000000000002</v>
          </cell>
          <cell r="E3100">
            <v>51019</v>
          </cell>
          <cell r="F3100">
            <v>5681.5</v>
          </cell>
          <cell r="J3100">
            <v>1179964.2881898631</v>
          </cell>
          <cell r="K3100">
            <v>0.99580000000000002</v>
          </cell>
          <cell r="L3100">
            <v>51019</v>
          </cell>
          <cell r="M3100">
            <v>5681.5</v>
          </cell>
          <cell r="N3100">
            <v>396066.71181228507</v>
          </cell>
          <cell r="O3100">
            <v>400710.26847274392</v>
          </cell>
          <cell r="P3100">
            <v>187.8184</v>
          </cell>
        </row>
        <row r="3101">
          <cell r="B3101">
            <v>35208</v>
          </cell>
          <cell r="C3101">
            <v>2.649</v>
          </cell>
          <cell r="D3101">
            <v>0.99619999999999997</v>
          </cell>
          <cell r="E3101">
            <v>50189</v>
          </cell>
          <cell r="F3101">
            <v>5530.8</v>
          </cell>
          <cell r="J3101">
            <v>1181006.1966563347</v>
          </cell>
          <cell r="K3101">
            <v>0.99619999999999997</v>
          </cell>
          <cell r="L3101">
            <v>50189</v>
          </cell>
          <cell r="M3101">
            <v>5530.8</v>
          </cell>
          <cell r="N3101">
            <v>396066.71181228507</v>
          </cell>
          <cell r="O3101">
            <v>400710.26847274392</v>
          </cell>
          <cell r="P3101">
            <v>187.8184</v>
          </cell>
        </row>
        <row r="3102">
          <cell r="B3102">
            <v>35209</v>
          </cell>
          <cell r="C3102">
            <v>2.661</v>
          </cell>
          <cell r="D3102">
            <v>0.99680000000000002</v>
          </cell>
          <cell r="E3102">
            <v>50191</v>
          </cell>
          <cell r="F3102">
            <v>5600.6</v>
          </cell>
          <cell r="J3102">
            <v>1182053.7491527689</v>
          </cell>
          <cell r="K3102">
            <v>0.99680000000000002</v>
          </cell>
          <cell r="L3102">
            <v>50191</v>
          </cell>
          <cell r="M3102">
            <v>5600.6</v>
          </cell>
          <cell r="N3102">
            <v>396066.71181228507</v>
          </cell>
          <cell r="O3102">
            <v>400710.26847274392</v>
          </cell>
          <cell r="P3102">
            <v>187.8184</v>
          </cell>
        </row>
        <row r="3103">
          <cell r="B3103">
            <v>35212</v>
          </cell>
          <cell r="C3103">
            <v>2.79</v>
          </cell>
          <cell r="D3103">
            <v>0.99660000000000004</v>
          </cell>
          <cell r="E3103">
            <v>50005</v>
          </cell>
          <cell r="F3103">
            <v>5627.9</v>
          </cell>
          <cell r="J3103">
            <v>1183153.059139481</v>
          </cell>
          <cell r="K3103">
            <v>0.99660000000000004</v>
          </cell>
          <cell r="L3103">
            <v>50005</v>
          </cell>
          <cell r="M3103">
            <v>5627.9</v>
          </cell>
          <cell r="N3103">
            <v>396066.71181228507</v>
          </cell>
          <cell r="O3103">
            <v>400710.26847274392</v>
          </cell>
          <cell r="P3103">
            <v>187.8184</v>
          </cell>
        </row>
        <row r="3104">
          <cell r="B3104">
            <v>35213</v>
          </cell>
          <cell r="C3104">
            <v>2.85</v>
          </cell>
          <cell r="D3104">
            <v>0.99650000000000005</v>
          </cell>
          <cell r="E3104">
            <v>50500</v>
          </cell>
          <cell r="F3104">
            <v>5710.8</v>
          </cell>
          <cell r="J3104">
            <v>1184277.0545456635</v>
          </cell>
          <cell r="K3104">
            <v>0.99650000000000005</v>
          </cell>
          <cell r="L3104">
            <v>50500</v>
          </cell>
          <cell r="M3104">
            <v>5710.8</v>
          </cell>
          <cell r="N3104">
            <v>396066.71181228507</v>
          </cell>
          <cell r="O3104">
            <v>400710.26847274392</v>
          </cell>
          <cell r="P3104">
            <v>187.8184</v>
          </cell>
        </row>
        <row r="3105">
          <cell r="B3105">
            <v>35214</v>
          </cell>
          <cell r="C3105">
            <v>2.91</v>
          </cell>
          <cell r="D3105">
            <v>0.99670000000000003</v>
          </cell>
          <cell r="E3105">
            <v>50318</v>
          </cell>
          <cell r="F3105">
            <v>5625.7</v>
          </cell>
          <cell r="J3105">
            <v>1185425.8032885727</v>
          </cell>
          <cell r="K3105">
            <v>0.99670000000000003</v>
          </cell>
          <cell r="L3105">
            <v>50318</v>
          </cell>
          <cell r="M3105">
            <v>5625.7</v>
          </cell>
          <cell r="N3105">
            <v>396066.71181228507</v>
          </cell>
          <cell r="O3105">
            <v>400710.26847274392</v>
          </cell>
          <cell r="P3105">
            <v>187.8184</v>
          </cell>
        </row>
        <row r="3106">
          <cell r="B3106">
            <v>35215</v>
          </cell>
          <cell r="C3106">
            <v>2.9790000000000001</v>
          </cell>
          <cell r="D3106">
            <v>0.99709999999999999</v>
          </cell>
          <cell r="E3106">
            <v>50399</v>
          </cell>
          <cell r="F3106">
            <v>5687.7</v>
          </cell>
          <cell r="J3106">
            <v>1186602.9311112382</v>
          </cell>
          <cell r="K3106">
            <v>0.99709999999999999</v>
          </cell>
          <cell r="L3106">
            <v>50399</v>
          </cell>
          <cell r="M3106">
            <v>5687.7</v>
          </cell>
          <cell r="N3106">
            <v>396066.71181228507</v>
          </cell>
          <cell r="O3106">
            <v>400710.26847274392</v>
          </cell>
          <cell r="P3106">
            <v>187.8184</v>
          </cell>
        </row>
        <row r="3107">
          <cell r="B3107">
            <v>35216</v>
          </cell>
          <cell r="C3107">
            <v>3.03</v>
          </cell>
          <cell r="D3107">
            <v>0.99839999999999995</v>
          </cell>
          <cell r="E3107">
            <v>50797</v>
          </cell>
          <cell r="F3107">
            <v>5727.9</v>
          </cell>
          <cell r="G3107">
            <v>1.68</v>
          </cell>
          <cell r="H3107">
            <v>1.55</v>
          </cell>
          <cell r="I3107">
            <v>189.86869999999999</v>
          </cell>
          <cell r="J3107">
            <v>1187801.4000716605</v>
          </cell>
          <cell r="K3107">
            <v>0.99839999999999995</v>
          </cell>
          <cell r="L3107">
            <v>50797</v>
          </cell>
          <cell r="M3107">
            <v>5727.9</v>
          </cell>
          <cell r="N3107">
            <v>402720.63257073145</v>
          </cell>
          <cell r="O3107">
            <v>406921.27763407148</v>
          </cell>
          <cell r="P3107">
            <v>189.86869999999999</v>
          </cell>
        </row>
        <row r="3108">
          <cell r="B3108">
            <v>35219</v>
          </cell>
          <cell r="C3108">
            <v>3.0510000000000002</v>
          </cell>
          <cell r="D3108">
            <v>0.99860000000000004</v>
          </cell>
          <cell r="E3108">
            <v>50355</v>
          </cell>
          <cell r="F3108">
            <v>5635</v>
          </cell>
          <cell r="J3108">
            <v>1189009.3940955335</v>
          </cell>
          <cell r="K3108">
            <v>0.99860000000000004</v>
          </cell>
          <cell r="L3108">
            <v>50355</v>
          </cell>
          <cell r="M3108">
            <v>5635</v>
          </cell>
          <cell r="N3108">
            <v>402720.63257073145</v>
          </cell>
          <cell r="O3108">
            <v>406921.27763407148</v>
          </cell>
          <cell r="P3108">
            <v>189.86869999999999</v>
          </cell>
        </row>
        <row r="3109">
          <cell r="B3109">
            <v>35220</v>
          </cell>
          <cell r="C3109">
            <v>3.069</v>
          </cell>
          <cell r="D3109">
            <v>0.99860000000000004</v>
          </cell>
          <cell r="E3109">
            <v>49769</v>
          </cell>
          <cell r="F3109">
            <v>5599.4</v>
          </cell>
          <cell r="J3109">
            <v>1190225.7507056931</v>
          </cell>
          <cell r="K3109">
            <v>0.99860000000000004</v>
          </cell>
          <cell r="L3109">
            <v>49769</v>
          </cell>
          <cell r="M3109">
            <v>5599.4</v>
          </cell>
          <cell r="N3109">
            <v>402720.63257073145</v>
          </cell>
          <cell r="O3109">
            <v>406921.27763407148</v>
          </cell>
          <cell r="P3109">
            <v>189.86869999999999</v>
          </cell>
        </row>
        <row r="3110">
          <cell r="B3110">
            <v>35221</v>
          </cell>
          <cell r="C3110">
            <v>3.621</v>
          </cell>
          <cell r="D3110">
            <v>0.99870000000000003</v>
          </cell>
          <cell r="E3110">
            <v>49757</v>
          </cell>
          <cell r="F3110">
            <v>5567.8</v>
          </cell>
          <cell r="J3110">
            <v>1191662.3531867948</v>
          </cell>
          <cell r="K3110">
            <v>0.99870000000000003</v>
          </cell>
          <cell r="L3110">
            <v>49757</v>
          </cell>
          <cell r="M3110">
            <v>5567.8</v>
          </cell>
          <cell r="N3110">
            <v>402720.63257073145</v>
          </cell>
          <cell r="O3110">
            <v>406921.27763407148</v>
          </cell>
          <cell r="P3110">
            <v>189.86869999999999</v>
          </cell>
        </row>
        <row r="3111">
          <cell r="B3111">
            <v>35223</v>
          </cell>
          <cell r="C3111">
            <v>3.18</v>
          </cell>
          <cell r="D3111">
            <v>0.99890000000000001</v>
          </cell>
          <cell r="E3111">
            <v>49696</v>
          </cell>
          <cell r="F3111">
            <v>5530.2</v>
          </cell>
          <cell r="J3111">
            <v>1192925.5152811729</v>
          </cell>
          <cell r="K3111">
            <v>0.99890000000000001</v>
          </cell>
          <cell r="L3111">
            <v>49696</v>
          </cell>
          <cell r="M3111">
            <v>5530.2</v>
          </cell>
          <cell r="N3111">
            <v>402720.63257073145</v>
          </cell>
          <cell r="O3111">
            <v>406921.27763407148</v>
          </cell>
          <cell r="P3111">
            <v>189.86869999999999</v>
          </cell>
        </row>
        <row r="3112">
          <cell r="B3112">
            <v>35226</v>
          </cell>
          <cell r="C3112">
            <v>3.2189999999999999</v>
          </cell>
          <cell r="D3112">
            <v>0.99980000000000002</v>
          </cell>
          <cell r="E3112">
            <v>49325</v>
          </cell>
          <cell r="F3112">
            <v>5457.1</v>
          </cell>
          <cell r="J3112">
            <v>1194205.5243590698</v>
          </cell>
          <cell r="K3112">
            <v>0.99980000000000002</v>
          </cell>
          <cell r="L3112">
            <v>49325</v>
          </cell>
          <cell r="M3112">
            <v>5457.1</v>
          </cell>
          <cell r="N3112">
            <v>402720.63257073145</v>
          </cell>
          <cell r="O3112">
            <v>406921.27763407148</v>
          </cell>
          <cell r="P3112">
            <v>189.86869999999999</v>
          </cell>
        </row>
        <row r="3113">
          <cell r="B3113">
            <v>35227</v>
          </cell>
          <cell r="C3113">
            <v>3.2189999999999999</v>
          </cell>
          <cell r="D3113">
            <v>0.99960000000000004</v>
          </cell>
          <cell r="E3113">
            <v>48964</v>
          </cell>
          <cell r="F3113">
            <v>5413.4</v>
          </cell>
          <cell r="J3113">
            <v>1195486.9068867071</v>
          </cell>
          <cell r="K3113">
            <v>0.99960000000000004</v>
          </cell>
          <cell r="L3113">
            <v>48964</v>
          </cell>
          <cell r="M3113">
            <v>5413.4</v>
          </cell>
          <cell r="N3113">
            <v>402720.63257073145</v>
          </cell>
          <cell r="O3113">
            <v>406921.27763407148</v>
          </cell>
          <cell r="P3113">
            <v>189.86869999999999</v>
          </cell>
        </row>
        <row r="3114">
          <cell r="B3114">
            <v>35228</v>
          </cell>
          <cell r="C3114">
            <v>3.2189999999999999</v>
          </cell>
          <cell r="D3114">
            <v>1.0006999999999999</v>
          </cell>
          <cell r="E3114">
            <v>49404</v>
          </cell>
          <cell r="F3114">
            <v>5532.4</v>
          </cell>
          <cell r="J3114">
            <v>1196769.6643377966</v>
          </cell>
          <cell r="K3114">
            <v>1.0006999999999999</v>
          </cell>
          <cell r="L3114">
            <v>49404</v>
          </cell>
          <cell r="M3114">
            <v>5532.4</v>
          </cell>
          <cell r="N3114">
            <v>402720.63257073145</v>
          </cell>
          <cell r="O3114">
            <v>406921.27763407148</v>
          </cell>
          <cell r="P3114">
            <v>189.86869999999999</v>
          </cell>
        </row>
        <row r="3115">
          <cell r="B3115">
            <v>35229</v>
          </cell>
          <cell r="C3115">
            <v>3.2189999999999999</v>
          </cell>
          <cell r="D3115">
            <v>1.0004999999999999</v>
          </cell>
          <cell r="E3115">
            <v>49605</v>
          </cell>
          <cell r="F3115">
            <v>5503.7</v>
          </cell>
          <cell r="J3115">
            <v>1198053.7981876312</v>
          </cell>
          <cell r="K3115">
            <v>1.0004999999999999</v>
          </cell>
          <cell r="L3115">
            <v>49605</v>
          </cell>
          <cell r="M3115">
            <v>5503.7</v>
          </cell>
          <cell r="N3115">
            <v>402720.63257073145</v>
          </cell>
          <cell r="O3115">
            <v>406921.27763407148</v>
          </cell>
          <cell r="P3115">
            <v>189.86869999999999</v>
          </cell>
        </row>
        <row r="3116">
          <cell r="B3116">
            <v>35230</v>
          </cell>
          <cell r="C3116">
            <v>3.2189999999999999</v>
          </cell>
          <cell r="D3116">
            <v>1.0015000000000001</v>
          </cell>
          <cell r="E3116">
            <v>50222</v>
          </cell>
          <cell r="F3116">
            <v>5634.8</v>
          </cell>
          <cell r="J3116">
            <v>1199339.3099130867</v>
          </cell>
          <cell r="K3116">
            <v>1.0015000000000001</v>
          </cell>
          <cell r="L3116">
            <v>50222</v>
          </cell>
          <cell r="M3116">
            <v>5634.8</v>
          </cell>
          <cell r="N3116">
            <v>402720.63257073145</v>
          </cell>
          <cell r="O3116">
            <v>406921.27763407148</v>
          </cell>
          <cell r="P3116">
            <v>189.86869999999999</v>
          </cell>
        </row>
        <row r="3117">
          <cell r="B3117">
            <v>35233</v>
          </cell>
          <cell r="C3117">
            <v>3.2189999999999999</v>
          </cell>
          <cell r="D3117">
            <v>1.0016</v>
          </cell>
          <cell r="E3117">
            <v>50844</v>
          </cell>
          <cell r="F3117">
            <v>5804.8</v>
          </cell>
          <cell r="J3117">
            <v>1200626.2009926236</v>
          </cell>
          <cell r="K3117">
            <v>1.0016</v>
          </cell>
          <cell r="L3117">
            <v>50844</v>
          </cell>
          <cell r="M3117">
            <v>5804.8</v>
          </cell>
          <cell r="N3117">
            <v>402720.63257073145</v>
          </cell>
          <cell r="O3117">
            <v>406921.27763407148</v>
          </cell>
          <cell r="P3117">
            <v>189.86869999999999</v>
          </cell>
        </row>
        <row r="3118">
          <cell r="B3118">
            <v>35234</v>
          </cell>
          <cell r="C3118">
            <v>3.1680000000000001</v>
          </cell>
          <cell r="D3118">
            <v>1.0016</v>
          </cell>
          <cell r="E3118">
            <v>50821</v>
          </cell>
          <cell r="F3118">
            <v>5834.6</v>
          </cell>
          <cell r="J3118">
            <v>1201894.0622608718</v>
          </cell>
          <cell r="K3118">
            <v>1.0016</v>
          </cell>
          <cell r="L3118">
            <v>50821</v>
          </cell>
          <cell r="M3118">
            <v>5834.6</v>
          </cell>
          <cell r="N3118">
            <v>402720.63257073145</v>
          </cell>
          <cell r="O3118">
            <v>406921.27763407148</v>
          </cell>
          <cell r="P3118">
            <v>189.86869999999999</v>
          </cell>
        </row>
        <row r="3119">
          <cell r="B3119">
            <v>35235</v>
          </cell>
          <cell r="C3119">
            <v>3.2010000000000001</v>
          </cell>
          <cell r="D3119">
            <v>1.002</v>
          </cell>
          <cell r="E3119">
            <v>50584</v>
          </cell>
          <cell r="F3119">
            <v>5817.1</v>
          </cell>
          <cell r="J3119">
            <v>1203176.4832253039</v>
          </cell>
          <cell r="K3119">
            <v>1.002</v>
          </cell>
          <cell r="L3119">
            <v>50584</v>
          </cell>
          <cell r="M3119">
            <v>5817.1</v>
          </cell>
          <cell r="N3119">
            <v>402720.63257073145</v>
          </cell>
          <cell r="O3119">
            <v>406921.27763407148</v>
          </cell>
          <cell r="P3119">
            <v>189.86869999999999</v>
          </cell>
        </row>
        <row r="3120">
          <cell r="B3120">
            <v>35236</v>
          </cell>
          <cell r="C3120">
            <v>3.1110000000000002</v>
          </cell>
          <cell r="D3120">
            <v>1.0024999999999999</v>
          </cell>
          <cell r="E3120">
            <v>50496</v>
          </cell>
          <cell r="F3120">
            <v>5823</v>
          </cell>
          <cell r="J3120">
            <v>1204424.1772384085</v>
          </cell>
          <cell r="K3120">
            <v>1.0024999999999999</v>
          </cell>
          <cell r="L3120">
            <v>50496</v>
          </cell>
          <cell r="M3120">
            <v>5823</v>
          </cell>
          <cell r="N3120">
            <v>402720.63257073145</v>
          </cell>
          <cell r="O3120">
            <v>406921.27763407148</v>
          </cell>
          <cell r="P3120">
            <v>189.86869999999999</v>
          </cell>
        </row>
        <row r="3121">
          <cell r="B3121">
            <v>35237</v>
          </cell>
          <cell r="C3121">
            <v>3.03</v>
          </cell>
          <cell r="D3121">
            <v>1.0029999999999999</v>
          </cell>
          <cell r="E3121">
            <v>51398</v>
          </cell>
          <cell r="F3121">
            <v>6053.1</v>
          </cell>
          <cell r="J3121">
            <v>1205640.6456574192</v>
          </cell>
          <cell r="K3121">
            <v>1.0029999999999999</v>
          </cell>
          <cell r="L3121">
            <v>51398</v>
          </cell>
          <cell r="M3121">
            <v>6053.1</v>
          </cell>
          <cell r="N3121">
            <v>402720.63257073145</v>
          </cell>
          <cell r="O3121">
            <v>406921.27763407148</v>
          </cell>
          <cell r="P3121">
            <v>189.86869999999999</v>
          </cell>
        </row>
        <row r="3122">
          <cell r="B3122">
            <v>35240</v>
          </cell>
          <cell r="C3122">
            <v>2.9580000000000002</v>
          </cell>
          <cell r="D3122">
            <v>1.0029999999999999</v>
          </cell>
          <cell r="E3122">
            <v>51514</v>
          </cell>
          <cell r="F3122">
            <v>6201.8</v>
          </cell>
          <cell r="J3122">
            <v>1206829.4073340374</v>
          </cell>
          <cell r="K3122">
            <v>1.0029999999999999</v>
          </cell>
          <cell r="L3122">
            <v>51514</v>
          </cell>
          <cell r="M3122">
            <v>6201.8</v>
          </cell>
          <cell r="N3122">
            <v>402720.63257073145</v>
          </cell>
          <cell r="O3122">
            <v>406921.27763407148</v>
          </cell>
          <cell r="P3122">
            <v>189.86869999999999</v>
          </cell>
        </row>
        <row r="3123">
          <cell r="B3123">
            <v>35241</v>
          </cell>
          <cell r="C3123">
            <v>2.76</v>
          </cell>
          <cell r="D3123">
            <v>1.0028999999999999</v>
          </cell>
          <cell r="E3123">
            <v>51006</v>
          </cell>
          <cell r="F3123">
            <v>6082.4</v>
          </cell>
          <cell r="J3123">
            <v>1207939.6903887847</v>
          </cell>
          <cell r="K3123">
            <v>1.0028999999999999</v>
          </cell>
          <cell r="L3123">
            <v>51006</v>
          </cell>
          <cell r="M3123">
            <v>6082.4</v>
          </cell>
          <cell r="N3123">
            <v>402720.63257073145</v>
          </cell>
          <cell r="O3123">
            <v>406921.27763407148</v>
          </cell>
          <cell r="P3123">
            <v>189.86869999999999</v>
          </cell>
        </row>
        <row r="3124">
          <cell r="B3124">
            <v>35242</v>
          </cell>
          <cell r="C3124">
            <v>2.7</v>
          </cell>
          <cell r="D3124">
            <v>1.0039</v>
          </cell>
          <cell r="E3124">
            <v>51462</v>
          </cell>
          <cell r="F3124">
            <v>6227.1</v>
          </cell>
          <cell r="J3124">
            <v>1209026.8361101346</v>
          </cell>
          <cell r="K3124">
            <v>1.0039</v>
          </cell>
          <cell r="L3124">
            <v>51462</v>
          </cell>
          <cell r="M3124">
            <v>6227.1</v>
          </cell>
          <cell r="N3124">
            <v>402720.63257073145</v>
          </cell>
          <cell r="O3124">
            <v>406921.27763407148</v>
          </cell>
          <cell r="P3124">
            <v>189.86869999999999</v>
          </cell>
        </row>
        <row r="3125">
          <cell r="B3125">
            <v>35243</v>
          </cell>
          <cell r="C3125">
            <v>2.58</v>
          </cell>
          <cell r="D3125">
            <v>1.0036</v>
          </cell>
          <cell r="E3125">
            <v>51169</v>
          </cell>
          <cell r="F3125">
            <v>6181.5</v>
          </cell>
          <cell r="J3125">
            <v>1210066.5991891895</v>
          </cell>
          <cell r="K3125">
            <v>1.0036</v>
          </cell>
          <cell r="L3125">
            <v>51169</v>
          </cell>
          <cell r="M3125">
            <v>6181.5</v>
          </cell>
          <cell r="N3125">
            <v>402720.63257073145</v>
          </cell>
          <cell r="O3125">
            <v>406921.27763407148</v>
          </cell>
          <cell r="P3125">
            <v>189.86869999999999</v>
          </cell>
        </row>
        <row r="3126">
          <cell r="B3126">
            <v>35244</v>
          </cell>
          <cell r="C3126">
            <v>2.4900000000000002</v>
          </cell>
          <cell r="D3126">
            <v>1.0044</v>
          </cell>
          <cell r="E3126">
            <v>50869</v>
          </cell>
          <cell r="F3126">
            <v>6043.8</v>
          </cell>
          <cell r="G3126">
            <v>1.22</v>
          </cell>
          <cell r="H3126">
            <v>1.02</v>
          </cell>
          <cell r="I3126">
            <v>191.98220000000001</v>
          </cell>
          <cell r="J3126">
            <v>1211070.9544665166</v>
          </cell>
          <cell r="K3126">
            <v>1.0044</v>
          </cell>
          <cell r="L3126">
            <v>50869</v>
          </cell>
          <cell r="M3126">
            <v>6043.8</v>
          </cell>
          <cell r="N3126">
            <v>407633.82428809436</v>
          </cell>
          <cell r="O3126">
            <v>411071.87466593902</v>
          </cell>
          <cell r="P3126">
            <v>191.98220000000001</v>
          </cell>
        </row>
        <row r="3127">
          <cell r="B3127">
            <v>35247</v>
          </cell>
          <cell r="C3127">
            <v>2.4900000000000002</v>
          </cell>
          <cell r="D3127">
            <v>1.0044999999999999</v>
          </cell>
          <cell r="E3127">
            <v>50982</v>
          </cell>
          <cell r="F3127">
            <v>6156.1</v>
          </cell>
          <cell r="J3127">
            <v>1212076.143358724</v>
          </cell>
          <cell r="K3127">
            <v>1.0044999999999999</v>
          </cell>
          <cell r="L3127">
            <v>50982</v>
          </cell>
          <cell r="M3127">
            <v>6156.1</v>
          </cell>
          <cell r="N3127">
            <v>407633.82428809436</v>
          </cell>
          <cell r="O3127">
            <v>411071.87466593902</v>
          </cell>
          <cell r="P3127">
            <v>191.98220000000001</v>
          </cell>
        </row>
        <row r="3128">
          <cell r="B3128">
            <v>35248</v>
          </cell>
          <cell r="C3128">
            <v>2.4900000000000002</v>
          </cell>
          <cell r="D3128">
            <v>1.0052000000000001</v>
          </cell>
          <cell r="E3128">
            <v>51647</v>
          </cell>
          <cell r="F3128">
            <v>6245.5</v>
          </cell>
          <cell r="J3128">
            <v>1213082.1665577118</v>
          </cell>
          <cell r="K3128">
            <v>1.0052000000000001</v>
          </cell>
          <cell r="L3128">
            <v>51647</v>
          </cell>
          <cell r="M3128">
            <v>6245.5</v>
          </cell>
          <cell r="N3128">
            <v>407633.82428809436</v>
          </cell>
          <cell r="O3128">
            <v>411071.87466593902</v>
          </cell>
          <cell r="P3128">
            <v>191.98220000000001</v>
          </cell>
        </row>
        <row r="3129">
          <cell r="B3129">
            <v>35249</v>
          </cell>
          <cell r="C3129">
            <v>2.4780000000000002</v>
          </cell>
          <cell r="D3129">
            <v>1.0051000000000001</v>
          </cell>
          <cell r="E3129">
            <v>52024</v>
          </cell>
          <cell r="F3129">
            <v>6355.8</v>
          </cell>
          <cell r="J3129">
            <v>1214084.1724272885</v>
          </cell>
          <cell r="K3129">
            <v>1.0051000000000001</v>
          </cell>
          <cell r="L3129">
            <v>52024</v>
          </cell>
          <cell r="M3129">
            <v>6355.8</v>
          </cell>
          <cell r="N3129">
            <v>407633.82428809436</v>
          </cell>
          <cell r="O3129">
            <v>411071.87466593902</v>
          </cell>
          <cell r="P3129">
            <v>191.98220000000001</v>
          </cell>
        </row>
        <row r="3130">
          <cell r="B3130">
            <v>35250</v>
          </cell>
          <cell r="C3130">
            <v>2.4689999999999999</v>
          </cell>
          <cell r="D3130">
            <v>1.0048999999999999</v>
          </cell>
          <cell r="E3130">
            <v>52421</v>
          </cell>
          <cell r="F3130">
            <v>6432</v>
          </cell>
          <cell r="J3130">
            <v>1215083.3637011962</v>
          </cell>
          <cell r="K3130">
            <v>1.0048999999999999</v>
          </cell>
          <cell r="L3130">
            <v>52421</v>
          </cell>
          <cell r="M3130">
            <v>6432</v>
          </cell>
          <cell r="N3130">
            <v>407633.82428809436</v>
          </cell>
          <cell r="O3130">
            <v>411071.87466593902</v>
          </cell>
          <cell r="P3130">
            <v>191.98220000000001</v>
          </cell>
        </row>
        <row r="3131">
          <cell r="B3131">
            <v>35251</v>
          </cell>
          <cell r="C3131">
            <v>2.4780000000000002</v>
          </cell>
          <cell r="D3131">
            <v>1.0048999999999999</v>
          </cell>
          <cell r="E3131">
            <v>52033</v>
          </cell>
          <cell r="F3131">
            <v>6286.4</v>
          </cell>
          <cell r="J3131">
            <v>1216087.0225596132</v>
          </cell>
          <cell r="K3131">
            <v>1.0048999999999999</v>
          </cell>
          <cell r="L3131">
            <v>52033</v>
          </cell>
          <cell r="M3131">
            <v>6286.4</v>
          </cell>
          <cell r="N3131">
            <v>407633.82428809436</v>
          </cell>
          <cell r="O3131">
            <v>411071.87466593902</v>
          </cell>
          <cell r="P3131">
            <v>191.98220000000001</v>
          </cell>
        </row>
        <row r="3132">
          <cell r="B3132">
            <v>35254</v>
          </cell>
          <cell r="C3132">
            <v>2.4689999999999999</v>
          </cell>
          <cell r="D3132">
            <v>1.0048999999999999</v>
          </cell>
          <cell r="E3132">
            <v>51924</v>
          </cell>
          <cell r="F3132">
            <v>6338.7</v>
          </cell>
          <cell r="J3132">
            <v>1217087.8621791799</v>
          </cell>
          <cell r="K3132">
            <v>1.0048999999999999</v>
          </cell>
          <cell r="L3132">
            <v>51924</v>
          </cell>
          <cell r="M3132">
            <v>6338.7</v>
          </cell>
          <cell r="N3132">
            <v>407633.82428809436</v>
          </cell>
          <cell r="O3132">
            <v>411071.87466593902</v>
          </cell>
          <cell r="P3132">
            <v>191.98220000000001</v>
          </cell>
        </row>
        <row r="3133">
          <cell r="B3133">
            <v>35255</v>
          </cell>
          <cell r="C3133">
            <v>2.4689999999999999</v>
          </cell>
          <cell r="D3133">
            <v>1.0055000000000001</v>
          </cell>
          <cell r="E3133">
            <v>52222</v>
          </cell>
          <cell r="F3133">
            <v>6487.9</v>
          </cell>
          <cell r="J3133">
            <v>1218089.5254897533</v>
          </cell>
          <cell r="K3133">
            <v>1.0055000000000001</v>
          </cell>
          <cell r="L3133">
            <v>52222</v>
          </cell>
          <cell r="M3133">
            <v>6487.9</v>
          </cell>
          <cell r="N3133">
            <v>407633.82428809436</v>
          </cell>
          <cell r="O3133">
            <v>411071.87466593902</v>
          </cell>
          <cell r="P3133">
            <v>191.98220000000001</v>
          </cell>
        </row>
        <row r="3134">
          <cell r="B3134">
            <v>35256</v>
          </cell>
          <cell r="C3134">
            <v>2.46</v>
          </cell>
          <cell r="D3134">
            <v>1.0057</v>
          </cell>
          <cell r="E3134">
            <v>51569</v>
          </cell>
          <cell r="F3134">
            <v>6444.7</v>
          </cell>
          <cell r="J3134">
            <v>1219088.3589006551</v>
          </cell>
          <cell r="K3134">
            <v>1.0057</v>
          </cell>
          <cell r="L3134">
            <v>51569</v>
          </cell>
          <cell r="M3134">
            <v>6444.7</v>
          </cell>
          <cell r="N3134">
            <v>407633.82428809436</v>
          </cell>
          <cell r="O3134">
            <v>411071.87466593902</v>
          </cell>
          <cell r="P3134">
            <v>191.98220000000001</v>
          </cell>
        </row>
        <row r="3135">
          <cell r="B3135">
            <v>35257</v>
          </cell>
          <cell r="C3135">
            <v>2.4780000000000002</v>
          </cell>
          <cell r="D3135">
            <v>1.0056</v>
          </cell>
          <cell r="E3135">
            <v>51223</v>
          </cell>
          <cell r="F3135">
            <v>6508.5</v>
          </cell>
          <cell r="J3135">
            <v>1220095.325885107</v>
          </cell>
          <cell r="K3135">
            <v>1.0056</v>
          </cell>
          <cell r="L3135">
            <v>51223</v>
          </cell>
          <cell r="M3135">
            <v>6508.5</v>
          </cell>
          <cell r="N3135">
            <v>407633.82428809436</v>
          </cell>
          <cell r="O3135">
            <v>411071.87466593902</v>
          </cell>
          <cell r="P3135">
            <v>191.98220000000001</v>
          </cell>
        </row>
        <row r="3136">
          <cell r="B3136">
            <v>35258</v>
          </cell>
          <cell r="C3136">
            <v>2.4780000000000002</v>
          </cell>
          <cell r="D3136">
            <v>1.0056</v>
          </cell>
          <cell r="E3136">
            <v>51296</v>
          </cell>
          <cell r="F3136">
            <v>6652.1</v>
          </cell>
          <cell r="J3136">
            <v>1221103.1246242882</v>
          </cell>
          <cell r="K3136">
            <v>1.0056</v>
          </cell>
          <cell r="L3136">
            <v>51296</v>
          </cell>
          <cell r="M3136">
            <v>6652.1</v>
          </cell>
          <cell r="N3136">
            <v>407633.82428809436</v>
          </cell>
          <cell r="O3136">
            <v>411071.87466593902</v>
          </cell>
          <cell r="P3136">
            <v>191.98220000000001</v>
          </cell>
        </row>
        <row r="3137">
          <cell r="B3137">
            <v>35261</v>
          </cell>
          <cell r="C3137">
            <v>2.4689999999999999</v>
          </cell>
          <cell r="D3137">
            <v>1.0062</v>
          </cell>
          <cell r="E3137">
            <v>50763</v>
          </cell>
          <cell r="F3137">
            <v>6432.9</v>
          </cell>
          <cell r="J3137">
            <v>1222108.092495854</v>
          </cell>
          <cell r="K3137">
            <v>1.0062</v>
          </cell>
          <cell r="L3137">
            <v>50763</v>
          </cell>
          <cell r="M3137">
            <v>6432.9</v>
          </cell>
          <cell r="N3137">
            <v>407633.82428809436</v>
          </cell>
          <cell r="O3137">
            <v>411071.87466593902</v>
          </cell>
          <cell r="P3137">
            <v>191.98220000000001</v>
          </cell>
        </row>
        <row r="3138">
          <cell r="B3138">
            <v>35262</v>
          </cell>
          <cell r="C3138">
            <v>2.4689999999999999</v>
          </cell>
          <cell r="D3138">
            <v>1.0065</v>
          </cell>
          <cell r="E3138">
            <v>49775</v>
          </cell>
          <cell r="F3138">
            <v>6293.4</v>
          </cell>
          <cell r="J3138">
            <v>1223113.8874559782</v>
          </cell>
          <cell r="K3138">
            <v>1.0065</v>
          </cell>
          <cell r="L3138">
            <v>49775</v>
          </cell>
          <cell r="M3138">
            <v>6293.4</v>
          </cell>
          <cell r="N3138">
            <v>407633.82428809436</v>
          </cell>
          <cell r="O3138">
            <v>411071.87466593902</v>
          </cell>
          <cell r="P3138">
            <v>191.98220000000001</v>
          </cell>
        </row>
        <row r="3139">
          <cell r="B3139">
            <v>35263</v>
          </cell>
          <cell r="C3139">
            <v>2.4689999999999999</v>
          </cell>
          <cell r="D3139">
            <v>1.0065999999999999</v>
          </cell>
          <cell r="E3139">
            <v>49443</v>
          </cell>
          <cell r="F3139">
            <v>6214.6</v>
          </cell>
          <cell r="J3139">
            <v>1224120.5101853544</v>
          </cell>
          <cell r="K3139">
            <v>1.0065999999999999</v>
          </cell>
          <cell r="L3139">
            <v>49443</v>
          </cell>
          <cell r="M3139">
            <v>6214.6</v>
          </cell>
          <cell r="N3139">
            <v>407633.82428809436</v>
          </cell>
          <cell r="O3139">
            <v>411071.87466593902</v>
          </cell>
          <cell r="P3139">
            <v>191.98220000000001</v>
          </cell>
        </row>
        <row r="3140">
          <cell r="B3140">
            <v>35264</v>
          </cell>
          <cell r="C3140">
            <v>2.46</v>
          </cell>
          <cell r="D3140">
            <v>1.0071000000000001</v>
          </cell>
          <cell r="E3140">
            <v>49426</v>
          </cell>
          <cell r="F3140">
            <v>6188.7</v>
          </cell>
          <cell r="J3140">
            <v>1225124.2890037065</v>
          </cell>
          <cell r="K3140">
            <v>1.0071000000000001</v>
          </cell>
          <cell r="L3140">
            <v>49426</v>
          </cell>
          <cell r="M3140">
            <v>6188.7</v>
          </cell>
          <cell r="N3140">
            <v>407633.82428809436</v>
          </cell>
          <cell r="O3140">
            <v>411071.87466593902</v>
          </cell>
          <cell r="P3140">
            <v>191.98220000000001</v>
          </cell>
        </row>
        <row r="3141">
          <cell r="B3141">
            <v>35265</v>
          </cell>
          <cell r="C3141">
            <v>2.46</v>
          </cell>
          <cell r="D3141">
            <v>1.0075000000000001</v>
          </cell>
          <cell r="E3141">
            <v>49923</v>
          </cell>
          <cell r="F3141">
            <v>6411.6</v>
          </cell>
          <cell r="J3141">
            <v>1226128.8909206896</v>
          </cell>
          <cell r="K3141">
            <v>1.0075000000000001</v>
          </cell>
          <cell r="L3141">
            <v>49923</v>
          </cell>
          <cell r="M3141">
            <v>6411.6</v>
          </cell>
          <cell r="N3141">
            <v>407633.82428809436</v>
          </cell>
          <cell r="O3141">
            <v>411071.87466593902</v>
          </cell>
          <cell r="P3141">
            <v>191.98220000000001</v>
          </cell>
        </row>
        <row r="3142">
          <cell r="B3142">
            <v>35268</v>
          </cell>
          <cell r="C3142">
            <v>2.46</v>
          </cell>
          <cell r="D3142">
            <v>1.0077</v>
          </cell>
          <cell r="E3142">
            <v>49664</v>
          </cell>
          <cell r="F3142">
            <v>6299.1</v>
          </cell>
          <cell r="J3142">
            <v>1227134.3166112446</v>
          </cell>
          <cell r="K3142">
            <v>1.0077</v>
          </cell>
          <cell r="L3142">
            <v>49664</v>
          </cell>
          <cell r="M3142">
            <v>6299.1</v>
          </cell>
          <cell r="N3142">
            <v>407633.82428809436</v>
          </cell>
          <cell r="O3142">
            <v>411071.87466593902</v>
          </cell>
          <cell r="P3142">
            <v>191.98220000000001</v>
          </cell>
        </row>
        <row r="3143">
          <cell r="B3143">
            <v>35269</v>
          </cell>
          <cell r="C3143">
            <v>2.46</v>
          </cell>
          <cell r="D3143">
            <v>1.0078</v>
          </cell>
          <cell r="E3143">
            <v>49331</v>
          </cell>
          <cell r="F3143">
            <v>6222.5</v>
          </cell>
          <cell r="J3143">
            <v>1228140.5667508659</v>
          </cell>
          <cell r="K3143">
            <v>1.0078</v>
          </cell>
          <cell r="L3143">
            <v>49331</v>
          </cell>
          <cell r="M3143">
            <v>6222.5</v>
          </cell>
          <cell r="N3143">
            <v>407633.82428809436</v>
          </cell>
          <cell r="O3143">
            <v>411071.87466593902</v>
          </cell>
          <cell r="P3143">
            <v>191.98220000000001</v>
          </cell>
        </row>
        <row r="3144">
          <cell r="B3144">
            <v>35270</v>
          </cell>
          <cell r="C3144">
            <v>2.46</v>
          </cell>
          <cell r="D3144">
            <v>1.0085999999999999</v>
          </cell>
          <cell r="E3144">
            <v>48613</v>
          </cell>
          <cell r="F3144">
            <v>6050.9</v>
          </cell>
          <cell r="J3144">
            <v>1229147.6420156017</v>
          </cell>
          <cell r="K3144">
            <v>1.0085999999999999</v>
          </cell>
          <cell r="L3144">
            <v>48613</v>
          </cell>
          <cell r="M3144">
            <v>6050.9</v>
          </cell>
          <cell r="N3144">
            <v>407633.82428809436</v>
          </cell>
          <cell r="O3144">
            <v>411071.87466593902</v>
          </cell>
          <cell r="P3144">
            <v>191.98220000000001</v>
          </cell>
        </row>
        <row r="3145">
          <cell r="B3145">
            <v>35271</v>
          </cell>
          <cell r="C3145">
            <v>2.46</v>
          </cell>
          <cell r="D3145">
            <v>1.0087999999999999</v>
          </cell>
          <cell r="E3145">
            <v>48171</v>
          </cell>
          <cell r="F3145">
            <v>6096.3</v>
          </cell>
          <cell r="J3145">
            <v>1230155.5430820545</v>
          </cell>
          <cell r="K3145">
            <v>1.0087999999999999</v>
          </cell>
          <cell r="L3145">
            <v>48171</v>
          </cell>
          <cell r="M3145">
            <v>6096.3</v>
          </cell>
          <cell r="N3145">
            <v>407633.82428809436</v>
          </cell>
          <cell r="O3145">
            <v>411071.87466593902</v>
          </cell>
          <cell r="P3145">
            <v>191.98220000000001</v>
          </cell>
        </row>
        <row r="3146">
          <cell r="B3146">
            <v>35272</v>
          </cell>
          <cell r="C3146">
            <v>2.46</v>
          </cell>
          <cell r="D3146">
            <v>1.0092000000000001</v>
          </cell>
          <cell r="E3146">
            <v>47852</v>
          </cell>
          <cell r="F3146">
            <v>5968.4</v>
          </cell>
          <cell r="J3146">
            <v>1231164.2706273817</v>
          </cell>
          <cell r="K3146">
            <v>1.0092000000000001</v>
          </cell>
          <cell r="L3146">
            <v>47852</v>
          </cell>
          <cell r="M3146">
            <v>5968.4</v>
          </cell>
          <cell r="N3146">
            <v>407633.82428809436</v>
          </cell>
          <cell r="O3146">
            <v>411071.87466593902</v>
          </cell>
          <cell r="P3146">
            <v>191.98220000000001</v>
          </cell>
        </row>
        <row r="3147">
          <cell r="B3147">
            <v>35275</v>
          </cell>
          <cell r="C3147">
            <v>2.46</v>
          </cell>
          <cell r="D3147">
            <v>1.0099</v>
          </cell>
          <cell r="E3147">
            <v>47382</v>
          </cell>
          <cell r="F3147">
            <v>5909.3</v>
          </cell>
          <cell r="J3147">
            <v>1232173.8253292963</v>
          </cell>
          <cell r="K3147">
            <v>1.0099</v>
          </cell>
          <cell r="L3147">
            <v>47382</v>
          </cell>
          <cell r="M3147">
            <v>5909.3</v>
          </cell>
          <cell r="N3147">
            <v>407633.82428809436</v>
          </cell>
          <cell r="O3147">
            <v>411071.87466593902</v>
          </cell>
          <cell r="P3147">
            <v>191.98220000000001</v>
          </cell>
        </row>
        <row r="3148">
          <cell r="B3148">
            <v>35276</v>
          </cell>
          <cell r="C3148">
            <v>2.46</v>
          </cell>
          <cell r="D3148">
            <v>1.0106999999999999</v>
          </cell>
          <cell r="E3148">
            <v>47838</v>
          </cell>
          <cell r="F3148">
            <v>6143.3</v>
          </cell>
          <cell r="J3148">
            <v>1233184.2078660664</v>
          </cell>
          <cell r="K3148">
            <v>1.0106999999999999</v>
          </cell>
          <cell r="L3148">
            <v>47838</v>
          </cell>
          <cell r="M3148">
            <v>6143.3</v>
          </cell>
          <cell r="N3148">
            <v>407633.82428809436</v>
          </cell>
          <cell r="O3148">
            <v>411071.87466593902</v>
          </cell>
          <cell r="P3148">
            <v>191.98220000000001</v>
          </cell>
        </row>
        <row r="3149">
          <cell r="B3149">
            <v>35277</v>
          </cell>
          <cell r="C3149">
            <v>2.5710000000000002</v>
          </cell>
          <cell r="D3149">
            <v>1.0112000000000001</v>
          </cell>
          <cell r="E3149">
            <v>48423</v>
          </cell>
          <cell r="F3149">
            <v>6123.2</v>
          </cell>
          <cell r="G3149">
            <v>1.0900000000000001</v>
          </cell>
          <cell r="H3149">
            <v>1.35</v>
          </cell>
          <cell r="I3149">
            <v>194.07060000000001</v>
          </cell>
          <cell r="J3149">
            <v>1234241.0467322078</v>
          </cell>
          <cell r="K3149">
            <v>1.0112000000000001</v>
          </cell>
          <cell r="L3149">
            <v>48423</v>
          </cell>
          <cell r="M3149">
            <v>6123.2</v>
          </cell>
          <cell r="N3149">
            <v>412077.03297283454</v>
          </cell>
          <cell r="O3149">
            <v>416621.34497392923</v>
          </cell>
          <cell r="P3149">
            <v>194.07060000000001</v>
          </cell>
        </row>
        <row r="3150">
          <cell r="B3150">
            <v>35278</v>
          </cell>
          <cell r="C3150">
            <v>2.58</v>
          </cell>
          <cell r="D3150">
            <v>1.0107999999999999</v>
          </cell>
          <cell r="E3150">
            <v>48405</v>
          </cell>
          <cell r="F3150">
            <v>6277.3</v>
          </cell>
          <cell r="J3150">
            <v>1235302.4940323976</v>
          </cell>
          <cell r="K3150">
            <v>1.0107999999999999</v>
          </cell>
          <cell r="L3150">
            <v>48405</v>
          </cell>
          <cell r="M3150">
            <v>6277.3</v>
          </cell>
          <cell r="N3150">
            <v>412077.03297283454</v>
          </cell>
          <cell r="O3150">
            <v>416621.34497392923</v>
          </cell>
          <cell r="P3150">
            <v>194.07060000000001</v>
          </cell>
        </row>
        <row r="3151">
          <cell r="B3151">
            <v>35279</v>
          </cell>
          <cell r="C3151">
            <v>2.6190000000000002</v>
          </cell>
          <cell r="D3151">
            <v>1.0104</v>
          </cell>
          <cell r="E3151">
            <v>48677</v>
          </cell>
          <cell r="F3151">
            <v>6363.5</v>
          </cell>
          <cell r="J3151">
            <v>1236380.9131096879</v>
          </cell>
          <cell r="K3151">
            <v>1.0104</v>
          </cell>
          <cell r="L3151">
            <v>48677</v>
          </cell>
          <cell r="M3151">
            <v>6363.5</v>
          </cell>
          <cell r="N3151">
            <v>412077.03297283454</v>
          </cell>
          <cell r="O3151">
            <v>416621.34497392923</v>
          </cell>
          <cell r="P3151">
            <v>194.07060000000001</v>
          </cell>
        </row>
        <row r="3152">
          <cell r="B3152">
            <v>35282</v>
          </cell>
          <cell r="C3152">
            <v>2.7</v>
          </cell>
          <cell r="D3152">
            <v>1.0101</v>
          </cell>
          <cell r="E3152">
            <v>48203</v>
          </cell>
          <cell r="F3152">
            <v>6244.1</v>
          </cell>
          <cell r="J3152">
            <v>1237493.6559314865</v>
          </cell>
          <cell r="K3152">
            <v>1.0101</v>
          </cell>
          <cell r="L3152">
            <v>48203</v>
          </cell>
          <cell r="M3152">
            <v>6244.1</v>
          </cell>
          <cell r="N3152">
            <v>412077.03297283454</v>
          </cell>
          <cell r="O3152">
            <v>416621.34497392923</v>
          </cell>
          <cell r="P3152">
            <v>194.07060000000001</v>
          </cell>
        </row>
        <row r="3153">
          <cell r="B3153">
            <v>35283</v>
          </cell>
          <cell r="C3153">
            <v>2.67</v>
          </cell>
          <cell r="D3153">
            <v>1.0106999999999999</v>
          </cell>
          <cell r="E3153">
            <v>47800</v>
          </cell>
          <cell r="F3153">
            <v>6130.7</v>
          </cell>
          <cell r="J3153">
            <v>1238595.0252852656</v>
          </cell>
          <cell r="K3153">
            <v>1.0106999999999999</v>
          </cell>
          <cell r="L3153">
            <v>47800</v>
          </cell>
          <cell r="M3153">
            <v>6130.7</v>
          </cell>
          <cell r="N3153">
            <v>412077.03297283454</v>
          </cell>
          <cell r="O3153">
            <v>416621.34497392923</v>
          </cell>
          <cell r="P3153">
            <v>194.07060000000001</v>
          </cell>
        </row>
        <row r="3154">
          <cell r="B3154">
            <v>35284</v>
          </cell>
          <cell r="C3154">
            <v>2.6789999999999998</v>
          </cell>
          <cell r="D3154">
            <v>1.0116000000000001</v>
          </cell>
          <cell r="E3154">
            <v>48047</v>
          </cell>
          <cell r="F3154">
            <v>6165.2</v>
          </cell>
          <cell r="J3154">
            <v>1239701.0906428455</v>
          </cell>
          <cell r="K3154">
            <v>1.0116000000000001</v>
          </cell>
          <cell r="L3154">
            <v>48047</v>
          </cell>
          <cell r="M3154">
            <v>6165.2</v>
          </cell>
          <cell r="N3154">
            <v>412077.03297283454</v>
          </cell>
          <cell r="O3154">
            <v>416621.34497392923</v>
          </cell>
          <cell r="P3154">
            <v>194.07060000000001</v>
          </cell>
        </row>
        <row r="3155">
          <cell r="B3155">
            <v>35285</v>
          </cell>
          <cell r="C3155">
            <v>2.6789999999999998</v>
          </cell>
          <cell r="D3155">
            <v>1.0116000000000001</v>
          </cell>
          <cell r="E3155">
            <v>48515</v>
          </cell>
          <cell r="F3155">
            <v>6257.2</v>
          </cell>
          <cell r="J3155">
            <v>1240808.1437167895</v>
          </cell>
          <cell r="K3155">
            <v>1.0116000000000001</v>
          </cell>
          <cell r="L3155">
            <v>48515</v>
          </cell>
          <cell r="M3155">
            <v>6257.2</v>
          </cell>
          <cell r="N3155">
            <v>412077.03297283454</v>
          </cell>
          <cell r="O3155">
            <v>416621.34497392923</v>
          </cell>
          <cell r="P3155">
            <v>194.07060000000001</v>
          </cell>
        </row>
        <row r="3156">
          <cell r="B3156">
            <v>35286</v>
          </cell>
          <cell r="C3156">
            <v>2.6789999999999998</v>
          </cell>
          <cell r="D3156">
            <v>1.0119</v>
          </cell>
          <cell r="E3156">
            <v>48817</v>
          </cell>
          <cell r="F3156">
            <v>6222.7</v>
          </cell>
          <cell r="J3156">
            <v>1241916.1853891287</v>
          </cell>
          <cell r="K3156">
            <v>1.0119</v>
          </cell>
          <cell r="L3156">
            <v>48817</v>
          </cell>
          <cell r="M3156">
            <v>6222.7</v>
          </cell>
          <cell r="N3156">
            <v>412077.03297283454</v>
          </cell>
          <cell r="O3156">
            <v>416621.34497392923</v>
          </cell>
          <cell r="P3156">
            <v>194.07060000000001</v>
          </cell>
        </row>
        <row r="3157">
          <cell r="B3157">
            <v>35289</v>
          </cell>
          <cell r="C3157">
            <v>2.6789999999999998</v>
          </cell>
          <cell r="D3157">
            <v>1.0122</v>
          </cell>
          <cell r="E3157">
            <v>49059</v>
          </cell>
          <cell r="F3157">
            <v>6304.1</v>
          </cell>
          <cell r="J3157">
            <v>1243025.2165426812</v>
          </cell>
          <cell r="K3157">
            <v>1.0122</v>
          </cell>
          <cell r="L3157">
            <v>49059</v>
          </cell>
          <cell r="M3157">
            <v>6304.1</v>
          </cell>
          <cell r="N3157">
            <v>412077.03297283454</v>
          </cell>
          <cell r="O3157">
            <v>416621.34497392923</v>
          </cell>
          <cell r="P3157">
            <v>194.07060000000001</v>
          </cell>
        </row>
        <row r="3158">
          <cell r="B3158">
            <v>35290</v>
          </cell>
          <cell r="C3158">
            <v>2.6789999999999998</v>
          </cell>
          <cell r="D3158">
            <v>1.0125999999999999</v>
          </cell>
          <cell r="E3158">
            <v>48817</v>
          </cell>
          <cell r="F3158">
            <v>6227.7</v>
          </cell>
          <cell r="J3158">
            <v>1244135.2380610539</v>
          </cell>
          <cell r="K3158">
            <v>1.0125999999999999</v>
          </cell>
          <cell r="L3158">
            <v>48817</v>
          </cell>
          <cell r="M3158">
            <v>6227.7</v>
          </cell>
          <cell r="N3158">
            <v>412077.03297283454</v>
          </cell>
          <cell r="O3158">
            <v>416621.34497392923</v>
          </cell>
          <cell r="P3158">
            <v>194.07060000000001</v>
          </cell>
        </row>
        <row r="3159">
          <cell r="B3159">
            <v>35291</v>
          </cell>
          <cell r="C3159">
            <v>2.6789999999999998</v>
          </cell>
          <cell r="D3159">
            <v>1.0128999999999999</v>
          </cell>
          <cell r="E3159">
            <v>48733</v>
          </cell>
          <cell r="F3159">
            <v>6227.1</v>
          </cell>
          <cell r="J3159">
            <v>1245246.2508286424</v>
          </cell>
          <cell r="K3159">
            <v>1.0128999999999999</v>
          </cell>
          <cell r="L3159">
            <v>48733</v>
          </cell>
          <cell r="M3159">
            <v>6227.1</v>
          </cell>
          <cell r="N3159">
            <v>412077.03297283454</v>
          </cell>
          <cell r="O3159">
            <v>416621.34497392923</v>
          </cell>
          <cell r="P3159">
            <v>194.07060000000001</v>
          </cell>
        </row>
        <row r="3160">
          <cell r="B3160">
            <v>35292</v>
          </cell>
          <cell r="C3160">
            <v>2.6789999999999998</v>
          </cell>
          <cell r="D3160">
            <v>1.0129999999999999</v>
          </cell>
          <cell r="E3160">
            <v>49032</v>
          </cell>
          <cell r="F3160">
            <v>6348.4</v>
          </cell>
          <cell r="J3160">
            <v>1246358.2557306325</v>
          </cell>
          <cell r="K3160">
            <v>1.0129999999999999</v>
          </cell>
          <cell r="L3160">
            <v>49032</v>
          </cell>
          <cell r="M3160">
            <v>6348.4</v>
          </cell>
          <cell r="N3160">
            <v>412077.03297283454</v>
          </cell>
          <cell r="O3160">
            <v>416621.34497392923</v>
          </cell>
          <cell r="P3160">
            <v>194.07060000000001</v>
          </cell>
        </row>
        <row r="3161">
          <cell r="B3161">
            <v>35293</v>
          </cell>
          <cell r="C3161">
            <v>2.6789999999999998</v>
          </cell>
          <cell r="D3161">
            <v>1.0135000000000001</v>
          </cell>
          <cell r="E3161">
            <v>49020</v>
          </cell>
          <cell r="F3161">
            <v>6352.8</v>
          </cell>
          <cell r="J3161">
            <v>1247471.2536529999</v>
          </cell>
          <cell r="K3161">
            <v>1.0135000000000001</v>
          </cell>
          <cell r="L3161">
            <v>49020</v>
          </cell>
          <cell r="M3161">
            <v>6352.8</v>
          </cell>
          <cell r="N3161">
            <v>412077.03297283454</v>
          </cell>
          <cell r="O3161">
            <v>416621.34497392923</v>
          </cell>
          <cell r="P3161">
            <v>194.07060000000001</v>
          </cell>
        </row>
        <row r="3162">
          <cell r="B3162">
            <v>35296</v>
          </cell>
          <cell r="C3162">
            <v>2.6789999999999998</v>
          </cell>
          <cell r="D3162">
            <v>1.0136000000000001</v>
          </cell>
          <cell r="E3162">
            <v>48557</v>
          </cell>
          <cell r="F3162">
            <v>6292.1</v>
          </cell>
          <cell r="J3162">
            <v>1248585.2454825121</v>
          </cell>
          <cell r="K3162">
            <v>1.0136000000000001</v>
          </cell>
          <cell r="L3162">
            <v>48557</v>
          </cell>
          <cell r="M3162">
            <v>6292.1</v>
          </cell>
          <cell r="N3162">
            <v>412077.03297283454</v>
          </cell>
          <cell r="O3162">
            <v>416621.34497392923</v>
          </cell>
          <cell r="P3162">
            <v>194.07060000000001</v>
          </cell>
        </row>
        <row r="3163">
          <cell r="B3163">
            <v>35297</v>
          </cell>
          <cell r="C3163">
            <v>2.6579999999999999</v>
          </cell>
          <cell r="D3163">
            <v>1.0144</v>
          </cell>
          <cell r="E3163">
            <v>48508</v>
          </cell>
          <cell r="F3163">
            <v>6337.1</v>
          </cell>
          <cell r="J3163">
            <v>1249691.4920100095</v>
          </cell>
          <cell r="K3163">
            <v>1.0144</v>
          </cell>
          <cell r="L3163">
            <v>48508</v>
          </cell>
          <cell r="M3163">
            <v>6337.1</v>
          </cell>
          <cell r="N3163">
            <v>412077.03297283454</v>
          </cell>
          <cell r="O3163">
            <v>416621.34497392923</v>
          </cell>
          <cell r="P3163">
            <v>194.07060000000001</v>
          </cell>
        </row>
        <row r="3164">
          <cell r="B3164">
            <v>35298</v>
          </cell>
          <cell r="C3164">
            <v>2.6190000000000002</v>
          </cell>
          <cell r="D3164">
            <v>1.0146999999999999</v>
          </cell>
          <cell r="E3164">
            <v>48220</v>
          </cell>
          <cell r="F3164">
            <v>6314.7</v>
          </cell>
          <cell r="J3164">
            <v>1250782.472682534</v>
          </cell>
          <cell r="K3164">
            <v>1.0146999999999999</v>
          </cell>
          <cell r="L3164">
            <v>48220</v>
          </cell>
          <cell r="M3164">
            <v>6314.7</v>
          </cell>
          <cell r="N3164">
            <v>412077.03297283454</v>
          </cell>
          <cell r="O3164">
            <v>416621.34497392923</v>
          </cell>
          <cell r="P3164">
            <v>194.07060000000001</v>
          </cell>
        </row>
        <row r="3165">
          <cell r="B3165">
            <v>35299</v>
          </cell>
          <cell r="C3165">
            <v>2.589</v>
          </cell>
          <cell r="D3165">
            <v>1.0147999999999999</v>
          </cell>
          <cell r="E3165">
            <v>47882</v>
          </cell>
          <cell r="F3165">
            <v>6248.9</v>
          </cell>
          <cell r="J3165">
            <v>1251861.8979564591</v>
          </cell>
          <cell r="K3165">
            <v>1.0147999999999999</v>
          </cell>
          <cell r="L3165">
            <v>47882</v>
          </cell>
          <cell r="M3165">
            <v>6248.9</v>
          </cell>
          <cell r="N3165">
            <v>412077.03297283454</v>
          </cell>
          <cell r="O3165">
            <v>416621.34497392923</v>
          </cell>
          <cell r="P3165">
            <v>194.07060000000001</v>
          </cell>
        </row>
        <row r="3166">
          <cell r="B3166">
            <v>35300</v>
          </cell>
          <cell r="C3166">
            <v>2.58</v>
          </cell>
          <cell r="D3166">
            <v>1.0153000000000001</v>
          </cell>
          <cell r="E3166">
            <v>47768</v>
          </cell>
          <cell r="F3166">
            <v>6202.7</v>
          </cell>
          <cell r="J3166">
            <v>1252938.4991887019</v>
          </cell>
          <cell r="K3166">
            <v>1.0153000000000001</v>
          </cell>
          <cell r="L3166">
            <v>47768</v>
          </cell>
          <cell r="M3166">
            <v>6202.7</v>
          </cell>
          <cell r="N3166">
            <v>412077.03297283454</v>
          </cell>
          <cell r="O3166">
            <v>416621.34497392923</v>
          </cell>
          <cell r="P3166">
            <v>194.07060000000001</v>
          </cell>
        </row>
        <row r="3167">
          <cell r="B3167">
            <v>35303</v>
          </cell>
          <cell r="C3167">
            <v>2.5680000000000001</v>
          </cell>
          <cell r="D3167">
            <v>1.0155000000000001</v>
          </cell>
          <cell r="E3167">
            <v>47462</v>
          </cell>
          <cell r="F3167">
            <v>6028</v>
          </cell>
          <cell r="J3167">
            <v>1254011.0145440074</v>
          </cell>
          <cell r="K3167">
            <v>1.0155000000000001</v>
          </cell>
          <cell r="L3167">
            <v>47462</v>
          </cell>
          <cell r="M3167">
            <v>6028</v>
          </cell>
          <cell r="N3167">
            <v>412077.03297283454</v>
          </cell>
          <cell r="O3167">
            <v>416621.34497392923</v>
          </cell>
          <cell r="P3167">
            <v>194.07060000000001</v>
          </cell>
        </row>
        <row r="3168">
          <cell r="B3168">
            <v>35304</v>
          </cell>
          <cell r="C3168">
            <v>2.58</v>
          </cell>
          <cell r="D3168">
            <v>1.0159</v>
          </cell>
          <cell r="E3168">
            <v>47900</v>
          </cell>
          <cell r="F3168">
            <v>6126.1</v>
          </cell>
          <cell r="J3168">
            <v>1255089.4640165153</v>
          </cell>
          <cell r="K3168">
            <v>1.0159</v>
          </cell>
          <cell r="L3168">
            <v>47900</v>
          </cell>
          <cell r="M3168">
            <v>6126.1</v>
          </cell>
          <cell r="N3168">
            <v>412077.03297283454</v>
          </cell>
          <cell r="O3168">
            <v>416621.34497392923</v>
          </cell>
          <cell r="P3168">
            <v>194.07060000000001</v>
          </cell>
        </row>
        <row r="3169">
          <cell r="B3169">
            <v>35305</v>
          </cell>
          <cell r="C3169">
            <v>2.5680000000000001</v>
          </cell>
          <cell r="D3169">
            <v>1.0161</v>
          </cell>
          <cell r="E3169">
            <v>48493</v>
          </cell>
          <cell r="F3169">
            <v>6294.7</v>
          </cell>
          <cell r="J3169">
            <v>1256163.8205977133</v>
          </cell>
          <cell r="K3169">
            <v>1.0161</v>
          </cell>
          <cell r="L3169">
            <v>48493</v>
          </cell>
          <cell r="M3169">
            <v>6294.7</v>
          </cell>
          <cell r="N3169">
            <v>412077.03297283454</v>
          </cell>
          <cell r="O3169">
            <v>416621.34497392923</v>
          </cell>
          <cell r="P3169">
            <v>194.07060000000001</v>
          </cell>
        </row>
        <row r="3170">
          <cell r="B3170">
            <v>35306</v>
          </cell>
          <cell r="C3170">
            <v>2.5680000000000001</v>
          </cell>
          <cell r="D3170">
            <v>1.0166999999999999</v>
          </cell>
          <cell r="E3170">
            <v>48419</v>
          </cell>
          <cell r="F3170">
            <v>6270</v>
          </cell>
          <cell r="J3170">
            <v>1257239.096828145</v>
          </cell>
          <cell r="K3170">
            <v>1.0166999999999999</v>
          </cell>
          <cell r="L3170">
            <v>48419</v>
          </cell>
          <cell r="M3170">
            <v>6270</v>
          </cell>
          <cell r="N3170">
            <v>412077.03297283454</v>
          </cell>
          <cell r="O3170">
            <v>416621.34497392923</v>
          </cell>
          <cell r="P3170">
            <v>194.07060000000001</v>
          </cell>
        </row>
        <row r="3171">
          <cell r="B3171">
            <v>35307</v>
          </cell>
          <cell r="C3171">
            <v>2.6190000000000002</v>
          </cell>
          <cell r="D3171">
            <v>1.0168999999999999</v>
          </cell>
          <cell r="E3171">
            <v>48586</v>
          </cell>
          <cell r="F3171">
            <v>6259.4</v>
          </cell>
          <cell r="G3171">
            <v>4.0000000000000001E-3</v>
          </cell>
          <cell r="H3171">
            <v>0.28000000000000003</v>
          </cell>
          <cell r="I3171">
            <v>196.26499999999999</v>
          </cell>
          <cell r="J3171">
            <v>1258336.6665596757</v>
          </cell>
          <cell r="K3171">
            <v>1.0168999999999999</v>
          </cell>
          <cell r="L3171">
            <v>48586</v>
          </cell>
          <cell r="M3171">
            <v>6259.4</v>
          </cell>
          <cell r="N3171">
            <v>412093.51605415344</v>
          </cell>
          <cell r="O3171">
            <v>417787.88473985618</v>
          </cell>
          <cell r="P3171">
            <v>196.26499999999999</v>
          </cell>
        </row>
        <row r="3172">
          <cell r="B3172">
            <v>35310</v>
          </cell>
          <cell r="C3172">
            <v>2.6190000000000002</v>
          </cell>
          <cell r="D3172">
            <v>1.0165</v>
          </cell>
          <cell r="E3172">
            <v>48343</v>
          </cell>
          <cell r="F3172">
            <v>6232.5</v>
          </cell>
          <cell r="J3172">
            <v>1259435.1944695823</v>
          </cell>
          <cell r="K3172">
            <v>1.0165</v>
          </cell>
          <cell r="L3172">
            <v>48343</v>
          </cell>
          <cell r="M3172">
            <v>6232.5</v>
          </cell>
          <cell r="N3172">
            <v>412093.51605415344</v>
          </cell>
          <cell r="O3172">
            <v>417787.88473985618</v>
          </cell>
          <cell r="P3172">
            <v>196.26499999999999</v>
          </cell>
        </row>
        <row r="3173">
          <cell r="B3173">
            <v>35311</v>
          </cell>
          <cell r="C3173">
            <v>2.6579999999999999</v>
          </cell>
          <cell r="D3173">
            <v>1.0166999999999999</v>
          </cell>
          <cell r="E3173">
            <v>48420</v>
          </cell>
          <cell r="F3173">
            <v>6270</v>
          </cell>
          <cell r="J3173">
            <v>1260551.0540518824</v>
          </cell>
          <cell r="K3173">
            <v>1.0166999999999999</v>
          </cell>
          <cell r="L3173">
            <v>48420</v>
          </cell>
          <cell r="M3173">
            <v>6270</v>
          </cell>
          <cell r="N3173">
            <v>412093.51605415344</v>
          </cell>
          <cell r="O3173">
            <v>417787.88473985618</v>
          </cell>
          <cell r="P3173">
            <v>196.26499999999999</v>
          </cell>
        </row>
        <row r="3174">
          <cell r="B3174">
            <v>35312</v>
          </cell>
          <cell r="C3174">
            <v>2.649</v>
          </cell>
          <cell r="D3174">
            <v>1.0172000000000001</v>
          </cell>
          <cell r="E3174">
            <v>48296</v>
          </cell>
          <cell r="F3174">
            <v>6276.8</v>
          </cell>
          <cell r="J3174">
            <v>1261664.1206326101</v>
          </cell>
          <cell r="K3174">
            <v>1.0172000000000001</v>
          </cell>
          <cell r="L3174">
            <v>48296</v>
          </cell>
          <cell r="M3174">
            <v>6276.8</v>
          </cell>
          <cell r="N3174">
            <v>412093.51605415344</v>
          </cell>
          <cell r="O3174">
            <v>417787.88473985618</v>
          </cell>
          <cell r="P3174">
            <v>196.26499999999999</v>
          </cell>
        </row>
        <row r="3175">
          <cell r="B3175">
            <v>35313</v>
          </cell>
          <cell r="C3175">
            <v>2.649</v>
          </cell>
          <cell r="D3175">
            <v>1.0174000000000001</v>
          </cell>
          <cell r="E3175">
            <v>48293</v>
          </cell>
          <cell r="F3175">
            <v>6254</v>
          </cell>
          <cell r="J3175">
            <v>1262778.1700511286</v>
          </cell>
          <cell r="K3175">
            <v>1.0174000000000001</v>
          </cell>
          <cell r="L3175">
            <v>48293</v>
          </cell>
          <cell r="M3175">
            <v>6254</v>
          </cell>
          <cell r="N3175">
            <v>412093.51605415344</v>
          </cell>
          <cell r="O3175">
            <v>417787.88473985618</v>
          </cell>
          <cell r="P3175">
            <v>196.26499999999999</v>
          </cell>
        </row>
        <row r="3176">
          <cell r="B3176">
            <v>35314</v>
          </cell>
          <cell r="C3176">
            <v>2.6579999999999999</v>
          </cell>
          <cell r="D3176">
            <v>1.0179</v>
          </cell>
          <cell r="E3176">
            <v>48464</v>
          </cell>
          <cell r="F3176">
            <v>6334.6</v>
          </cell>
          <cell r="J3176">
            <v>1263896.9915097938</v>
          </cell>
          <cell r="K3176">
            <v>1.0179</v>
          </cell>
          <cell r="L3176">
            <v>48464</v>
          </cell>
          <cell r="M3176">
            <v>6334.6</v>
          </cell>
          <cell r="N3176">
            <v>412093.51605415344</v>
          </cell>
          <cell r="O3176">
            <v>417787.88473985618</v>
          </cell>
          <cell r="P3176">
            <v>196.26499999999999</v>
          </cell>
        </row>
        <row r="3177">
          <cell r="B3177">
            <v>35317</v>
          </cell>
          <cell r="C3177">
            <v>2.6579999999999999</v>
          </cell>
          <cell r="D3177">
            <v>1.0189999999999999</v>
          </cell>
          <cell r="E3177">
            <v>48698</v>
          </cell>
          <cell r="F3177">
            <v>6382.7</v>
          </cell>
          <cell r="J3177">
            <v>1265016.8042442715</v>
          </cell>
          <cell r="K3177">
            <v>1.0189999999999999</v>
          </cell>
          <cell r="L3177">
            <v>48698</v>
          </cell>
          <cell r="M3177">
            <v>6382.7</v>
          </cell>
          <cell r="N3177">
            <v>412093.51605415344</v>
          </cell>
          <cell r="O3177">
            <v>417787.88473985618</v>
          </cell>
          <cell r="P3177">
            <v>196.26499999999999</v>
          </cell>
        </row>
        <row r="3178">
          <cell r="B3178">
            <v>35318</v>
          </cell>
          <cell r="C3178">
            <v>2.67</v>
          </cell>
          <cell r="D3178">
            <v>1.0202</v>
          </cell>
          <cell r="E3178">
            <v>48483</v>
          </cell>
          <cell r="F3178">
            <v>6415.7</v>
          </cell>
          <cell r="J3178">
            <v>1266142.669200049</v>
          </cell>
          <cell r="K3178">
            <v>1.0202</v>
          </cell>
          <cell r="L3178">
            <v>48483</v>
          </cell>
          <cell r="M3178">
            <v>6415.7</v>
          </cell>
          <cell r="N3178">
            <v>412093.51605415344</v>
          </cell>
          <cell r="O3178">
            <v>417787.88473985618</v>
          </cell>
          <cell r="P3178">
            <v>196.26499999999999</v>
          </cell>
        </row>
        <row r="3179">
          <cell r="B3179">
            <v>35319</v>
          </cell>
          <cell r="C3179">
            <v>2.6880000000000002</v>
          </cell>
          <cell r="D3179">
            <v>1.0187999999999999</v>
          </cell>
          <cell r="E3179">
            <v>48319</v>
          </cell>
          <cell r="F3179">
            <v>6358</v>
          </cell>
          <cell r="J3179">
            <v>1267277.1330316523</v>
          </cell>
          <cell r="K3179">
            <v>1.0187999999999999</v>
          </cell>
          <cell r="L3179">
            <v>48319</v>
          </cell>
          <cell r="M3179">
            <v>6358</v>
          </cell>
          <cell r="N3179">
            <v>412093.51605415344</v>
          </cell>
          <cell r="O3179">
            <v>417787.88473985618</v>
          </cell>
          <cell r="P3179">
            <v>196.26499999999999</v>
          </cell>
        </row>
        <row r="3180">
          <cell r="B3180">
            <v>35320</v>
          </cell>
          <cell r="C3180">
            <v>2.7690000000000001</v>
          </cell>
          <cell r="D3180">
            <v>1.0197000000000001</v>
          </cell>
          <cell r="E3180">
            <v>48454</v>
          </cell>
          <cell r="F3180">
            <v>6390.9</v>
          </cell>
          <cell r="J3180">
            <v>1268446.8298254404</v>
          </cell>
          <cell r="K3180">
            <v>1.0197000000000001</v>
          </cell>
          <cell r="L3180">
            <v>48454</v>
          </cell>
          <cell r="M3180">
            <v>6390.9</v>
          </cell>
          <cell r="N3180">
            <v>412093.51605415344</v>
          </cell>
          <cell r="O3180">
            <v>417787.88473985618</v>
          </cell>
          <cell r="P3180">
            <v>196.26499999999999</v>
          </cell>
        </row>
        <row r="3181">
          <cell r="B3181">
            <v>35321</v>
          </cell>
          <cell r="C3181">
            <v>2.7690000000000001</v>
          </cell>
          <cell r="D3181">
            <v>1.02</v>
          </cell>
          <cell r="E3181">
            <v>48483</v>
          </cell>
          <cell r="F3181">
            <v>6464.2</v>
          </cell>
          <cell r="J3181">
            <v>1269617.6062493692</v>
          </cell>
          <cell r="K3181">
            <v>1.02</v>
          </cell>
          <cell r="L3181">
            <v>48483</v>
          </cell>
          <cell r="M3181">
            <v>6464.2</v>
          </cell>
          <cell r="N3181">
            <v>412093.51605415344</v>
          </cell>
          <cell r="O3181">
            <v>417787.88473985618</v>
          </cell>
          <cell r="P3181">
            <v>196.26499999999999</v>
          </cell>
        </row>
        <row r="3182">
          <cell r="B3182">
            <v>35324</v>
          </cell>
          <cell r="C3182">
            <v>2.7389999999999999</v>
          </cell>
          <cell r="D3182">
            <v>1.0192000000000001</v>
          </cell>
          <cell r="E3182">
            <v>48374</v>
          </cell>
          <cell r="F3182">
            <v>6534.2</v>
          </cell>
          <cell r="J3182">
            <v>1270776.7671238747</v>
          </cell>
          <cell r="K3182">
            <v>1.0192000000000001</v>
          </cell>
          <cell r="L3182">
            <v>48374</v>
          </cell>
          <cell r="M3182">
            <v>6534.2</v>
          </cell>
          <cell r="N3182">
            <v>412093.51605415344</v>
          </cell>
          <cell r="O3182">
            <v>417787.88473985618</v>
          </cell>
          <cell r="P3182">
            <v>196.26499999999999</v>
          </cell>
        </row>
        <row r="3183">
          <cell r="B3183">
            <v>35325</v>
          </cell>
          <cell r="C3183">
            <v>2.7090000000000001</v>
          </cell>
          <cell r="D3183">
            <v>1.0195000000000001</v>
          </cell>
          <cell r="E3183">
            <v>48460</v>
          </cell>
          <cell r="F3183">
            <v>6512.4</v>
          </cell>
          <cell r="J3183">
            <v>1271924.2785445878</v>
          </cell>
          <cell r="K3183">
            <v>1.0195000000000001</v>
          </cell>
          <cell r="L3183">
            <v>48460</v>
          </cell>
          <cell r="M3183">
            <v>6512.4</v>
          </cell>
          <cell r="N3183">
            <v>412093.51605415344</v>
          </cell>
          <cell r="O3183">
            <v>417787.88473985618</v>
          </cell>
          <cell r="P3183">
            <v>196.26499999999999</v>
          </cell>
        </row>
        <row r="3184">
          <cell r="B3184">
            <v>35326</v>
          </cell>
          <cell r="C3184">
            <v>2.73</v>
          </cell>
          <cell r="D3184">
            <v>1.0196000000000001</v>
          </cell>
          <cell r="E3184">
            <v>48523</v>
          </cell>
          <cell r="F3184">
            <v>6489.6</v>
          </cell>
          <cell r="J3184">
            <v>1273081.7296380633</v>
          </cell>
          <cell r="K3184">
            <v>1.0196000000000001</v>
          </cell>
          <cell r="L3184">
            <v>48523</v>
          </cell>
          <cell r="M3184">
            <v>6489.6</v>
          </cell>
          <cell r="N3184">
            <v>412093.51605415344</v>
          </cell>
          <cell r="O3184">
            <v>417787.88473985618</v>
          </cell>
          <cell r="P3184">
            <v>196.26499999999999</v>
          </cell>
        </row>
        <row r="3185">
          <cell r="B3185">
            <v>35327</v>
          </cell>
          <cell r="C3185">
            <v>2.7389999999999999</v>
          </cell>
          <cell r="D3185">
            <v>1.0196000000000001</v>
          </cell>
          <cell r="E3185">
            <v>48326</v>
          </cell>
          <cell r="F3185">
            <v>6560.2</v>
          </cell>
          <cell r="J3185">
            <v>1274244.0532572228</v>
          </cell>
          <cell r="K3185">
            <v>1.0196000000000001</v>
          </cell>
          <cell r="L3185">
            <v>48326</v>
          </cell>
          <cell r="M3185">
            <v>6560.2</v>
          </cell>
          <cell r="N3185">
            <v>412093.51605415344</v>
          </cell>
          <cell r="O3185">
            <v>417787.88473985618</v>
          </cell>
          <cell r="P3185">
            <v>196.26499999999999</v>
          </cell>
        </row>
        <row r="3186">
          <cell r="B3186">
            <v>35328</v>
          </cell>
          <cell r="C3186">
            <v>2.7</v>
          </cell>
          <cell r="D3186">
            <v>1.0199</v>
          </cell>
          <cell r="E3186">
            <v>48374</v>
          </cell>
          <cell r="F3186">
            <v>6588.2</v>
          </cell>
          <cell r="J3186">
            <v>1275390.872905154</v>
          </cell>
          <cell r="K3186">
            <v>1.0199</v>
          </cell>
          <cell r="L3186">
            <v>48374</v>
          </cell>
          <cell r="M3186">
            <v>6588.2</v>
          </cell>
          <cell r="N3186">
            <v>412093.51605415344</v>
          </cell>
          <cell r="O3186">
            <v>417787.88473985618</v>
          </cell>
          <cell r="P3186">
            <v>196.26499999999999</v>
          </cell>
        </row>
        <row r="3187">
          <cell r="B3187">
            <v>35331</v>
          </cell>
          <cell r="C3187">
            <v>2.649</v>
          </cell>
          <cell r="D3187">
            <v>1.0202</v>
          </cell>
          <cell r="E3187">
            <v>48254</v>
          </cell>
          <cell r="F3187">
            <v>6551.7</v>
          </cell>
          <cell r="J3187">
            <v>1276517.0430459292</v>
          </cell>
          <cell r="K3187">
            <v>1.0202</v>
          </cell>
          <cell r="L3187">
            <v>48254</v>
          </cell>
          <cell r="M3187">
            <v>6551.7</v>
          </cell>
          <cell r="N3187">
            <v>412093.51605415344</v>
          </cell>
          <cell r="O3187">
            <v>417787.88473985618</v>
          </cell>
          <cell r="P3187">
            <v>196.26499999999999</v>
          </cell>
        </row>
        <row r="3188">
          <cell r="B3188">
            <v>35332</v>
          </cell>
          <cell r="C3188">
            <v>2.6280000000000001</v>
          </cell>
          <cell r="D3188">
            <v>1.0202</v>
          </cell>
          <cell r="E3188">
            <v>48014</v>
          </cell>
          <cell r="F3188">
            <v>6563.7</v>
          </cell>
          <cell r="J3188">
            <v>1277635.2719756374</v>
          </cell>
          <cell r="K3188">
            <v>1.0202</v>
          </cell>
          <cell r="L3188">
            <v>48014</v>
          </cell>
          <cell r="M3188">
            <v>6563.7</v>
          </cell>
          <cell r="N3188">
            <v>412093.51605415344</v>
          </cell>
          <cell r="O3188">
            <v>417787.88473985618</v>
          </cell>
          <cell r="P3188">
            <v>196.26499999999999</v>
          </cell>
        </row>
        <row r="3189">
          <cell r="B3189">
            <v>35333</v>
          </cell>
          <cell r="C3189">
            <v>2.61</v>
          </cell>
          <cell r="D3189">
            <v>1.0205</v>
          </cell>
          <cell r="E3189">
            <v>47930</v>
          </cell>
          <cell r="F3189">
            <v>6513.8</v>
          </cell>
          <cell r="J3189">
            <v>1278746.814662256</v>
          </cell>
          <cell r="K3189">
            <v>1.0205</v>
          </cell>
          <cell r="L3189">
            <v>47930</v>
          </cell>
          <cell r="M3189">
            <v>6513.8</v>
          </cell>
          <cell r="N3189">
            <v>412093.51605415344</v>
          </cell>
          <cell r="O3189">
            <v>417787.88473985618</v>
          </cell>
          <cell r="P3189">
            <v>196.26499999999999</v>
          </cell>
        </row>
        <row r="3190">
          <cell r="B3190">
            <v>35334</v>
          </cell>
          <cell r="C3190">
            <v>2.61</v>
          </cell>
          <cell r="D3190">
            <v>1.0206</v>
          </cell>
          <cell r="E3190">
            <v>47856</v>
          </cell>
          <cell r="F3190">
            <v>6535.9</v>
          </cell>
          <cell r="J3190">
            <v>1279859.3243910121</v>
          </cell>
          <cell r="K3190">
            <v>1.0206</v>
          </cell>
          <cell r="L3190">
            <v>47856</v>
          </cell>
          <cell r="M3190">
            <v>6535.9</v>
          </cell>
          <cell r="N3190">
            <v>412093.51605415344</v>
          </cell>
          <cell r="O3190">
            <v>417787.88473985618</v>
          </cell>
          <cell r="P3190">
            <v>196.26499999999999</v>
          </cell>
        </row>
        <row r="3191">
          <cell r="B3191">
            <v>35335</v>
          </cell>
          <cell r="C3191">
            <v>2.5979999999999999</v>
          </cell>
          <cell r="D3191">
            <v>1.0209999999999999</v>
          </cell>
          <cell r="E3191">
            <v>47581</v>
          </cell>
          <cell r="F3191">
            <v>6458.8</v>
          </cell>
          <cell r="J3191">
            <v>1280967.6825659347</v>
          </cell>
          <cell r="K3191">
            <v>1.0209999999999999</v>
          </cell>
          <cell r="L3191">
            <v>47581</v>
          </cell>
          <cell r="M3191">
            <v>6458.8</v>
          </cell>
          <cell r="N3191">
            <v>412093.51605415344</v>
          </cell>
          <cell r="O3191">
            <v>417787.88473985618</v>
          </cell>
          <cell r="P3191">
            <v>196.26499999999999</v>
          </cell>
        </row>
        <row r="3192">
          <cell r="B3192">
            <v>35338</v>
          </cell>
          <cell r="C3192">
            <v>2.508</v>
          </cell>
          <cell r="D3192">
            <v>1.0215000000000001</v>
          </cell>
          <cell r="E3192">
            <v>47341</v>
          </cell>
          <cell r="F3192">
            <v>6446.8</v>
          </cell>
          <cell r="G3192">
            <v>0.13</v>
          </cell>
          <cell r="H3192">
            <v>0.1</v>
          </cell>
          <cell r="I3192">
            <v>198.55189999999999</v>
          </cell>
          <cell r="J3192">
            <v>1282038.5715485599</v>
          </cell>
          <cell r="K3192">
            <v>1.0215000000000001</v>
          </cell>
          <cell r="L3192">
            <v>47341</v>
          </cell>
          <cell r="M3192">
            <v>6446.8</v>
          </cell>
          <cell r="N3192">
            <v>412629.23762502387</v>
          </cell>
          <cell r="O3192">
            <v>418205.67262459599</v>
          </cell>
          <cell r="P3192">
            <v>198.55189999999999</v>
          </cell>
        </row>
        <row r="3193">
          <cell r="B3193">
            <v>35339</v>
          </cell>
          <cell r="C3193">
            <v>2.4689999999999999</v>
          </cell>
          <cell r="D3193">
            <v>1.0215000000000001</v>
          </cell>
          <cell r="E3193">
            <v>47515</v>
          </cell>
          <cell r="F3193">
            <v>6521.7</v>
          </cell>
          <cell r="J3193">
            <v>1283093.6892929445</v>
          </cell>
          <cell r="K3193">
            <v>1.0215000000000001</v>
          </cell>
          <cell r="L3193">
            <v>47515</v>
          </cell>
          <cell r="M3193">
            <v>6521.7</v>
          </cell>
          <cell r="N3193">
            <v>412629.23762502387</v>
          </cell>
          <cell r="O3193">
            <v>418205.67262459599</v>
          </cell>
          <cell r="P3193">
            <v>198.55189999999999</v>
          </cell>
        </row>
        <row r="3194">
          <cell r="B3194">
            <v>35340</v>
          </cell>
          <cell r="C3194">
            <v>2.4689999999999999</v>
          </cell>
          <cell r="D3194">
            <v>1.0215000000000001</v>
          </cell>
          <cell r="E3194">
            <v>47716</v>
          </cell>
          <cell r="F3194">
            <v>6605.8</v>
          </cell>
          <cell r="J3194">
            <v>1284149.6753992327</v>
          </cell>
          <cell r="K3194">
            <v>1.0215000000000001</v>
          </cell>
          <cell r="L3194">
            <v>47716</v>
          </cell>
          <cell r="M3194">
            <v>6605.8</v>
          </cell>
          <cell r="N3194">
            <v>412629.23762502387</v>
          </cell>
          <cell r="O3194">
            <v>418205.67262459599</v>
          </cell>
          <cell r="P3194">
            <v>198.55189999999999</v>
          </cell>
        </row>
        <row r="3195">
          <cell r="B3195">
            <v>35342</v>
          </cell>
          <cell r="C3195">
            <v>2.4780000000000002</v>
          </cell>
          <cell r="D3195">
            <v>1.022</v>
          </cell>
          <cell r="E3195">
            <v>48058</v>
          </cell>
          <cell r="F3195">
            <v>6626.9</v>
          </cell>
          <cell r="J3195">
            <v>1285210.3830311124</v>
          </cell>
          <cell r="K3195">
            <v>1.022</v>
          </cell>
          <cell r="L3195">
            <v>48058</v>
          </cell>
          <cell r="M3195">
            <v>6626.9</v>
          </cell>
          <cell r="N3195">
            <v>412629.23762502387</v>
          </cell>
          <cell r="O3195">
            <v>418205.67262459599</v>
          </cell>
          <cell r="P3195">
            <v>198.55189999999999</v>
          </cell>
        </row>
        <row r="3196">
          <cell r="B3196">
            <v>35345</v>
          </cell>
          <cell r="C3196">
            <v>2.4689999999999999</v>
          </cell>
          <cell r="D3196">
            <v>1.0225</v>
          </cell>
          <cell r="E3196">
            <v>47825</v>
          </cell>
          <cell r="F3196">
            <v>6612.6</v>
          </cell>
          <cell r="J3196">
            <v>1286268.1111763469</v>
          </cell>
          <cell r="K3196">
            <v>1.0225</v>
          </cell>
          <cell r="L3196">
            <v>47825</v>
          </cell>
          <cell r="M3196">
            <v>6612.6</v>
          </cell>
          <cell r="N3196">
            <v>412629.23762502387</v>
          </cell>
          <cell r="O3196">
            <v>418205.67262459599</v>
          </cell>
          <cell r="P3196">
            <v>198.55189999999999</v>
          </cell>
        </row>
        <row r="3197">
          <cell r="B3197">
            <v>35346</v>
          </cell>
          <cell r="C3197">
            <v>2.4780000000000002</v>
          </cell>
          <cell r="D3197">
            <v>1.0225</v>
          </cell>
          <cell r="E3197">
            <v>47948</v>
          </cell>
          <cell r="F3197">
            <v>6651.5</v>
          </cell>
          <cell r="J3197">
            <v>1287330.5686361785</v>
          </cell>
          <cell r="K3197">
            <v>1.0225</v>
          </cell>
          <cell r="L3197">
            <v>47948</v>
          </cell>
          <cell r="M3197">
            <v>6651.5</v>
          </cell>
          <cell r="N3197">
            <v>412629.23762502387</v>
          </cell>
          <cell r="O3197">
            <v>418205.67262459599</v>
          </cell>
          <cell r="P3197">
            <v>198.55189999999999</v>
          </cell>
        </row>
        <row r="3198">
          <cell r="B3198">
            <v>35347</v>
          </cell>
          <cell r="C3198">
            <v>2.448</v>
          </cell>
          <cell r="D3198">
            <v>1.0233000000000001</v>
          </cell>
          <cell r="E3198">
            <v>47988</v>
          </cell>
          <cell r="F3198">
            <v>6631</v>
          </cell>
          <cell r="J3198">
            <v>1288381.0303801855</v>
          </cell>
          <cell r="K3198">
            <v>1.0233000000000001</v>
          </cell>
          <cell r="L3198">
            <v>47988</v>
          </cell>
          <cell r="M3198">
            <v>6631</v>
          </cell>
          <cell r="N3198">
            <v>412629.23762502387</v>
          </cell>
          <cell r="O3198">
            <v>418205.67262459599</v>
          </cell>
          <cell r="P3198">
            <v>198.55189999999999</v>
          </cell>
        </row>
        <row r="3199">
          <cell r="B3199">
            <v>35348</v>
          </cell>
          <cell r="C3199">
            <v>2.4689999999999999</v>
          </cell>
          <cell r="D3199">
            <v>1.0246999999999999</v>
          </cell>
          <cell r="E3199">
            <v>47941</v>
          </cell>
          <cell r="F3199">
            <v>6626.7</v>
          </cell>
          <cell r="J3199">
            <v>1289441.3679681884</v>
          </cell>
          <cell r="K3199">
            <v>1.0246999999999999</v>
          </cell>
          <cell r="L3199">
            <v>47941</v>
          </cell>
          <cell r="M3199">
            <v>6626.7</v>
          </cell>
          <cell r="N3199">
            <v>412629.23762502387</v>
          </cell>
          <cell r="O3199">
            <v>418205.67262459599</v>
          </cell>
          <cell r="P3199">
            <v>198.55189999999999</v>
          </cell>
        </row>
        <row r="3200">
          <cell r="B3200">
            <v>35349</v>
          </cell>
          <cell r="C3200">
            <v>2.508</v>
          </cell>
          <cell r="D3200">
            <v>1.0254000000000001</v>
          </cell>
          <cell r="E3200">
            <v>48199</v>
          </cell>
          <cell r="F3200">
            <v>6608.6</v>
          </cell>
          <cell r="J3200">
            <v>1290519.3409518099</v>
          </cell>
          <cell r="K3200">
            <v>1.0254000000000001</v>
          </cell>
          <cell r="L3200">
            <v>48199</v>
          </cell>
          <cell r="M3200">
            <v>6608.6</v>
          </cell>
          <cell r="N3200">
            <v>412629.23762502387</v>
          </cell>
          <cell r="O3200">
            <v>418205.67262459599</v>
          </cell>
          <cell r="P3200">
            <v>198.55189999999999</v>
          </cell>
        </row>
        <row r="3201">
          <cell r="B3201">
            <v>35352</v>
          </cell>
          <cell r="C3201">
            <v>2.508</v>
          </cell>
          <cell r="D3201">
            <v>1.0246999999999999</v>
          </cell>
          <cell r="E3201">
            <v>48029</v>
          </cell>
          <cell r="F3201">
            <v>6631.3</v>
          </cell>
          <cell r="J3201">
            <v>1291598.2151208457</v>
          </cell>
          <cell r="K3201">
            <v>1.0246999999999999</v>
          </cell>
          <cell r="L3201">
            <v>48029</v>
          </cell>
          <cell r="M3201">
            <v>6631.3</v>
          </cell>
          <cell r="N3201">
            <v>412629.23762502387</v>
          </cell>
          <cell r="O3201">
            <v>418205.67262459599</v>
          </cell>
          <cell r="P3201">
            <v>198.55189999999999</v>
          </cell>
        </row>
        <row r="3202">
          <cell r="B3202">
            <v>35353</v>
          </cell>
          <cell r="C3202">
            <v>2.5680000000000001</v>
          </cell>
          <cell r="D3202">
            <v>1.0250999999999999</v>
          </cell>
          <cell r="E3202">
            <v>48123</v>
          </cell>
          <cell r="F3202">
            <v>6744.9</v>
          </cell>
          <cell r="J3202">
            <v>1292703.8231929892</v>
          </cell>
          <cell r="K3202">
            <v>1.0250999999999999</v>
          </cell>
          <cell r="L3202">
            <v>48123</v>
          </cell>
          <cell r="M3202">
            <v>6744.9</v>
          </cell>
          <cell r="N3202">
            <v>412629.23762502387</v>
          </cell>
          <cell r="O3202">
            <v>418205.67262459599</v>
          </cell>
          <cell r="P3202">
            <v>198.55189999999999</v>
          </cell>
        </row>
        <row r="3203">
          <cell r="B3203">
            <v>35354</v>
          </cell>
          <cell r="C3203">
            <v>2.5289999999999999</v>
          </cell>
          <cell r="D3203">
            <v>1.0253000000000001</v>
          </cell>
          <cell r="E3203">
            <v>48536</v>
          </cell>
          <cell r="F3203">
            <v>6733.5</v>
          </cell>
          <cell r="J3203">
            <v>1293793.5725159408</v>
          </cell>
          <cell r="K3203">
            <v>1.0253000000000001</v>
          </cell>
          <cell r="L3203">
            <v>48536</v>
          </cell>
          <cell r="M3203">
            <v>6733.5</v>
          </cell>
          <cell r="N3203">
            <v>412629.23762502387</v>
          </cell>
          <cell r="O3203">
            <v>418205.67262459599</v>
          </cell>
          <cell r="P3203">
            <v>198.55189999999999</v>
          </cell>
        </row>
        <row r="3204">
          <cell r="B3204">
            <v>35355</v>
          </cell>
          <cell r="C3204">
            <v>2.5590000000000002</v>
          </cell>
          <cell r="D3204">
            <v>1.0249999999999999</v>
          </cell>
          <cell r="E3204">
            <v>49194</v>
          </cell>
          <cell r="F3204">
            <v>6766</v>
          </cell>
          <cell r="J3204">
            <v>1294897.1784332967</v>
          </cell>
          <cell r="K3204">
            <v>1.0249999999999999</v>
          </cell>
          <cell r="L3204">
            <v>49194</v>
          </cell>
          <cell r="M3204">
            <v>6766</v>
          </cell>
          <cell r="N3204">
            <v>412629.23762502387</v>
          </cell>
          <cell r="O3204">
            <v>418205.67262459599</v>
          </cell>
          <cell r="P3204">
            <v>198.55189999999999</v>
          </cell>
        </row>
        <row r="3205">
          <cell r="B3205">
            <v>35356</v>
          </cell>
          <cell r="C3205">
            <v>2.52</v>
          </cell>
          <cell r="D3205">
            <v>1.0251999999999999</v>
          </cell>
          <cell r="E3205">
            <v>49665</v>
          </cell>
          <cell r="F3205">
            <v>6798.1</v>
          </cell>
          <cell r="J3205">
            <v>1295984.8920631807</v>
          </cell>
          <cell r="K3205">
            <v>1.0251999999999999</v>
          </cell>
          <cell r="L3205">
            <v>49665</v>
          </cell>
          <cell r="M3205">
            <v>6798.1</v>
          </cell>
          <cell r="N3205">
            <v>412629.23762502387</v>
          </cell>
          <cell r="O3205">
            <v>418205.67262459599</v>
          </cell>
          <cell r="P3205">
            <v>198.55189999999999</v>
          </cell>
        </row>
        <row r="3206">
          <cell r="B3206">
            <v>35359</v>
          </cell>
          <cell r="C3206">
            <v>2.4900000000000002</v>
          </cell>
          <cell r="D3206">
            <v>1.0254000000000001</v>
          </cell>
          <cell r="E3206">
            <v>49625</v>
          </cell>
          <cell r="F3206">
            <v>6798.9</v>
          </cell>
          <cell r="J3206">
            <v>1297060.5595235932</v>
          </cell>
          <cell r="K3206">
            <v>1.0254000000000001</v>
          </cell>
          <cell r="L3206">
            <v>49625</v>
          </cell>
          <cell r="M3206">
            <v>6798.9</v>
          </cell>
          <cell r="N3206">
            <v>412629.23762502387</v>
          </cell>
          <cell r="O3206">
            <v>418205.67262459599</v>
          </cell>
          <cell r="P3206">
            <v>198.55189999999999</v>
          </cell>
        </row>
        <row r="3207">
          <cell r="B3207">
            <v>35360</v>
          </cell>
          <cell r="C3207">
            <v>2.52</v>
          </cell>
          <cell r="D3207">
            <v>1.0263</v>
          </cell>
          <cell r="E3207">
            <v>49591</v>
          </cell>
          <cell r="F3207">
            <v>6675.6</v>
          </cell>
          <cell r="J3207">
            <v>1298150.0903935928</v>
          </cell>
          <cell r="K3207">
            <v>1.0263</v>
          </cell>
          <cell r="L3207">
            <v>49591</v>
          </cell>
          <cell r="M3207">
            <v>6675.6</v>
          </cell>
          <cell r="N3207">
            <v>412629.23762502387</v>
          </cell>
          <cell r="O3207">
            <v>418205.67262459599</v>
          </cell>
          <cell r="P3207">
            <v>198.55189999999999</v>
          </cell>
        </row>
        <row r="3208">
          <cell r="B3208">
            <v>35361</v>
          </cell>
          <cell r="C3208">
            <v>2.4780000000000002</v>
          </cell>
          <cell r="D3208">
            <v>1.0269999999999999</v>
          </cell>
          <cell r="E3208">
            <v>49068</v>
          </cell>
          <cell r="F3208">
            <v>6648.6</v>
          </cell>
          <cell r="J3208">
            <v>1299222.3623682579</v>
          </cell>
          <cell r="K3208">
            <v>1.0269999999999999</v>
          </cell>
          <cell r="L3208">
            <v>49068</v>
          </cell>
          <cell r="M3208">
            <v>6648.6</v>
          </cell>
          <cell r="N3208">
            <v>412629.23762502387</v>
          </cell>
          <cell r="O3208">
            <v>418205.67262459599</v>
          </cell>
          <cell r="P3208">
            <v>198.55189999999999</v>
          </cell>
        </row>
        <row r="3209">
          <cell r="B3209">
            <v>35362</v>
          </cell>
          <cell r="C3209">
            <v>2.4990000000000001</v>
          </cell>
          <cell r="D3209">
            <v>1.0264</v>
          </cell>
          <cell r="E3209">
            <v>48879</v>
          </cell>
          <cell r="F3209">
            <v>6588.8</v>
          </cell>
          <cell r="J3209">
            <v>1300304.6145961108</v>
          </cell>
          <cell r="K3209">
            <v>1.0264</v>
          </cell>
          <cell r="L3209">
            <v>48879</v>
          </cell>
          <cell r="M3209">
            <v>6588.8</v>
          </cell>
          <cell r="N3209">
            <v>412629.23762502387</v>
          </cell>
          <cell r="O3209">
            <v>418205.67262459599</v>
          </cell>
          <cell r="P3209">
            <v>198.55189999999999</v>
          </cell>
        </row>
        <row r="3210">
          <cell r="B3210">
            <v>35363</v>
          </cell>
          <cell r="C3210">
            <v>2.508</v>
          </cell>
          <cell r="D3210">
            <v>1.0271999999999999</v>
          </cell>
          <cell r="E3210">
            <v>48695</v>
          </cell>
          <cell r="F3210">
            <v>6503.3</v>
          </cell>
          <cell r="J3210">
            <v>1301391.6692539132</v>
          </cell>
          <cell r="K3210">
            <v>1.0271999999999999</v>
          </cell>
          <cell r="L3210">
            <v>48695</v>
          </cell>
          <cell r="M3210">
            <v>6503.3</v>
          </cell>
          <cell r="N3210">
            <v>412629.23762502387</v>
          </cell>
          <cell r="O3210">
            <v>418205.67262459599</v>
          </cell>
          <cell r="P3210">
            <v>198.55189999999999</v>
          </cell>
        </row>
        <row r="3211">
          <cell r="B3211">
            <v>35366</v>
          </cell>
          <cell r="C3211">
            <v>2.508</v>
          </cell>
          <cell r="D3211">
            <v>1.0279</v>
          </cell>
          <cell r="E3211">
            <v>48608</v>
          </cell>
          <cell r="F3211">
            <v>6401</v>
          </cell>
          <cell r="J3211">
            <v>1302479.6326894097</v>
          </cell>
          <cell r="K3211">
            <v>1.0279</v>
          </cell>
          <cell r="L3211">
            <v>48608</v>
          </cell>
          <cell r="M3211">
            <v>6401</v>
          </cell>
          <cell r="N3211">
            <v>412629.23762502387</v>
          </cell>
          <cell r="O3211">
            <v>418205.67262459599</v>
          </cell>
          <cell r="P3211">
            <v>198.55189999999999</v>
          </cell>
        </row>
        <row r="3212">
          <cell r="B3212">
            <v>35367</v>
          </cell>
          <cell r="C3212">
            <v>2.5289999999999999</v>
          </cell>
          <cell r="D3212">
            <v>1.0285</v>
          </cell>
          <cell r="E3212">
            <v>48907</v>
          </cell>
          <cell r="F3212">
            <v>6549.7</v>
          </cell>
          <cell r="J3212">
            <v>1303577.6230197668</v>
          </cell>
          <cell r="K3212">
            <v>1.0285</v>
          </cell>
          <cell r="L3212">
            <v>48907</v>
          </cell>
          <cell r="M3212">
            <v>6549.7</v>
          </cell>
          <cell r="N3212">
            <v>412629.23762502387</v>
          </cell>
          <cell r="O3212">
            <v>418205.67262459599</v>
          </cell>
          <cell r="P3212">
            <v>198.55189999999999</v>
          </cell>
        </row>
        <row r="3213">
          <cell r="B3213">
            <v>35368</v>
          </cell>
          <cell r="C3213">
            <v>2.5379999999999998</v>
          </cell>
          <cell r="D3213">
            <v>1.0275000000000001</v>
          </cell>
          <cell r="E3213">
            <v>48934</v>
          </cell>
          <cell r="F3213">
            <v>6543.2</v>
          </cell>
          <cell r="J3213">
            <v>1304680.4496888414</v>
          </cell>
          <cell r="K3213">
            <v>1.0275000000000001</v>
          </cell>
          <cell r="L3213">
            <v>48934</v>
          </cell>
          <cell r="M3213">
            <v>6543.2</v>
          </cell>
          <cell r="N3213">
            <v>412629.23762502387</v>
          </cell>
          <cell r="O3213">
            <v>418205.67262459599</v>
          </cell>
          <cell r="P3213">
            <v>198.55189999999999</v>
          </cell>
        </row>
        <row r="3214">
          <cell r="B3214">
            <v>35369</v>
          </cell>
          <cell r="C3214">
            <v>2.649</v>
          </cell>
          <cell r="D3214">
            <v>1.0276000000000001</v>
          </cell>
          <cell r="E3214">
            <v>49313</v>
          </cell>
          <cell r="F3214">
            <v>6533.1</v>
          </cell>
          <cell r="G3214">
            <v>0.22</v>
          </cell>
          <cell r="H3214">
            <v>0.19</v>
          </cell>
          <cell r="I3214">
            <v>201.02520000000001</v>
          </cell>
          <cell r="J3214">
            <v>1305832.4825259165</v>
          </cell>
          <cell r="K3214">
            <v>1.0276000000000001</v>
          </cell>
          <cell r="L3214">
            <v>49313</v>
          </cell>
          <cell r="M3214">
            <v>6533.1</v>
          </cell>
          <cell r="N3214">
            <v>413537.0219477989</v>
          </cell>
          <cell r="O3214">
            <v>419000.26340258273</v>
          </cell>
          <cell r="P3214">
            <v>201.02520000000001</v>
          </cell>
        </row>
        <row r="3215">
          <cell r="B3215">
            <v>35370</v>
          </cell>
          <cell r="C3215">
            <v>2.67</v>
          </cell>
          <cell r="D3215">
            <v>1.028</v>
          </cell>
          <cell r="E3215">
            <v>49796</v>
          </cell>
          <cell r="F3215">
            <v>6641.1</v>
          </cell>
          <cell r="J3215">
            <v>1306994.6734353646</v>
          </cell>
          <cell r="K3215">
            <v>1.028</v>
          </cell>
          <cell r="L3215">
            <v>49796</v>
          </cell>
          <cell r="M3215">
            <v>6641.1</v>
          </cell>
          <cell r="N3215">
            <v>413537.0219477989</v>
          </cell>
          <cell r="O3215">
            <v>419000.26340258273</v>
          </cell>
          <cell r="P3215">
            <v>201.02520000000001</v>
          </cell>
        </row>
        <row r="3216">
          <cell r="B3216">
            <v>35373</v>
          </cell>
          <cell r="C3216">
            <v>2.6789999999999998</v>
          </cell>
          <cell r="D3216">
            <v>1.028</v>
          </cell>
          <cell r="E3216">
            <v>49935</v>
          </cell>
          <cell r="F3216">
            <v>6658.5</v>
          </cell>
          <cell r="J3216">
            <v>1308161.8196787424</v>
          </cell>
          <cell r="K3216">
            <v>1.028</v>
          </cell>
          <cell r="L3216">
            <v>49935</v>
          </cell>
          <cell r="M3216">
            <v>6658.5</v>
          </cell>
          <cell r="N3216">
            <v>413537.0219477989</v>
          </cell>
          <cell r="O3216">
            <v>419000.26340258273</v>
          </cell>
          <cell r="P3216">
            <v>201.02520000000001</v>
          </cell>
        </row>
        <row r="3217">
          <cell r="B3217">
            <v>35374</v>
          </cell>
          <cell r="C3217">
            <v>2.7389999999999999</v>
          </cell>
          <cell r="D3217">
            <v>1.028</v>
          </cell>
          <cell r="E3217">
            <v>50005</v>
          </cell>
          <cell r="F3217">
            <v>6697.5</v>
          </cell>
          <cell r="J3217">
            <v>1309356.171420109</v>
          </cell>
          <cell r="K3217">
            <v>1.028</v>
          </cell>
          <cell r="L3217">
            <v>50005</v>
          </cell>
          <cell r="M3217">
            <v>6697.5</v>
          </cell>
          <cell r="N3217">
            <v>413537.0219477989</v>
          </cell>
          <cell r="O3217">
            <v>419000.26340258273</v>
          </cell>
          <cell r="P3217">
            <v>201.02520000000001</v>
          </cell>
        </row>
        <row r="3218">
          <cell r="B3218">
            <v>35375</v>
          </cell>
          <cell r="C3218">
            <v>2.6880000000000002</v>
          </cell>
          <cell r="D3218">
            <v>1.028</v>
          </cell>
          <cell r="E3218">
            <v>50012</v>
          </cell>
          <cell r="F3218">
            <v>6704.6</v>
          </cell>
          <cell r="J3218">
            <v>1310529.3545497013</v>
          </cell>
          <cell r="K3218">
            <v>1.028</v>
          </cell>
          <cell r="L3218">
            <v>50012</v>
          </cell>
          <cell r="M3218">
            <v>6704.6</v>
          </cell>
          <cell r="N3218">
            <v>413537.0219477989</v>
          </cell>
          <cell r="O3218">
            <v>419000.26340258273</v>
          </cell>
          <cell r="P3218">
            <v>201.02520000000001</v>
          </cell>
        </row>
        <row r="3219">
          <cell r="B3219">
            <v>35376</v>
          </cell>
          <cell r="C3219">
            <v>2.718</v>
          </cell>
          <cell r="D3219">
            <v>1.0287999999999999</v>
          </cell>
          <cell r="E3219">
            <v>50094</v>
          </cell>
          <cell r="F3219">
            <v>6666.6</v>
          </cell>
          <cell r="J3219">
            <v>1311716.6941449235</v>
          </cell>
          <cell r="K3219">
            <v>1.0287999999999999</v>
          </cell>
          <cell r="L3219">
            <v>50094</v>
          </cell>
          <cell r="M3219">
            <v>6666.6</v>
          </cell>
          <cell r="N3219">
            <v>413537.0219477989</v>
          </cell>
          <cell r="O3219">
            <v>419000.26340258273</v>
          </cell>
          <cell r="P3219">
            <v>201.02520000000001</v>
          </cell>
        </row>
        <row r="3220">
          <cell r="B3220">
            <v>35377</v>
          </cell>
          <cell r="C3220">
            <v>2.7</v>
          </cell>
          <cell r="D3220">
            <v>1.0295000000000001</v>
          </cell>
          <cell r="E3220">
            <v>50107</v>
          </cell>
          <cell r="F3220">
            <v>6559.5</v>
          </cell>
          <cell r="J3220">
            <v>1312897.2391696537</v>
          </cell>
          <cell r="K3220">
            <v>1.0295000000000001</v>
          </cell>
          <cell r="L3220">
            <v>50107</v>
          </cell>
          <cell r="M3220">
            <v>6559.5</v>
          </cell>
          <cell r="N3220">
            <v>413537.0219477989</v>
          </cell>
          <cell r="O3220">
            <v>419000.26340258273</v>
          </cell>
          <cell r="P3220">
            <v>201.02520000000001</v>
          </cell>
        </row>
        <row r="3221">
          <cell r="B3221">
            <v>35380</v>
          </cell>
          <cell r="C3221">
            <v>2.7090000000000001</v>
          </cell>
          <cell r="D3221">
            <v>1.0297000000000001</v>
          </cell>
          <cell r="E3221">
            <v>50026</v>
          </cell>
          <cell r="F3221">
            <v>6582.9</v>
          </cell>
          <cell r="J3221">
            <v>1314082.785376624</v>
          </cell>
          <cell r="K3221">
            <v>1.0297000000000001</v>
          </cell>
          <cell r="L3221">
            <v>50026</v>
          </cell>
          <cell r="M3221">
            <v>6582.9</v>
          </cell>
          <cell r="N3221">
            <v>413537.0219477989</v>
          </cell>
          <cell r="O3221">
            <v>419000.26340258273</v>
          </cell>
          <cell r="P3221">
            <v>201.02520000000001</v>
          </cell>
        </row>
        <row r="3222">
          <cell r="B3222">
            <v>35381</v>
          </cell>
          <cell r="C3222">
            <v>2.7</v>
          </cell>
          <cell r="D3222">
            <v>1.0310999999999999</v>
          </cell>
          <cell r="E3222">
            <v>49874</v>
          </cell>
          <cell r="F3222">
            <v>6523.3</v>
          </cell>
          <cell r="J3222">
            <v>1315265.4598834629</v>
          </cell>
          <cell r="K3222">
            <v>1.0310999999999999</v>
          </cell>
          <cell r="L3222">
            <v>49874</v>
          </cell>
          <cell r="M3222">
            <v>6523.3</v>
          </cell>
          <cell r="N3222">
            <v>413537.0219477989</v>
          </cell>
          <cell r="O3222">
            <v>419000.26340258273</v>
          </cell>
          <cell r="P3222">
            <v>201.02520000000001</v>
          </cell>
        </row>
        <row r="3223">
          <cell r="B3223">
            <v>35382</v>
          </cell>
          <cell r="C3223">
            <v>2.67</v>
          </cell>
          <cell r="D3223">
            <v>1.0308999999999999</v>
          </cell>
          <cell r="E3223">
            <v>50081</v>
          </cell>
          <cell r="F3223">
            <v>6570.9</v>
          </cell>
          <cell r="J3223">
            <v>1316436.0461427593</v>
          </cell>
          <cell r="K3223">
            <v>1.0308999999999999</v>
          </cell>
          <cell r="L3223">
            <v>50081</v>
          </cell>
          <cell r="M3223">
            <v>6570.9</v>
          </cell>
          <cell r="N3223">
            <v>413537.0219477989</v>
          </cell>
          <cell r="O3223">
            <v>419000.26340258273</v>
          </cell>
          <cell r="P3223">
            <v>201.02520000000001</v>
          </cell>
        </row>
        <row r="3224">
          <cell r="B3224">
            <v>35383</v>
          </cell>
          <cell r="C3224">
            <v>2.6789999999999998</v>
          </cell>
          <cell r="D3224">
            <v>1.0305</v>
          </cell>
          <cell r="E3224">
            <v>50138</v>
          </cell>
          <cell r="F3224">
            <v>6522.9</v>
          </cell>
          <cell r="J3224">
            <v>1317611.6235319648</v>
          </cell>
          <cell r="K3224">
            <v>1.0305</v>
          </cell>
          <cell r="L3224">
            <v>50138</v>
          </cell>
          <cell r="M3224">
            <v>6522.9</v>
          </cell>
          <cell r="N3224">
            <v>413537.0219477989</v>
          </cell>
          <cell r="O3224">
            <v>419000.26340258273</v>
          </cell>
          <cell r="P3224">
            <v>201.02520000000001</v>
          </cell>
        </row>
        <row r="3225">
          <cell r="B3225">
            <v>35387</v>
          </cell>
          <cell r="C3225">
            <v>2.67</v>
          </cell>
          <cell r="D3225">
            <v>1.0304</v>
          </cell>
          <cell r="E3225">
            <v>49665</v>
          </cell>
          <cell r="F3225">
            <v>6556.2</v>
          </cell>
          <cell r="J3225">
            <v>1318784.2978769084</v>
          </cell>
          <cell r="K3225">
            <v>1.0304</v>
          </cell>
          <cell r="L3225">
            <v>49665</v>
          </cell>
          <cell r="M3225">
            <v>6556.2</v>
          </cell>
          <cell r="N3225">
            <v>413537.0219477989</v>
          </cell>
          <cell r="O3225">
            <v>419000.26340258273</v>
          </cell>
          <cell r="P3225">
            <v>201.02520000000001</v>
          </cell>
        </row>
        <row r="3226">
          <cell r="B3226">
            <v>35388</v>
          </cell>
          <cell r="C3226">
            <v>2.67</v>
          </cell>
          <cell r="D3226">
            <v>1.0303</v>
          </cell>
          <cell r="E3226">
            <v>49213</v>
          </cell>
          <cell r="F3226">
            <v>6556.9</v>
          </cell>
          <cell r="J3226">
            <v>1319958.0159020189</v>
          </cell>
          <cell r="K3226">
            <v>1.0303</v>
          </cell>
          <cell r="L3226">
            <v>49213</v>
          </cell>
          <cell r="M3226">
            <v>6556.9</v>
          </cell>
          <cell r="N3226">
            <v>413537.0219477989</v>
          </cell>
          <cell r="O3226">
            <v>419000.26340258273</v>
          </cell>
          <cell r="P3226">
            <v>201.02520000000001</v>
          </cell>
        </row>
        <row r="3227">
          <cell r="B3227">
            <v>35389</v>
          </cell>
          <cell r="C3227">
            <v>2.67</v>
          </cell>
          <cell r="D3227">
            <v>1.0307999999999999</v>
          </cell>
          <cell r="E3227">
            <v>48659</v>
          </cell>
          <cell r="F3227">
            <v>6541.3</v>
          </cell>
          <cell r="J3227">
            <v>1321132.7785361717</v>
          </cell>
          <cell r="K3227">
            <v>1.0307999999999999</v>
          </cell>
          <cell r="L3227">
            <v>48659</v>
          </cell>
          <cell r="M3227">
            <v>6541.3</v>
          </cell>
          <cell r="N3227">
            <v>413537.0219477989</v>
          </cell>
          <cell r="O3227">
            <v>419000.26340258273</v>
          </cell>
          <cell r="P3227">
            <v>201.02520000000001</v>
          </cell>
        </row>
        <row r="3228">
          <cell r="B3228">
            <v>35390</v>
          </cell>
          <cell r="C3228">
            <v>2.6579999999999999</v>
          </cell>
          <cell r="D3228">
            <v>1.0310999999999999</v>
          </cell>
          <cell r="E3228">
            <v>48642</v>
          </cell>
          <cell r="F3228">
            <v>6625.9</v>
          </cell>
          <cell r="J3228">
            <v>1322303.3021779547</v>
          </cell>
          <cell r="K3228">
            <v>1.0310999999999999</v>
          </cell>
          <cell r="L3228">
            <v>48642</v>
          </cell>
          <cell r="M3228">
            <v>6625.9</v>
          </cell>
          <cell r="N3228">
            <v>413537.0219477989</v>
          </cell>
          <cell r="O3228">
            <v>419000.26340258273</v>
          </cell>
          <cell r="P3228">
            <v>201.02520000000001</v>
          </cell>
        </row>
        <row r="3229">
          <cell r="B3229">
            <v>35391</v>
          </cell>
          <cell r="C3229">
            <v>2.6579999999999999</v>
          </cell>
          <cell r="D3229">
            <v>1.0310999999999999</v>
          </cell>
          <cell r="E3229">
            <v>48669</v>
          </cell>
          <cell r="F3229">
            <v>6645.2</v>
          </cell>
          <cell r="J3229">
            <v>1323474.8629036844</v>
          </cell>
          <cell r="K3229">
            <v>1.0310999999999999</v>
          </cell>
          <cell r="L3229">
            <v>48669</v>
          </cell>
          <cell r="M3229">
            <v>6645.2</v>
          </cell>
          <cell r="N3229">
            <v>413537.0219477989</v>
          </cell>
          <cell r="O3229">
            <v>419000.26340258273</v>
          </cell>
          <cell r="P3229">
            <v>201.02520000000001</v>
          </cell>
        </row>
        <row r="3230">
          <cell r="B3230">
            <v>35394</v>
          </cell>
          <cell r="C3230">
            <v>2.6579999999999999</v>
          </cell>
          <cell r="D3230">
            <v>1.0310999999999999</v>
          </cell>
          <cell r="E3230">
            <v>48823</v>
          </cell>
          <cell r="F3230">
            <v>6649.2</v>
          </cell>
          <cell r="J3230">
            <v>1324647.461632217</v>
          </cell>
          <cell r="K3230">
            <v>1.0310999999999999</v>
          </cell>
          <cell r="L3230">
            <v>48823</v>
          </cell>
          <cell r="M3230">
            <v>6649.2</v>
          </cell>
          <cell r="N3230">
            <v>413537.0219477989</v>
          </cell>
          <cell r="O3230">
            <v>419000.26340258273</v>
          </cell>
          <cell r="P3230">
            <v>201.02520000000001</v>
          </cell>
        </row>
        <row r="3231">
          <cell r="B3231">
            <v>35395</v>
          </cell>
          <cell r="C3231">
            <v>2.6579999999999999</v>
          </cell>
          <cell r="D3231">
            <v>1.032</v>
          </cell>
          <cell r="E3231">
            <v>49158</v>
          </cell>
          <cell r="F3231">
            <v>6631.5</v>
          </cell>
          <cell r="J3231">
            <v>1325821.099283223</v>
          </cell>
          <cell r="K3231">
            <v>1.032</v>
          </cell>
          <cell r="L3231">
            <v>49158</v>
          </cell>
          <cell r="M3231">
            <v>6631.5</v>
          </cell>
          <cell r="N3231">
            <v>413537.0219477989</v>
          </cell>
          <cell r="O3231">
            <v>419000.26340258273</v>
          </cell>
          <cell r="P3231">
            <v>201.02520000000001</v>
          </cell>
        </row>
        <row r="3232">
          <cell r="B3232">
            <v>35396</v>
          </cell>
          <cell r="C3232">
            <v>2.6280000000000001</v>
          </cell>
          <cell r="D3232">
            <v>1.0324</v>
          </cell>
          <cell r="E3232">
            <v>49537</v>
          </cell>
          <cell r="F3232">
            <v>6591.8</v>
          </cell>
          <cell r="J3232">
            <v>1326982.5185661954</v>
          </cell>
          <cell r="K3232">
            <v>1.0324</v>
          </cell>
          <cell r="L3232">
            <v>49537</v>
          </cell>
          <cell r="M3232">
            <v>6591.8</v>
          </cell>
          <cell r="N3232">
            <v>413537.0219477989</v>
          </cell>
          <cell r="O3232">
            <v>419000.26340258273</v>
          </cell>
          <cell r="P3232">
            <v>201.02520000000001</v>
          </cell>
        </row>
        <row r="3233">
          <cell r="B3233">
            <v>35397</v>
          </cell>
          <cell r="C3233">
            <v>2.64</v>
          </cell>
          <cell r="D3233">
            <v>1.0327999999999999</v>
          </cell>
          <cell r="E3233">
            <v>49656</v>
          </cell>
          <cell r="F3233">
            <v>6644.8</v>
          </cell>
          <cell r="J3233">
            <v>1328150.2631825337</v>
          </cell>
          <cell r="K3233">
            <v>1.0327999999999999</v>
          </cell>
          <cell r="L3233">
            <v>49656</v>
          </cell>
          <cell r="M3233">
            <v>6644.8</v>
          </cell>
          <cell r="N3233">
            <v>413537.0219477989</v>
          </cell>
          <cell r="O3233">
            <v>419000.26340258273</v>
          </cell>
          <cell r="P3233">
            <v>201.02520000000001</v>
          </cell>
        </row>
        <row r="3234">
          <cell r="B3234">
            <v>35398</v>
          </cell>
          <cell r="C3234">
            <v>2.508</v>
          </cell>
          <cell r="D3234">
            <v>1.0331999999999999</v>
          </cell>
          <cell r="E3234">
            <v>50137</v>
          </cell>
          <cell r="F3234">
            <v>6666</v>
          </cell>
          <cell r="G3234">
            <v>0.28000000000000003</v>
          </cell>
          <cell r="H3234">
            <v>0.2</v>
          </cell>
          <cell r="I3234">
            <v>203.67599999999999</v>
          </cell>
          <cell r="J3234">
            <v>1329260.5968025543</v>
          </cell>
          <cell r="K3234">
            <v>1.0331999999999999</v>
          </cell>
          <cell r="L3234">
            <v>50137</v>
          </cell>
          <cell r="M3234">
            <v>6666</v>
          </cell>
          <cell r="N3234">
            <v>414694.92560925271</v>
          </cell>
          <cell r="O3234">
            <v>419838.2639293879</v>
          </cell>
          <cell r="P3234">
            <v>203.67599999999999</v>
          </cell>
        </row>
        <row r="3235">
          <cell r="B3235">
            <v>35401</v>
          </cell>
          <cell r="C3235">
            <v>2.52</v>
          </cell>
          <cell r="D3235">
            <v>1.0330999999999999</v>
          </cell>
          <cell r="E3235">
            <v>50118</v>
          </cell>
          <cell r="F3235">
            <v>6735.6</v>
          </cell>
          <cell r="J3235">
            <v>1330377.1757038685</v>
          </cell>
          <cell r="K3235">
            <v>1.0330999999999999</v>
          </cell>
          <cell r="L3235">
            <v>50118</v>
          </cell>
          <cell r="M3235">
            <v>6735.6</v>
          </cell>
          <cell r="N3235">
            <v>414694.92560925271</v>
          </cell>
          <cell r="O3235">
            <v>419838.2639293879</v>
          </cell>
          <cell r="P3235">
            <v>203.67599999999999</v>
          </cell>
        </row>
        <row r="3236">
          <cell r="B3236">
            <v>35402</v>
          </cell>
          <cell r="C3236">
            <v>2.4900000000000002</v>
          </cell>
          <cell r="D3236">
            <v>1.0330999999999999</v>
          </cell>
          <cell r="E3236">
            <v>50276</v>
          </cell>
          <cell r="F3236">
            <v>6836.8</v>
          </cell>
          <cell r="J3236">
            <v>1331481.3887597029</v>
          </cell>
          <cell r="K3236">
            <v>1.0330999999999999</v>
          </cell>
          <cell r="L3236">
            <v>50276</v>
          </cell>
          <cell r="M3236">
            <v>6836.8</v>
          </cell>
          <cell r="N3236">
            <v>414694.92560925271</v>
          </cell>
          <cell r="O3236">
            <v>419838.2639293879</v>
          </cell>
          <cell r="P3236">
            <v>203.67599999999999</v>
          </cell>
        </row>
        <row r="3237">
          <cell r="B3237">
            <v>35403</v>
          </cell>
          <cell r="C3237">
            <v>2.4900000000000002</v>
          </cell>
          <cell r="D3237">
            <v>1.0338000000000001</v>
          </cell>
          <cell r="E3237">
            <v>50127</v>
          </cell>
          <cell r="F3237">
            <v>6797.6</v>
          </cell>
          <cell r="J3237">
            <v>1332586.5183123737</v>
          </cell>
          <cell r="K3237">
            <v>1.0338000000000001</v>
          </cell>
          <cell r="L3237">
            <v>50127</v>
          </cell>
          <cell r="M3237">
            <v>6797.6</v>
          </cell>
          <cell r="N3237">
            <v>414694.92560925271</v>
          </cell>
          <cell r="O3237">
            <v>419838.2639293879</v>
          </cell>
          <cell r="P3237">
            <v>203.67599999999999</v>
          </cell>
        </row>
        <row r="3238">
          <cell r="B3238">
            <v>35404</v>
          </cell>
          <cell r="C3238">
            <v>2.5289999999999999</v>
          </cell>
          <cell r="D3238">
            <v>1.0346</v>
          </cell>
          <cell r="E3238">
            <v>50284</v>
          </cell>
          <cell r="F3238">
            <v>6947.1</v>
          </cell>
          <cell r="J3238">
            <v>1333709.888747311</v>
          </cell>
          <cell r="K3238">
            <v>1.0346</v>
          </cell>
          <cell r="L3238">
            <v>50284</v>
          </cell>
          <cell r="M3238">
            <v>6947.1</v>
          </cell>
          <cell r="N3238">
            <v>414694.92560925271</v>
          </cell>
          <cell r="O3238">
            <v>419838.2639293879</v>
          </cell>
          <cell r="P3238">
            <v>203.67599999999999</v>
          </cell>
        </row>
        <row r="3239">
          <cell r="B3239">
            <v>35405</v>
          </cell>
          <cell r="C3239">
            <v>2.4990000000000001</v>
          </cell>
          <cell r="D3239">
            <v>1.0350999999999999</v>
          </cell>
          <cell r="E3239">
            <v>50050</v>
          </cell>
          <cell r="F3239">
            <v>6872.9</v>
          </cell>
          <cell r="J3239">
            <v>1334820.8690846376</v>
          </cell>
          <cell r="K3239">
            <v>1.0350999999999999</v>
          </cell>
          <cell r="L3239">
            <v>50050</v>
          </cell>
          <cell r="M3239">
            <v>6872.9</v>
          </cell>
          <cell r="N3239">
            <v>414694.92560925271</v>
          </cell>
          <cell r="O3239">
            <v>419838.2639293879</v>
          </cell>
          <cell r="P3239">
            <v>203.67599999999999</v>
          </cell>
        </row>
        <row r="3240">
          <cell r="B3240">
            <v>35408</v>
          </cell>
          <cell r="C3240">
            <v>2.508</v>
          </cell>
          <cell r="D3240">
            <v>1.0349999999999999</v>
          </cell>
          <cell r="E3240">
            <v>49862</v>
          </cell>
          <cell r="F3240">
            <v>6836.3</v>
          </cell>
          <cell r="J3240">
            <v>1335936.7793311924</v>
          </cell>
          <cell r="K3240">
            <v>1.0349999999999999</v>
          </cell>
          <cell r="L3240">
            <v>49862</v>
          </cell>
          <cell r="M3240">
            <v>6836.3</v>
          </cell>
          <cell r="N3240">
            <v>414694.92560925271</v>
          </cell>
          <cell r="O3240">
            <v>419838.2639293879</v>
          </cell>
          <cell r="P3240">
            <v>203.67599999999999</v>
          </cell>
        </row>
        <row r="3241">
          <cell r="B3241">
            <v>35409</v>
          </cell>
          <cell r="C3241">
            <v>2.52</v>
          </cell>
          <cell r="D3241">
            <v>1.0359</v>
          </cell>
          <cell r="E3241">
            <v>49805</v>
          </cell>
          <cell r="F3241">
            <v>6855.8</v>
          </cell>
          <cell r="J3241">
            <v>1337058.9662258306</v>
          </cell>
          <cell r="K3241">
            <v>1.0359</v>
          </cell>
          <cell r="L3241">
            <v>49805</v>
          </cell>
          <cell r="M3241">
            <v>6855.8</v>
          </cell>
          <cell r="N3241">
            <v>414694.92560925271</v>
          </cell>
          <cell r="O3241">
            <v>419838.2639293879</v>
          </cell>
          <cell r="P3241">
            <v>203.67599999999999</v>
          </cell>
        </row>
        <row r="3242">
          <cell r="B3242">
            <v>35410</v>
          </cell>
          <cell r="C3242">
            <v>2.52</v>
          </cell>
          <cell r="D3242">
            <v>1.0368999999999999</v>
          </cell>
          <cell r="E3242">
            <v>49303</v>
          </cell>
          <cell r="F3242">
            <v>6677.7</v>
          </cell>
          <cell r="J3242">
            <v>1338182.0957574602</v>
          </cell>
          <cell r="K3242">
            <v>1.0368999999999999</v>
          </cell>
          <cell r="L3242">
            <v>49303</v>
          </cell>
          <cell r="M3242">
            <v>6677.7</v>
          </cell>
          <cell r="N3242">
            <v>414694.92560925271</v>
          </cell>
          <cell r="O3242">
            <v>419838.2639293879</v>
          </cell>
          <cell r="P3242">
            <v>203.67599999999999</v>
          </cell>
        </row>
        <row r="3243">
          <cell r="B3243">
            <v>35411</v>
          </cell>
          <cell r="C3243">
            <v>2.5289999999999999</v>
          </cell>
          <cell r="D3243">
            <v>1.0375000000000001</v>
          </cell>
          <cell r="E3243">
            <v>49169</v>
          </cell>
          <cell r="F3243">
            <v>6657.4</v>
          </cell>
          <cell r="J3243">
            <v>1339310.1832641836</v>
          </cell>
          <cell r="K3243">
            <v>1.0375000000000001</v>
          </cell>
          <cell r="L3243">
            <v>49169</v>
          </cell>
          <cell r="M3243">
            <v>6657.4</v>
          </cell>
          <cell r="N3243">
            <v>414694.92560925271</v>
          </cell>
          <cell r="O3243">
            <v>419838.2639293879</v>
          </cell>
          <cell r="P3243">
            <v>203.67599999999999</v>
          </cell>
        </row>
        <row r="3244">
          <cell r="B3244">
            <v>35412</v>
          </cell>
          <cell r="C3244">
            <v>2.5379999999999998</v>
          </cell>
          <cell r="D3244">
            <v>1.0381</v>
          </cell>
          <cell r="E3244">
            <v>49269</v>
          </cell>
          <cell r="F3244">
            <v>6680.1</v>
          </cell>
          <cell r="J3244">
            <v>1340443.239679225</v>
          </cell>
          <cell r="K3244">
            <v>1.0381</v>
          </cell>
          <cell r="L3244">
            <v>49269</v>
          </cell>
          <cell r="M3244">
            <v>6680.1</v>
          </cell>
          <cell r="N3244">
            <v>414694.92560925271</v>
          </cell>
          <cell r="O3244">
            <v>419838.2639293879</v>
          </cell>
          <cell r="P3244">
            <v>203.67599999999999</v>
          </cell>
        </row>
        <row r="3245">
          <cell r="B3245">
            <v>35415</v>
          </cell>
          <cell r="C3245">
            <v>2.5379999999999998</v>
          </cell>
          <cell r="D3245">
            <v>1.0388999999999999</v>
          </cell>
          <cell r="E3245">
            <v>48760</v>
          </cell>
          <cell r="F3245">
            <v>6654.3</v>
          </cell>
          <cell r="J3245">
            <v>1341577.2546599936</v>
          </cell>
          <cell r="K3245">
            <v>1.0388999999999999</v>
          </cell>
          <cell r="L3245">
            <v>48760</v>
          </cell>
          <cell r="M3245">
            <v>6654.3</v>
          </cell>
          <cell r="N3245">
            <v>414694.92560925271</v>
          </cell>
          <cell r="O3245">
            <v>419838.2639293879</v>
          </cell>
          <cell r="P3245">
            <v>203.67599999999999</v>
          </cell>
        </row>
        <row r="3246">
          <cell r="B3246">
            <v>35416</v>
          </cell>
          <cell r="C3246">
            <v>2.5499999999999998</v>
          </cell>
          <cell r="D3246">
            <v>1.0407</v>
          </cell>
          <cell r="E3246">
            <v>49655</v>
          </cell>
          <cell r="F3246">
            <v>6784.5</v>
          </cell>
          <cell r="J3246">
            <v>1342717.5953264546</v>
          </cell>
          <cell r="K3246">
            <v>1.0407</v>
          </cell>
          <cell r="L3246">
            <v>49655</v>
          </cell>
          <cell r="M3246">
            <v>6784.5</v>
          </cell>
          <cell r="N3246">
            <v>414694.92560925271</v>
          </cell>
          <cell r="O3246">
            <v>419838.2639293879</v>
          </cell>
          <cell r="P3246">
            <v>203.67599999999999</v>
          </cell>
        </row>
        <row r="3247">
          <cell r="B3247">
            <v>35417</v>
          </cell>
          <cell r="C3247">
            <v>2.61</v>
          </cell>
          <cell r="D3247">
            <v>1.0383</v>
          </cell>
          <cell r="E3247">
            <v>51379</v>
          </cell>
          <cell r="F3247">
            <v>6910.4</v>
          </cell>
          <cell r="J3247">
            <v>1343885.7596343886</v>
          </cell>
          <cell r="K3247">
            <v>1.0383</v>
          </cell>
          <cell r="L3247">
            <v>51379</v>
          </cell>
          <cell r="M3247">
            <v>6910.4</v>
          </cell>
          <cell r="N3247">
            <v>414694.92560925271</v>
          </cell>
          <cell r="O3247">
            <v>419838.2639293879</v>
          </cell>
          <cell r="P3247">
            <v>203.67599999999999</v>
          </cell>
        </row>
        <row r="3248">
          <cell r="B3248">
            <v>35418</v>
          </cell>
          <cell r="C3248">
            <v>2.5590000000000002</v>
          </cell>
          <cell r="D3248">
            <v>1.0384</v>
          </cell>
          <cell r="E3248">
            <v>50492</v>
          </cell>
          <cell r="F3248">
            <v>6891.6</v>
          </cell>
          <cell r="J3248">
            <v>1345032.0941873568</v>
          </cell>
          <cell r="K3248">
            <v>1.0384</v>
          </cell>
          <cell r="L3248">
            <v>50492</v>
          </cell>
          <cell r="M3248">
            <v>6891.6</v>
          </cell>
          <cell r="N3248">
            <v>414694.92560925271</v>
          </cell>
          <cell r="O3248">
            <v>419838.2639293879</v>
          </cell>
          <cell r="P3248">
            <v>203.67599999999999</v>
          </cell>
        </row>
        <row r="3249">
          <cell r="B3249">
            <v>35419</v>
          </cell>
          <cell r="C3249">
            <v>2.5680000000000001</v>
          </cell>
          <cell r="D3249">
            <v>1.0387</v>
          </cell>
          <cell r="E3249">
            <v>51100</v>
          </cell>
          <cell r="F3249">
            <v>6942.2</v>
          </cell>
          <cell r="J3249">
            <v>1346183.4416599812</v>
          </cell>
          <cell r="K3249">
            <v>1.0387</v>
          </cell>
          <cell r="L3249">
            <v>51100</v>
          </cell>
          <cell r="M3249">
            <v>6942.2</v>
          </cell>
          <cell r="N3249">
            <v>414694.92560925271</v>
          </cell>
          <cell r="O3249">
            <v>419838.2639293879</v>
          </cell>
          <cell r="P3249">
            <v>203.67599999999999</v>
          </cell>
        </row>
        <row r="3250">
          <cell r="B3250">
            <v>35422</v>
          </cell>
          <cell r="C3250">
            <v>2.58</v>
          </cell>
          <cell r="D3250">
            <v>1.0387999999999999</v>
          </cell>
          <cell r="E3250">
            <v>50846</v>
          </cell>
          <cell r="F3250">
            <v>6912.5</v>
          </cell>
          <cell r="J3250">
            <v>1347341.1594198088</v>
          </cell>
          <cell r="K3250">
            <v>1.0387999999999999</v>
          </cell>
          <cell r="L3250">
            <v>50846</v>
          </cell>
          <cell r="M3250">
            <v>6912.5</v>
          </cell>
          <cell r="N3250">
            <v>414694.92560925271</v>
          </cell>
          <cell r="O3250">
            <v>419838.2639293879</v>
          </cell>
          <cell r="P3250">
            <v>203.67599999999999</v>
          </cell>
        </row>
        <row r="3251">
          <cell r="B3251">
            <v>35423</v>
          </cell>
          <cell r="C3251">
            <v>2.58</v>
          </cell>
          <cell r="J3251">
            <v>1348499.8728169098</v>
          </cell>
          <cell r="K3251">
            <v>1.0387999999999999</v>
          </cell>
          <cell r="L3251">
            <v>50846</v>
          </cell>
          <cell r="M3251">
            <v>6912.5</v>
          </cell>
          <cell r="N3251">
            <v>414694.92560925271</v>
          </cell>
          <cell r="O3251">
            <v>419838.2639293879</v>
          </cell>
          <cell r="P3251">
            <v>203.67599999999999</v>
          </cell>
        </row>
        <row r="3252">
          <cell r="B3252">
            <v>35425</v>
          </cell>
          <cell r="C3252">
            <v>2.5680000000000001</v>
          </cell>
          <cell r="D3252">
            <v>1.0388999999999999</v>
          </cell>
          <cell r="E3252">
            <v>51039</v>
          </cell>
          <cell r="F3252">
            <v>6957.7</v>
          </cell>
          <cell r="J3252">
            <v>1349654.1887080411</v>
          </cell>
          <cell r="K3252">
            <v>1.0388999999999999</v>
          </cell>
          <cell r="L3252">
            <v>51039</v>
          </cell>
          <cell r="M3252">
            <v>6957.7</v>
          </cell>
          <cell r="N3252">
            <v>414694.92560925271</v>
          </cell>
          <cell r="O3252">
            <v>419838.2639293879</v>
          </cell>
          <cell r="P3252">
            <v>203.67599999999999</v>
          </cell>
        </row>
        <row r="3253">
          <cell r="B3253">
            <v>35426</v>
          </cell>
          <cell r="C3253">
            <v>2.5590000000000002</v>
          </cell>
          <cell r="D3253">
            <v>1.0399</v>
          </cell>
          <cell r="E3253">
            <v>51519</v>
          </cell>
          <cell r="F3253">
            <v>7006.8</v>
          </cell>
          <cell r="J3253">
            <v>1350805.443731009</v>
          </cell>
          <cell r="K3253">
            <v>1.0399</v>
          </cell>
          <cell r="L3253">
            <v>51519</v>
          </cell>
          <cell r="M3253">
            <v>7006.8</v>
          </cell>
          <cell r="N3253">
            <v>414694.92560925271</v>
          </cell>
          <cell r="O3253">
            <v>419838.2639293879</v>
          </cell>
          <cell r="P3253">
            <v>203.67599999999999</v>
          </cell>
        </row>
        <row r="3254">
          <cell r="B3254">
            <v>35429</v>
          </cell>
          <cell r="C3254">
            <v>2.4990000000000001</v>
          </cell>
          <cell r="D3254">
            <v>1.0394000000000001</v>
          </cell>
          <cell r="E3254">
            <v>51976</v>
          </cell>
          <cell r="F3254">
            <v>7039.9</v>
          </cell>
          <cell r="H3254">
            <v>0.73</v>
          </cell>
          <cell r="J3254">
            <v>1351930.6646656371</v>
          </cell>
          <cell r="K3254">
            <v>1.0394000000000001</v>
          </cell>
          <cell r="L3254">
            <v>51976</v>
          </cell>
          <cell r="M3254">
            <v>7039.9</v>
          </cell>
          <cell r="N3254">
            <v>414694.92560925271</v>
          </cell>
          <cell r="O3254">
            <v>422903.08325607248</v>
          </cell>
          <cell r="P3254">
            <v>203.67599999999999</v>
          </cell>
        </row>
        <row r="3255">
          <cell r="B3255">
            <v>35430</v>
          </cell>
          <cell r="C3255">
            <v>2.4990000000000001</v>
          </cell>
          <cell r="G3255">
            <v>0.88</v>
          </cell>
          <cell r="I3255">
            <v>206.47890000000001</v>
          </cell>
          <cell r="J3255">
            <v>1353056.8229093037</v>
          </cell>
          <cell r="K3255">
            <v>1.0394000000000001</v>
          </cell>
          <cell r="L3255">
            <v>51976</v>
          </cell>
          <cell r="M3255">
            <v>7039.9</v>
          </cell>
          <cell r="N3255">
            <v>418344.24095461407</v>
          </cell>
          <cell r="O3255">
            <v>422903.08325607248</v>
          </cell>
          <cell r="P3255">
            <v>206.47890000000001</v>
          </cell>
        </row>
        <row r="3256">
          <cell r="B3256">
            <v>35432</v>
          </cell>
          <cell r="C3256">
            <v>2.319</v>
          </cell>
          <cell r="D3256">
            <v>1.0395000000000001</v>
          </cell>
          <cell r="E3256">
            <v>51663</v>
          </cell>
          <cell r="F3256">
            <v>6955.5</v>
          </cell>
          <cell r="J3256">
            <v>1354102.7358334125</v>
          </cell>
          <cell r="K3256">
            <v>1.0395000000000001</v>
          </cell>
          <cell r="L3256">
            <v>51663</v>
          </cell>
          <cell r="M3256">
            <v>6955.5</v>
          </cell>
          <cell r="N3256">
            <v>418344.24095461407</v>
          </cell>
          <cell r="O3256">
            <v>422903.08325607248</v>
          </cell>
          <cell r="P3256">
            <v>206.47890000000001</v>
          </cell>
        </row>
        <row r="3257">
          <cell r="B3257">
            <v>35433</v>
          </cell>
          <cell r="C3257">
            <v>2.31</v>
          </cell>
          <cell r="D3257">
            <v>1.0398000000000001</v>
          </cell>
          <cell r="E3257">
            <v>51807</v>
          </cell>
          <cell r="F3257">
            <v>6997.7</v>
          </cell>
          <cell r="J3257">
            <v>1355145.3949400042</v>
          </cell>
          <cell r="K3257">
            <v>1.0398000000000001</v>
          </cell>
          <cell r="L3257">
            <v>51807</v>
          </cell>
          <cell r="M3257">
            <v>6997.7</v>
          </cell>
          <cell r="N3257">
            <v>418344.24095461407</v>
          </cell>
          <cell r="O3257">
            <v>422903.08325607248</v>
          </cell>
          <cell r="P3257">
            <v>206.47890000000001</v>
          </cell>
        </row>
        <row r="3258">
          <cell r="B3258">
            <v>35436</v>
          </cell>
          <cell r="C3258">
            <v>2.31</v>
          </cell>
          <cell r="D3258">
            <v>1.0405</v>
          </cell>
          <cell r="E3258">
            <v>52003</v>
          </cell>
          <cell r="F3258">
            <v>7159.5</v>
          </cell>
          <cell r="J3258">
            <v>1356188.856894108</v>
          </cell>
          <cell r="K3258">
            <v>1.0405</v>
          </cell>
          <cell r="L3258">
            <v>52003</v>
          </cell>
          <cell r="M3258">
            <v>7159.5</v>
          </cell>
          <cell r="N3258">
            <v>418344.24095461407</v>
          </cell>
          <cell r="O3258">
            <v>422903.08325607248</v>
          </cell>
          <cell r="P3258">
            <v>206.47890000000001</v>
          </cell>
        </row>
        <row r="3259">
          <cell r="B3259">
            <v>35437</v>
          </cell>
          <cell r="C3259">
            <v>2.31</v>
          </cell>
          <cell r="D3259">
            <v>1.0405</v>
          </cell>
          <cell r="E3259">
            <v>52394</v>
          </cell>
          <cell r="F3259">
            <v>7297.4</v>
          </cell>
          <cell r="J3259">
            <v>1357233.1223139165</v>
          </cell>
          <cell r="K3259">
            <v>1.0405</v>
          </cell>
          <cell r="L3259">
            <v>52394</v>
          </cell>
          <cell r="M3259">
            <v>7297.4</v>
          </cell>
          <cell r="N3259">
            <v>418344.24095461407</v>
          </cell>
          <cell r="O3259">
            <v>422903.08325607248</v>
          </cell>
          <cell r="P3259">
            <v>206.47890000000001</v>
          </cell>
        </row>
        <row r="3260">
          <cell r="B3260">
            <v>35438</v>
          </cell>
          <cell r="C3260">
            <v>2.31</v>
          </cell>
          <cell r="D3260">
            <v>1.0409999999999999</v>
          </cell>
          <cell r="E3260">
            <v>52791</v>
          </cell>
          <cell r="F3260">
            <v>7427</v>
          </cell>
          <cell r="J3260">
            <v>1358278.1918180981</v>
          </cell>
          <cell r="K3260">
            <v>1.0409999999999999</v>
          </cell>
          <cell r="L3260">
            <v>52791</v>
          </cell>
          <cell r="M3260">
            <v>7427</v>
          </cell>
          <cell r="N3260">
            <v>418344.24095461407</v>
          </cell>
          <cell r="O3260">
            <v>422903.08325607248</v>
          </cell>
          <cell r="P3260">
            <v>206.47890000000001</v>
          </cell>
        </row>
        <row r="3261">
          <cell r="B3261">
            <v>35439</v>
          </cell>
          <cell r="C3261">
            <v>2.31</v>
          </cell>
          <cell r="D3261">
            <v>1.0415000000000001</v>
          </cell>
          <cell r="E3261">
            <v>52776</v>
          </cell>
          <cell r="F3261">
            <v>7454.2</v>
          </cell>
          <cell r="J3261">
            <v>1359324.066025798</v>
          </cell>
          <cell r="K3261">
            <v>1.0415000000000001</v>
          </cell>
          <cell r="L3261">
            <v>52776</v>
          </cell>
          <cell r="M3261">
            <v>7454.2</v>
          </cell>
          <cell r="N3261">
            <v>418344.24095461407</v>
          </cell>
          <cell r="O3261">
            <v>422903.08325607248</v>
          </cell>
          <cell r="P3261">
            <v>206.47890000000001</v>
          </cell>
        </row>
        <row r="3262">
          <cell r="B3262">
            <v>35440</v>
          </cell>
          <cell r="C3262">
            <v>2.3279999999999998</v>
          </cell>
          <cell r="D3262">
            <v>1.0414000000000001</v>
          </cell>
          <cell r="E3262">
            <v>52699</v>
          </cell>
          <cell r="F3262">
            <v>7478.3</v>
          </cell>
          <cell r="J3262">
            <v>1360378.9015010342</v>
          </cell>
          <cell r="K3262">
            <v>1.0414000000000001</v>
          </cell>
          <cell r="L3262">
            <v>52699</v>
          </cell>
          <cell r="M3262">
            <v>7478.3</v>
          </cell>
          <cell r="N3262">
            <v>418344.24095461407</v>
          </cell>
          <cell r="O3262">
            <v>422903.08325607248</v>
          </cell>
          <cell r="P3262">
            <v>206.47890000000001</v>
          </cell>
        </row>
        <row r="3263">
          <cell r="B3263">
            <v>35443</v>
          </cell>
          <cell r="C3263">
            <v>2.3279999999999998</v>
          </cell>
          <cell r="D3263">
            <v>1.042</v>
          </cell>
          <cell r="E3263">
            <v>52454</v>
          </cell>
          <cell r="F3263">
            <v>7411.7</v>
          </cell>
          <cell r="J3263">
            <v>1361434.5555285991</v>
          </cell>
          <cell r="K3263">
            <v>1.042</v>
          </cell>
          <cell r="L3263">
            <v>52454</v>
          </cell>
          <cell r="M3263">
            <v>7411.7</v>
          </cell>
          <cell r="N3263">
            <v>418344.24095461407</v>
          </cell>
          <cell r="O3263">
            <v>422903.08325607248</v>
          </cell>
          <cell r="P3263">
            <v>206.47890000000001</v>
          </cell>
        </row>
        <row r="3264">
          <cell r="B3264">
            <v>35444</v>
          </cell>
          <cell r="C3264">
            <v>2.3279999999999998</v>
          </cell>
          <cell r="D3264">
            <v>1.0422</v>
          </cell>
          <cell r="E3264">
            <v>52800</v>
          </cell>
          <cell r="F3264">
            <v>7621.1</v>
          </cell>
          <cell r="J3264">
            <v>1362491.0287436894</v>
          </cell>
          <cell r="K3264">
            <v>1.0422</v>
          </cell>
          <cell r="L3264">
            <v>52800</v>
          </cell>
          <cell r="M3264">
            <v>7621.1</v>
          </cell>
          <cell r="N3264">
            <v>418344.24095461407</v>
          </cell>
          <cell r="O3264">
            <v>422903.08325607248</v>
          </cell>
          <cell r="P3264">
            <v>206.47890000000001</v>
          </cell>
        </row>
        <row r="3265">
          <cell r="B3265">
            <v>35445</v>
          </cell>
          <cell r="C3265">
            <v>2.3279999999999998</v>
          </cell>
          <cell r="D3265">
            <v>1.0426</v>
          </cell>
          <cell r="E3265">
            <v>53235</v>
          </cell>
          <cell r="F3265">
            <v>7667.5</v>
          </cell>
          <cell r="J3265">
            <v>1363548.3217819948</v>
          </cell>
          <cell r="K3265">
            <v>1.0426</v>
          </cell>
          <cell r="L3265">
            <v>53235</v>
          </cell>
          <cell r="M3265">
            <v>7667.5</v>
          </cell>
          <cell r="N3265">
            <v>418344.24095461407</v>
          </cell>
          <cell r="O3265">
            <v>422903.08325607248</v>
          </cell>
          <cell r="P3265">
            <v>206.47890000000001</v>
          </cell>
        </row>
        <row r="3266">
          <cell r="B3266">
            <v>35446</v>
          </cell>
          <cell r="C3266">
            <v>2.3279999999999998</v>
          </cell>
          <cell r="D3266">
            <v>1.0436000000000001</v>
          </cell>
          <cell r="E3266">
            <v>53426</v>
          </cell>
          <cell r="F3266">
            <v>7655.8</v>
          </cell>
          <cell r="J3266">
            <v>1364606.4352796976</v>
          </cell>
          <cell r="K3266">
            <v>1.0436000000000001</v>
          </cell>
          <cell r="L3266">
            <v>53426</v>
          </cell>
          <cell r="M3266">
            <v>7655.8</v>
          </cell>
          <cell r="N3266">
            <v>418344.24095461407</v>
          </cell>
          <cell r="O3266">
            <v>422903.08325607248</v>
          </cell>
          <cell r="P3266">
            <v>206.47890000000001</v>
          </cell>
        </row>
        <row r="3267">
          <cell r="B3267">
            <v>35447</v>
          </cell>
          <cell r="C3267">
            <v>2.34</v>
          </cell>
          <cell r="D3267">
            <v>1.0439000000000001</v>
          </cell>
          <cell r="E3267">
            <v>53383</v>
          </cell>
          <cell r="F3267">
            <v>7816.2</v>
          </cell>
          <cell r="J3267">
            <v>1365670.8282992158</v>
          </cell>
          <cell r="K3267">
            <v>1.0439000000000001</v>
          </cell>
          <cell r="L3267">
            <v>53383</v>
          </cell>
          <cell r="M3267">
            <v>7816.2</v>
          </cell>
          <cell r="N3267">
            <v>418344.24095461407</v>
          </cell>
          <cell r="O3267">
            <v>422903.08325607248</v>
          </cell>
          <cell r="P3267">
            <v>206.47890000000001</v>
          </cell>
        </row>
        <row r="3268">
          <cell r="B3268">
            <v>35450</v>
          </cell>
          <cell r="C3268">
            <v>2.34</v>
          </cell>
          <cell r="D3268">
            <v>1.0431999999999999</v>
          </cell>
          <cell r="E3268">
            <v>53679</v>
          </cell>
          <cell r="F3268">
            <v>7835.4</v>
          </cell>
          <cell r="J3268">
            <v>1366736.0515452891</v>
          </cell>
          <cell r="K3268">
            <v>1.0431999999999999</v>
          </cell>
          <cell r="L3268">
            <v>53679</v>
          </cell>
          <cell r="M3268">
            <v>7835.4</v>
          </cell>
          <cell r="N3268">
            <v>418344.24095461407</v>
          </cell>
          <cell r="O3268">
            <v>422903.08325607248</v>
          </cell>
          <cell r="P3268">
            <v>206.47890000000001</v>
          </cell>
        </row>
        <row r="3269">
          <cell r="B3269">
            <v>35451</v>
          </cell>
          <cell r="C3269">
            <v>2.3279999999999998</v>
          </cell>
          <cell r="D3269">
            <v>1.0435000000000001</v>
          </cell>
          <cell r="E3269">
            <v>53845</v>
          </cell>
          <cell r="F3269">
            <v>7904.9</v>
          </cell>
          <cell r="J3269">
            <v>1367796.6387212884</v>
          </cell>
          <cell r="K3269">
            <v>1.0435000000000001</v>
          </cell>
          <cell r="L3269">
            <v>53845</v>
          </cell>
          <cell r="M3269">
            <v>7904.9</v>
          </cell>
          <cell r="N3269">
            <v>418344.24095461407</v>
          </cell>
          <cell r="O3269">
            <v>422903.08325607248</v>
          </cell>
          <cell r="P3269">
            <v>206.47890000000001</v>
          </cell>
        </row>
        <row r="3270">
          <cell r="B3270">
            <v>35452</v>
          </cell>
          <cell r="C3270">
            <v>2.3279999999999998</v>
          </cell>
          <cell r="D3270">
            <v>1.0436000000000001</v>
          </cell>
          <cell r="E3270">
            <v>53590</v>
          </cell>
          <cell r="F3270">
            <v>7817.5</v>
          </cell>
          <cell r="J3270">
            <v>1368858.0489129364</v>
          </cell>
          <cell r="K3270">
            <v>1.0436000000000001</v>
          </cell>
          <cell r="L3270">
            <v>53590</v>
          </cell>
          <cell r="M3270">
            <v>7817.5</v>
          </cell>
          <cell r="N3270">
            <v>418344.24095461407</v>
          </cell>
          <cell r="O3270">
            <v>422903.08325607248</v>
          </cell>
          <cell r="P3270">
            <v>206.47890000000001</v>
          </cell>
        </row>
        <row r="3271">
          <cell r="B3271">
            <v>35453</v>
          </cell>
          <cell r="C3271">
            <v>2.34</v>
          </cell>
          <cell r="D3271">
            <v>1.0438000000000001</v>
          </cell>
          <cell r="E3271">
            <v>54237</v>
          </cell>
          <cell r="F3271">
            <v>7890.6</v>
          </cell>
          <cell r="J3271">
            <v>1369925.7581910884</v>
          </cell>
          <cell r="K3271">
            <v>1.0438000000000001</v>
          </cell>
          <cell r="L3271">
            <v>54237</v>
          </cell>
          <cell r="M3271">
            <v>7890.6</v>
          </cell>
          <cell r="N3271">
            <v>418344.24095461407</v>
          </cell>
          <cell r="O3271">
            <v>422903.08325607248</v>
          </cell>
          <cell r="P3271">
            <v>206.47890000000001</v>
          </cell>
        </row>
        <row r="3272">
          <cell r="B3272">
            <v>35454</v>
          </cell>
          <cell r="C3272">
            <v>2.3490000000000002</v>
          </cell>
          <cell r="D3272">
            <v>1.0441</v>
          </cell>
          <cell r="E3272">
            <v>54299</v>
          </cell>
          <cell r="F3272">
            <v>7759.7</v>
          </cell>
          <cell r="J3272">
            <v>1370998.4100597519</v>
          </cell>
          <cell r="K3272">
            <v>1.0441</v>
          </cell>
          <cell r="L3272">
            <v>54299</v>
          </cell>
          <cell r="M3272">
            <v>7759.7</v>
          </cell>
          <cell r="N3272">
            <v>418344.24095461407</v>
          </cell>
          <cell r="O3272">
            <v>422903.08325607248</v>
          </cell>
          <cell r="P3272">
            <v>206.47890000000001</v>
          </cell>
        </row>
        <row r="3273">
          <cell r="B3273">
            <v>35457</v>
          </cell>
          <cell r="C3273">
            <v>2.34</v>
          </cell>
          <cell r="D3273">
            <v>1.0441</v>
          </cell>
          <cell r="E3273">
            <v>54128</v>
          </cell>
          <cell r="F3273">
            <v>7759</v>
          </cell>
          <cell r="J3273">
            <v>1372067.7888195985</v>
          </cell>
          <cell r="K3273">
            <v>1.0441</v>
          </cell>
          <cell r="L3273">
            <v>54128</v>
          </cell>
          <cell r="M3273">
            <v>7759</v>
          </cell>
          <cell r="N3273">
            <v>418344.24095461407</v>
          </cell>
          <cell r="O3273">
            <v>422903.08325607248</v>
          </cell>
          <cell r="P3273">
            <v>206.47890000000001</v>
          </cell>
        </row>
        <row r="3274">
          <cell r="B3274">
            <v>35458</v>
          </cell>
          <cell r="C3274">
            <v>2.379</v>
          </cell>
          <cell r="D3274">
            <v>1.0448999999999999</v>
          </cell>
          <cell r="E3274">
            <v>54439</v>
          </cell>
          <cell r="F3274">
            <v>7849.7</v>
          </cell>
          <cell r="J3274">
            <v>1373155.8385761324</v>
          </cell>
          <cell r="K3274">
            <v>1.0448999999999999</v>
          </cell>
          <cell r="L3274">
            <v>54439</v>
          </cell>
          <cell r="M3274">
            <v>7849.7</v>
          </cell>
          <cell r="N3274">
            <v>418344.24095461407</v>
          </cell>
          <cell r="O3274">
            <v>422903.08325607248</v>
          </cell>
          <cell r="P3274">
            <v>206.47890000000001</v>
          </cell>
        </row>
        <row r="3275">
          <cell r="B3275">
            <v>35459</v>
          </cell>
          <cell r="C3275">
            <v>2.34</v>
          </cell>
          <cell r="D3275">
            <v>1.0456000000000001</v>
          </cell>
          <cell r="E3275">
            <v>54095</v>
          </cell>
          <cell r="F3275">
            <v>7736.9</v>
          </cell>
          <cell r="J3275">
            <v>1374226.9001302219</v>
          </cell>
          <cell r="K3275">
            <v>1.0456000000000001</v>
          </cell>
          <cell r="L3275">
            <v>54095</v>
          </cell>
          <cell r="M3275">
            <v>7736.9</v>
          </cell>
          <cell r="N3275">
            <v>418344.24095461407</v>
          </cell>
          <cell r="O3275">
            <v>422903.08325607248</v>
          </cell>
          <cell r="P3275">
            <v>206.47890000000001</v>
          </cell>
        </row>
        <row r="3276">
          <cell r="B3276">
            <v>35460</v>
          </cell>
          <cell r="C3276">
            <v>2.4300000000000002</v>
          </cell>
          <cell r="D3276">
            <v>1.0457000000000001</v>
          </cell>
          <cell r="E3276">
            <v>54092</v>
          </cell>
          <cell r="F3276">
            <v>7788.8</v>
          </cell>
          <cell r="I3276">
            <v>209.05510000000001</v>
          </cell>
          <cell r="J3276">
            <v>1375340.0239193274</v>
          </cell>
          <cell r="K3276">
            <v>1.0457000000000001</v>
          </cell>
          <cell r="L3276">
            <v>54092</v>
          </cell>
          <cell r="M3276">
            <v>7788.8</v>
          </cell>
          <cell r="N3276">
            <v>418344.24095461407</v>
          </cell>
          <cell r="O3276">
            <v>422903.08325607248</v>
          </cell>
          <cell r="P3276">
            <v>209.05510000000001</v>
          </cell>
        </row>
        <row r="3277">
          <cell r="B3277">
            <v>35461</v>
          </cell>
          <cell r="C3277">
            <v>2.7480000000000002</v>
          </cell>
          <cell r="D3277">
            <v>1.0461</v>
          </cell>
          <cell r="E3277">
            <v>54810</v>
          </cell>
          <cell r="F3277">
            <v>7964.6</v>
          </cell>
          <cell r="G3277">
            <v>1.58</v>
          </cell>
          <cell r="H3277">
            <v>1.77</v>
          </cell>
          <cell r="J3277">
            <v>1376599.8353812373</v>
          </cell>
          <cell r="K3277">
            <v>1.0461</v>
          </cell>
          <cell r="L3277">
            <v>54810</v>
          </cell>
          <cell r="M3277">
            <v>7964.6</v>
          </cell>
          <cell r="N3277">
            <v>424954.07996169699</v>
          </cell>
          <cell r="O3277">
            <v>430388.46782970498</v>
          </cell>
          <cell r="P3277">
            <v>209.05510000000001</v>
          </cell>
        </row>
        <row r="3278">
          <cell r="B3278">
            <v>35464</v>
          </cell>
          <cell r="C3278">
            <v>2.7480000000000002</v>
          </cell>
          <cell r="D3278">
            <v>1.0457000000000001</v>
          </cell>
          <cell r="E3278">
            <v>55649</v>
          </cell>
          <cell r="F3278">
            <v>8095.9</v>
          </cell>
          <cell r="J3278">
            <v>1377860.8008304464</v>
          </cell>
          <cell r="K3278">
            <v>1.0457000000000001</v>
          </cell>
          <cell r="L3278">
            <v>55649</v>
          </cell>
          <cell r="M3278">
            <v>8095.9</v>
          </cell>
          <cell r="N3278">
            <v>424954.07996169699</v>
          </cell>
          <cell r="O3278">
            <v>430388.46782970498</v>
          </cell>
          <cell r="P3278">
            <v>209.05510000000001</v>
          </cell>
        </row>
        <row r="3279">
          <cell r="B3279">
            <v>35465</v>
          </cell>
          <cell r="C3279">
            <v>2.7690000000000001</v>
          </cell>
          <cell r="D3279">
            <v>1.0463</v>
          </cell>
          <cell r="E3279">
            <v>55806</v>
          </cell>
          <cell r="F3279">
            <v>8102.2</v>
          </cell>
          <cell r="J3279">
            <v>1379132.566349613</v>
          </cell>
          <cell r="K3279">
            <v>1.0463</v>
          </cell>
          <cell r="L3279">
            <v>55806</v>
          </cell>
          <cell r="M3279">
            <v>8102.2</v>
          </cell>
          <cell r="N3279">
            <v>424954.07996169699</v>
          </cell>
          <cell r="O3279">
            <v>430388.46782970498</v>
          </cell>
          <cell r="P3279">
            <v>209.05510000000001</v>
          </cell>
        </row>
        <row r="3280">
          <cell r="B3280">
            <v>35466</v>
          </cell>
          <cell r="C3280">
            <v>2.76</v>
          </cell>
          <cell r="D3280">
            <v>1.0469999999999999</v>
          </cell>
          <cell r="E3280">
            <v>56743</v>
          </cell>
          <cell r="F3280">
            <v>8171.1</v>
          </cell>
          <cell r="J3280">
            <v>1380401.3683106548</v>
          </cell>
          <cell r="K3280">
            <v>1.0469999999999999</v>
          </cell>
          <cell r="L3280">
            <v>56743</v>
          </cell>
          <cell r="M3280">
            <v>8171.1</v>
          </cell>
          <cell r="N3280">
            <v>424954.07996169699</v>
          </cell>
          <cell r="O3280">
            <v>430388.46782970498</v>
          </cell>
          <cell r="P3280">
            <v>209.05510000000001</v>
          </cell>
        </row>
        <row r="3281">
          <cell r="B3281">
            <v>35467</v>
          </cell>
          <cell r="C3281">
            <v>2.7690000000000001</v>
          </cell>
          <cell r="D3281">
            <v>1.0471999999999999</v>
          </cell>
          <cell r="E3281">
            <v>57232</v>
          </cell>
          <cell r="F3281">
            <v>8147.8</v>
          </cell>
          <cell r="J3281">
            <v>1381675.4787736055</v>
          </cell>
          <cell r="K3281">
            <v>1.0471999999999999</v>
          </cell>
          <cell r="L3281">
            <v>57232</v>
          </cell>
          <cell r="M3281">
            <v>8147.8</v>
          </cell>
          <cell r="N3281">
            <v>424954.07996169699</v>
          </cell>
          <cell r="O3281">
            <v>430388.46782970498</v>
          </cell>
          <cell r="P3281">
            <v>209.05510000000001</v>
          </cell>
        </row>
        <row r="3282">
          <cell r="B3282">
            <v>35468</v>
          </cell>
          <cell r="C3282">
            <v>2.7690000000000001</v>
          </cell>
          <cell r="D3282">
            <v>1.048</v>
          </cell>
          <cell r="E3282">
            <v>58269</v>
          </cell>
          <cell r="F3282">
            <v>8316.5</v>
          </cell>
          <cell r="J3282">
            <v>1382950.7652405135</v>
          </cell>
          <cell r="K3282">
            <v>1.048</v>
          </cell>
          <cell r="L3282">
            <v>58269</v>
          </cell>
          <cell r="M3282">
            <v>8316.5</v>
          </cell>
          <cell r="N3282">
            <v>424954.07996169699</v>
          </cell>
          <cell r="O3282">
            <v>430388.46782970498</v>
          </cell>
          <cell r="P3282">
            <v>209.05510000000001</v>
          </cell>
        </row>
        <row r="3283">
          <cell r="B3283">
            <v>35473</v>
          </cell>
          <cell r="C3283">
            <v>2.7690000000000001</v>
          </cell>
          <cell r="D3283">
            <v>1.0476000000000001</v>
          </cell>
          <cell r="E3283">
            <v>60255</v>
          </cell>
          <cell r="F3283">
            <v>8670.6</v>
          </cell>
          <cell r="J3283">
            <v>1384227.2287968304</v>
          </cell>
          <cell r="K3283">
            <v>1.0476000000000001</v>
          </cell>
          <cell r="L3283">
            <v>60255</v>
          </cell>
          <cell r="M3283">
            <v>8670.6</v>
          </cell>
          <cell r="N3283">
            <v>424954.07996169699</v>
          </cell>
          <cell r="O3283">
            <v>430388.46782970498</v>
          </cell>
          <cell r="P3283">
            <v>209.05510000000001</v>
          </cell>
        </row>
        <row r="3284">
          <cell r="B3284">
            <v>35474</v>
          </cell>
          <cell r="C3284">
            <v>2.79</v>
          </cell>
          <cell r="D3284">
            <v>1.0487</v>
          </cell>
          <cell r="E3284">
            <v>58823</v>
          </cell>
          <cell r="F3284">
            <v>8764.9</v>
          </cell>
          <cell r="J3284">
            <v>1385514.5601196117</v>
          </cell>
          <cell r="K3284">
            <v>1.0487</v>
          </cell>
          <cell r="L3284">
            <v>58823</v>
          </cell>
          <cell r="M3284">
            <v>8764.9</v>
          </cell>
          <cell r="N3284">
            <v>424954.07996169699</v>
          </cell>
          <cell r="O3284">
            <v>430388.46782970498</v>
          </cell>
          <cell r="P3284">
            <v>209.05510000000001</v>
          </cell>
        </row>
        <row r="3285">
          <cell r="B3285">
            <v>35475</v>
          </cell>
          <cell r="C3285">
            <v>2.79</v>
          </cell>
          <cell r="D3285">
            <v>1.0495000000000001</v>
          </cell>
          <cell r="E3285">
            <v>60124</v>
          </cell>
          <cell r="F3285">
            <v>8699.9</v>
          </cell>
          <cell r="J3285">
            <v>1386803.0886605231</v>
          </cell>
          <cell r="K3285">
            <v>1.0495000000000001</v>
          </cell>
          <cell r="L3285">
            <v>60124</v>
          </cell>
          <cell r="M3285">
            <v>8699.9</v>
          </cell>
          <cell r="N3285">
            <v>424954.07996169699</v>
          </cell>
          <cell r="O3285">
            <v>430388.46782970498</v>
          </cell>
          <cell r="P3285">
            <v>209.05510000000001</v>
          </cell>
        </row>
        <row r="3286">
          <cell r="B3286">
            <v>35478</v>
          </cell>
          <cell r="C3286">
            <v>2.7690000000000001</v>
          </cell>
          <cell r="D3286">
            <v>1.0490999999999999</v>
          </cell>
          <cell r="E3286">
            <v>60566</v>
          </cell>
          <cell r="F3286">
            <v>8816</v>
          </cell>
          <cell r="J3286">
            <v>1388083.1079113567</v>
          </cell>
          <cell r="K3286">
            <v>1.0490999999999999</v>
          </cell>
          <cell r="L3286">
            <v>60566</v>
          </cell>
          <cell r="M3286">
            <v>8816</v>
          </cell>
          <cell r="N3286">
            <v>424954.07996169699</v>
          </cell>
          <cell r="O3286">
            <v>430388.46782970498</v>
          </cell>
          <cell r="P3286">
            <v>209.05510000000001</v>
          </cell>
        </row>
        <row r="3287">
          <cell r="B3287">
            <v>35479</v>
          </cell>
          <cell r="C3287">
            <v>2.7690000000000001</v>
          </cell>
          <cell r="D3287">
            <v>1.0495000000000001</v>
          </cell>
          <cell r="E3287">
            <v>61457</v>
          </cell>
          <cell r="F3287">
            <v>8950.2000000000007</v>
          </cell>
          <cell r="J3287">
            <v>1389364.3086199588</v>
          </cell>
          <cell r="K3287">
            <v>1.0495000000000001</v>
          </cell>
          <cell r="L3287">
            <v>61457</v>
          </cell>
          <cell r="M3287">
            <v>8950.2000000000007</v>
          </cell>
          <cell r="N3287">
            <v>424954.07996169699</v>
          </cell>
          <cell r="O3287">
            <v>430388.46782970498</v>
          </cell>
          <cell r="P3287">
            <v>209.05510000000001</v>
          </cell>
        </row>
        <row r="3288">
          <cell r="B3288">
            <v>35480</v>
          </cell>
          <cell r="C3288">
            <v>2.76</v>
          </cell>
          <cell r="D3288">
            <v>1.0504</v>
          </cell>
          <cell r="E3288">
            <v>61174</v>
          </cell>
          <cell r="F3288">
            <v>8771.2999999999993</v>
          </cell>
          <cell r="J3288">
            <v>1390642.5237838891</v>
          </cell>
          <cell r="K3288">
            <v>1.0504</v>
          </cell>
          <cell r="L3288">
            <v>61174</v>
          </cell>
          <cell r="M3288">
            <v>8771.2999999999993</v>
          </cell>
          <cell r="N3288">
            <v>424954.07996169699</v>
          </cell>
          <cell r="O3288">
            <v>430388.46782970498</v>
          </cell>
          <cell r="P3288">
            <v>209.05510000000001</v>
          </cell>
        </row>
        <row r="3289">
          <cell r="B3289">
            <v>35481</v>
          </cell>
          <cell r="C3289">
            <v>2.7480000000000002</v>
          </cell>
          <cell r="D3289">
            <v>1.0505</v>
          </cell>
          <cell r="E3289">
            <v>61014</v>
          </cell>
          <cell r="F3289">
            <v>8701.7999999999993</v>
          </cell>
          <cell r="J3289">
            <v>1391916.3523356752</v>
          </cell>
          <cell r="K3289">
            <v>1.0505</v>
          </cell>
          <cell r="L3289">
            <v>61014</v>
          </cell>
          <cell r="M3289">
            <v>8701.7999999999993</v>
          </cell>
          <cell r="N3289">
            <v>424954.07996169699</v>
          </cell>
          <cell r="O3289">
            <v>430388.46782970498</v>
          </cell>
          <cell r="P3289">
            <v>209.05510000000001</v>
          </cell>
        </row>
        <row r="3290">
          <cell r="B3290">
            <v>35482</v>
          </cell>
          <cell r="C3290">
            <v>2.7480000000000002</v>
          </cell>
          <cell r="D3290">
            <v>1.0508</v>
          </cell>
          <cell r="E3290">
            <v>61126</v>
          </cell>
          <cell r="F3290">
            <v>8719.5</v>
          </cell>
          <cell r="J3290">
            <v>1393191.3477144146</v>
          </cell>
          <cell r="K3290">
            <v>1.0508</v>
          </cell>
          <cell r="L3290">
            <v>61126</v>
          </cell>
          <cell r="M3290">
            <v>8719.5</v>
          </cell>
          <cell r="N3290">
            <v>424954.07996169699</v>
          </cell>
          <cell r="O3290">
            <v>430388.46782970498</v>
          </cell>
          <cell r="P3290">
            <v>209.05510000000001</v>
          </cell>
        </row>
        <row r="3291">
          <cell r="B3291">
            <v>35485</v>
          </cell>
          <cell r="C3291">
            <v>2.7389999999999999</v>
          </cell>
          <cell r="D3291">
            <v>1.0507</v>
          </cell>
          <cell r="E3291">
            <v>61731</v>
          </cell>
          <cell r="F3291">
            <v>8959.2000000000007</v>
          </cell>
          <cell r="J3291">
            <v>1394463.3314148777</v>
          </cell>
          <cell r="K3291">
            <v>1.0507</v>
          </cell>
          <cell r="L3291">
            <v>61731</v>
          </cell>
          <cell r="M3291">
            <v>8959.2000000000007</v>
          </cell>
          <cell r="N3291">
            <v>424954.07996169699</v>
          </cell>
          <cell r="O3291">
            <v>430388.46782970498</v>
          </cell>
          <cell r="P3291">
            <v>209.05510000000001</v>
          </cell>
        </row>
        <row r="3292">
          <cell r="B3292">
            <v>35486</v>
          </cell>
          <cell r="C3292">
            <v>2.73</v>
          </cell>
          <cell r="D3292">
            <v>1.0510999999999999</v>
          </cell>
          <cell r="E3292">
            <v>62371</v>
          </cell>
          <cell r="F3292">
            <v>9149.1</v>
          </cell>
          <cell r="J3292">
            <v>1395732.2930464651</v>
          </cell>
          <cell r="K3292">
            <v>1.0510999999999999</v>
          </cell>
          <cell r="L3292">
            <v>62371</v>
          </cell>
          <cell r="M3292">
            <v>9149.1</v>
          </cell>
          <cell r="N3292">
            <v>424954.07996169699</v>
          </cell>
          <cell r="O3292">
            <v>430388.46782970498</v>
          </cell>
          <cell r="P3292">
            <v>209.05510000000001</v>
          </cell>
        </row>
        <row r="3293">
          <cell r="B3293">
            <v>35487</v>
          </cell>
          <cell r="C3293">
            <v>2.718</v>
          </cell>
          <cell r="D3293">
            <v>1.0517000000000001</v>
          </cell>
          <cell r="E3293">
            <v>62109</v>
          </cell>
          <cell r="F3293">
            <v>8927.7999999999993</v>
          </cell>
          <cell r="J3293">
            <v>1396996.8265039653</v>
          </cell>
          <cell r="K3293">
            <v>1.0517000000000001</v>
          </cell>
          <cell r="L3293">
            <v>62109</v>
          </cell>
          <cell r="M3293">
            <v>8927.7999999999993</v>
          </cell>
          <cell r="N3293">
            <v>424954.07996169699</v>
          </cell>
          <cell r="O3293">
            <v>430388.46782970498</v>
          </cell>
          <cell r="P3293">
            <v>209.05510000000001</v>
          </cell>
        </row>
        <row r="3294">
          <cell r="B3294">
            <v>35488</v>
          </cell>
          <cell r="C3294">
            <v>2.7090000000000001</v>
          </cell>
          <cell r="D3294">
            <v>1.0515000000000001</v>
          </cell>
          <cell r="E3294">
            <v>61358</v>
          </cell>
          <cell r="F3294">
            <v>8776.7000000000007</v>
          </cell>
          <cell r="J3294">
            <v>1398258.3146382985</v>
          </cell>
          <cell r="K3294">
            <v>1.0515000000000001</v>
          </cell>
          <cell r="L3294">
            <v>61358</v>
          </cell>
          <cell r="M3294">
            <v>8776.7000000000007</v>
          </cell>
          <cell r="N3294">
            <v>424954.07996169699</v>
          </cell>
          <cell r="O3294">
            <v>430388.46782970498</v>
          </cell>
          <cell r="P3294">
            <v>209.05510000000001</v>
          </cell>
        </row>
        <row r="3295">
          <cell r="B3295">
            <v>35489</v>
          </cell>
          <cell r="C3295">
            <v>2.5590000000000002</v>
          </cell>
          <cell r="D3295">
            <v>1.0515000000000001</v>
          </cell>
          <cell r="E3295">
            <v>61864</v>
          </cell>
          <cell r="F3295">
            <v>8828.7000000000007</v>
          </cell>
          <cell r="G3295">
            <v>0.42</v>
          </cell>
          <cell r="H3295">
            <v>0.43</v>
          </cell>
          <cell r="I3295">
            <v>211.49019999999999</v>
          </cell>
          <cell r="J3295">
            <v>1399451.0289806849</v>
          </cell>
          <cell r="K3295">
            <v>1.0515000000000001</v>
          </cell>
          <cell r="L3295">
            <v>61864</v>
          </cell>
          <cell r="M3295">
            <v>8828.7000000000007</v>
          </cell>
          <cell r="N3295">
            <v>426738.88709753612</v>
          </cell>
          <cell r="O3295">
            <v>432239.13824137271</v>
          </cell>
          <cell r="P3295">
            <v>211.49019999999999</v>
          </cell>
        </row>
        <row r="3296">
          <cell r="B3296">
            <v>35492</v>
          </cell>
          <cell r="C3296">
            <v>2.5680000000000001</v>
          </cell>
          <cell r="D3296">
            <v>1.0515000000000001</v>
          </cell>
          <cell r="E3296">
            <v>62049</v>
          </cell>
          <cell r="F3296">
            <v>8978</v>
          </cell>
          <cell r="J3296">
            <v>1400648.9590614925</v>
          </cell>
          <cell r="K3296">
            <v>1.0515000000000001</v>
          </cell>
          <cell r="L3296">
            <v>62049</v>
          </cell>
          <cell r="M3296">
            <v>8978</v>
          </cell>
          <cell r="N3296">
            <v>426738.88709753612</v>
          </cell>
          <cell r="O3296">
            <v>432239.13824137271</v>
          </cell>
          <cell r="P3296">
            <v>211.49019999999999</v>
          </cell>
        </row>
        <row r="3297">
          <cell r="B3297">
            <v>35493</v>
          </cell>
          <cell r="C3297">
            <v>2.5499999999999998</v>
          </cell>
          <cell r="D3297">
            <v>1.0517000000000001</v>
          </cell>
          <cell r="E3297">
            <v>62289</v>
          </cell>
          <cell r="F3297">
            <v>8961</v>
          </cell>
          <cell r="J3297">
            <v>1401839.5106766948</v>
          </cell>
          <cell r="K3297">
            <v>1.0517000000000001</v>
          </cell>
          <cell r="L3297">
            <v>62289</v>
          </cell>
          <cell r="M3297">
            <v>8961</v>
          </cell>
          <cell r="N3297">
            <v>426738.88709753612</v>
          </cell>
          <cell r="O3297">
            <v>432239.13824137271</v>
          </cell>
          <cell r="P3297">
            <v>211.49019999999999</v>
          </cell>
        </row>
        <row r="3298">
          <cell r="B3298">
            <v>35494</v>
          </cell>
          <cell r="C3298">
            <v>2.5499999999999998</v>
          </cell>
          <cell r="D3298">
            <v>1.0526</v>
          </cell>
          <cell r="E3298">
            <v>62643</v>
          </cell>
          <cell r="F3298">
            <v>9074</v>
          </cell>
          <cell r="J3298">
            <v>1403031.0742607701</v>
          </cell>
          <cell r="K3298">
            <v>1.0526</v>
          </cell>
          <cell r="L3298">
            <v>62643</v>
          </cell>
          <cell r="M3298">
            <v>9074</v>
          </cell>
          <cell r="N3298">
            <v>426738.88709753612</v>
          </cell>
          <cell r="O3298">
            <v>432239.13824137271</v>
          </cell>
          <cell r="P3298">
            <v>211.49019999999999</v>
          </cell>
        </row>
        <row r="3299">
          <cell r="B3299">
            <v>35495</v>
          </cell>
          <cell r="C3299">
            <v>2.5590000000000002</v>
          </cell>
          <cell r="D3299">
            <v>1.0529999999999999</v>
          </cell>
          <cell r="E3299">
            <v>62694</v>
          </cell>
          <cell r="F3299">
            <v>9125</v>
          </cell>
          <cell r="J3299">
            <v>1404227.8597671145</v>
          </cell>
          <cell r="K3299">
            <v>1.0529999999999999</v>
          </cell>
          <cell r="L3299">
            <v>62694</v>
          </cell>
          <cell r="M3299">
            <v>9125</v>
          </cell>
          <cell r="N3299">
            <v>426738.88709753612</v>
          </cell>
          <cell r="O3299">
            <v>432239.13824137271</v>
          </cell>
          <cell r="P3299">
            <v>211.49019999999999</v>
          </cell>
        </row>
        <row r="3300">
          <cell r="B3300">
            <v>35496</v>
          </cell>
          <cell r="C3300">
            <v>2.5680000000000001</v>
          </cell>
          <cell r="D3300">
            <v>1.0531999999999999</v>
          </cell>
          <cell r="E3300">
            <v>62987</v>
          </cell>
          <cell r="F3300">
            <v>9180</v>
          </cell>
          <cell r="J3300">
            <v>1405429.8788150751</v>
          </cell>
          <cell r="K3300">
            <v>1.0531999999999999</v>
          </cell>
          <cell r="L3300">
            <v>62987</v>
          </cell>
          <cell r="M3300">
            <v>9180</v>
          </cell>
          <cell r="N3300">
            <v>426738.88709753612</v>
          </cell>
          <cell r="O3300">
            <v>432239.13824137271</v>
          </cell>
          <cell r="P3300">
            <v>211.49019999999999</v>
          </cell>
        </row>
        <row r="3301">
          <cell r="B3301">
            <v>35499</v>
          </cell>
          <cell r="C3301">
            <v>2.5590000000000002</v>
          </cell>
          <cell r="D3301">
            <v>1.0531999999999999</v>
          </cell>
          <cell r="E3301">
            <v>63505</v>
          </cell>
          <cell r="F3301">
            <v>9419</v>
          </cell>
          <cell r="J3301">
            <v>1406628.7105017044</v>
          </cell>
          <cell r="K3301">
            <v>1.0531999999999999</v>
          </cell>
          <cell r="L3301">
            <v>63505</v>
          </cell>
          <cell r="M3301">
            <v>9419</v>
          </cell>
          <cell r="N3301">
            <v>426738.88709753612</v>
          </cell>
          <cell r="O3301">
            <v>432239.13824137271</v>
          </cell>
          <cell r="P3301">
            <v>211.49019999999999</v>
          </cell>
        </row>
        <row r="3302">
          <cell r="B3302">
            <v>35500</v>
          </cell>
          <cell r="C3302">
            <v>2.5680000000000001</v>
          </cell>
          <cell r="D3302">
            <v>1.0539000000000001</v>
          </cell>
          <cell r="E3302">
            <v>64033</v>
          </cell>
          <cell r="F3302">
            <v>9565</v>
          </cell>
          <cell r="J3302">
            <v>1407832.7846778939</v>
          </cell>
          <cell r="K3302">
            <v>1.0539000000000001</v>
          </cell>
          <cell r="L3302">
            <v>64033</v>
          </cell>
          <cell r="M3302">
            <v>9565</v>
          </cell>
          <cell r="N3302">
            <v>426738.88709753612</v>
          </cell>
          <cell r="O3302">
            <v>432239.13824137271</v>
          </cell>
          <cell r="P3302">
            <v>211.49019999999999</v>
          </cell>
        </row>
        <row r="3303">
          <cell r="B3303">
            <v>35501</v>
          </cell>
          <cell r="C3303">
            <v>2.5590000000000002</v>
          </cell>
          <cell r="D3303">
            <v>1.0544</v>
          </cell>
          <cell r="E3303">
            <v>63531</v>
          </cell>
          <cell r="F3303">
            <v>9317</v>
          </cell>
          <cell r="J3303">
            <v>1409033.666043224</v>
          </cell>
          <cell r="K3303">
            <v>1.0544</v>
          </cell>
          <cell r="L3303">
            <v>63531</v>
          </cell>
          <cell r="M3303">
            <v>9317</v>
          </cell>
          <cell r="N3303">
            <v>426738.88709753612</v>
          </cell>
          <cell r="O3303">
            <v>432239.13824137271</v>
          </cell>
          <cell r="P3303">
            <v>211.49019999999999</v>
          </cell>
        </row>
        <row r="3304">
          <cell r="B3304">
            <v>35502</v>
          </cell>
          <cell r="C3304">
            <v>2.5680000000000001</v>
          </cell>
          <cell r="D3304">
            <v>1.0557000000000001</v>
          </cell>
          <cell r="E3304">
            <v>63344</v>
          </cell>
          <cell r="F3304">
            <v>9314</v>
          </cell>
          <cell r="J3304">
            <v>1410239.7988613569</v>
          </cell>
          <cell r="K3304">
            <v>1.0557000000000001</v>
          </cell>
          <cell r="L3304">
            <v>63344</v>
          </cell>
          <cell r="M3304">
            <v>9314</v>
          </cell>
          <cell r="N3304">
            <v>426738.88709753612</v>
          </cell>
          <cell r="O3304">
            <v>432239.13824137271</v>
          </cell>
          <cell r="P3304">
            <v>211.49019999999999</v>
          </cell>
        </row>
        <row r="3305">
          <cell r="B3305">
            <v>35503</v>
          </cell>
          <cell r="C3305">
            <v>2.5680000000000001</v>
          </cell>
          <cell r="D3305">
            <v>1.0553999999999999</v>
          </cell>
          <cell r="E3305">
            <v>63868</v>
          </cell>
          <cell r="F3305">
            <v>9499</v>
          </cell>
          <cell r="J3305">
            <v>1411446.9641291823</v>
          </cell>
          <cell r="K3305">
            <v>1.0553999999999999</v>
          </cell>
          <cell r="L3305">
            <v>63868</v>
          </cell>
          <cell r="M3305">
            <v>9499</v>
          </cell>
          <cell r="N3305">
            <v>426738.88709753612</v>
          </cell>
          <cell r="O3305">
            <v>432239.13824137271</v>
          </cell>
          <cell r="P3305">
            <v>211.49019999999999</v>
          </cell>
        </row>
        <row r="3306">
          <cell r="B3306">
            <v>35506</v>
          </cell>
          <cell r="C3306">
            <v>2.5680000000000001</v>
          </cell>
          <cell r="D3306">
            <v>1.0582</v>
          </cell>
          <cell r="E3306">
            <v>63059</v>
          </cell>
          <cell r="F3306">
            <v>9263</v>
          </cell>
          <cell r="J3306">
            <v>1412655.1627304768</v>
          </cell>
          <cell r="K3306">
            <v>1.0582</v>
          </cell>
          <cell r="L3306">
            <v>63059</v>
          </cell>
          <cell r="M3306">
            <v>9263</v>
          </cell>
          <cell r="N3306">
            <v>426738.88709753612</v>
          </cell>
          <cell r="O3306">
            <v>432239.13824137271</v>
          </cell>
          <cell r="P3306">
            <v>211.49019999999999</v>
          </cell>
        </row>
        <row r="3307">
          <cell r="B3307">
            <v>35507</v>
          </cell>
          <cell r="C3307">
            <v>2.5680000000000001</v>
          </cell>
          <cell r="D3307">
            <v>1.0589</v>
          </cell>
          <cell r="E3307">
            <v>62672</v>
          </cell>
          <cell r="F3307">
            <v>9172</v>
          </cell>
          <cell r="J3307">
            <v>1413864.3955497742</v>
          </cell>
          <cell r="K3307">
            <v>1.0589</v>
          </cell>
          <cell r="L3307">
            <v>62672</v>
          </cell>
          <cell r="M3307">
            <v>9172</v>
          </cell>
          <cell r="N3307">
            <v>426738.88709753612</v>
          </cell>
          <cell r="O3307">
            <v>432239.13824137271</v>
          </cell>
          <cell r="P3307">
            <v>211.49019999999999</v>
          </cell>
        </row>
        <row r="3308">
          <cell r="B3308">
            <v>35508</v>
          </cell>
          <cell r="C3308">
            <v>2.5590000000000002</v>
          </cell>
          <cell r="D3308">
            <v>1.0605</v>
          </cell>
          <cell r="E3308">
            <v>62097</v>
          </cell>
          <cell r="F3308">
            <v>9087</v>
          </cell>
          <cell r="J3308">
            <v>1415070.4218791781</v>
          </cell>
          <cell r="K3308">
            <v>1.0605</v>
          </cell>
          <cell r="L3308">
            <v>62097</v>
          </cell>
          <cell r="M3308">
            <v>9087</v>
          </cell>
          <cell r="N3308">
            <v>426738.88709753612</v>
          </cell>
          <cell r="O3308">
            <v>432239.13824137271</v>
          </cell>
          <cell r="P3308">
            <v>211.49019999999999</v>
          </cell>
        </row>
        <row r="3309">
          <cell r="B3309">
            <v>35509</v>
          </cell>
          <cell r="C3309">
            <v>2.5590000000000002</v>
          </cell>
          <cell r="D3309">
            <v>1.0602</v>
          </cell>
          <cell r="E3309">
            <v>62495</v>
          </cell>
          <cell r="F3309">
            <v>9302</v>
          </cell>
          <cell r="J3309">
            <v>1416277.476949041</v>
          </cell>
          <cell r="K3309">
            <v>1.0602</v>
          </cell>
          <cell r="L3309">
            <v>62495</v>
          </cell>
          <cell r="M3309">
            <v>9302</v>
          </cell>
          <cell r="N3309">
            <v>426738.88709753612</v>
          </cell>
          <cell r="O3309">
            <v>432239.13824137271</v>
          </cell>
          <cell r="P3309">
            <v>211.49019999999999</v>
          </cell>
        </row>
        <row r="3310">
          <cell r="B3310">
            <v>35510</v>
          </cell>
          <cell r="C3310">
            <v>2.5590000000000002</v>
          </cell>
          <cell r="D3310">
            <v>1.0610999999999999</v>
          </cell>
          <cell r="E3310">
            <v>62352</v>
          </cell>
          <cell r="F3310">
            <v>9301</v>
          </cell>
          <cell r="J3310">
            <v>1417485.5616368786</v>
          </cell>
          <cell r="K3310">
            <v>1.0610999999999999</v>
          </cell>
          <cell r="L3310">
            <v>62352</v>
          </cell>
          <cell r="M3310">
            <v>9301</v>
          </cell>
          <cell r="N3310">
            <v>426738.88709753612</v>
          </cell>
          <cell r="O3310">
            <v>432239.13824137271</v>
          </cell>
          <cell r="P3310">
            <v>211.49019999999999</v>
          </cell>
        </row>
        <row r="3311">
          <cell r="B3311">
            <v>35513</v>
          </cell>
          <cell r="C3311">
            <v>2.5590000000000002</v>
          </cell>
          <cell r="D3311">
            <v>1.0615000000000001</v>
          </cell>
          <cell r="E3311">
            <v>61871</v>
          </cell>
          <cell r="F3311">
            <v>9327</v>
          </cell>
          <cell r="J3311">
            <v>1418694.676820955</v>
          </cell>
          <cell r="K3311">
            <v>1.0615000000000001</v>
          </cell>
          <cell r="L3311">
            <v>61871</v>
          </cell>
          <cell r="M3311">
            <v>9327</v>
          </cell>
          <cell r="N3311">
            <v>426738.88709753612</v>
          </cell>
          <cell r="O3311">
            <v>432239.13824137271</v>
          </cell>
          <cell r="P3311">
            <v>211.49019999999999</v>
          </cell>
        </row>
        <row r="3312">
          <cell r="B3312">
            <v>35514</v>
          </cell>
          <cell r="C3312">
            <v>2.5590000000000002</v>
          </cell>
          <cell r="D3312">
            <v>1.0611999999999999</v>
          </cell>
          <cell r="E3312">
            <v>62227</v>
          </cell>
          <cell r="F3312">
            <v>9380</v>
          </cell>
          <cell r="J3312">
            <v>1419904.8233802833</v>
          </cell>
          <cell r="K3312">
            <v>1.0611999999999999</v>
          </cell>
          <cell r="L3312">
            <v>62227</v>
          </cell>
          <cell r="M3312">
            <v>9380</v>
          </cell>
          <cell r="N3312">
            <v>426738.88709753612</v>
          </cell>
          <cell r="O3312">
            <v>432239.13824137271</v>
          </cell>
          <cell r="P3312">
            <v>211.49019999999999</v>
          </cell>
        </row>
        <row r="3313">
          <cell r="B3313">
            <v>35515</v>
          </cell>
          <cell r="C3313">
            <v>2.5590000000000002</v>
          </cell>
          <cell r="D3313">
            <v>1.0609</v>
          </cell>
          <cell r="E3313">
            <v>62328</v>
          </cell>
          <cell r="F3313">
            <v>9271</v>
          </cell>
          <cell r="J3313">
            <v>1421116.0021946267</v>
          </cell>
          <cell r="K3313">
            <v>1.0609</v>
          </cell>
          <cell r="L3313">
            <v>62328</v>
          </cell>
          <cell r="M3313">
            <v>9271</v>
          </cell>
          <cell r="N3313">
            <v>426738.88709753612</v>
          </cell>
          <cell r="O3313">
            <v>432239.13824137271</v>
          </cell>
          <cell r="P3313">
            <v>211.49019999999999</v>
          </cell>
        </row>
        <row r="3314">
          <cell r="B3314">
            <v>35520</v>
          </cell>
          <cell r="C3314">
            <v>2.2679999999999998</v>
          </cell>
          <cell r="D3314">
            <v>1.0592999999999999</v>
          </cell>
          <cell r="E3314">
            <v>61840</v>
          </cell>
          <cell r="F3314">
            <v>9044</v>
          </cell>
          <cell r="G3314">
            <v>1.1599999999999999</v>
          </cell>
          <cell r="H3314">
            <v>1.1499999999999999</v>
          </cell>
          <cell r="I3314">
            <v>213.8904</v>
          </cell>
          <cell r="J3314">
            <v>1422190.3658922859</v>
          </cell>
          <cell r="K3314">
            <v>1.0592999999999999</v>
          </cell>
          <cell r="L3314">
            <v>61840</v>
          </cell>
          <cell r="M3314">
            <v>9044</v>
          </cell>
          <cell r="N3314">
            <v>431689.05818786757</v>
          </cell>
          <cell r="O3314">
            <v>437209.88833114854</v>
          </cell>
          <cell r="P3314">
            <v>213.8904</v>
          </cell>
        </row>
        <row r="3315">
          <cell r="B3315">
            <v>35521</v>
          </cell>
          <cell r="C3315">
            <v>2.2679999999999998</v>
          </cell>
          <cell r="D3315">
            <v>1.0593999999999999</v>
          </cell>
          <cell r="E3315">
            <v>61979</v>
          </cell>
          <cell r="F3315">
            <v>9138</v>
          </cell>
          <cell r="J3315">
            <v>1423265.5418089004</v>
          </cell>
          <cell r="K3315">
            <v>1.0593999999999999</v>
          </cell>
          <cell r="L3315">
            <v>61979</v>
          </cell>
          <cell r="M3315">
            <v>9138</v>
          </cell>
          <cell r="N3315">
            <v>431689.05818786757</v>
          </cell>
          <cell r="O3315">
            <v>437209.88833114854</v>
          </cell>
          <cell r="P3315">
            <v>213.8904</v>
          </cell>
        </row>
        <row r="3316">
          <cell r="B3316">
            <v>35522</v>
          </cell>
          <cell r="C3316">
            <v>2.2679999999999998</v>
          </cell>
          <cell r="D3316">
            <v>1.0598000000000001</v>
          </cell>
          <cell r="E3316">
            <v>61950</v>
          </cell>
          <cell r="F3316">
            <v>9237</v>
          </cell>
          <cell r="J3316">
            <v>1424341.5305585079</v>
          </cell>
          <cell r="K3316">
            <v>1.0598000000000001</v>
          </cell>
          <cell r="L3316">
            <v>61950</v>
          </cell>
          <cell r="M3316">
            <v>9237</v>
          </cell>
          <cell r="N3316">
            <v>431689.05818786757</v>
          </cell>
          <cell r="O3316">
            <v>437209.88833114854</v>
          </cell>
          <cell r="P3316">
            <v>213.8904</v>
          </cell>
        </row>
        <row r="3317">
          <cell r="B3317">
            <v>35523</v>
          </cell>
          <cell r="C3317">
            <v>2.2679999999999998</v>
          </cell>
          <cell r="D3317">
            <v>1.0584</v>
          </cell>
          <cell r="E3317">
            <v>62098</v>
          </cell>
          <cell r="F3317">
            <v>9302</v>
          </cell>
          <cell r="J3317">
            <v>1425418.3327556101</v>
          </cell>
          <cell r="K3317">
            <v>1.0584</v>
          </cell>
          <cell r="L3317">
            <v>62098</v>
          </cell>
          <cell r="M3317">
            <v>9302</v>
          </cell>
          <cell r="N3317">
            <v>431689.05818786757</v>
          </cell>
          <cell r="O3317">
            <v>437209.88833114854</v>
          </cell>
          <cell r="P3317">
            <v>213.8904</v>
          </cell>
        </row>
        <row r="3318">
          <cell r="B3318">
            <v>35524</v>
          </cell>
          <cell r="C3318">
            <v>2.2890000000000001</v>
          </cell>
          <cell r="D3318">
            <v>1.0585</v>
          </cell>
          <cell r="E3318">
            <v>62598</v>
          </cell>
          <cell r="F3318">
            <v>9705</v>
          </cell>
          <cell r="J3318">
            <v>1426505.9269435029</v>
          </cell>
          <cell r="K3318">
            <v>1.0585</v>
          </cell>
          <cell r="L3318">
            <v>62598</v>
          </cell>
          <cell r="M3318">
            <v>9705</v>
          </cell>
          <cell r="N3318">
            <v>431689.05818786757</v>
          </cell>
          <cell r="O3318">
            <v>437209.88833114854</v>
          </cell>
          <cell r="P3318">
            <v>213.8904</v>
          </cell>
        </row>
        <row r="3319">
          <cell r="B3319">
            <v>35527</v>
          </cell>
          <cell r="C3319">
            <v>2.319</v>
          </cell>
          <cell r="D3319">
            <v>1.0589999999999999</v>
          </cell>
          <cell r="E3319">
            <v>62731</v>
          </cell>
          <cell r="F3319">
            <v>9836</v>
          </cell>
          <cell r="J3319">
            <v>1427608.6160250301</v>
          </cell>
          <cell r="K3319">
            <v>1.0589999999999999</v>
          </cell>
          <cell r="L3319">
            <v>62731</v>
          </cell>
          <cell r="M3319">
            <v>9836</v>
          </cell>
          <cell r="N3319">
            <v>431689.05818786757</v>
          </cell>
          <cell r="O3319">
            <v>437209.88833114854</v>
          </cell>
          <cell r="P3319">
            <v>213.8904</v>
          </cell>
        </row>
        <row r="3320">
          <cell r="B3320">
            <v>35528</v>
          </cell>
          <cell r="C3320">
            <v>2.4089999999999998</v>
          </cell>
          <cell r="D3320">
            <v>1.0588</v>
          </cell>
          <cell r="E3320">
            <v>62307</v>
          </cell>
          <cell r="F3320">
            <v>9737</v>
          </cell>
          <cell r="J3320">
            <v>1428754.9857436984</v>
          </cell>
          <cell r="K3320">
            <v>1.0588</v>
          </cell>
          <cell r="L3320">
            <v>62307</v>
          </cell>
          <cell r="M3320">
            <v>9737</v>
          </cell>
          <cell r="N3320">
            <v>431689.05818786757</v>
          </cell>
          <cell r="O3320">
            <v>437209.88833114854</v>
          </cell>
          <cell r="P3320">
            <v>213.8904</v>
          </cell>
        </row>
        <row r="3321">
          <cell r="B3321">
            <v>35529</v>
          </cell>
          <cell r="C3321">
            <v>2.3580000000000001</v>
          </cell>
          <cell r="D3321">
            <v>1.0589999999999999</v>
          </cell>
          <cell r="E3321">
            <v>62252</v>
          </cell>
          <cell r="F3321">
            <v>9819</v>
          </cell>
          <cell r="J3321">
            <v>1429877.9871624929</v>
          </cell>
          <cell r="K3321">
            <v>1.0589999999999999</v>
          </cell>
          <cell r="L3321">
            <v>62252</v>
          </cell>
          <cell r="M3321">
            <v>9819</v>
          </cell>
          <cell r="N3321">
            <v>431689.05818786757</v>
          </cell>
          <cell r="O3321">
            <v>437209.88833114854</v>
          </cell>
          <cell r="P3321">
            <v>213.8904</v>
          </cell>
        </row>
        <row r="3322">
          <cell r="B3322">
            <v>35530</v>
          </cell>
          <cell r="C3322">
            <v>2.448</v>
          </cell>
          <cell r="D3322">
            <v>1.0589</v>
          </cell>
          <cell r="E3322">
            <v>62450</v>
          </cell>
          <cell r="F3322">
            <v>9732</v>
          </cell>
          <cell r="J3322">
            <v>1431044.7676000174</v>
          </cell>
          <cell r="K3322">
            <v>1.0589</v>
          </cell>
          <cell r="L3322">
            <v>62450</v>
          </cell>
          <cell r="M3322">
            <v>9732</v>
          </cell>
          <cell r="N3322">
            <v>431689.05818786757</v>
          </cell>
          <cell r="O3322">
            <v>437209.88833114854</v>
          </cell>
          <cell r="P3322">
            <v>213.8904</v>
          </cell>
        </row>
        <row r="3323">
          <cell r="B3323">
            <v>35531</v>
          </cell>
          <cell r="C3323">
            <v>2.4689999999999999</v>
          </cell>
          <cell r="D3323">
            <v>1.0595000000000001</v>
          </cell>
          <cell r="E3323">
            <v>61980</v>
          </cell>
          <cell r="F3323">
            <v>9517</v>
          </cell>
          <cell r="J3323">
            <v>1432222.5174437521</v>
          </cell>
          <cell r="K3323">
            <v>1.0595000000000001</v>
          </cell>
          <cell r="L3323">
            <v>61980</v>
          </cell>
          <cell r="M3323">
            <v>9517</v>
          </cell>
          <cell r="N3323">
            <v>431689.05818786757</v>
          </cell>
          <cell r="O3323">
            <v>437209.88833114854</v>
          </cell>
          <cell r="P3323">
            <v>213.8904</v>
          </cell>
        </row>
        <row r="3324">
          <cell r="B3324">
            <v>35534</v>
          </cell>
          <cell r="C3324">
            <v>2.46</v>
          </cell>
          <cell r="D3324">
            <v>1.06</v>
          </cell>
          <cell r="E3324">
            <v>61406</v>
          </cell>
          <cell r="F3324">
            <v>9455</v>
          </cell>
          <cell r="J3324">
            <v>1433396.9399080561</v>
          </cell>
          <cell r="K3324">
            <v>1.06</v>
          </cell>
          <cell r="L3324">
            <v>61406</v>
          </cell>
          <cell r="M3324">
            <v>9455</v>
          </cell>
          <cell r="N3324">
            <v>431689.05818786757</v>
          </cell>
          <cell r="O3324">
            <v>437209.88833114854</v>
          </cell>
          <cell r="P3324">
            <v>213.8904</v>
          </cell>
        </row>
        <row r="3325">
          <cell r="B3325">
            <v>35535</v>
          </cell>
          <cell r="C3325">
            <v>2.379</v>
          </cell>
          <cell r="D3325">
            <v>1.0606</v>
          </cell>
          <cell r="E3325">
            <v>61396</v>
          </cell>
          <cell r="F3325">
            <v>9490</v>
          </cell>
          <cell r="J3325">
            <v>1434533.6236814032</v>
          </cell>
          <cell r="K3325">
            <v>1.0606</v>
          </cell>
          <cell r="L3325">
            <v>61396</v>
          </cell>
          <cell r="M3325">
            <v>9490</v>
          </cell>
          <cell r="N3325">
            <v>431689.05818786757</v>
          </cell>
          <cell r="O3325">
            <v>437209.88833114854</v>
          </cell>
          <cell r="P3325">
            <v>213.8904</v>
          </cell>
        </row>
        <row r="3326">
          <cell r="B3326">
            <v>35536</v>
          </cell>
          <cell r="C3326">
            <v>2.4209999999999998</v>
          </cell>
          <cell r="D3326">
            <v>1.0610999999999999</v>
          </cell>
          <cell r="E3326">
            <v>61519</v>
          </cell>
          <cell r="F3326">
            <v>9565</v>
          </cell>
          <cell r="J3326">
            <v>1435691.2923157141</v>
          </cell>
          <cell r="K3326">
            <v>1.0610999999999999</v>
          </cell>
          <cell r="L3326">
            <v>61519</v>
          </cell>
          <cell r="M3326">
            <v>9565</v>
          </cell>
          <cell r="N3326">
            <v>431689.05818786757</v>
          </cell>
          <cell r="O3326">
            <v>437209.88833114854</v>
          </cell>
          <cell r="P3326">
            <v>213.8904</v>
          </cell>
        </row>
        <row r="3327">
          <cell r="B3327">
            <v>35537</v>
          </cell>
          <cell r="C3327">
            <v>2.4689999999999999</v>
          </cell>
          <cell r="D3327">
            <v>1.0612999999999999</v>
          </cell>
          <cell r="E3327">
            <v>61127</v>
          </cell>
          <cell r="F3327">
            <v>9418</v>
          </cell>
          <cell r="J3327">
            <v>1436872.8662492898</v>
          </cell>
          <cell r="K3327">
            <v>1.0612999999999999</v>
          </cell>
          <cell r="L3327">
            <v>61127</v>
          </cell>
          <cell r="M3327">
            <v>9418</v>
          </cell>
          <cell r="N3327">
            <v>431689.05818786757</v>
          </cell>
          <cell r="O3327">
            <v>437209.88833114854</v>
          </cell>
          <cell r="P3327">
            <v>213.8904</v>
          </cell>
        </row>
        <row r="3328">
          <cell r="B3328">
            <v>35538</v>
          </cell>
          <cell r="C3328">
            <v>2.3580000000000001</v>
          </cell>
          <cell r="D3328">
            <v>1.0618000000000001</v>
          </cell>
          <cell r="E3328">
            <v>61363</v>
          </cell>
          <cell r="F3328">
            <v>9422</v>
          </cell>
          <cell r="J3328">
            <v>1438002.2483221616</v>
          </cell>
          <cell r="K3328">
            <v>1.0618000000000001</v>
          </cell>
          <cell r="L3328">
            <v>61363</v>
          </cell>
          <cell r="M3328">
            <v>9422</v>
          </cell>
          <cell r="N3328">
            <v>431689.05818786757</v>
          </cell>
          <cell r="O3328">
            <v>437209.88833114854</v>
          </cell>
          <cell r="P3328">
            <v>213.8904</v>
          </cell>
        </row>
        <row r="3329">
          <cell r="B3329">
            <v>35542</v>
          </cell>
          <cell r="C3329">
            <v>2.31</v>
          </cell>
          <cell r="D3329">
            <v>1.0629</v>
          </cell>
          <cell r="E3329">
            <v>61597</v>
          </cell>
          <cell r="F3329">
            <v>9473</v>
          </cell>
          <cell r="J3329">
            <v>1439109.5100533697</v>
          </cell>
          <cell r="K3329">
            <v>1.0629</v>
          </cell>
          <cell r="L3329">
            <v>61597</v>
          </cell>
          <cell r="M3329">
            <v>9473</v>
          </cell>
          <cell r="N3329">
            <v>431689.05818786757</v>
          </cell>
          <cell r="O3329">
            <v>437209.88833114854</v>
          </cell>
          <cell r="P3329">
            <v>213.8904</v>
          </cell>
        </row>
        <row r="3330">
          <cell r="B3330">
            <v>35543</v>
          </cell>
          <cell r="C3330">
            <v>2.2799999999999998</v>
          </cell>
          <cell r="D3330">
            <v>1.0632999999999999</v>
          </cell>
          <cell r="E3330">
            <v>62051</v>
          </cell>
          <cell r="F3330">
            <v>9634</v>
          </cell>
          <cell r="J3330">
            <v>1440203.2332810103</v>
          </cell>
          <cell r="K3330">
            <v>1.0632999999999999</v>
          </cell>
          <cell r="L3330">
            <v>62051</v>
          </cell>
          <cell r="M3330">
            <v>9634</v>
          </cell>
          <cell r="N3330">
            <v>431689.05818786757</v>
          </cell>
          <cell r="O3330">
            <v>437209.88833114854</v>
          </cell>
          <cell r="P3330">
            <v>213.8904</v>
          </cell>
        </row>
        <row r="3331">
          <cell r="B3331">
            <v>35544</v>
          </cell>
          <cell r="C3331">
            <v>2.2679999999999998</v>
          </cell>
          <cell r="D3331">
            <v>1.0630999999999999</v>
          </cell>
          <cell r="E3331">
            <v>62643</v>
          </cell>
          <cell r="F3331">
            <v>9708</v>
          </cell>
          <cell r="J3331">
            <v>1441292.0269253708</v>
          </cell>
          <cell r="K3331">
            <v>1.0630999999999999</v>
          </cell>
          <cell r="L3331">
            <v>62643</v>
          </cell>
          <cell r="M3331">
            <v>9708</v>
          </cell>
          <cell r="N3331">
            <v>431689.05818786757</v>
          </cell>
          <cell r="O3331">
            <v>437209.88833114854</v>
          </cell>
          <cell r="P3331">
            <v>213.8904</v>
          </cell>
        </row>
        <row r="3332">
          <cell r="B3332">
            <v>35545</v>
          </cell>
          <cell r="C3332">
            <v>2.2799999999999998</v>
          </cell>
          <cell r="D3332">
            <v>1.0631999999999999</v>
          </cell>
          <cell r="E3332">
            <v>62579</v>
          </cell>
          <cell r="F3332">
            <v>9731</v>
          </cell>
          <cell r="J3332">
            <v>1442387.4088658341</v>
          </cell>
          <cell r="K3332">
            <v>1.0631999999999999</v>
          </cell>
          <cell r="L3332">
            <v>62579</v>
          </cell>
          <cell r="M3332">
            <v>9731</v>
          </cell>
          <cell r="N3332">
            <v>431689.05818786757</v>
          </cell>
          <cell r="O3332">
            <v>437209.88833114854</v>
          </cell>
          <cell r="P3332">
            <v>213.8904</v>
          </cell>
        </row>
        <row r="3333">
          <cell r="B3333">
            <v>35548</v>
          </cell>
          <cell r="C3333">
            <v>2.2890000000000001</v>
          </cell>
          <cell r="D3333">
            <v>1.0631999999999999</v>
          </cell>
          <cell r="E3333">
            <v>62567</v>
          </cell>
          <cell r="F3333">
            <v>9761</v>
          </cell>
          <cell r="J3333">
            <v>1443487.9504587988</v>
          </cell>
          <cell r="K3333">
            <v>1.0631999999999999</v>
          </cell>
          <cell r="L3333">
            <v>62567</v>
          </cell>
          <cell r="M3333">
            <v>9761</v>
          </cell>
          <cell r="N3333">
            <v>431689.05818786757</v>
          </cell>
          <cell r="O3333">
            <v>437209.88833114854</v>
          </cell>
          <cell r="P3333">
            <v>213.8904</v>
          </cell>
        </row>
        <row r="3334">
          <cell r="B3334">
            <v>35549</v>
          </cell>
          <cell r="C3334">
            <v>2.2890000000000001</v>
          </cell>
          <cell r="D3334">
            <v>1.0632999999999999</v>
          </cell>
          <cell r="E3334">
            <v>62700</v>
          </cell>
          <cell r="F3334">
            <v>9858</v>
          </cell>
          <cell r="J3334">
            <v>1444589.3317649988</v>
          </cell>
          <cell r="K3334">
            <v>1.0632999999999999</v>
          </cell>
          <cell r="L3334">
            <v>62700</v>
          </cell>
          <cell r="M3334">
            <v>9858</v>
          </cell>
          <cell r="N3334">
            <v>431689.05818786757</v>
          </cell>
          <cell r="O3334">
            <v>437209.88833114854</v>
          </cell>
          <cell r="P3334">
            <v>213.8904</v>
          </cell>
        </row>
        <row r="3335">
          <cell r="B3335">
            <v>35550</v>
          </cell>
          <cell r="C3335">
            <v>2.379</v>
          </cell>
          <cell r="D3335">
            <v>1.0638000000000001</v>
          </cell>
          <cell r="E3335">
            <v>63180</v>
          </cell>
          <cell r="F3335">
            <v>9982</v>
          </cell>
          <cell r="G3335">
            <v>0.59</v>
          </cell>
          <cell r="H3335">
            <v>0.68</v>
          </cell>
          <cell r="I3335">
            <v>216.29480000000001</v>
          </cell>
          <cell r="J3335">
            <v>1445734.8911050886</v>
          </cell>
          <cell r="K3335">
            <v>1.0638000000000001</v>
          </cell>
          <cell r="L3335">
            <v>63180</v>
          </cell>
          <cell r="M3335">
            <v>9982</v>
          </cell>
          <cell r="N3335">
            <v>434236.02363117598</v>
          </cell>
          <cell r="O3335">
            <v>440182.91557180032</v>
          </cell>
          <cell r="P3335">
            <v>216.29480000000001</v>
          </cell>
        </row>
        <row r="3336">
          <cell r="B3336">
            <v>35552</v>
          </cell>
          <cell r="C3336">
            <v>2.3580000000000001</v>
          </cell>
          <cell r="D3336">
            <v>1.0643</v>
          </cell>
          <cell r="E3336">
            <v>63618</v>
          </cell>
          <cell r="F3336">
            <v>10074</v>
          </cell>
          <cell r="J3336">
            <v>1446871.2387294972</v>
          </cell>
          <cell r="K3336">
            <v>1.0643</v>
          </cell>
          <cell r="L3336">
            <v>63618</v>
          </cell>
          <cell r="M3336">
            <v>10074</v>
          </cell>
          <cell r="N3336">
            <v>434236.02363117598</v>
          </cell>
          <cell r="O3336">
            <v>440182.91557180032</v>
          </cell>
          <cell r="P3336">
            <v>216.29480000000001</v>
          </cell>
        </row>
        <row r="3337">
          <cell r="B3337">
            <v>35555</v>
          </cell>
          <cell r="C3337">
            <v>2.3490000000000002</v>
          </cell>
          <cell r="D3337">
            <v>1.0647</v>
          </cell>
          <cell r="E3337">
            <v>63300</v>
          </cell>
          <cell r="F3337">
            <v>9993</v>
          </cell>
          <cell r="J3337">
            <v>1448004.1389094223</v>
          </cell>
          <cell r="K3337">
            <v>1.0647</v>
          </cell>
          <cell r="L3337">
            <v>63300</v>
          </cell>
          <cell r="M3337">
            <v>9993</v>
          </cell>
          <cell r="N3337">
            <v>434236.02363117598</v>
          </cell>
          <cell r="O3337">
            <v>440182.91557180032</v>
          </cell>
          <cell r="P3337">
            <v>216.29480000000001</v>
          </cell>
        </row>
        <row r="3338">
          <cell r="B3338">
            <v>35556</v>
          </cell>
          <cell r="C3338">
            <v>2.3580000000000001</v>
          </cell>
          <cell r="D3338">
            <v>1.0649999999999999</v>
          </cell>
          <cell r="E3338">
            <v>63469</v>
          </cell>
          <cell r="F3338">
            <v>10218</v>
          </cell>
          <cell r="J3338">
            <v>1449142.270162605</v>
          </cell>
          <cell r="K3338">
            <v>1.0649999999999999</v>
          </cell>
          <cell r="L3338">
            <v>63469</v>
          </cell>
          <cell r="M3338">
            <v>10218</v>
          </cell>
          <cell r="N3338">
            <v>434236.02363117598</v>
          </cell>
          <cell r="O3338">
            <v>440182.91557180032</v>
          </cell>
          <cell r="P3338">
            <v>216.29480000000001</v>
          </cell>
        </row>
        <row r="3339">
          <cell r="B3339">
            <v>35557</v>
          </cell>
          <cell r="C3339">
            <v>2.3580000000000001</v>
          </cell>
          <cell r="D3339">
            <v>1.0652999999999999</v>
          </cell>
          <cell r="E3339">
            <v>63380</v>
          </cell>
          <cell r="F3339">
            <v>10179</v>
          </cell>
          <cell r="J3339">
            <v>1450281.2959869527</v>
          </cell>
          <cell r="K3339">
            <v>1.0652999999999999</v>
          </cell>
          <cell r="L3339">
            <v>63380</v>
          </cell>
          <cell r="M3339">
            <v>10179</v>
          </cell>
          <cell r="N3339">
            <v>434236.02363117598</v>
          </cell>
          <cell r="O3339">
            <v>440182.91557180032</v>
          </cell>
          <cell r="P3339">
            <v>216.29480000000001</v>
          </cell>
        </row>
        <row r="3340">
          <cell r="B3340">
            <v>35558</v>
          </cell>
          <cell r="C3340">
            <v>2.3580000000000001</v>
          </cell>
          <cell r="D3340">
            <v>1.0650999999999999</v>
          </cell>
          <cell r="E3340">
            <v>63692</v>
          </cell>
          <cell r="F3340">
            <v>10437</v>
          </cell>
          <cell r="J3340">
            <v>1451421.2170855985</v>
          </cell>
          <cell r="K3340">
            <v>1.0650999999999999</v>
          </cell>
          <cell r="L3340">
            <v>63692</v>
          </cell>
          <cell r="M3340">
            <v>10437</v>
          </cell>
          <cell r="N3340">
            <v>434236.02363117598</v>
          </cell>
          <cell r="O3340">
            <v>440182.91557180032</v>
          </cell>
          <cell r="P3340">
            <v>216.29480000000001</v>
          </cell>
        </row>
        <row r="3341">
          <cell r="B3341">
            <v>35559</v>
          </cell>
          <cell r="C3341">
            <v>2.379</v>
          </cell>
          <cell r="D3341">
            <v>1.0660000000000001</v>
          </cell>
          <cell r="E3341">
            <v>63738</v>
          </cell>
          <cell r="F3341">
            <v>10491</v>
          </cell>
          <cell r="J3341">
            <v>1452572.1941107474</v>
          </cell>
          <cell r="K3341">
            <v>1.0660000000000001</v>
          </cell>
          <cell r="L3341">
            <v>63738</v>
          </cell>
          <cell r="M3341">
            <v>10491</v>
          </cell>
          <cell r="N3341">
            <v>434236.02363117598</v>
          </cell>
          <cell r="O3341">
            <v>440182.91557180032</v>
          </cell>
          <cell r="P3341">
            <v>216.29480000000001</v>
          </cell>
        </row>
        <row r="3342">
          <cell r="B3342">
            <v>35562</v>
          </cell>
          <cell r="C3342">
            <v>2.37</v>
          </cell>
          <cell r="D3342">
            <v>1.0672999999999999</v>
          </cell>
          <cell r="E3342">
            <v>63360</v>
          </cell>
          <cell r="F3342">
            <v>10681</v>
          </cell>
          <cell r="J3342">
            <v>1453719.726144095</v>
          </cell>
          <cell r="K3342">
            <v>1.0672999999999999</v>
          </cell>
          <cell r="L3342">
            <v>63360</v>
          </cell>
          <cell r="M3342">
            <v>10681</v>
          </cell>
          <cell r="N3342">
            <v>434236.02363117598</v>
          </cell>
          <cell r="O3342">
            <v>440182.91557180032</v>
          </cell>
          <cell r="P3342">
            <v>216.29480000000001</v>
          </cell>
        </row>
        <row r="3343">
          <cell r="B3343">
            <v>35563</v>
          </cell>
          <cell r="C3343">
            <v>2.37</v>
          </cell>
          <cell r="D3343">
            <v>1.0680000000000001</v>
          </cell>
          <cell r="E3343">
            <v>63258</v>
          </cell>
          <cell r="F3343">
            <v>10647</v>
          </cell>
          <cell r="J3343">
            <v>1454868.1647277488</v>
          </cell>
          <cell r="K3343">
            <v>1.0680000000000001</v>
          </cell>
          <cell r="L3343">
            <v>63258</v>
          </cell>
          <cell r="M3343">
            <v>10647</v>
          </cell>
          <cell r="N3343">
            <v>434236.02363117598</v>
          </cell>
          <cell r="O3343">
            <v>440182.91557180032</v>
          </cell>
          <cell r="P3343">
            <v>216.29480000000001</v>
          </cell>
        </row>
        <row r="3344">
          <cell r="B3344">
            <v>35564</v>
          </cell>
          <cell r="C3344">
            <v>2.37</v>
          </cell>
          <cell r="D3344">
            <v>1.0683</v>
          </cell>
          <cell r="E3344">
            <v>62081</v>
          </cell>
          <cell r="F3344">
            <v>10282</v>
          </cell>
          <cell r="J3344">
            <v>1456017.5105778838</v>
          </cell>
          <cell r="K3344">
            <v>1.0683</v>
          </cell>
          <cell r="L3344">
            <v>62081</v>
          </cell>
          <cell r="M3344">
            <v>10282</v>
          </cell>
          <cell r="N3344">
            <v>434236.02363117598</v>
          </cell>
          <cell r="O3344">
            <v>440182.91557180032</v>
          </cell>
          <cell r="P3344">
            <v>216.29480000000001</v>
          </cell>
        </row>
        <row r="3345">
          <cell r="B3345">
            <v>35565</v>
          </cell>
          <cell r="C3345">
            <v>2.37</v>
          </cell>
          <cell r="D3345">
            <v>1.0678000000000001</v>
          </cell>
          <cell r="E3345">
            <v>62286</v>
          </cell>
          <cell r="F3345">
            <v>10353</v>
          </cell>
          <cell r="J3345">
            <v>1457167.7644112404</v>
          </cell>
          <cell r="K3345">
            <v>1.0678000000000001</v>
          </cell>
          <cell r="L3345">
            <v>62286</v>
          </cell>
          <cell r="M3345">
            <v>10353</v>
          </cell>
          <cell r="N3345">
            <v>434236.02363117598</v>
          </cell>
          <cell r="O3345">
            <v>440182.91557180032</v>
          </cell>
          <cell r="P3345">
            <v>216.29480000000001</v>
          </cell>
        </row>
        <row r="3346">
          <cell r="B3346">
            <v>35566</v>
          </cell>
          <cell r="C3346">
            <v>2.37</v>
          </cell>
          <cell r="D3346">
            <v>1.0677000000000001</v>
          </cell>
          <cell r="E3346">
            <v>62352</v>
          </cell>
          <cell r="F3346">
            <v>10498</v>
          </cell>
          <cell r="J3346">
            <v>1458318.9269451252</v>
          </cell>
          <cell r="K3346">
            <v>1.0677000000000001</v>
          </cell>
          <cell r="L3346">
            <v>62352</v>
          </cell>
          <cell r="M3346">
            <v>10498</v>
          </cell>
          <cell r="N3346">
            <v>434236.02363117598</v>
          </cell>
          <cell r="O3346">
            <v>440182.91557180032</v>
          </cell>
          <cell r="P3346">
            <v>216.29480000000001</v>
          </cell>
        </row>
        <row r="3347">
          <cell r="B3347">
            <v>35569</v>
          </cell>
          <cell r="C3347">
            <v>2.37</v>
          </cell>
          <cell r="D3347">
            <v>1.0680000000000001</v>
          </cell>
          <cell r="E3347">
            <v>62301</v>
          </cell>
          <cell r="F3347">
            <v>10505</v>
          </cell>
          <cell r="J3347">
            <v>1459470.9988974119</v>
          </cell>
          <cell r="K3347">
            <v>1.0680000000000001</v>
          </cell>
          <cell r="L3347">
            <v>62301</v>
          </cell>
          <cell r="M3347">
            <v>10505</v>
          </cell>
          <cell r="N3347">
            <v>434236.02363117598</v>
          </cell>
          <cell r="O3347">
            <v>440182.91557180032</v>
          </cell>
          <cell r="P3347">
            <v>216.29480000000001</v>
          </cell>
        </row>
        <row r="3348">
          <cell r="B3348">
            <v>35570</v>
          </cell>
          <cell r="C3348">
            <v>2.37</v>
          </cell>
          <cell r="D3348">
            <v>1.0685</v>
          </cell>
          <cell r="E3348">
            <v>62965</v>
          </cell>
          <cell r="F3348">
            <v>10640</v>
          </cell>
          <cell r="J3348">
            <v>1460623.9809865409</v>
          </cell>
          <cell r="K3348">
            <v>1.0685</v>
          </cell>
          <cell r="L3348">
            <v>62965</v>
          </cell>
          <cell r="M3348">
            <v>10640</v>
          </cell>
          <cell r="N3348">
            <v>434236.02363117598</v>
          </cell>
          <cell r="O3348">
            <v>440182.91557180032</v>
          </cell>
          <cell r="P3348">
            <v>216.29480000000001</v>
          </cell>
        </row>
        <row r="3349">
          <cell r="B3349">
            <v>35571</v>
          </cell>
          <cell r="C3349">
            <v>2.37</v>
          </cell>
          <cell r="D3349">
            <v>1.0689</v>
          </cell>
          <cell r="E3349">
            <v>63683</v>
          </cell>
          <cell r="F3349">
            <v>10714</v>
          </cell>
          <cell r="J3349">
            <v>1461777.8739315204</v>
          </cell>
          <cell r="K3349">
            <v>1.0689</v>
          </cell>
          <cell r="L3349">
            <v>63683</v>
          </cell>
          <cell r="M3349">
            <v>10714</v>
          </cell>
          <cell r="N3349">
            <v>434236.02363117598</v>
          </cell>
          <cell r="O3349">
            <v>440182.91557180032</v>
          </cell>
          <cell r="P3349">
            <v>216.29480000000001</v>
          </cell>
        </row>
        <row r="3350">
          <cell r="B3350">
            <v>35572</v>
          </cell>
          <cell r="C3350">
            <v>2.37</v>
          </cell>
          <cell r="D3350">
            <v>1.07</v>
          </cell>
          <cell r="E3350">
            <v>63806</v>
          </cell>
          <cell r="F3350">
            <v>10745</v>
          </cell>
          <cell r="J3350">
            <v>1462932.6784519264</v>
          </cell>
          <cell r="K3350">
            <v>1.07</v>
          </cell>
          <cell r="L3350">
            <v>63806</v>
          </cell>
          <cell r="M3350">
            <v>10745</v>
          </cell>
          <cell r="N3350">
            <v>434236.02363117598</v>
          </cell>
          <cell r="O3350">
            <v>440182.91557180032</v>
          </cell>
          <cell r="P3350">
            <v>216.29480000000001</v>
          </cell>
        </row>
        <row r="3351">
          <cell r="B3351">
            <v>35573</v>
          </cell>
          <cell r="C3351">
            <v>2.3580000000000001</v>
          </cell>
          <cell r="D3351">
            <v>1.0709</v>
          </cell>
          <cell r="E3351">
            <v>63679</v>
          </cell>
          <cell r="F3351">
            <v>10764</v>
          </cell>
          <cell r="J3351">
            <v>1464082.5435371895</v>
          </cell>
          <cell r="K3351">
            <v>1.0709</v>
          </cell>
          <cell r="L3351">
            <v>63679</v>
          </cell>
          <cell r="M3351">
            <v>10764</v>
          </cell>
          <cell r="N3351">
            <v>434236.02363117598</v>
          </cell>
          <cell r="O3351">
            <v>440182.91557180032</v>
          </cell>
          <cell r="P3351">
            <v>216.29480000000001</v>
          </cell>
        </row>
        <row r="3352">
          <cell r="B3352">
            <v>35576</v>
          </cell>
          <cell r="C3352">
            <v>2.3490000000000002</v>
          </cell>
          <cell r="D3352">
            <v>1.0721000000000001</v>
          </cell>
          <cell r="E3352">
            <v>63693</v>
          </cell>
          <cell r="F3352">
            <v>10960</v>
          </cell>
          <cell r="J3352">
            <v>1465228.9201687791</v>
          </cell>
          <cell r="K3352">
            <v>1.0721000000000001</v>
          </cell>
          <cell r="L3352">
            <v>63693</v>
          </cell>
          <cell r="M3352">
            <v>10960</v>
          </cell>
          <cell r="N3352">
            <v>434236.02363117598</v>
          </cell>
          <cell r="O3352">
            <v>440182.91557180032</v>
          </cell>
          <cell r="P3352">
            <v>216.29480000000001</v>
          </cell>
        </row>
        <row r="3353">
          <cell r="B3353">
            <v>35577</v>
          </cell>
          <cell r="C3353">
            <v>2.298</v>
          </cell>
          <cell r="D3353">
            <v>1.0729</v>
          </cell>
          <cell r="E3353">
            <v>63406</v>
          </cell>
          <cell r="F3353">
            <v>11133</v>
          </cell>
          <cell r="J3353">
            <v>1466351.2855216283</v>
          </cell>
          <cell r="K3353">
            <v>1.0729</v>
          </cell>
          <cell r="L3353">
            <v>63406</v>
          </cell>
          <cell r="M3353">
            <v>11133</v>
          </cell>
          <cell r="N3353">
            <v>434236.02363117598</v>
          </cell>
          <cell r="O3353">
            <v>440182.91557180032</v>
          </cell>
          <cell r="P3353">
            <v>216.29480000000001</v>
          </cell>
        </row>
        <row r="3354">
          <cell r="B3354">
            <v>35578</v>
          </cell>
          <cell r="C3354">
            <v>2.25</v>
          </cell>
          <cell r="D3354">
            <v>1.0731999999999999</v>
          </cell>
          <cell r="E3354">
            <v>63767</v>
          </cell>
          <cell r="F3354">
            <v>11300</v>
          </cell>
          <cell r="J3354">
            <v>1467451.0489857695</v>
          </cell>
          <cell r="K3354">
            <v>1.0731999999999999</v>
          </cell>
          <cell r="L3354">
            <v>63767</v>
          </cell>
          <cell r="M3354">
            <v>11300</v>
          </cell>
          <cell r="N3354">
            <v>434236.02363117598</v>
          </cell>
          <cell r="O3354">
            <v>440182.91557180032</v>
          </cell>
          <cell r="P3354">
            <v>216.29480000000001</v>
          </cell>
        </row>
        <row r="3355">
          <cell r="B3355">
            <v>35580</v>
          </cell>
          <cell r="C3355">
            <v>2.238</v>
          </cell>
          <cell r="D3355">
            <v>1.0718000000000001</v>
          </cell>
          <cell r="E3355">
            <v>63843</v>
          </cell>
          <cell r="F3355">
            <v>11344</v>
          </cell>
          <cell r="G3355">
            <v>0.3</v>
          </cell>
          <cell r="H3355">
            <v>0.21</v>
          </cell>
          <cell r="I3355">
            <v>218.7577</v>
          </cell>
          <cell r="J3355">
            <v>1468545.7674683128</v>
          </cell>
          <cell r="K3355">
            <v>1.0718000000000001</v>
          </cell>
          <cell r="L3355">
            <v>63843</v>
          </cell>
          <cell r="M3355">
            <v>11344</v>
          </cell>
          <cell r="N3355">
            <v>435538.73170206946</v>
          </cell>
          <cell r="O3355">
            <v>441107.2996945011</v>
          </cell>
          <cell r="P3355">
            <v>218.7577</v>
          </cell>
        </row>
        <row r="3356">
          <cell r="B3356">
            <v>35583</v>
          </cell>
          <cell r="C3356">
            <v>2.238</v>
          </cell>
          <cell r="D3356">
            <v>1.0709</v>
          </cell>
          <cell r="E3356">
            <v>63479</v>
          </cell>
          <cell r="F3356">
            <v>11360</v>
          </cell>
          <cell r="J3356">
            <v>1469641.3026108439</v>
          </cell>
          <cell r="K3356">
            <v>1.0709</v>
          </cell>
          <cell r="L3356">
            <v>63479</v>
          </cell>
          <cell r="M3356">
            <v>11360</v>
          </cell>
          <cell r="N3356">
            <v>435538.73170206946</v>
          </cell>
          <cell r="O3356">
            <v>441107.2996945011</v>
          </cell>
          <cell r="P3356">
            <v>218.7577</v>
          </cell>
        </row>
        <row r="3357">
          <cell r="B3357">
            <v>35584</v>
          </cell>
          <cell r="C3357">
            <v>2.25</v>
          </cell>
          <cell r="D3357">
            <v>1.0714999999999999</v>
          </cell>
          <cell r="E3357">
            <v>62500</v>
          </cell>
          <cell r="F3357">
            <v>11110</v>
          </cell>
          <cell r="J3357">
            <v>1470743.533587802</v>
          </cell>
          <cell r="K3357">
            <v>1.0714999999999999</v>
          </cell>
          <cell r="L3357">
            <v>62500</v>
          </cell>
          <cell r="M3357">
            <v>11110</v>
          </cell>
          <cell r="N3357">
            <v>435538.73170206946</v>
          </cell>
          <cell r="O3357">
            <v>441107.2996945011</v>
          </cell>
          <cell r="P3357">
            <v>218.7577</v>
          </cell>
        </row>
        <row r="3358">
          <cell r="B3358">
            <v>35585</v>
          </cell>
          <cell r="C3358">
            <v>2.25</v>
          </cell>
          <cell r="D3358">
            <v>1.0726</v>
          </cell>
          <cell r="E3358">
            <v>62212</v>
          </cell>
          <cell r="F3358">
            <v>11029</v>
          </cell>
          <cell r="J3358">
            <v>1471846.5912379927</v>
          </cell>
          <cell r="K3358">
            <v>1.0726</v>
          </cell>
          <cell r="L3358">
            <v>62212</v>
          </cell>
          <cell r="M3358">
            <v>11029</v>
          </cell>
          <cell r="N3358">
            <v>435538.73170206946</v>
          </cell>
          <cell r="O3358">
            <v>441107.2996945011</v>
          </cell>
          <cell r="P3358">
            <v>218.7577</v>
          </cell>
        </row>
        <row r="3359">
          <cell r="B3359">
            <v>35586</v>
          </cell>
          <cell r="C3359">
            <v>2.2589999999999999</v>
          </cell>
          <cell r="D3359">
            <v>1.0728</v>
          </cell>
          <cell r="E3359">
            <v>62002</v>
          </cell>
          <cell r="F3359">
            <v>11106</v>
          </cell>
          <cell r="J3359">
            <v>1472954.8917211951</v>
          </cell>
          <cell r="K3359">
            <v>1.0728</v>
          </cell>
          <cell r="L3359">
            <v>62002</v>
          </cell>
          <cell r="M3359">
            <v>11106</v>
          </cell>
          <cell r="N3359">
            <v>435538.73170206946</v>
          </cell>
          <cell r="O3359">
            <v>441107.2996945011</v>
          </cell>
          <cell r="P3359">
            <v>218.7577</v>
          </cell>
        </row>
        <row r="3360">
          <cell r="B3360">
            <v>35587</v>
          </cell>
          <cell r="C3360">
            <v>2.2890000000000001</v>
          </cell>
          <cell r="D3360">
            <v>1.0728</v>
          </cell>
          <cell r="E3360">
            <v>62763</v>
          </cell>
          <cell r="F3360">
            <v>11333</v>
          </cell>
          <cell r="J3360">
            <v>1474078.7563035784</v>
          </cell>
          <cell r="K3360">
            <v>1.0728</v>
          </cell>
          <cell r="L3360">
            <v>62763</v>
          </cell>
          <cell r="M3360">
            <v>11333</v>
          </cell>
          <cell r="N3360">
            <v>435538.73170206946</v>
          </cell>
          <cell r="O3360">
            <v>441107.2996945011</v>
          </cell>
          <cell r="P3360">
            <v>218.7577</v>
          </cell>
        </row>
        <row r="3361">
          <cell r="B3361">
            <v>35590</v>
          </cell>
          <cell r="C3361">
            <v>2.2799999999999998</v>
          </cell>
          <cell r="D3361">
            <v>1.073</v>
          </cell>
          <cell r="E3361">
            <v>63214</v>
          </cell>
          <cell r="F3361">
            <v>11396</v>
          </cell>
          <cell r="J3361">
            <v>1475199.0561583692</v>
          </cell>
          <cell r="K3361">
            <v>1.073</v>
          </cell>
          <cell r="L3361">
            <v>63214</v>
          </cell>
          <cell r="M3361">
            <v>11396</v>
          </cell>
          <cell r="N3361">
            <v>435538.73170206946</v>
          </cell>
          <cell r="O3361">
            <v>441107.2996945011</v>
          </cell>
          <cell r="P3361">
            <v>218.7577</v>
          </cell>
        </row>
        <row r="3362">
          <cell r="B3362">
            <v>35591</v>
          </cell>
          <cell r="C3362">
            <v>2.2799999999999998</v>
          </cell>
          <cell r="D3362">
            <v>1.0729</v>
          </cell>
          <cell r="E3362">
            <v>63696</v>
          </cell>
          <cell r="F3362">
            <v>11428</v>
          </cell>
          <cell r="J3362">
            <v>1476320.2074410496</v>
          </cell>
          <cell r="K3362">
            <v>1.0729</v>
          </cell>
          <cell r="L3362">
            <v>63696</v>
          </cell>
          <cell r="M3362">
            <v>11428</v>
          </cell>
          <cell r="N3362">
            <v>435538.73170206946</v>
          </cell>
          <cell r="O3362">
            <v>441107.2996945011</v>
          </cell>
          <cell r="P3362">
            <v>218.7577</v>
          </cell>
        </row>
        <row r="3363">
          <cell r="B3363">
            <v>35592</v>
          </cell>
          <cell r="C3363">
            <v>2.2799999999999998</v>
          </cell>
          <cell r="D3363">
            <v>1.0733999999999999</v>
          </cell>
          <cell r="E3363">
            <v>63085</v>
          </cell>
          <cell r="F3363">
            <v>11489</v>
          </cell>
          <cell r="J3363">
            <v>1477442.210798705</v>
          </cell>
          <cell r="K3363">
            <v>1.0733999999999999</v>
          </cell>
          <cell r="L3363">
            <v>63085</v>
          </cell>
          <cell r="M3363">
            <v>11489</v>
          </cell>
          <cell r="N3363">
            <v>435538.73170206946</v>
          </cell>
          <cell r="O3363">
            <v>441107.2996945011</v>
          </cell>
          <cell r="P3363">
            <v>218.7577</v>
          </cell>
        </row>
        <row r="3364">
          <cell r="B3364">
            <v>35593</v>
          </cell>
          <cell r="C3364">
            <v>2.2890000000000001</v>
          </cell>
          <cell r="D3364">
            <v>1.0738000000000001</v>
          </cell>
          <cell r="E3364">
            <v>64362</v>
          </cell>
          <cell r="F3364">
            <v>11851</v>
          </cell>
          <cell r="J3364">
            <v>1478569.4992055446</v>
          </cell>
          <cell r="K3364">
            <v>1.0738000000000001</v>
          </cell>
          <cell r="L3364">
            <v>64362</v>
          </cell>
          <cell r="M3364">
            <v>11851</v>
          </cell>
          <cell r="N3364">
            <v>435538.73170206946</v>
          </cell>
          <cell r="O3364">
            <v>441107.2996945011</v>
          </cell>
          <cell r="P3364">
            <v>218.7577</v>
          </cell>
        </row>
        <row r="3365">
          <cell r="B3365">
            <v>35594</v>
          </cell>
          <cell r="C3365">
            <v>2.2799999999999998</v>
          </cell>
          <cell r="D3365">
            <v>1.0745</v>
          </cell>
          <cell r="E3365">
            <v>64174</v>
          </cell>
          <cell r="F3365">
            <v>11828</v>
          </cell>
          <cell r="J3365">
            <v>1479693.2120249409</v>
          </cell>
          <cell r="K3365">
            <v>1.0745</v>
          </cell>
          <cell r="L3365">
            <v>64174</v>
          </cell>
          <cell r="M3365">
            <v>11828</v>
          </cell>
          <cell r="N3365">
            <v>435538.73170206946</v>
          </cell>
          <cell r="O3365">
            <v>441107.2996945011</v>
          </cell>
          <cell r="P3365">
            <v>218.7577</v>
          </cell>
        </row>
        <row r="3366">
          <cell r="B3366">
            <v>35597</v>
          </cell>
          <cell r="C3366">
            <v>2.2890000000000001</v>
          </cell>
          <cell r="D3366">
            <v>1.0741000000000001</v>
          </cell>
          <cell r="E3366">
            <v>64923</v>
          </cell>
          <cell r="F3366">
            <v>11953</v>
          </cell>
          <cell r="J3366">
            <v>1480822.2179457161</v>
          </cell>
          <cell r="K3366">
            <v>1.0741000000000001</v>
          </cell>
          <cell r="L3366">
            <v>64923</v>
          </cell>
          <cell r="M3366">
            <v>11953</v>
          </cell>
          <cell r="N3366">
            <v>435538.73170206946</v>
          </cell>
          <cell r="O3366">
            <v>441107.2996945011</v>
          </cell>
          <cell r="P3366">
            <v>218.7577</v>
          </cell>
        </row>
        <row r="3367">
          <cell r="B3367">
            <v>35598</v>
          </cell>
          <cell r="C3367">
            <v>2.2890000000000001</v>
          </cell>
          <cell r="D3367">
            <v>1.0741000000000001</v>
          </cell>
          <cell r="E3367">
            <v>65406</v>
          </cell>
          <cell r="F3367">
            <v>12118</v>
          </cell>
          <cell r="J3367">
            <v>1481952.0852980088</v>
          </cell>
          <cell r="K3367">
            <v>1.0741000000000001</v>
          </cell>
          <cell r="L3367">
            <v>65406</v>
          </cell>
          <cell r="M3367">
            <v>12118</v>
          </cell>
          <cell r="N3367">
            <v>435538.73170206946</v>
          </cell>
          <cell r="O3367">
            <v>441107.2996945011</v>
          </cell>
          <cell r="P3367">
            <v>218.7577</v>
          </cell>
        </row>
        <row r="3368">
          <cell r="B3368">
            <v>35599</v>
          </cell>
          <cell r="C3368">
            <v>2.2799999999999998</v>
          </cell>
          <cell r="D3368">
            <v>1.075</v>
          </cell>
          <cell r="E3368">
            <v>65402</v>
          </cell>
          <cell r="F3368">
            <v>12205</v>
          </cell>
          <cell r="J3368">
            <v>1483078.3688828354</v>
          </cell>
          <cell r="K3368">
            <v>1.075</v>
          </cell>
          <cell r="L3368">
            <v>65402</v>
          </cell>
          <cell r="M3368">
            <v>12205</v>
          </cell>
          <cell r="N3368">
            <v>435538.73170206946</v>
          </cell>
          <cell r="O3368">
            <v>441107.2996945011</v>
          </cell>
          <cell r="P3368">
            <v>218.7577</v>
          </cell>
        </row>
        <row r="3369">
          <cell r="B3369">
            <v>35600</v>
          </cell>
          <cell r="C3369">
            <v>2.2799999999999998</v>
          </cell>
          <cell r="D3369">
            <v>1.0757000000000001</v>
          </cell>
          <cell r="E3369">
            <v>65685</v>
          </cell>
          <cell r="F3369">
            <v>12205</v>
          </cell>
          <cell r="J3369">
            <v>1484205.5084431865</v>
          </cell>
          <cell r="K3369">
            <v>1.0757000000000001</v>
          </cell>
          <cell r="L3369">
            <v>65685</v>
          </cell>
          <cell r="M3369">
            <v>12205</v>
          </cell>
          <cell r="N3369">
            <v>435538.73170206946</v>
          </cell>
          <cell r="O3369">
            <v>441107.2996945011</v>
          </cell>
          <cell r="P3369">
            <v>218.7577</v>
          </cell>
        </row>
        <row r="3370">
          <cell r="B3370">
            <v>35601</v>
          </cell>
          <cell r="C3370">
            <v>2.2679999999999998</v>
          </cell>
          <cell r="D3370">
            <v>1.0777000000000001</v>
          </cell>
          <cell r="E3370">
            <v>65980</v>
          </cell>
          <cell r="F3370">
            <v>12121</v>
          </cell>
          <cell r="J3370">
            <v>1485327.5678075696</v>
          </cell>
          <cell r="K3370">
            <v>1.0777000000000001</v>
          </cell>
          <cell r="L3370">
            <v>65980</v>
          </cell>
          <cell r="M3370">
            <v>12121</v>
          </cell>
          <cell r="N3370">
            <v>435538.73170206946</v>
          </cell>
          <cell r="O3370">
            <v>441107.2996945011</v>
          </cell>
          <cell r="P3370">
            <v>218.7577</v>
          </cell>
        </row>
        <row r="3371">
          <cell r="B3371">
            <v>35604</v>
          </cell>
          <cell r="C3371">
            <v>2.2679999999999998</v>
          </cell>
          <cell r="D3371">
            <v>1.0769</v>
          </cell>
          <cell r="E3371">
            <v>66476</v>
          </cell>
          <cell r="F3371">
            <v>12238</v>
          </cell>
          <cell r="J3371">
            <v>1486450.4754488321</v>
          </cell>
          <cell r="K3371">
            <v>1.0769</v>
          </cell>
          <cell r="L3371">
            <v>66476</v>
          </cell>
          <cell r="M3371">
            <v>12238</v>
          </cell>
          <cell r="N3371">
            <v>435538.73170206946</v>
          </cell>
          <cell r="O3371">
            <v>441107.2996945011</v>
          </cell>
          <cell r="P3371">
            <v>218.7577</v>
          </cell>
        </row>
        <row r="3372">
          <cell r="B3372">
            <v>35605</v>
          </cell>
          <cell r="C3372">
            <v>2.2679999999999998</v>
          </cell>
          <cell r="D3372">
            <v>1.077</v>
          </cell>
          <cell r="E3372">
            <v>67890</v>
          </cell>
          <cell r="F3372">
            <v>12587</v>
          </cell>
          <cell r="J3372">
            <v>1487574.2320082714</v>
          </cell>
          <cell r="K3372">
            <v>1.077</v>
          </cell>
          <cell r="L3372">
            <v>67890</v>
          </cell>
          <cell r="M3372">
            <v>12587</v>
          </cell>
          <cell r="N3372">
            <v>435538.73170206946</v>
          </cell>
          <cell r="O3372">
            <v>441107.2996945011</v>
          </cell>
          <cell r="P3372">
            <v>218.7577</v>
          </cell>
        </row>
        <row r="3373">
          <cell r="B3373">
            <v>35606</v>
          </cell>
          <cell r="C3373">
            <v>2.238</v>
          </cell>
          <cell r="D3373">
            <v>1.0769</v>
          </cell>
          <cell r="E3373">
            <v>68759</v>
          </cell>
          <cell r="F3373">
            <v>13053</v>
          </cell>
          <cell r="J3373">
            <v>1488683.9623853494</v>
          </cell>
          <cell r="K3373">
            <v>1.0769</v>
          </cell>
          <cell r="L3373">
            <v>68759</v>
          </cell>
          <cell r="M3373">
            <v>13053</v>
          </cell>
          <cell r="N3373">
            <v>435538.73170206946</v>
          </cell>
          <cell r="O3373">
            <v>441107.2996945011</v>
          </cell>
          <cell r="P3373">
            <v>218.7577</v>
          </cell>
        </row>
        <row r="3374">
          <cell r="B3374">
            <v>35607</v>
          </cell>
          <cell r="C3374">
            <v>2.2290000000000001</v>
          </cell>
          <cell r="D3374">
            <v>1.0768</v>
          </cell>
          <cell r="E3374">
            <v>68343</v>
          </cell>
          <cell r="F3374">
            <v>12873</v>
          </cell>
          <cell r="J3374">
            <v>1489790.0545694018</v>
          </cell>
          <cell r="K3374">
            <v>1.0768</v>
          </cell>
          <cell r="L3374">
            <v>68343</v>
          </cell>
          <cell r="M3374">
            <v>12873</v>
          </cell>
          <cell r="N3374">
            <v>435538.73170206946</v>
          </cell>
          <cell r="O3374">
            <v>441107.2996945011</v>
          </cell>
          <cell r="P3374">
            <v>218.7577</v>
          </cell>
        </row>
        <row r="3375">
          <cell r="B3375">
            <v>35608</v>
          </cell>
          <cell r="C3375">
            <v>2.2200000000000002</v>
          </cell>
          <cell r="D3375">
            <v>1.0771999999999999</v>
          </cell>
          <cell r="E3375">
            <v>67666</v>
          </cell>
          <cell r="F3375">
            <v>12757</v>
          </cell>
          <cell r="J3375">
            <v>1490892.499209783</v>
          </cell>
          <cell r="K3375">
            <v>1.0771999999999999</v>
          </cell>
          <cell r="L3375">
            <v>67666</v>
          </cell>
          <cell r="M3375">
            <v>12757</v>
          </cell>
          <cell r="N3375">
            <v>435538.73170206946</v>
          </cell>
          <cell r="O3375">
            <v>441107.2996945011</v>
          </cell>
          <cell r="P3375">
            <v>218.7577</v>
          </cell>
        </row>
        <row r="3376">
          <cell r="B3376">
            <v>35611</v>
          </cell>
          <cell r="C3376">
            <v>2.0579999999999998</v>
          </cell>
          <cell r="D3376">
            <v>1.0769</v>
          </cell>
          <cell r="E3376">
            <v>67961</v>
          </cell>
          <cell r="F3376">
            <v>12567</v>
          </cell>
          <cell r="G3376">
            <v>0.7</v>
          </cell>
          <cell r="H3376">
            <v>0.74</v>
          </cell>
          <cell r="I3376">
            <v>221.2884</v>
          </cell>
          <cell r="J3376">
            <v>1491915.251464241</v>
          </cell>
          <cell r="K3376">
            <v>1.0769</v>
          </cell>
          <cell r="L3376">
            <v>67961</v>
          </cell>
          <cell r="M3376">
            <v>12567</v>
          </cell>
          <cell r="N3376">
            <v>438587.5028239839</v>
          </cell>
          <cell r="O3376">
            <v>444371.49371224042</v>
          </cell>
          <cell r="P3376">
            <v>221.2884</v>
          </cell>
        </row>
        <row r="3377">
          <cell r="B3377">
            <v>35612</v>
          </cell>
          <cell r="C3377">
            <v>2.0579999999999998</v>
          </cell>
          <cell r="D3377">
            <v>1.0770999999999999</v>
          </cell>
          <cell r="E3377">
            <v>69185</v>
          </cell>
          <cell r="F3377">
            <v>13002</v>
          </cell>
          <cell r="J3377">
            <v>1492938.7053267453</v>
          </cell>
          <cell r="K3377">
            <v>1.0770999999999999</v>
          </cell>
          <cell r="L3377">
            <v>69185</v>
          </cell>
          <cell r="M3377">
            <v>13002</v>
          </cell>
          <cell r="N3377">
            <v>438587.5028239839</v>
          </cell>
          <cell r="O3377">
            <v>444371.49371224042</v>
          </cell>
          <cell r="P3377">
            <v>221.2884</v>
          </cell>
        </row>
        <row r="3378">
          <cell r="B3378">
            <v>35613</v>
          </cell>
          <cell r="C3378">
            <v>2.0579999999999998</v>
          </cell>
          <cell r="D3378">
            <v>1.0772999999999999</v>
          </cell>
          <cell r="E3378">
            <v>69652</v>
          </cell>
          <cell r="F3378">
            <v>13259</v>
          </cell>
          <cell r="J3378">
            <v>1493962.8612785994</v>
          </cell>
          <cell r="K3378">
            <v>1.0772999999999999</v>
          </cell>
          <cell r="L3378">
            <v>69652</v>
          </cell>
          <cell r="M3378">
            <v>13259</v>
          </cell>
          <cell r="N3378">
            <v>438587.5028239839</v>
          </cell>
          <cell r="O3378">
            <v>444371.49371224042</v>
          </cell>
          <cell r="P3378">
            <v>221.2884</v>
          </cell>
        </row>
        <row r="3379">
          <cell r="B3379">
            <v>35614</v>
          </cell>
          <cell r="C3379">
            <v>2.0579999999999998</v>
          </cell>
          <cell r="D3379">
            <v>1.0778000000000001</v>
          </cell>
          <cell r="E3379">
            <v>70185</v>
          </cell>
          <cell r="F3379">
            <v>13284</v>
          </cell>
          <cell r="J3379">
            <v>1494987.7198014364</v>
          </cell>
          <cell r="K3379">
            <v>1.0778000000000001</v>
          </cell>
          <cell r="L3379">
            <v>70185</v>
          </cell>
          <cell r="M3379">
            <v>13284</v>
          </cell>
          <cell r="N3379">
            <v>438587.5028239839</v>
          </cell>
          <cell r="O3379">
            <v>444371.49371224042</v>
          </cell>
          <cell r="P3379">
            <v>221.2884</v>
          </cell>
        </row>
        <row r="3380">
          <cell r="B3380">
            <v>35615</v>
          </cell>
          <cell r="C3380">
            <v>2.0699999999999998</v>
          </cell>
          <cell r="D3380">
            <v>1.0779000000000001</v>
          </cell>
          <cell r="E3380">
            <v>71286</v>
          </cell>
          <cell r="F3380">
            <v>13493</v>
          </cell>
          <cell r="J3380">
            <v>1496019.2613280995</v>
          </cell>
          <cell r="K3380">
            <v>1.0779000000000001</v>
          </cell>
          <cell r="L3380">
            <v>71286</v>
          </cell>
          <cell r="M3380">
            <v>13493</v>
          </cell>
          <cell r="N3380">
            <v>438587.5028239839</v>
          </cell>
          <cell r="O3380">
            <v>444371.49371224042</v>
          </cell>
          <cell r="P3380">
            <v>221.2884</v>
          </cell>
        </row>
        <row r="3381">
          <cell r="B3381">
            <v>35618</v>
          </cell>
          <cell r="C3381">
            <v>2.0790000000000002</v>
          </cell>
          <cell r="D3381">
            <v>1.0781000000000001</v>
          </cell>
          <cell r="E3381">
            <v>71390</v>
          </cell>
          <cell r="F3381">
            <v>13502</v>
          </cell>
          <cell r="J3381">
            <v>1497056.0026761999</v>
          </cell>
          <cell r="K3381">
            <v>1.0781000000000001</v>
          </cell>
          <cell r="L3381">
            <v>71390</v>
          </cell>
          <cell r="M3381">
            <v>13502</v>
          </cell>
          <cell r="N3381">
            <v>438587.5028239839</v>
          </cell>
          <cell r="O3381">
            <v>444371.49371224042</v>
          </cell>
          <cell r="P3381">
            <v>221.2884</v>
          </cell>
        </row>
        <row r="3382">
          <cell r="B3382">
            <v>35619</v>
          </cell>
          <cell r="C3382">
            <v>2.0880000000000001</v>
          </cell>
          <cell r="D3382">
            <v>1.079</v>
          </cell>
          <cell r="E3382">
            <v>72138</v>
          </cell>
          <cell r="F3382">
            <v>13617</v>
          </cell>
          <cell r="J3382">
            <v>1498097.9536540625</v>
          </cell>
          <cell r="K3382">
            <v>1.079</v>
          </cell>
          <cell r="L3382">
            <v>72138</v>
          </cell>
          <cell r="M3382">
            <v>13617</v>
          </cell>
          <cell r="N3382">
            <v>438587.5028239839</v>
          </cell>
          <cell r="O3382">
            <v>444371.49371224042</v>
          </cell>
          <cell r="P3382">
            <v>221.2884</v>
          </cell>
        </row>
        <row r="3383">
          <cell r="B3383">
            <v>35620</v>
          </cell>
          <cell r="C3383">
            <v>2.0790000000000002</v>
          </cell>
          <cell r="D3383">
            <v>1.0795999999999999</v>
          </cell>
          <cell r="J3383">
            <v>1499136.1355359447</v>
          </cell>
          <cell r="K3383">
            <v>1.0795999999999999</v>
          </cell>
          <cell r="L3383">
            <v>72138</v>
          </cell>
          <cell r="M3383">
            <v>13617</v>
          </cell>
          <cell r="N3383">
            <v>438587.5028239839</v>
          </cell>
          <cell r="O3383">
            <v>444371.49371224042</v>
          </cell>
          <cell r="P3383">
            <v>221.2884</v>
          </cell>
        </row>
        <row r="3384">
          <cell r="B3384">
            <v>35621</v>
          </cell>
          <cell r="C3384">
            <v>2.0790000000000002</v>
          </cell>
          <cell r="D3384">
            <v>1.0797000000000001</v>
          </cell>
          <cell r="E3384">
            <v>72728</v>
          </cell>
          <cell r="F3384">
            <v>13608</v>
          </cell>
          <cell r="J3384">
            <v>1500175.0368778713</v>
          </cell>
          <cell r="K3384">
            <v>1.0797000000000001</v>
          </cell>
          <cell r="L3384">
            <v>72728</v>
          </cell>
          <cell r="M3384">
            <v>13608</v>
          </cell>
          <cell r="N3384">
            <v>438587.5028239839</v>
          </cell>
          <cell r="O3384">
            <v>444371.49371224042</v>
          </cell>
          <cell r="P3384">
            <v>221.2884</v>
          </cell>
        </row>
        <row r="3385">
          <cell r="B3385">
            <v>35622</v>
          </cell>
          <cell r="C3385">
            <v>2.0880000000000001</v>
          </cell>
          <cell r="D3385">
            <v>1.0803</v>
          </cell>
          <cell r="E3385">
            <v>72306</v>
          </cell>
          <cell r="F3385">
            <v>13153</v>
          </cell>
          <cell r="J3385">
            <v>1501219.1587035384</v>
          </cell>
          <cell r="K3385">
            <v>1.0803</v>
          </cell>
          <cell r="L3385">
            <v>72306</v>
          </cell>
          <cell r="M3385">
            <v>13153</v>
          </cell>
          <cell r="N3385">
            <v>438587.5028239839</v>
          </cell>
          <cell r="O3385">
            <v>444371.49371224042</v>
          </cell>
          <cell r="P3385">
            <v>221.2884</v>
          </cell>
        </row>
        <row r="3386">
          <cell r="B3386">
            <v>35625</v>
          </cell>
          <cell r="C3386">
            <v>2.0880000000000001</v>
          </cell>
          <cell r="D3386">
            <v>1.0806</v>
          </cell>
          <cell r="E3386">
            <v>71285</v>
          </cell>
          <cell r="F3386">
            <v>12698</v>
          </cell>
          <cell r="J3386">
            <v>1502264.007237996</v>
          </cell>
          <cell r="K3386">
            <v>1.0806</v>
          </cell>
          <cell r="L3386">
            <v>71285</v>
          </cell>
          <cell r="M3386">
            <v>12698</v>
          </cell>
          <cell r="N3386">
            <v>438587.5028239839</v>
          </cell>
          <cell r="O3386">
            <v>444371.49371224042</v>
          </cell>
          <cell r="P3386">
            <v>221.2884</v>
          </cell>
        </row>
        <row r="3387">
          <cell r="B3387">
            <v>35626</v>
          </cell>
          <cell r="C3387">
            <v>2.0790000000000002</v>
          </cell>
          <cell r="D3387">
            <v>1.0808</v>
          </cell>
          <cell r="E3387">
            <v>67676</v>
          </cell>
          <cell r="F3387">
            <v>11617</v>
          </cell>
          <cell r="J3387">
            <v>1503305.0761950121</v>
          </cell>
          <cell r="K3387">
            <v>1.0808</v>
          </cell>
          <cell r="L3387">
            <v>67676</v>
          </cell>
          <cell r="M3387">
            <v>11617</v>
          </cell>
          <cell r="N3387">
            <v>438587.5028239839</v>
          </cell>
          <cell r="O3387">
            <v>444371.49371224042</v>
          </cell>
          <cell r="P3387">
            <v>221.2884</v>
          </cell>
        </row>
        <row r="3388">
          <cell r="B3388">
            <v>35627</v>
          </cell>
          <cell r="C3388">
            <v>2.0790000000000002</v>
          </cell>
          <cell r="D3388">
            <v>1.0810999999999999</v>
          </cell>
          <cell r="E3388">
            <v>70494</v>
          </cell>
          <cell r="F3388">
            <v>12640</v>
          </cell>
          <cell r="J3388">
            <v>1504346.8666128153</v>
          </cell>
          <cell r="K3388">
            <v>1.0810999999999999</v>
          </cell>
          <cell r="L3388">
            <v>70494</v>
          </cell>
          <cell r="M3388">
            <v>12640</v>
          </cell>
          <cell r="N3388">
            <v>438587.5028239839</v>
          </cell>
          <cell r="O3388">
            <v>444371.49371224042</v>
          </cell>
          <cell r="P3388">
            <v>221.2884</v>
          </cell>
        </row>
        <row r="3389">
          <cell r="B3389">
            <v>35628</v>
          </cell>
          <cell r="C3389">
            <v>2.0790000000000002</v>
          </cell>
          <cell r="D3389">
            <v>1.0811999999999999</v>
          </cell>
          <cell r="E3389">
            <v>68953</v>
          </cell>
          <cell r="F3389">
            <v>11728</v>
          </cell>
          <cell r="J3389">
            <v>1505389.378991378</v>
          </cell>
          <cell r="K3389">
            <v>1.0811999999999999</v>
          </cell>
          <cell r="L3389">
            <v>68953</v>
          </cell>
          <cell r="M3389">
            <v>11728</v>
          </cell>
          <cell r="N3389">
            <v>438587.5028239839</v>
          </cell>
          <cell r="O3389">
            <v>444371.49371224042</v>
          </cell>
          <cell r="P3389">
            <v>221.2884</v>
          </cell>
        </row>
        <row r="3390">
          <cell r="B3390">
            <v>35629</v>
          </cell>
          <cell r="C3390">
            <v>2.0699999999999998</v>
          </cell>
          <cell r="D3390">
            <v>1.0815999999999999</v>
          </cell>
          <cell r="E3390">
            <v>67657</v>
          </cell>
          <cell r="F3390">
            <v>11181</v>
          </cell>
          <cell r="J3390">
            <v>1506428.0976628822</v>
          </cell>
          <cell r="K3390">
            <v>1.0815999999999999</v>
          </cell>
          <cell r="L3390">
            <v>67657</v>
          </cell>
          <cell r="M3390">
            <v>11181</v>
          </cell>
          <cell r="N3390">
            <v>438587.5028239839</v>
          </cell>
          <cell r="O3390">
            <v>444371.49371224042</v>
          </cell>
          <cell r="P3390">
            <v>221.2884</v>
          </cell>
        </row>
        <row r="3391">
          <cell r="B3391">
            <v>35632</v>
          </cell>
          <cell r="C3391">
            <v>2.0699999999999998</v>
          </cell>
          <cell r="D3391">
            <v>1.0814999999999999</v>
          </cell>
          <cell r="E3391">
            <v>67525</v>
          </cell>
          <cell r="F3391">
            <v>11291</v>
          </cell>
          <cell r="J3391">
            <v>1507467.5330502696</v>
          </cell>
          <cell r="K3391">
            <v>1.0814999999999999</v>
          </cell>
          <cell r="L3391">
            <v>67525</v>
          </cell>
          <cell r="M3391">
            <v>11291</v>
          </cell>
          <cell r="N3391">
            <v>438587.5028239839</v>
          </cell>
          <cell r="O3391">
            <v>444371.49371224042</v>
          </cell>
          <cell r="P3391">
            <v>221.2884</v>
          </cell>
        </row>
        <row r="3392">
          <cell r="B3392">
            <v>35633</v>
          </cell>
          <cell r="C3392">
            <v>2.0579999999999998</v>
          </cell>
          <cell r="D3392">
            <v>1.0817000000000001</v>
          </cell>
          <cell r="E3392">
            <v>69657</v>
          </cell>
          <cell r="F3392">
            <v>12235</v>
          </cell>
          <cell r="J3392">
            <v>1508501.6557779419</v>
          </cell>
          <cell r="K3392">
            <v>1.0817000000000001</v>
          </cell>
          <cell r="L3392">
            <v>69657</v>
          </cell>
          <cell r="M3392">
            <v>12235</v>
          </cell>
          <cell r="N3392">
            <v>438587.5028239839</v>
          </cell>
          <cell r="O3392">
            <v>444371.49371224042</v>
          </cell>
          <cell r="P3392">
            <v>221.2884</v>
          </cell>
        </row>
        <row r="3393">
          <cell r="B3393">
            <v>35634</v>
          </cell>
          <cell r="C3393">
            <v>2.0579999999999998</v>
          </cell>
          <cell r="D3393">
            <v>1.0823</v>
          </cell>
          <cell r="E3393">
            <v>70236</v>
          </cell>
          <cell r="F3393">
            <v>12426</v>
          </cell>
          <cell r="J3393">
            <v>1509536.4879138055</v>
          </cell>
          <cell r="K3393">
            <v>1.0823</v>
          </cell>
          <cell r="L3393">
            <v>70236</v>
          </cell>
          <cell r="M3393">
            <v>12426</v>
          </cell>
          <cell r="N3393">
            <v>438587.5028239839</v>
          </cell>
          <cell r="O3393">
            <v>444371.49371224042</v>
          </cell>
          <cell r="P3393">
            <v>221.2884</v>
          </cell>
        </row>
        <row r="3394">
          <cell r="B3394">
            <v>35635</v>
          </cell>
          <cell r="C3394">
            <v>2.0579999999999998</v>
          </cell>
          <cell r="D3394">
            <v>1.0822000000000001</v>
          </cell>
          <cell r="E3394">
            <v>70669</v>
          </cell>
          <cell r="F3394">
            <v>12524</v>
          </cell>
          <cell r="J3394">
            <v>1510572.0299445144</v>
          </cell>
          <cell r="K3394">
            <v>1.0822000000000001</v>
          </cell>
          <cell r="L3394">
            <v>70669</v>
          </cell>
          <cell r="M3394">
            <v>12524</v>
          </cell>
          <cell r="N3394">
            <v>438587.5028239839</v>
          </cell>
          <cell r="O3394">
            <v>444371.49371224042</v>
          </cell>
          <cell r="P3394">
            <v>221.2884</v>
          </cell>
        </row>
        <row r="3395">
          <cell r="B3395">
            <v>35636</v>
          </cell>
          <cell r="C3395">
            <v>2.0579999999999998</v>
          </cell>
          <cell r="D3395">
            <v>1.0824</v>
          </cell>
          <cell r="E3395">
            <v>70927</v>
          </cell>
          <cell r="F3395">
            <v>12522</v>
          </cell>
          <cell r="J3395">
            <v>1511608.2823570562</v>
          </cell>
          <cell r="K3395">
            <v>1.0824</v>
          </cell>
          <cell r="L3395">
            <v>70927</v>
          </cell>
          <cell r="M3395">
            <v>12522</v>
          </cell>
          <cell r="N3395">
            <v>438587.5028239839</v>
          </cell>
          <cell r="O3395">
            <v>444371.49371224042</v>
          </cell>
          <cell r="P3395">
            <v>221.2884</v>
          </cell>
        </row>
        <row r="3396">
          <cell r="B3396">
            <v>35639</v>
          </cell>
          <cell r="C3396">
            <v>2.0579999999999998</v>
          </cell>
          <cell r="D3396">
            <v>1.0827</v>
          </cell>
          <cell r="E3396">
            <v>71933</v>
          </cell>
          <cell r="F3396">
            <v>12937</v>
          </cell>
          <cell r="J3396">
            <v>1512645.2456387531</v>
          </cell>
          <cell r="K3396">
            <v>1.0827</v>
          </cell>
          <cell r="L3396">
            <v>71933</v>
          </cell>
          <cell r="M3396">
            <v>12937</v>
          </cell>
          <cell r="N3396">
            <v>438587.5028239839</v>
          </cell>
          <cell r="O3396">
            <v>444371.49371224042</v>
          </cell>
          <cell r="P3396">
            <v>221.2884</v>
          </cell>
        </row>
        <row r="3397">
          <cell r="B3397">
            <v>35640</v>
          </cell>
          <cell r="C3397">
            <v>2.0579999999999998</v>
          </cell>
          <cell r="D3397">
            <v>1.0832999999999999</v>
          </cell>
          <cell r="E3397">
            <v>72312</v>
          </cell>
          <cell r="F3397">
            <v>13043</v>
          </cell>
          <cell r="J3397">
            <v>1513682.9202772612</v>
          </cell>
          <cell r="K3397">
            <v>1.0832999999999999</v>
          </cell>
          <cell r="L3397">
            <v>72312</v>
          </cell>
          <cell r="M3397">
            <v>13043</v>
          </cell>
          <cell r="N3397">
            <v>438587.5028239839</v>
          </cell>
          <cell r="O3397">
            <v>444371.49371224042</v>
          </cell>
          <cell r="P3397">
            <v>221.2884</v>
          </cell>
        </row>
        <row r="3398">
          <cell r="B3398">
            <v>35641</v>
          </cell>
          <cell r="C3398">
            <v>2.0579999999999998</v>
          </cell>
          <cell r="D3398">
            <v>1.0833999999999999</v>
          </cell>
          <cell r="E3398">
            <v>72248</v>
          </cell>
          <cell r="F3398">
            <v>13018</v>
          </cell>
          <cell r="J3398">
            <v>1514721.3067605714</v>
          </cell>
          <cell r="K3398">
            <v>1.0833999999999999</v>
          </cell>
          <cell r="L3398">
            <v>72248</v>
          </cell>
          <cell r="M3398">
            <v>13018</v>
          </cell>
          <cell r="N3398">
            <v>438587.5028239839</v>
          </cell>
          <cell r="O3398">
            <v>444371.49371224042</v>
          </cell>
          <cell r="P3398">
            <v>221.2884</v>
          </cell>
        </row>
        <row r="3399">
          <cell r="B3399">
            <v>35642</v>
          </cell>
          <cell r="C3399">
            <v>2.25</v>
          </cell>
          <cell r="D3399">
            <v>1.0833999999999999</v>
          </cell>
          <cell r="E3399">
            <v>72659</v>
          </cell>
          <cell r="F3399">
            <v>12872</v>
          </cell>
          <cell r="G3399">
            <v>0.09</v>
          </cell>
          <cell r="H3399">
            <v>0.09</v>
          </cell>
          <cell r="I3399">
            <v>223.85830000000001</v>
          </cell>
          <cell r="J3399">
            <v>1515857.3477406418</v>
          </cell>
          <cell r="K3399">
            <v>1.0833999999999999</v>
          </cell>
          <cell r="L3399">
            <v>72659</v>
          </cell>
          <cell r="M3399">
            <v>12872</v>
          </cell>
          <cell r="N3399">
            <v>438982.23157652543</v>
          </cell>
          <cell r="O3399">
            <v>444771.42805658141</v>
          </cell>
          <cell r="P3399">
            <v>223.85830000000001</v>
          </cell>
        </row>
        <row r="3400">
          <cell r="B3400">
            <v>35643</v>
          </cell>
          <cell r="C3400">
            <v>2.238</v>
          </cell>
          <cell r="D3400">
            <v>1.0834999999999999</v>
          </cell>
          <cell r="E3400">
            <v>71509</v>
          </cell>
          <cell r="F3400">
            <v>12259</v>
          </cell>
          <cell r="J3400">
            <v>1516988.1773220561</v>
          </cell>
          <cell r="K3400">
            <v>1.0834999999999999</v>
          </cell>
          <cell r="L3400">
            <v>71509</v>
          </cell>
          <cell r="M3400">
            <v>12259</v>
          </cell>
          <cell r="N3400">
            <v>438982.23157652543</v>
          </cell>
          <cell r="O3400">
            <v>444771.42805658141</v>
          </cell>
          <cell r="P3400">
            <v>223.85830000000001</v>
          </cell>
        </row>
        <row r="3401">
          <cell r="B3401">
            <v>35646</v>
          </cell>
          <cell r="C3401">
            <v>2.2290000000000001</v>
          </cell>
          <cell r="D3401">
            <v>1.0834999999999999</v>
          </cell>
          <cell r="E3401">
            <v>70950</v>
          </cell>
          <cell r="F3401">
            <v>12016</v>
          </cell>
          <cell r="J3401">
            <v>1518115.2995378063</v>
          </cell>
          <cell r="K3401">
            <v>1.0834999999999999</v>
          </cell>
          <cell r="L3401">
            <v>70950</v>
          </cell>
          <cell r="M3401">
            <v>12016</v>
          </cell>
          <cell r="N3401">
            <v>438982.23157652543</v>
          </cell>
          <cell r="O3401">
            <v>444771.42805658141</v>
          </cell>
          <cell r="P3401">
            <v>223.85830000000001</v>
          </cell>
        </row>
        <row r="3402">
          <cell r="B3402">
            <v>35647</v>
          </cell>
          <cell r="C3402">
            <v>2.2290000000000001</v>
          </cell>
          <cell r="D3402">
            <v>1.0843</v>
          </cell>
          <cell r="E3402">
            <v>70899</v>
          </cell>
          <cell r="F3402">
            <v>11908</v>
          </cell>
          <cell r="J3402">
            <v>1519243.2592053628</v>
          </cell>
          <cell r="K3402">
            <v>1.0843</v>
          </cell>
          <cell r="L3402">
            <v>70899</v>
          </cell>
          <cell r="M3402">
            <v>11908</v>
          </cell>
          <cell r="N3402">
            <v>438982.23157652543</v>
          </cell>
          <cell r="O3402">
            <v>444771.42805658141</v>
          </cell>
          <cell r="P3402">
            <v>223.85830000000001</v>
          </cell>
        </row>
        <row r="3403">
          <cell r="B3403">
            <v>35648</v>
          </cell>
          <cell r="C3403">
            <v>2.2200000000000002</v>
          </cell>
          <cell r="D3403">
            <v>1.0845</v>
          </cell>
          <cell r="E3403">
            <v>72178</v>
          </cell>
          <cell r="F3403">
            <v>12523</v>
          </cell>
          <cell r="J3403">
            <v>1520367.4992171747</v>
          </cell>
          <cell r="K3403">
            <v>1.0845</v>
          </cell>
          <cell r="L3403">
            <v>72178</v>
          </cell>
          <cell r="M3403">
            <v>12523</v>
          </cell>
          <cell r="N3403">
            <v>438982.23157652543</v>
          </cell>
          <cell r="O3403">
            <v>444771.42805658141</v>
          </cell>
          <cell r="P3403">
            <v>223.85830000000001</v>
          </cell>
        </row>
        <row r="3404">
          <cell r="B3404">
            <v>35649</v>
          </cell>
          <cell r="C3404">
            <v>2.2290000000000001</v>
          </cell>
          <cell r="D3404">
            <v>1.0851</v>
          </cell>
          <cell r="E3404">
            <v>72554</v>
          </cell>
          <cell r="F3404">
            <v>12322</v>
          </cell>
          <cell r="J3404">
            <v>1521497.1322690931</v>
          </cell>
          <cell r="K3404">
            <v>1.0851</v>
          </cell>
          <cell r="L3404">
            <v>72554</v>
          </cell>
          <cell r="M3404">
            <v>12322</v>
          </cell>
          <cell r="N3404">
            <v>438982.23157652543</v>
          </cell>
          <cell r="O3404">
            <v>444771.42805658141</v>
          </cell>
          <cell r="P3404">
            <v>223.85830000000001</v>
          </cell>
        </row>
        <row r="3405">
          <cell r="B3405">
            <v>35650</v>
          </cell>
          <cell r="C3405">
            <v>2.238</v>
          </cell>
          <cell r="D3405">
            <v>1.0858000000000001</v>
          </cell>
          <cell r="E3405">
            <v>72519</v>
          </cell>
          <cell r="F3405">
            <v>12128</v>
          </cell>
          <cell r="J3405">
            <v>1522632.1691297656</v>
          </cell>
          <cell r="K3405">
            <v>1.0858000000000001</v>
          </cell>
          <cell r="L3405">
            <v>72519</v>
          </cell>
          <cell r="M3405">
            <v>12128</v>
          </cell>
          <cell r="N3405">
            <v>438982.23157652543</v>
          </cell>
          <cell r="O3405">
            <v>444771.42805658141</v>
          </cell>
          <cell r="P3405">
            <v>223.85830000000001</v>
          </cell>
        </row>
        <row r="3406">
          <cell r="B3406">
            <v>35653</v>
          </cell>
          <cell r="C3406">
            <v>2.25</v>
          </cell>
          <cell r="D3406">
            <v>1.0858000000000001</v>
          </cell>
          <cell r="E3406">
            <v>72200</v>
          </cell>
          <cell r="F3406">
            <v>11948</v>
          </cell>
          <cell r="J3406">
            <v>1523774.1432566131</v>
          </cell>
          <cell r="K3406">
            <v>1.0858000000000001</v>
          </cell>
          <cell r="L3406">
            <v>72200</v>
          </cell>
          <cell r="M3406">
            <v>11948</v>
          </cell>
          <cell r="N3406">
            <v>438982.23157652543</v>
          </cell>
          <cell r="O3406">
            <v>444771.42805658141</v>
          </cell>
          <cell r="P3406">
            <v>223.85830000000001</v>
          </cell>
        </row>
        <row r="3407">
          <cell r="B3407">
            <v>35654</v>
          </cell>
          <cell r="C3407">
            <v>2.2679999999999998</v>
          </cell>
          <cell r="D3407">
            <v>1.0859000000000001</v>
          </cell>
          <cell r="E3407">
            <v>71762</v>
          </cell>
          <cell r="F3407">
            <v>11809</v>
          </cell>
          <cell r="J3407">
            <v>1524926.1165089151</v>
          </cell>
          <cell r="K3407">
            <v>1.0859000000000001</v>
          </cell>
          <cell r="L3407">
            <v>71762</v>
          </cell>
          <cell r="M3407">
            <v>11809</v>
          </cell>
          <cell r="N3407">
            <v>438982.23157652543</v>
          </cell>
          <cell r="O3407">
            <v>444771.42805658141</v>
          </cell>
          <cell r="P3407">
            <v>223.85830000000001</v>
          </cell>
        </row>
        <row r="3408">
          <cell r="B3408">
            <v>35655</v>
          </cell>
          <cell r="C3408">
            <v>2.2679999999999998</v>
          </cell>
          <cell r="D3408">
            <v>1.0863</v>
          </cell>
          <cell r="E3408">
            <v>71885</v>
          </cell>
          <cell r="F3408">
            <v>11850</v>
          </cell>
          <cell r="J3408">
            <v>1526078.9606529959</v>
          </cell>
          <cell r="K3408">
            <v>1.0863</v>
          </cell>
          <cell r="L3408">
            <v>71885</v>
          </cell>
          <cell r="M3408">
            <v>11850</v>
          </cell>
          <cell r="N3408">
            <v>438982.23157652543</v>
          </cell>
          <cell r="O3408">
            <v>444771.42805658141</v>
          </cell>
          <cell r="P3408">
            <v>223.85830000000001</v>
          </cell>
        </row>
        <row r="3409">
          <cell r="B3409">
            <v>35656</v>
          </cell>
          <cell r="C3409">
            <v>2.2589999999999999</v>
          </cell>
          <cell r="D3409">
            <v>1.0864</v>
          </cell>
          <cell r="E3409">
            <v>71918</v>
          </cell>
          <cell r="F3409">
            <v>11904</v>
          </cell>
          <cell r="J3409">
            <v>1527228.0981103675</v>
          </cell>
          <cell r="K3409">
            <v>1.0864</v>
          </cell>
          <cell r="L3409">
            <v>71918</v>
          </cell>
          <cell r="M3409">
            <v>11904</v>
          </cell>
          <cell r="N3409">
            <v>438982.23157652543</v>
          </cell>
          <cell r="O3409">
            <v>444771.42805658141</v>
          </cell>
          <cell r="P3409">
            <v>223.85830000000001</v>
          </cell>
        </row>
        <row r="3410">
          <cell r="B3410">
            <v>35657</v>
          </cell>
          <cell r="C3410">
            <v>2.2589999999999999</v>
          </cell>
          <cell r="D3410">
            <v>1.0872999999999999</v>
          </cell>
          <cell r="E3410">
            <v>70662</v>
          </cell>
          <cell r="F3410">
            <v>11334</v>
          </cell>
          <cell r="J3410">
            <v>1528378.1008682447</v>
          </cell>
          <cell r="K3410">
            <v>1.0872999999999999</v>
          </cell>
          <cell r="L3410">
            <v>70662</v>
          </cell>
          <cell r="M3410">
            <v>11334</v>
          </cell>
          <cell r="N3410">
            <v>438982.23157652543</v>
          </cell>
          <cell r="O3410">
            <v>444771.42805658141</v>
          </cell>
          <cell r="P3410">
            <v>223.85830000000001</v>
          </cell>
        </row>
        <row r="3411">
          <cell r="B3411">
            <v>35660</v>
          </cell>
          <cell r="C3411">
            <v>2.25</v>
          </cell>
          <cell r="D3411">
            <v>1.0884</v>
          </cell>
          <cell r="E3411">
            <v>69526</v>
          </cell>
          <cell r="F3411">
            <v>11337</v>
          </cell>
          <cell r="J3411">
            <v>1529524.3844438959</v>
          </cell>
          <cell r="K3411">
            <v>1.0884</v>
          </cell>
          <cell r="L3411">
            <v>69526</v>
          </cell>
          <cell r="M3411">
            <v>11337</v>
          </cell>
          <cell r="N3411">
            <v>438982.23157652543</v>
          </cell>
          <cell r="O3411">
            <v>444771.42805658141</v>
          </cell>
          <cell r="P3411">
            <v>223.85830000000001</v>
          </cell>
        </row>
        <row r="3412">
          <cell r="B3412">
            <v>35661</v>
          </cell>
          <cell r="C3412">
            <v>2.25</v>
          </cell>
          <cell r="D3412">
            <v>1.0893999999999999</v>
          </cell>
          <cell r="E3412">
            <v>69456</v>
          </cell>
          <cell r="F3412">
            <v>11211</v>
          </cell>
          <cell r="J3412">
            <v>1530671.5277322289</v>
          </cell>
          <cell r="K3412">
            <v>1.0893999999999999</v>
          </cell>
          <cell r="L3412">
            <v>69456</v>
          </cell>
          <cell r="M3412">
            <v>11211</v>
          </cell>
          <cell r="N3412">
            <v>438982.23157652543</v>
          </cell>
          <cell r="O3412">
            <v>444771.42805658141</v>
          </cell>
          <cell r="P3412">
            <v>223.85830000000001</v>
          </cell>
        </row>
        <row r="3413">
          <cell r="B3413">
            <v>35662</v>
          </cell>
          <cell r="C3413">
            <v>2.25</v>
          </cell>
          <cell r="D3413">
            <v>1.089</v>
          </cell>
          <cell r="E3413">
            <v>67993</v>
          </cell>
          <cell r="F3413">
            <v>10848</v>
          </cell>
          <cell r="J3413">
            <v>1531819.531378028</v>
          </cell>
          <cell r="K3413">
            <v>1.089</v>
          </cell>
          <cell r="L3413">
            <v>67993</v>
          </cell>
          <cell r="M3413">
            <v>10848</v>
          </cell>
          <cell r="N3413">
            <v>438982.23157652543</v>
          </cell>
          <cell r="O3413">
            <v>444771.42805658141</v>
          </cell>
          <cell r="P3413">
            <v>223.85830000000001</v>
          </cell>
        </row>
        <row r="3414">
          <cell r="B3414">
            <v>35663</v>
          </cell>
          <cell r="C3414">
            <v>2.25</v>
          </cell>
          <cell r="D3414">
            <v>1.0888</v>
          </cell>
          <cell r="E3414">
            <v>68838</v>
          </cell>
          <cell r="F3414">
            <v>11180</v>
          </cell>
          <cell r="J3414">
            <v>1532968.3960265615</v>
          </cell>
          <cell r="K3414">
            <v>1.0888</v>
          </cell>
          <cell r="L3414">
            <v>68838</v>
          </cell>
          <cell r="M3414">
            <v>11180</v>
          </cell>
          <cell r="N3414">
            <v>438982.23157652543</v>
          </cell>
          <cell r="O3414">
            <v>444771.42805658141</v>
          </cell>
          <cell r="P3414">
            <v>223.85830000000001</v>
          </cell>
        </row>
        <row r="3415">
          <cell r="B3415">
            <v>35664</v>
          </cell>
          <cell r="C3415">
            <v>2.25</v>
          </cell>
          <cell r="D3415">
            <v>1.0911999999999999</v>
          </cell>
          <cell r="E3415">
            <v>68495</v>
          </cell>
          <cell r="F3415">
            <v>11157</v>
          </cell>
          <cell r="J3415">
            <v>1534118.1223235815</v>
          </cell>
          <cell r="K3415">
            <v>1.0911999999999999</v>
          </cell>
          <cell r="L3415">
            <v>68495</v>
          </cell>
          <cell r="M3415">
            <v>11157</v>
          </cell>
          <cell r="N3415">
            <v>438982.23157652543</v>
          </cell>
          <cell r="O3415">
            <v>444771.42805658141</v>
          </cell>
          <cell r="P3415">
            <v>223.85830000000001</v>
          </cell>
        </row>
        <row r="3416">
          <cell r="B3416">
            <v>35667</v>
          </cell>
          <cell r="C3416">
            <v>2.238</v>
          </cell>
          <cell r="D3416">
            <v>1.0920000000000001</v>
          </cell>
          <cell r="E3416">
            <v>69563</v>
          </cell>
          <cell r="F3416">
            <v>11421</v>
          </cell>
          <cell r="J3416">
            <v>1535262.5744428348</v>
          </cell>
          <cell r="K3416">
            <v>1.0920000000000001</v>
          </cell>
          <cell r="L3416">
            <v>69563</v>
          </cell>
          <cell r="M3416">
            <v>11421</v>
          </cell>
          <cell r="N3416">
            <v>438982.23157652543</v>
          </cell>
          <cell r="O3416">
            <v>444771.42805658141</v>
          </cell>
          <cell r="P3416">
            <v>223.85830000000001</v>
          </cell>
        </row>
        <row r="3417">
          <cell r="B3417">
            <v>35668</v>
          </cell>
          <cell r="C3417">
            <v>2.238</v>
          </cell>
          <cell r="D3417">
            <v>1.0925</v>
          </cell>
          <cell r="E3417">
            <v>69671</v>
          </cell>
          <cell r="F3417">
            <v>11626</v>
          </cell>
          <cell r="J3417">
            <v>1536407.8803233691</v>
          </cell>
          <cell r="K3417">
            <v>1.0925</v>
          </cell>
          <cell r="L3417">
            <v>69671</v>
          </cell>
          <cell r="M3417">
            <v>11626</v>
          </cell>
          <cell r="N3417">
            <v>438982.23157652543</v>
          </cell>
          <cell r="O3417">
            <v>444771.42805658141</v>
          </cell>
          <cell r="P3417">
            <v>223.85830000000001</v>
          </cell>
        </row>
        <row r="3418">
          <cell r="B3418">
            <v>35669</v>
          </cell>
          <cell r="C3418">
            <v>2.238</v>
          </cell>
          <cell r="D3418">
            <v>1.0922000000000001</v>
          </cell>
          <cell r="E3418">
            <v>70013</v>
          </cell>
          <cell r="F3418">
            <v>11719</v>
          </cell>
          <cell r="J3418">
            <v>1537554.0406020901</v>
          </cell>
          <cell r="K3418">
            <v>1.0922000000000001</v>
          </cell>
          <cell r="L3418">
            <v>70013</v>
          </cell>
          <cell r="M3418">
            <v>11719</v>
          </cell>
          <cell r="N3418">
            <v>438982.23157652543</v>
          </cell>
          <cell r="O3418">
            <v>444771.42805658141</v>
          </cell>
          <cell r="P3418">
            <v>223.85830000000001</v>
          </cell>
        </row>
        <row r="3419">
          <cell r="B3419">
            <v>35670</v>
          </cell>
          <cell r="C3419">
            <v>2.238</v>
          </cell>
          <cell r="D3419">
            <v>1.0915999999999999</v>
          </cell>
          <cell r="E3419">
            <v>69057</v>
          </cell>
          <cell r="F3419">
            <v>11267</v>
          </cell>
          <cell r="J3419">
            <v>1538701.0559163792</v>
          </cell>
          <cell r="K3419">
            <v>1.0915999999999999</v>
          </cell>
          <cell r="L3419">
            <v>69057</v>
          </cell>
          <cell r="M3419">
            <v>11267</v>
          </cell>
          <cell r="N3419">
            <v>438982.23157652543</v>
          </cell>
          <cell r="O3419">
            <v>444771.42805658141</v>
          </cell>
          <cell r="P3419">
            <v>223.85830000000001</v>
          </cell>
        </row>
        <row r="3420">
          <cell r="B3420">
            <v>35671</v>
          </cell>
          <cell r="C3420">
            <v>2.16</v>
          </cell>
          <cell r="D3420">
            <v>1.0916999999999999</v>
          </cell>
          <cell r="E3420">
            <v>67108</v>
          </cell>
          <cell r="F3420">
            <v>10609</v>
          </cell>
          <cell r="G3420">
            <v>0.04</v>
          </cell>
          <cell r="H3420">
            <v>0.09</v>
          </cell>
          <cell r="I3420">
            <v>226.38800000000001</v>
          </cell>
          <cell r="J3420">
            <v>1539808.9206766391</v>
          </cell>
          <cell r="K3420">
            <v>1.0916999999999999</v>
          </cell>
          <cell r="L3420">
            <v>67108</v>
          </cell>
          <cell r="M3420">
            <v>10609</v>
          </cell>
          <cell r="N3420">
            <v>439157.82446915604</v>
          </cell>
          <cell r="O3420">
            <v>445171.7223418323</v>
          </cell>
          <cell r="P3420">
            <v>226.38800000000001</v>
          </cell>
        </row>
        <row r="3421">
          <cell r="B3421">
            <v>35674</v>
          </cell>
          <cell r="C3421">
            <v>2.16</v>
          </cell>
          <cell r="D3421">
            <v>1.0912999999999999</v>
          </cell>
          <cell r="E3421">
            <v>65431</v>
          </cell>
          <cell r="F3421">
            <v>10109</v>
          </cell>
          <cell r="J3421">
            <v>1540917.5830995264</v>
          </cell>
          <cell r="K3421">
            <v>1.0912999999999999</v>
          </cell>
          <cell r="L3421">
            <v>65431</v>
          </cell>
          <cell r="M3421">
            <v>10109</v>
          </cell>
          <cell r="N3421">
            <v>439157.82446915604</v>
          </cell>
          <cell r="O3421">
            <v>445171.7223418323</v>
          </cell>
          <cell r="P3421">
            <v>226.38800000000001</v>
          </cell>
        </row>
        <row r="3422">
          <cell r="B3422">
            <v>35675</v>
          </cell>
          <cell r="C3422">
            <v>2.1480000000000001</v>
          </cell>
          <cell r="D3422">
            <v>1.0922000000000001</v>
          </cell>
          <cell r="E3422">
            <v>68251</v>
          </cell>
          <cell r="F3422">
            <v>11062</v>
          </cell>
          <cell r="J3422">
            <v>1542020.8800890255</v>
          </cell>
          <cell r="K3422">
            <v>1.0922000000000001</v>
          </cell>
          <cell r="L3422">
            <v>68251</v>
          </cell>
          <cell r="M3422">
            <v>11062</v>
          </cell>
          <cell r="N3422">
            <v>439157.82446915604</v>
          </cell>
          <cell r="O3422">
            <v>445171.7223418323</v>
          </cell>
          <cell r="P3422">
            <v>226.38800000000001</v>
          </cell>
        </row>
        <row r="3423">
          <cell r="B3423">
            <v>35676</v>
          </cell>
          <cell r="C3423">
            <v>2.1480000000000001</v>
          </cell>
          <cell r="D3423">
            <v>1.0925</v>
          </cell>
          <cell r="E3423">
            <v>68912</v>
          </cell>
          <cell r="F3423">
            <v>11119</v>
          </cell>
          <cell r="J3423">
            <v>1543124.967039169</v>
          </cell>
          <cell r="K3423">
            <v>1.0925</v>
          </cell>
          <cell r="L3423">
            <v>68912</v>
          </cell>
          <cell r="M3423">
            <v>11119</v>
          </cell>
          <cell r="N3423">
            <v>439157.82446915604</v>
          </cell>
          <cell r="O3423">
            <v>445171.7223418323</v>
          </cell>
          <cell r="P3423">
            <v>226.38800000000001</v>
          </cell>
        </row>
        <row r="3424">
          <cell r="B3424">
            <v>35677</v>
          </cell>
          <cell r="C3424">
            <v>2.1480000000000001</v>
          </cell>
          <cell r="D3424">
            <v>1.0925</v>
          </cell>
          <cell r="E3424">
            <v>69728</v>
          </cell>
          <cell r="F3424">
            <v>11430</v>
          </cell>
          <cell r="J3424">
            <v>1544229.844515569</v>
          </cell>
          <cell r="K3424">
            <v>1.0925</v>
          </cell>
          <cell r="L3424">
            <v>69728</v>
          </cell>
          <cell r="M3424">
            <v>11430</v>
          </cell>
          <cell r="N3424">
            <v>439157.82446915604</v>
          </cell>
          <cell r="O3424">
            <v>445171.7223418323</v>
          </cell>
          <cell r="P3424">
            <v>226.38800000000001</v>
          </cell>
        </row>
        <row r="3425">
          <cell r="B3425">
            <v>35678</v>
          </cell>
          <cell r="C3425">
            <v>2.1480000000000001</v>
          </cell>
          <cell r="D3425">
            <v>1.0929</v>
          </cell>
          <cell r="E3425">
            <v>71305</v>
          </cell>
          <cell r="F3425">
            <v>11838</v>
          </cell>
          <cell r="J3425">
            <v>1545335.5130842421</v>
          </cell>
          <cell r="K3425">
            <v>1.0929</v>
          </cell>
          <cell r="L3425">
            <v>71305</v>
          </cell>
          <cell r="M3425">
            <v>11838</v>
          </cell>
          <cell r="N3425">
            <v>439157.82446915604</v>
          </cell>
          <cell r="O3425">
            <v>445171.7223418323</v>
          </cell>
          <cell r="P3425">
            <v>226.38800000000001</v>
          </cell>
        </row>
        <row r="3426">
          <cell r="B3426">
            <v>35681</v>
          </cell>
          <cell r="C3426">
            <v>2.1480000000000001</v>
          </cell>
          <cell r="D3426">
            <v>1.0915999999999999</v>
          </cell>
          <cell r="E3426">
            <v>71210</v>
          </cell>
          <cell r="F3426">
            <v>11684</v>
          </cell>
          <cell r="J3426">
            <v>1546441.9733116103</v>
          </cell>
          <cell r="K3426">
            <v>1.0915999999999999</v>
          </cell>
          <cell r="L3426">
            <v>71210</v>
          </cell>
          <cell r="M3426">
            <v>11684</v>
          </cell>
          <cell r="N3426">
            <v>439157.82446915604</v>
          </cell>
          <cell r="O3426">
            <v>445171.7223418323</v>
          </cell>
          <cell r="P3426">
            <v>226.38800000000001</v>
          </cell>
        </row>
        <row r="3427">
          <cell r="B3427">
            <v>35682</v>
          </cell>
          <cell r="C3427">
            <v>2.1480000000000001</v>
          </cell>
          <cell r="D3427">
            <v>1.0914999999999999</v>
          </cell>
          <cell r="E3427">
            <v>70108</v>
          </cell>
          <cell r="F3427">
            <v>11734</v>
          </cell>
          <cell r="J3427">
            <v>1547549.2257645014</v>
          </cell>
          <cell r="K3427">
            <v>1.0914999999999999</v>
          </cell>
          <cell r="L3427">
            <v>70108</v>
          </cell>
          <cell r="M3427">
            <v>11734</v>
          </cell>
          <cell r="N3427">
            <v>439157.82446915604</v>
          </cell>
          <cell r="O3427">
            <v>445171.7223418323</v>
          </cell>
          <cell r="P3427">
            <v>226.38800000000001</v>
          </cell>
        </row>
        <row r="3428">
          <cell r="B3428">
            <v>35683</v>
          </cell>
          <cell r="C3428">
            <v>2.1480000000000001</v>
          </cell>
          <cell r="D3428">
            <v>1.0918000000000001</v>
          </cell>
          <cell r="E3428">
            <v>68952</v>
          </cell>
          <cell r="F3428">
            <v>11361</v>
          </cell>
          <cell r="J3428">
            <v>1548657.2710101486</v>
          </cell>
          <cell r="K3428">
            <v>1.0918000000000001</v>
          </cell>
          <cell r="L3428">
            <v>68952</v>
          </cell>
          <cell r="M3428">
            <v>11361</v>
          </cell>
          <cell r="N3428">
            <v>439157.82446915604</v>
          </cell>
          <cell r="O3428">
            <v>445171.7223418323</v>
          </cell>
          <cell r="P3428">
            <v>226.38800000000001</v>
          </cell>
        </row>
        <row r="3429">
          <cell r="B3429">
            <v>35684</v>
          </cell>
          <cell r="C3429">
            <v>2.1480000000000001</v>
          </cell>
          <cell r="D3429">
            <v>1.0922000000000001</v>
          </cell>
          <cell r="E3429">
            <v>67858</v>
          </cell>
          <cell r="F3429">
            <v>11093</v>
          </cell>
          <cell r="J3429">
            <v>1549766.1096161918</v>
          </cell>
          <cell r="K3429">
            <v>1.0922000000000001</v>
          </cell>
          <cell r="L3429">
            <v>67858</v>
          </cell>
          <cell r="M3429">
            <v>11093</v>
          </cell>
          <cell r="N3429">
            <v>439157.82446915604</v>
          </cell>
          <cell r="O3429">
            <v>445171.7223418323</v>
          </cell>
          <cell r="P3429">
            <v>226.38800000000001</v>
          </cell>
        </row>
        <row r="3430">
          <cell r="B3430">
            <v>35685</v>
          </cell>
          <cell r="C3430">
            <v>2.16</v>
          </cell>
          <cell r="D3430">
            <v>1.0925</v>
          </cell>
          <cell r="E3430">
            <v>68517</v>
          </cell>
          <cell r="F3430">
            <v>11292</v>
          </cell>
          <cell r="J3430">
            <v>1550881.9412151156</v>
          </cell>
          <cell r="K3430">
            <v>1.0925</v>
          </cell>
          <cell r="L3430">
            <v>68517</v>
          </cell>
          <cell r="M3430">
            <v>11292</v>
          </cell>
          <cell r="N3430">
            <v>439157.82446915604</v>
          </cell>
          <cell r="O3430">
            <v>445171.7223418323</v>
          </cell>
          <cell r="P3430">
            <v>226.38800000000001</v>
          </cell>
        </row>
        <row r="3431">
          <cell r="B3431">
            <v>35688</v>
          </cell>
          <cell r="C3431">
            <v>2.16</v>
          </cell>
          <cell r="D3431">
            <v>1.0927</v>
          </cell>
          <cell r="E3431">
            <v>67852</v>
          </cell>
          <cell r="F3431">
            <v>10864</v>
          </cell>
          <cell r="J3431">
            <v>1551998.5762127906</v>
          </cell>
          <cell r="K3431">
            <v>1.0927</v>
          </cell>
          <cell r="L3431">
            <v>67852</v>
          </cell>
          <cell r="M3431">
            <v>10864</v>
          </cell>
          <cell r="N3431">
            <v>439157.82446915604</v>
          </cell>
          <cell r="O3431">
            <v>445171.7223418323</v>
          </cell>
          <cell r="P3431">
            <v>226.38800000000001</v>
          </cell>
        </row>
        <row r="3432">
          <cell r="B3432">
            <v>35689</v>
          </cell>
          <cell r="C3432">
            <v>2.1480000000000001</v>
          </cell>
          <cell r="D3432">
            <v>1.0931999999999999</v>
          </cell>
          <cell r="E3432">
            <v>68222</v>
          </cell>
          <cell r="F3432">
            <v>11204</v>
          </cell>
          <cell r="J3432">
            <v>1553109.8071933589</v>
          </cell>
          <cell r="K3432">
            <v>1.0931999999999999</v>
          </cell>
          <cell r="L3432">
            <v>68222</v>
          </cell>
          <cell r="M3432">
            <v>11204</v>
          </cell>
          <cell r="N3432">
            <v>439157.82446915604</v>
          </cell>
          <cell r="O3432">
            <v>445171.7223418323</v>
          </cell>
          <cell r="P3432">
            <v>226.38800000000001</v>
          </cell>
        </row>
        <row r="3433">
          <cell r="B3433">
            <v>35690</v>
          </cell>
          <cell r="C3433">
            <v>2.1480000000000001</v>
          </cell>
          <cell r="D3433">
            <v>1.0938000000000001</v>
          </cell>
          <cell r="E3433">
            <v>69219</v>
          </cell>
          <cell r="F3433">
            <v>11524</v>
          </cell>
          <cell r="J3433">
            <v>1554221.8338153092</v>
          </cell>
          <cell r="K3433">
            <v>1.0938000000000001</v>
          </cell>
          <cell r="L3433">
            <v>69219</v>
          </cell>
          <cell r="M3433">
            <v>11524</v>
          </cell>
          <cell r="N3433">
            <v>439157.82446915604</v>
          </cell>
          <cell r="O3433">
            <v>445171.7223418323</v>
          </cell>
          <cell r="P3433">
            <v>226.38800000000001</v>
          </cell>
        </row>
        <row r="3434">
          <cell r="B3434">
            <v>35691</v>
          </cell>
          <cell r="C3434">
            <v>2.1480000000000001</v>
          </cell>
          <cell r="D3434">
            <v>1.0942000000000001</v>
          </cell>
          <cell r="E3434">
            <v>70117</v>
          </cell>
          <cell r="F3434">
            <v>11713</v>
          </cell>
          <cell r="J3434">
            <v>1555334.6566483208</v>
          </cell>
          <cell r="K3434">
            <v>1.0942000000000001</v>
          </cell>
          <cell r="L3434">
            <v>70117</v>
          </cell>
          <cell r="M3434">
            <v>11713</v>
          </cell>
          <cell r="N3434">
            <v>439157.82446915604</v>
          </cell>
          <cell r="O3434">
            <v>445171.7223418323</v>
          </cell>
          <cell r="P3434">
            <v>226.38800000000001</v>
          </cell>
        </row>
        <row r="3435">
          <cell r="B3435">
            <v>35692</v>
          </cell>
          <cell r="C3435">
            <v>2.1480000000000001</v>
          </cell>
          <cell r="D3435">
            <v>1.0943000000000001</v>
          </cell>
          <cell r="E3435">
            <v>70266</v>
          </cell>
          <cell r="F3435">
            <v>11649</v>
          </cell>
          <cell r="J3435">
            <v>1556448.276262481</v>
          </cell>
          <cell r="K3435">
            <v>1.0943000000000001</v>
          </cell>
          <cell r="L3435">
            <v>70266</v>
          </cell>
          <cell r="M3435">
            <v>11649</v>
          </cell>
          <cell r="N3435">
            <v>439157.82446915604</v>
          </cell>
          <cell r="O3435">
            <v>445171.7223418323</v>
          </cell>
          <cell r="P3435">
            <v>226.38800000000001</v>
          </cell>
        </row>
        <row r="3436">
          <cell r="B3436">
            <v>35695</v>
          </cell>
          <cell r="C3436">
            <v>2.1480000000000001</v>
          </cell>
          <cell r="D3436">
            <v>1.0949</v>
          </cell>
          <cell r="E3436">
            <v>70697</v>
          </cell>
          <cell r="F3436">
            <v>11697</v>
          </cell>
          <cell r="J3436">
            <v>1557562.6932282848</v>
          </cell>
          <cell r="K3436">
            <v>1.0949</v>
          </cell>
          <cell r="L3436">
            <v>70697</v>
          </cell>
          <cell r="M3436">
            <v>11697</v>
          </cell>
          <cell r="N3436">
            <v>439157.82446915604</v>
          </cell>
          <cell r="O3436">
            <v>445171.7223418323</v>
          </cell>
          <cell r="P3436">
            <v>226.38800000000001</v>
          </cell>
        </row>
        <row r="3437">
          <cell r="B3437">
            <v>35696</v>
          </cell>
          <cell r="C3437">
            <v>2.1480000000000001</v>
          </cell>
          <cell r="D3437">
            <v>1.0952</v>
          </cell>
          <cell r="E3437">
            <v>70123</v>
          </cell>
          <cell r="F3437">
            <v>11516</v>
          </cell>
          <cell r="J3437">
            <v>1558677.9081166361</v>
          </cell>
          <cell r="K3437">
            <v>1.0952</v>
          </cell>
          <cell r="L3437">
            <v>70123</v>
          </cell>
          <cell r="M3437">
            <v>11516</v>
          </cell>
          <cell r="N3437">
            <v>439157.82446915604</v>
          </cell>
          <cell r="O3437">
            <v>445171.7223418323</v>
          </cell>
          <cell r="P3437">
            <v>226.38800000000001</v>
          </cell>
        </row>
        <row r="3438">
          <cell r="B3438">
            <v>35697</v>
          </cell>
          <cell r="C3438">
            <v>2.13</v>
          </cell>
          <cell r="D3438">
            <v>1.0953999999999999</v>
          </cell>
          <cell r="E3438">
            <v>70457</v>
          </cell>
          <cell r="F3438">
            <v>11482</v>
          </cell>
          <cell r="J3438">
            <v>1559784.569431399</v>
          </cell>
          <cell r="K3438">
            <v>1.0953999999999999</v>
          </cell>
          <cell r="L3438">
            <v>70457</v>
          </cell>
          <cell r="M3438">
            <v>11482</v>
          </cell>
          <cell r="N3438">
            <v>439157.82446915604</v>
          </cell>
          <cell r="O3438">
            <v>445171.7223418323</v>
          </cell>
          <cell r="P3438">
            <v>226.38800000000001</v>
          </cell>
        </row>
        <row r="3439">
          <cell r="B3439">
            <v>35698</v>
          </cell>
          <cell r="C3439">
            <v>2.1179999999999999</v>
          </cell>
          <cell r="D3439">
            <v>1.0954999999999999</v>
          </cell>
          <cell r="E3439">
            <v>69589</v>
          </cell>
          <cell r="F3439">
            <v>11384</v>
          </cell>
          <cell r="J3439">
            <v>1560885.7773374177</v>
          </cell>
          <cell r="K3439">
            <v>1.0954999999999999</v>
          </cell>
          <cell r="L3439">
            <v>69589</v>
          </cell>
          <cell r="M3439">
            <v>11384</v>
          </cell>
          <cell r="N3439">
            <v>439157.82446915604</v>
          </cell>
          <cell r="O3439">
            <v>445171.7223418323</v>
          </cell>
          <cell r="P3439">
            <v>226.38800000000001</v>
          </cell>
        </row>
        <row r="3440">
          <cell r="B3440">
            <v>35699</v>
          </cell>
          <cell r="C3440">
            <v>2.109</v>
          </cell>
          <cell r="D3440">
            <v>1.0961000000000001</v>
          </cell>
          <cell r="E3440">
            <v>69925</v>
          </cell>
          <cell r="F3440">
            <v>11533</v>
          </cell>
          <cell r="J3440">
            <v>1561983.0800388858</v>
          </cell>
          <cell r="K3440">
            <v>1.0961000000000001</v>
          </cell>
          <cell r="L3440">
            <v>69925</v>
          </cell>
          <cell r="M3440">
            <v>11533</v>
          </cell>
          <cell r="N3440">
            <v>439157.82446915604</v>
          </cell>
          <cell r="O3440">
            <v>445171.7223418323</v>
          </cell>
          <cell r="P3440">
            <v>226.38800000000001</v>
          </cell>
        </row>
        <row r="3441">
          <cell r="B3441">
            <v>35702</v>
          </cell>
          <cell r="C3441">
            <v>2.0699999999999998</v>
          </cell>
          <cell r="D3441">
            <v>1.0962000000000001</v>
          </cell>
          <cell r="E3441">
            <v>69999</v>
          </cell>
          <cell r="F3441">
            <v>11614</v>
          </cell>
          <cell r="J3441">
            <v>1563060.8483641127</v>
          </cell>
          <cell r="K3441">
            <v>1.0962000000000001</v>
          </cell>
          <cell r="L3441">
            <v>69999</v>
          </cell>
          <cell r="M3441">
            <v>11614</v>
          </cell>
          <cell r="N3441">
            <v>439157.82446915604</v>
          </cell>
          <cell r="O3441">
            <v>445171.7223418323</v>
          </cell>
          <cell r="P3441">
            <v>226.38800000000001</v>
          </cell>
        </row>
        <row r="3442">
          <cell r="B3442">
            <v>35703</v>
          </cell>
          <cell r="C3442">
            <v>2.0699999999999998</v>
          </cell>
          <cell r="D3442">
            <v>1.0964</v>
          </cell>
          <cell r="E3442">
            <v>70302</v>
          </cell>
          <cell r="F3442">
            <v>11797</v>
          </cell>
          <cell r="G3442">
            <v>0.59</v>
          </cell>
          <cell r="H3442">
            <v>0.48</v>
          </cell>
          <cell r="I3442">
            <v>228.99289999999999</v>
          </cell>
          <cell r="J3442">
            <v>1564139.360349484</v>
          </cell>
          <cell r="K3442">
            <v>1.0964</v>
          </cell>
          <cell r="L3442">
            <v>70302</v>
          </cell>
          <cell r="M3442">
            <v>11797</v>
          </cell>
          <cell r="N3442">
            <v>441748.85563352407</v>
          </cell>
          <cell r="O3442">
            <v>447308.54660907306</v>
          </cell>
          <cell r="P3442">
            <v>228.99289999999999</v>
          </cell>
        </row>
        <row r="3443">
          <cell r="B3443">
            <v>35704</v>
          </cell>
          <cell r="C3443">
            <v>2.0579999999999998</v>
          </cell>
          <cell r="D3443">
            <v>1.0967</v>
          </cell>
          <cell r="E3443">
            <v>70845</v>
          </cell>
          <cell r="F3443">
            <v>12173</v>
          </cell>
          <cell r="J3443">
            <v>1565212.3599506838</v>
          </cell>
          <cell r="K3443">
            <v>1.0967</v>
          </cell>
          <cell r="L3443">
            <v>70845</v>
          </cell>
          <cell r="M3443">
            <v>12173</v>
          </cell>
          <cell r="N3443">
            <v>441748.85563352407</v>
          </cell>
          <cell r="O3443">
            <v>447308.54660907306</v>
          </cell>
          <cell r="P3443">
            <v>228.99289999999999</v>
          </cell>
        </row>
        <row r="3444">
          <cell r="B3444">
            <v>35705</v>
          </cell>
          <cell r="C3444">
            <v>2.0489999999999999</v>
          </cell>
          <cell r="D3444">
            <v>1.097</v>
          </cell>
          <cell r="E3444">
            <v>71310</v>
          </cell>
          <cell r="F3444">
            <v>12396</v>
          </cell>
          <cell r="J3444">
            <v>1566281.39999253</v>
          </cell>
          <cell r="K3444">
            <v>1.097</v>
          </cell>
          <cell r="L3444">
            <v>71310</v>
          </cell>
          <cell r="M3444">
            <v>12396</v>
          </cell>
          <cell r="N3444">
            <v>441748.85563352407</v>
          </cell>
          <cell r="O3444">
            <v>447308.54660907306</v>
          </cell>
          <cell r="P3444">
            <v>228.99289999999999</v>
          </cell>
        </row>
        <row r="3445">
          <cell r="B3445">
            <v>35706</v>
          </cell>
          <cell r="C3445">
            <v>2.0489999999999999</v>
          </cell>
          <cell r="D3445">
            <v>1.0971</v>
          </cell>
          <cell r="E3445">
            <v>71258</v>
          </cell>
          <cell r="F3445">
            <v>12540</v>
          </cell>
          <cell r="J3445">
            <v>1567351.170188725</v>
          </cell>
          <cell r="K3445">
            <v>1.0971</v>
          </cell>
          <cell r="L3445">
            <v>71258</v>
          </cell>
          <cell r="M3445">
            <v>12540</v>
          </cell>
          <cell r="N3445">
            <v>441748.85563352407</v>
          </cell>
          <cell r="O3445">
            <v>447308.54660907306</v>
          </cell>
          <cell r="P3445">
            <v>228.99289999999999</v>
          </cell>
        </row>
        <row r="3446">
          <cell r="B3446">
            <v>35709</v>
          </cell>
          <cell r="C3446">
            <v>2.0489999999999999</v>
          </cell>
          <cell r="D3446">
            <v>1.0973999999999999</v>
          </cell>
          <cell r="E3446">
            <v>71410</v>
          </cell>
          <cell r="F3446">
            <v>12688</v>
          </cell>
          <cell r="J3446">
            <v>1568421.6710379638</v>
          </cell>
          <cell r="K3446">
            <v>1.0973999999999999</v>
          </cell>
          <cell r="L3446">
            <v>71410</v>
          </cell>
          <cell r="M3446">
            <v>12688</v>
          </cell>
          <cell r="N3446">
            <v>441748.85563352407</v>
          </cell>
          <cell r="O3446">
            <v>447308.54660907306</v>
          </cell>
          <cell r="P3446">
            <v>228.99289999999999</v>
          </cell>
        </row>
        <row r="3447">
          <cell r="B3447">
            <v>35710</v>
          </cell>
          <cell r="C3447">
            <v>2.0489999999999999</v>
          </cell>
          <cell r="D3447">
            <v>1.0976999999999999</v>
          </cell>
          <cell r="E3447">
            <v>70562</v>
          </cell>
          <cell r="F3447">
            <v>12480</v>
          </cell>
          <cell r="J3447">
            <v>1569492.9030392827</v>
          </cell>
          <cell r="K3447">
            <v>1.0976999999999999</v>
          </cell>
          <cell r="L3447">
            <v>70562</v>
          </cell>
          <cell r="M3447">
            <v>12480</v>
          </cell>
          <cell r="N3447">
            <v>441748.85563352407</v>
          </cell>
          <cell r="O3447">
            <v>447308.54660907306</v>
          </cell>
          <cell r="P3447">
            <v>228.99289999999999</v>
          </cell>
        </row>
        <row r="3448">
          <cell r="B3448">
            <v>35711</v>
          </cell>
          <cell r="C3448">
            <v>2.0489999999999999</v>
          </cell>
          <cell r="D3448">
            <v>1.0979000000000001</v>
          </cell>
          <cell r="E3448">
            <v>70684</v>
          </cell>
          <cell r="F3448">
            <v>12432</v>
          </cell>
          <cell r="J3448">
            <v>1570564.8666920585</v>
          </cell>
          <cell r="K3448">
            <v>1.0979000000000001</v>
          </cell>
          <cell r="L3448">
            <v>70684</v>
          </cell>
          <cell r="M3448">
            <v>12432</v>
          </cell>
          <cell r="N3448">
            <v>441748.85563352407</v>
          </cell>
          <cell r="O3448">
            <v>447308.54660907306</v>
          </cell>
          <cell r="P3448">
            <v>228.99289999999999</v>
          </cell>
        </row>
        <row r="3449">
          <cell r="B3449">
            <v>35712</v>
          </cell>
          <cell r="C3449">
            <v>2.0489999999999999</v>
          </cell>
          <cell r="D3449">
            <v>1.0982000000000001</v>
          </cell>
          <cell r="E3449">
            <v>70967</v>
          </cell>
          <cell r="F3449">
            <v>12684</v>
          </cell>
          <cell r="J3449">
            <v>1571637.5624960093</v>
          </cell>
          <cell r="K3449">
            <v>1.0982000000000001</v>
          </cell>
          <cell r="L3449">
            <v>70967</v>
          </cell>
          <cell r="M3449">
            <v>12684</v>
          </cell>
          <cell r="N3449">
            <v>441748.85563352407</v>
          </cell>
          <cell r="O3449">
            <v>447308.54660907306</v>
          </cell>
          <cell r="P3449">
            <v>228.99289999999999</v>
          </cell>
        </row>
        <row r="3450">
          <cell r="B3450">
            <v>35713</v>
          </cell>
          <cell r="C3450">
            <v>2.0489999999999999</v>
          </cell>
          <cell r="D3450">
            <v>1.0985</v>
          </cell>
          <cell r="E3450">
            <v>70950</v>
          </cell>
          <cell r="F3450">
            <v>12737</v>
          </cell>
          <cell r="J3450">
            <v>1572710.990951194</v>
          </cell>
          <cell r="K3450">
            <v>1.0985</v>
          </cell>
          <cell r="L3450">
            <v>70950</v>
          </cell>
          <cell r="M3450">
            <v>12737</v>
          </cell>
          <cell r="N3450">
            <v>441748.85563352407</v>
          </cell>
          <cell r="O3450">
            <v>447308.54660907306</v>
          </cell>
          <cell r="P3450">
            <v>228.99289999999999</v>
          </cell>
        </row>
        <row r="3451">
          <cell r="B3451">
            <v>35716</v>
          </cell>
          <cell r="C3451">
            <v>2.0489999999999999</v>
          </cell>
          <cell r="D3451">
            <v>1.0985</v>
          </cell>
          <cell r="E3451">
            <v>70876</v>
          </cell>
          <cell r="F3451">
            <v>12697</v>
          </cell>
          <cell r="J3451">
            <v>1573785.1525580136</v>
          </cell>
          <cell r="K3451">
            <v>1.0985</v>
          </cell>
          <cell r="L3451">
            <v>70876</v>
          </cell>
          <cell r="M3451">
            <v>12697</v>
          </cell>
          <cell r="N3451">
            <v>441748.85563352407</v>
          </cell>
          <cell r="O3451">
            <v>447308.54660907306</v>
          </cell>
          <cell r="P3451">
            <v>228.99289999999999</v>
          </cell>
        </row>
        <row r="3452">
          <cell r="B3452">
            <v>35717</v>
          </cell>
          <cell r="C3452">
            <v>2.0579999999999998</v>
          </cell>
          <cell r="D3452">
            <v>1.0988</v>
          </cell>
          <cell r="E3452">
            <v>70985</v>
          </cell>
          <cell r="F3452">
            <v>12895</v>
          </cell>
          <cell r="J3452">
            <v>1574864.7691726682</v>
          </cell>
          <cell r="K3452">
            <v>1.0988</v>
          </cell>
          <cell r="L3452">
            <v>70985</v>
          </cell>
          <cell r="M3452">
            <v>12895</v>
          </cell>
          <cell r="N3452">
            <v>441748.85563352407</v>
          </cell>
          <cell r="O3452">
            <v>447308.54660907306</v>
          </cell>
          <cell r="P3452">
            <v>228.99289999999999</v>
          </cell>
        </row>
        <row r="3453">
          <cell r="B3453">
            <v>35718</v>
          </cell>
          <cell r="C3453">
            <v>2.0699999999999998</v>
          </cell>
          <cell r="D3453">
            <v>1.0993999999999999</v>
          </cell>
          <cell r="E3453">
            <v>70500</v>
          </cell>
          <cell r="F3453">
            <v>12830</v>
          </cell>
          <cell r="J3453">
            <v>1575951.4258633975</v>
          </cell>
          <cell r="K3453">
            <v>1.0993999999999999</v>
          </cell>
          <cell r="L3453">
            <v>70500</v>
          </cell>
          <cell r="M3453">
            <v>12830</v>
          </cell>
          <cell r="N3453">
            <v>441748.85563352407</v>
          </cell>
          <cell r="O3453">
            <v>447308.54660907306</v>
          </cell>
          <cell r="P3453">
            <v>228.99289999999999</v>
          </cell>
        </row>
        <row r="3454">
          <cell r="B3454">
            <v>35719</v>
          </cell>
          <cell r="C3454">
            <v>2.0699999999999998</v>
          </cell>
          <cell r="D3454">
            <v>1.0995999999999999</v>
          </cell>
          <cell r="E3454">
            <v>69982</v>
          </cell>
          <cell r="F3454">
            <v>12578</v>
          </cell>
          <cell r="J3454">
            <v>1577038.8323472433</v>
          </cell>
          <cell r="K3454">
            <v>1.0995999999999999</v>
          </cell>
          <cell r="L3454">
            <v>69982</v>
          </cell>
          <cell r="M3454">
            <v>12578</v>
          </cell>
          <cell r="N3454">
            <v>441748.85563352407</v>
          </cell>
          <cell r="O3454">
            <v>447308.54660907306</v>
          </cell>
          <cell r="P3454">
            <v>228.99289999999999</v>
          </cell>
        </row>
        <row r="3455">
          <cell r="B3455">
            <v>35720</v>
          </cell>
          <cell r="C3455">
            <v>2.0699999999999998</v>
          </cell>
          <cell r="D3455">
            <v>1.1000000000000001</v>
          </cell>
          <cell r="E3455">
            <v>69758</v>
          </cell>
          <cell r="F3455">
            <v>12487</v>
          </cell>
          <cell r="J3455">
            <v>1578126.989141563</v>
          </cell>
          <cell r="K3455">
            <v>1.1000000000000001</v>
          </cell>
          <cell r="L3455">
            <v>69758</v>
          </cell>
          <cell r="M3455">
            <v>12487</v>
          </cell>
          <cell r="N3455">
            <v>441748.85563352407</v>
          </cell>
          <cell r="O3455">
            <v>447308.54660907306</v>
          </cell>
          <cell r="P3455">
            <v>228.99289999999999</v>
          </cell>
        </row>
        <row r="3456">
          <cell r="B3456">
            <v>35723</v>
          </cell>
          <cell r="C3456">
            <v>2.0579999999999998</v>
          </cell>
          <cell r="D3456">
            <v>1.1003000000000001</v>
          </cell>
          <cell r="E3456">
            <v>70274</v>
          </cell>
          <cell r="F3456">
            <v>12703</v>
          </cell>
          <cell r="J3456">
            <v>1579209.584256114</v>
          </cell>
          <cell r="K3456">
            <v>1.1003000000000001</v>
          </cell>
          <cell r="L3456">
            <v>70274</v>
          </cell>
          <cell r="M3456">
            <v>12703</v>
          </cell>
          <cell r="N3456">
            <v>441748.85563352407</v>
          </cell>
          <cell r="O3456">
            <v>447308.54660907306</v>
          </cell>
          <cell r="P3456">
            <v>228.99289999999999</v>
          </cell>
        </row>
        <row r="3457">
          <cell r="B3457">
            <v>35724</v>
          </cell>
          <cell r="C3457">
            <v>2.0579999999999998</v>
          </cell>
          <cell r="D3457">
            <v>1.1004</v>
          </cell>
          <cell r="E3457">
            <v>70565</v>
          </cell>
          <cell r="F3457">
            <v>13015</v>
          </cell>
          <cell r="J3457">
            <v>1580292.9220309136</v>
          </cell>
          <cell r="K3457">
            <v>1.1004</v>
          </cell>
          <cell r="L3457">
            <v>70565</v>
          </cell>
          <cell r="M3457">
            <v>13015</v>
          </cell>
          <cell r="N3457">
            <v>441748.85563352407</v>
          </cell>
          <cell r="O3457">
            <v>447308.54660907306</v>
          </cell>
          <cell r="P3457">
            <v>228.99289999999999</v>
          </cell>
        </row>
        <row r="3458">
          <cell r="B3458">
            <v>35725</v>
          </cell>
          <cell r="C3458">
            <v>2.0579999999999998</v>
          </cell>
          <cell r="D3458">
            <v>1.1008</v>
          </cell>
          <cell r="E3458">
            <v>70187</v>
          </cell>
          <cell r="F3458">
            <v>12955</v>
          </cell>
          <cell r="J3458">
            <v>1581377.0029754268</v>
          </cell>
          <cell r="K3458">
            <v>1.1008</v>
          </cell>
          <cell r="L3458">
            <v>70187</v>
          </cell>
          <cell r="M3458">
            <v>12955</v>
          </cell>
          <cell r="N3458">
            <v>441748.85563352407</v>
          </cell>
          <cell r="O3458">
            <v>447308.54660907306</v>
          </cell>
          <cell r="P3458">
            <v>228.99289999999999</v>
          </cell>
        </row>
        <row r="3459">
          <cell r="B3459">
            <v>35726</v>
          </cell>
          <cell r="C3459">
            <v>2.0579999999999998</v>
          </cell>
          <cell r="D3459">
            <v>1.1009</v>
          </cell>
          <cell r="E3459">
            <v>68276</v>
          </cell>
          <cell r="F3459">
            <v>11899</v>
          </cell>
          <cell r="J3459">
            <v>1582461.8275994679</v>
          </cell>
          <cell r="K3459">
            <v>1.1009</v>
          </cell>
          <cell r="L3459">
            <v>68276</v>
          </cell>
          <cell r="M3459">
            <v>11899</v>
          </cell>
          <cell r="N3459">
            <v>441748.85563352407</v>
          </cell>
          <cell r="O3459">
            <v>447308.54660907306</v>
          </cell>
          <cell r="P3459">
            <v>228.99289999999999</v>
          </cell>
        </row>
        <row r="3460">
          <cell r="B3460">
            <v>35727</v>
          </cell>
          <cell r="C3460">
            <v>2.0489999999999999</v>
          </cell>
          <cell r="D3460">
            <v>1.1012</v>
          </cell>
          <cell r="E3460">
            <v>67470</v>
          </cell>
          <cell r="F3460">
            <v>11545</v>
          </cell>
          <cell r="J3460">
            <v>1583542.6490277185</v>
          </cell>
          <cell r="K3460">
            <v>1.1012</v>
          </cell>
          <cell r="L3460">
            <v>67470</v>
          </cell>
          <cell r="M3460">
            <v>11545</v>
          </cell>
          <cell r="N3460">
            <v>441748.85563352407</v>
          </cell>
          <cell r="O3460">
            <v>447308.54660907306</v>
          </cell>
          <cell r="P3460">
            <v>228.99289999999999</v>
          </cell>
        </row>
        <row r="3461">
          <cell r="B3461">
            <v>35730</v>
          </cell>
          <cell r="C3461">
            <v>2.0579999999999998</v>
          </cell>
          <cell r="D3461">
            <v>1.1027</v>
          </cell>
          <cell r="E3461">
            <v>62566</v>
          </cell>
          <cell r="F3461">
            <v>9816</v>
          </cell>
          <cell r="J3461">
            <v>1584628.9592849514</v>
          </cell>
          <cell r="K3461">
            <v>1.1027</v>
          </cell>
          <cell r="L3461">
            <v>62566</v>
          </cell>
          <cell r="M3461">
            <v>9816</v>
          </cell>
          <cell r="N3461">
            <v>441748.85563352407</v>
          </cell>
          <cell r="O3461">
            <v>447308.54660907306</v>
          </cell>
          <cell r="P3461">
            <v>228.99289999999999</v>
          </cell>
        </row>
        <row r="3462">
          <cell r="B3462">
            <v>35731</v>
          </cell>
          <cell r="C3462">
            <v>2.0790000000000002</v>
          </cell>
          <cell r="D3462">
            <v>1.1064000000000001</v>
          </cell>
          <cell r="E3462">
            <v>62950</v>
          </cell>
          <cell r="F3462">
            <v>10447</v>
          </cell>
          <cell r="J3462">
            <v>1585727.1071537361</v>
          </cell>
          <cell r="K3462">
            <v>1.1064000000000001</v>
          </cell>
          <cell r="L3462">
            <v>62950</v>
          </cell>
          <cell r="M3462">
            <v>10447</v>
          </cell>
          <cell r="N3462">
            <v>441748.85563352407</v>
          </cell>
          <cell r="O3462">
            <v>447308.54660907306</v>
          </cell>
          <cell r="P3462">
            <v>228.99289999999999</v>
          </cell>
        </row>
        <row r="3463">
          <cell r="B3463">
            <v>35732</v>
          </cell>
          <cell r="C3463">
            <v>2.1</v>
          </cell>
          <cell r="D3463">
            <v>1.1024</v>
          </cell>
          <cell r="E3463">
            <v>61719</v>
          </cell>
          <cell r="F3463">
            <v>9818</v>
          </cell>
          <cell r="J3463">
            <v>1586837.1161287436</v>
          </cell>
          <cell r="K3463">
            <v>1.1024</v>
          </cell>
          <cell r="L3463">
            <v>61719</v>
          </cell>
          <cell r="M3463">
            <v>9818</v>
          </cell>
          <cell r="N3463">
            <v>441748.85563352407</v>
          </cell>
          <cell r="O3463">
            <v>447308.54660907306</v>
          </cell>
          <cell r="P3463">
            <v>228.99289999999999</v>
          </cell>
        </row>
        <row r="3464">
          <cell r="B3464">
            <v>35733</v>
          </cell>
          <cell r="C3464">
            <v>2.169</v>
          </cell>
          <cell r="D3464">
            <v>1.1063000000000001</v>
          </cell>
          <cell r="E3464">
            <v>58780</v>
          </cell>
          <cell r="F3464">
            <v>8854</v>
          </cell>
          <cell r="J3464">
            <v>1587984.3993637047</v>
          </cell>
          <cell r="K3464">
            <v>1.1063000000000001</v>
          </cell>
          <cell r="L3464">
            <v>58780</v>
          </cell>
          <cell r="M3464">
            <v>8854</v>
          </cell>
          <cell r="N3464">
            <v>441748.85563352407</v>
          </cell>
          <cell r="O3464">
            <v>447308.54660907306</v>
          </cell>
          <cell r="P3464">
            <v>228.99289999999999</v>
          </cell>
        </row>
        <row r="3465">
          <cell r="B3465">
            <v>35734</v>
          </cell>
          <cell r="C3465">
            <v>4.62</v>
          </cell>
          <cell r="D3465">
            <v>1.1031</v>
          </cell>
          <cell r="E3465">
            <v>57733</v>
          </cell>
          <cell r="F3465">
            <v>8986</v>
          </cell>
          <cell r="G3465">
            <v>0.34</v>
          </cell>
          <cell r="H3465">
            <v>0.37</v>
          </cell>
          <cell r="I3465">
            <v>231.64590000000001</v>
          </cell>
          <cell r="J3465">
            <v>1590429.8953387251</v>
          </cell>
          <cell r="K3465">
            <v>1.1031</v>
          </cell>
          <cell r="L3465">
            <v>57733</v>
          </cell>
          <cell r="M3465">
            <v>8986</v>
          </cell>
          <cell r="N3465">
            <v>443250.8017426781</v>
          </cell>
          <cell r="O3465">
            <v>448963.58823152666</v>
          </cell>
          <cell r="P3465">
            <v>231.64590000000001</v>
          </cell>
        </row>
        <row r="3466">
          <cell r="B3466">
            <v>35737</v>
          </cell>
          <cell r="C3466">
            <v>4.3979999999999997</v>
          </cell>
          <cell r="D3466">
            <v>1.103</v>
          </cell>
          <cell r="E3466">
            <v>59974</v>
          </cell>
          <cell r="F3466">
            <v>9858</v>
          </cell>
          <cell r="J3466">
            <v>1592761.4655652917</v>
          </cell>
          <cell r="K3466">
            <v>1.103</v>
          </cell>
          <cell r="L3466">
            <v>59974</v>
          </cell>
          <cell r="M3466">
            <v>9858</v>
          </cell>
          <cell r="N3466">
            <v>443250.8017426781</v>
          </cell>
          <cell r="O3466">
            <v>448963.58823152666</v>
          </cell>
          <cell r="P3466">
            <v>231.64590000000001</v>
          </cell>
        </row>
        <row r="3467">
          <cell r="B3467">
            <v>35738</v>
          </cell>
          <cell r="C3467">
            <v>4.3979999999999997</v>
          </cell>
          <cell r="D3467">
            <v>1.1041000000000001</v>
          </cell>
          <cell r="E3467">
            <v>60471</v>
          </cell>
          <cell r="F3467">
            <v>10254</v>
          </cell>
          <cell r="J3467">
            <v>1595096.4538738104</v>
          </cell>
          <cell r="K3467">
            <v>1.1041000000000001</v>
          </cell>
          <cell r="L3467">
            <v>60471</v>
          </cell>
          <cell r="M3467">
            <v>10254</v>
          </cell>
          <cell r="N3467">
            <v>443250.8017426781</v>
          </cell>
          <cell r="O3467">
            <v>448963.58823152666</v>
          </cell>
          <cell r="P3467">
            <v>231.64590000000001</v>
          </cell>
        </row>
        <row r="3468">
          <cell r="B3468">
            <v>35739</v>
          </cell>
          <cell r="C3468">
            <v>4.3890000000000002</v>
          </cell>
          <cell r="D3468">
            <v>1.1041000000000001</v>
          </cell>
          <cell r="E3468">
            <v>59879</v>
          </cell>
          <cell r="F3468">
            <v>9988</v>
          </cell>
          <cell r="J3468">
            <v>1597430.0799858277</v>
          </cell>
          <cell r="K3468">
            <v>1.1041000000000001</v>
          </cell>
          <cell r="L3468">
            <v>59879</v>
          </cell>
          <cell r="M3468">
            <v>9988</v>
          </cell>
          <cell r="N3468">
            <v>443250.8017426781</v>
          </cell>
          <cell r="O3468">
            <v>448963.58823152666</v>
          </cell>
          <cell r="P3468">
            <v>231.64590000000001</v>
          </cell>
        </row>
        <row r="3469">
          <cell r="B3469">
            <v>35740</v>
          </cell>
          <cell r="C3469">
            <v>4.5</v>
          </cell>
          <cell r="D3469">
            <v>1.1069</v>
          </cell>
          <cell r="E3469">
            <v>58657</v>
          </cell>
          <cell r="F3469">
            <v>9434</v>
          </cell>
          <cell r="J3469">
            <v>1599826.2251058065</v>
          </cell>
          <cell r="K3469">
            <v>1.1069</v>
          </cell>
          <cell r="L3469">
            <v>58657</v>
          </cell>
          <cell r="M3469">
            <v>9434</v>
          </cell>
          <cell r="N3469">
            <v>443250.8017426781</v>
          </cell>
          <cell r="O3469">
            <v>448963.58823152666</v>
          </cell>
          <cell r="P3469">
            <v>231.64590000000001</v>
          </cell>
        </row>
        <row r="3470">
          <cell r="B3470">
            <v>35741</v>
          </cell>
          <cell r="C3470">
            <v>4.4489999999999998</v>
          </cell>
          <cell r="D3470">
            <v>1.1082000000000001</v>
          </cell>
          <cell r="E3470">
            <v>55438</v>
          </cell>
          <cell r="F3470">
            <v>8832</v>
          </cell>
          <cell r="J3470">
            <v>1602198.7673976382</v>
          </cell>
          <cell r="K3470">
            <v>1.1082000000000001</v>
          </cell>
          <cell r="L3470">
            <v>55438</v>
          </cell>
          <cell r="M3470">
            <v>8832</v>
          </cell>
          <cell r="N3470">
            <v>443250.8017426781</v>
          </cell>
          <cell r="O3470">
            <v>448963.58823152666</v>
          </cell>
          <cell r="P3470">
            <v>231.64590000000001</v>
          </cell>
        </row>
        <row r="3471">
          <cell r="B3471">
            <v>35744</v>
          </cell>
          <cell r="C3471">
            <v>4.4489999999999998</v>
          </cell>
          <cell r="D3471">
            <v>1.1052999999999999</v>
          </cell>
          <cell r="E3471">
            <v>54675</v>
          </cell>
          <cell r="F3471">
            <v>9006</v>
          </cell>
          <cell r="J3471">
            <v>1604574.8281696888</v>
          </cell>
          <cell r="K3471">
            <v>1.1052999999999999</v>
          </cell>
          <cell r="L3471">
            <v>54675</v>
          </cell>
          <cell r="M3471">
            <v>9006</v>
          </cell>
          <cell r="N3471">
            <v>443250.8017426781</v>
          </cell>
          <cell r="O3471">
            <v>448963.58823152666</v>
          </cell>
          <cell r="P3471">
            <v>231.64590000000001</v>
          </cell>
        </row>
        <row r="3472">
          <cell r="B3472">
            <v>35745</v>
          </cell>
          <cell r="C3472">
            <v>4.4489999999999998</v>
          </cell>
          <cell r="D3472">
            <v>1.105</v>
          </cell>
          <cell r="E3472">
            <v>53962</v>
          </cell>
          <cell r="F3472">
            <v>8710</v>
          </cell>
          <cell r="J3472">
            <v>1606954.4126398643</v>
          </cell>
          <cell r="K3472">
            <v>1.105</v>
          </cell>
          <cell r="L3472">
            <v>53962</v>
          </cell>
          <cell r="M3472">
            <v>8710</v>
          </cell>
          <cell r="N3472">
            <v>443250.8017426781</v>
          </cell>
          <cell r="O3472">
            <v>448963.58823152666</v>
          </cell>
          <cell r="P3472">
            <v>231.64590000000001</v>
          </cell>
        </row>
        <row r="3473">
          <cell r="B3473">
            <v>35746</v>
          </cell>
          <cell r="C3473">
            <v>4.4489999999999998</v>
          </cell>
          <cell r="D3473">
            <v>1.1064000000000001</v>
          </cell>
          <cell r="E3473">
            <v>48544</v>
          </cell>
          <cell r="F3473">
            <v>7822</v>
          </cell>
          <cell r="J3473">
            <v>1609337.5260338089</v>
          </cell>
          <cell r="K3473">
            <v>1.1064000000000001</v>
          </cell>
          <cell r="L3473">
            <v>48544</v>
          </cell>
          <cell r="M3473">
            <v>7822</v>
          </cell>
          <cell r="N3473">
            <v>443250.8017426781</v>
          </cell>
          <cell r="O3473">
            <v>448963.58823152666</v>
          </cell>
          <cell r="P3473">
            <v>231.64590000000001</v>
          </cell>
        </row>
        <row r="3474">
          <cell r="B3474">
            <v>35747</v>
          </cell>
          <cell r="C3474">
            <v>4.4489999999999998</v>
          </cell>
          <cell r="D3474">
            <v>1.107</v>
          </cell>
          <cell r="E3474">
            <v>48218</v>
          </cell>
          <cell r="F3474">
            <v>8072</v>
          </cell>
          <cell r="J3474">
            <v>1611724.1735849169</v>
          </cell>
          <cell r="K3474">
            <v>1.107</v>
          </cell>
          <cell r="L3474">
            <v>48218</v>
          </cell>
          <cell r="M3474">
            <v>8072</v>
          </cell>
          <cell r="N3474">
            <v>443250.8017426781</v>
          </cell>
          <cell r="O3474">
            <v>448963.58823152666</v>
          </cell>
          <cell r="P3474">
            <v>231.64590000000001</v>
          </cell>
        </row>
        <row r="3475">
          <cell r="B3475">
            <v>35748</v>
          </cell>
          <cell r="C3475">
            <v>4.4489999999999998</v>
          </cell>
          <cell r="D3475">
            <v>1.1082000000000001</v>
          </cell>
          <cell r="E3475">
            <v>49939</v>
          </cell>
          <cell r="F3475">
            <v>8731</v>
          </cell>
          <cell r="J3475">
            <v>1614114.3605343432</v>
          </cell>
          <cell r="K3475">
            <v>1.1082000000000001</v>
          </cell>
          <cell r="L3475">
            <v>49939</v>
          </cell>
          <cell r="M3475">
            <v>8731</v>
          </cell>
          <cell r="N3475">
            <v>443250.8017426781</v>
          </cell>
          <cell r="O3475">
            <v>448963.58823152666</v>
          </cell>
          <cell r="P3475">
            <v>231.64590000000001</v>
          </cell>
        </row>
        <row r="3476">
          <cell r="B3476">
            <v>35751</v>
          </cell>
          <cell r="C3476">
            <v>4.4489999999999998</v>
          </cell>
          <cell r="D3476">
            <v>1.1067</v>
          </cell>
          <cell r="E3476">
            <v>52006</v>
          </cell>
          <cell r="F3476">
            <v>9083</v>
          </cell>
          <cell r="J3476">
            <v>1616508.0921310154</v>
          </cell>
          <cell r="K3476">
            <v>1.1067</v>
          </cell>
          <cell r="L3476">
            <v>52006</v>
          </cell>
          <cell r="M3476">
            <v>9083</v>
          </cell>
          <cell r="N3476">
            <v>443250.8017426781</v>
          </cell>
          <cell r="O3476">
            <v>448963.58823152666</v>
          </cell>
          <cell r="P3476">
            <v>231.64590000000001</v>
          </cell>
        </row>
        <row r="3477">
          <cell r="B3477">
            <v>35752</v>
          </cell>
          <cell r="C3477">
            <v>4.4489999999999998</v>
          </cell>
          <cell r="D3477">
            <v>1.1066</v>
          </cell>
          <cell r="E3477">
            <v>51199</v>
          </cell>
          <cell r="F3477">
            <v>9027</v>
          </cell>
          <cell r="J3477">
            <v>1618905.3736316455</v>
          </cell>
          <cell r="K3477">
            <v>1.1066</v>
          </cell>
          <cell r="L3477">
            <v>51199</v>
          </cell>
          <cell r="M3477">
            <v>9027</v>
          </cell>
          <cell r="N3477">
            <v>443250.8017426781</v>
          </cell>
          <cell r="O3477">
            <v>448963.58823152666</v>
          </cell>
          <cell r="P3477">
            <v>231.64590000000001</v>
          </cell>
        </row>
        <row r="3478">
          <cell r="B3478">
            <v>35753</v>
          </cell>
          <cell r="C3478">
            <v>4.4489999999999998</v>
          </cell>
          <cell r="D3478">
            <v>1.1081000000000001</v>
          </cell>
          <cell r="E3478">
            <v>52043</v>
          </cell>
          <cell r="F3478">
            <v>9332</v>
          </cell>
          <cell r="J3478">
            <v>1621306.210300741</v>
          </cell>
          <cell r="K3478">
            <v>1.1081000000000001</v>
          </cell>
          <cell r="L3478">
            <v>52043</v>
          </cell>
          <cell r="M3478">
            <v>9332</v>
          </cell>
          <cell r="N3478">
            <v>443250.8017426781</v>
          </cell>
          <cell r="O3478">
            <v>448963.58823152666</v>
          </cell>
          <cell r="P3478">
            <v>231.64590000000001</v>
          </cell>
        </row>
        <row r="3479">
          <cell r="B3479">
            <v>35754</v>
          </cell>
          <cell r="C3479">
            <v>4.4489999999999998</v>
          </cell>
          <cell r="D3479">
            <v>1.1081000000000001</v>
          </cell>
          <cell r="E3479">
            <v>51942</v>
          </cell>
          <cell r="F3479">
            <v>9188</v>
          </cell>
          <cell r="J3479">
            <v>1623710.6074106169</v>
          </cell>
          <cell r="K3479">
            <v>1.1081000000000001</v>
          </cell>
          <cell r="L3479">
            <v>51942</v>
          </cell>
          <cell r="M3479">
            <v>9188</v>
          </cell>
          <cell r="N3479">
            <v>443250.8017426781</v>
          </cell>
          <cell r="O3479">
            <v>448963.58823152666</v>
          </cell>
          <cell r="P3479">
            <v>231.64590000000001</v>
          </cell>
        </row>
        <row r="3480">
          <cell r="B3480">
            <v>35755</v>
          </cell>
          <cell r="C3480">
            <v>4.4489999999999998</v>
          </cell>
          <cell r="D3480">
            <v>1.1093999999999999</v>
          </cell>
          <cell r="E3480">
            <v>53139</v>
          </cell>
          <cell r="F3480">
            <v>9422</v>
          </cell>
          <cell r="J3480">
            <v>1626118.5702414068</v>
          </cell>
          <cell r="K3480">
            <v>1.1093999999999999</v>
          </cell>
          <cell r="L3480">
            <v>53139</v>
          </cell>
          <cell r="M3480">
            <v>9422</v>
          </cell>
          <cell r="N3480">
            <v>443250.8017426781</v>
          </cell>
          <cell r="O3480">
            <v>448963.58823152666</v>
          </cell>
          <cell r="P3480">
            <v>231.64590000000001</v>
          </cell>
        </row>
        <row r="3481">
          <cell r="B3481">
            <v>35758</v>
          </cell>
          <cell r="C3481">
            <v>4.4489999999999998</v>
          </cell>
          <cell r="D3481">
            <v>1.1096999999999999</v>
          </cell>
          <cell r="E3481">
            <v>51770</v>
          </cell>
          <cell r="F3481">
            <v>9070</v>
          </cell>
          <cell r="J3481">
            <v>1628530.1040810747</v>
          </cell>
          <cell r="K3481">
            <v>1.1096999999999999</v>
          </cell>
          <cell r="L3481">
            <v>51770</v>
          </cell>
          <cell r="M3481">
            <v>9070</v>
          </cell>
          <cell r="N3481">
            <v>443250.8017426781</v>
          </cell>
          <cell r="O3481">
            <v>448963.58823152666</v>
          </cell>
          <cell r="P3481">
            <v>231.64590000000001</v>
          </cell>
        </row>
        <row r="3482">
          <cell r="B3482">
            <v>35759</v>
          </cell>
          <cell r="C3482">
            <v>4.4489999999999998</v>
          </cell>
          <cell r="D3482">
            <v>1.1104000000000001</v>
          </cell>
          <cell r="E3482">
            <v>50984</v>
          </cell>
          <cell r="F3482">
            <v>9150</v>
          </cell>
          <cell r="J3482">
            <v>1630945.2142254268</v>
          </cell>
          <cell r="K3482">
            <v>1.1104000000000001</v>
          </cell>
          <cell r="L3482">
            <v>50984</v>
          </cell>
          <cell r="M3482">
            <v>9150</v>
          </cell>
          <cell r="N3482">
            <v>443250.8017426781</v>
          </cell>
          <cell r="O3482">
            <v>448963.58823152666</v>
          </cell>
          <cell r="P3482">
            <v>231.64590000000001</v>
          </cell>
        </row>
        <row r="3483">
          <cell r="B3483">
            <v>35760</v>
          </cell>
          <cell r="C3483">
            <v>4.4489999999999998</v>
          </cell>
          <cell r="D3483">
            <v>1.1104000000000001</v>
          </cell>
          <cell r="E3483">
            <v>51640</v>
          </cell>
          <cell r="F3483">
            <v>9372</v>
          </cell>
          <cell r="J3483">
            <v>1633363.905978123</v>
          </cell>
          <cell r="K3483">
            <v>1.1104000000000001</v>
          </cell>
          <cell r="L3483">
            <v>51640</v>
          </cell>
          <cell r="M3483">
            <v>9372</v>
          </cell>
          <cell r="N3483">
            <v>443250.8017426781</v>
          </cell>
          <cell r="O3483">
            <v>448963.58823152666</v>
          </cell>
          <cell r="P3483">
            <v>231.64590000000001</v>
          </cell>
        </row>
        <row r="3484">
          <cell r="B3484">
            <v>35761</v>
          </cell>
          <cell r="C3484">
            <v>4.4790000000000001</v>
          </cell>
          <cell r="D3484">
            <v>1.1089</v>
          </cell>
          <cell r="E3484">
            <v>52871</v>
          </cell>
          <cell r="F3484">
            <v>9619</v>
          </cell>
          <cell r="J3484">
            <v>1635802.5182897483</v>
          </cell>
          <cell r="K3484">
            <v>1.1089</v>
          </cell>
          <cell r="L3484">
            <v>52871</v>
          </cell>
          <cell r="M3484">
            <v>9619</v>
          </cell>
          <cell r="N3484">
            <v>443250.8017426781</v>
          </cell>
          <cell r="O3484">
            <v>448963.58823152666</v>
          </cell>
          <cell r="P3484">
            <v>231.64590000000001</v>
          </cell>
        </row>
        <row r="3485">
          <cell r="B3485">
            <v>35762</v>
          </cell>
          <cell r="C3485">
            <v>3.9</v>
          </cell>
          <cell r="D3485">
            <v>1.1097999999999999</v>
          </cell>
          <cell r="E3485">
            <v>52215</v>
          </cell>
          <cell r="F3485">
            <v>9394</v>
          </cell>
          <cell r="G3485">
            <v>0.83</v>
          </cell>
          <cell r="H3485">
            <v>0.64</v>
          </cell>
          <cell r="I3485">
            <v>236.3742</v>
          </cell>
          <cell r="J3485">
            <v>1637929.0615635251</v>
          </cell>
          <cell r="K3485">
            <v>1.1097999999999999</v>
          </cell>
          <cell r="L3485">
            <v>52215</v>
          </cell>
          <cell r="M3485">
            <v>9394</v>
          </cell>
          <cell r="N3485">
            <v>446929.78339714231</v>
          </cell>
          <cell r="O3485">
            <v>451836.95519620844</v>
          </cell>
          <cell r="P3485">
            <v>236.3742</v>
          </cell>
        </row>
        <row r="3486">
          <cell r="B3486">
            <v>35765</v>
          </cell>
          <cell r="C3486">
            <v>3.8490000000000002</v>
          </cell>
          <cell r="D3486">
            <v>1.1095999999999999</v>
          </cell>
          <cell r="E3486">
            <v>52057</v>
          </cell>
          <cell r="F3486">
            <v>9648</v>
          </cell>
          <cell r="J3486">
            <v>1640030.524549511</v>
          </cell>
          <cell r="K3486">
            <v>1.1095999999999999</v>
          </cell>
          <cell r="L3486">
            <v>52057</v>
          </cell>
          <cell r="M3486">
            <v>9648</v>
          </cell>
          <cell r="N3486">
            <v>446929.78339714231</v>
          </cell>
          <cell r="O3486">
            <v>451836.95519620844</v>
          </cell>
          <cell r="P3486">
            <v>236.3742</v>
          </cell>
        </row>
        <row r="3487">
          <cell r="B3487">
            <v>35766</v>
          </cell>
          <cell r="C3487">
            <v>3.8490000000000002</v>
          </cell>
          <cell r="D3487">
            <v>1.1095999999999999</v>
          </cell>
          <cell r="E3487">
            <v>52352</v>
          </cell>
          <cell r="F3487">
            <v>9964</v>
          </cell>
          <cell r="J3487">
            <v>1642134.6837125078</v>
          </cell>
          <cell r="K3487">
            <v>1.1095999999999999</v>
          </cell>
          <cell r="L3487">
            <v>52352</v>
          </cell>
          <cell r="M3487">
            <v>9964</v>
          </cell>
          <cell r="N3487">
            <v>446929.78339714231</v>
          </cell>
          <cell r="O3487">
            <v>451836.95519620844</v>
          </cell>
          <cell r="P3487">
            <v>236.3742</v>
          </cell>
        </row>
        <row r="3488">
          <cell r="B3488">
            <v>35767</v>
          </cell>
          <cell r="C3488">
            <v>3.8580000000000001</v>
          </cell>
          <cell r="D3488">
            <v>1.1104000000000001</v>
          </cell>
          <cell r="E3488">
            <v>52408</v>
          </cell>
          <cell r="F3488">
            <v>9991</v>
          </cell>
          <cell r="J3488">
            <v>1644246.4689157619</v>
          </cell>
          <cell r="K3488">
            <v>1.1104000000000001</v>
          </cell>
          <cell r="L3488">
            <v>52408</v>
          </cell>
          <cell r="M3488">
            <v>9991</v>
          </cell>
          <cell r="N3488">
            <v>446929.78339714231</v>
          </cell>
          <cell r="O3488">
            <v>451836.95519620844</v>
          </cell>
          <cell r="P3488">
            <v>236.3742</v>
          </cell>
        </row>
        <row r="3489">
          <cell r="B3489">
            <v>35768</v>
          </cell>
          <cell r="C3489">
            <v>3.8879999999999999</v>
          </cell>
          <cell r="D3489">
            <v>1.1106</v>
          </cell>
          <cell r="E3489">
            <v>52470</v>
          </cell>
          <cell r="F3489">
            <v>10046</v>
          </cell>
          <cell r="J3489">
            <v>1646377.4123394766</v>
          </cell>
          <cell r="K3489">
            <v>1.1106</v>
          </cell>
          <cell r="L3489">
            <v>52470</v>
          </cell>
          <cell r="M3489">
            <v>10046</v>
          </cell>
          <cell r="N3489">
            <v>446929.78339714231</v>
          </cell>
          <cell r="O3489">
            <v>451836.95519620844</v>
          </cell>
          <cell r="P3489">
            <v>236.3742</v>
          </cell>
        </row>
        <row r="3490">
          <cell r="B3490">
            <v>35769</v>
          </cell>
          <cell r="C3490">
            <v>3.879</v>
          </cell>
          <cell r="D3490">
            <v>1.1105</v>
          </cell>
          <cell r="E3490">
            <v>52149</v>
          </cell>
          <cell r="F3490">
            <v>10080</v>
          </cell>
          <cell r="J3490">
            <v>1648506.1783336315</v>
          </cell>
          <cell r="K3490">
            <v>1.1105</v>
          </cell>
          <cell r="L3490">
            <v>52149</v>
          </cell>
          <cell r="M3490">
            <v>10080</v>
          </cell>
          <cell r="N3490">
            <v>446929.78339714231</v>
          </cell>
          <cell r="O3490">
            <v>451836.95519620844</v>
          </cell>
          <cell r="P3490">
            <v>236.3742</v>
          </cell>
        </row>
        <row r="3491">
          <cell r="B3491">
            <v>35772</v>
          </cell>
          <cell r="C3491">
            <v>3.87</v>
          </cell>
          <cell r="D3491">
            <v>1.1119000000000001</v>
          </cell>
          <cell r="E3491">
            <v>52159</v>
          </cell>
          <cell r="F3491">
            <v>10078</v>
          </cell>
          <cell r="J3491">
            <v>1650632.7513036819</v>
          </cell>
          <cell r="K3491">
            <v>1.1119000000000001</v>
          </cell>
          <cell r="L3491">
            <v>52159</v>
          </cell>
          <cell r="M3491">
            <v>10078</v>
          </cell>
          <cell r="N3491">
            <v>446929.78339714231</v>
          </cell>
          <cell r="O3491">
            <v>451836.95519620844</v>
          </cell>
          <cell r="P3491">
            <v>236.3742</v>
          </cell>
        </row>
        <row r="3492">
          <cell r="B3492">
            <v>35773</v>
          </cell>
          <cell r="C3492">
            <v>3.87</v>
          </cell>
          <cell r="D3492">
            <v>1.1122000000000001</v>
          </cell>
          <cell r="E3492">
            <v>51308</v>
          </cell>
          <cell r="F3492">
            <v>9840</v>
          </cell>
          <cell r="J3492">
            <v>1652762.0675528636</v>
          </cell>
          <cell r="K3492">
            <v>1.1122000000000001</v>
          </cell>
          <cell r="L3492">
            <v>51308</v>
          </cell>
          <cell r="M3492">
            <v>9840</v>
          </cell>
          <cell r="N3492">
            <v>446929.78339714231</v>
          </cell>
          <cell r="O3492">
            <v>451836.95519620844</v>
          </cell>
          <cell r="P3492">
            <v>236.3742</v>
          </cell>
        </row>
        <row r="3493">
          <cell r="B3493">
            <v>35774</v>
          </cell>
          <cell r="C3493">
            <v>3.87</v>
          </cell>
          <cell r="D3493">
            <v>1.1129</v>
          </cell>
          <cell r="E3493">
            <v>50335</v>
          </cell>
          <cell r="F3493">
            <v>9461</v>
          </cell>
          <cell r="J3493">
            <v>1654894.1306200069</v>
          </cell>
          <cell r="K3493">
            <v>1.1129</v>
          </cell>
          <cell r="L3493">
            <v>50335</v>
          </cell>
          <cell r="M3493">
            <v>9461</v>
          </cell>
          <cell r="N3493">
            <v>446929.78339714231</v>
          </cell>
          <cell r="O3493">
            <v>451836.95519620844</v>
          </cell>
          <cell r="P3493">
            <v>236.3742</v>
          </cell>
        </row>
        <row r="3494">
          <cell r="B3494">
            <v>35775</v>
          </cell>
          <cell r="C3494">
            <v>3.87</v>
          </cell>
          <cell r="D3494">
            <v>1.1151</v>
          </cell>
          <cell r="E3494">
            <v>48906</v>
          </cell>
          <cell r="F3494">
            <v>9108</v>
          </cell>
          <cell r="J3494">
            <v>1657028.9440485067</v>
          </cell>
          <cell r="K3494">
            <v>1.1151</v>
          </cell>
          <cell r="L3494">
            <v>48906</v>
          </cell>
          <cell r="M3494">
            <v>9108</v>
          </cell>
          <cell r="N3494">
            <v>446929.78339714231</v>
          </cell>
          <cell r="O3494">
            <v>451836.95519620844</v>
          </cell>
          <cell r="P3494">
            <v>236.3742</v>
          </cell>
        </row>
        <row r="3495">
          <cell r="B3495">
            <v>35776</v>
          </cell>
          <cell r="C3495">
            <v>3.87</v>
          </cell>
          <cell r="D3495">
            <v>1.1162000000000001</v>
          </cell>
          <cell r="E3495">
            <v>49110</v>
          </cell>
          <cell r="F3495">
            <v>9146</v>
          </cell>
          <cell r="J3495">
            <v>1659166.5113863293</v>
          </cell>
          <cell r="K3495">
            <v>1.1162000000000001</v>
          </cell>
          <cell r="L3495">
            <v>49110</v>
          </cell>
          <cell r="M3495">
            <v>9146</v>
          </cell>
          <cell r="N3495">
            <v>446929.78339714231</v>
          </cell>
          <cell r="O3495">
            <v>451836.95519620844</v>
          </cell>
          <cell r="P3495">
            <v>236.3742</v>
          </cell>
        </row>
        <row r="3496">
          <cell r="B3496">
            <v>35779</v>
          </cell>
          <cell r="C3496">
            <v>3.87</v>
          </cell>
          <cell r="D3496">
            <v>1.1143000000000001</v>
          </cell>
          <cell r="E3496">
            <v>49428</v>
          </cell>
          <cell r="F3496">
            <v>9550</v>
          </cell>
          <cell r="J3496">
            <v>1661306.8361860176</v>
          </cell>
          <cell r="K3496">
            <v>1.1143000000000001</v>
          </cell>
          <cell r="L3496">
            <v>49428</v>
          </cell>
          <cell r="M3496">
            <v>9550</v>
          </cell>
          <cell r="N3496">
            <v>446929.78339714231</v>
          </cell>
          <cell r="O3496">
            <v>451836.95519620844</v>
          </cell>
          <cell r="P3496">
            <v>236.3742</v>
          </cell>
        </row>
        <row r="3497">
          <cell r="B3497">
            <v>35780</v>
          </cell>
          <cell r="C3497">
            <v>3.87</v>
          </cell>
          <cell r="D3497">
            <v>1.1133999999999999</v>
          </cell>
          <cell r="E3497">
            <v>49763</v>
          </cell>
          <cell r="F3497">
            <v>9742</v>
          </cell>
          <cell r="J3497">
            <v>1663449.9220046976</v>
          </cell>
          <cell r="K3497">
            <v>1.1133999999999999</v>
          </cell>
          <cell r="L3497">
            <v>49763</v>
          </cell>
          <cell r="M3497">
            <v>9742</v>
          </cell>
          <cell r="N3497">
            <v>446929.78339714231</v>
          </cell>
          <cell r="O3497">
            <v>451836.95519620844</v>
          </cell>
          <cell r="P3497">
            <v>236.3742</v>
          </cell>
        </row>
        <row r="3498">
          <cell r="B3498">
            <v>35781</v>
          </cell>
          <cell r="C3498">
            <v>3.9</v>
          </cell>
          <cell r="D3498">
            <v>1.1142000000000001</v>
          </cell>
          <cell r="E3498">
            <v>49897</v>
          </cell>
          <cell r="F3498">
            <v>9853</v>
          </cell>
          <cell r="J3498">
            <v>1665612.4069033039</v>
          </cell>
          <cell r="K3498">
            <v>1.1142000000000001</v>
          </cell>
          <cell r="L3498">
            <v>49897</v>
          </cell>
          <cell r="M3498">
            <v>9853</v>
          </cell>
          <cell r="N3498">
            <v>446929.78339714231</v>
          </cell>
          <cell r="O3498">
            <v>451836.95519620844</v>
          </cell>
          <cell r="P3498">
            <v>236.3742</v>
          </cell>
        </row>
        <row r="3499">
          <cell r="B3499">
            <v>35782</v>
          </cell>
          <cell r="C3499">
            <v>3.9990000000000001</v>
          </cell>
          <cell r="D3499">
            <v>1.1144000000000001</v>
          </cell>
          <cell r="E3499">
            <v>49541</v>
          </cell>
          <cell r="F3499">
            <v>9482</v>
          </cell>
          <cell r="J3499">
            <v>1667832.668241706</v>
          </cell>
          <cell r="K3499">
            <v>1.1144000000000001</v>
          </cell>
          <cell r="L3499">
            <v>49541</v>
          </cell>
          <cell r="M3499">
            <v>9482</v>
          </cell>
          <cell r="N3499">
            <v>446929.78339714231</v>
          </cell>
          <cell r="O3499">
            <v>451836.95519620844</v>
          </cell>
          <cell r="P3499">
            <v>236.3742</v>
          </cell>
        </row>
        <row r="3500">
          <cell r="B3500">
            <v>35783</v>
          </cell>
          <cell r="C3500">
            <v>3.9990000000000001</v>
          </cell>
          <cell r="D3500">
            <v>1.1148</v>
          </cell>
          <cell r="E3500">
            <v>48891</v>
          </cell>
          <cell r="F3500">
            <v>9139</v>
          </cell>
          <cell r="J3500">
            <v>1670055.8891884722</v>
          </cell>
          <cell r="K3500">
            <v>1.1148</v>
          </cell>
          <cell r="L3500">
            <v>48891</v>
          </cell>
          <cell r="M3500">
            <v>9139</v>
          </cell>
          <cell r="N3500">
            <v>446929.78339714231</v>
          </cell>
          <cell r="O3500">
            <v>451836.95519620844</v>
          </cell>
          <cell r="P3500">
            <v>236.3742</v>
          </cell>
        </row>
        <row r="3501">
          <cell r="B3501">
            <v>35786</v>
          </cell>
          <cell r="C3501">
            <v>4.05</v>
          </cell>
          <cell r="D3501">
            <v>1.1151</v>
          </cell>
          <cell r="E3501">
            <v>49499</v>
          </cell>
          <cell r="F3501">
            <v>9494</v>
          </cell>
          <cell r="J3501">
            <v>1672310.4646388765</v>
          </cell>
          <cell r="K3501">
            <v>1.1151</v>
          </cell>
          <cell r="L3501">
            <v>49499</v>
          </cell>
          <cell r="M3501">
            <v>9494</v>
          </cell>
          <cell r="N3501">
            <v>446929.78339714231</v>
          </cell>
          <cell r="O3501">
            <v>451836.95519620844</v>
          </cell>
          <cell r="P3501">
            <v>236.3742</v>
          </cell>
        </row>
        <row r="3502">
          <cell r="B3502">
            <v>35787</v>
          </cell>
          <cell r="C3502">
            <v>4.0110000000000001</v>
          </cell>
          <cell r="D3502">
            <v>1.115</v>
          </cell>
          <cell r="E3502">
            <v>50157</v>
          </cell>
          <cell r="F3502">
            <v>9554</v>
          </cell>
          <cell r="J3502">
            <v>1674546.3437300986</v>
          </cell>
          <cell r="K3502">
            <v>1.115</v>
          </cell>
          <cell r="L3502">
            <v>50157</v>
          </cell>
          <cell r="M3502">
            <v>9554</v>
          </cell>
          <cell r="N3502">
            <v>446929.78339714231</v>
          </cell>
          <cell r="O3502">
            <v>451836.95519620844</v>
          </cell>
          <cell r="P3502">
            <v>236.3742</v>
          </cell>
        </row>
        <row r="3503">
          <cell r="B3503">
            <v>35788</v>
          </cell>
          <cell r="C3503">
            <v>4.0110000000000001</v>
          </cell>
          <cell r="J3503">
            <v>1676785.2121916655</v>
          </cell>
          <cell r="K3503">
            <v>1.115</v>
          </cell>
          <cell r="L3503">
            <v>50157</v>
          </cell>
          <cell r="M3503">
            <v>9554</v>
          </cell>
          <cell r="N3503">
            <v>446929.78339714231</v>
          </cell>
          <cell r="O3503">
            <v>451836.95519620844</v>
          </cell>
          <cell r="P3503">
            <v>236.3742</v>
          </cell>
        </row>
        <row r="3504">
          <cell r="B3504">
            <v>35790</v>
          </cell>
          <cell r="C3504">
            <v>3.9990000000000001</v>
          </cell>
          <cell r="D3504">
            <v>1.1151</v>
          </cell>
          <cell r="E3504">
            <v>51055</v>
          </cell>
          <cell r="F3504">
            <v>9794</v>
          </cell>
          <cell r="J3504">
            <v>1679020.366879517</v>
          </cell>
          <cell r="K3504">
            <v>1.1151</v>
          </cell>
          <cell r="L3504">
            <v>51055</v>
          </cell>
          <cell r="M3504">
            <v>9794</v>
          </cell>
          <cell r="N3504">
            <v>446929.78339714231</v>
          </cell>
          <cell r="O3504">
            <v>451836.95519620844</v>
          </cell>
          <cell r="P3504">
            <v>236.3742</v>
          </cell>
        </row>
        <row r="3505">
          <cell r="B3505">
            <v>35793</v>
          </cell>
          <cell r="C3505">
            <v>4.008</v>
          </cell>
          <cell r="D3505">
            <v>1.1156999999999999</v>
          </cell>
          <cell r="E3505">
            <v>52072</v>
          </cell>
          <cell r="F3505">
            <v>10051</v>
          </cell>
          <cell r="J3505">
            <v>1681263.5380896679</v>
          </cell>
          <cell r="K3505">
            <v>1.1156999999999999</v>
          </cell>
          <cell r="L3505">
            <v>52072</v>
          </cell>
          <cell r="M3505">
            <v>10051</v>
          </cell>
          <cell r="N3505">
            <v>446929.78339714231</v>
          </cell>
          <cell r="O3505">
            <v>451836.95519620844</v>
          </cell>
          <cell r="P3505">
            <v>236.3742</v>
          </cell>
        </row>
        <row r="3506">
          <cell r="B3506">
            <v>35794</v>
          </cell>
          <cell r="C3506">
            <v>3.93</v>
          </cell>
          <cell r="D3506">
            <v>1.1164000000000001</v>
          </cell>
          <cell r="E3506">
            <v>53551</v>
          </cell>
          <cell r="F3506">
            <v>10196</v>
          </cell>
          <cell r="G3506">
            <v>0.69</v>
          </cell>
          <cell r="H3506">
            <v>0.84</v>
          </cell>
          <cell r="J3506">
            <v>1683465.9933245652</v>
          </cell>
          <cell r="K3506">
            <v>1.1164000000000001</v>
          </cell>
          <cell r="L3506">
            <v>53551</v>
          </cell>
          <cell r="M3506">
            <v>10196</v>
          </cell>
          <cell r="N3506">
            <v>450013.59890258254</v>
          </cell>
          <cell r="O3506">
            <v>455632.38561985659</v>
          </cell>
          <cell r="P3506">
            <v>236.3742</v>
          </cell>
        </row>
        <row r="3507">
          <cell r="B3507">
            <v>35795</v>
          </cell>
          <cell r="C3507">
            <v>3.93</v>
          </cell>
          <cell r="I3507">
            <v>240.6643</v>
          </cell>
          <cell r="J3507">
            <v>1685671.3337758202</v>
          </cell>
          <cell r="K3507">
            <v>1.1164000000000001</v>
          </cell>
          <cell r="L3507">
            <v>53551</v>
          </cell>
          <cell r="M3507">
            <v>10196</v>
          </cell>
          <cell r="N3507">
            <v>450013.59890258254</v>
          </cell>
          <cell r="O3507">
            <v>455632.38561985659</v>
          </cell>
          <cell r="P3507">
            <v>240.6643</v>
          </cell>
        </row>
        <row r="3508">
          <cell r="B3508">
            <v>35797</v>
          </cell>
          <cell r="C3508">
            <v>3.846276</v>
          </cell>
          <cell r="D3508">
            <v>1.1165</v>
          </cell>
          <cell r="E3508">
            <v>54995</v>
          </cell>
          <cell r="F3508">
            <v>10479</v>
          </cell>
          <cell r="J3508">
            <v>1687832.5195074836</v>
          </cell>
          <cell r="K3508">
            <v>1.1165</v>
          </cell>
          <cell r="L3508">
            <v>54995</v>
          </cell>
          <cell r="M3508">
            <v>10479</v>
          </cell>
          <cell r="N3508">
            <v>450013.59890258254</v>
          </cell>
          <cell r="O3508">
            <v>455632.38561985659</v>
          </cell>
          <cell r="P3508">
            <v>240.6643</v>
          </cell>
        </row>
        <row r="3509">
          <cell r="B3509">
            <v>35800</v>
          </cell>
          <cell r="C3509">
            <v>3.8419599999999998</v>
          </cell>
          <cell r="D3509">
            <v>1.1165</v>
          </cell>
          <cell r="E3509">
            <v>55253</v>
          </cell>
          <cell r="F3509">
            <v>10606</v>
          </cell>
          <cell r="J3509">
            <v>1689994.0478496994</v>
          </cell>
          <cell r="K3509">
            <v>1.1165</v>
          </cell>
          <cell r="L3509">
            <v>55253</v>
          </cell>
          <cell r="M3509">
            <v>10606</v>
          </cell>
          <cell r="N3509">
            <v>450013.59890258254</v>
          </cell>
          <cell r="O3509">
            <v>455632.38561985659</v>
          </cell>
          <cell r="P3509">
            <v>240.6643</v>
          </cell>
        </row>
        <row r="3510">
          <cell r="B3510">
            <v>35801</v>
          </cell>
          <cell r="C3510">
            <v>3.8428239999999998</v>
          </cell>
          <cell r="D3510">
            <v>1.1169</v>
          </cell>
          <cell r="E3510">
            <v>53560</v>
          </cell>
          <cell r="F3510">
            <v>10184</v>
          </cell>
          <cell r="J3510">
            <v>1692158.8310786772</v>
          </cell>
          <cell r="K3510">
            <v>1.1169</v>
          </cell>
          <cell r="L3510">
            <v>53560</v>
          </cell>
          <cell r="M3510">
            <v>10184</v>
          </cell>
          <cell r="N3510">
            <v>450013.59890258254</v>
          </cell>
          <cell r="O3510">
            <v>455632.38561985659</v>
          </cell>
          <cell r="P3510">
            <v>240.6643</v>
          </cell>
        </row>
        <row r="3511">
          <cell r="B3511">
            <v>35802</v>
          </cell>
          <cell r="C3511">
            <v>3.8445499999999999</v>
          </cell>
          <cell r="D3511">
            <v>1.1174999999999999</v>
          </cell>
          <cell r="E3511">
            <v>52436</v>
          </cell>
          <cell r="F3511">
            <v>9879</v>
          </cell>
          <cell r="J3511">
            <v>1694327.3608233517</v>
          </cell>
          <cell r="K3511">
            <v>1.1174999999999999</v>
          </cell>
          <cell r="L3511">
            <v>52436</v>
          </cell>
          <cell r="M3511">
            <v>9879</v>
          </cell>
          <cell r="N3511">
            <v>450013.59890258254</v>
          </cell>
          <cell r="O3511">
            <v>455632.38561985659</v>
          </cell>
          <cell r="P3511">
            <v>240.6643</v>
          </cell>
        </row>
        <row r="3512">
          <cell r="B3512">
            <v>35803</v>
          </cell>
          <cell r="C3512">
            <v>3.8454130000000002</v>
          </cell>
          <cell r="D3512">
            <v>1.1180000000000001</v>
          </cell>
          <cell r="E3512">
            <v>51596</v>
          </cell>
          <cell r="F3512">
            <v>9657</v>
          </cell>
          <cell r="J3512">
            <v>1696499.1569765403</v>
          </cell>
          <cell r="K3512">
            <v>1.1180000000000001</v>
          </cell>
          <cell r="L3512">
            <v>51596</v>
          </cell>
          <cell r="M3512">
            <v>9657</v>
          </cell>
          <cell r="N3512">
            <v>450013.59890258254</v>
          </cell>
          <cell r="O3512">
            <v>455632.38561985659</v>
          </cell>
          <cell r="P3512">
            <v>240.6643</v>
          </cell>
        </row>
        <row r="3513">
          <cell r="B3513">
            <v>35804</v>
          </cell>
          <cell r="C3513">
            <v>3.8445499999999999</v>
          </cell>
          <cell r="D3513">
            <v>1.1184000000000001</v>
          </cell>
          <cell r="E3513">
            <v>49696</v>
          </cell>
          <cell r="F3513">
            <v>9118</v>
          </cell>
          <cell r="J3513">
            <v>1698673.2489211918</v>
          </cell>
          <cell r="K3513">
            <v>1.1184000000000001</v>
          </cell>
          <cell r="L3513">
            <v>49696</v>
          </cell>
          <cell r="M3513">
            <v>9118</v>
          </cell>
          <cell r="N3513">
            <v>450013.59890258254</v>
          </cell>
          <cell r="O3513">
            <v>455632.38561985659</v>
          </cell>
          <cell r="P3513">
            <v>240.6643</v>
          </cell>
        </row>
        <row r="3514">
          <cell r="B3514">
            <v>35807</v>
          </cell>
          <cell r="C3514">
            <v>3.8454130000000002</v>
          </cell>
          <cell r="D3514">
            <v>1.1192</v>
          </cell>
          <cell r="E3514">
            <v>49189</v>
          </cell>
          <cell r="F3514">
            <v>9227</v>
          </cell>
          <cell r="J3514">
            <v>1700850.6156525763</v>
          </cell>
          <cell r="K3514">
            <v>1.1192</v>
          </cell>
          <cell r="L3514">
            <v>49189</v>
          </cell>
          <cell r="M3514">
            <v>9227</v>
          </cell>
          <cell r="N3514">
            <v>450013.59890258254</v>
          </cell>
          <cell r="O3514">
            <v>455632.38561985659</v>
          </cell>
          <cell r="P3514">
            <v>240.6643</v>
          </cell>
        </row>
        <row r="3515">
          <cell r="B3515">
            <v>35808</v>
          </cell>
          <cell r="C3515">
            <v>3.8436870000000001</v>
          </cell>
          <cell r="D3515">
            <v>1.1187</v>
          </cell>
          <cell r="E3515">
            <v>49785</v>
          </cell>
          <cell r="F3515">
            <v>9415</v>
          </cell>
          <cell r="J3515">
            <v>1703029.7947860181</v>
          </cell>
          <cell r="K3515">
            <v>1.1187</v>
          </cell>
          <cell r="L3515">
            <v>49785</v>
          </cell>
          <cell r="M3515">
            <v>9415</v>
          </cell>
          <cell r="N3515">
            <v>450013.59890258254</v>
          </cell>
          <cell r="O3515">
            <v>455632.38561985659</v>
          </cell>
          <cell r="P3515">
            <v>240.6643</v>
          </cell>
        </row>
        <row r="3516">
          <cell r="B3516">
            <v>35809</v>
          </cell>
          <cell r="C3516">
            <v>3.7978459999999998</v>
          </cell>
          <cell r="D3516">
            <v>1.119</v>
          </cell>
          <cell r="E3516">
            <v>49657</v>
          </cell>
          <cell r="F3516">
            <v>9349</v>
          </cell>
          <cell r="J3516">
            <v>1705185.7430840209</v>
          </cell>
          <cell r="K3516">
            <v>1.119</v>
          </cell>
          <cell r="L3516">
            <v>49657</v>
          </cell>
          <cell r="M3516">
            <v>9349</v>
          </cell>
          <cell r="N3516">
            <v>450013.59890258254</v>
          </cell>
          <cell r="O3516">
            <v>455632.38561985659</v>
          </cell>
          <cell r="P3516">
            <v>240.6643</v>
          </cell>
        </row>
        <row r="3517">
          <cell r="B3517">
            <v>35810</v>
          </cell>
          <cell r="C3517">
            <v>3.7987129999999998</v>
          </cell>
          <cell r="D3517">
            <v>1.1206</v>
          </cell>
          <cell r="E3517">
            <v>49004</v>
          </cell>
          <cell r="F3517">
            <v>9140</v>
          </cell>
          <cell r="J3517">
            <v>1707344.9135005767</v>
          </cell>
          <cell r="K3517">
            <v>1.1206</v>
          </cell>
          <cell r="L3517">
            <v>49004</v>
          </cell>
          <cell r="M3517">
            <v>9140</v>
          </cell>
          <cell r="N3517">
            <v>450013.59890258254</v>
          </cell>
          <cell r="O3517">
            <v>455632.38561985659</v>
          </cell>
          <cell r="P3517">
            <v>240.6643</v>
          </cell>
        </row>
        <row r="3518">
          <cell r="B3518">
            <v>35811</v>
          </cell>
          <cell r="C3518">
            <v>3.8030439999999999</v>
          </cell>
          <cell r="D3518">
            <v>1.1205000000000001</v>
          </cell>
          <cell r="E3518">
            <v>49568</v>
          </cell>
          <cell r="F3518">
            <v>9448</v>
          </cell>
          <cell r="J3518">
            <v>1709509.2827769832</v>
          </cell>
          <cell r="K3518">
            <v>1.1205000000000001</v>
          </cell>
          <cell r="L3518">
            <v>49568</v>
          </cell>
          <cell r="M3518">
            <v>9448</v>
          </cell>
          <cell r="N3518">
            <v>450013.59890258254</v>
          </cell>
          <cell r="O3518">
            <v>455632.38561985659</v>
          </cell>
          <cell r="P3518">
            <v>240.6643</v>
          </cell>
        </row>
        <row r="3519">
          <cell r="B3519">
            <v>35814</v>
          </cell>
          <cell r="C3519">
            <v>3.7857080000000001</v>
          </cell>
          <cell r="D3519">
            <v>1.1201000000000001</v>
          </cell>
          <cell r="E3519">
            <v>50139</v>
          </cell>
          <cell r="F3519">
            <v>9752</v>
          </cell>
          <cell r="J3519">
            <v>1711666.517099611</v>
          </cell>
          <cell r="K3519">
            <v>1.1201000000000001</v>
          </cell>
          <cell r="L3519">
            <v>50139</v>
          </cell>
          <cell r="M3519">
            <v>9752</v>
          </cell>
          <cell r="N3519">
            <v>450013.59890258254</v>
          </cell>
          <cell r="O3519">
            <v>455632.38561985659</v>
          </cell>
          <cell r="P3519">
            <v>240.6643</v>
          </cell>
        </row>
        <row r="3520">
          <cell r="B3520">
            <v>35815</v>
          </cell>
          <cell r="C3520">
            <v>3.7796340000000002</v>
          </cell>
          <cell r="D3520">
            <v>1.1205000000000001</v>
          </cell>
          <cell r="E3520">
            <v>49478</v>
          </cell>
          <cell r="F3520">
            <v>9568</v>
          </cell>
          <cell r="J3520">
            <v>1713823.0080878413</v>
          </cell>
          <cell r="K3520">
            <v>1.1205000000000001</v>
          </cell>
          <cell r="L3520">
            <v>49478</v>
          </cell>
          <cell r="M3520">
            <v>9568</v>
          </cell>
          <cell r="N3520">
            <v>450013.59890258254</v>
          </cell>
          <cell r="O3520">
            <v>455632.38561985659</v>
          </cell>
          <cell r="P3520">
            <v>240.6643</v>
          </cell>
        </row>
        <row r="3521">
          <cell r="B3521">
            <v>35816</v>
          </cell>
          <cell r="C3521">
            <v>3.7752940000000001</v>
          </cell>
          <cell r="D3521">
            <v>1.1207</v>
          </cell>
          <cell r="E3521">
            <v>48915</v>
          </cell>
          <cell r="F3521">
            <v>9385</v>
          </cell>
          <cell r="J3521">
            <v>1715979.7366610065</v>
          </cell>
          <cell r="K3521">
            <v>1.1207</v>
          </cell>
          <cell r="L3521">
            <v>48915</v>
          </cell>
          <cell r="M3521">
            <v>9385</v>
          </cell>
          <cell r="N3521">
            <v>450013.59890258254</v>
          </cell>
          <cell r="O3521">
            <v>455632.38561985659</v>
          </cell>
          <cell r="P3521">
            <v>240.6643</v>
          </cell>
        </row>
        <row r="3522">
          <cell r="B3522">
            <v>35817</v>
          </cell>
          <cell r="C3522">
            <v>3.7561779999999998</v>
          </cell>
          <cell r="D3522">
            <v>1.1206</v>
          </cell>
          <cell r="E3522">
            <v>49753</v>
          </cell>
          <cell r="F3522">
            <v>9709</v>
          </cell>
          <cell r="J3522">
            <v>1718128.2451061038</v>
          </cell>
          <cell r="K3522">
            <v>1.1206</v>
          </cell>
          <cell r="L3522">
            <v>49753</v>
          </cell>
          <cell r="M3522">
            <v>9709</v>
          </cell>
          <cell r="N3522">
            <v>450013.59890258254</v>
          </cell>
          <cell r="O3522">
            <v>455632.38561985659</v>
          </cell>
          <cell r="P3522">
            <v>240.6643</v>
          </cell>
        </row>
        <row r="3523">
          <cell r="B3523">
            <v>35818</v>
          </cell>
          <cell r="C3523">
            <v>3.7187260000000002</v>
          </cell>
          <cell r="D3523">
            <v>1.1214999999999999</v>
          </cell>
          <cell r="E3523">
            <v>48868</v>
          </cell>
          <cell r="F3523">
            <v>9467</v>
          </cell>
          <cell r="J3523">
            <v>1720257.9944982408</v>
          </cell>
          <cell r="K3523">
            <v>1.1214999999999999</v>
          </cell>
          <cell r="L3523">
            <v>48868</v>
          </cell>
          <cell r="M3523">
            <v>9467</v>
          </cell>
          <cell r="N3523">
            <v>450013.59890258254</v>
          </cell>
          <cell r="O3523">
            <v>455632.38561985659</v>
          </cell>
          <cell r="P3523">
            <v>240.6643</v>
          </cell>
        </row>
        <row r="3524">
          <cell r="B3524">
            <v>35821</v>
          </cell>
          <cell r="C3524">
            <v>3.6934019999999999</v>
          </cell>
          <cell r="D3524">
            <v>1.1215999999999999</v>
          </cell>
          <cell r="E3524">
            <v>48942</v>
          </cell>
          <cell r="F3524">
            <v>9513</v>
          </cell>
          <cell r="J3524">
            <v>1722375.8626040393</v>
          </cell>
          <cell r="K3524">
            <v>1.1215999999999999</v>
          </cell>
          <cell r="L3524">
            <v>48942</v>
          </cell>
          <cell r="M3524">
            <v>9513</v>
          </cell>
          <cell r="N3524">
            <v>450013.59890258254</v>
          </cell>
          <cell r="O3524">
            <v>455632.38561985659</v>
          </cell>
          <cell r="P3524">
            <v>240.6643</v>
          </cell>
        </row>
        <row r="3525">
          <cell r="B3525">
            <v>35822</v>
          </cell>
          <cell r="C3525">
            <v>3.6899039999999999</v>
          </cell>
          <cell r="D3525">
            <v>1.1224000000000001</v>
          </cell>
          <cell r="E3525">
            <v>48730</v>
          </cell>
          <cell r="F3525">
            <v>9651</v>
          </cell>
          <cell r="J3525">
            <v>1724494.3297990148</v>
          </cell>
          <cell r="K3525">
            <v>1.1224000000000001</v>
          </cell>
          <cell r="L3525">
            <v>48730</v>
          </cell>
          <cell r="M3525">
            <v>9651</v>
          </cell>
          <cell r="N3525">
            <v>450013.59890258254</v>
          </cell>
          <cell r="O3525">
            <v>455632.38561985659</v>
          </cell>
          <cell r="P3525">
            <v>240.6643</v>
          </cell>
        </row>
        <row r="3526">
          <cell r="B3526">
            <v>35823</v>
          </cell>
          <cell r="C3526">
            <v>3.639958</v>
          </cell>
          <cell r="D3526">
            <v>1.1227</v>
          </cell>
          <cell r="E3526">
            <v>48770</v>
          </cell>
          <cell r="F3526">
            <v>9773</v>
          </cell>
          <cell r="J3526">
            <v>1726586.6921095836</v>
          </cell>
          <cell r="K3526">
            <v>1.1227</v>
          </cell>
          <cell r="L3526">
            <v>48770</v>
          </cell>
          <cell r="M3526">
            <v>9773</v>
          </cell>
          <cell r="N3526">
            <v>450013.59890258254</v>
          </cell>
          <cell r="O3526">
            <v>455632.38561985659</v>
          </cell>
          <cell r="P3526">
            <v>240.6643</v>
          </cell>
        </row>
        <row r="3527">
          <cell r="B3527">
            <v>35824</v>
          </cell>
          <cell r="C3527">
            <v>3.487965</v>
          </cell>
          <cell r="D3527">
            <v>1.123</v>
          </cell>
          <cell r="E3527">
            <v>48939</v>
          </cell>
          <cell r="F3527">
            <v>9785</v>
          </cell>
          <cell r="J3527">
            <v>1728594.1167600981</v>
          </cell>
          <cell r="K3527">
            <v>1.123</v>
          </cell>
          <cell r="L3527">
            <v>48939</v>
          </cell>
          <cell r="M3527">
            <v>9785</v>
          </cell>
          <cell r="N3527">
            <v>450013.59890258254</v>
          </cell>
          <cell r="O3527">
            <v>455632.38561985659</v>
          </cell>
          <cell r="P3527">
            <v>240.6643</v>
          </cell>
        </row>
        <row r="3528">
          <cell r="B3528">
            <v>35825</v>
          </cell>
          <cell r="C3528">
            <v>3.5084019999999998</v>
          </cell>
          <cell r="D3528">
            <v>1.1236999999999999</v>
          </cell>
          <cell r="E3528">
            <v>49040</v>
          </cell>
          <cell r="F3528">
            <v>9720</v>
          </cell>
          <cell r="G3528">
            <v>0.88</v>
          </cell>
          <cell r="H3528">
            <v>0.96</v>
          </cell>
          <cell r="I3528">
            <v>244.63910000000001</v>
          </cell>
          <cell r="J3528">
            <v>1730615.6511122412</v>
          </cell>
          <cell r="K3528">
            <v>1.1236999999999999</v>
          </cell>
          <cell r="L3528">
            <v>49040</v>
          </cell>
          <cell r="M3528">
            <v>9720</v>
          </cell>
          <cell r="N3528">
            <v>453973.71857292525</v>
          </cell>
          <cell r="O3528">
            <v>460006.45652180724</v>
          </cell>
          <cell r="P3528">
            <v>244.63910000000001</v>
          </cell>
        </row>
        <row r="3529">
          <cell r="B3529">
            <v>35828</v>
          </cell>
          <cell r="C3529">
            <v>3.49952</v>
          </cell>
          <cell r="D3529">
            <v>1.1235999999999999</v>
          </cell>
          <cell r="E3529">
            <v>49913</v>
          </cell>
          <cell r="F3529">
            <v>9973</v>
          </cell>
          <cell r="J3529">
            <v>1732634.4258067012</v>
          </cell>
          <cell r="K3529">
            <v>1.1235999999999999</v>
          </cell>
          <cell r="L3529">
            <v>49913</v>
          </cell>
          <cell r="M3529">
            <v>9973</v>
          </cell>
          <cell r="N3529">
            <v>453973.71857292525</v>
          </cell>
          <cell r="O3529">
            <v>460006.45652180724</v>
          </cell>
          <cell r="P3529">
            <v>244.63910000000001</v>
          </cell>
        </row>
        <row r="3530">
          <cell r="B3530">
            <v>35829</v>
          </cell>
          <cell r="C3530">
            <v>3.5066259999999998</v>
          </cell>
          <cell r="D3530">
            <v>1.1244000000000001</v>
          </cell>
          <cell r="E3530">
            <v>49978</v>
          </cell>
          <cell r="F3530">
            <v>10054</v>
          </cell>
          <cell r="J3530">
            <v>1734659.659448711</v>
          </cell>
          <cell r="K3530">
            <v>1.1244000000000001</v>
          </cell>
          <cell r="L3530">
            <v>49978</v>
          </cell>
          <cell r="M3530">
            <v>10054</v>
          </cell>
          <cell r="N3530">
            <v>453973.71857292525</v>
          </cell>
          <cell r="O3530">
            <v>460006.45652180724</v>
          </cell>
          <cell r="P3530">
            <v>244.63910000000001</v>
          </cell>
        </row>
        <row r="3531">
          <cell r="B3531">
            <v>35830</v>
          </cell>
          <cell r="C3531">
            <v>3.503962</v>
          </cell>
          <cell r="D3531">
            <v>1.1245000000000001</v>
          </cell>
          <cell r="E3531">
            <v>49920</v>
          </cell>
          <cell r="F3531">
            <v>9971</v>
          </cell>
          <cell r="J3531">
            <v>1736685.7199585913</v>
          </cell>
          <cell r="K3531">
            <v>1.1245000000000001</v>
          </cell>
          <cell r="L3531">
            <v>49920</v>
          </cell>
          <cell r="M3531">
            <v>9971</v>
          </cell>
          <cell r="N3531">
            <v>453973.71857292525</v>
          </cell>
          <cell r="O3531">
            <v>460006.45652180724</v>
          </cell>
          <cell r="P3531">
            <v>244.63910000000001</v>
          </cell>
        </row>
        <row r="3532">
          <cell r="B3532">
            <v>35831</v>
          </cell>
          <cell r="C3532">
            <v>3.5048499999999998</v>
          </cell>
          <cell r="D3532">
            <v>1.1245000000000001</v>
          </cell>
          <cell r="E3532">
            <v>49974</v>
          </cell>
          <cell r="F3532">
            <v>9948</v>
          </cell>
          <cell r="J3532">
            <v>1738714.6609404569</v>
          </cell>
          <cell r="K3532">
            <v>1.1245000000000001</v>
          </cell>
          <cell r="L3532">
            <v>49974</v>
          </cell>
          <cell r="M3532">
            <v>9948</v>
          </cell>
          <cell r="N3532">
            <v>453973.71857292525</v>
          </cell>
          <cell r="O3532">
            <v>460006.45652180724</v>
          </cell>
          <cell r="P3532">
            <v>244.63910000000001</v>
          </cell>
        </row>
        <row r="3533">
          <cell r="B3533">
            <v>35832</v>
          </cell>
          <cell r="C3533">
            <v>3.505738</v>
          </cell>
          <cell r="D3533">
            <v>1.1254</v>
          </cell>
          <cell r="E3533">
            <v>50211</v>
          </cell>
          <cell r="F3533">
            <v>10010</v>
          </cell>
          <cell r="J3533">
            <v>1740746.4869597957</v>
          </cell>
          <cell r="K3533">
            <v>1.1254</v>
          </cell>
          <cell r="L3533">
            <v>50211</v>
          </cell>
          <cell r="M3533">
            <v>10010</v>
          </cell>
          <cell r="N3533">
            <v>453973.71857292525</v>
          </cell>
          <cell r="O3533">
            <v>460006.45652180724</v>
          </cell>
          <cell r="P3533">
            <v>244.63910000000001</v>
          </cell>
        </row>
        <row r="3534">
          <cell r="B3534">
            <v>35835</v>
          </cell>
          <cell r="C3534">
            <v>3.5021849999999999</v>
          </cell>
          <cell r="D3534">
            <v>1.1254999999999999</v>
          </cell>
          <cell r="E3534">
            <v>50651</v>
          </cell>
          <cell r="F3534">
            <v>10239</v>
          </cell>
          <cell r="J3534">
            <v>1742778.6257049402</v>
          </cell>
          <cell r="K3534">
            <v>1.1254999999999999</v>
          </cell>
          <cell r="L3534">
            <v>50651</v>
          </cell>
          <cell r="M3534">
            <v>10239</v>
          </cell>
          <cell r="N3534">
            <v>453973.71857292525</v>
          </cell>
          <cell r="O3534">
            <v>460006.45652180724</v>
          </cell>
          <cell r="P3534">
            <v>244.63910000000001</v>
          </cell>
        </row>
        <row r="3535">
          <cell r="B3535">
            <v>35836</v>
          </cell>
          <cell r="C3535">
            <v>3.4950770000000002</v>
          </cell>
          <cell r="D3535">
            <v>1.1264000000000001</v>
          </cell>
          <cell r="E3535">
            <v>51156</v>
          </cell>
          <cell r="F3535">
            <v>10278</v>
          </cell>
          <cell r="J3535">
            <v>1744809.0075352045</v>
          </cell>
          <cell r="K3535">
            <v>1.1264000000000001</v>
          </cell>
          <cell r="L3535">
            <v>51156</v>
          </cell>
          <cell r="M3535">
            <v>10278</v>
          </cell>
          <cell r="N3535">
            <v>453973.71857292525</v>
          </cell>
          <cell r="O3535">
            <v>460006.45652180724</v>
          </cell>
          <cell r="P3535">
            <v>244.63910000000001</v>
          </cell>
        </row>
        <row r="3536">
          <cell r="B3536">
            <v>35837</v>
          </cell>
          <cell r="C3536">
            <v>3.4924110000000002</v>
          </cell>
          <cell r="D3536">
            <v>1.1265000000000001</v>
          </cell>
          <cell r="E3536">
            <v>51859</v>
          </cell>
          <cell r="F3536">
            <v>10485</v>
          </cell>
          <cell r="J3536">
            <v>1746840.2042588096</v>
          </cell>
          <cell r="K3536">
            <v>1.1265000000000001</v>
          </cell>
          <cell r="L3536">
            <v>51859</v>
          </cell>
          <cell r="M3536">
            <v>10485</v>
          </cell>
          <cell r="N3536">
            <v>453973.71857292525</v>
          </cell>
          <cell r="O3536">
            <v>460006.45652180724</v>
          </cell>
          <cell r="P3536">
            <v>244.63910000000001</v>
          </cell>
        </row>
        <row r="3537">
          <cell r="B3537">
            <v>35838</v>
          </cell>
          <cell r="C3537">
            <v>3.4941879999999998</v>
          </cell>
          <cell r="D3537">
            <v>1.1268</v>
          </cell>
          <cell r="E3537">
            <v>51710</v>
          </cell>
          <cell r="F3537">
            <v>10350</v>
          </cell>
          <cell r="J3537">
            <v>1748874.8002853557</v>
          </cell>
          <cell r="K3537">
            <v>1.1268</v>
          </cell>
          <cell r="L3537">
            <v>51710</v>
          </cell>
          <cell r="M3537">
            <v>10350</v>
          </cell>
          <cell r="N3537">
            <v>453973.71857292525</v>
          </cell>
          <cell r="O3537">
            <v>460006.45652180724</v>
          </cell>
          <cell r="P3537">
            <v>244.63910000000001</v>
          </cell>
        </row>
        <row r="3538">
          <cell r="B3538">
            <v>35839</v>
          </cell>
          <cell r="C3538">
            <v>3.4915219999999998</v>
          </cell>
          <cell r="D3538">
            <v>1.1275999999999999</v>
          </cell>
          <cell r="E3538">
            <v>52251</v>
          </cell>
          <cell r="F3538">
            <v>10365</v>
          </cell>
          <cell r="J3538">
            <v>1750910.2118988365</v>
          </cell>
          <cell r="K3538">
            <v>1.1275999999999999</v>
          </cell>
          <cell r="L3538">
            <v>52251</v>
          </cell>
          <cell r="M3538">
            <v>10365</v>
          </cell>
          <cell r="N3538">
            <v>453973.71857292525</v>
          </cell>
          <cell r="O3538">
            <v>460006.45652180724</v>
          </cell>
          <cell r="P3538">
            <v>244.63910000000001</v>
          </cell>
        </row>
        <row r="3539">
          <cell r="B3539">
            <v>35842</v>
          </cell>
          <cell r="C3539">
            <v>3.4808479999999999</v>
          </cell>
          <cell r="D3539">
            <v>1.1274</v>
          </cell>
          <cell r="E3539">
            <v>52005</v>
          </cell>
          <cell r="F3539">
            <v>10233</v>
          </cell>
          <cell r="J3539">
            <v>1752941.7626685922</v>
          </cell>
          <cell r="K3539">
            <v>1.1274</v>
          </cell>
          <cell r="L3539">
            <v>52005</v>
          </cell>
          <cell r="M3539">
            <v>10233</v>
          </cell>
          <cell r="N3539">
            <v>453973.71857292525</v>
          </cell>
          <cell r="O3539">
            <v>460006.45652180724</v>
          </cell>
          <cell r="P3539">
            <v>244.63910000000001</v>
          </cell>
        </row>
        <row r="3540">
          <cell r="B3540">
            <v>35843</v>
          </cell>
          <cell r="C3540">
            <v>3.4826280000000001</v>
          </cell>
          <cell r="D3540">
            <v>1.1284000000000001</v>
          </cell>
          <cell r="E3540">
            <v>51988</v>
          </cell>
          <cell r="F3540">
            <v>10420</v>
          </cell>
          <cell r="J3540">
            <v>1754976.7106902716</v>
          </cell>
          <cell r="K3540">
            <v>1.1284000000000001</v>
          </cell>
          <cell r="L3540">
            <v>51988</v>
          </cell>
          <cell r="M3540">
            <v>10420</v>
          </cell>
          <cell r="N3540">
            <v>453973.71857292525</v>
          </cell>
          <cell r="O3540">
            <v>460006.45652180724</v>
          </cell>
          <cell r="P3540">
            <v>244.63910000000001</v>
          </cell>
        </row>
        <row r="3541">
          <cell r="B3541">
            <v>35844</v>
          </cell>
          <cell r="C3541">
            <v>3.4781780000000002</v>
          </cell>
          <cell r="D3541">
            <v>1.1286</v>
          </cell>
          <cell r="E3541">
            <v>52048</v>
          </cell>
          <cell r="F3541">
            <v>10322</v>
          </cell>
          <cell r="J3541">
            <v>1757011.4178188166</v>
          </cell>
          <cell r="K3541">
            <v>1.1286</v>
          </cell>
          <cell r="L3541">
            <v>52048</v>
          </cell>
          <cell r="M3541">
            <v>10322</v>
          </cell>
          <cell r="N3541">
            <v>453973.71857292525</v>
          </cell>
          <cell r="O3541">
            <v>460006.45652180724</v>
          </cell>
          <cell r="P3541">
            <v>244.63910000000001</v>
          </cell>
        </row>
        <row r="3542">
          <cell r="B3542">
            <v>35845</v>
          </cell>
          <cell r="C3542">
            <v>3.4639289999999998</v>
          </cell>
          <cell r="D3542">
            <v>1.1292</v>
          </cell>
          <cell r="E3542">
            <v>51869</v>
          </cell>
          <cell r="F3542">
            <v>10235</v>
          </cell>
          <cell r="J3542">
            <v>1759040.1387533213</v>
          </cell>
          <cell r="K3542">
            <v>1.1292</v>
          </cell>
          <cell r="L3542">
            <v>51869</v>
          </cell>
          <cell r="M3542">
            <v>10235</v>
          </cell>
          <cell r="N3542">
            <v>453973.71857292525</v>
          </cell>
          <cell r="O3542">
            <v>460006.45652180724</v>
          </cell>
          <cell r="P3542">
            <v>244.63910000000001</v>
          </cell>
        </row>
        <row r="3543">
          <cell r="B3543">
            <v>35846</v>
          </cell>
          <cell r="C3543">
            <v>3.4318059999999999</v>
          </cell>
          <cell r="D3543">
            <v>1.1294999999999999</v>
          </cell>
          <cell r="E3543">
            <v>52255</v>
          </cell>
          <cell r="F3543">
            <v>10318</v>
          </cell>
          <cell r="J3543">
            <v>1761052.3669207927</v>
          </cell>
          <cell r="K3543">
            <v>1.1294999999999999</v>
          </cell>
          <cell r="L3543">
            <v>52255</v>
          </cell>
          <cell r="M3543">
            <v>10318</v>
          </cell>
          <cell r="N3543">
            <v>453973.71857292525</v>
          </cell>
          <cell r="O3543">
            <v>460006.45652180724</v>
          </cell>
          <cell r="P3543">
            <v>244.63910000000001</v>
          </cell>
        </row>
        <row r="3544">
          <cell r="B3544">
            <v>35851</v>
          </cell>
          <cell r="C3544">
            <v>3.423762</v>
          </cell>
          <cell r="D3544">
            <v>1.1296999999999999</v>
          </cell>
          <cell r="E3544">
            <v>52779</v>
          </cell>
          <cell r="F3544">
            <v>10545</v>
          </cell>
          <cell r="J3544">
            <v>1763062.1749787505</v>
          </cell>
          <cell r="K3544">
            <v>1.1296999999999999</v>
          </cell>
          <cell r="L3544">
            <v>52779</v>
          </cell>
          <cell r="M3544">
            <v>10545</v>
          </cell>
          <cell r="N3544">
            <v>453973.71857292525</v>
          </cell>
          <cell r="O3544">
            <v>460006.45652180724</v>
          </cell>
          <cell r="P3544">
            <v>244.63910000000001</v>
          </cell>
        </row>
        <row r="3545">
          <cell r="B3545">
            <v>35852</v>
          </cell>
          <cell r="C3545">
            <v>3.4192909999999999</v>
          </cell>
          <cell r="D3545">
            <v>1.1297999999999999</v>
          </cell>
          <cell r="E3545">
            <v>53040</v>
          </cell>
          <cell r="F3545">
            <v>10556</v>
          </cell>
          <cell r="J3545">
            <v>1765071.6491878654</v>
          </cell>
          <cell r="K3545">
            <v>1.1297999999999999</v>
          </cell>
          <cell r="L3545">
            <v>53040</v>
          </cell>
          <cell r="M3545">
            <v>10556</v>
          </cell>
          <cell r="N3545">
            <v>453973.71857292525</v>
          </cell>
          <cell r="O3545">
            <v>460006.45652180724</v>
          </cell>
          <cell r="P3545">
            <v>244.63910000000001</v>
          </cell>
        </row>
        <row r="3546">
          <cell r="B3546">
            <v>35853</v>
          </cell>
          <cell r="C3546">
            <v>3.4219740000000001</v>
          </cell>
          <cell r="D3546">
            <v>1.1304000000000001</v>
          </cell>
          <cell r="E3546">
            <v>53773</v>
          </cell>
          <cell r="F3546">
            <v>10570</v>
          </cell>
          <cell r="G3546">
            <v>0.02</v>
          </cell>
          <cell r="H3546">
            <v>0.18</v>
          </cell>
          <cell r="I3546">
            <v>246.9588</v>
          </cell>
          <cell r="J3546">
            <v>1767084.9922850847</v>
          </cell>
          <cell r="K3546">
            <v>1.1304000000000001</v>
          </cell>
          <cell r="L3546">
            <v>53773</v>
          </cell>
          <cell r="M3546">
            <v>10570</v>
          </cell>
          <cell r="N3546">
            <v>454064.51331663982</v>
          </cell>
          <cell r="O3546">
            <v>460834.46814354649</v>
          </cell>
          <cell r="P3546">
            <v>246.9588</v>
          </cell>
        </row>
        <row r="3547">
          <cell r="B3547">
            <v>35856</v>
          </cell>
          <cell r="C3547">
            <v>3.4192909999999999</v>
          </cell>
          <cell r="D3547">
            <v>1.1305000000000001</v>
          </cell>
          <cell r="E3547">
            <v>54639</v>
          </cell>
          <cell r="F3547">
            <v>10845</v>
          </cell>
          <cell r="J3547">
            <v>1769099.051555203</v>
          </cell>
          <cell r="K3547">
            <v>1.1305000000000001</v>
          </cell>
          <cell r="L3547">
            <v>54639</v>
          </cell>
          <cell r="M3547">
            <v>10845</v>
          </cell>
          <cell r="N3547">
            <v>454064.51331663982</v>
          </cell>
          <cell r="O3547">
            <v>460834.46814354649</v>
          </cell>
          <cell r="P3547">
            <v>246.9588</v>
          </cell>
        </row>
        <row r="3548">
          <cell r="B3548">
            <v>35857</v>
          </cell>
          <cell r="C3548">
            <v>3.3798710000000001</v>
          </cell>
          <cell r="D3548">
            <v>1.1306</v>
          </cell>
          <cell r="E3548">
            <v>55716</v>
          </cell>
          <cell r="F3548">
            <v>10939</v>
          </cell>
          <cell r="J3548">
            <v>1771092.1604153628</v>
          </cell>
          <cell r="K3548">
            <v>1.1306</v>
          </cell>
          <cell r="L3548">
            <v>55716</v>
          </cell>
          <cell r="M3548">
            <v>10939</v>
          </cell>
          <cell r="N3548">
            <v>454064.51331663982</v>
          </cell>
          <cell r="O3548">
            <v>460834.46814354649</v>
          </cell>
          <cell r="P3548">
            <v>246.9588</v>
          </cell>
        </row>
        <row r="3549">
          <cell r="B3549">
            <v>35858</v>
          </cell>
          <cell r="C3549">
            <v>3.0191219999999999</v>
          </cell>
          <cell r="D3549">
            <v>1.1314</v>
          </cell>
          <cell r="E3549">
            <v>56586</v>
          </cell>
          <cell r="F3549">
            <v>10898</v>
          </cell>
          <cell r="J3549">
            <v>1772874.5415172086</v>
          </cell>
          <cell r="K3549">
            <v>1.1314</v>
          </cell>
          <cell r="L3549">
            <v>56586</v>
          </cell>
          <cell r="M3549">
            <v>10898</v>
          </cell>
          <cell r="N3549">
            <v>454064.51331663982</v>
          </cell>
          <cell r="O3549">
            <v>460834.46814354649</v>
          </cell>
          <cell r="P3549">
            <v>246.9588</v>
          </cell>
        </row>
        <row r="3550">
          <cell r="B3550">
            <v>35859</v>
          </cell>
          <cell r="C3550">
            <v>2.9029530000000001</v>
          </cell>
          <cell r="D3550">
            <v>1.1314</v>
          </cell>
          <cell r="E3550">
            <v>57032</v>
          </cell>
          <cell r="F3550">
            <v>10947</v>
          </cell>
          <cell r="J3550">
            <v>1774590.0653401823</v>
          </cell>
          <cell r="K3550">
            <v>1.1314</v>
          </cell>
          <cell r="L3550">
            <v>57032</v>
          </cell>
          <cell r="M3550">
            <v>10947</v>
          </cell>
          <cell r="N3550">
            <v>454064.51331663982</v>
          </cell>
          <cell r="O3550">
            <v>460834.46814354649</v>
          </cell>
          <cell r="P3550">
            <v>246.9588</v>
          </cell>
        </row>
        <row r="3551">
          <cell r="B3551">
            <v>35860</v>
          </cell>
          <cell r="C3551">
            <v>2.9057550000000001</v>
          </cell>
          <cell r="D3551">
            <v>1.1315</v>
          </cell>
          <cell r="E3551">
            <v>58540</v>
          </cell>
          <cell r="F3551">
            <v>11159</v>
          </cell>
          <cell r="J3551">
            <v>1776308.9066586199</v>
          </cell>
          <cell r="K3551">
            <v>1.1315</v>
          </cell>
          <cell r="L3551">
            <v>58540</v>
          </cell>
          <cell r="M3551">
            <v>11159</v>
          </cell>
          <cell r="N3551">
            <v>454064.51331663982</v>
          </cell>
          <cell r="O3551">
            <v>460834.46814354649</v>
          </cell>
          <cell r="P3551">
            <v>246.9588</v>
          </cell>
        </row>
        <row r="3552">
          <cell r="B3552">
            <v>35863</v>
          </cell>
          <cell r="C3552">
            <v>2.9057550000000001</v>
          </cell>
          <cell r="D3552">
            <v>1.1323000000000001</v>
          </cell>
          <cell r="E3552">
            <v>59534</v>
          </cell>
          <cell r="F3552">
            <v>11166</v>
          </cell>
          <cell r="J3552">
            <v>1778029.412820976</v>
          </cell>
          <cell r="K3552">
            <v>1.1323000000000001</v>
          </cell>
          <cell r="L3552">
            <v>59534</v>
          </cell>
          <cell r="M3552">
            <v>11166</v>
          </cell>
          <cell r="N3552">
            <v>454064.51331663982</v>
          </cell>
          <cell r="O3552">
            <v>460834.46814354649</v>
          </cell>
          <cell r="P3552">
            <v>246.9588</v>
          </cell>
        </row>
        <row r="3553">
          <cell r="B3553">
            <v>35864</v>
          </cell>
          <cell r="C3553">
            <v>2.9066879999999999</v>
          </cell>
          <cell r="D3553">
            <v>1.1324000000000001</v>
          </cell>
          <cell r="E3553">
            <v>59611</v>
          </cell>
          <cell r="F3553">
            <v>11180</v>
          </cell>
          <cell r="J3553">
            <v>1779752.1384069407</v>
          </cell>
          <cell r="K3553">
            <v>1.1324000000000001</v>
          </cell>
          <cell r="L3553">
            <v>59611</v>
          </cell>
          <cell r="M3553">
            <v>11180</v>
          </cell>
          <cell r="N3553">
            <v>454064.51331663982</v>
          </cell>
          <cell r="O3553">
            <v>460834.46814354649</v>
          </cell>
          <cell r="P3553">
            <v>246.9588</v>
          </cell>
        </row>
        <row r="3554">
          <cell r="B3554">
            <v>35865</v>
          </cell>
          <cell r="C3554">
            <v>2.9038870000000001</v>
          </cell>
          <cell r="D3554">
            <v>1.1325000000000001</v>
          </cell>
          <cell r="E3554">
            <v>60586</v>
          </cell>
          <cell r="F3554">
            <v>11223</v>
          </cell>
          <cell r="J3554">
            <v>1781474.8714395883</v>
          </cell>
          <cell r="K3554">
            <v>1.1325000000000001</v>
          </cell>
          <cell r="L3554">
            <v>60586</v>
          </cell>
          <cell r="M3554">
            <v>11223</v>
          </cell>
          <cell r="N3554">
            <v>454064.51331663982</v>
          </cell>
          <cell r="O3554">
            <v>460834.46814354649</v>
          </cell>
          <cell r="P3554">
            <v>246.9588</v>
          </cell>
        </row>
        <row r="3555">
          <cell r="B3555">
            <v>35866</v>
          </cell>
          <cell r="C3555">
            <v>2.8973490000000002</v>
          </cell>
          <cell r="D3555">
            <v>1.1328</v>
          </cell>
          <cell r="E3555">
            <v>60916</v>
          </cell>
          <cell r="F3555">
            <v>11356</v>
          </cell>
          <cell r="J3555">
            <v>1783195.3895853518</v>
          </cell>
          <cell r="K3555">
            <v>1.1328</v>
          </cell>
          <cell r="L3555">
            <v>60916</v>
          </cell>
          <cell r="M3555">
            <v>11356</v>
          </cell>
          <cell r="N3555">
            <v>454064.51331663982</v>
          </cell>
          <cell r="O3555">
            <v>460834.46814354649</v>
          </cell>
          <cell r="P3555">
            <v>246.9588</v>
          </cell>
        </row>
        <row r="3556">
          <cell r="B3556">
            <v>35867</v>
          </cell>
          <cell r="C3556">
            <v>2.9057550000000001</v>
          </cell>
          <cell r="D3556">
            <v>1.1334</v>
          </cell>
          <cell r="E3556">
            <v>62062</v>
          </cell>
          <cell r="F3556">
            <v>11566</v>
          </cell>
          <cell r="J3556">
            <v>1784922.5658917734</v>
          </cell>
          <cell r="K3556">
            <v>1.1334</v>
          </cell>
          <cell r="L3556">
            <v>62062</v>
          </cell>
          <cell r="M3556">
            <v>11566</v>
          </cell>
          <cell r="N3556">
            <v>454064.51331663982</v>
          </cell>
          <cell r="O3556">
            <v>460834.46814354649</v>
          </cell>
          <cell r="P3556">
            <v>246.9588</v>
          </cell>
        </row>
        <row r="3557">
          <cell r="B3557">
            <v>35870</v>
          </cell>
          <cell r="C3557">
            <v>2.8973490000000002</v>
          </cell>
          <cell r="D3557">
            <v>1.1335</v>
          </cell>
          <cell r="E3557">
            <v>62453</v>
          </cell>
          <cell r="F3557">
            <v>11600</v>
          </cell>
          <cell r="J3557">
            <v>1786646.4137622281</v>
          </cell>
          <cell r="K3557">
            <v>1.1335</v>
          </cell>
          <cell r="L3557">
            <v>62453</v>
          </cell>
          <cell r="M3557">
            <v>11600</v>
          </cell>
          <cell r="N3557">
            <v>454064.51331663982</v>
          </cell>
          <cell r="O3557">
            <v>460834.46814354649</v>
          </cell>
          <cell r="P3557">
            <v>246.9588</v>
          </cell>
        </row>
        <row r="3558">
          <cell r="B3558">
            <v>35871</v>
          </cell>
          <cell r="C3558">
            <v>2.8936109999999999</v>
          </cell>
          <cell r="D3558">
            <v>1.1335</v>
          </cell>
          <cell r="E3558">
            <v>63119</v>
          </cell>
          <cell r="F3558">
            <v>11808</v>
          </cell>
          <cell r="J3558">
            <v>1788369.700334219</v>
          </cell>
          <cell r="K3558">
            <v>1.1335</v>
          </cell>
          <cell r="L3558">
            <v>63119</v>
          </cell>
          <cell r="M3558">
            <v>11808</v>
          </cell>
          <cell r="N3558">
            <v>454064.51331663982</v>
          </cell>
          <cell r="O3558">
            <v>460834.46814354649</v>
          </cell>
          <cell r="P3558">
            <v>246.9588</v>
          </cell>
        </row>
        <row r="3559">
          <cell r="B3559">
            <v>35872</v>
          </cell>
          <cell r="C3559">
            <v>2.8851969999999998</v>
          </cell>
          <cell r="D3559">
            <v>1.1344000000000001</v>
          </cell>
          <cell r="E3559">
            <v>63625</v>
          </cell>
          <cell r="F3559">
            <v>11894</v>
          </cell>
          <cell r="J3559">
            <v>1790089.633298984</v>
          </cell>
          <cell r="K3559">
            <v>1.1344000000000001</v>
          </cell>
          <cell r="L3559">
            <v>63625</v>
          </cell>
          <cell r="M3559">
            <v>11894</v>
          </cell>
          <cell r="N3559">
            <v>454064.51331663982</v>
          </cell>
          <cell r="O3559">
            <v>460834.46814354649</v>
          </cell>
          <cell r="P3559">
            <v>246.9588</v>
          </cell>
        </row>
        <row r="3560">
          <cell r="B3560">
            <v>35873</v>
          </cell>
          <cell r="C3560">
            <v>2.8889369999999999</v>
          </cell>
          <cell r="D3560">
            <v>1.1344000000000001</v>
          </cell>
          <cell r="E3560">
            <v>63395</v>
          </cell>
          <cell r="F3560">
            <v>11831</v>
          </cell>
          <cell r="J3560">
            <v>1791813.4520239688</v>
          </cell>
          <cell r="K3560">
            <v>1.1344000000000001</v>
          </cell>
          <cell r="L3560">
            <v>63395</v>
          </cell>
          <cell r="M3560">
            <v>11831</v>
          </cell>
          <cell r="N3560">
            <v>454064.51331663982</v>
          </cell>
          <cell r="O3560">
            <v>460834.46814354649</v>
          </cell>
          <cell r="P3560">
            <v>246.9588</v>
          </cell>
        </row>
        <row r="3561">
          <cell r="B3561">
            <v>35874</v>
          </cell>
          <cell r="C3561">
            <v>2.8851969999999998</v>
          </cell>
          <cell r="D3561">
            <v>1.1346000000000001</v>
          </cell>
          <cell r="E3561">
            <v>63942</v>
          </cell>
          <cell r="F3561">
            <v>11919</v>
          </cell>
          <cell r="J3561">
            <v>1793536.6969560818</v>
          </cell>
          <cell r="K3561">
            <v>1.1346000000000001</v>
          </cell>
          <cell r="L3561">
            <v>63942</v>
          </cell>
          <cell r="M3561">
            <v>11919</v>
          </cell>
          <cell r="N3561">
            <v>454064.51331663982</v>
          </cell>
          <cell r="O3561">
            <v>460834.46814354649</v>
          </cell>
          <cell r="P3561">
            <v>246.9588</v>
          </cell>
        </row>
        <row r="3562">
          <cell r="B3562">
            <v>35877</v>
          </cell>
          <cell r="C3562">
            <v>2.884261</v>
          </cell>
          <cell r="D3562">
            <v>1.1349</v>
          </cell>
          <cell r="E3562">
            <v>64045</v>
          </cell>
          <cell r="F3562">
            <v>12038</v>
          </cell>
          <cell r="J3562">
            <v>1795261.0396051146</v>
          </cell>
          <cell r="K3562">
            <v>1.1349</v>
          </cell>
          <cell r="L3562">
            <v>64045</v>
          </cell>
          <cell r="M3562">
            <v>12038</v>
          </cell>
          <cell r="N3562">
            <v>454064.51331663982</v>
          </cell>
          <cell r="O3562">
            <v>460834.46814354649</v>
          </cell>
          <cell r="P3562">
            <v>246.9588</v>
          </cell>
        </row>
        <row r="3563">
          <cell r="B3563">
            <v>35878</v>
          </cell>
          <cell r="C3563">
            <v>2.8795839999999999</v>
          </cell>
          <cell r="D3563">
            <v>1.1352</v>
          </cell>
          <cell r="E3563">
            <v>63691</v>
          </cell>
          <cell r="F3563">
            <v>11905</v>
          </cell>
          <cell r="J3563">
            <v>1796984.2412602713</v>
          </cell>
          <cell r="K3563">
            <v>1.1352</v>
          </cell>
          <cell r="L3563">
            <v>63691</v>
          </cell>
          <cell r="M3563">
            <v>11905</v>
          </cell>
          <cell r="N3563">
            <v>454064.51331663982</v>
          </cell>
          <cell r="O3563">
            <v>460834.46814354649</v>
          </cell>
          <cell r="P3563">
            <v>246.9588</v>
          </cell>
        </row>
        <row r="3564">
          <cell r="B3564">
            <v>35879</v>
          </cell>
          <cell r="C3564">
            <v>2.8795839999999999</v>
          </cell>
          <cell r="D3564">
            <v>1.1357999999999999</v>
          </cell>
          <cell r="E3564">
            <v>63349</v>
          </cell>
          <cell r="F3564">
            <v>11756</v>
          </cell>
          <cell r="J3564">
            <v>1798709.0969500663</v>
          </cell>
          <cell r="K3564">
            <v>1.1357999999999999</v>
          </cell>
          <cell r="L3564">
            <v>63349</v>
          </cell>
          <cell r="M3564">
            <v>11756</v>
          </cell>
          <cell r="N3564">
            <v>454064.51331663982</v>
          </cell>
          <cell r="O3564">
            <v>460834.46814354649</v>
          </cell>
          <cell r="P3564">
            <v>246.9588</v>
          </cell>
        </row>
        <row r="3565">
          <cell r="B3565">
            <v>35880</v>
          </cell>
          <cell r="C3565">
            <v>2.8814549999999999</v>
          </cell>
          <cell r="D3565">
            <v>1.1359999999999999</v>
          </cell>
          <cell r="E3565">
            <v>63616</v>
          </cell>
          <cell r="F3565">
            <v>11945</v>
          </cell>
          <cell r="J3565">
            <v>1800436.7300570505</v>
          </cell>
          <cell r="K3565">
            <v>1.1359999999999999</v>
          </cell>
          <cell r="L3565">
            <v>63616</v>
          </cell>
          <cell r="M3565">
            <v>11945</v>
          </cell>
          <cell r="N3565">
            <v>454064.51331663982</v>
          </cell>
          <cell r="O3565">
            <v>460834.46814354649</v>
          </cell>
          <cell r="P3565">
            <v>246.9588</v>
          </cell>
        </row>
        <row r="3566">
          <cell r="B3566">
            <v>35881</v>
          </cell>
          <cell r="C3566">
            <v>2.8786480000000001</v>
          </cell>
          <cell r="D3566">
            <v>1.1364000000000001</v>
          </cell>
          <cell r="E3566">
            <v>64032</v>
          </cell>
          <cell r="F3566">
            <v>11899</v>
          </cell>
          <cell r="J3566">
            <v>1802164.3379210858</v>
          </cell>
          <cell r="K3566">
            <v>1.1364000000000001</v>
          </cell>
          <cell r="L3566">
            <v>64032</v>
          </cell>
          <cell r="M3566">
            <v>11899</v>
          </cell>
          <cell r="N3566">
            <v>454064.51331663982</v>
          </cell>
          <cell r="O3566">
            <v>460834.46814354649</v>
          </cell>
          <cell r="P3566">
            <v>246.9588</v>
          </cell>
        </row>
        <row r="3567">
          <cell r="B3567">
            <v>35884</v>
          </cell>
          <cell r="C3567">
            <v>2.8702230000000002</v>
          </cell>
          <cell r="D3567">
            <v>1.1365000000000001</v>
          </cell>
          <cell r="E3567">
            <v>63835</v>
          </cell>
          <cell r="F3567">
            <v>11750</v>
          </cell>
          <cell r="J3567">
            <v>1803888.5424319126</v>
          </cell>
          <cell r="K3567">
            <v>1.1365000000000001</v>
          </cell>
          <cell r="L3567">
            <v>63835</v>
          </cell>
          <cell r="M3567">
            <v>11750</v>
          </cell>
          <cell r="N3567">
            <v>454064.51331663982</v>
          </cell>
          <cell r="O3567">
            <v>460834.46814354649</v>
          </cell>
          <cell r="P3567">
            <v>246.9588</v>
          </cell>
        </row>
        <row r="3568">
          <cell r="B3568">
            <v>35885</v>
          </cell>
          <cell r="C3568">
            <v>2.867413</v>
          </cell>
          <cell r="D3568">
            <v>1.1374</v>
          </cell>
          <cell r="E3568">
            <v>64458</v>
          </cell>
          <cell r="F3568">
            <v>11946</v>
          </cell>
          <cell r="G3568">
            <v>0.23</v>
          </cell>
          <cell r="H3568">
            <v>0.19</v>
          </cell>
          <cell r="I3568">
            <v>250.42590000000001</v>
          </cell>
          <cell r="J3568">
            <v>1805612.7069176193</v>
          </cell>
          <cell r="K3568">
            <v>1.1374</v>
          </cell>
          <cell r="L3568">
            <v>64458</v>
          </cell>
          <cell r="M3568">
            <v>11946</v>
          </cell>
          <cell r="N3568">
            <v>455108.86169726809</v>
          </cell>
          <cell r="O3568">
            <v>461710.05363301921</v>
          </cell>
          <cell r="P3568">
            <v>250.42590000000001</v>
          </cell>
        </row>
        <row r="3569">
          <cell r="B3569">
            <v>35886</v>
          </cell>
          <cell r="C3569">
            <v>2.872096</v>
          </cell>
          <cell r="D3569">
            <v>1.1375</v>
          </cell>
          <cell r="E3569">
            <v>64136</v>
          </cell>
          <cell r="F3569">
            <v>11836</v>
          </cell>
          <cell r="J3569">
            <v>1807341.3379286483</v>
          </cell>
          <cell r="K3569">
            <v>1.1375</v>
          </cell>
          <cell r="L3569">
            <v>64136</v>
          </cell>
          <cell r="M3569">
            <v>11836</v>
          </cell>
          <cell r="N3569">
            <v>455108.86169726809</v>
          </cell>
          <cell r="O3569">
            <v>461710.05363301921</v>
          </cell>
          <cell r="P3569">
            <v>250.42590000000001</v>
          </cell>
        </row>
        <row r="3570">
          <cell r="B3570">
            <v>35887</v>
          </cell>
          <cell r="C3570">
            <v>2.8692869999999999</v>
          </cell>
          <cell r="D3570">
            <v>1.1375</v>
          </cell>
          <cell r="E3570">
            <v>64760</v>
          </cell>
          <cell r="F3570">
            <v>11857</v>
          </cell>
          <cell r="J3570">
            <v>1809069.931597142</v>
          </cell>
          <cell r="K3570">
            <v>1.1375</v>
          </cell>
          <cell r="L3570">
            <v>64760</v>
          </cell>
          <cell r="M3570">
            <v>11857</v>
          </cell>
          <cell r="N3570">
            <v>455108.86169726809</v>
          </cell>
          <cell r="O3570">
            <v>461710.05363301921</v>
          </cell>
          <cell r="P3570">
            <v>250.42590000000001</v>
          </cell>
        </row>
        <row r="3571">
          <cell r="B3571">
            <v>35888</v>
          </cell>
          <cell r="C3571">
            <v>2.876776</v>
          </cell>
          <cell r="D3571">
            <v>1.1384000000000001</v>
          </cell>
          <cell r="E3571">
            <v>64147</v>
          </cell>
          <cell r="F3571">
            <v>11634</v>
          </cell>
          <cell r="J3571">
            <v>1810804.6945843222</v>
          </cell>
          <cell r="K3571">
            <v>1.1384000000000001</v>
          </cell>
          <cell r="L3571">
            <v>64147</v>
          </cell>
          <cell r="M3571">
            <v>11634</v>
          </cell>
          <cell r="N3571">
            <v>455108.86169726809</v>
          </cell>
          <cell r="O3571">
            <v>461710.05363301921</v>
          </cell>
          <cell r="P3571">
            <v>250.42590000000001</v>
          </cell>
        </row>
        <row r="3572">
          <cell r="B3572">
            <v>35891</v>
          </cell>
          <cell r="C3572">
            <v>2.9085549999999998</v>
          </cell>
          <cell r="D3572">
            <v>1.1388</v>
          </cell>
          <cell r="E3572">
            <v>64761</v>
          </cell>
          <cell r="F3572">
            <v>11948</v>
          </cell>
          <cell r="J3572">
            <v>1812560.3029338077</v>
          </cell>
          <cell r="K3572">
            <v>1.1388</v>
          </cell>
          <cell r="L3572">
            <v>64761</v>
          </cell>
          <cell r="M3572">
            <v>11948</v>
          </cell>
          <cell r="N3572">
            <v>455108.86169726809</v>
          </cell>
          <cell r="O3572">
            <v>461710.05363301921</v>
          </cell>
          <cell r="P3572">
            <v>250.42590000000001</v>
          </cell>
        </row>
        <row r="3573">
          <cell r="B3573">
            <v>35892</v>
          </cell>
          <cell r="C3573">
            <v>2.9355950000000002</v>
          </cell>
          <cell r="D3573">
            <v>1.1388</v>
          </cell>
          <cell r="E3573">
            <v>64283</v>
          </cell>
          <cell r="F3573">
            <v>11847</v>
          </cell>
          <cell r="J3573">
            <v>1814333.9505879714</v>
          </cell>
          <cell r="K3573">
            <v>1.1388</v>
          </cell>
          <cell r="L3573">
            <v>64283</v>
          </cell>
          <cell r="M3573">
            <v>11847</v>
          </cell>
          <cell r="N3573">
            <v>455108.86169726809</v>
          </cell>
          <cell r="O3573">
            <v>461710.05363301921</v>
          </cell>
          <cell r="P3573">
            <v>250.42590000000001</v>
          </cell>
        </row>
        <row r="3574">
          <cell r="B3574">
            <v>35893</v>
          </cell>
          <cell r="C3574">
            <v>2.9262779999999999</v>
          </cell>
          <cell r="D3574">
            <v>1.1394</v>
          </cell>
          <cell r="E3574">
            <v>64358</v>
          </cell>
          <cell r="F3574">
            <v>11974</v>
          </cell>
          <cell r="J3574">
            <v>1816103.6990960573</v>
          </cell>
          <cell r="K3574">
            <v>1.1394</v>
          </cell>
          <cell r="L3574">
            <v>64358</v>
          </cell>
          <cell r="M3574">
            <v>11974</v>
          </cell>
          <cell r="N3574">
            <v>455108.86169726809</v>
          </cell>
          <cell r="O3574">
            <v>461710.05363301921</v>
          </cell>
          <cell r="P3574">
            <v>250.42590000000001</v>
          </cell>
        </row>
        <row r="3575">
          <cell r="B3575">
            <v>35898</v>
          </cell>
          <cell r="C3575">
            <v>2.9225490000000001</v>
          </cell>
          <cell r="D3575">
            <v>1.1395999999999999</v>
          </cell>
          <cell r="E3575">
            <v>64891</v>
          </cell>
          <cell r="F3575">
            <v>12120</v>
          </cell>
          <cell r="J3575">
            <v>1817872.916445954</v>
          </cell>
          <cell r="K3575">
            <v>1.1395999999999999</v>
          </cell>
          <cell r="L3575">
            <v>64891</v>
          </cell>
          <cell r="M3575">
            <v>12120</v>
          </cell>
          <cell r="N3575">
            <v>455108.86169726809</v>
          </cell>
          <cell r="O3575">
            <v>461710.05363301921</v>
          </cell>
          <cell r="P3575">
            <v>250.42590000000001</v>
          </cell>
        </row>
        <row r="3576">
          <cell r="B3576">
            <v>35899</v>
          </cell>
          <cell r="C3576">
            <v>2.8786480000000001</v>
          </cell>
          <cell r="D3576">
            <v>1.1404000000000001</v>
          </cell>
          <cell r="E3576">
            <v>65135</v>
          </cell>
          <cell r="F3576">
            <v>12269</v>
          </cell>
          <cell r="J3576">
            <v>1819617.2551910146</v>
          </cell>
          <cell r="K3576">
            <v>1.1404000000000001</v>
          </cell>
          <cell r="L3576">
            <v>65135</v>
          </cell>
          <cell r="M3576">
            <v>12269</v>
          </cell>
          <cell r="N3576">
            <v>455108.86169726809</v>
          </cell>
          <cell r="O3576">
            <v>461710.05363301921</v>
          </cell>
          <cell r="P3576">
            <v>250.42590000000001</v>
          </cell>
        </row>
        <row r="3577">
          <cell r="B3577">
            <v>35900</v>
          </cell>
          <cell r="C3577">
            <v>2.4373429999999998</v>
          </cell>
          <cell r="D3577">
            <v>1.1407</v>
          </cell>
          <cell r="E3577">
            <v>65920</v>
          </cell>
          <cell r="F3577">
            <v>12299</v>
          </cell>
          <cell r="J3577">
            <v>1821095.598984221</v>
          </cell>
          <cell r="K3577">
            <v>1.1407</v>
          </cell>
          <cell r="L3577">
            <v>65920</v>
          </cell>
          <cell r="M3577">
            <v>12299</v>
          </cell>
          <cell r="N3577">
            <v>455108.86169726809</v>
          </cell>
          <cell r="O3577">
            <v>461710.05363301921</v>
          </cell>
          <cell r="P3577">
            <v>250.42590000000001</v>
          </cell>
        </row>
        <row r="3578">
          <cell r="B3578">
            <v>35901</v>
          </cell>
          <cell r="C3578">
            <v>2.4993219999999998</v>
          </cell>
          <cell r="D3578">
            <v>1.1409</v>
          </cell>
          <cell r="E3578">
            <v>65752</v>
          </cell>
          <cell r="F3578">
            <v>12090</v>
          </cell>
          <cell r="J3578">
            <v>1822612.767082436</v>
          </cell>
          <cell r="K3578">
            <v>1.1409</v>
          </cell>
          <cell r="L3578">
            <v>65752</v>
          </cell>
          <cell r="M3578">
            <v>12090</v>
          </cell>
          <cell r="N3578">
            <v>455108.86169726809</v>
          </cell>
          <cell r="O3578">
            <v>461710.05363301921</v>
          </cell>
          <cell r="P3578">
            <v>250.42590000000001</v>
          </cell>
        </row>
        <row r="3579">
          <cell r="B3579">
            <v>35902</v>
          </cell>
          <cell r="C3579">
            <v>2.4915919999999998</v>
          </cell>
          <cell r="D3579">
            <v>1.1414</v>
          </cell>
          <cell r="E3579">
            <v>65902</v>
          </cell>
          <cell r="F3579">
            <v>12108</v>
          </cell>
          <cell r="J3579">
            <v>1824126.5028789563</v>
          </cell>
          <cell r="K3579">
            <v>1.1414</v>
          </cell>
          <cell r="L3579">
            <v>65902</v>
          </cell>
          <cell r="M3579">
            <v>12108</v>
          </cell>
          <cell r="N3579">
            <v>455108.86169726809</v>
          </cell>
          <cell r="O3579">
            <v>461710.05363301921</v>
          </cell>
          <cell r="P3579">
            <v>250.42590000000001</v>
          </cell>
        </row>
        <row r="3580">
          <cell r="B3580">
            <v>35905</v>
          </cell>
          <cell r="C3580">
            <v>2.4877250000000002</v>
          </cell>
          <cell r="D3580">
            <v>1.1417999999999999</v>
          </cell>
          <cell r="E3580">
            <v>66521</v>
          </cell>
          <cell r="F3580">
            <v>12028</v>
          </cell>
          <cell r="J3580">
            <v>1825639.1445804145</v>
          </cell>
          <cell r="K3580">
            <v>1.1417999999999999</v>
          </cell>
          <cell r="L3580">
            <v>66521</v>
          </cell>
          <cell r="M3580">
            <v>12028</v>
          </cell>
          <cell r="N3580">
            <v>455108.86169726809</v>
          </cell>
          <cell r="O3580">
            <v>461710.05363301921</v>
          </cell>
          <cell r="P3580">
            <v>250.42590000000001</v>
          </cell>
        </row>
        <row r="3581">
          <cell r="B3581">
            <v>35907</v>
          </cell>
          <cell r="C3581">
            <v>2.4848249999999998</v>
          </cell>
          <cell r="D3581">
            <v>1.1425000000000001</v>
          </cell>
          <cell r="E3581">
            <v>66173</v>
          </cell>
          <cell r="F3581">
            <v>11703</v>
          </cell>
          <cell r="J3581">
            <v>1827151.2758428918</v>
          </cell>
          <cell r="K3581">
            <v>1.1425000000000001</v>
          </cell>
          <cell r="L3581">
            <v>66173</v>
          </cell>
          <cell r="M3581">
            <v>11703</v>
          </cell>
          <cell r="N3581">
            <v>455108.86169726809</v>
          </cell>
          <cell r="O3581">
            <v>461710.05363301921</v>
          </cell>
          <cell r="P3581">
            <v>250.42590000000001</v>
          </cell>
        </row>
        <row r="3582">
          <cell r="B3582">
            <v>35908</v>
          </cell>
          <cell r="C3582">
            <v>2.483857</v>
          </cell>
          <cell r="D3582">
            <v>1.1428</v>
          </cell>
          <cell r="E3582">
            <v>66116</v>
          </cell>
          <cell r="F3582">
            <v>11572</v>
          </cell>
          <cell r="J3582">
            <v>1828664.070005079</v>
          </cell>
          <cell r="K3582">
            <v>1.1428</v>
          </cell>
          <cell r="L3582">
            <v>66116</v>
          </cell>
          <cell r="M3582">
            <v>11572</v>
          </cell>
          <cell r="N3582">
            <v>455108.86169726809</v>
          </cell>
          <cell r="O3582">
            <v>461710.05363301921</v>
          </cell>
          <cell r="P3582">
            <v>250.42590000000001</v>
          </cell>
        </row>
        <row r="3583">
          <cell r="B3583">
            <v>35909</v>
          </cell>
          <cell r="C3583">
            <v>2.4819230000000001</v>
          </cell>
          <cell r="D3583">
            <v>1.1435</v>
          </cell>
          <cell r="E3583">
            <v>66779</v>
          </cell>
          <cell r="F3583">
            <v>11728</v>
          </cell>
          <cell r="J3583">
            <v>1830176.9378099523</v>
          </cell>
          <cell r="K3583">
            <v>1.1435</v>
          </cell>
          <cell r="L3583">
            <v>66779</v>
          </cell>
          <cell r="M3583">
            <v>11728</v>
          </cell>
          <cell r="N3583">
            <v>455108.86169726809</v>
          </cell>
          <cell r="O3583">
            <v>461710.05363301921</v>
          </cell>
          <cell r="P3583">
            <v>250.42590000000001</v>
          </cell>
        </row>
        <row r="3584">
          <cell r="B3584">
            <v>35912</v>
          </cell>
          <cell r="C3584">
            <v>2.4799880000000001</v>
          </cell>
          <cell r="D3584">
            <v>1.1440999999999999</v>
          </cell>
          <cell r="E3584">
            <v>64573</v>
          </cell>
          <cell r="F3584">
            <v>11057</v>
          </cell>
          <cell r="J3584">
            <v>1831689.8767578341</v>
          </cell>
          <cell r="K3584">
            <v>1.1440999999999999</v>
          </cell>
          <cell r="L3584">
            <v>64573</v>
          </cell>
          <cell r="M3584">
            <v>11057</v>
          </cell>
          <cell r="N3584">
            <v>455108.86169726809</v>
          </cell>
          <cell r="O3584">
            <v>461710.05363301921</v>
          </cell>
          <cell r="P3584">
            <v>250.42590000000001</v>
          </cell>
        </row>
        <row r="3585">
          <cell r="B3585">
            <v>35913</v>
          </cell>
          <cell r="C3585">
            <v>2.4819230000000001</v>
          </cell>
          <cell r="D3585">
            <v>1.1449</v>
          </cell>
          <cell r="E3585">
            <v>65236</v>
          </cell>
          <cell r="F3585">
            <v>11377</v>
          </cell>
          <cell r="J3585">
            <v>1833205.2478358317</v>
          </cell>
          <cell r="K3585">
            <v>1.1449</v>
          </cell>
          <cell r="L3585">
            <v>65236</v>
          </cell>
          <cell r="M3585">
            <v>11377</v>
          </cell>
          <cell r="N3585">
            <v>455108.86169726809</v>
          </cell>
          <cell r="O3585">
            <v>461710.05363301921</v>
          </cell>
          <cell r="P3585">
            <v>250.42590000000001</v>
          </cell>
        </row>
        <row r="3586">
          <cell r="B3586">
            <v>35914</v>
          </cell>
          <cell r="C3586">
            <v>2.4741819999999999</v>
          </cell>
          <cell r="D3586">
            <v>1.1453</v>
          </cell>
          <cell r="E3586">
            <v>65381</v>
          </cell>
          <cell r="F3586">
            <v>11527</v>
          </cell>
          <cell r="J3586">
            <v>1834717.1423113318</v>
          </cell>
          <cell r="K3586">
            <v>1.1453</v>
          </cell>
          <cell r="L3586">
            <v>65381</v>
          </cell>
          <cell r="M3586">
            <v>11527</v>
          </cell>
          <cell r="N3586">
            <v>455108.86169726809</v>
          </cell>
          <cell r="O3586">
            <v>461710.05363301921</v>
          </cell>
          <cell r="P3586">
            <v>250.42590000000001</v>
          </cell>
        </row>
        <row r="3587">
          <cell r="B3587">
            <v>35915</v>
          </cell>
          <cell r="C3587">
            <v>2.4489879999999999</v>
          </cell>
          <cell r="D3587">
            <v>1.1443000000000001</v>
          </cell>
          <cell r="E3587">
            <v>65454</v>
          </cell>
          <cell r="F3587">
            <v>11677</v>
          </cell>
          <cell r="G3587">
            <v>0.13</v>
          </cell>
          <cell r="H3587">
            <v>0.13</v>
          </cell>
          <cell r="I3587">
            <v>252.8664</v>
          </cell>
          <cell r="J3587">
            <v>1836214.8757329702</v>
          </cell>
          <cell r="K3587">
            <v>1.1443000000000001</v>
          </cell>
          <cell r="L3587">
            <v>65454</v>
          </cell>
          <cell r="M3587">
            <v>11677</v>
          </cell>
          <cell r="N3587">
            <v>455700.50321747456</v>
          </cell>
          <cell r="O3587">
            <v>462310.27670274215</v>
          </cell>
          <cell r="P3587">
            <v>252.8664</v>
          </cell>
        </row>
        <row r="3588">
          <cell r="B3588">
            <v>35919</v>
          </cell>
          <cell r="C3588">
            <v>2.4683730000000002</v>
          </cell>
          <cell r="D3588">
            <v>1.1442000000000001</v>
          </cell>
          <cell r="E3588">
            <v>65923</v>
          </cell>
          <cell r="F3588">
            <v>11507</v>
          </cell>
          <cell r="J3588">
            <v>1837725.6968067894</v>
          </cell>
          <cell r="K3588">
            <v>1.1442000000000001</v>
          </cell>
          <cell r="L3588">
            <v>65923</v>
          </cell>
          <cell r="M3588">
            <v>11507</v>
          </cell>
          <cell r="N3588">
            <v>455700.50321747456</v>
          </cell>
          <cell r="O3588">
            <v>462310.27670274215</v>
          </cell>
          <cell r="P3588">
            <v>252.8664</v>
          </cell>
        </row>
        <row r="3589">
          <cell r="B3589">
            <v>35920</v>
          </cell>
          <cell r="C3589">
            <v>2.5022199999999999</v>
          </cell>
          <cell r="D3589">
            <v>1.1449</v>
          </cell>
          <cell r="E3589">
            <v>66402</v>
          </cell>
          <cell r="F3589">
            <v>11554</v>
          </cell>
          <cell r="J3589">
            <v>1839258.4948044776</v>
          </cell>
          <cell r="K3589">
            <v>1.1449</v>
          </cell>
          <cell r="L3589">
            <v>66402</v>
          </cell>
          <cell r="M3589">
            <v>11554</v>
          </cell>
          <cell r="N3589">
            <v>455700.50321747456</v>
          </cell>
          <cell r="O3589">
            <v>462310.27670274215</v>
          </cell>
          <cell r="P3589">
            <v>252.8664</v>
          </cell>
        </row>
        <row r="3590">
          <cell r="B3590">
            <v>35921</v>
          </cell>
          <cell r="C3590">
            <v>2.483857</v>
          </cell>
          <cell r="D3590">
            <v>1.1452</v>
          </cell>
          <cell r="E3590">
            <v>66202</v>
          </cell>
          <cell r="F3590">
            <v>11164</v>
          </cell>
          <cell r="J3590">
            <v>1840781.3131668542</v>
          </cell>
          <cell r="K3590">
            <v>1.1452</v>
          </cell>
          <cell r="L3590">
            <v>66202</v>
          </cell>
          <cell r="M3590">
            <v>11164</v>
          </cell>
          <cell r="N3590">
            <v>455700.50321747456</v>
          </cell>
          <cell r="O3590">
            <v>462310.27670274215</v>
          </cell>
          <cell r="P3590">
            <v>252.8664</v>
          </cell>
        </row>
        <row r="3591">
          <cell r="B3591">
            <v>35922</v>
          </cell>
          <cell r="C3591">
            <v>2.4809549999999998</v>
          </cell>
          <cell r="D3591">
            <v>1.1451</v>
          </cell>
          <cell r="E3591">
            <v>65439</v>
          </cell>
          <cell r="F3591">
            <v>11063</v>
          </cell>
          <cell r="J3591">
            <v>1842303.6117011234</v>
          </cell>
          <cell r="K3591">
            <v>1.1451</v>
          </cell>
          <cell r="L3591">
            <v>65439</v>
          </cell>
          <cell r="M3591">
            <v>11063</v>
          </cell>
          <cell r="N3591">
            <v>455700.50321747456</v>
          </cell>
          <cell r="O3591">
            <v>462310.27670274215</v>
          </cell>
          <cell r="P3591">
            <v>252.8664</v>
          </cell>
        </row>
        <row r="3592">
          <cell r="B3592">
            <v>35923</v>
          </cell>
          <cell r="C3592">
            <v>2.4915919999999998</v>
          </cell>
          <cell r="D3592">
            <v>1.1455</v>
          </cell>
          <cell r="E3592">
            <v>65703</v>
          </cell>
          <cell r="F3592">
            <v>11220</v>
          </cell>
          <cell r="J3592">
            <v>1843833.701347952</v>
          </cell>
          <cell r="K3592">
            <v>1.1455</v>
          </cell>
          <cell r="L3592">
            <v>65703</v>
          </cell>
          <cell r="M3592">
            <v>11220</v>
          </cell>
          <cell r="N3592">
            <v>455700.50321747456</v>
          </cell>
          <cell r="O3592">
            <v>462310.27670274215</v>
          </cell>
          <cell r="P3592">
            <v>252.8664</v>
          </cell>
        </row>
        <row r="3593">
          <cell r="B3593">
            <v>35926</v>
          </cell>
          <cell r="C3593">
            <v>2.4877250000000002</v>
          </cell>
          <cell r="D3593">
            <v>1.1458999999999999</v>
          </cell>
          <cell r="E3593">
            <v>64644</v>
          </cell>
          <cell r="F3593">
            <v>10983</v>
          </cell>
          <cell r="J3593">
            <v>1845362.6850795138</v>
          </cell>
          <cell r="K3593">
            <v>1.1458999999999999</v>
          </cell>
          <cell r="L3593">
            <v>64644</v>
          </cell>
          <cell r="M3593">
            <v>10983</v>
          </cell>
          <cell r="N3593">
            <v>455700.50321747456</v>
          </cell>
          <cell r="O3593">
            <v>462310.27670274215</v>
          </cell>
          <cell r="P3593">
            <v>252.8664</v>
          </cell>
        </row>
        <row r="3594">
          <cell r="B3594">
            <v>35927</v>
          </cell>
          <cell r="C3594">
            <v>2.4915919999999998</v>
          </cell>
          <cell r="D3594">
            <v>1.1463000000000001</v>
          </cell>
          <cell r="E3594">
            <v>63727</v>
          </cell>
          <cell r="F3594">
            <v>10797</v>
          </cell>
          <cell r="J3594">
            <v>1846895.3153805947</v>
          </cell>
          <cell r="K3594">
            <v>1.1463000000000001</v>
          </cell>
          <cell r="L3594">
            <v>63727</v>
          </cell>
          <cell r="M3594">
            <v>10797</v>
          </cell>
          <cell r="N3594">
            <v>455700.50321747456</v>
          </cell>
          <cell r="O3594">
            <v>462310.27670274215</v>
          </cell>
          <cell r="P3594">
            <v>252.8664</v>
          </cell>
        </row>
        <row r="3595">
          <cell r="B3595">
            <v>35928</v>
          </cell>
          <cell r="C3595">
            <v>2.4819230000000001</v>
          </cell>
          <cell r="D3595">
            <v>1.1474</v>
          </cell>
          <cell r="E3595">
            <v>63136</v>
          </cell>
          <cell r="F3595">
            <v>10779</v>
          </cell>
          <cell r="J3595">
            <v>1848423.26603454</v>
          </cell>
          <cell r="K3595">
            <v>1.1474</v>
          </cell>
          <cell r="L3595">
            <v>63136</v>
          </cell>
          <cell r="M3595">
            <v>10779</v>
          </cell>
          <cell r="N3595">
            <v>455700.50321747456</v>
          </cell>
          <cell r="O3595">
            <v>462310.27670274215</v>
          </cell>
          <cell r="P3595">
            <v>252.8664</v>
          </cell>
        </row>
        <row r="3596">
          <cell r="B3596">
            <v>35929</v>
          </cell>
          <cell r="C3596">
            <v>2.4886919999999999</v>
          </cell>
          <cell r="D3596">
            <v>1.1473</v>
          </cell>
          <cell r="E3596">
            <v>62894</v>
          </cell>
          <cell r="F3596">
            <v>10733</v>
          </cell>
          <cell r="J3596">
            <v>1849956.6514328048</v>
          </cell>
          <cell r="K3596">
            <v>1.1473</v>
          </cell>
          <cell r="L3596">
            <v>62894</v>
          </cell>
          <cell r="M3596">
            <v>10733</v>
          </cell>
          <cell r="N3596">
            <v>455700.50321747456</v>
          </cell>
          <cell r="O3596">
            <v>462310.27670274215</v>
          </cell>
          <cell r="P3596">
            <v>252.8664</v>
          </cell>
        </row>
        <row r="3597">
          <cell r="B3597">
            <v>35930</v>
          </cell>
          <cell r="C3597">
            <v>2.4761169999999999</v>
          </cell>
          <cell r="D3597">
            <v>1.1472</v>
          </cell>
          <cell r="E3597">
            <v>62918</v>
          </cell>
          <cell r="F3597">
            <v>10906</v>
          </cell>
          <cell r="J3597">
            <v>1851483.5544707633</v>
          </cell>
          <cell r="K3597">
            <v>1.1472</v>
          </cell>
          <cell r="L3597">
            <v>62918</v>
          </cell>
          <cell r="M3597">
            <v>10906</v>
          </cell>
          <cell r="N3597">
            <v>455700.50321747456</v>
          </cell>
          <cell r="O3597">
            <v>462310.27670274215</v>
          </cell>
          <cell r="P3597">
            <v>252.8664</v>
          </cell>
        </row>
        <row r="3598">
          <cell r="B3598">
            <v>35933</v>
          </cell>
          <cell r="C3598">
            <v>2.4654669999999999</v>
          </cell>
          <cell r="D3598">
            <v>1.1475</v>
          </cell>
          <cell r="E3598">
            <v>60482</v>
          </cell>
          <cell r="F3598">
            <v>10204</v>
          </cell>
          <cell r="J3598">
            <v>1853005.1450056268</v>
          </cell>
          <cell r="K3598">
            <v>1.1475</v>
          </cell>
          <cell r="L3598">
            <v>60482</v>
          </cell>
          <cell r="M3598">
            <v>10204</v>
          </cell>
          <cell r="N3598">
            <v>455700.50321747456</v>
          </cell>
          <cell r="O3598">
            <v>462310.27670274215</v>
          </cell>
          <cell r="P3598">
            <v>252.8664</v>
          </cell>
        </row>
        <row r="3599">
          <cell r="B3599">
            <v>35934</v>
          </cell>
          <cell r="C3599">
            <v>2.4674040000000002</v>
          </cell>
          <cell r="D3599">
            <v>1.1488</v>
          </cell>
          <cell r="E3599">
            <v>60584</v>
          </cell>
          <cell r="F3599">
            <v>10343</v>
          </cell>
          <cell r="J3599">
            <v>1854529.1824412292</v>
          </cell>
          <cell r="K3599">
            <v>1.1488</v>
          </cell>
          <cell r="L3599">
            <v>60584</v>
          </cell>
          <cell r="M3599">
            <v>10343</v>
          </cell>
          <cell r="N3599">
            <v>455700.50321747456</v>
          </cell>
          <cell r="O3599">
            <v>462310.27670274215</v>
          </cell>
          <cell r="P3599">
            <v>252.8664</v>
          </cell>
        </row>
        <row r="3600">
          <cell r="B3600">
            <v>35935</v>
          </cell>
          <cell r="C3600">
            <v>2.3808950000000002</v>
          </cell>
          <cell r="D3600">
            <v>1.1489</v>
          </cell>
          <cell r="E3600">
            <v>59947</v>
          </cell>
          <cell r="F3600">
            <v>10408</v>
          </cell>
          <cell r="J3600">
            <v>1856000.9955271718</v>
          </cell>
          <cell r="K3600">
            <v>1.1489</v>
          </cell>
          <cell r="L3600">
            <v>59947</v>
          </cell>
          <cell r="M3600">
            <v>10408</v>
          </cell>
          <cell r="N3600">
            <v>455700.50321747456</v>
          </cell>
          <cell r="O3600">
            <v>462310.27670274215</v>
          </cell>
          <cell r="P3600">
            <v>252.8664</v>
          </cell>
        </row>
        <row r="3601">
          <cell r="B3601">
            <v>35936</v>
          </cell>
          <cell r="C3601">
            <v>2.3281000000000001</v>
          </cell>
          <cell r="D3601">
            <v>1.1496999999999999</v>
          </cell>
          <cell r="E3601">
            <v>59098</v>
          </cell>
          <cell r="F3601">
            <v>10268</v>
          </cell>
          <cell r="J3601">
            <v>1857441.3141664006</v>
          </cell>
          <cell r="K3601">
            <v>1.1496999999999999</v>
          </cell>
          <cell r="L3601">
            <v>59098</v>
          </cell>
          <cell r="M3601">
            <v>10268</v>
          </cell>
          <cell r="N3601">
            <v>455700.50321747456</v>
          </cell>
          <cell r="O3601">
            <v>462310.27670274215</v>
          </cell>
          <cell r="P3601">
            <v>252.8664</v>
          </cell>
        </row>
        <row r="3602">
          <cell r="B3602">
            <v>35937</v>
          </cell>
          <cell r="C3602">
            <v>2.3271199999999999</v>
          </cell>
          <cell r="D3602">
            <v>1.1515</v>
          </cell>
          <cell r="E3602">
            <v>58704</v>
          </cell>
          <cell r="F3602">
            <v>10239</v>
          </cell>
          <cell r="J3602">
            <v>1858882.1437767416</v>
          </cell>
          <cell r="K3602">
            <v>1.1515</v>
          </cell>
          <cell r="L3602">
            <v>58704</v>
          </cell>
          <cell r="M3602">
            <v>10239</v>
          </cell>
          <cell r="N3602">
            <v>455700.50321747456</v>
          </cell>
          <cell r="O3602">
            <v>462310.27670274215</v>
          </cell>
          <cell r="P3602">
            <v>252.8664</v>
          </cell>
        </row>
        <row r="3603">
          <cell r="B3603">
            <v>35940</v>
          </cell>
          <cell r="C3603">
            <v>2.3281000000000001</v>
          </cell>
          <cell r="D3603">
            <v>1.1516</v>
          </cell>
          <cell r="E3603">
            <v>58358</v>
          </cell>
          <cell r="F3603">
            <v>10015</v>
          </cell>
          <cell r="J3603">
            <v>1860324.6982830504</v>
          </cell>
          <cell r="K3603">
            <v>1.1516</v>
          </cell>
          <cell r="L3603">
            <v>58358</v>
          </cell>
          <cell r="M3603">
            <v>10015</v>
          </cell>
          <cell r="N3603">
            <v>455700.50321747456</v>
          </cell>
          <cell r="O3603">
            <v>462310.27670274215</v>
          </cell>
          <cell r="P3603">
            <v>252.8664</v>
          </cell>
        </row>
        <row r="3604">
          <cell r="B3604">
            <v>35941</v>
          </cell>
          <cell r="C3604">
            <v>2.3261400000000001</v>
          </cell>
          <cell r="D3604">
            <v>1.1531</v>
          </cell>
          <cell r="E3604">
            <v>56036</v>
          </cell>
          <cell r="F3604">
            <v>9436</v>
          </cell>
          <cell r="J3604">
            <v>1861767.1568476052</v>
          </cell>
          <cell r="K3604">
            <v>1.1531</v>
          </cell>
          <cell r="L3604">
            <v>56036</v>
          </cell>
          <cell r="M3604">
            <v>9436</v>
          </cell>
          <cell r="N3604">
            <v>455700.50321747456</v>
          </cell>
          <cell r="O3604">
            <v>462310.27670274215</v>
          </cell>
          <cell r="P3604">
            <v>252.8664</v>
          </cell>
        </row>
        <row r="3605">
          <cell r="B3605">
            <v>35942</v>
          </cell>
          <cell r="C3605">
            <v>2.3310390000000001</v>
          </cell>
          <cell r="D3605">
            <v>1.1519999999999999</v>
          </cell>
          <cell r="E3605">
            <v>55669</v>
          </cell>
          <cell r="F3605">
            <v>9747</v>
          </cell>
          <cell r="J3605">
            <v>1863213.7741314489</v>
          </cell>
          <cell r="K3605">
            <v>1.1519999999999999</v>
          </cell>
          <cell r="L3605">
            <v>55669</v>
          </cell>
          <cell r="M3605">
            <v>9747</v>
          </cell>
          <cell r="N3605">
            <v>455700.50321747456</v>
          </cell>
          <cell r="O3605">
            <v>462310.27670274215</v>
          </cell>
          <cell r="P3605">
            <v>252.8664</v>
          </cell>
        </row>
        <row r="3606">
          <cell r="B3606">
            <v>35943</v>
          </cell>
          <cell r="C3606">
            <v>2.3300589999999999</v>
          </cell>
          <cell r="D3606">
            <v>1.1499999999999999</v>
          </cell>
          <cell r="E3606">
            <v>56514</v>
          </cell>
          <cell r="F3606">
            <v>10152</v>
          </cell>
          <cell r="J3606">
            <v>1864660.9068058953</v>
          </cell>
          <cell r="K3606">
            <v>1.1499999999999999</v>
          </cell>
          <cell r="L3606">
            <v>56514</v>
          </cell>
          <cell r="M3606">
            <v>10152</v>
          </cell>
          <cell r="N3606">
            <v>455700.50321747456</v>
          </cell>
          <cell r="O3606">
            <v>462310.27670274215</v>
          </cell>
          <cell r="P3606">
            <v>252.8664</v>
          </cell>
        </row>
        <row r="3607">
          <cell r="B3607">
            <v>35944</v>
          </cell>
          <cell r="C3607">
            <v>2.3192780000000002</v>
          </cell>
          <cell r="D3607">
            <v>1.1505000000000001</v>
          </cell>
          <cell r="E3607">
            <v>55901</v>
          </cell>
          <cell r="F3607">
            <v>9846</v>
          </cell>
          <cell r="G3607">
            <v>0.23</v>
          </cell>
          <cell r="H3607">
            <v>0.14000000000000001</v>
          </cell>
          <cell r="I3607">
            <v>255.28530000000001</v>
          </cell>
          <cell r="J3607">
            <v>1866102.4624787669</v>
          </cell>
          <cell r="K3607">
            <v>1.1505000000000001</v>
          </cell>
          <cell r="L3607">
            <v>55901</v>
          </cell>
          <cell r="M3607">
            <v>9846</v>
          </cell>
          <cell r="N3607">
            <v>456748.61437487474</v>
          </cell>
          <cell r="O3607">
            <v>462957.51109012601</v>
          </cell>
          <cell r="P3607">
            <v>255.28530000000001</v>
          </cell>
        </row>
        <row r="3608">
          <cell r="B3608">
            <v>35947</v>
          </cell>
          <cell r="C3608">
            <v>2.2829419999999998</v>
          </cell>
          <cell r="D3608">
            <v>1.1519999999999999</v>
          </cell>
          <cell r="E3608">
            <v>54765</v>
          </cell>
          <cell r="F3608">
            <v>9605</v>
          </cell>
          <cell r="J3608">
            <v>1867522.5303747323</v>
          </cell>
          <cell r="K3608">
            <v>1.1519999999999999</v>
          </cell>
          <cell r="L3608">
            <v>54765</v>
          </cell>
          <cell r="M3608">
            <v>9605</v>
          </cell>
          <cell r="N3608">
            <v>456748.61437487474</v>
          </cell>
          <cell r="O3608">
            <v>462957.51109012601</v>
          </cell>
          <cell r="P3608">
            <v>255.28530000000001</v>
          </cell>
        </row>
        <row r="3609">
          <cell r="B3609">
            <v>35948</v>
          </cell>
          <cell r="C3609">
            <v>2.2799909999999999</v>
          </cell>
          <cell r="D3609">
            <v>1.1516999999999999</v>
          </cell>
          <cell r="E3609">
            <v>56074</v>
          </cell>
          <cell r="F3609">
            <v>10150</v>
          </cell>
          <cell r="J3609">
            <v>1868941.8418952497</v>
          </cell>
          <cell r="K3609">
            <v>1.1516999999999999</v>
          </cell>
          <cell r="L3609">
            <v>56074</v>
          </cell>
          <cell r="M3609">
            <v>10150</v>
          </cell>
          <cell r="N3609">
            <v>456748.61437487474</v>
          </cell>
          <cell r="O3609">
            <v>462957.51109012601</v>
          </cell>
          <cell r="P3609">
            <v>255.28530000000001</v>
          </cell>
        </row>
        <row r="3610">
          <cell r="B3610">
            <v>35949</v>
          </cell>
          <cell r="C3610">
            <v>2.2829419999999998</v>
          </cell>
          <cell r="D3610">
            <v>1.1517999999999999</v>
          </cell>
          <cell r="E3610">
            <v>54956</v>
          </cell>
          <cell r="F3610">
            <v>9855</v>
          </cell>
          <cell r="J3610">
            <v>1870364.0705040563</v>
          </cell>
          <cell r="K3610">
            <v>1.1517999999999999</v>
          </cell>
          <cell r="L3610">
            <v>54956</v>
          </cell>
          <cell r="M3610">
            <v>9855</v>
          </cell>
          <cell r="N3610">
            <v>456748.61437487474</v>
          </cell>
          <cell r="O3610">
            <v>462957.51109012601</v>
          </cell>
          <cell r="P3610">
            <v>255.28530000000001</v>
          </cell>
        </row>
        <row r="3611">
          <cell r="B3611">
            <v>35950</v>
          </cell>
          <cell r="C3611">
            <v>2.2770389999999998</v>
          </cell>
          <cell r="D3611">
            <v>1.1516999999999999</v>
          </cell>
          <cell r="E3611">
            <v>55777</v>
          </cell>
          <cell r="F3611">
            <v>10191</v>
          </cell>
          <cell r="J3611">
            <v>1871783.7011483016</v>
          </cell>
          <cell r="K3611">
            <v>1.1516999999999999</v>
          </cell>
          <cell r="L3611">
            <v>55777</v>
          </cell>
          <cell r="M3611">
            <v>10191</v>
          </cell>
          <cell r="N3611">
            <v>456748.61437487474</v>
          </cell>
          <cell r="O3611">
            <v>462957.51109012601</v>
          </cell>
          <cell r="P3611">
            <v>255.28530000000001</v>
          </cell>
        </row>
        <row r="3612">
          <cell r="B3612">
            <v>35951</v>
          </cell>
          <cell r="C3612">
            <v>2.2770389999999998</v>
          </cell>
          <cell r="D3612">
            <v>1.1524000000000001</v>
          </cell>
          <cell r="E3612">
            <v>56317</v>
          </cell>
          <cell r="F3612">
            <v>10369</v>
          </cell>
          <cell r="J3612">
            <v>1873204.409310661</v>
          </cell>
          <cell r="K3612">
            <v>1.1524000000000001</v>
          </cell>
          <cell r="L3612">
            <v>56317</v>
          </cell>
          <cell r="M3612">
            <v>10369</v>
          </cell>
          <cell r="N3612">
            <v>456748.61437487474</v>
          </cell>
          <cell r="O3612">
            <v>462957.51109012601</v>
          </cell>
          <cell r="P3612">
            <v>255.28530000000001</v>
          </cell>
        </row>
        <row r="3613">
          <cell r="B3613">
            <v>35954</v>
          </cell>
          <cell r="C3613">
            <v>2.2780230000000001</v>
          </cell>
          <cell r="D3613">
            <v>1.1529</v>
          </cell>
          <cell r="E3613">
            <v>56165</v>
          </cell>
          <cell r="F3613">
            <v>10540</v>
          </cell>
          <cell r="J3613">
            <v>1874626.8102200313</v>
          </cell>
          <cell r="K3613">
            <v>1.1529</v>
          </cell>
          <cell r="L3613">
            <v>56165</v>
          </cell>
          <cell r="M3613">
            <v>10540</v>
          </cell>
          <cell r="N3613">
            <v>456748.61437487474</v>
          </cell>
          <cell r="O3613">
            <v>462957.51109012601</v>
          </cell>
          <cell r="P3613">
            <v>255.28530000000001</v>
          </cell>
        </row>
        <row r="3614">
          <cell r="B3614">
            <v>35955</v>
          </cell>
          <cell r="C3614">
            <v>2.2740860000000001</v>
          </cell>
          <cell r="D3614">
            <v>1.1536</v>
          </cell>
          <cell r="E3614">
            <v>56280</v>
          </cell>
          <cell r="F3614">
            <v>10369</v>
          </cell>
          <cell r="J3614">
            <v>1876047.83108148</v>
          </cell>
          <cell r="K3614">
            <v>1.1536</v>
          </cell>
          <cell r="L3614">
            <v>56280</v>
          </cell>
          <cell r="M3614">
            <v>10369</v>
          </cell>
          <cell r="N3614">
            <v>456748.61437487474</v>
          </cell>
          <cell r="O3614">
            <v>462957.51109012601</v>
          </cell>
          <cell r="P3614">
            <v>255.28530000000001</v>
          </cell>
        </row>
        <row r="3615">
          <cell r="B3615">
            <v>35956</v>
          </cell>
          <cell r="C3615">
            <v>2.2750710000000001</v>
          </cell>
          <cell r="D3615">
            <v>1.1546000000000001</v>
          </cell>
          <cell r="E3615">
            <v>54902</v>
          </cell>
          <cell r="F3615">
            <v>9868</v>
          </cell>
          <cell r="J3615">
            <v>1877470.5450865156</v>
          </cell>
          <cell r="K3615">
            <v>1.1546000000000001</v>
          </cell>
          <cell r="L3615">
            <v>54902</v>
          </cell>
          <cell r="M3615">
            <v>9868</v>
          </cell>
          <cell r="N3615">
            <v>456748.61437487474</v>
          </cell>
          <cell r="O3615">
            <v>462957.51109012601</v>
          </cell>
          <cell r="P3615">
            <v>255.28530000000001</v>
          </cell>
        </row>
        <row r="3616">
          <cell r="B3616">
            <v>35958</v>
          </cell>
          <cell r="C3616">
            <v>2.2760549999999999</v>
          </cell>
          <cell r="D3616">
            <v>1.1553</v>
          </cell>
          <cell r="E3616">
            <v>54114</v>
          </cell>
          <cell r="F3616">
            <v>9584</v>
          </cell>
          <cell r="J3616">
            <v>1878894.9538270147</v>
          </cell>
          <cell r="K3616">
            <v>1.1553</v>
          </cell>
          <cell r="L3616">
            <v>54114</v>
          </cell>
          <cell r="M3616">
            <v>9584</v>
          </cell>
          <cell r="N3616">
            <v>456748.61437487474</v>
          </cell>
          <cell r="O3616">
            <v>462957.51109012601</v>
          </cell>
          <cell r="P3616">
            <v>255.28530000000001</v>
          </cell>
        </row>
        <row r="3617">
          <cell r="B3617">
            <v>35961</v>
          </cell>
          <cell r="C3617">
            <v>2.2770389999999998</v>
          </cell>
          <cell r="D3617">
            <v>1.1551</v>
          </cell>
          <cell r="E3617">
            <v>52275</v>
          </cell>
          <cell r="F3617">
            <v>9073</v>
          </cell>
          <cell r="J3617">
            <v>1880321.0595226036</v>
          </cell>
          <cell r="K3617">
            <v>1.1551</v>
          </cell>
          <cell r="L3617">
            <v>52275</v>
          </cell>
          <cell r="M3617">
            <v>9073</v>
          </cell>
          <cell r="N3617">
            <v>456748.61437487474</v>
          </cell>
          <cell r="O3617">
            <v>462957.51109012601</v>
          </cell>
          <cell r="P3617">
            <v>255.28530000000001</v>
          </cell>
        </row>
        <row r="3618">
          <cell r="B3618">
            <v>35962</v>
          </cell>
          <cell r="C3618">
            <v>2.2770389999999998</v>
          </cell>
          <cell r="D3618">
            <v>1.1549</v>
          </cell>
          <cell r="E3618">
            <v>52284</v>
          </cell>
          <cell r="F3618">
            <v>9248</v>
          </cell>
          <cell r="J3618">
            <v>1881748.2476509549</v>
          </cell>
          <cell r="K3618">
            <v>1.1549</v>
          </cell>
          <cell r="L3618">
            <v>52284</v>
          </cell>
          <cell r="M3618">
            <v>9248</v>
          </cell>
          <cell r="N3618">
            <v>456748.61437487474</v>
          </cell>
          <cell r="O3618">
            <v>462957.51109012601</v>
          </cell>
          <cell r="P3618">
            <v>255.28530000000001</v>
          </cell>
        </row>
        <row r="3619">
          <cell r="B3619">
            <v>35963</v>
          </cell>
          <cell r="C3619">
            <v>2.283925</v>
          </cell>
          <cell r="D3619">
            <v>1.1553</v>
          </cell>
          <cell r="E3619">
            <v>54725</v>
          </cell>
          <cell r="F3619">
            <v>9897</v>
          </cell>
          <cell r="J3619">
            <v>1883180.8382731269</v>
          </cell>
          <cell r="K3619">
            <v>1.1553</v>
          </cell>
          <cell r="L3619">
            <v>54725</v>
          </cell>
          <cell r="M3619">
            <v>9897</v>
          </cell>
          <cell r="N3619">
            <v>456748.61437487474</v>
          </cell>
          <cell r="O3619">
            <v>462957.51109012601</v>
          </cell>
          <cell r="P3619">
            <v>255.28530000000001</v>
          </cell>
        </row>
        <row r="3620">
          <cell r="B3620">
            <v>35964</v>
          </cell>
          <cell r="C3620">
            <v>2.279007</v>
          </cell>
          <cell r="D3620">
            <v>1.1556999999999999</v>
          </cell>
          <cell r="E3620">
            <v>53382</v>
          </cell>
          <cell r="F3620">
            <v>9539</v>
          </cell>
          <cell r="J3620">
            <v>1884611.432377357</v>
          </cell>
          <cell r="K3620">
            <v>1.1556999999999999</v>
          </cell>
          <cell r="L3620">
            <v>53382</v>
          </cell>
          <cell r="M3620">
            <v>9539</v>
          </cell>
          <cell r="N3620">
            <v>456748.61437487474</v>
          </cell>
          <cell r="O3620">
            <v>462957.51109012601</v>
          </cell>
          <cell r="P3620">
            <v>255.28530000000001</v>
          </cell>
        </row>
        <row r="3621">
          <cell r="B3621">
            <v>35965</v>
          </cell>
          <cell r="C3621">
            <v>2.2809740000000001</v>
          </cell>
          <cell r="D3621">
            <v>1.1561999999999999</v>
          </cell>
          <cell r="E3621">
            <v>53440</v>
          </cell>
          <cell r="F3621">
            <v>9686</v>
          </cell>
          <cell r="J3621">
            <v>1886044.3489364758</v>
          </cell>
          <cell r="K3621">
            <v>1.1561999999999999</v>
          </cell>
          <cell r="L3621">
            <v>53440</v>
          </cell>
          <cell r="M3621">
            <v>9686</v>
          </cell>
          <cell r="N3621">
            <v>456748.61437487474</v>
          </cell>
          <cell r="O3621">
            <v>462957.51109012601</v>
          </cell>
          <cell r="P3621">
            <v>255.28530000000001</v>
          </cell>
        </row>
        <row r="3622">
          <cell r="B3622">
            <v>35968</v>
          </cell>
          <cell r="C3622">
            <v>2.2760549999999999</v>
          </cell>
          <cell r="D3622">
            <v>1.1554</v>
          </cell>
          <cell r="E3622">
            <v>53175</v>
          </cell>
          <cell r="F3622">
            <v>9619</v>
          </cell>
          <cell r="J3622">
            <v>1887475.2624933489</v>
          </cell>
          <cell r="K3622">
            <v>1.1554</v>
          </cell>
          <cell r="L3622">
            <v>53175</v>
          </cell>
          <cell r="M3622">
            <v>9619</v>
          </cell>
          <cell r="N3622">
            <v>456748.61437487474</v>
          </cell>
          <cell r="O3622">
            <v>462957.51109012601</v>
          </cell>
          <cell r="P3622">
            <v>255.28530000000001</v>
          </cell>
        </row>
        <row r="3623">
          <cell r="B3623">
            <v>35969</v>
          </cell>
          <cell r="C3623">
            <v>2.2671939999999999</v>
          </cell>
          <cell r="D3623">
            <v>1.1555</v>
          </cell>
          <cell r="E3623">
            <v>53733</v>
          </cell>
          <cell r="F3623">
            <v>9937</v>
          </cell>
          <cell r="J3623">
            <v>1888901.6866901065</v>
          </cell>
          <cell r="K3623">
            <v>1.1555</v>
          </cell>
          <cell r="L3623">
            <v>53733</v>
          </cell>
          <cell r="M3623">
            <v>9937</v>
          </cell>
          <cell r="N3623">
            <v>456748.61437487474</v>
          </cell>
          <cell r="O3623">
            <v>462957.51109012601</v>
          </cell>
          <cell r="P3623">
            <v>255.28530000000001</v>
          </cell>
        </row>
        <row r="3624">
          <cell r="B3624">
            <v>35970</v>
          </cell>
          <cell r="C3624">
            <v>2.2158720000000001</v>
          </cell>
          <cell r="D3624">
            <v>1.1558999999999999</v>
          </cell>
          <cell r="E3624">
            <v>53081</v>
          </cell>
          <cell r="F3624">
            <v>9855</v>
          </cell>
          <cell r="J3624">
            <v>1890296.8748095364</v>
          </cell>
          <cell r="K3624">
            <v>1.1558999999999999</v>
          </cell>
          <cell r="L3624">
            <v>53081</v>
          </cell>
          <cell r="M3624">
            <v>9855</v>
          </cell>
          <cell r="N3624">
            <v>456748.61437487474</v>
          </cell>
          <cell r="O3624">
            <v>462957.51109012601</v>
          </cell>
          <cell r="P3624">
            <v>255.28530000000001</v>
          </cell>
        </row>
        <row r="3625">
          <cell r="B3625">
            <v>35971</v>
          </cell>
          <cell r="C3625">
            <v>2.226747</v>
          </cell>
          <cell r="D3625">
            <v>1.1560999999999999</v>
          </cell>
          <cell r="E3625">
            <v>52270</v>
          </cell>
          <cell r="F3625">
            <v>9527</v>
          </cell>
          <cell r="J3625">
            <v>1891699.9457745668</v>
          </cell>
          <cell r="K3625">
            <v>1.1560999999999999</v>
          </cell>
          <cell r="L3625">
            <v>52270</v>
          </cell>
          <cell r="M3625">
            <v>9527</v>
          </cell>
          <cell r="N3625">
            <v>456748.61437487474</v>
          </cell>
          <cell r="O3625">
            <v>462957.51109012601</v>
          </cell>
          <cell r="P3625">
            <v>255.28530000000001</v>
          </cell>
        </row>
        <row r="3626">
          <cell r="B3626">
            <v>35972</v>
          </cell>
          <cell r="C3626">
            <v>2.226747</v>
          </cell>
          <cell r="D3626">
            <v>1.1564000000000001</v>
          </cell>
          <cell r="E3626">
            <v>52045</v>
          </cell>
          <cell r="F3626">
            <v>9464</v>
          </cell>
          <cell r="J3626">
            <v>1893104.058167618</v>
          </cell>
          <cell r="K3626">
            <v>1.1564000000000001</v>
          </cell>
          <cell r="L3626">
            <v>52045</v>
          </cell>
          <cell r="M3626">
            <v>9464</v>
          </cell>
          <cell r="N3626">
            <v>456748.61437487474</v>
          </cell>
          <cell r="O3626">
            <v>462957.51109012601</v>
          </cell>
          <cell r="P3626">
            <v>255.28530000000001</v>
          </cell>
        </row>
        <row r="3627">
          <cell r="B3627">
            <v>35975</v>
          </cell>
          <cell r="C3627">
            <v>2.2198280000000001</v>
          </cell>
          <cell r="D3627">
            <v>1.1566000000000001</v>
          </cell>
          <cell r="E3627">
            <v>52278</v>
          </cell>
          <cell r="F3627">
            <v>9603</v>
          </cell>
          <cell r="J3627">
            <v>1894504.8466326962</v>
          </cell>
          <cell r="K3627">
            <v>1.1566000000000001</v>
          </cell>
          <cell r="L3627">
            <v>52278</v>
          </cell>
          <cell r="M3627">
            <v>9603</v>
          </cell>
          <cell r="N3627">
            <v>456748.61437487474</v>
          </cell>
          <cell r="O3627">
            <v>462957.51109012601</v>
          </cell>
          <cell r="P3627">
            <v>255.28530000000001</v>
          </cell>
        </row>
        <row r="3628">
          <cell r="B3628">
            <v>35976</v>
          </cell>
          <cell r="C3628">
            <v>2.2138939999999998</v>
          </cell>
          <cell r="D3628">
            <v>1.1569</v>
          </cell>
          <cell r="E3628">
            <v>52827</v>
          </cell>
          <cell r="F3628">
            <v>9678</v>
          </cell>
          <cell r="G3628">
            <v>0.28000000000000003</v>
          </cell>
          <cell r="H3628">
            <v>0.38</v>
          </cell>
          <cell r="I3628">
            <v>257.82229999999998</v>
          </cell>
          <cell r="J3628">
            <v>1895902.92427034</v>
          </cell>
          <cell r="K3628">
            <v>1.1569</v>
          </cell>
          <cell r="L3628">
            <v>52827</v>
          </cell>
          <cell r="M3628">
            <v>9678</v>
          </cell>
          <cell r="N3628">
            <v>458027.51049512433</v>
          </cell>
          <cell r="O3628">
            <v>464716.7496322685</v>
          </cell>
          <cell r="P3628">
            <v>257.82229999999998</v>
          </cell>
        </row>
        <row r="3629">
          <cell r="B3629">
            <v>35977</v>
          </cell>
          <cell r="C3629">
            <v>2.2138939999999998</v>
          </cell>
          <cell r="D3629">
            <v>1.1572</v>
          </cell>
          <cell r="E3629">
            <v>53522</v>
          </cell>
          <cell r="F3629">
            <v>9914</v>
          </cell>
          <cell r="J3629">
            <v>1897302.0336398818</v>
          </cell>
          <cell r="K3629">
            <v>1.1572</v>
          </cell>
          <cell r="L3629">
            <v>53522</v>
          </cell>
          <cell r="M3629">
            <v>9914</v>
          </cell>
          <cell r="N3629">
            <v>458027.51049512433</v>
          </cell>
          <cell r="O3629">
            <v>464716.7496322685</v>
          </cell>
          <cell r="P3629">
            <v>257.82229999999998</v>
          </cell>
        </row>
        <row r="3630">
          <cell r="B3630">
            <v>35978</v>
          </cell>
          <cell r="C3630">
            <v>2.2109260000000002</v>
          </cell>
          <cell r="D3630">
            <v>1.1572</v>
          </cell>
          <cell r="E3630">
            <v>54241</v>
          </cell>
          <cell r="F3630">
            <v>9900</v>
          </cell>
          <cell r="J3630">
            <v>1898700.2984385574</v>
          </cell>
          <cell r="K3630">
            <v>1.1572</v>
          </cell>
          <cell r="L3630">
            <v>54241</v>
          </cell>
          <cell r="M3630">
            <v>9900</v>
          </cell>
          <cell r="N3630">
            <v>458027.51049512433</v>
          </cell>
          <cell r="O3630">
            <v>464716.7496322685</v>
          </cell>
          <cell r="P3630">
            <v>257.82229999999998</v>
          </cell>
        </row>
        <row r="3631">
          <cell r="B3631">
            <v>35979</v>
          </cell>
          <cell r="C3631">
            <v>2.2059769999999999</v>
          </cell>
          <cell r="D3631">
            <v>1.1575</v>
          </cell>
          <cell r="E3631">
            <v>55552</v>
          </cell>
          <cell r="F3631">
            <v>10115</v>
          </cell>
          <cell r="J3631">
            <v>1900096.4615013071</v>
          </cell>
          <cell r="K3631">
            <v>1.1575</v>
          </cell>
          <cell r="L3631">
            <v>55552</v>
          </cell>
          <cell r="M3631">
            <v>10115</v>
          </cell>
          <cell r="N3631">
            <v>458027.51049512433</v>
          </cell>
          <cell r="O3631">
            <v>464716.7496322685</v>
          </cell>
          <cell r="P3631">
            <v>257.82229999999998</v>
          </cell>
        </row>
        <row r="3632">
          <cell r="B3632">
            <v>35982</v>
          </cell>
          <cell r="C3632">
            <v>2.2039970000000002</v>
          </cell>
          <cell r="D3632">
            <v>1.1583000000000001</v>
          </cell>
          <cell r="E3632">
            <v>55176</v>
          </cell>
          <cell r="F3632">
            <v>10018</v>
          </cell>
          <cell r="J3632">
            <v>1901492.3971349269</v>
          </cell>
          <cell r="K3632">
            <v>1.1583000000000001</v>
          </cell>
          <cell r="L3632">
            <v>55176</v>
          </cell>
          <cell r="M3632">
            <v>10018</v>
          </cell>
          <cell r="N3632">
            <v>458027.51049512433</v>
          </cell>
          <cell r="O3632">
            <v>464716.7496322685</v>
          </cell>
          <cell r="P3632">
            <v>257.82229999999998</v>
          </cell>
        </row>
        <row r="3633">
          <cell r="B3633">
            <v>35983</v>
          </cell>
          <cell r="C3633">
            <v>2.2010269999999998</v>
          </cell>
          <cell r="D3633">
            <v>1.1588000000000001</v>
          </cell>
          <cell r="E3633">
            <v>55328</v>
          </cell>
          <cell r="F3633">
            <v>10205</v>
          </cell>
          <cell r="J3633">
            <v>1902887.4758370565</v>
          </cell>
          <cell r="K3633">
            <v>1.1588000000000001</v>
          </cell>
          <cell r="L3633">
            <v>55328</v>
          </cell>
          <cell r="M3633">
            <v>10205</v>
          </cell>
          <cell r="N3633">
            <v>458027.51049512433</v>
          </cell>
          <cell r="O3633">
            <v>464716.7496322685</v>
          </cell>
          <cell r="P3633">
            <v>257.82229999999998</v>
          </cell>
        </row>
        <row r="3634">
          <cell r="B3634">
            <v>35984</v>
          </cell>
          <cell r="C3634">
            <v>2.212904</v>
          </cell>
          <cell r="D3634">
            <v>1.1597</v>
          </cell>
          <cell r="E3634">
            <v>55485</v>
          </cell>
          <cell r="F3634">
            <v>10335</v>
          </cell>
          <cell r="J3634">
            <v>1904291.111606</v>
          </cell>
          <cell r="K3634">
            <v>1.1597</v>
          </cell>
          <cell r="L3634">
            <v>55485</v>
          </cell>
          <cell r="M3634">
            <v>10335</v>
          </cell>
          <cell r="N3634">
            <v>458027.51049512433</v>
          </cell>
          <cell r="O3634">
            <v>464716.7496322685</v>
          </cell>
          <cell r="P3634">
            <v>257.82229999999998</v>
          </cell>
        </row>
        <row r="3635">
          <cell r="B3635">
            <v>35985</v>
          </cell>
          <cell r="C3635">
            <v>2.2178499999999999</v>
          </cell>
          <cell r="J3635">
            <v>1905698.922286625</v>
          </cell>
          <cell r="K3635">
            <v>1.1597</v>
          </cell>
          <cell r="L3635">
            <v>55485</v>
          </cell>
          <cell r="M3635">
            <v>10335</v>
          </cell>
          <cell r="N3635">
            <v>458027.51049512433</v>
          </cell>
          <cell r="O3635">
            <v>464716.7496322685</v>
          </cell>
          <cell r="P3635">
            <v>257.82229999999998</v>
          </cell>
        </row>
        <row r="3636">
          <cell r="B3636">
            <v>35986</v>
          </cell>
          <cell r="C3636">
            <v>2.2079569999999999</v>
          </cell>
          <cell r="D3636">
            <v>1.1612</v>
          </cell>
          <cell r="E3636">
            <v>55530</v>
          </cell>
          <cell r="F3636">
            <v>10326</v>
          </cell>
          <cell r="J3636">
            <v>1907101.4893784102</v>
          </cell>
          <cell r="K3636">
            <v>1.1612</v>
          </cell>
          <cell r="L3636">
            <v>55530</v>
          </cell>
          <cell r="M3636">
            <v>10326</v>
          </cell>
          <cell r="N3636">
            <v>458027.51049512433</v>
          </cell>
          <cell r="O3636">
            <v>464716.7496322685</v>
          </cell>
          <cell r="P3636">
            <v>257.82229999999998</v>
          </cell>
        </row>
        <row r="3637">
          <cell r="B3637">
            <v>35989</v>
          </cell>
          <cell r="C3637">
            <v>2.2079569999999999</v>
          </cell>
          <cell r="D3637">
            <v>1.1617999999999999</v>
          </cell>
          <cell r="E3637">
            <v>55728</v>
          </cell>
          <cell r="F3637">
            <v>10419</v>
          </cell>
          <cell r="J3637">
            <v>1908505.0887394713</v>
          </cell>
          <cell r="K3637">
            <v>1.1617999999999999</v>
          </cell>
          <cell r="L3637">
            <v>55728</v>
          </cell>
          <cell r="M3637">
            <v>10419</v>
          </cell>
          <cell r="N3637">
            <v>458027.51049512433</v>
          </cell>
          <cell r="O3637">
            <v>464716.7496322685</v>
          </cell>
          <cell r="P3637">
            <v>257.82229999999998</v>
          </cell>
        </row>
        <row r="3638">
          <cell r="B3638">
            <v>35990</v>
          </cell>
          <cell r="C3638">
            <v>2.2069670000000001</v>
          </cell>
          <cell r="D3638">
            <v>1.1634</v>
          </cell>
          <cell r="E3638">
            <v>56634</v>
          </cell>
          <cell r="F3638">
            <v>10641</v>
          </cell>
          <cell r="J3638">
            <v>1909909.0913228646</v>
          </cell>
          <cell r="K3638">
            <v>1.1634</v>
          </cell>
          <cell r="L3638">
            <v>56634</v>
          </cell>
          <cell r="M3638">
            <v>10641</v>
          </cell>
          <cell r="N3638">
            <v>458027.51049512433</v>
          </cell>
          <cell r="O3638">
            <v>464716.7496322685</v>
          </cell>
          <cell r="P3638">
            <v>257.82229999999998</v>
          </cell>
        </row>
        <row r="3639">
          <cell r="B3639">
            <v>35991</v>
          </cell>
          <cell r="C3639">
            <v>2.2079569999999999</v>
          </cell>
          <cell r="D3639">
            <v>1.1615</v>
          </cell>
          <cell r="E3639">
            <v>56949</v>
          </cell>
          <cell r="F3639">
            <v>10648</v>
          </cell>
          <cell r="J3639">
            <v>1911314.7570387146</v>
          </cell>
          <cell r="K3639">
            <v>1.1615</v>
          </cell>
          <cell r="L3639">
            <v>56949</v>
          </cell>
          <cell r="M3639">
            <v>10648</v>
          </cell>
          <cell r="N3639">
            <v>458027.51049512433</v>
          </cell>
          <cell r="O3639">
            <v>464716.7496322685</v>
          </cell>
          <cell r="P3639">
            <v>257.82229999999998</v>
          </cell>
        </row>
        <row r="3640">
          <cell r="B3640">
            <v>35992</v>
          </cell>
          <cell r="C3640">
            <v>2.2079569999999999</v>
          </cell>
          <cell r="D3640">
            <v>1.1620999999999999</v>
          </cell>
          <cell r="E3640">
            <v>57333</v>
          </cell>
          <cell r="F3640">
            <v>10907</v>
          </cell>
          <cell r="J3640">
            <v>1912721.4573043836</v>
          </cell>
          <cell r="K3640">
            <v>1.1620999999999999</v>
          </cell>
          <cell r="L3640">
            <v>57333</v>
          </cell>
          <cell r="M3640">
            <v>10907</v>
          </cell>
          <cell r="N3640">
            <v>458027.51049512433</v>
          </cell>
          <cell r="O3640">
            <v>464716.7496322685</v>
          </cell>
          <cell r="P3640">
            <v>257.82229999999998</v>
          </cell>
        </row>
        <row r="3641">
          <cell r="B3641">
            <v>35993</v>
          </cell>
          <cell r="C3641">
            <v>2.2099359999999999</v>
          </cell>
          <cell r="D3641">
            <v>1.1617</v>
          </cell>
          <cell r="E3641">
            <v>58129</v>
          </cell>
          <cell r="F3641">
            <v>11057</v>
          </cell>
          <cell r="J3641">
            <v>1914130.4546398732</v>
          </cell>
          <cell r="K3641">
            <v>1.1617</v>
          </cell>
          <cell r="L3641">
            <v>58129</v>
          </cell>
          <cell r="M3641">
            <v>11057</v>
          </cell>
          <cell r="N3641">
            <v>458027.51049512433</v>
          </cell>
          <cell r="O3641">
            <v>464716.7496322685</v>
          </cell>
          <cell r="P3641">
            <v>257.82229999999998</v>
          </cell>
        </row>
        <row r="3642">
          <cell r="B3642">
            <v>35996</v>
          </cell>
          <cell r="C3642">
            <v>2.2079569999999999</v>
          </cell>
          <cell r="D3642">
            <v>1.1607000000000001</v>
          </cell>
          <cell r="E3642">
            <v>57974</v>
          </cell>
          <cell r="F3642">
            <v>11041</v>
          </cell>
          <cell r="J3642">
            <v>1915539.2272186184</v>
          </cell>
          <cell r="K3642">
            <v>1.1607000000000001</v>
          </cell>
          <cell r="L3642">
            <v>57974</v>
          </cell>
          <cell r="M3642">
            <v>11041</v>
          </cell>
          <cell r="N3642">
            <v>458027.51049512433</v>
          </cell>
          <cell r="O3642">
            <v>464716.7496322685</v>
          </cell>
          <cell r="P3642">
            <v>257.82229999999998</v>
          </cell>
        </row>
        <row r="3643">
          <cell r="B3643">
            <v>35997</v>
          </cell>
          <cell r="C3643">
            <v>2.2079569999999999</v>
          </cell>
          <cell r="D3643">
            <v>1.161</v>
          </cell>
          <cell r="E3643">
            <v>57703</v>
          </cell>
          <cell r="F3643">
            <v>10922</v>
          </cell>
          <cell r="J3643">
            <v>1916949.0366337891</v>
          </cell>
          <cell r="K3643">
            <v>1.161</v>
          </cell>
          <cell r="L3643">
            <v>57703</v>
          </cell>
          <cell r="M3643">
            <v>10922</v>
          </cell>
          <cell r="N3643">
            <v>458027.51049512433</v>
          </cell>
          <cell r="O3643">
            <v>464716.7496322685</v>
          </cell>
          <cell r="P3643">
            <v>257.82229999999998</v>
          </cell>
        </row>
        <row r="3644">
          <cell r="B3644">
            <v>35998</v>
          </cell>
          <cell r="C3644">
            <v>2.1960739999999999</v>
          </cell>
          <cell r="D3644">
            <v>1.1619999999999999</v>
          </cell>
          <cell r="E3644">
            <v>57578</v>
          </cell>
          <cell r="F3644">
            <v>10912</v>
          </cell>
          <cell r="J3644">
            <v>1918352.2906133479</v>
          </cell>
          <cell r="K3644">
            <v>1.1619999999999999</v>
          </cell>
          <cell r="L3644">
            <v>57578</v>
          </cell>
          <cell r="M3644">
            <v>10912</v>
          </cell>
          <cell r="N3644">
            <v>458027.51049512433</v>
          </cell>
          <cell r="O3644">
            <v>464716.7496322685</v>
          </cell>
          <cell r="P3644">
            <v>257.82229999999998</v>
          </cell>
        </row>
        <row r="3645">
          <cell r="B3645">
            <v>35999</v>
          </cell>
          <cell r="C3645">
            <v>2.188145</v>
          </cell>
          <cell r="D3645">
            <v>1.1647000000000001</v>
          </cell>
          <cell r="E3645">
            <v>56990</v>
          </cell>
          <cell r="F3645">
            <v>10639</v>
          </cell>
          <cell r="J3645">
            <v>1919751.5016043293</v>
          </cell>
          <cell r="K3645">
            <v>1.1647000000000001</v>
          </cell>
          <cell r="L3645">
            <v>56990</v>
          </cell>
          <cell r="M3645">
            <v>10639</v>
          </cell>
          <cell r="N3645">
            <v>458027.51049512433</v>
          </cell>
          <cell r="O3645">
            <v>464716.7496322685</v>
          </cell>
          <cell r="P3645">
            <v>257.82229999999998</v>
          </cell>
        </row>
        <row r="3646">
          <cell r="B3646">
            <v>36000</v>
          </cell>
          <cell r="C3646">
            <v>2.1782279999999998</v>
          </cell>
          <cell r="D3646">
            <v>1.1655</v>
          </cell>
          <cell r="E3646">
            <v>56490</v>
          </cell>
          <cell r="F3646">
            <v>10574</v>
          </cell>
          <cell r="J3646">
            <v>1921145.3870956083</v>
          </cell>
          <cell r="K3646">
            <v>1.1655</v>
          </cell>
          <cell r="L3646">
            <v>56490</v>
          </cell>
          <cell r="M3646">
            <v>10574</v>
          </cell>
          <cell r="N3646">
            <v>458027.51049512433</v>
          </cell>
          <cell r="O3646">
            <v>464716.7496322685</v>
          </cell>
          <cell r="P3646">
            <v>257.82229999999998</v>
          </cell>
        </row>
        <row r="3647">
          <cell r="B3647">
            <v>36003</v>
          </cell>
          <cell r="C3647">
            <v>2.174258</v>
          </cell>
          <cell r="D3647">
            <v>1.1660999999999999</v>
          </cell>
          <cell r="E3647">
            <v>56624</v>
          </cell>
          <cell r="F3647">
            <v>10564</v>
          </cell>
          <cell r="J3647">
            <v>1922537.7423379603</v>
          </cell>
          <cell r="K3647">
            <v>1.1660999999999999</v>
          </cell>
          <cell r="L3647">
            <v>56624</v>
          </cell>
          <cell r="M3647">
            <v>10564</v>
          </cell>
          <cell r="N3647">
            <v>458027.51049512433</v>
          </cell>
          <cell r="O3647">
            <v>464716.7496322685</v>
          </cell>
          <cell r="P3647">
            <v>257.82229999999998</v>
          </cell>
        </row>
        <row r="3648">
          <cell r="B3648">
            <v>36004</v>
          </cell>
          <cell r="C3648">
            <v>2.1593610000000001</v>
          </cell>
          <cell r="D3648">
            <v>1.1635</v>
          </cell>
          <cell r="E3648">
            <v>56091</v>
          </cell>
          <cell r="F3648">
            <v>10318</v>
          </cell>
          <cell r="J3648">
            <v>1923921.5600119045</v>
          </cell>
          <cell r="K3648">
            <v>1.1635</v>
          </cell>
          <cell r="L3648">
            <v>56091</v>
          </cell>
          <cell r="M3648">
            <v>10318</v>
          </cell>
          <cell r="N3648">
            <v>458027.51049512433</v>
          </cell>
          <cell r="O3648">
            <v>464716.7496322685</v>
          </cell>
          <cell r="P3648">
            <v>257.82229999999998</v>
          </cell>
        </row>
        <row r="3649">
          <cell r="B3649">
            <v>36005</v>
          </cell>
          <cell r="C3649">
            <v>2.136482</v>
          </cell>
          <cell r="D3649">
            <v>1.1632</v>
          </cell>
          <cell r="E3649">
            <v>56311</v>
          </cell>
          <cell r="F3649">
            <v>10542</v>
          </cell>
          <cell r="J3649">
            <v>1925291.701272697</v>
          </cell>
          <cell r="K3649">
            <v>1.1632</v>
          </cell>
          <cell r="L3649">
            <v>56311</v>
          </cell>
          <cell r="M3649">
            <v>10542</v>
          </cell>
          <cell r="N3649">
            <v>458027.51049512433</v>
          </cell>
          <cell r="O3649">
            <v>464716.7496322685</v>
          </cell>
          <cell r="P3649">
            <v>257.82229999999998</v>
          </cell>
        </row>
        <row r="3650">
          <cell r="B3650">
            <v>36006</v>
          </cell>
          <cell r="C3650">
            <v>2.1225350000000001</v>
          </cell>
          <cell r="D3650">
            <v>1.1624000000000001</v>
          </cell>
          <cell r="E3650">
            <v>56638</v>
          </cell>
          <cell r="F3650">
            <v>10939</v>
          </cell>
          <cell r="J3650">
            <v>1926653.8676130837</v>
          </cell>
          <cell r="K3650">
            <v>1.1624000000000001</v>
          </cell>
          <cell r="L3650">
            <v>56638</v>
          </cell>
          <cell r="M3650">
            <v>10939</v>
          </cell>
          <cell r="N3650">
            <v>458027.51049512433</v>
          </cell>
          <cell r="O3650">
            <v>464716.7496322685</v>
          </cell>
          <cell r="P3650">
            <v>257.82229999999998</v>
          </cell>
        </row>
        <row r="3651">
          <cell r="B3651">
            <v>36007</v>
          </cell>
          <cell r="C3651">
            <v>2.1255250000000001</v>
          </cell>
          <cell r="D3651">
            <v>1.1634</v>
          </cell>
          <cell r="E3651">
            <v>56147</v>
          </cell>
          <cell r="F3651">
            <v>10707</v>
          </cell>
          <cell r="G3651">
            <v>0.38</v>
          </cell>
          <cell r="H3651">
            <v>0.17</v>
          </cell>
          <cell r="I3651">
            <v>260.53750000000002</v>
          </cell>
          <cell r="J3651">
            <v>1928018.9179337365</v>
          </cell>
          <cell r="K3651">
            <v>1.1634</v>
          </cell>
          <cell r="L3651">
            <v>56147</v>
          </cell>
          <cell r="M3651">
            <v>10707</v>
          </cell>
          <cell r="N3651">
            <v>459768.01503500581</v>
          </cell>
          <cell r="O3651">
            <v>465506.7681066434</v>
          </cell>
          <cell r="P3651">
            <v>260.53750000000002</v>
          </cell>
        </row>
        <row r="3652">
          <cell r="B3652">
            <v>36010</v>
          </cell>
          <cell r="C3652">
            <v>2.1195439999999999</v>
          </cell>
          <cell r="D3652">
            <v>1.1642999999999999</v>
          </cell>
          <cell r="E3652">
            <v>55492</v>
          </cell>
          <cell r="F3652">
            <v>10412</v>
          </cell>
          <cell r="J3652">
            <v>1929381.0915768675</v>
          </cell>
          <cell r="K3652">
            <v>1.1642999999999999</v>
          </cell>
          <cell r="L3652">
            <v>55492</v>
          </cell>
          <cell r="M3652">
            <v>10412</v>
          </cell>
          <cell r="N3652">
            <v>459768.01503500581</v>
          </cell>
          <cell r="O3652">
            <v>465506.7681066434</v>
          </cell>
          <cell r="P3652">
            <v>260.53750000000002</v>
          </cell>
        </row>
        <row r="3653">
          <cell r="B3653">
            <v>36011</v>
          </cell>
          <cell r="C3653">
            <v>2.116552</v>
          </cell>
          <cell r="D3653">
            <v>1.1658999999999999</v>
          </cell>
          <cell r="E3653">
            <v>54039</v>
          </cell>
          <cell r="F3653">
            <v>9859</v>
          </cell>
          <cell r="J3653">
            <v>1930742.3033795804</v>
          </cell>
          <cell r="K3653">
            <v>1.1658999999999999</v>
          </cell>
          <cell r="L3653">
            <v>54039</v>
          </cell>
          <cell r="M3653">
            <v>9859</v>
          </cell>
          <cell r="N3653">
            <v>459768.01503500581</v>
          </cell>
          <cell r="O3653">
            <v>465506.7681066434</v>
          </cell>
          <cell r="P3653">
            <v>260.53750000000002</v>
          </cell>
        </row>
        <row r="3654">
          <cell r="B3654">
            <v>36012</v>
          </cell>
          <cell r="C3654">
            <v>2.111564</v>
          </cell>
          <cell r="D3654">
            <v>1.1671</v>
          </cell>
          <cell r="E3654">
            <v>53265</v>
          </cell>
          <cell r="F3654">
            <v>9828</v>
          </cell>
          <cell r="J3654">
            <v>1932101.2653599449</v>
          </cell>
          <cell r="K3654">
            <v>1.1671</v>
          </cell>
          <cell r="L3654">
            <v>53265</v>
          </cell>
          <cell r="M3654">
            <v>9828</v>
          </cell>
          <cell r="N3654">
            <v>459768.01503500581</v>
          </cell>
          <cell r="O3654">
            <v>465506.7681066434</v>
          </cell>
          <cell r="P3654">
            <v>260.53750000000002</v>
          </cell>
        </row>
        <row r="3655">
          <cell r="B3655">
            <v>36013</v>
          </cell>
          <cell r="C3655">
            <v>2.1055760000000001</v>
          </cell>
          <cell r="D3655">
            <v>1.1680999999999999</v>
          </cell>
          <cell r="E3655">
            <v>53015</v>
          </cell>
          <cell r="F3655">
            <v>9689</v>
          </cell>
          <cell r="J3655">
            <v>1933457.3273779156</v>
          </cell>
          <cell r="K3655">
            <v>1.1680999999999999</v>
          </cell>
          <cell r="L3655">
            <v>53015</v>
          </cell>
          <cell r="M3655">
            <v>9689</v>
          </cell>
          <cell r="N3655">
            <v>459768.01503500581</v>
          </cell>
          <cell r="O3655">
            <v>465506.7681066434</v>
          </cell>
          <cell r="P3655">
            <v>260.53750000000002</v>
          </cell>
        </row>
        <row r="3656">
          <cell r="B3656">
            <v>36014</v>
          </cell>
          <cell r="C3656">
            <v>2.1025809999999998</v>
          </cell>
          <cell r="D3656">
            <v>1.1682999999999999</v>
          </cell>
          <cell r="E3656">
            <v>51771</v>
          </cell>
          <cell r="F3656">
            <v>9319</v>
          </cell>
          <cell r="J3656">
            <v>1934812.4109248675</v>
          </cell>
          <cell r="K3656">
            <v>1.1682999999999999</v>
          </cell>
          <cell r="L3656">
            <v>51771</v>
          </cell>
          <cell r="M3656">
            <v>9319</v>
          </cell>
          <cell r="N3656">
            <v>459768.01503500581</v>
          </cell>
          <cell r="O3656">
            <v>465506.7681066434</v>
          </cell>
          <cell r="P3656">
            <v>260.53750000000002</v>
          </cell>
        </row>
        <row r="3657">
          <cell r="B3657">
            <v>36017</v>
          </cell>
          <cell r="C3657">
            <v>2.0995849999999998</v>
          </cell>
          <cell r="D3657">
            <v>1.1692</v>
          </cell>
          <cell r="E3657">
            <v>50517</v>
          </cell>
          <cell r="F3657">
            <v>9182</v>
          </cell>
          <cell r="J3657">
            <v>1936166.5119634648</v>
          </cell>
          <cell r="K3657">
            <v>1.1692</v>
          </cell>
          <cell r="L3657">
            <v>50517</v>
          </cell>
          <cell r="M3657">
            <v>9182</v>
          </cell>
          <cell r="N3657">
            <v>459768.01503500581</v>
          </cell>
          <cell r="O3657">
            <v>465506.7681066434</v>
          </cell>
          <cell r="P3657">
            <v>260.53750000000002</v>
          </cell>
        </row>
        <row r="3658">
          <cell r="B3658">
            <v>36018</v>
          </cell>
          <cell r="C3658">
            <v>2.093591</v>
          </cell>
          <cell r="D3658">
            <v>1.1689000000000001</v>
          </cell>
          <cell r="E3658">
            <v>48828</v>
          </cell>
          <cell r="F3658">
            <v>8801</v>
          </cell>
          <cell r="J3658">
            <v>1937517.6922247806</v>
          </cell>
          <cell r="K3658">
            <v>1.1689000000000001</v>
          </cell>
          <cell r="L3658">
            <v>48828</v>
          </cell>
          <cell r="M3658">
            <v>8801</v>
          </cell>
          <cell r="N3658">
            <v>459768.01503500581</v>
          </cell>
          <cell r="O3658">
            <v>465506.7681066434</v>
          </cell>
          <cell r="P3658">
            <v>260.53750000000002</v>
          </cell>
        </row>
        <row r="3659">
          <cell r="B3659">
            <v>36019</v>
          </cell>
          <cell r="C3659">
            <v>2.0885940000000001</v>
          </cell>
          <cell r="D3659">
            <v>1.17</v>
          </cell>
          <cell r="E3659">
            <v>46739</v>
          </cell>
          <cell r="F3659">
            <v>8417</v>
          </cell>
          <cell r="J3659">
            <v>1938866.588167072</v>
          </cell>
          <cell r="K3659">
            <v>1.17</v>
          </cell>
          <cell r="L3659">
            <v>46739</v>
          </cell>
          <cell r="M3659">
            <v>8417</v>
          </cell>
          <cell r="N3659">
            <v>459768.01503500581</v>
          </cell>
          <cell r="O3659">
            <v>465506.7681066434</v>
          </cell>
          <cell r="P3659">
            <v>260.53750000000002</v>
          </cell>
        </row>
        <row r="3660">
          <cell r="B3660">
            <v>36020</v>
          </cell>
          <cell r="C3660">
            <v>2.0875940000000002</v>
          </cell>
          <cell r="D3660">
            <v>1.1716</v>
          </cell>
          <cell r="E3660">
            <v>48037</v>
          </cell>
          <cell r="F3660">
            <v>8710</v>
          </cell>
          <cell r="J3660">
            <v>1940215.7769191579</v>
          </cell>
          <cell r="K3660">
            <v>1.1716</v>
          </cell>
          <cell r="L3660">
            <v>48037</v>
          </cell>
          <cell r="M3660">
            <v>8710</v>
          </cell>
          <cell r="N3660">
            <v>459768.01503500581</v>
          </cell>
          <cell r="O3660">
            <v>465506.7681066434</v>
          </cell>
          <cell r="P3660">
            <v>260.53750000000002</v>
          </cell>
        </row>
        <row r="3661">
          <cell r="B3661">
            <v>36021</v>
          </cell>
          <cell r="C3661">
            <v>2.0855950000000001</v>
          </cell>
          <cell r="D3661">
            <v>1.1716</v>
          </cell>
          <cell r="E3661">
            <v>48762</v>
          </cell>
          <cell r="F3661">
            <v>8743</v>
          </cell>
          <cell r="J3661">
            <v>1941564.6116935795</v>
          </cell>
          <cell r="K3661">
            <v>1.1716</v>
          </cell>
          <cell r="L3661">
            <v>48762</v>
          </cell>
          <cell r="M3661">
            <v>8743</v>
          </cell>
          <cell r="N3661">
            <v>459768.01503500581</v>
          </cell>
          <cell r="O3661">
            <v>465506.7681066434</v>
          </cell>
          <cell r="P3661">
            <v>260.53750000000002</v>
          </cell>
        </row>
        <row r="3662">
          <cell r="B3662">
            <v>36024</v>
          </cell>
          <cell r="C3662">
            <v>2.0875940000000002</v>
          </cell>
          <cell r="D3662">
            <v>1.173</v>
          </cell>
          <cell r="E3662">
            <v>48121</v>
          </cell>
          <cell r="F3662">
            <v>8609</v>
          </cell>
          <cell r="J3662">
            <v>1942915.6779049074</v>
          </cell>
          <cell r="K3662">
            <v>1.173</v>
          </cell>
          <cell r="L3662">
            <v>48121</v>
          </cell>
          <cell r="M3662">
            <v>8609</v>
          </cell>
          <cell r="N3662">
            <v>459768.01503500581</v>
          </cell>
          <cell r="O3662">
            <v>465506.7681066434</v>
          </cell>
          <cell r="P3662">
            <v>260.53750000000002</v>
          </cell>
        </row>
        <row r="3663">
          <cell r="B3663">
            <v>36025</v>
          </cell>
          <cell r="C3663">
            <v>2.0875940000000002</v>
          </cell>
          <cell r="D3663">
            <v>1.1738999999999999</v>
          </cell>
          <cell r="E3663">
            <v>48276</v>
          </cell>
          <cell r="F3663">
            <v>8642</v>
          </cell>
          <cell r="J3663">
            <v>1944267.6842754739</v>
          </cell>
          <cell r="K3663">
            <v>1.1738999999999999</v>
          </cell>
          <cell r="L3663">
            <v>48276</v>
          </cell>
          <cell r="M3663">
            <v>8642</v>
          </cell>
          <cell r="N3663">
            <v>459768.01503500581</v>
          </cell>
          <cell r="O3663">
            <v>465506.7681066434</v>
          </cell>
          <cell r="P3663">
            <v>260.53750000000002</v>
          </cell>
        </row>
        <row r="3664">
          <cell r="B3664">
            <v>36026</v>
          </cell>
          <cell r="C3664">
            <v>2.082595</v>
          </cell>
          <cell r="D3664">
            <v>1.1741999999999999</v>
          </cell>
          <cell r="E3664">
            <v>48442</v>
          </cell>
          <cell r="F3664">
            <v>8541</v>
          </cell>
          <cell r="J3664">
            <v>1945617.3916614517</v>
          </cell>
          <cell r="K3664">
            <v>1.1741999999999999</v>
          </cell>
          <cell r="L3664">
            <v>48442</v>
          </cell>
          <cell r="M3664">
            <v>8541</v>
          </cell>
          <cell r="N3664">
            <v>459768.01503500581</v>
          </cell>
          <cell r="O3664">
            <v>465506.7681066434</v>
          </cell>
          <cell r="P3664">
            <v>260.53750000000002</v>
          </cell>
        </row>
        <row r="3665">
          <cell r="B3665">
            <v>36027</v>
          </cell>
          <cell r="C3665">
            <v>2.0805940000000001</v>
          </cell>
          <cell r="D3665">
            <v>1.1738</v>
          </cell>
          <cell r="E3665">
            <v>46707</v>
          </cell>
          <cell r="F3665">
            <v>7991</v>
          </cell>
          <cell r="J3665">
            <v>1946966.7382852472</v>
          </cell>
          <cell r="K3665">
            <v>1.1738</v>
          </cell>
          <cell r="L3665">
            <v>46707</v>
          </cell>
          <cell r="M3665">
            <v>7991</v>
          </cell>
          <cell r="N3665">
            <v>459768.01503500581</v>
          </cell>
          <cell r="O3665">
            <v>465506.7681066434</v>
          </cell>
          <cell r="P3665">
            <v>260.53750000000002</v>
          </cell>
        </row>
        <row r="3666">
          <cell r="B3666">
            <v>36028</v>
          </cell>
          <cell r="C3666">
            <v>2.0785930000000001</v>
          </cell>
          <cell r="D3666">
            <v>1.1753</v>
          </cell>
          <cell r="E3666">
            <v>45370</v>
          </cell>
          <cell r="F3666">
            <v>7763</v>
          </cell>
          <cell r="J3666">
            <v>1948315.7220963913</v>
          </cell>
          <cell r="K3666">
            <v>1.1753</v>
          </cell>
          <cell r="L3666">
            <v>45370</v>
          </cell>
          <cell r="M3666">
            <v>7763</v>
          </cell>
          <cell r="N3666">
            <v>459768.01503500581</v>
          </cell>
          <cell r="O3666">
            <v>465506.7681066434</v>
          </cell>
          <cell r="P3666">
            <v>260.53750000000002</v>
          </cell>
        </row>
        <row r="3667">
          <cell r="B3667">
            <v>36031</v>
          </cell>
          <cell r="C3667">
            <v>2.0795940000000002</v>
          </cell>
          <cell r="D3667">
            <v>1.175</v>
          </cell>
          <cell r="E3667">
            <v>45098</v>
          </cell>
          <cell r="F3667">
            <v>7655</v>
          </cell>
          <cell r="J3667">
            <v>1949666.290658317</v>
          </cell>
          <cell r="K3667">
            <v>1.175</v>
          </cell>
          <cell r="L3667">
            <v>45098</v>
          </cell>
          <cell r="M3667">
            <v>7655</v>
          </cell>
          <cell r="N3667">
            <v>459768.01503500581</v>
          </cell>
          <cell r="O3667">
            <v>465506.7681066434</v>
          </cell>
          <cell r="P3667">
            <v>260.53750000000002</v>
          </cell>
        </row>
        <row r="3668">
          <cell r="B3668">
            <v>36032</v>
          </cell>
          <cell r="C3668">
            <v>2.0755910000000002</v>
          </cell>
          <cell r="D3668">
            <v>1.1747000000000001</v>
          </cell>
          <cell r="E3668">
            <v>45006</v>
          </cell>
          <cell r="F3668">
            <v>7648</v>
          </cell>
          <cell r="J3668">
            <v>1951015.1939269481</v>
          </cell>
          <cell r="K3668">
            <v>1.1747000000000001</v>
          </cell>
          <cell r="L3668">
            <v>45006</v>
          </cell>
          <cell r="M3668">
            <v>7648</v>
          </cell>
          <cell r="N3668">
            <v>459768.01503500581</v>
          </cell>
          <cell r="O3668">
            <v>465506.7681066434</v>
          </cell>
          <cell r="P3668">
            <v>260.53750000000002</v>
          </cell>
        </row>
        <row r="3669">
          <cell r="B3669">
            <v>36033</v>
          </cell>
          <cell r="C3669">
            <v>2.0755910000000002</v>
          </cell>
          <cell r="D3669">
            <v>1.1728000000000001</v>
          </cell>
          <cell r="E3669">
            <v>44260</v>
          </cell>
          <cell r="F3669">
            <v>7347</v>
          </cell>
          <cell r="J3669">
            <v>1952365.0304527406</v>
          </cell>
          <cell r="K3669">
            <v>1.1728000000000001</v>
          </cell>
          <cell r="L3669">
            <v>44260</v>
          </cell>
          <cell r="M3669">
            <v>7347</v>
          </cell>
          <cell r="N3669">
            <v>459768.01503500581</v>
          </cell>
          <cell r="O3669">
            <v>465506.7681066434</v>
          </cell>
          <cell r="P3669">
            <v>260.53750000000002</v>
          </cell>
        </row>
        <row r="3670">
          <cell r="B3670">
            <v>36034</v>
          </cell>
          <cell r="C3670">
            <v>2.0735899999999998</v>
          </cell>
          <cell r="D3670">
            <v>1.1753</v>
          </cell>
          <cell r="E3670">
            <v>41705</v>
          </cell>
          <cell r="F3670">
            <v>6616</v>
          </cell>
          <cell r="J3670">
            <v>1953714.4986539062</v>
          </cell>
          <cell r="K3670">
            <v>1.1753</v>
          </cell>
          <cell r="L3670">
            <v>41705</v>
          </cell>
          <cell r="M3670">
            <v>6616</v>
          </cell>
          <cell r="N3670">
            <v>459768.01503500581</v>
          </cell>
          <cell r="O3670">
            <v>465506.7681066434</v>
          </cell>
          <cell r="P3670">
            <v>260.53750000000002</v>
          </cell>
        </row>
        <row r="3671">
          <cell r="B3671">
            <v>36035</v>
          </cell>
          <cell r="C3671">
            <v>2.0675829999999999</v>
          </cell>
          <cell r="D3671">
            <v>1.1762999999999999</v>
          </cell>
          <cell r="E3671">
            <v>42290</v>
          </cell>
          <cell r="F3671">
            <v>6746</v>
          </cell>
          <cell r="J3671">
            <v>1955060.9876153297</v>
          </cell>
          <cell r="K3671">
            <v>1.1762999999999999</v>
          </cell>
          <cell r="L3671">
            <v>42290</v>
          </cell>
          <cell r="M3671">
            <v>6746</v>
          </cell>
          <cell r="N3671">
            <v>459768.01503500581</v>
          </cell>
          <cell r="O3671">
            <v>465506.7681066434</v>
          </cell>
          <cell r="P3671">
            <v>260.53750000000002</v>
          </cell>
        </row>
        <row r="3672">
          <cell r="B3672">
            <v>36038</v>
          </cell>
          <cell r="C3672">
            <v>2.070586</v>
          </cell>
          <cell r="D3672">
            <v>1.1769000000000001</v>
          </cell>
          <cell r="E3672">
            <v>41312</v>
          </cell>
          <cell r="F3672">
            <v>6472</v>
          </cell>
          <cell r="G3672">
            <v>0.17</v>
          </cell>
          <cell r="H3672">
            <v>0.16</v>
          </cell>
          <cell r="I3672">
            <v>262.82170000000002</v>
          </cell>
          <cell r="J3672">
            <v>1956410.361585364</v>
          </cell>
          <cell r="K3672">
            <v>1.1769000000000001</v>
          </cell>
          <cell r="L3672">
            <v>41312</v>
          </cell>
          <cell r="M3672">
            <v>6472</v>
          </cell>
          <cell r="N3672">
            <v>460549.62066056533</v>
          </cell>
          <cell r="O3672">
            <v>466251.57893561403</v>
          </cell>
          <cell r="P3672">
            <v>262.82170000000002</v>
          </cell>
        </row>
        <row r="3673">
          <cell r="B3673">
            <v>36039</v>
          </cell>
          <cell r="C3673">
            <v>2.0745909999999999</v>
          </cell>
          <cell r="D3673">
            <v>1.1772</v>
          </cell>
          <cell r="E3673">
            <v>42059</v>
          </cell>
          <cell r="F3673">
            <v>6917</v>
          </cell>
          <cell r="J3673">
            <v>1957763.2786948478</v>
          </cell>
          <cell r="K3673">
            <v>1.1772</v>
          </cell>
          <cell r="L3673">
            <v>42059</v>
          </cell>
          <cell r="M3673">
            <v>6917</v>
          </cell>
          <cell r="N3673">
            <v>460549.62066056533</v>
          </cell>
          <cell r="O3673">
            <v>466251.57893561403</v>
          </cell>
          <cell r="P3673">
            <v>262.82170000000002</v>
          </cell>
        </row>
        <row r="3674">
          <cell r="B3674">
            <v>36040</v>
          </cell>
          <cell r="C3674">
            <v>2.0765920000000002</v>
          </cell>
          <cell r="D3674">
            <v>1.1774</v>
          </cell>
          <cell r="E3674">
            <v>42130</v>
          </cell>
          <cell r="F3674">
            <v>6804</v>
          </cell>
          <cell r="J3674">
            <v>1959118.4372156584</v>
          </cell>
          <cell r="K3674">
            <v>1.1774</v>
          </cell>
          <cell r="L3674">
            <v>42130</v>
          </cell>
          <cell r="M3674">
            <v>6804</v>
          </cell>
          <cell r="N3674">
            <v>460549.62066056533</v>
          </cell>
          <cell r="O3674">
            <v>466251.57893561403</v>
          </cell>
          <cell r="P3674">
            <v>262.82170000000002</v>
          </cell>
        </row>
        <row r="3675">
          <cell r="B3675">
            <v>36041</v>
          </cell>
          <cell r="C3675">
            <v>2.0815939999999999</v>
          </cell>
          <cell r="D3675">
            <v>1.1779999999999999</v>
          </cell>
          <cell r="E3675">
            <v>39939</v>
          </cell>
          <cell r="F3675">
            <v>6218</v>
          </cell>
          <cell r="J3675">
            <v>1960477.8002770578</v>
          </cell>
          <cell r="K3675">
            <v>1.1779999999999999</v>
          </cell>
          <cell r="L3675">
            <v>39939</v>
          </cell>
          <cell r="M3675">
            <v>6218</v>
          </cell>
          <cell r="N3675">
            <v>460549.62066056533</v>
          </cell>
          <cell r="O3675">
            <v>466251.57893561403</v>
          </cell>
          <cell r="P3675">
            <v>262.82170000000002</v>
          </cell>
        </row>
        <row r="3676">
          <cell r="B3676">
            <v>36042</v>
          </cell>
          <cell r="C3676">
            <v>2.0985870000000002</v>
          </cell>
          <cell r="D3676">
            <v>1.1783999999999999</v>
          </cell>
          <cell r="E3676">
            <v>37656</v>
          </cell>
          <cell r="F3676">
            <v>5837</v>
          </cell>
          <cell r="J3676">
            <v>1961849.2113522079</v>
          </cell>
          <cell r="K3676">
            <v>1.1783999999999999</v>
          </cell>
          <cell r="L3676">
            <v>37656</v>
          </cell>
          <cell r="M3676">
            <v>5837</v>
          </cell>
          <cell r="N3676">
            <v>460549.62066056533</v>
          </cell>
          <cell r="O3676">
            <v>466251.57893561403</v>
          </cell>
          <cell r="P3676">
            <v>262.82170000000002</v>
          </cell>
        </row>
        <row r="3677">
          <cell r="B3677">
            <v>36046</v>
          </cell>
          <cell r="C3677">
            <v>3.1075810000000001</v>
          </cell>
          <cell r="D3677">
            <v>1.1769000000000001</v>
          </cell>
          <cell r="E3677">
            <v>38706</v>
          </cell>
          <cell r="F3677">
            <v>5816</v>
          </cell>
          <cell r="J3677">
            <v>1963881.4131302291</v>
          </cell>
          <cell r="K3677">
            <v>1.1769000000000001</v>
          </cell>
          <cell r="L3677">
            <v>38706</v>
          </cell>
          <cell r="M3677">
            <v>5816</v>
          </cell>
          <cell r="N3677">
            <v>460549.62066056533</v>
          </cell>
          <cell r="O3677">
            <v>466251.57893561403</v>
          </cell>
          <cell r="P3677">
            <v>262.82170000000002</v>
          </cell>
        </row>
        <row r="3678">
          <cell r="B3678">
            <v>36047</v>
          </cell>
          <cell r="C3678">
            <v>3.1707580000000002</v>
          </cell>
          <cell r="D3678">
            <v>1.1792</v>
          </cell>
          <cell r="E3678">
            <v>38325</v>
          </cell>
          <cell r="F3678">
            <v>5655</v>
          </cell>
          <cell r="J3678">
            <v>1965957.0773641407</v>
          </cell>
          <cell r="K3678">
            <v>1.1792</v>
          </cell>
          <cell r="L3678">
            <v>38325</v>
          </cell>
          <cell r="M3678">
            <v>5655</v>
          </cell>
          <cell r="N3678">
            <v>460549.62066056533</v>
          </cell>
          <cell r="O3678">
            <v>466251.57893561403</v>
          </cell>
          <cell r="P3678">
            <v>262.82170000000002</v>
          </cell>
        </row>
        <row r="3679">
          <cell r="B3679">
            <v>36048</v>
          </cell>
          <cell r="C3679">
            <v>3.217241</v>
          </cell>
          <cell r="D3679">
            <v>1.1794</v>
          </cell>
          <cell r="E3679">
            <v>35309</v>
          </cell>
          <cell r="F3679">
            <v>4760</v>
          </cell>
          <cell r="J3679">
            <v>1968065.3966019859</v>
          </cell>
          <cell r="K3679">
            <v>1.1794</v>
          </cell>
          <cell r="L3679">
            <v>35309</v>
          </cell>
          <cell r="M3679">
            <v>4760</v>
          </cell>
          <cell r="N3679">
            <v>460549.62066056533</v>
          </cell>
          <cell r="O3679">
            <v>466251.57893561403</v>
          </cell>
          <cell r="P3679">
            <v>262.82170000000002</v>
          </cell>
        </row>
        <row r="3680">
          <cell r="B3680">
            <v>36049</v>
          </cell>
          <cell r="C3680">
            <v>4.183268</v>
          </cell>
          <cell r="D3680">
            <v>1.1793</v>
          </cell>
          <cell r="E3680">
            <v>37447</v>
          </cell>
          <cell r="F3680">
            <v>5398</v>
          </cell>
          <cell r="J3680">
            <v>1970809.7116004901</v>
          </cell>
          <cell r="K3680">
            <v>1.1793</v>
          </cell>
          <cell r="L3680">
            <v>37447</v>
          </cell>
          <cell r="M3680">
            <v>5398</v>
          </cell>
          <cell r="N3680">
            <v>460549.62066056533</v>
          </cell>
          <cell r="O3680">
            <v>466251.57893561403</v>
          </cell>
          <cell r="P3680">
            <v>262.82170000000002</v>
          </cell>
        </row>
        <row r="3681">
          <cell r="B3681">
            <v>36052</v>
          </cell>
          <cell r="C3681">
            <v>4.0711409999999999</v>
          </cell>
          <cell r="D3681">
            <v>1.1802999999999999</v>
          </cell>
          <cell r="E3681">
            <v>38956</v>
          </cell>
          <cell r="F3681">
            <v>5818</v>
          </cell>
          <cell r="J3681">
            <v>1973484.1930071884</v>
          </cell>
          <cell r="K3681">
            <v>1.1802999999999999</v>
          </cell>
          <cell r="L3681">
            <v>38956</v>
          </cell>
          <cell r="M3681">
            <v>5818</v>
          </cell>
          <cell r="N3681">
            <v>460549.62066056533</v>
          </cell>
          <cell r="O3681">
            <v>466251.57893561403</v>
          </cell>
          <cell r="P3681">
            <v>262.82170000000002</v>
          </cell>
        </row>
        <row r="3682">
          <cell r="B3682">
            <v>36053</v>
          </cell>
          <cell r="C3682">
            <v>3.9784579999999998</v>
          </cell>
          <cell r="D3682">
            <v>1.1798</v>
          </cell>
          <cell r="E3682">
            <v>42126</v>
          </cell>
          <cell r="F3682">
            <v>6905</v>
          </cell>
          <cell r="J3682">
            <v>1976101.3343323693</v>
          </cell>
          <cell r="K3682">
            <v>1.1798</v>
          </cell>
          <cell r="L3682">
            <v>42126</v>
          </cell>
          <cell r="M3682">
            <v>6905</v>
          </cell>
          <cell r="N3682">
            <v>460549.62066056533</v>
          </cell>
          <cell r="O3682">
            <v>466251.57893561403</v>
          </cell>
          <cell r="P3682">
            <v>262.82170000000002</v>
          </cell>
        </row>
        <row r="3683">
          <cell r="B3683">
            <v>36054</v>
          </cell>
          <cell r="C3683">
            <v>3.9314179999999999</v>
          </cell>
          <cell r="D3683">
            <v>1.1796</v>
          </cell>
          <cell r="E3683">
            <v>41517</v>
          </cell>
          <cell r="F3683">
            <v>6759</v>
          </cell>
          <cell r="J3683">
            <v>1978690.9611175752</v>
          </cell>
          <cell r="K3683">
            <v>1.1796</v>
          </cell>
          <cell r="L3683">
            <v>41517</v>
          </cell>
          <cell r="M3683">
            <v>6759</v>
          </cell>
          <cell r="N3683">
            <v>460549.62066056533</v>
          </cell>
          <cell r="O3683">
            <v>466251.57893561403</v>
          </cell>
          <cell r="P3683">
            <v>262.82170000000002</v>
          </cell>
        </row>
        <row r="3684">
          <cell r="B3684">
            <v>36055</v>
          </cell>
          <cell r="C3684">
            <v>3.9459770000000001</v>
          </cell>
          <cell r="D3684">
            <v>1.1800999999999999</v>
          </cell>
          <cell r="E3684">
            <v>39933</v>
          </cell>
          <cell r="F3684">
            <v>6432</v>
          </cell>
          <cell r="J3684">
            <v>1981293.5841251346</v>
          </cell>
          <cell r="K3684">
            <v>1.1800999999999999</v>
          </cell>
          <cell r="L3684">
            <v>39933</v>
          </cell>
          <cell r="M3684">
            <v>6432</v>
          </cell>
          <cell r="N3684">
            <v>460549.62066056533</v>
          </cell>
          <cell r="O3684">
            <v>466251.57893561403</v>
          </cell>
          <cell r="P3684">
            <v>262.82170000000002</v>
          </cell>
        </row>
        <row r="3685">
          <cell r="B3685">
            <v>36056</v>
          </cell>
          <cell r="C3685">
            <v>3.9511120000000002</v>
          </cell>
          <cell r="D3685">
            <v>1.1808000000000001</v>
          </cell>
          <cell r="E3685">
            <v>40243</v>
          </cell>
          <cell r="F3685">
            <v>6709</v>
          </cell>
          <cell r="J3685">
            <v>1983903.0217437213</v>
          </cell>
          <cell r="K3685">
            <v>1.1808000000000001</v>
          </cell>
          <cell r="L3685">
            <v>40243</v>
          </cell>
          <cell r="M3685">
            <v>6709</v>
          </cell>
          <cell r="N3685">
            <v>460549.62066056533</v>
          </cell>
          <cell r="O3685">
            <v>466251.57893561403</v>
          </cell>
          <cell r="P3685">
            <v>262.82170000000002</v>
          </cell>
        </row>
        <row r="3686">
          <cell r="B3686">
            <v>36059</v>
          </cell>
          <cell r="C3686">
            <v>3.998075</v>
          </cell>
          <cell r="D3686">
            <v>1.1816</v>
          </cell>
          <cell r="E3686">
            <v>39968</v>
          </cell>
          <cell r="F3686">
            <v>6449</v>
          </cell>
          <cell r="J3686">
            <v>1986546.9527682741</v>
          </cell>
          <cell r="K3686">
            <v>1.1816</v>
          </cell>
          <cell r="L3686">
            <v>39968</v>
          </cell>
          <cell r="M3686">
            <v>6449</v>
          </cell>
          <cell r="N3686">
            <v>460549.62066056533</v>
          </cell>
          <cell r="O3686">
            <v>466251.57893561403</v>
          </cell>
          <cell r="P3686">
            <v>262.82170000000002</v>
          </cell>
        </row>
        <row r="3687">
          <cell r="B3687">
            <v>36060</v>
          </cell>
          <cell r="C3687">
            <v>3.998075</v>
          </cell>
          <cell r="D3687">
            <v>1.1830000000000001</v>
          </cell>
          <cell r="E3687">
            <v>39836</v>
          </cell>
          <cell r="F3687">
            <v>6559</v>
          </cell>
          <cell r="J3687">
            <v>1989194.4073376704</v>
          </cell>
          <cell r="K3687">
            <v>1.1830000000000001</v>
          </cell>
          <cell r="L3687">
            <v>39836</v>
          </cell>
          <cell r="M3687">
            <v>6559</v>
          </cell>
          <cell r="N3687">
            <v>460549.62066056533</v>
          </cell>
          <cell r="O3687">
            <v>466251.57893561403</v>
          </cell>
          <cell r="P3687">
            <v>262.82170000000002</v>
          </cell>
        </row>
        <row r="3688">
          <cell r="B3688">
            <v>36061</v>
          </cell>
          <cell r="C3688">
            <v>3.997223</v>
          </cell>
          <cell r="D3688">
            <v>1.1839</v>
          </cell>
          <cell r="E3688">
            <v>41102</v>
          </cell>
          <cell r="F3688">
            <v>7280</v>
          </cell>
          <cell r="J3688">
            <v>1991844.8252164978</v>
          </cell>
          <cell r="K3688">
            <v>1.1839</v>
          </cell>
          <cell r="L3688">
            <v>41102</v>
          </cell>
          <cell r="M3688">
            <v>7280</v>
          </cell>
          <cell r="N3688">
            <v>460549.62066056533</v>
          </cell>
          <cell r="O3688">
            <v>466251.57893561403</v>
          </cell>
          <cell r="P3688">
            <v>262.82170000000002</v>
          </cell>
        </row>
        <row r="3689">
          <cell r="B3689">
            <v>36062</v>
          </cell>
          <cell r="C3689">
            <v>3.953678</v>
          </cell>
          <cell r="D3689">
            <v>1.1835</v>
          </cell>
          <cell r="E3689">
            <v>39556</v>
          </cell>
          <cell r="F3689">
            <v>6844</v>
          </cell>
          <cell r="J3689">
            <v>1994469.8629047885</v>
          </cell>
          <cell r="K3689">
            <v>1.1835</v>
          </cell>
          <cell r="L3689">
            <v>39556</v>
          </cell>
          <cell r="M3689">
            <v>6844</v>
          </cell>
          <cell r="N3689">
            <v>460549.62066056533</v>
          </cell>
          <cell r="O3689">
            <v>466251.57893561403</v>
          </cell>
          <cell r="P3689">
            <v>262.82170000000002</v>
          </cell>
        </row>
        <row r="3690">
          <cell r="B3690">
            <v>36063</v>
          </cell>
          <cell r="C3690">
            <v>4.0065939999999998</v>
          </cell>
          <cell r="D3690">
            <v>1.1848000000000001</v>
          </cell>
          <cell r="E3690">
            <v>39131</v>
          </cell>
          <cell r="F3690">
            <v>6711</v>
          </cell>
          <cell r="J3690">
            <v>1997133.5399000871</v>
          </cell>
          <cell r="K3690">
            <v>1.1848000000000001</v>
          </cell>
          <cell r="L3690">
            <v>39131</v>
          </cell>
          <cell r="M3690">
            <v>6711</v>
          </cell>
          <cell r="N3690">
            <v>460549.62066056533</v>
          </cell>
          <cell r="O3690">
            <v>466251.57893561403</v>
          </cell>
          <cell r="P3690">
            <v>262.82170000000002</v>
          </cell>
        </row>
        <row r="3691">
          <cell r="B3691">
            <v>36066</v>
          </cell>
          <cell r="C3691">
            <v>4.0142559999999996</v>
          </cell>
          <cell r="D3691">
            <v>1.1849000000000001</v>
          </cell>
          <cell r="E3691">
            <v>39411</v>
          </cell>
          <cell r="F3691">
            <v>6827</v>
          </cell>
          <cell r="J3691">
            <v>1999805.8749985355</v>
          </cell>
          <cell r="K3691">
            <v>1.1849000000000001</v>
          </cell>
          <cell r="L3691">
            <v>39411</v>
          </cell>
          <cell r="M3691">
            <v>6827</v>
          </cell>
          <cell r="N3691">
            <v>460549.62066056533</v>
          </cell>
          <cell r="O3691">
            <v>466251.57893561403</v>
          </cell>
          <cell r="P3691">
            <v>262.82170000000002</v>
          </cell>
        </row>
        <row r="3692">
          <cell r="B3692">
            <v>36067</v>
          </cell>
          <cell r="C3692">
            <v>4.019361</v>
          </cell>
          <cell r="D3692">
            <v>1.1850000000000001</v>
          </cell>
          <cell r="E3692">
            <v>39608</v>
          </cell>
          <cell r="F3692">
            <v>6868</v>
          </cell>
          <cell r="J3692">
            <v>2002485.1889123821</v>
          </cell>
          <cell r="K3692">
            <v>1.1850000000000001</v>
          </cell>
          <cell r="L3692">
            <v>39608</v>
          </cell>
          <cell r="M3692">
            <v>6868</v>
          </cell>
          <cell r="N3692">
            <v>460549.62066056533</v>
          </cell>
          <cell r="O3692">
            <v>466251.57893561403</v>
          </cell>
          <cell r="P3692">
            <v>262.82170000000002</v>
          </cell>
        </row>
        <row r="3693">
          <cell r="B3693">
            <v>36068</v>
          </cell>
          <cell r="C3693">
            <v>4.0295649999999998</v>
          </cell>
          <cell r="D3693">
            <v>1.1857</v>
          </cell>
          <cell r="E3693">
            <v>39418</v>
          </cell>
          <cell r="F3693">
            <v>6593</v>
          </cell>
          <cell r="G3693">
            <v>0.02</v>
          </cell>
          <cell r="H3693">
            <v>0.08</v>
          </cell>
          <cell r="I3693">
            <v>265.3279</v>
          </cell>
          <cell r="J3693">
            <v>2005174.9036558019</v>
          </cell>
          <cell r="K3693">
            <v>1.1857</v>
          </cell>
          <cell r="L3693">
            <v>39418</v>
          </cell>
          <cell r="M3693">
            <v>6593</v>
          </cell>
          <cell r="N3693">
            <v>460641.73058469745</v>
          </cell>
          <cell r="O3693">
            <v>466624.58019876247</v>
          </cell>
          <cell r="P3693">
            <v>265.3279</v>
          </cell>
        </row>
        <row r="3694">
          <cell r="B3694">
            <v>36069</v>
          </cell>
          <cell r="C3694">
            <v>4.0448550000000001</v>
          </cell>
          <cell r="D3694">
            <v>1.1807000000000001</v>
          </cell>
          <cell r="E3694">
            <v>37307</v>
          </cell>
          <cell r="F3694">
            <v>5960</v>
          </cell>
          <cell r="J3694">
            <v>2007878.4509007775</v>
          </cell>
          <cell r="K3694">
            <v>1.1807000000000001</v>
          </cell>
          <cell r="L3694">
            <v>37307</v>
          </cell>
          <cell r="M3694">
            <v>5960</v>
          </cell>
          <cell r="N3694">
            <v>460641.73058469745</v>
          </cell>
          <cell r="O3694">
            <v>466624.58019876247</v>
          </cell>
          <cell r="P3694">
            <v>265.3279</v>
          </cell>
        </row>
        <row r="3695">
          <cell r="B3695">
            <v>36070</v>
          </cell>
          <cell r="C3695">
            <v>4.0507949999999999</v>
          </cell>
          <cell r="D3695">
            <v>1.1836</v>
          </cell>
          <cell r="E3695">
            <v>38541</v>
          </cell>
          <cell r="F3695">
            <v>6409</v>
          </cell>
          <cell r="J3695">
            <v>2010589.6188972828</v>
          </cell>
          <cell r="K3695">
            <v>1.1836</v>
          </cell>
          <cell r="L3695">
            <v>38541</v>
          </cell>
          <cell r="M3695">
            <v>6409</v>
          </cell>
          <cell r="N3695">
            <v>460641.73058469745</v>
          </cell>
          <cell r="O3695">
            <v>466624.58019876247</v>
          </cell>
          <cell r="P3695">
            <v>265.3279</v>
          </cell>
        </row>
        <row r="3696">
          <cell r="B3696">
            <v>36073</v>
          </cell>
          <cell r="C3696">
            <v>4.0643630000000002</v>
          </cell>
          <cell r="D3696">
            <v>1.1850000000000001</v>
          </cell>
          <cell r="E3696">
            <v>37613</v>
          </cell>
          <cell r="F3696">
            <v>6122</v>
          </cell>
          <cell r="J3696">
            <v>2013313.5409156927</v>
          </cell>
          <cell r="K3696">
            <v>1.1850000000000001</v>
          </cell>
          <cell r="L3696">
            <v>37613</v>
          </cell>
          <cell r="M3696">
            <v>6122</v>
          </cell>
          <cell r="N3696">
            <v>460641.73058469745</v>
          </cell>
          <cell r="O3696">
            <v>466624.58019876247</v>
          </cell>
          <cell r="P3696">
            <v>265.3279</v>
          </cell>
        </row>
        <row r="3697">
          <cell r="B3697">
            <v>36074</v>
          </cell>
          <cell r="C3697">
            <v>4.0702939999999996</v>
          </cell>
          <cell r="D3697">
            <v>1.1849000000000001</v>
          </cell>
          <cell r="E3697">
            <v>38009</v>
          </cell>
          <cell r="F3697">
            <v>6336</v>
          </cell>
          <cell r="J3697">
            <v>2016045.1335909285</v>
          </cell>
          <cell r="K3697">
            <v>1.1849000000000001</v>
          </cell>
          <cell r="L3697">
            <v>38009</v>
          </cell>
          <cell r="M3697">
            <v>6336</v>
          </cell>
          <cell r="N3697">
            <v>460641.73058469745</v>
          </cell>
          <cell r="O3697">
            <v>466624.58019876247</v>
          </cell>
          <cell r="P3697">
            <v>265.3279</v>
          </cell>
        </row>
        <row r="3698">
          <cell r="B3698">
            <v>36075</v>
          </cell>
          <cell r="C3698">
            <v>4.0677529999999997</v>
          </cell>
          <cell r="D3698">
            <v>1.1831</v>
          </cell>
          <cell r="E3698">
            <v>37623</v>
          </cell>
          <cell r="F3698">
            <v>6156</v>
          </cell>
          <cell r="J3698">
            <v>2018778.7248043618</v>
          </cell>
          <cell r="K3698">
            <v>1.1831</v>
          </cell>
          <cell r="L3698">
            <v>37623</v>
          </cell>
          <cell r="M3698">
            <v>6156</v>
          </cell>
          <cell r="N3698">
            <v>460641.73058469745</v>
          </cell>
          <cell r="O3698">
            <v>466624.58019876247</v>
          </cell>
          <cell r="P3698">
            <v>265.3279</v>
          </cell>
        </row>
        <row r="3699">
          <cell r="B3699">
            <v>36076</v>
          </cell>
          <cell r="C3699">
            <v>4.0829940000000002</v>
          </cell>
          <cell r="D3699">
            <v>1.1846000000000001</v>
          </cell>
          <cell r="E3699">
            <v>36858</v>
          </cell>
          <cell r="F3699">
            <v>6175</v>
          </cell>
          <cell r="J3699">
            <v>2021526.278611263</v>
          </cell>
          <cell r="K3699">
            <v>1.1846000000000001</v>
          </cell>
          <cell r="L3699">
            <v>36858</v>
          </cell>
          <cell r="M3699">
            <v>6175</v>
          </cell>
          <cell r="N3699">
            <v>460641.73058469745</v>
          </cell>
          <cell r="O3699">
            <v>466624.58019876247</v>
          </cell>
          <cell r="P3699">
            <v>265.3279</v>
          </cell>
        </row>
        <row r="3700">
          <cell r="B3700">
            <v>36077</v>
          </cell>
          <cell r="C3700">
            <v>4.0931430000000004</v>
          </cell>
          <cell r="D3700">
            <v>1.1867000000000001</v>
          </cell>
          <cell r="E3700">
            <v>37299</v>
          </cell>
          <cell r="F3700">
            <v>6527</v>
          </cell>
          <cell r="J3700">
            <v>2024284.4106568007</v>
          </cell>
          <cell r="K3700">
            <v>1.1867000000000001</v>
          </cell>
          <cell r="L3700">
            <v>37299</v>
          </cell>
          <cell r="M3700">
            <v>6527</v>
          </cell>
          <cell r="N3700">
            <v>460641.73058469745</v>
          </cell>
          <cell r="O3700">
            <v>466624.58019876247</v>
          </cell>
          <cell r="P3700">
            <v>265.3279</v>
          </cell>
        </row>
        <row r="3701">
          <cell r="B3701">
            <v>36081</v>
          </cell>
          <cell r="C3701">
            <v>4.1032849999999996</v>
          </cell>
          <cell r="D3701">
            <v>1.1877</v>
          </cell>
          <cell r="E3701">
            <v>37340</v>
          </cell>
          <cell r="F3701">
            <v>6618</v>
          </cell>
          <cell r="J3701">
            <v>2027053.1492761283</v>
          </cell>
          <cell r="K3701">
            <v>1.1877</v>
          </cell>
          <cell r="L3701">
            <v>37340</v>
          </cell>
          <cell r="M3701">
            <v>6618</v>
          </cell>
          <cell r="N3701">
            <v>460641.73058469745</v>
          </cell>
          <cell r="O3701">
            <v>466624.58019876247</v>
          </cell>
          <cell r="P3701">
            <v>265.3279</v>
          </cell>
        </row>
        <row r="3702">
          <cell r="B3702">
            <v>36082</v>
          </cell>
          <cell r="C3702">
            <v>4.1167930000000004</v>
          </cell>
          <cell r="D3702">
            <v>1.1888000000000001</v>
          </cell>
          <cell r="E3702">
            <v>36771</v>
          </cell>
          <cell r="F3702">
            <v>6445</v>
          </cell>
          <cell r="J3702">
            <v>2029834.802014651</v>
          </cell>
          <cell r="K3702">
            <v>1.1888000000000001</v>
          </cell>
          <cell r="L3702">
            <v>36771</v>
          </cell>
          <cell r="M3702">
            <v>6445</v>
          </cell>
          <cell r="N3702">
            <v>460641.73058469745</v>
          </cell>
          <cell r="O3702">
            <v>466624.58019876247</v>
          </cell>
          <cell r="P3702">
            <v>265.3279</v>
          </cell>
        </row>
        <row r="3703">
          <cell r="B3703">
            <v>36083</v>
          </cell>
          <cell r="C3703">
            <v>4.1252279999999999</v>
          </cell>
          <cell r="D3703">
            <v>1.1886000000000001</v>
          </cell>
          <cell r="E3703">
            <v>37627</v>
          </cell>
          <cell r="F3703">
            <v>6874</v>
          </cell>
          <cell r="J3703">
            <v>2032625.979134866</v>
          </cell>
          <cell r="K3703">
            <v>1.1886000000000001</v>
          </cell>
          <cell r="L3703">
            <v>37627</v>
          </cell>
          <cell r="M3703">
            <v>6874</v>
          </cell>
          <cell r="N3703">
            <v>460641.73058469745</v>
          </cell>
          <cell r="O3703">
            <v>466624.58019876247</v>
          </cell>
          <cell r="P3703">
            <v>265.3279</v>
          </cell>
        </row>
        <row r="3704">
          <cell r="B3704">
            <v>36084</v>
          </cell>
          <cell r="C3704">
            <v>4.1277569999999999</v>
          </cell>
          <cell r="D3704">
            <v>1.1888000000000001</v>
          </cell>
          <cell r="E3704">
            <v>38104</v>
          </cell>
          <cell r="F3704">
            <v>6707</v>
          </cell>
          <cell r="J3704">
            <v>2035422.7078394513</v>
          </cell>
          <cell r="K3704">
            <v>1.1888000000000001</v>
          </cell>
          <cell r="L3704">
            <v>38104</v>
          </cell>
          <cell r="M3704">
            <v>6707</v>
          </cell>
          <cell r="N3704">
            <v>460641.73058469745</v>
          </cell>
          <cell r="O3704">
            <v>466624.58019876247</v>
          </cell>
          <cell r="P3704">
            <v>265.3279</v>
          </cell>
        </row>
        <row r="3705">
          <cell r="B3705">
            <v>36087</v>
          </cell>
          <cell r="C3705">
            <v>4.1328139999999998</v>
          </cell>
          <cell r="D3705">
            <v>1.1899</v>
          </cell>
          <cell r="E3705">
            <v>38246</v>
          </cell>
          <cell r="F3705">
            <v>6844</v>
          </cell>
          <cell r="J3705">
            <v>2038226.7156604102</v>
          </cell>
          <cell r="K3705">
            <v>1.1899</v>
          </cell>
          <cell r="L3705">
            <v>38246</v>
          </cell>
          <cell r="M3705">
            <v>6844</v>
          </cell>
          <cell r="N3705">
            <v>460641.73058469745</v>
          </cell>
          <cell r="O3705">
            <v>466624.58019876247</v>
          </cell>
          <cell r="P3705">
            <v>265.3279</v>
          </cell>
        </row>
        <row r="3706">
          <cell r="B3706">
            <v>36088</v>
          </cell>
          <cell r="C3706">
            <v>4.1395540000000004</v>
          </cell>
          <cell r="D3706">
            <v>1.1896</v>
          </cell>
          <cell r="E3706">
            <v>38427</v>
          </cell>
          <cell r="F3706">
            <v>6973</v>
          </cell>
          <cell r="J3706">
            <v>2041039.16551165</v>
          </cell>
          <cell r="K3706">
            <v>1.1896</v>
          </cell>
          <cell r="L3706">
            <v>38427</v>
          </cell>
          <cell r="M3706">
            <v>6973</v>
          </cell>
          <cell r="N3706">
            <v>460641.73058469745</v>
          </cell>
          <cell r="O3706">
            <v>466624.58019876247</v>
          </cell>
          <cell r="P3706">
            <v>265.3279</v>
          </cell>
        </row>
        <row r="3707">
          <cell r="B3707">
            <v>36089</v>
          </cell>
          <cell r="C3707">
            <v>4.1513390000000001</v>
          </cell>
          <cell r="D3707">
            <v>1.1899</v>
          </cell>
          <cell r="E3707">
            <v>39528</v>
          </cell>
          <cell r="F3707">
            <v>7350</v>
          </cell>
          <cell r="J3707">
            <v>2043863.5140077553</v>
          </cell>
          <cell r="K3707">
            <v>1.1899</v>
          </cell>
          <cell r="L3707">
            <v>39528</v>
          </cell>
          <cell r="M3707">
            <v>7350</v>
          </cell>
          <cell r="N3707">
            <v>460641.73058469745</v>
          </cell>
          <cell r="O3707">
            <v>466624.58019876247</v>
          </cell>
          <cell r="P3707">
            <v>265.3279</v>
          </cell>
        </row>
        <row r="3708">
          <cell r="B3708">
            <v>36090</v>
          </cell>
          <cell r="C3708">
            <v>4.1530209999999999</v>
          </cell>
          <cell r="D3708">
            <v>1.1904999999999999</v>
          </cell>
          <cell r="E3708">
            <v>40242</v>
          </cell>
          <cell r="F3708">
            <v>7603</v>
          </cell>
          <cell r="J3708">
            <v>2046692.9167060247</v>
          </cell>
          <cell r="K3708">
            <v>1.1904999999999999</v>
          </cell>
          <cell r="L3708">
            <v>40242</v>
          </cell>
          <cell r="M3708">
            <v>7603</v>
          </cell>
          <cell r="N3708">
            <v>460641.73058469745</v>
          </cell>
          <cell r="O3708">
            <v>466624.58019876247</v>
          </cell>
          <cell r="P3708">
            <v>265.3279</v>
          </cell>
        </row>
        <row r="3709">
          <cell r="B3709">
            <v>36091</v>
          </cell>
          <cell r="C3709">
            <v>4.1589080000000003</v>
          </cell>
          <cell r="D3709">
            <v>1.1911</v>
          </cell>
          <cell r="E3709">
            <v>39639</v>
          </cell>
          <cell r="F3709">
            <v>7272</v>
          </cell>
          <cell r="J3709">
            <v>2049530.2525543021</v>
          </cell>
          <cell r="K3709">
            <v>1.1911</v>
          </cell>
          <cell r="L3709">
            <v>39639</v>
          </cell>
          <cell r="M3709">
            <v>7272</v>
          </cell>
          <cell r="N3709">
            <v>460641.73058469745</v>
          </cell>
          <cell r="O3709">
            <v>466624.58019876247</v>
          </cell>
          <cell r="P3709">
            <v>265.3279</v>
          </cell>
        </row>
        <row r="3710">
          <cell r="B3710">
            <v>36094</v>
          </cell>
          <cell r="C3710">
            <v>4.1664729999999999</v>
          </cell>
          <cell r="D3710">
            <v>1.1913</v>
          </cell>
          <cell r="E3710">
            <v>39002</v>
          </cell>
          <cell r="F3710">
            <v>6971</v>
          </cell>
          <cell r="J3710">
            <v>2052376.6900409523</v>
          </cell>
          <cell r="K3710">
            <v>1.1913</v>
          </cell>
          <cell r="L3710">
            <v>39002</v>
          </cell>
          <cell r="M3710">
            <v>6971</v>
          </cell>
          <cell r="N3710">
            <v>460641.73058469745</v>
          </cell>
          <cell r="O3710">
            <v>466624.58019876247</v>
          </cell>
          <cell r="P3710">
            <v>265.3279</v>
          </cell>
        </row>
        <row r="3711">
          <cell r="B3711">
            <v>36095</v>
          </cell>
          <cell r="C3711">
            <v>4.1689939999999996</v>
          </cell>
          <cell r="D3711">
            <v>1.1920999999999999</v>
          </cell>
          <cell r="E3711">
            <v>38495</v>
          </cell>
          <cell r="F3711">
            <v>6869</v>
          </cell>
          <cell r="J3711">
            <v>2055228.8054097926</v>
          </cell>
          <cell r="K3711">
            <v>1.1920999999999999</v>
          </cell>
          <cell r="L3711">
            <v>38495</v>
          </cell>
          <cell r="M3711">
            <v>6869</v>
          </cell>
          <cell r="N3711">
            <v>460641.73058469745</v>
          </cell>
          <cell r="O3711">
            <v>466624.58019876247</v>
          </cell>
          <cell r="P3711">
            <v>265.3279</v>
          </cell>
        </row>
        <row r="3712">
          <cell r="B3712">
            <v>36096</v>
          </cell>
          <cell r="C3712">
            <v>4.1723540000000003</v>
          </cell>
          <cell r="D3712">
            <v>1.1923999999999999</v>
          </cell>
          <cell r="E3712">
            <v>38666</v>
          </cell>
          <cell r="F3712">
            <v>6826</v>
          </cell>
          <cell r="J3712">
            <v>2058087.1861188484</v>
          </cell>
          <cell r="K3712">
            <v>1.1923999999999999</v>
          </cell>
          <cell r="L3712">
            <v>38666</v>
          </cell>
          <cell r="M3712">
            <v>6826</v>
          </cell>
          <cell r="N3712">
            <v>460641.73058469745</v>
          </cell>
          <cell r="O3712">
            <v>466624.58019876247</v>
          </cell>
          <cell r="P3712">
            <v>265.3279</v>
          </cell>
        </row>
        <row r="3713">
          <cell r="B3713">
            <v>36097</v>
          </cell>
          <cell r="C3713">
            <v>4.1824279999999998</v>
          </cell>
          <cell r="D3713">
            <v>1.1921999999999999</v>
          </cell>
          <cell r="E3713">
            <v>37865</v>
          </cell>
          <cell r="F3713">
            <v>6538</v>
          </cell>
          <cell r="J3713">
            <v>2060956.4532767364</v>
          </cell>
          <cell r="K3713">
            <v>1.1921999999999999</v>
          </cell>
          <cell r="L3713">
            <v>37865</v>
          </cell>
          <cell r="M3713">
            <v>6538</v>
          </cell>
          <cell r="N3713">
            <v>460641.73058469745</v>
          </cell>
          <cell r="O3713">
            <v>466624.58019876247</v>
          </cell>
          <cell r="P3713">
            <v>265.3279</v>
          </cell>
        </row>
        <row r="3714">
          <cell r="B3714">
            <v>36098</v>
          </cell>
          <cell r="C3714">
            <v>4.187462</v>
          </cell>
          <cell r="D3714">
            <v>1.1932</v>
          </cell>
          <cell r="E3714">
            <v>39095</v>
          </cell>
          <cell r="F3714">
            <v>7047</v>
          </cell>
          <cell r="G3714">
            <v>0.03</v>
          </cell>
          <cell r="H3714">
            <v>0.08</v>
          </cell>
          <cell r="I3714">
            <v>269.02550000000002</v>
          </cell>
          <cell r="J3714">
            <v>2063833.1788873202</v>
          </cell>
          <cell r="K3714">
            <v>1.1932</v>
          </cell>
          <cell r="L3714">
            <v>39095</v>
          </cell>
          <cell r="M3714">
            <v>7047</v>
          </cell>
          <cell r="N3714">
            <v>460779.92310387286</v>
          </cell>
          <cell r="O3714">
            <v>466997.87986292143</v>
          </cell>
          <cell r="P3714">
            <v>269.02550000000002</v>
          </cell>
        </row>
        <row r="3715">
          <cell r="B3715">
            <v>36102</v>
          </cell>
          <cell r="C3715">
            <v>4.1950089999999998</v>
          </cell>
          <cell r="D3715">
            <v>1.1929000000000001</v>
          </cell>
          <cell r="E3715">
            <v>40125</v>
          </cell>
          <cell r="F3715">
            <v>7509</v>
          </cell>
          <cell r="J3715">
            <v>2066719.1118072974</v>
          </cell>
          <cell r="K3715">
            <v>1.1929000000000001</v>
          </cell>
          <cell r="L3715">
            <v>40125</v>
          </cell>
          <cell r="M3715">
            <v>7509</v>
          </cell>
          <cell r="N3715">
            <v>460779.92310387286</v>
          </cell>
          <cell r="O3715">
            <v>466997.87986292143</v>
          </cell>
          <cell r="P3715">
            <v>269.02550000000002</v>
          </cell>
        </row>
        <row r="3716">
          <cell r="B3716">
            <v>36103</v>
          </cell>
          <cell r="C3716">
            <v>4.1748729999999998</v>
          </cell>
          <cell r="D3716">
            <v>1.1917</v>
          </cell>
          <cell r="E3716">
            <v>40702</v>
          </cell>
          <cell r="F3716">
            <v>7655</v>
          </cell>
          <cell r="J3716">
            <v>2069595.2084134538</v>
          </cell>
          <cell r="K3716">
            <v>1.1917</v>
          </cell>
          <cell r="L3716">
            <v>40702</v>
          </cell>
          <cell r="M3716">
            <v>7655</v>
          </cell>
          <cell r="N3716">
            <v>460779.92310387286</v>
          </cell>
          <cell r="O3716">
            <v>466997.87986292143</v>
          </cell>
          <cell r="P3716">
            <v>269.02550000000002</v>
          </cell>
        </row>
        <row r="3717">
          <cell r="B3717">
            <v>36104</v>
          </cell>
          <cell r="C3717">
            <v>4.1622709999999996</v>
          </cell>
          <cell r="D3717">
            <v>1.1904999999999999</v>
          </cell>
          <cell r="E3717">
            <v>42290</v>
          </cell>
          <cell r="F3717">
            <v>8092</v>
          </cell>
          <cell r="J3717">
            <v>2072466.6137860266</v>
          </cell>
          <cell r="K3717">
            <v>1.1904999999999999</v>
          </cell>
          <cell r="L3717">
            <v>42290</v>
          </cell>
          <cell r="M3717">
            <v>8092</v>
          </cell>
          <cell r="N3717">
            <v>460779.92310387286</v>
          </cell>
          <cell r="O3717">
            <v>466997.87986292143</v>
          </cell>
          <cell r="P3717">
            <v>269.02550000000002</v>
          </cell>
        </row>
        <row r="3718">
          <cell r="B3718">
            <v>36105</v>
          </cell>
          <cell r="C3718">
            <v>4.1631119999999999</v>
          </cell>
          <cell r="D3718">
            <v>1.1883999999999999</v>
          </cell>
          <cell r="E3718">
            <v>43092</v>
          </cell>
          <cell r="F3718">
            <v>8214</v>
          </cell>
          <cell r="J3718">
            <v>2075342.5839958442</v>
          </cell>
          <cell r="K3718">
            <v>1.1883999999999999</v>
          </cell>
          <cell r="L3718">
            <v>43092</v>
          </cell>
          <cell r="M3718">
            <v>8214</v>
          </cell>
          <cell r="N3718">
            <v>460779.92310387286</v>
          </cell>
          <cell r="O3718">
            <v>466997.87986292143</v>
          </cell>
          <cell r="P3718">
            <v>269.02550000000002</v>
          </cell>
        </row>
        <row r="3719">
          <cell r="B3719">
            <v>36108</v>
          </cell>
          <cell r="C3719">
            <v>4.1572269999999998</v>
          </cell>
          <cell r="D3719">
            <v>1.1899</v>
          </cell>
          <cell r="E3719">
            <v>43402</v>
          </cell>
          <cell r="F3719">
            <v>8242</v>
          </cell>
          <cell r="J3719">
            <v>2078218.4740706568</v>
          </cell>
          <cell r="K3719">
            <v>1.1899</v>
          </cell>
          <cell r="L3719">
            <v>43402</v>
          </cell>
          <cell r="M3719">
            <v>8242</v>
          </cell>
          <cell r="N3719">
            <v>460779.92310387286</v>
          </cell>
          <cell r="O3719">
            <v>466997.87986292143</v>
          </cell>
          <cell r="P3719">
            <v>269.02550000000002</v>
          </cell>
        </row>
        <row r="3720">
          <cell r="B3720">
            <v>36109</v>
          </cell>
          <cell r="C3720">
            <v>4.1513390000000001</v>
          </cell>
          <cell r="D3720">
            <v>1.1911</v>
          </cell>
          <cell r="E3720">
            <v>42583</v>
          </cell>
          <cell r="F3720">
            <v>8000</v>
          </cell>
          <cell r="J3720">
            <v>2081094.2705379669</v>
          </cell>
          <cell r="K3720">
            <v>1.1911</v>
          </cell>
          <cell r="L3720">
            <v>42583</v>
          </cell>
          <cell r="M3720">
            <v>8000</v>
          </cell>
          <cell r="N3720">
            <v>460779.92310387286</v>
          </cell>
          <cell r="O3720">
            <v>466997.87986292143</v>
          </cell>
          <cell r="P3720">
            <v>269.02550000000002</v>
          </cell>
        </row>
        <row r="3721">
          <cell r="B3721">
            <v>36110</v>
          </cell>
          <cell r="C3721">
            <v>3.7204709999999999</v>
          </cell>
          <cell r="D3721">
            <v>1.1908000000000001</v>
          </cell>
          <cell r="E3721">
            <v>42228</v>
          </cell>
          <cell r="F3721">
            <v>7762</v>
          </cell>
          <cell r="J3721">
            <v>2083675.1541652344</v>
          </cell>
          <cell r="K3721">
            <v>1.1908000000000001</v>
          </cell>
          <cell r="L3721">
            <v>42228</v>
          </cell>
          <cell r="M3721">
            <v>7762</v>
          </cell>
          <cell r="N3721">
            <v>460779.92310387286</v>
          </cell>
          <cell r="O3721">
            <v>466997.87986292143</v>
          </cell>
          <cell r="P3721">
            <v>269.02550000000002</v>
          </cell>
        </row>
        <row r="3722">
          <cell r="B3722">
            <v>36111</v>
          </cell>
          <cell r="C3722">
            <v>3.8747240000000001</v>
          </cell>
          <cell r="D3722">
            <v>1.1913</v>
          </cell>
          <cell r="E3722">
            <v>41167</v>
          </cell>
          <cell r="F3722">
            <v>7470</v>
          </cell>
          <cell r="J3722">
            <v>2086366.376207917</v>
          </cell>
          <cell r="K3722">
            <v>1.1913</v>
          </cell>
          <cell r="L3722">
            <v>41167</v>
          </cell>
          <cell r="M3722">
            <v>7470</v>
          </cell>
          <cell r="N3722">
            <v>460779.92310387286</v>
          </cell>
          <cell r="O3722">
            <v>466997.87986292143</v>
          </cell>
          <cell r="P3722">
            <v>269.02550000000002</v>
          </cell>
        </row>
        <row r="3723">
          <cell r="B3723">
            <v>36112</v>
          </cell>
          <cell r="C3723">
            <v>3.846276</v>
          </cell>
          <cell r="D3723">
            <v>1.1915</v>
          </cell>
          <cell r="E3723">
            <v>41792</v>
          </cell>
          <cell r="F3723">
            <v>7615</v>
          </cell>
          <cell r="J3723">
            <v>2089041.2898479223</v>
          </cell>
          <cell r="K3723">
            <v>1.1915</v>
          </cell>
          <cell r="L3723">
            <v>41792</v>
          </cell>
          <cell r="M3723">
            <v>7615</v>
          </cell>
          <cell r="N3723">
            <v>460779.92310387286</v>
          </cell>
          <cell r="O3723">
            <v>466997.87986292143</v>
          </cell>
          <cell r="P3723">
            <v>269.02550000000002</v>
          </cell>
        </row>
        <row r="3724">
          <cell r="B3724">
            <v>36115</v>
          </cell>
          <cell r="C3724">
            <v>3.8186260000000001</v>
          </cell>
          <cell r="D3724">
            <v>1.1909000000000001</v>
          </cell>
          <cell r="E3724">
            <v>42421</v>
          </cell>
          <cell r="F3724">
            <v>8003</v>
          </cell>
          <cell r="J3724">
            <v>2091700.3789760845</v>
          </cell>
          <cell r="K3724">
            <v>1.1909000000000001</v>
          </cell>
          <cell r="L3724">
            <v>42421</v>
          </cell>
          <cell r="M3724">
            <v>8003</v>
          </cell>
          <cell r="N3724">
            <v>460779.92310387286</v>
          </cell>
          <cell r="O3724">
            <v>466997.87986292143</v>
          </cell>
          <cell r="P3724">
            <v>269.02550000000002</v>
          </cell>
        </row>
        <row r="3725">
          <cell r="B3725">
            <v>36116</v>
          </cell>
          <cell r="C3725">
            <v>3.7666080000000002</v>
          </cell>
          <cell r="D3725">
            <v>1.1909000000000001</v>
          </cell>
          <cell r="E3725">
            <v>42966</v>
          </cell>
          <cell r="F3725">
            <v>8330</v>
          </cell>
          <cell r="J3725">
            <v>2094326.5841031026</v>
          </cell>
          <cell r="K3725">
            <v>1.1909000000000001</v>
          </cell>
          <cell r="L3725">
            <v>42966</v>
          </cell>
          <cell r="M3725">
            <v>8330</v>
          </cell>
          <cell r="N3725">
            <v>460779.92310387286</v>
          </cell>
          <cell r="O3725">
            <v>466997.87986292143</v>
          </cell>
          <cell r="P3725">
            <v>269.02550000000002</v>
          </cell>
        </row>
        <row r="3726">
          <cell r="B3726">
            <v>36117</v>
          </cell>
          <cell r="C3726">
            <v>3.7283179999999998</v>
          </cell>
          <cell r="D3726">
            <v>1.1912</v>
          </cell>
          <cell r="E3726">
            <v>43105</v>
          </cell>
          <cell r="F3726">
            <v>8547</v>
          </cell>
          <cell r="J3726">
            <v>2096929.3559368991</v>
          </cell>
          <cell r="K3726">
            <v>1.1912</v>
          </cell>
          <cell r="L3726">
            <v>43105</v>
          </cell>
          <cell r="M3726">
            <v>8547</v>
          </cell>
          <cell r="N3726">
            <v>460779.92310387286</v>
          </cell>
          <cell r="O3726">
            <v>466997.87986292143</v>
          </cell>
          <cell r="P3726">
            <v>269.02550000000002</v>
          </cell>
        </row>
        <row r="3727">
          <cell r="B3727">
            <v>36118</v>
          </cell>
          <cell r="C3727">
            <v>3.6759050000000002</v>
          </cell>
          <cell r="D3727">
            <v>1.1932</v>
          </cell>
          <cell r="E3727">
            <v>42235</v>
          </cell>
          <cell r="F3727">
            <v>8317</v>
          </cell>
          <cell r="J3727">
            <v>2099498.7269716104</v>
          </cell>
          <cell r="K3727">
            <v>1.1932</v>
          </cell>
          <cell r="L3727">
            <v>42235</v>
          </cell>
          <cell r="M3727">
            <v>8317</v>
          </cell>
          <cell r="N3727">
            <v>460779.92310387286</v>
          </cell>
          <cell r="O3727">
            <v>466997.87986292143</v>
          </cell>
          <cell r="P3727">
            <v>269.02550000000002</v>
          </cell>
        </row>
        <row r="3728">
          <cell r="B3728">
            <v>36119</v>
          </cell>
          <cell r="C3728">
            <v>3.6443469999999998</v>
          </cell>
          <cell r="D3728">
            <v>1.1950000000000001</v>
          </cell>
          <cell r="E3728">
            <v>43046</v>
          </cell>
          <cell r="F3728">
            <v>8531</v>
          </cell>
          <cell r="J3728">
            <v>2102049.1609339914</v>
          </cell>
          <cell r="K3728">
            <v>1.1950000000000001</v>
          </cell>
          <cell r="L3728">
            <v>43046</v>
          </cell>
          <cell r="M3728">
            <v>8531</v>
          </cell>
          <cell r="N3728">
            <v>460779.92310387286</v>
          </cell>
          <cell r="O3728">
            <v>466997.87986292143</v>
          </cell>
          <cell r="P3728">
            <v>269.02550000000002</v>
          </cell>
        </row>
        <row r="3729">
          <cell r="B3729">
            <v>36122</v>
          </cell>
          <cell r="C3729">
            <v>3.6012590000000002</v>
          </cell>
          <cell r="D3729">
            <v>1.1973</v>
          </cell>
          <cell r="E3729">
            <v>43009</v>
          </cell>
          <cell r="F3729">
            <v>8635</v>
          </cell>
          <cell r="J3729">
            <v>2104572.5020870767</v>
          </cell>
          <cell r="K3729">
            <v>1.1973</v>
          </cell>
          <cell r="L3729">
            <v>43009</v>
          </cell>
          <cell r="M3729">
            <v>8635</v>
          </cell>
          <cell r="N3729">
            <v>460779.92310387286</v>
          </cell>
          <cell r="O3729">
            <v>466997.87986292143</v>
          </cell>
          <cell r="P3729">
            <v>269.02550000000002</v>
          </cell>
        </row>
        <row r="3730">
          <cell r="B3730">
            <v>36123</v>
          </cell>
          <cell r="C3730">
            <v>3.565086</v>
          </cell>
          <cell r="D3730">
            <v>1.1978</v>
          </cell>
          <cell r="E3730">
            <v>42860</v>
          </cell>
          <cell r="F3730">
            <v>8606</v>
          </cell>
          <cell r="J3730">
            <v>2107073.4960748018</v>
          </cell>
          <cell r="K3730">
            <v>1.1978</v>
          </cell>
          <cell r="L3730">
            <v>42860</v>
          </cell>
          <cell r="M3730">
            <v>8606</v>
          </cell>
          <cell r="N3730">
            <v>460779.92310387286</v>
          </cell>
          <cell r="O3730">
            <v>466997.87986292143</v>
          </cell>
          <cell r="P3730">
            <v>269.02550000000002</v>
          </cell>
        </row>
        <row r="3731">
          <cell r="B3731">
            <v>36124</v>
          </cell>
          <cell r="C3731">
            <v>3.52969</v>
          </cell>
          <cell r="D3731">
            <v>1.1980999999999999</v>
          </cell>
          <cell r="E3731">
            <v>43805</v>
          </cell>
          <cell r="F3731">
            <v>8909</v>
          </cell>
          <cell r="J3731">
            <v>2109552.6014909218</v>
          </cell>
          <cell r="K3731">
            <v>1.1980999999999999</v>
          </cell>
          <cell r="L3731">
            <v>43805</v>
          </cell>
          <cell r="M3731">
            <v>8909</v>
          </cell>
          <cell r="N3731">
            <v>460779.92310387286</v>
          </cell>
          <cell r="O3731">
            <v>466997.87986292143</v>
          </cell>
          <cell r="P3731">
            <v>269.02550000000002</v>
          </cell>
        </row>
        <row r="3732">
          <cell r="B3732">
            <v>36125</v>
          </cell>
          <cell r="C3732">
            <v>3.5376629999999998</v>
          </cell>
          <cell r="D3732">
            <v>1.1992</v>
          </cell>
          <cell r="E3732">
            <v>44305</v>
          </cell>
          <cell r="F3732">
            <v>8953</v>
          </cell>
          <cell r="J3732">
            <v>2112040.2302192044</v>
          </cell>
          <cell r="K3732">
            <v>1.1992</v>
          </cell>
          <cell r="L3732">
            <v>44305</v>
          </cell>
          <cell r="M3732">
            <v>8953</v>
          </cell>
          <cell r="N3732">
            <v>460779.92310387286</v>
          </cell>
          <cell r="O3732">
            <v>466997.87986292143</v>
          </cell>
          <cell r="P3732">
            <v>269.02550000000002</v>
          </cell>
        </row>
        <row r="3733">
          <cell r="B3733">
            <v>36126</v>
          </cell>
          <cell r="C3733">
            <v>3.5199370000000001</v>
          </cell>
          <cell r="D3733">
            <v>1.2002999999999999</v>
          </cell>
          <cell r="E3733">
            <v>44764</v>
          </cell>
          <cell r="F3733">
            <v>9093</v>
          </cell>
          <cell r="J3733">
            <v>2114518.3130698167</v>
          </cell>
          <cell r="K3733">
            <v>1.2002999999999999</v>
          </cell>
          <cell r="L3733">
            <v>44764</v>
          </cell>
          <cell r="M3733">
            <v>9093</v>
          </cell>
          <cell r="N3733">
            <v>460779.92310387286</v>
          </cell>
          <cell r="O3733">
            <v>466997.87986292143</v>
          </cell>
          <cell r="P3733">
            <v>269.02550000000002</v>
          </cell>
        </row>
        <row r="3734">
          <cell r="B3734">
            <v>36129</v>
          </cell>
          <cell r="C3734">
            <v>3.5048499999999998</v>
          </cell>
          <cell r="D3734">
            <v>1.2011000000000001</v>
          </cell>
          <cell r="E3734">
            <v>43374</v>
          </cell>
          <cell r="F3734">
            <v>8631</v>
          </cell>
          <cell r="G3734">
            <v>0.18</v>
          </cell>
          <cell r="H3734">
            <v>0.32</v>
          </cell>
          <cell r="I3734">
            <v>272.02949999999998</v>
          </cell>
          <cell r="J3734">
            <v>2116988.6695730044</v>
          </cell>
          <cell r="K3734">
            <v>1.2011000000000001</v>
          </cell>
          <cell r="L3734">
            <v>43374</v>
          </cell>
          <cell r="M3734">
            <v>8631</v>
          </cell>
          <cell r="N3734">
            <v>461609.32696545986</v>
          </cell>
          <cell r="O3734">
            <v>468492.27307848283</v>
          </cell>
          <cell r="P3734">
            <v>272.02949999999998</v>
          </cell>
        </row>
        <row r="3735">
          <cell r="B3735">
            <v>36130</v>
          </cell>
          <cell r="C3735">
            <v>3.4790679999999998</v>
          </cell>
          <cell r="D3735">
            <v>1.2016</v>
          </cell>
          <cell r="E3735">
            <v>42791</v>
          </cell>
          <cell r="F3735">
            <v>8544</v>
          </cell>
          <cell r="J3735">
            <v>2119443.7187518957</v>
          </cell>
          <cell r="K3735">
            <v>1.2016</v>
          </cell>
          <cell r="L3735">
            <v>42791</v>
          </cell>
          <cell r="M3735">
            <v>8544</v>
          </cell>
          <cell r="N3735">
            <v>461609.32696545986</v>
          </cell>
          <cell r="O3735">
            <v>468492.27307848283</v>
          </cell>
          <cell r="P3735">
            <v>272.02949999999998</v>
          </cell>
        </row>
        <row r="3736">
          <cell r="B3736">
            <v>36131</v>
          </cell>
          <cell r="C3736">
            <v>3.4532310000000002</v>
          </cell>
          <cell r="D3736">
            <v>1.2013</v>
          </cell>
          <cell r="E3736">
            <v>42253</v>
          </cell>
          <cell r="F3736">
            <v>8448</v>
          </cell>
          <cell r="J3736">
            <v>2121883.3616693458</v>
          </cell>
          <cell r="K3736">
            <v>1.2013</v>
          </cell>
          <cell r="L3736">
            <v>42253</v>
          </cell>
          <cell r="M3736">
            <v>8448</v>
          </cell>
          <cell r="N3736">
            <v>461609.32696545986</v>
          </cell>
          <cell r="O3736">
            <v>468492.27307848283</v>
          </cell>
          <cell r="P3736">
            <v>272.02949999999998</v>
          </cell>
        </row>
        <row r="3737">
          <cell r="B3737">
            <v>36132</v>
          </cell>
          <cell r="C3737">
            <v>3.4371659999999999</v>
          </cell>
          <cell r="D3737">
            <v>1.2022999999999999</v>
          </cell>
          <cell r="E3737">
            <v>39763</v>
          </cell>
          <cell r="F3737">
            <v>7706</v>
          </cell>
          <cell r="J3737">
            <v>2124314.4501182442</v>
          </cell>
          <cell r="K3737">
            <v>1.2022999999999999</v>
          </cell>
          <cell r="L3737">
            <v>39763</v>
          </cell>
          <cell r="M3737">
            <v>7706</v>
          </cell>
          <cell r="N3737">
            <v>461609.32696545986</v>
          </cell>
          <cell r="O3737">
            <v>468492.27307848283</v>
          </cell>
          <cell r="P3737">
            <v>272.02949999999998</v>
          </cell>
        </row>
        <row r="3738">
          <cell r="B3738">
            <v>36133</v>
          </cell>
          <cell r="C3738">
            <v>3.4246560000000001</v>
          </cell>
          <cell r="D3738">
            <v>1.2025999999999999</v>
          </cell>
          <cell r="E3738">
            <v>39739</v>
          </cell>
          <cell r="F3738">
            <v>7626</v>
          </cell>
          <cell r="J3738">
            <v>2126739.4655274055</v>
          </cell>
          <cell r="K3738">
            <v>1.2025999999999999</v>
          </cell>
          <cell r="L3738">
            <v>39739</v>
          </cell>
          <cell r="M3738">
            <v>7626</v>
          </cell>
          <cell r="N3738">
            <v>461609.32696545986</v>
          </cell>
          <cell r="O3738">
            <v>468492.27307848283</v>
          </cell>
          <cell r="P3738">
            <v>272.02949999999998</v>
          </cell>
        </row>
        <row r="3739">
          <cell r="B3739">
            <v>36136</v>
          </cell>
          <cell r="C3739">
            <v>3.4058670000000002</v>
          </cell>
          <cell r="D3739">
            <v>1.2029000000000001</v>
          </cell>
          <cell r="E3739">
            <v>40201</v>
          </cell>
          <cell r="F3739">
            <v>7945</v>
          </cell>
          <cell r="J3739">
            <v>2129153.9294484849</v>
          </cell>
          <cell r="K3739">
            <v>1.2029000000000001</v>
          </cell>
          <cell r="L3739">
            <v>40201</v>
          </cell>
          <cell r="M3739">
            <v>7945</v>
          </cell>
          <cell r="N3739">
            <v>461609.32696545986</v>
          </cell>
          <cell r="O3739">
            <v>468492.27307848283</v>
          </cell>
          <cell r="P3739">
            <v>272.02949999999998</v>
          </cell>
        </row>
        <row r="3740">
          <cell r="B3740">
            <v>36137</v>
          </cell>
          <cell r="C3740">
            <v>3.3951169999999999</v>
          </cell>
          <cell r="D3740">
            <v>1.2035</v>
          </cell>
          <cell r="E3740">
            <v>39307</v>
          </cell>
          <cell r="F3740">
            <v>7629</v>
          </cell>
          <cell r="J3740">
            <v>2131563.5050156475</v>
          </cell>
          <cell r="K3740">
            <v>1.2035</v>
          </cell>
          <cell r="L3740">
            <v>39307</v>
          </cell>
          <cell r="M3740">
            <v>7629</v>
          </cell>
          <cell r="N3740">
            <v>461609.32696545986</v>
          </cell>
          <cell r="O3740">
            <v>468492.27307848283</v>
          </cell>
          <cell r="P3740">
            <v>272.02949999999998</v>
          </cell>
        </row>
        <row r="3741">
          <cell r="B3741">
            <v>36138</v>
          </cell>
          <cell r="C3741">
            <v>3.369996</v>
          </cell>
          <cell r="D3741">
            <v>1.2037</v>
          </cell>
          <cell r="E3741">
            <v>39250</v>
          </cell>
          <cell r="F3741">
            <v>7572</v>
          </cell>
          <cell r="J3741">
            <v>2133957.9585108636</v>
          </cell>
          <cell r="K3741">
            <v>1.2037</v>
          </cell>
          <cell r="L3741">
            <v>39250</v>
          </cell>
          <cell r="M3741">
            <v>7572</v>
          </cell>
          <cell r="N3741">
            <v>461609.32696545986</v>
          </cell>
          <cell r="O3741">
            <v>468492.27307848283</v>
          </cell>
          <cell r="P3741">
            <v>272.02949999999998</v>
          </cell>
        </row>
        <row r="3742">
          <cell r="B3742">
            <v>36139</v>
          </cell>
          <cell r="C3742">
            <v>3.352919</v>
          </cell>
          <cell r="D3742">
            <v>1.2035</v>
          </cell>
          <cell r="E3742">
            <v>39089</v>
          </cell>
          <cell r="F3742">
            <v>7530</v>
          </cell>
          <cell r="J3742">
            <v>2136342.9545722939</v>
          </cell>
          <cell r="K3742">
            <v>1.2035</v>
          </cell>
          <cell r="L3742">
            <v>39089</v>
          </cell>
          <cell r="M3742">
            <v>7530</v>
          </cell>
          <cell r="N3742">
            <v>461609.32696545986</v>
          </cell>
          <cell r="O3742">
            <v>468492.27307848283</v>
          </cell>
          <cell r="P3742">
            <v>272.02949999999998</v>
          </cell>
        </row>
        <row r="3743">
          <cell r="B3743">
            <v>36140</v>
          </cell>
          <cell r="C3743">
            <v>3.336719</v>
          </cell>
          <cell r="D3743">
            <v>1.204</v>
          </cell>
          <cell r="E3743">
            <v>37503</v>
          </cell>
          <cell r="F3743">
            <v>7195</v>
          </cell>
          <cell r="J3743">
            <v>2138719.0799479731</v>
          </cell>
          <cell r="K3743">
            <v>1.204</v>
          </cell>
          <cell r="L3743">
            <v>37503</v>
          </cell>
          <cell r="M3743">
            <v>7195</v>
          </cell>
          <cell r="N3743">
            <v>461609.32696545986</v>
          </cell>
          <cell r="O3743">
            <v>468492.27307848283</v>
          </cell>
          <cell r="P3743">
            <v>272.02949999999998</v>
          </cell>
        </row>
        <row r="3744">
          <cell r="B3744">
            <v>36143</v>
          </cell>
          <cell r="C3744">
            <v>3.3222999999999998</v>
          </cell>
          <cell r="D3744">
            <v>1.2049000000000001</v>
          </cell>
          <cell r="E3744">
            <v>35627</v>
          </cell>
          <cell r="F3744">
            <v>6583</v>
          </cell>
          <cell r="J3744">
            <v>2141087.5687477435</v>
          </cell>
          <cell r="K3744">
            <v>1.2049000000000001</v>
          </cell>
          <cell r="L3744">
            <v>35627</v>
          </cell>
          <cell r="M3744">
            <v>6583</v>
          </cell>
          <cell r="N3744">
            <v>461609.32696545986</v>
          </cell>
          <cell r="O3744">
            <v>468492.27307848283</v>
          </cell>
          <cell r="P3744">
            <v>272.02949999999998</v>
          </cell>
        </row>
        <row r="3745">
          <cell r="B3745">
            <v>36144</v>
          </cell>
          <cell r="C3745">
            <v>3.304252</v>
          </cell>
          <cell r="D3745">
            <v>1.2052</v>
          </cell>
          <cell r="E3745">
            <v>36614</v>
          </cell>
          <cell r="F3745">
            <v>6934</v>
          </cell>
          <cell r="J3745">
            <v>2143445.7997081466</v>
          </cell>
          <cell r="K3745">
            <v>1.2052</v>
          </cell>
          <cell r="L3745">
            <v>36614</v>
          </cell>
          <cell r="M3745">
            <v>6934</v>
          </cell>
          <cell r="N3745">
            <v>461609.32696545986</v>
          </cell>
          <cell r="O3745">
            <v>468492.27307848283</v>
          </cell>
          <cell r="P3745">
            <v>272.02949999999998</v>
          </cell>
        </row>
        <row r="3746">
          <cell r="B3746">
            <v>36145</v>
          </cell>
          <cell r="C3746">
            <v>2.9820709999999999</v>
          </cell>
          <cell r="D3746">
            <v>1.2056</v>
          </cell>
          <cell r="E3746">
            <v>35691</v>
          </cell>
          <cell r="F3746">
            <v>6618</v>
          </cell>
          <cell r="J3746">
            <v>2145576.4355612737</v>
          </cell>
          <cell r="K3746">
            <v>1.2056</v>
          </cell>
          <cell r="L3746">
            <v>35691</v>
          </cell>
          <cell r="M3746">
            <v>6618</v>
          </cell>
          <cell r="N3746">
            <v>461609.32696545986</v>
          </cell>
          <cell r="O3746">
            <v>468492.27307848283</v>
          </cell>
          <cell r="P3746">
            <v>272.02949999999998</v>
          </cell>
        </row>
        <row r="3747">
          <cell r="B3747">
            <v>36146</v>
          </cell>
          <cell r="C3747">
            <v>3.0523709999999999</v>
          </cell>
          <cell r="D3747">
            <v>1.2059</v>
          </cell>
          <cell r="E3747">
            <v>36207</v>
          </cell>
          <cell r="F3747">
            <v>6645</v>
          </cell>
          <cell r="J3747">
            <v>2147759.4673246709</v>
          </cell>
          <cell r="K3747">
            <v>1.2059</v>
          </cell>
          <cell r="L3747">
            <v>36207</v>
          </cell>
          <cell r="M3747">
            <v>6645</v>
          </cell>
          <cell r="N3747">
            <v>461609.32696545986</v>
          </cell>
          <cell r="O3747">
            <v>468492.27307848283</v>
          </cell>
          <cell r="P3747">
            <v>272.02949999999998</v>
          </cell>
        </row>
        <row r="3748">
          <cell r="B3748">
            <v>36147</v>
          </cell>
          <cell r="C3748">
            <v>3.035758</v>
          </cell>
          <cell r="D3748">
            <v>1.2068000000000001</v>
          </cell>
          <cell r="E3748">
            <v>36642</v>
          </cell>
          <cell r="F3748">
            <v>6781</v>
          </cell>
          <cell r="J3748">
            <v>2149932.8266530065</v>
          </cell>
          <cell r="K3748">
            <v>1.2068000000000001</v>
          </cell>
          <cell r="L3748">
            <v>36642</v>
          </cell>
          <cell r="M3748">
            <v>6781</v>
          </cell>
          <cell r="N3748">
            <v>461609.32696545986</v>
          </cell>
          <cell r="O3748">
            <v>468492.27307848283</v>
          </cell>
          <cell r="P3748">
            <v>272.02949999999998</v>
          </cell>
        </row>
        <row r="3749">
          <cell r="B3749">
            <v>36150</v>
          </cell>
          <cell r="C3749">
            <v>3.015422</v>
          </cell>
          <cell r="D3749">
            <v>1.2069000000000001</v>
          </cell>
          <cell r="E3749">
            <v>37840</v>
          </cell>
          <cell r="F3749">
            <v>7201</v>
          </cell>
          <cell r="J3749">
            <v>2152093.8115676772</v>
          </cell>
          <cell r="K3749">
            <v>1.2069000000000001</v>
          </cell>
          <cell r="L3749">
            <v>37840</v>
          </cell>
          <cell r="M3749">
            <v>7201</v>
          </cell>
          <cell r="N3749">
            <v>461609.32696545986</v>
          </cell>
          <cell r="O3749">
            <v>468492.27307848283</v>
          </cell>
          <cell r="P3749">
            <v>272.02949999999998</v>
          </cell>
        </row>
        <row r="3750">
          <cell r="B3750">
            <v>36151</v>
          </cell>
          <cell r="C3750">
            <v>3.031139</v>
          </cell>
          <cell r="D3750">
            <v>1.2074</v>
          </cell>
          <cell r="E3750">
            <v>37462</v>
          </cell>
          <cell r="F3750">
            <v>7115</v>
          </cell>
          <cell r="J3750">
            <v>2154268.2433956442</v>
          </cell>
          <cell r="K3750">
            <v>1.2074</v>
          </cell>
          <cell r="L3750">
            <v>37462</v>
          </cell>
          <cell r="M3750">
            <v>7115</v>
          </cell>
          <cell r="N3750">
            <v>461609.32696545986</v>
          </cell>
          <cell r="O3750">
            <v>468492.27307848283</v>
          </cell>
          <cell r="P3750">
            <v>272.02949999999998</v>
          </cell>
        </row>
        <row r="3751">
          <cell r="B3751">
            <v>36152</v>
          </cell>
          <cell r="C3751">
            <v>3.020972</v>
          </cell>
          <cell r="D3751">
            <v>1.2078</v>
          </cell>
          <cell r="E3751">
            <v>38132</v>
          </cell>
          <cell r="F3751">
            <v>7176</v>
          </cell>
          <cell r="J3751">
            <v>2156437.5714102401</v>
          </cell>
          <cell r="K3751">
            <v>1.2078</v>
          </cell>
          <cell r="L3751">
            <v>38132</v>
          </cell>
          <cell r="M3751">
            <v>7176</v>
          </cell>
          <cell r="N3751">
            <v>461609.32696545986</v>
          </cell>
          <cell r="O3751">
            <v>468492.27307848283</v>
          </cell>
          <cell r="P3751">
            <v>272.02949999999998</v>
          </cell>
        </row>
        <row r="3752">
          <cell r="B3752">
            <v>36153</v>
          </cell>
          <cell r="C3752">
            <v>3.020972</v>
          </cell>
          <cell r="J3752">
            <v>2158609.0839179</v>
          </cell>
          <cell r="K3752">
            <v>1.2078</v>
          </cell>
          <cell r="L3752">
            <v>38132</v>
          </cell>
          <cell r="M3752">
            <v>7176</v>
          </cell>
          <cell r="N3752">
            <v>461609.32696545986</v>
          </cell>
          <cell r="O3752">
            <v>468492.27307848283</v>
          </cell>
          <cell r="P3752">
            <v>272.02949999999998</v>
          </cell>
        </row>
        <row r="3753">
          <cell r="B3753">
            <v>36157</v>
          </cell>
          <cell r="C3753">
            <v>3.0163470000000001</v>
          </cell>
          <cell r="D3753">
            <v>1.2083999999999999</v>
          </cell>
          <cell r="E3753">
            <v>38042</v>
          </cell>
          <cell r="F3753">
            <v>6898</v>
          </cell>
          <cell r="J3753">
            <v>2160779.4552627159</v>
          </cell>
          <cell r="K3753">
            <v>1.2083999999999999</v>
          </cell>
          <cell r="L3753">
            <v>38042</v>
          </cell>
          <cell r="M3753">
            <v>6898</v>
          </cell>
          <cell r="N3753">
            <v>461609.32696545986</v>
          </cell>
          <cell r="O3753">
            <v>468492.27307848283</v>
          </cell>
          <cell r="P3753">
            <v>272.02949999999998</v>
          </cell>
        </row>
        <row r="3754">
          <cell r="B3754">
            <v>36158</v>
          </cell>
          <cell r="C3754">
            <v>3.015422</v>
          </cell>
          <cell r="D3754">
            <v>1.2083999999999999</v>
          </cell>
          <cell r="E3754">
            <v>38301</v>
          </cell>
          <cell r="F3754">
            <v>6715</v>
          </cell>
          <cell r="J3754">
            <v>2162951.3425648985</v>
          </cell>
          <cell r="K3754">
            <v>1.2083999999999999</v>
          </cell>
          <cell r="L3754">
            <v>38301</v>
          </cell>
          <cell r="M3754">
            <v>6715</v>
          </cell>
          <cell r="N3754">
            <v>461609.32696545986</v>
          </cell>
          <cell r="O3754">
            <v>468492.27307848283</v>
          </cell>
          <cell r="P3754">
            <v>272.02949999999998</v>
          </cell>
        </row>
        <row r="3755">
          <cell r="B3755">
            <v>36159</v>
          </cell>
          <cell r="C3755">
            <v>3.035758</v>
          </cell>
          <cell r="D3755">
            <v>1.2082999999999999</v>
          </cell>
          <cell r="E3755">
            <v>39709</v>
          </cell>
          <cell r="F3755">
            <v>6784</v>
          </cell>
          <cell r="J3755">
            <v>2165140.0748454994</v>
          </cell>
          <cell r="K3755">
            <v>1.2082999999999999</v>
          </cell>
          <cell r="L3755">
            <v>39709</v>
          </cell>
          <cell r="M3755">
            <v>6784</v>
          </cell>
          <cell r="N3755">
            <v>461609.32696545986</v>
          </cell>
          <cell r="O3755">
            <v>468492.27307848283</v>
          </cell>
          <cell r="P3755">
            <v>272.02949999999998</v>
          </cell>
        </row>
        <row r="3756">
          <cell r="B3756">
            <v>36160</v>
          </cell>
          <cell r="C3756">
            <v>3.035758</v>
          </cell>
          <cell r="D3756">
            <v>1.2087000000000001</v>
          </cell>
          <cell r="G3756">
            <v>0.98</v>
          </cell>
          <cell r="H3756">
            <v>0.45</v>
          </cell>
          <cell r="I3756">
            <v>275.42219999999998</v>
          </cell>
          <cell r="J3756">
            <v>2167331.0219466104</v>
          </cell>
          <cell r="K3756">
            <v>1.2087000000000001</v>
          </cell>
          <cell r="L3756">
            <v>39709</v>
          </cell>
          <cell r="M3756">
            <v>6784</v>
          </cell>
          <cell r="N3756">
            <v>466133.09836972138</v>
          </cell>
          <cell r="O3756">
            <v>470600.488307336</v>
          </cell>
          <cell r="P3756">
            <v>275.42219999999998</v>
          </cell>
        </row>
        <row r="3757">
          <cell r="B3757">
            <v>36164</v>
          </cell>
          <cell r="C3757">
            <v>3.022821</v>
          </cell>
          <cell r="D3757">
            <v>1.2078</v>
          </cell>
          <cell r="E3757">
            <v>40077</v>
          </cell>
          <cell r="F3757">
            <v>6941</v>
          </cell>
          <cell r="J3757">
            <v>2169514.8398556411</v>
          </cell>
          <cell r="K3757">
            <v>1.2078</v>
          </cell>
          <cell r="L3757">
            <v>40077</v>
          </cell>
          <cell r="M3757">
            <v>6941</v>
          </cell>
          <cell r="N3757">
            <v>466133.09836972138</v>
          </cell>
          <cell r="O3757">
            <v>470600.488307336</v>
          </cell>
          <cell r="P3757">
            <v>275.42219999999998</v>
          </cell>
        </row>
        <row r="3758">
          <cell r="B3758">
            <v>36165</v>
          </cell>
          <cell r="C3758">
            <v>3.0218970000000001</v>
          </cell>
          <cell r="D3758">
            <v>1.2084999999999999</v>
          </cell>
          <cell r="E3758">
            <v>39985</v>
          </cell>
          <cell r="F3758">
            <v>7110</v>
          </cell>
          <cell r="J3758">
            <v>2171700.1899843132</v>
          </cell>
          <cell r="K3758">
            <v>1.2084999999999999</v>
          </cell>
          <cell r="L3758">
            <v>39985</v>
          </cell>
          <cell r="M3758">
            <v>7110</v>
          </cell>
          <cell r="N3758">
            <v>466133.09836972138</v>
          </cell>
          <cell r="O3758">
            <v>470600.488307336</v>
          </cell>
          <cell r="P3758">
            <v>275.42219999999998</v>
          </cell>
        </row>
        <row r="3759">
          <cell r="B3759">
            <v>36166</v>
          </cell>
          <cell r="C3759">
            <v>3.0218970000000001</v>
          </cell>
          <cell r="D3759">
            <v>1.2096</v>
          </cell>
          <cell r="E3759">
            <v>40489</v>
          </cell>
          <cell r="F3759">
            <v>7330</v>
          </cell>
          <cell r="J3759">
            <v>2173887.7414139844</v>
          </cell>
          <cell r="K3759">
            <v>1.2096</v>
          </cell>
          <cell r="L3759">
            <v>40489</v>
          </cell>
          <cell r="M3759">
            <v>7330</v>
          </cell>
          <cell r="N3759">
            <v>466133.09836972138</v>
          </cell>
          <cell r="O3759">
            <v>470600.488307336</v>
          </cell>
          <cell r="P3759">
            <v>275.42219999999998</v>
          </cell>
        </row>
        <row r="3760">
          <cell r="B3760">
            <v>36167</v>
          </cell>
          <cell r="C3760">
            <v>3.035758</v>
          </cell>
          <cell r="D3760">
            <v>1.21</v>
          </cell>
          <cell r="E3760">
            <v>39109</v>
          </cell>
          <cell r="F3760">
            <v>6954</v>
          </cell>
          <cell r="J3760">
            <v>2176087.5404480174</v>
          </cell>
          <cell r="K3760">
            <v>1.21</v>
          </cell>
          <cell r="L3760">
            <v>39109</v>
          </cell>
          <cell r="M3760">
            <v>6954</v>
          </cell>
          <cell r="N3760">
            <v>466133.09836972138</v>
          </cell>
          <cell r="O3760">
            <v>470600.488307336</v>
          </cell>
          <cell r="P3760">
            <v>275.42219999999998</v>
          </cell>
        </row>
        <row r="3761">
          <cell r="B3761">
            <v>36168</v>
          </cell>
          <cell r="C3761">
            <v>3.0366819999999999</v>
          </cell>
          <cell r="D3761">
            <v>1.2103999999999999</v>
          </cell>
          <cell r="E3761">
            <v>38822</v>
          </cell>
          <cell r="F3761">
            <v>6781</v>
          </cell>
          <cell r="J3761">
            <v>2178290.2357361848</v>
          </cell>
          <cell r="K3761">
            <v>1.2103999999999999</v>
          </cell>
          <cell r="L3761">
            <v>38822</v>
          </cell>
          <cell r="M3761">
            <v>6781</v>
          </cell>
          <cell r="N3761">
            <v>466133.09836972138</v>
          </cell>
          <cell r="O3761">
            <v>470600.488307336</v>
          </cell>
          <cell r="P3761">
            <v>275.42219999999998</v>
          </cell>
        </row>
        <row r="3762">
          <cell r="B3762">
            <v>36171</v>
          </cell>
          <cell r="C3762">
            <v>3.0560589999999999</v>
          </cell>
          <cell r="D3762">
            <v>1.2109000000000001</v>
          </cell>
          <cell r="E3762">
            <v>37546</v>
          </cell>
          <cell r="F3762">
            <v>6403</v>
          </cell>
          <cell r="J3762">
            <v>2180509.2302293624</v>
          </cell>
          <cell r="K3762">
            <v>1.2109000000000001</v>
          </cell>
          <cell r="L3762">
            <v>37546</v>
          </cell>
          <cell r="M3762">
            <v>6403</v>
          </cell>
          <cell r="N3762">
            <v>466133.09836972138</v>
          </cell>
          <cell r="O3762">
            <v>470600.488307336</v>
          </cell>
          <cell r="P3762">
            <v>275.42219999999998</v>
          </cell>
        </row>
        <row r="3763">
          <cell r="B3763">
            <v>36172</v>
          </cell>
          <cell r="C3763">
            <v>3.0449899999999999</v>
          </cell>
          <cell r="D3763">
            <v>1.2114</v>
          </cell>
          <cell r="E3763">
            <v>35858</v>
          </cell>
          <cell r="F3763">
            <v>5915</v>
          </cell>
          <cell r="J3763">
            <v>2182722.4398296811</v>
          </cell>
          <cell r="K3763">
            <v>1.2114</v>
          </cell>
          <cell r="L3763">
            <v>35858</v>
          </cell>
          <cell r="M3763">
            <v>5915</v>
          </cell>
          <cell r="N3763">
            <v>466133.09836972138</v>
          </cell>
          <cell r="O3763">
            <v>470600.488307336</v>
          </cell>
          <cell r="P3763">
            <v>275.42219999999998</v>
          </cell>
        </row>
        <row r="3764">
          <cell r="B3764">
            <v>36173</v>
          </cell>
          <cell r="C3764">
            <v>3.0956399999999999</v>
          </cell>
          <cell r="D3764">
            <v>1.3192999999999999</v>
          </cell>
          <cell r="E3764">
            <v>35423</v>
          </cell>
          <cell r="F3764">
            <v>5617</v>
          </cell>
          <cell r="J3764">
            <v>2184974.7474608924</v>
          </cell>
          <cell r="K3764">
            <v>1.3192999999999999</v>
          </cell>
          <cell r="L3764">
            <v>35423</v>
          </cell>
          <cell r="M3764">
            <v>5617</v>
          </cell>
          <cell r="N3764">
            <v>466133.09836972138</v>
          </cell>
          <cell r="O3764">
            <v>470600.488307336</v>
          </cell>
          <cell r="P3764">
            <v>275.42219999999998</v>
          </cell>
        </row>
        <row r="3765">
          <cell r="B3765">
            <v>36174</v>
          </cell>
          <cell r="C3765">
            <v>3.0956399999999999</v>
          </cell>
          <cell r="D3765">
            <v>1.3193999999999999</v>
          </cell>
          <cell r="E3765">
            <v>33291</v>
          </cell>
          <cell r="F3765">
            <v>5057</v>
          </cell>
          <cell r="J3765">
            <v>2187229.3792033023</v>
          </cell>
          <cell r="K3765">
            <v>1.3193999999999999</v>
          </cell>
          <cell r="L3765">
            <v>33291</v>
          </cell>
          <cell r="M3765">
            <v>5057</v>
          </cell>
          <cell r="N3765">
            <v>466133.09836972138</v>
          </cell>
          <cell r="O3765">
            <v>470600.488307336</v>
          </cell>
          <cell r="P3765">
            <v>275.42219999999998</v>
          </cell>
        </row>
        <row r="3766">
          <cell r="B3766">
            <v>36175</v>
          </cell>
          <cell r="C3766">
            <v>3.106662</v>
          </cell>
          <cell r="D3766">
            <v>1.4659</v>
          </cell>
          <cell r="E3766">
            <v>39896</v>
          </cell>
          <cell r="F3766">
            <v>6746</v>
          </cell>
          <cell r="J3766">
            <v>2189494.3733358537</v>
          </cell>
          <cell r="K3766">
            <v>1.4659</v>
          </cell>
          <cell r="L3766">
            <v>39896</v>
          </cell>
          <cell r="M3766">
            <v>6746</v>
          </cell>
          <cell r="N3766">
            <v>466133.09836972138</v>
          </cell>
          <cell r="O3766">
            <v>470600.488307336</v>
          </cell>
          <cell r="P3766">
            <v>275.42219999999998</v>
          </cell>
        </row>
        <row r="3767">
          <cell r="B3767">
            <v>36178</v>
          </cell>
          <cell r="C3767">
            <v>3.0947209999999998</v>
          </cell>
          <cell r="D3767">
            <v>1.5384</v>
          </cell>
          <cell r="E3767">
            <v>41182</v>
          </cell>
          <cell r="F3767">
            <v>7113</v>
          </cell>
          <cell r="J3767">
            <v>2191752.9980747015</v>
          </cell>
          <cell r="K3767">
            <v>1.5384</v>
          </cell>
          <cell r="L3767">
            <v>41182</v>
          </cell>
          <cell r="M3767">
            <v>7113</v>
          </cell>
          <cell r="N3767">
            <v>466133.09836972138</v>
          </cell>
          <cell r="O3767">
            <v>470600.488307336</v>
          </cell>
          <cell r="P3767">
            <v>275.42219999999998</v>
          </cell>
        </row>
        <row r="3768">
          <cell r="B3768">
            <v>36179</v>
          </cell>
          <cell r="C3768">
            <v>3.2925059999999999</v>
          </cell>
          <cell r="D3768">
            <v>1.5580000000000001</v>
          </cell>
          <cell r="E3768">
            <v>41445</v>
          </cell>
          <cell r="F3768">
            <v>7380</v>
          </cell>
          <cell r="J3768">
            <v>2194158.4513735943</v>
          </cell>
          <cell r="K3768">
            <v>1.5580000000000001</v>
          </cell>
          <cell r="L3768">
            <v>41445</v>
          </cell>
          <cell r="M3768">
            <v>7380</v>
          </cell>
          <cell r="N3768">
            <v>466133.09836972138</v>
          </cell>
          <cell r="O3768">
            <v>470600.488307336</v>
          </cell>
          <cell r="P3768">
            <v>275.42219999999998</v>
          </cell>
        </row>
        <row r="3769">
          <cell r="B3769">
            <v>36180</v>
          </cell>
          <cell r="C3769">
            <v>3.336719</v>
          </cell>
          <cell r="D3769">
            <v>1.5734999999999999</v>
          </cell>
          <cell r="E3769">
            <v>43036</v>
          </cell>
          <cell r="F3769">
            <v>7674</v>
          </cell>
          <cell r="J3769">
            <v>2196598.881438164</v>
          </cell>
          <cell r="K3769">
            <v>1.5734999999999999</v>
          </cell>
          <cell r="L3769">
            <v>43036</v>
          </cell>
          <cell r="M3769">
            <v>7674</v>
          </cell>
          <cell r="N3769">
            <v>466133.09836972138</v>
          </cell>
          <cell r="O3769">
            <v>470600.488307336</v>
          </cell>
          <cell r="P3769">
            <v>275.42219999999998</v>
          </cell>
        </row>
        <row r="3770">
          <cell r="B3770">
            <v>36181</v>
          </cell>
          <cell r="C3770">
            <v>3.3457219999999999</v>
          </cell>
          <cell r="D3770">
            <v>1.6601999999999999</v>
          </cell>
          <cell r="E3770">
            <v>41943</v>
          </cell>
          <cell r="F3770">
            <v>7321</v>
          </cell>
          <cell r="J3770">
            <v>2199048.617839098</v>
          </cell>
          <cell r="K3770">
            <v>1.6601999999999999</v>
          </cell>
          <cell r="L3770">
            <v>41943</v>
          </cell>
          <cell r="M3770">
            <v>7321</v>
          </cell>
          <cell r="N3770">
            <v>466133.09836972138</v>
          </cell>
          <cell r="O3770">
            <v>470600.488307336</v>
          </cell>
          <cell r="P3770">
            <v>275.42219999999998</v>
          </cell>
        </row>
        <row r="3771">
          <cell r="B3771">
            <v>36182</v>
          </cell>
          <cell r="C3771">
            <v>3.3340169999999998</v>
          </cell>
          <cell r="D3771">
            <v>1.7049000000000001</v>
          </cell>
          <cell r="E3771">
            <v>41328</v>
          </cell>
          <cell r="F3771">
            <v>7189</v>
          </cell>
          <cell r="J3771">
            <v>2201492.5063309986</v>
          </cell>
          <cell r="K3771">
            <v>1.7049000000000001</v>
          </cell>
          <cell r="L3771">
            <v>41328</v>
          </cell>
          <cell r="M3771">
            <v>7189</v>
          </cell>
          <cell r="N3771">
            <v>466133.09836972138</v>
          </cell>
          <cell r="O3771">
            <v>470600.488307336</v>
          </cell>
          <cell r="P3771">
            <v>275.42219999999998</v>
          </cell>
        </row>
        <row r="3772">
          <cell r="B3772">
            <v>36185</v>
          </cell>
          <cell r="C3772">
            <v>3.3322150000000001</v>
          </cell>
          <cell r="D3772">
            <v>1.7605999999999999</v>
          </cell>
          <cell r="J3772">
            <v>2203937.7884483263</v>
          </cell>
          <cell r="K3772">
            <v>1.7605999999999999</v>
          </cell>
          <cell r="L3772">
            <v>41328</v>
          </cell>
          <cell r="M3772">
            <v>7189</v>
          </cell>
          <cell r="N3772">
            <v>466133.09836972138</v>
          </cell>
          <cell r="O3772">
            <v>470600.488307336</v>
          </cell>
          <cell r="P3772">
            <v>275.42219999999998</v>
          </cell>
        </row>
        <row r="3773">
          <cell r="B3773">
            <v>36186</v>
          </cell>
          <cell r="C3773">
            <v>3.3286099999999998</v>
          </cell>
          <cell r="D3773">
            <v>1.877</v>
          </cell>
          <cell r="E3773">
            <v>43610</v>
          </cell>
          <cell r="F3773">
            <v>7645</v>
          </cell>
          <cell r="J3773">
            <v>2206383.1382356621</v>
          </cell>
          <cell r="K3773">
            <v>1.877</v>
          </cell>
          <cell r="L3773">
            <v>43610</v>
          </cell>
          <cell r="M3773">
            <v>7645</v>
          </cell>
          <cell r="N3773">
            <v>466133.09836972138</v>
          </cell>
          <cell r="O3773">
            <v>470600.488307336</v>
          </cell>
          <cell r="P3773">
            <v>275.42219999999998</v>
          </cell>
        </row>
        <row r="3774">
          <cell r="B3774">
            <v>36187</v>
          </cell>
          <cell r="C3774">
            <v>3.5809799999999998</v>
          </cell>
          <cell r="D3774">
            <v>1.8886000000000001</v>
          </cell>
          <cell r="E3774">
            <v>44375</v>
          </cell>
          <cell r="F3774">
            <v>7687</v>
          </cell>
          <cell r="J3774">
            <v>2209016.8095324486</v>
          </cell>
          <cell r="K3774">
            <v>1.8886000000000001</v>
          </cell>
          <cell r="L3774">
            <v>44375</v>
          </cell>
          <cell r="M3774">
            <v>7687</v>
          </cell>
          <cell r="N3774">
            <v>466133.09836972138</v>
          </cell>
          <cell r="O3774">
            <v>470600.488307336</v>
          </cell>
          <cell r="P3774">
            <v>275.42219999999998</v>
          </cell>
        </row>
        <row r="3775">
          <cell r="B3775">
            <v>36188</v>
          </cell>
          <cell r="C3775">
            <v>3.5959720000000002</v>
          </cell>
          <cell r="D3775">
            <v>1.9206000000000001</v>
          </cell>
          <cell r="E3775">
            <v>45900</v>
          </cell>
          <cell r="F3775">
            <v>7987</v>
          </cell>
          <cell r="J3775">
            <v>2211664.6637306511</v>
          </cell>
          <cell r="K3775">
            <v>1.9206000000000001</v>
          </cell>
          <cell r="L3775">
            <v>45900</v>
          </cell>
          <cell r="M3775">
            <v>7987</v>
          </cell>
          <cell r="N3775">
            <v>466133.09836972138</v>
          </cell>
          <cell r="O3775">
            <v>470600.488307336</v>
          </cell>
          <cell r="P3775">
            <v>275.42219999999998</v>
          </cell>
        </row>
        <row r="3776">
          <cell r="B3776">
            <v>36189</v>
          </cell>
          <cell r="C3776">
            <v>3.7822369999999998</v>
          </cell>
          <cell r="D3776">
            <v>1.9832000000000001</v>
          </cell>
          <cell r="E3776">
            <v>48039</v>
          </cell>
          <cell r="F3776">
            <v>8171</v>
          </cell>
          <cell r="G3776">
            <v>1.1499999999999999</v>
          </cell>
          <cell r="H3776">
            <v>0.84</v>
          </cell>
          <cell r="I3776">
            <v>278.22840000000002</v>
          </cell>
          <cell r="J3776">
            <v>2214453.0103715695</v>
          </cell>
          <cell r="K3776">
            <v>1.9832000000000001</v>
          </cell>
          <cell r="L3776">
            <v>48039</v>
          </cell>
          <cell r="M3776">
            <v>8171</v>
          </cell>
          <cell r="N3776">
            <v>471493.62900097319</v>
          </cell>
          <cell r="O3776">
            <v>474553.53240911762</v>
          </cell>
          <cell r="P3776">
            <v>278.22840000000002</v>
          </cell>
        </row>
        <row r="3777">
          <cell r="B3777">
            <v>36192</v>
          </cell>
          <cell r="C3777">
            <v>3.9716279999999999</v>
          </cell>
          <cell r="D3777">
            <v>1.9638</v>
          </cell>
          <cell r="E3777">
            <v>49588</v>
          </cell>
          <cell r="F3777">
            <v>8891</v>
          </cell>
          <cell r="J3777">
            <v>2217384.6715651285</v>
          </cell>
          <cell r="K3777">
            <v>1.9638</v>
          </cell>
          <cell r="L3777">
            <v>49588</v>
          </cell>
          <cell r="M3777">
            <v>8891</v>
          </cell>
          <cell r="N3777">
            <v>471493.62900097319</v>
          </cell>
          <cell r="O3777">
            <v>474553.53240911762</v>
          </cell>
          <cell r="P3777">
            <v>278.22840000000002</v>
          </cell>
        </row>
        <row r="3778">
          <cell r="B3778">
            <v>36193</v>
          </cell>
          <cell r="C3778">
            <v>3.8661110000000001</v>
          </cell>
          <cell r="D3778">
            <v>1.798</v>
          </cell>
          <cell r="E3778">
            <v>48815</v>
          </cell>
          <cell r="F3778">
            <v>8731</v>
          </cell>
          <cell r="J3778">
            <v>2220242.2233217848</v>
          </cell>
          <cell r="K3778">
            <v>1.798</v>
          </cell>
          <cell r="L3778">
            <v>48815</v>
          </cell>
          <cell r="M3778">
            <v>8731</v>
          </cell>
          <cell r="N3778">
            <v>471493.62900097319</v>
          </cell>
          <cell r="O3778">
            <v>474553.53240911762</v>
          </cell>
          <cell r="P3778">
            <v>278.22840000000002</v>
          </cell>
        </row>
        <row r="3779">
          <cell r="B3779">
            <v>36194</v>
          </cell>
          <cell r="C3779">
            <v>3.859216</v>
          </cell>
          <cell r="D3779">
            <v>1.7708999999999999</v>
          </cell>
          <cell r="E3779">
            <v>48541</v>
          </cell>
          <cell r="F3779">
            <v>8676</v>
          </cell>
          <cell r="J3779">
            <v>2223098.3547591576</v>
          </cell>
          <cell r="K3779">
            <v>1.7708999999999999</v>
          </cell>
          <cell r="L3779">
            <v>48541</v>
          </cell>
          <cell r="M3779">
            <v>8676</v>
          </cell>
          <cell r="N3779">
            <v>471493.62900097319</v>
          </cell>
          <cell r="O3779">
            <v>474553.53240911762</v>
          </cell>
          <cell r="P3779">
            <v>278.22840000000002</v>
          </cell>
        </row>
        <row r="3780">
          <cell r="B3780">
            <v>36195</v>
          </cell>
          <cell r="C3780">
            <v>3.859216</v>
          </cell>
          <cell r="D3780">
            <v>1.8140000000000001</v>
          </cell>
          <cell r="E3780">
            <v>48397</v>
          </cell>
          <cell r="F3780">
            <v>8652</v>
          </cell>
          <cell r="J3780">
            <v>2225958.1603392442</v>
          </cell>
          <cell r="K3780">
            <v>1.8140000000000001</v>
          </cell>
          <cell r="L3780">
            <v>48397</v>
          </cell>
          <cell r="M3780">
            <v>8652</v>
          </cell>
          <cell r="N3780">
            <v>471493.62900097319</v>
          </cell>
          <cell r="O3780">
            <v>474553.53240911762</v>
          </cell>
          <cell r="P3780">
            <v>278.22840000000002</v>
          </cell>
        </row>
        <row r="3781">
          <cell r="B3781">
            <v>36196</v>
          </cell>
          <cell r="C3781">
            <v>3.861802</v>
          </cell>
          <cell r="D3781">
            <v>1.8317000000000001</v>
          </cell>
          <cell r="E3781">
            <v>47520</v>
          </cell>
          <cell r="F3781">
            <v>8435</v>
          </cell>
          <cell r="J3781">
            <v>2228823.5635644156</v>
          </cell>
          <cell r="K3781">
            <v>1.8317000000000001</v>
          </cell>
          <cell r="L3781">
            <v>47520</v>
          </cell>
          <cell r="M3781">
            <v>8435</v>
          </cell>
          <cell r="N3781">
            <v>471493.62900097319</v>
          </cell>
          <cell r="O3781">
            <v>474553.53240911762</v>
          </cell>
          <cell r="P3781">
            <v>278.22840000000002</v>
          </cell>
        </row>
        <row r="3782">
          <cell r="B3782">
            <v>36199</v>
          </cell>
          <cell r="C3782">
            <v>3.8652489999999999</v>
          </cell>
          <cell r="D3782">
            <v>1.8609</v>
          </cell>
          <cell r="E3782">
            <v>48239</v>
          </cell>
          <cell r="F3782">
            <v>8824</v>
          </cell>
          <cell r="J3782">
            <v>2231695.2162478301</v>
          </cell>
          <cell r="K3782">
            <v>1.8609</v>
          </cell>
          <cell r="L3782">
            <v>48239</v>
          </cell>
          <cell r="M3782">
            <v>8824</v>
          </cell>
          <cell r="N3782">
            <v>471493.62900097319</v>
          </cell>
          <cell r="O3782">
            <v>474553.53240911762</v>
          </cell>
          <cell r="P3782">
            <v>278.22840000000002</v>
          </cell>
        </row>
        <row r="3783">
          <cell r="B3783">
            <v>36200</v>
          </cell>
          <cell r="C3783">
            <v>3.8661110000000001</v>
          </cell>
          <cell r="D3783">
            <v>1.9333</v>
          </cell>
          <cell r="E3783">
            <v>47987</v>
          </cell>
          <cell r="F3783">
            <v>8673</v>
          </cell>
          <cell r="J3783">
            <v>2234571.210055891</v>
          </cell>
          <cell r="K3783">
            <v>1.9333</v>
          </cell>
          <cell r="L3783">
            <v>47987</v>
          </cell>
          <cell r="M3783">
            <v>8673</v>
          </cell>
          <cell r="N3783">
            <v>471493.62900097319</v>
          </cell>
          <cell r="O3783">
            <v>474553.53240911762</v>
          </cell>
          <cell r="P3783">
            <v>278.22840000000002</v>
          </cell>
        </row>
        <row r="3784">
          <cell r="B3784">
            <v>36201</v>
          </cell>
          <cell r="C3784">
            <v>3.8686959999999999</v>
          </cell>
          <cell r="D3784">
            <v>1.8953</v>
          </cell>
          <cell r="E3784">
            <v>48123</v>
          </cell>
          <cell r="F3784">
            <v>8853</v>
          </cell>
          <cell r="J3784">
            <v>2237452.8356232438</v>
          </cell>
          <cell r="K3784">
            <v>1.8953</v>
          </cell>
          <cell r="L3784">
            <v>48123</v>
          </cell>
          <cell r="M3784">
            <v>8853</v>
          </cell>
          <cell r="N3784">
            <v>471493.62900097319</v>
          </cell>
          <cell r="O3784">
            <v>474553.53240911762</v>
          </cell>
          <cell r="P3784">
            <v>278.22840000000002</v>
          </cell>
        </row>
        <row r="3785">
          <cell r="B3785">
            <v>36202</v>
          </cell>
          <cell r="C3785">
            <v>3.8678340000000002</v>
          </cell>
          <cell r="D3785">
            <v>1.8868</v>
          </cell>
          <cell r="E3785">
            <v>48301</v>
          </cell>
          <cell r="F3785">
            <v>8990</v>
          </cell>
          <cell r="J3785">
            <v>2240337.5343402503</v>
          </cell>
          <cell r="K3785">
            <v>1.8868</v>
          </cell>
          <cell r="L3785">
            <v>48301</v>
          </cell>
          <cell r="M3785">
            <v>8990</v>
          </cell>
          <cell r="N3785">
            <v>471493.62900097319</v>
          </cell>
          <cell r="O3785">
            <v>474553.53240911762</v>
          </cell>
          <cell r="P3785">
            <v>278.22840000000002</v>
          </cell>
        </row>
        <row r="3786">
          <cell r="B3786">
            <v>36203</v>
          </cell>
          <cell r="C3786">
            <v>3.8695569999999999</v>
          </cell>
          <cell r="D3786">
            <v>1.8984000000000001</v>
          </cell>
          <cell r="E3786">
            <v>48634</v>
          </cell>
          <cell r="F3786">
            <v>8952</v>
          </cell>
          <cell r="J3786">
            <v>2243227.2389363735</v>
          </cell>
          <cell r="K3786">
            <v>1.8984000000000001</v>
          </cell>
          <cell r="L3786">
            <v>48634</v>
          </cell>
          <cell r="M3786">
            <v>8952</v>
          </cell>
          <cell r="N3786">
            <v>471493.62900097319</v>
          </cell>
          <cell r="O3786">
            <v>474553.53240911762</v>
          </cell>
          <cell r="P3786">
            <v>278.22840000000002</v>
          </cell>
        </row>
        <row r="3787">
          <cell r="B3787">
            <v>36208</v>
          </cell>
          <cell r="C3787">
            <v>3.8686959999999999</v>
          </cell>
          <cell r="D3787">
            <v>1.9178999999999999</v>
          </cell>
          <cell r="E3787">
            <v>48857</v>
          </cell>
          <cell r="F3787">
            <v>8974</v>
          </cell>
          <cell r="J3787">
            <v>2246120.0270184949</v>
          </cell>
          <cell r="K3787">
            <v>1.9178999999999999</v>
          </cell>
          <cell r="L3787">
            <v>48857</v>
          </cell>
          <cell r="M3787">
            <v>8974</v>
          </cell>
          <cell r="N3787">
            <v>471493.62900097319</v>
          </cell>
          <cell r="O3787">
            <v>474553.53240911762</v>
          </cell>
          <cell r="P3787">
            <v>278.22840000000002</v>
          </cell>
        </row>
        <row r="3788">
          <cell r="B3788">
            <v>36209</v>
          </cell>
          <cell r="C3788">
            <v>3.8695569999999999</v>
          </cell>
          <cell r="D3788">
            <v>1.9029</v>
          </cell>
          <cell r="E3788">
            <v>48491</v>
          </cell>
          <cell r="F3788">
            <v>8860</v>
          </cell>
          <cell r="J3788">
            <v>2249017.1901762914</v>
          </cell>
          <cell r="K3788">
            <v>1.9029</v>
          </cell>
          <cell r="L3788">
            <v>48491</v>
          </cell>
          <cell r="M3788">
            <v>8860</v>
          </cell>
          <cell r="N3788">
            <v>471493.62900097319</v>
          </cell>
          <cell r="O3788">
            <v>474553.53240911762</v>
          </cell>
          <cell r="P3788">
            <v>278.22840000000002</v>
          </cell>
        </row>
        <row r="3789">
          <cell r="B3789">
            <v>36210</v>
          </cell>
          <cell r="C3789">
            <v>3.8686959999999999</v>
          </cell>
          <cell r="D3789">
            <v>1.9208000000000001</v>
          </cell>
          <cell r="E3789">
            <v>48749</v>
          </cell>
          <cell r="F3789">
            <v>9013</v>
          </cell>
          <cell r="J3789">
            <v>2251917.4447788135</v>
          </cell>
          <cell r="K3789">
            <v>1.9208000000000001</v>
          </cell>
          <cell r="L3789">
            <v>48749</v>
          </cell>
          <cell r="M3789">
            <v>9013</v>
          </cell>
          <cell r="N3789">
            <v>471493.62900097319</v>
          </cell>
          <cell r="O3789">
            <v>474553.53240911762</v>
          </cell>
          <cell r="P3789">
            <v>278.22840000000002</v>
          </cell>
        </row>
        <row r="3790">
          <cell r="B3790">
            <v>36213</v>
          </cell>
          <cell r="C3790">
            <v>3.8686959999999999</v>
          </cell>
          <cell r="D3790">
            <v>1.9356</v>
          </cell>
          <cell r="E3790">
            <v>49011</v>
          </cell>
          <cell r="F3790">
            <v>9074</v>
          </cell>
          <cell r="J3790">
            <v>2254821.4394491287</v>
          </cell>
          <cell r="K3790">
            <v>1.9356</v>
          </cell>
          <cell r="L3790">
            <v>49011</v>
          </cell>
          <cell r="M3790">
            <v>9074</v>
          </cell>
          <cell r="N3790">
            <v>471493.62900097319</v>
          </cell>
          <cell r="O3790">
            <v>474553.53240911762</v>
          </cell>
          <cell r="P3790">
            <v>278.22840000000002</v>
          </cell>
        </row>
        <row r="3791">
          <cell r="B3791">
            <v>36214</v>
          </cell>
          <cell r="C3791">
            <v>3.8686959999999999</v>
          </cell>
          <cell r="D3791">
            <v>2.0127999999999999</v>
          </cell>
          <cell r="E3791">
            <v>48805</v>
          </cell>
          <cell r="F3791">
            <v>8942</v>
          </cell>
          <cell r="J3791">
            <v>2257729.179010299</v>
          </cell>
          <cell r="K3791">
            <v>2.0127999999999999</v>
          </cell>
          <cell r="L3791">
            <v>48805</v>
          </cell>
          <cell r="M3791">
            <v>8942</v>
          </cell>
          <cell r="N3791">
            <v>471493.62900097319</v>
          </cell>
          <cell r="O3791">
            <v>474553.53240911762</v>
          </cell>
          <cell r="P3791">
            <v>278.22840000000002</v>
          </cell>
        </row>
        <row r="3792">
          <cell r="B3792">
            <v>36215</v>
          </cell>
          <cell r="C3792">
            <v>3.8678340000000002</v>
          </cell>
          <cell r="D3792">
            <v>2.0032999999999999</v>
          </cell>
          <cell r="E3792">
            <v>49227</v>
          </cell>
          <cell r="F3792">
            <v>8953</v>
          </cell>
          <cell r="J3792">
            <v>2260640.0195707553</v>
          </cell>
          <cell r="K3792">
            <v>2.0032999999999999</v>
          </cell>
          <cell r="L3792">
            <v>49227</v>
          </cell>
          <cell r="M3792">
            <v>8953</v>
          </cell>
          <cell r="N3792">
            <v>471493.62900097319</v>
          </cell>
          <cell r="O3792">
            <v>474553.53240911762</v>
          </cell>
          <cell r="P3792">
            <v>278.22840000000002</v>
          </cell>
        </row>
        <row r="3793">
          <cell r="B3793">
            <v>36216</v>
          </cell>
          <cell r="C3793">
            <v>3.8669720000000001</v>
          </cell>
          <cell r="D3793">
            <v>2.0350999999999999</v>
          </cell>
          <cell r="E3793">
            <v>48479</v>
          </cell>
          <cell r="F3793">
            <v>8674</v>
          </cell>
          <cell r="J3793">
            <v>2263553.9634566749</v>
          </cell>
          <cell r="K3793">
            <v>2.0350999999999999</v>
          </cell>
          <cell r="L3793">
            <v>48479</v>
          </cell>
          <cell r="M3793">
            <v>8674</v>
          </cell>
          <cell r="N3793">
            <v>471493.62900097319</v>
          </cell>
          <cell r="O3793">
            <v>474553.53240911762</v>
          </cell>
          <cell r="P3793">
            <v>278.22840000000002</v>
          </cell>
        </row>
        <row r="3794">
          <cell r="B3794">
            <v>36217</v>
          </cell>
          <cell r="C3794">
            <v>3.8721410000000001</v>
          </cell>
          <cell r="D3794">
            <v>2.0648</v>
          </cell>
          <cell r="E3794">
            <v>49216</v>
          </cell>
          <cell r="F3794">
            <v>8910</v>
          </cell>
          <cell r="G3794">
            <v>4.4400000000000004</v>
          </cell>
          <cell r="H3794">
            <v>3.61</v>
          </cell>
          <cell r="I3794">
            <v>281.94</v>
          </cell>
          <cell r="J3794">
            <v>2266475.5634925459</v>
          </cell>
          <cell r="K3794">
            <v>2.0648</v>
          </cell>
          <cell r="L3794">
            <v>49216</v>
          </cell>
          <cell r="M3794">
            <v>8910</v>
          </cell>
          <cell r="N3794">
            <v>492427.9461286164</v>
          </cell>
          <cell r="O3794">
            <v>491684.91492908675</v>
          </cell>
          <cell r="P3794">
            <v>281.94</v>
          </cell>
        </row>
        <row r="3795">
          <cell r="B3795">
            <v>36220</v>
          </cell>
          <cell r="C3795">
            <v>3.8738630000000001</v>
          </cell>
          <cell r="D3795">
            <v>2.0284</v>
          </cell>
          <cell r="E3795">
            <v>49734</v>
          </cell>
          <cell r="F3795">
            <v>9198</v>
          </cell>
          <cell r="J3795">
            <v>2269402.2354344851</v>
          </cell>
          <cell r="K3795">
            <v>2.0284</v>
          </cell>
          <cell r="L3795">
            <v>49734</v>
          </cell>
          <cell r="M3795">
            <v>9198</v>
          </cell>
          <cell r="N3795">
            <v>492427.9461286164</v>
          </cell>
          <cell r="O3795">
            <v>491684.91492908675</v>
          </cell>
          <cell r="P3795">
            <v>281.94</v>
          </cell>
        </row>
        <row r="3796">
          <cell r="B3796">
            <v>36221</v>
          </cell>
          <cell r="C3796">
            <v>3.8712800000000001</v>
          </cell>
          <cell r="D3796">
            <v>2.1307999999999998</v>
          </cell>
          <cell r="E3796">
            <v>49584</v>
          </cell>
          <cell r="F3796">
            <v>9070</v>
          </cell>
          <cell r="J3796">
            <v>2272330.7325964826</v>
          </cell>
          <cell r="K3796">
            <v>2.1307999999999998</v>
          </cell>
          <cell r="L3796">
            <v>49584</v>
          </cell>
          <cell r="M3796">
            <v>9070</v>
          </cell>
          <cell r="N3796">
            <v>492427.9461286164</v>
          </cell>
          <cell r="O3796">
            <v>491684.91492908675</v>
          </cell>
          <cell r="P3796">
            <v>281.94</v>
          </cell>
        </row>
        <row r="3797">
          <cell r="B3797">
            <v>36222</v>
          </cell>
          <cell r="C3797">
            <v>3.8721410000000001</v>
          </cell>
          <cell r="D3797">
            <v>2.1646999999999998</v>
          </cell>
          <cell r="E3797">
            <v>49918</v>
          </cell>
          <cell r="F3797">
            <v>9154</v>
          </cell>
          <cell r="J3797">
            <v>2275263.6609282317</v>
          </cell>
          <cell r="K3797">
            <v>2.1646999999999998</v>
          </cell>
          <cell r="L3797">
            <v>49918</v>
          </cell>
          <cell r="M3797">
            <v>9154</v>
          </cell>
          <cell r="N3797">
            <v>492427.9461286164</v>
          </cell>
          <cell r="O3797">
            <v>491684.91492908675</v>
          </cell>
          <cell r="P3797">
            <v>281.94</v>
          </cell>
        </row>
        <row r="3798">
          <cell r="B3798">
            <v>36223</v>
          </cell>
          <cell r="C3798">
            <v>3.8816109999999999</v>
          </cell>
          <cell r="D3798">
            <v>2.1021999999999998</v>
          </cell>
          <cell r="E3798">
            <v>51362</v>
          </cell>
          <cell r="F3798">
            <v>9508</v>
          </cell>
          <cell r="J3798">
            <v>2278207.5570796183</v>
          </cell>
          <cell r="K3798">
            <v>2.1021999999999998</v>
          </cell>
          <cell r="L3798">
            <v>51362</v>
          </cell>
          <cell r="M3798">
            <v>9508</v>
          </cell>
          <cell r="N3798">
            <v>492427.9461286164</v>
          </cell>
          <cell r="O3798">
            <v>491684.91492908675</v>
          </cell>
          <cell r="P3798">
            <v>281.94</v>
          </cell>
        </row>
        <row r="3799">
          <cell r="B3799">
            <v>36224</v>
          </cell>
          <cell r="C3799">
            <v>4.3664649999999998</v>
          </cell>
          <cell r="D3799">
            <v>1.9934000000000001</v>
          </cell>
          <cell r="E3799">
            <v>51701</v>
          </cell>
          <cell r="F3799">
            <v>9465</v>
          </cell>
          <cell r="J3799">
            <v>2281523.4615998594</v>
          </cell>
          <cell r="K3799">
            <v>1.9934000000000001</v>
          </cell>
          <cell r="L3799">
            <v>51701</v>
          </cell>
          <cell r="M3799">
            <v>9465</v>
          </cell>
          <cell r="N3799">
            <v>492427.9461286164</v>
          </cell>
          <cell r="O3799">
            <v>491684.91492908675</v>
          </cell>
          <cell r="P3799">
            <v>281.94</v>
          </cell>
        </row>
        <row r="3800">
          <cell r="B3800">
            <v>36227</v>
          </cell>
          <cell r="C3800">
            <v>4.3681169999999998</v>
          </cell>
          <cell r="D3800">
            <v>1.9708000000000001</v>
          </cell>
          <cell r="E3800">
            <v>53177</v>
          </cell>
          <cell r="F3800">
            <v>9785</v>
          </cell>
          <cell r="J3800">
            <v>2284845.4487393638</v>
          </cell>
          <cell r="K3800">
            <v>1.9708000000000001</v>
          </cell>
          <cell r="L3800">
            <v>53177</v>
          </cell>
          <cell r="M3800">
            <v>9785</v>
          </cell>
          <cell r="N3800">
            <v>492427.9461286164</v>
          </cell>
          <cell r="O3800">
            <v>491684.91492908675</v>
          </cell>
          <cell r="P3800">
            <v>281.94</v>
          </cell>
        </row>
        <row r="3801">
          <cell r="B3801">
            <v>36228</v>
          </cell>
          <cell r="C3801">
            <v>4.3581979999999998</v>
          </cell>
          <cell r="D3801">
            <v>1.9056</v>
          </cell>
          <cell r="E3801">
            <v>52522</v>
          </cell>
          <cell r="F3801">
            <v>9484</v>
          </cell>
          <cell r="J3801">
            <v>2288164.7183610322</v>
          </cell>
          <cell r="K3801">
            <v>1.9056</v>
          </cell>
          <cell r="L3801">
            <v>52522</v>
          </cell>
          <cell r="M3801">
            <v>9484</v>
          </cell>
          <cell r="N3801">
            <v>492427.9461286164</v>
          </cell>
          <cell r="O3801">
            <v>491684.91492908675</v>
          </cell>
          <cell r="P3801">
            <v>281.94</v>
          </cell>
        </row>
        <row r="3802">
          <cell r="B3802">
            <v>36229</v>
          </cell>
          <cell r="C3802">
            <v>4.3590249999999999</v>
          </cell>
          <cell r="D3802">
            <v>1.8631</v>
          </cell>
          <cell r="E3802">
            <v>54405</v>
          </cell>
          <cell r="F3802">
            <v>9778</v>
          </cell>
          <cell r="J3802">
            <v>2291489.44076485</v>
          </cell>
          <cell r="K3802">
            <v>1.8631</v>
          </cell>
          <cell r="L3802">
            <v>54405</v>
          </cell>
          <cell r="M3802">
            <v>9778</v>
          </cell>
          <cell r="N3802">
            <v>492427.9461286164</v>
          </cell>
          <cell r="O3802">
            <v>491684.91492908675</v>
          </cell>
          <cell r="P3802">
            <v>281.94</v>
          </cell>
        </row>
        <row r="3803">
          <cell r="B3803">
            <v>36230</v>
          </cell>
          <cell r="C3803">
            <v>4.3714219999999999</v>
          </cell>
          <cell r="D3803">
            <v>1.8784000000000001</v>
          </cell>
          <cell r="E3803">
            <v>55628</v>
          </cell>
          <cell r="F3803">
            <v>9697</v>
          </cell>
          <cell r="J3803">
            <v>2294828.4632162256</v>
          </cell>
          <cell r="K3803">
            <v>1.8784000000000001</v>
          </cell>
          <cell r="L3803">
            <v>55628</v>
          </cell>
          <cell r="M3803">
            <v>9697</v>
          </cell>
          <cell r="N3803">
            <v>492427.9461286164</v>
          </cell>
          <cell r="O3803">
            <v>491684.91492908675</v>
          </cell>
          <cell r="P3803">
            <v>281.94</v>
          </cell>
        </row>
        <row r="3804">
          <cell r="B3804">
            <v>36231</v>
          </cell>
          <cell r="C3804">
            <v>4.3689429999999998</v>
          </cell>
          <cell r="D3804">
            <v>1.9051</v>
          </cell>
          <cell r="E3804">
            <v>56034</v>
          </cell>
          <cell r="F3804">
            <v>9574</v>
          </cell>
          <cell r="J3804">
            <v>2298170.4547997485</v>
          </cell>
          <cell r="K3804">
            <v>1.9051</v>
          </cell>
          <cell r="L3804">
            <v>56034</v>
          </cell>
          <cell r="M3804">
            <v>9574</v>
          </cell>
          <cell r="N3804">
            <v>492427.9461286164</v>
          </cell>
          <cell r="O3804">
            <v>491684.91492908675</v>
          </cell>
          <cell r="P3804">
            <v>281.94</v>
          </cell>
        </row>
        <row r="3805">
          <cell r="B3805">
            <v>36234</v>
          </cell>
          <cell r="C3805">
            <v>4.3664649999999998</v>
          </cell>
          <cell r="D3805">
            <v>1.8825000000000001</v>
          </cell>
          <cell r="E3805">
            <v>58714</v>
          </cell>
          <cell r="F3805">
            <v>10413</v>
          </cell>
          <cell r="J3805">
            <v>2301515.4150847211</v>
          </cell>
          <cell r="K3805">
            <v>1.8825000000000001</v>
          </cell>
          <cell r="L3805">
            <v>58714</v>
          </cell>
          <cell r="M3805">
            <v>10413</v>
          </cell>
          <cell r="N3805">
            <v>492427.9461286164</v>
          </cell>
          <cell r="O3805">
            <v>491684.91492908675</v>
          </cell>
          <cell r="P3805">
            <v>281.94</v>
          </cell>
        </row>
        <row r="3806">
          <cell r="B3806">
            <v>36235</v>
          </cell>
          <cell r="C3806">
            <v>4.3639849999999996</v>
          </cell>
          <cell r="D3806">
            <v>1.8521000000000001</v>
          </cell>
          <cell r="E3806">
            <v>59557</v>
          </cell>
          <cell r="F3806">
            <v>10658</v>
          </cell>
          <cell r="J3806">
            <v>2304863.3413342871</v>
          </cell>
          <cell r="K3806">
            <v>1.8521000000000001</v>
          </cell>
          <cell r="L3806">
            <v>59557</v>
          </cell>
          <cell r="M3806">
            <v>10658</v>
          </cell>
          <cell r="N3806">
            <v>492427.9461286164</v>
          </cell>
          <cell r="O3806">
            <v>491684.91492908675</v>
          </cell>
          <cell r="P3806">
            <v>281.94</v>
          </cell>
        </row>
        <row r="3807">
          <cell r="B3807">
            <v>36236</v>
          </cell>
          <cell r="C3807">
            <v>4.3681169999999998</v>
          </cell>
          <cell r="D3807">
            <v>1.8776999999999999</v>
          </cell>
          <cell r="E3807">
            <v>59505</v>
          </cell>
          <cell r="F3807">
            <v>10634</v>
          </cell>
          <cell r="J3807">
            <v>2308219.3122489401</v>
          </cell>
          <cell r="K3807">
            <v>1.8776999999999999</v>
          </cell>
          <cell r="L3807">
            <v>59505</v>
          </cell>
          <cell r="M3807">
            <v>10634</v>
          </cell>
          <cell r="N3807">
            <v>492427.9461286164</v>
          </cell>
          <cell r="O3807">
            <v>491684.91492908675</v>
          </cell>
          <cell r="P3807">
            <v>281.94</v>
          </cell>
        </row>
        <row r="3808">
          <cell r="B3808">
            <v>36237</v>
          </cell>
          <cell r="C3808">
            <v>4.3722479999999999</v>
          </cell>
          <cell r="D3808">
            <v>1.8595999999999999</v>
          </cell>
          <cell r="E3808">
            <v>60883</v>
          </cell>
          <cell r="F3808">
            <v>10894</v>
          </cell>
          <cell r="J3808">
            <v>2311583.3480061209</v>
          </cell>
          <cell r="K3808">
            <v>1.8595999999999999</v>
          </cell>
          <cell r="L3808">
            <v>60883</v>
          </cell>
          <cell r="M3808">
            <v>10894</v>
          </cell>
          <cell r="N3808">
            <v>492427.9461286164</v>
          </cell>
          <cell r="O3808">
            <v>491684.91492908675</v>
          </cell>
          <cell r="P3808">
            <v>281.94</v>
          </cell>
        </row>
        <row r="3809">
          <cell r="B3809">
            <v>36238</v>
          </cell>
          <cell r="C3809">
            <v>4.3656379999999997</v>
          </cell>
          <cell r="D3809">
            <v>1.8507</v>
          </cell>
          <cell r="E3809">
            <v>61398</v>
          </cell>
          <cell r="F3809">
            <v>10835</v>
          </cell>
          <cell r="J3809">
            <v>2314947.1933741951</v>
          </cell>
          <cell r="K3809">
            <v>1.8507</v>
          </cell>
          <cell r="L3809">
            <v>61398</v>
          </cell>
          <cell r="M3809">
            <v>10835</v>
          </cell>
          <cell r="N3809">
            <v>492427.9461286164</v>
          </cell>
          <cell r="O3809">
            <v>491684.91492908675</v>
          </cell>
          <cell r="P3809">
            <v>281.94</v>
          </cell>
        </row>
        <row r="3810">
          <cell r="B3810">
            <v>36241</v>
          </cell>
          <cell r="C3810">
            <v>4.3648119999999997</v>
          </cell>
          <cell r="D3810">
            <v>1.8614999999999999</v>
          </cell>
          <cell r="E3810">
            <v>60442</v>
          </cell>
          <cell r="F3810">
            <v>10527</v>
          </cell>
          <cell r="J3810">
            <v>2318315.2964705303</v>
          </cell>
          <cell r="K3810">
            <v>1.8614999999999999</v>
          </cell>
          <cell r="L3810">
            <v>60442</v>
          </cell>
          <cell r="M3810">
            <v>10527</v>
          </cell>
          <cell r="N3810">
            <v>492427.9461286164</v>
          </cell>
          <cell r="O3810">
            <v>491684.91492908675</v>
          </cell>
          <cell r="P3810">
            <v>281.94</v>
          </cell>
        </row>
        <row r="3811">
          <cell r="B3811">
            <v>36242</v>
          </cell>
          <cell r="C3811">
            <v>4.3631589999999996</v>
          </cell>
          <cell r="D3811">
            <v>1.8515999999999999</v>
          </cell>
          <cell r="E3811">
            <v>60051</v>
          </cell>
          <cell r="F3811">
            <v>10416</v>
          </cell>
          <cell r="J3811">
            <v>2321687.0225540749</v>
          </cell>
          <cell r="K3811">
            <v>1.8515999999999999</v>
          </cell>
          <cell r="L3811">
            <v>60051</v>
          </cell>
          <cell r="M3811">
            <v>10416</v>
          </cell>
          <cell r="N3811">
            <v>492427.9461286164</v>
          </cell>
          <cell r="O3811">
            <v>491684.91492908675</v>
          </cell>
          <cell r="P3811">
            <v>281.94</v>
          </cell>
        </row>
        <row r="3812">
          <cell r="B3812">
            <v>36243</v>
          </cell>
          <cell r="C3812">
            <v>4.3648119999999997</v>
          </cell>
          <cell r="D3812">
            <v>1.8428</v>
          </cell>
          <cell r="E3812">
            <v>60060</v>
          </cell>
          <cell r="F3812">
            <v>10428</v>
          </cell>
          <cell r="J3812">
            <v>2325064.931679504</v>
          </cell>
          <cell r="K3812">
            <v>1.8428</v>
          </cell>
          <cell r="L3812">
            <v>60060</v>
          </cell>
          <cell r="M3812">
            <v>10428</v>
          </cell>
          <cell r="N3812">
            <v>492427.9461286164</v>
          </cell>
          <cell r="O3812">
            <v>491684.91492908675</v>
          </cell>
          <cell r="P3812">
            <v>281.94</v>
          </cell>
        </row>
        <row r="3813">
          <cell r="B3813">
            <v>36244</v>
          </cell>
          <cell r="C3813">
            <v>4.1210110000000002</v>
          </cell>
          <cell r="D3813">
            <v>1.81</v>
          </cell>
          <cell r="E3813">
            <v>62301</v>
          </cell>
          <cell r="F3813">
            <v>10937</v>
          </cell>
          <cell r="J3813">
            <v>2328258.8043992259</v>
          </cell>
          <cell r="K3813">
            <v>1.81</v>
          </cell>
          <cell r="L3813">
            <v>62301</v>
          </cell>
          <cell r="M3813">
            <v>10937</v>
          </cell>
          <cell r="N3813">
            <v>492427.9461286164</v>
          </cell>
          <cell r="O3813">
            <v>491684.91492908675</v>
          </cell>
          <cell r="P3813">
            <v>281.94</v>
          </cell>
        </row>
        <row r="3814">
          <cell r="B3814">
            <v>36245</v>
          </cell>
          <cell r="C3814">
            <v>4.1193239999999998</v>
          </cell>
          <cell r="D3814">
            <v>1.7749999999999999</v>
          </cell>
          <cell r="E3814">
            <v>62154</v>
          </cell>
          <cell r="F3814">
            <v>10865</v>
          </cell>
          <cell r="J3814">
            <v>2331455.7551896167</v>
          </cell>
          <cell r="K3814">
            <v>1.7749999999999999</v>
          </cell>
          <cell r="L3814">
            <v>62154</v>
          </cell>
          <cell r="M3814">
            <v>10865</v>
          </cell>
          <cell r="N3814">
            <v>492427.9461286164</v>
          </cell>
          <cell r="O3814">
            <v>491684.91492908675</v>
          </cell>
          <cell r="P3814">
            <v>281.94</v>
          </cell>
        </row>
        <row r="3815">
          <cell r="B3815">
            <v>36248</v>
          </cell>
          <cell r="C3815">
            <v>4.1193239999999998</v>
          </cell>
          <cell r="D3815">
            <v>1.7655000000000001</v>
          </cell>
          <cell r="E3815">
            <v>62012</v>
          </cell>
          <cell r="F3815">
            <v>10868</v>
          </cell>
          <cell r="J3815">
            <v>2334657.0957387132</v>
          </cell>
          <cell r="K3815">
            <v>1.7655000000000001</v>
          </cell>
          <cell r="L3815">
            <v>62012</v>
          </cell>
          <cell r="M3815">
            <v>10868</v>
          </cell>
          <cell r="N3815">
            <v>492427.9461286164</v>
          </cell>
          <cell r="O3815">
            <v>491684.91492908675</v>
          </cell>
          <cell r="P3815">
            <v>281.94</v>
          </cell>
        </row>
        <row r="3816">
          <cell r="B3816">
            <v>36249</v>
          </cell>
          <cell r="C3816">
            <v>4.1159489999999996</v>
          </cell>
          <cell r="D3816">
            <v>1.7334000000000001</v>
          </cell>
          <cell r="E3816">
            <v>63138</v>
          </cell>
          <cell r="F3816">
            <v>11027</v>
          </cell>
          <cell r="J3816">
            <v>2337860.2055848963</v>
          </cell>
          <cell r="K3816">
            <v>1.7334000000000001</v>
          </cell>
          <cell r="L3816">
            <v>63138</v>
          </cell>
          <cell r="M3816">
            <v>11027</v>
          </cell>
          <cell r="N3816">
            <v>492427.9461286164</v>
          </cell>
          <cell r="O3816">
            <v>491684.91492908675</v>
          </cell>
          <cell r="P3816">
            <v>281.94</v>
          </cell>
        </row>
        <row r="3817">
          <cell r="B3817">
            <v>36250</v>
          </cell>
          <cell r="C3817">
            <v>3.945122</v>
          </cell>
          <cell r="D3817">
            <v>1.722</v>
          </cell>
          <cell r="E3817">
            <v>63329</v>
          </cell>
          <cell r="F3817">
            <v>10696</v>
          </cell>
          <cell r="G3817">
            <v>1.98</v>
          </cell>
          <cell r="H3817">
            <v>2.83</v>
          </cell>
          <cell r="I3817">
            <v>286.64069999999998</v>
          </cell>
          <cell r="J3817">
            <v>2340934.586828222</v>
          </cell>
          <cell r="K3817">
            <v>1.722</v>
          </cell>
          <cell r="L3817">
            <v>63329</v>
          </cell>
          <cell r="M3817">
            <v>10696</v>
          </cell>
          <cell r="N3817">
            <v>502178.01946196303</v>
          </cell>
          <cell r="O3817">
            <v>505599.59802157991</v>
          </cell>
          <cell r="P3817">
            <v>286.64069999999998</v>
          </cell>
        </row>
        <row r="3818">
          <cell r="B3818">
            <v>36255</v>
          </cell>
          <cell r="C3818">
            <v>3.8953709999999999</v>
          </cell>
          <cell r="D3818">
            <v>1.7251000000000001</v>
          </cell>
          <cell r="E3818">
            <v>65020</v>
          </cell>
          <cell r="F3818">
            <v>11021</v>
          </cell>
          <cell r="J3818">
            <v>2343974.1897290316</v>
          </cell>
          <cell r="K3818">
            <v>1.7251000000000001</v>
          </cell>
          <cell r="L3818">
            <v>65020</v>
          </cell>
          <cell r="M3818">
            <v>11021</v>
          </cell>
          <cell r="N3818">
            <v>502178.01946196303</v>
          </cell>
          <cell r="O3818">
            <v>505599.59802157991</v>
          </cell>
          <cell r="P3818">
            <v>286.64069999999998</v>
          </cell>
        </row>
        <row r="3819">
          <cell r="B3819">
            <v>36256</v>
          </cell>
          <cell r="C3819">
            <v>3.8824709999999998</v>
          </cell>
          <cell r="D3819">
            <v>1.7314000000000001</v>
          </cell>
          <cell r="E3819">
            <v>66307</v>
          </cell>
          <cell r="F3819">
            <v>11165</v>
          </cell>
          <cell r="J3819">
            <v>2347007.6603344888</v>
          </cell>
          <cell r="K3819">
            <v>1.7314000000000001</v>
          </cell>
          <cell r="L3819">
            <v>66307</v>
          </cell>
          <cell r="M3819">
            <v>11165</v>
          </cell>
          <cell r="N3819">
            <v>502178.01946196303</v>
          </cell>
          <cell r="O3819">
            <v>505599.59802157991</v>
          </cell>
          <cell r="P3819">
            <v>286.64069999999998</v>
          </cell>
        </row>
        <row r="3820">
          <cell r="B3820">
            <v>36257</v>
          </cell>
          <cell r="C3820">
            <v>3.8798889999999999</v>
          </cell>
          <cell r="D3820">
            <v>1.7295</v>
          </cell>
          <cell r="E3820">
            <v>68174</v>
          </cell>
          <cell r="F3820">
            <v>11529</v>
          </cell>
          <cell r="J3820">
            <v>2350043.0367359049</v>
          </cell>
          <cell r="K3820">
            <v>1.7295</v>
          </cell>
          <cell r="L3820">
            <v>68174</v>
          </cell>
          <cell r="M3820">
            <v>11529</v>
          </cell>
          <cell r="N3820">
            <v>502178.01946196303</v>
          </cell>
          <cell r="O3820">
            <v>505599.59802157991</v>
          </cell>
          <cell r="P3820">
            <v>286.64069999999998</v>
          </cell>
        </row>
        <row r="3821">
          <cell r="B3821">
            <v>36258</v>
          </cell>
          <cell r="C3821">
            <v>3.8833319999999998</v>
          </cell>
          <cell r="D3821">
            <v>1.7205999999999999</v>
          </cell>
          <cell r="E3821">
            <v>68748</v>
          </cell>
          <cell r="F3821">
            <v>11465</v>
          </cell>
          <cell r="J3821">
            <v>2353085.0358445495</v>
          </cell>
          <cell r="K3821">
            <v>1.7205999999999999</v>
          </cell>
          <cell r="L3821">
            <v>68748</v>
          </cell>
          <cell r="M3821">
            <v>11465</v>
          </cell>
          <cell r="N3821">
            <v>502178.01946196303</v>
          </cell>
          <cell r="O3821">
            <v>505599.59802157991</v>
          </cell>
          <cell r="P3821">
            <v>286.64069999999998</v>
          </cell>
        </row>
        <row r="3822">
          <cell r="B3822">
            <v>36259</v>
          </cell>
          <cell r="C3822">
            <v>3.8850519999999999</v>
          </cell>
          <cell r="D3822">
            <v>1.7090000000000001</v>
          </cell>
          <cell r="E3822">
            <v>68449</v>
          </cell>
          <cell r="F3822">
            <v>11328</v>
          </cell>
          <cell r="J3822">
            <v>2356132.3217527755</v>
          </cell>
          <cell r="K3822">
            <v>1.7090000000000001</v>
          </cell>
          <cell r="L3822">
            <v>68449</v>
          </cell>
          <cell r="M3822">
            <v>11328</v>
          </cell>
          <cell r="N3822">
            <v>502178.01946196303</v>
          </cell>
          <cell r="O3822">
            <v>505599.59802157991</v>
          </cell>
          <cell r="P3822">
            <v>286.64069999999998</v>
          </cell>
        </row>
        <row r="3823">
          <cell r="B3823">
            <v>36262</v>
          </cell>
          <cell r="C3823">
            <v>3.8902130000000001</v>
          </cell>
          <cell r="D3823">
            <v>1.7054</v>
          </cell>
          <cell r="E3823">
            <v>68379</v>
          </cell>
          <cell r="F3823">
            <v>11429</v>
          </cell>
          <cell r="J3823">
            <v>2359187.607282043</v>
          </cell>
          <cell r="K3823">
            <v>1.7054</v>
          </cell>
          <cell r="L3823">
            <v>68379</v>
          </cell>
          <cell r="M3823">
            <v>11429</v>
          </cell>
          <cell r="N3823">
            <v>502178.01946196303</v>
          </cell>
          <cell r="O3823">
            <v>505599.59802157991</v>
          </cell>
          <cell r="P3823">
            <v>286.64069999999998</v>
          </cell>
        </row>
        <row r="3824">
          <cell r="B3824">
            <v>36263</v>
          </cell>
          <cell r="C3824">
            <v>3.8876330000000001</v>
          </cell>
          <cell r="D3824">
            <v>1.6719999999999999</v>
          </cell>
          <cell r="E3824">
            <v>67474</v>
          </cell>
          <cell r="F3824">
            <v>11217</v>
          </cell>
          <cell r="J3824">
            <v>2362244.8258137968</v>
          </cell>
          <cell r="K3824">
            <v>1.6719999999999999</v>
          </cell>
          <cell r="L3824">
            <v>67474</v>
          </cell>
          <cell r="M3824">
            <v>11217</v>
          </cell>
          <cell r="N3824">
            <v>502178.01946196303</v>
          </cell>
          <cell r="O3824">
            <v>505599.59802157991</v>
          </cell>
          <cell r="P3824">
            <v>286.64069999999998</v>
          </cell>
        </row>
        <row r="3825">
          <cell r="B3825">
            <v>36264</v>
          </cell>
          <cell r="C3825">
            <v>3.374485</v>
          </cell>
          <cell r="D3825">
            <v>1.6575</v>
          </cell>
          <cell r="E3825">
            <v>68566</v>
          </cell>
          <cell r="F3825">
            <v>11305</v>
          </cell>
          <cell r="J3825">
            <v>2364901.9457241422</v>
          </cell>
          <cell r="K3825">
            <v>1.6575</v>
          </cell>
          <cell r="L3825">
            <v>68566</v>
          </cell>
          <cell r="M3825">
            <v>11305</v>
          </cell>
          <cell r="N3825">
            <v>502178.01946196303</v>
          </cell>
          <cell r="O3825">
            <v>505599.59802157991</v>
          </cell>
          <cell r="P3825">
            <v>286.64069999999998</v>
          </cell>
        </row>
        <row r="3826">
          <cell r="B3826">
            <v>36265</v>
          </cell>
          <cell r="C3826">
            <v>3.4291260000000001</v>
          </cell>
          <cell r="D3826">
            <v>1.6688000000000001</v>
          </cell>
          <cell r="E3826">
            <v>69041</v>
          </cell>
          <cell r="F3826">
            <v>11245</v>
          </cell>
          <cell r="J3826">
            <v>2367605.1279739868</v>
          </cell>
          <cell r="K3826">
            <v>1.6688000000000001</v>
          </cell>
          <cell r="L3826">
            <v>69041</v>
          </cell>
          <cell r="M3826">
            <v>11245</v>
          </cell>
          <cell r="N3826">
            <v>502178.01946196303</v>
          </cell>
          <cell r="O3826">
            <v>505599.59802157991</v>
          </cell>
          <cell r="P3826">
            <v>286.64069999999998</v>
          </cell>
        </row>
        <row r="3827">
          <cell r="B3827">
            <v>36266</v>
          </cell>
          <cell r="C3827">
            <v>3.4291260000000001</v>
          </cell>
          <cell r="D3827">
            <v>1.67</v>
          </cell>
          <cell r="E3827">
            <v>70858</v>
          </cell>
          <cell r="F3827">
            <v>11428</v>
          </cell>
          <cell r="J3827">
            <v>2370311.4000746766</v>
          </cell>
          <cell r="K3827">
            <v>1.67</v>
          </cell>
          <cell r="L3827">
            <v>70858</v>
          </cell>
          <cell r="M3827">
            <v>11428</v>
          </cell>
          <cell r="N3827">
            <v>502178.01946196303</v>
          </cell>
          <cell r="O3827">
            <v>505599.59802157991</v>
          </cell>
          <cell r="P3827">
            <v>286.64069999999998</v>
          </cell>
        </row>
        <row r="3828">
          <cell r="B3828">
            <v>36269</v>
          </cell>
          <cell r="C3828">
            <v>3.4327000000000001</v>
          </cell>
          <cell r="D3828">
            <v>1.6720999999999999</v>
          </cell>
          <cell r="E3828">
            <v>70472</v>
          </cell>
          <cell r="F3828">
            <v>11196</v>
          </cell>
          <cell r="J3828">
            <v>2373023.589389022</v>
          </cell>
          <cell r="K3828">
            <v>1.6720999999999999</v>
          </cell>
          <cell r="L3828">
            <v>70472</v>
          </cell>
          <cell r="M3828">
            <v>11196</v>
          </cell>
          <cell r="N3828">
            <v>502178.01946196303</v>
          </cell>
          <cell r="O3828">
            <v>505599.59802157991</v>
          </cell>
          <cell r="P3828">
            <v>286.64069999999998</v>
          </cell>
        </row>
        <row r="3829">
          <cell r="B3829">
            <v>36270</v>
          </cell>
          <cell r="C3829">
            <v>3.4210799999999999</v>
          </cell>
          <cell r="D3829">
            <v>1.7101</v>
          </cell>
          <cell r="E3829">
            <v>69236</v>
          </cell>
          <cell r="F3829">
            <v>10989</v>
          </cell>
          <cell r="J3829">
            <v>2375729.6905694176</v>
          </cell>
          <cell r="K3829">
            <v>1.7101</v>
          </cell>
          <cell r="L3829">
            <v>69236</v>
          </cell>
          <cell r="M3829">
            <v>10989</v>
          </cell>
          <cell r="N3829">
            <v>502178.01946196303</v>
          </cell>
          <cell r="O3829">
            <v>505599.59802157991</v>
          </cell>
          <cell r="P3829">
            <v>286.64069999999998</v>
          </cell>
        </row>
        <row r="3830">
          <cell r="B3830">
            <v>36272</v>
          </cell>
          <cell r="C3830">
            <v>3.401389</v>
          </cell>
          <cell r="D3830">
            <v>1.7014</v>
          </cell>
          <cell r="E3830">
            <v>69552</v>
          </cell>
          <cell r="F3830">
            <v>11083</v>
          </cell>
          <cell r="J3830">
            <v>2378423.2841815762</v>
          </cell>
          <cell r="K3830">
            <v>1.7014</v>
          </cell>
          <cell r="L3830">
            <v>69552</v>
          </cell>
          <cell r="M3830">
            <v>11083</v>
          </cell>
          <cell r="N3830">
            <v>502178.01946196303</v>
          </cell>
          <cell r="O3830">
            <v>505599.59802157991</v>
          </cell>
          <cell r="P3830">
            <v>286.64069999999998</v>
          </cell>
        </row>
        <row r="3831">
          <cell r="B3831">
            <v>36273</v>
          </cell>
          <cell r="C3831">
            <v>3.346622</v>
          </cell>
          <cell r="D3831">
            <v>1.6851</v>
          </cell>
          <cell r="E3831">
            <v>70021</v>
          </cell>
          <cell r="F3831">
            <v>11031</v>
          </cell>
          <cell r="J3831">
            <v>2381076.5120776277</v>
          </cell>
          <cell r="K3831">
            <v>1.6851</v>
          </cell>
          <cell r="L3831">
            <v>70021</v>
          </cell>
          <cell r="M3831">
            <v>11031</v>
          </cell>
          <cell r="N3831">
            <v>502178.01946196303</v>
          </cell>
          <cell r="O3831">
            <v>505599.59802157991</v>
          </cell>
          <cell r="P3831">
            <v>286.64069999999998</v>
          </cell>
        </row>
        <row r="3832">
          <cell r="B3832">
            <v>36276</v>
          </cell>
          <cell r="C3832">
            <v>3.3439220000000001</v>
          </cell>
          <cell r="D3832">
            <v>1.6978</v>
          </cell>
          <cell r="E3832">
            <v>69094</v>
          </cell>
          <cell r="F3832">
            <v>10797</v>
          </cell>
          <cell r="J3832">
            <v>2383730.5567884343</v>
          </cell>
          <cell r="K3832">
            <v>1.6978</v>
          </cell>
          <cell r="L3832">
            <v>69094</v>
          </cell>
          <cell r="M3832">
            <v>10797</v>
          </cell>
          <cell r="N3832">
            <v>502178.01946196303</v>
          </cell>
          <cell r="O3832">
            <v>505599.59802157991</v>
          </cell>
          <cell r="P3832">
            <v>286.64069999999998</v>
          </cell>
        </row>
        <row r="3833">
          <cell r="B3833">
            <v>36277</v>
          </cell>
          <cell r="C3833">
            <v>3.3349169999999999</v>
          </cell>
          <cell r="D3833">
            <v>1.7069000000000001</v>
          </cell>
          <cell r="E3833">
            <v>69497</v>
          </cell>
          <cell r="F3833">
            <v>10885</v>
          </cell>
          <cell r="J3833">
            <v>2386380.4046408525</v>
          </cell>
          <cell r="K3833">
            <v>1.7069000000000001</v>
          </cell>
          <cell r="L3833">
            <v>69497</v>
          </cell>
          <cell r="M3833">
            <v>10885</v>
          </cell>
          <cell r="N3833">
            <v>502178.01946196303</v>
          </cell>
          <cell r="O3833">
            <v>505599.59802157991</v>
          </cell>
          <cell r="P3833">
            <v>286.64069999999998</v>
          </cell>
        </row>
        <row r="3834">
          <cell r="B3834">
            <v>36278</v>
          </cell>
          <cell r="C3834">
            <v>3.3141820000000002</v>
          </cell>
          <cell r="D3834">
            <v>1.6962999999999999</v>
          </cell>
          <cell r="E3834">
            <v>71068</v>
          </cell>
          <cell r="F3834">
            <v>11127</v>
          </cell>
          <cell r="J3834">
            <v>2389016.7043015901</v>
          </cell>
          <cell r="K3834">
            <v>1.6962999999999999</v>
          </cell>
          <cell r="L3834">
            <v>71068</v>
          </cell>
          <cell r="M3834">
            <v>11127</v>
          </cell>
          <cell r="N3834">
            <v>502178.01946196303</v>
          </cell>
          <cell r="O3834">
            <v>505599.59802157991</v>
          </cell>
          <cell r="P3834">
            <v>286.64069999999998</v>
          </cell>
        </row>
        <row r="3835">
          <cell r="B3835">
            <v>36279</v>
          </cell>
          <cell r="C3835">
            <v>3.2562929999999999</v>
          </cell>
          <cell r="D3835">
            <v>1.6676</v>
          </cell>
          <cell r="E3835">
            <v>72158</v>
          </cell>
          <cell r="F3835">
            <v>11085</v>
          </cell>
          <cell r="J3835">
            <v>2391609.8170919567</v>
          </cell>
          <cell r="K3835">
            <v>1.6676</v>
          </cell>
          <cell r="L3835">
            <v>72158</v>
          </cell>
          <cell r="M3835">
            <v>11085</v>
          </cell>
          <cell r="N3835">
            <v>502178.01946196303</v>
          </cell>
          <cell r="O3835">
            <v>505599.59802157991</v>
          </cell>
          <cell r="P3835">
            <v>286.64069999999998</v>
          </cell>
        </row>
        <row r="3836">
          <cell r="B3836">
            <v>36280</v>
          </cell>
          <cell r="C3836">
            <v>3.2535729999999998</v>
          </cell>
          <cell r="D3836">
            <v>1.6607000000000001</v>
          </cell>
          <cell r="E3836">
            <v>72574</v>
          </cell>
          <cell r="F3836">
            <v>11350</v>
          </cell>
          <cell r="G3836">
            <v>0.03</v>
          </cell>
          <cell r="H3836">
            <v>0.71</v>
          </cell>
          <cell r="I3836">
            <v>289.8288</v>
          </cell>
          <cell r="J3836">
            <v>2394203.5761344316</v>
          </cell>
          <cell r="K3836">
            <v>1.6607000000000001</v>
          </cell>
          <cell r="L3836">
            <v>72574</v>
          </cell>
          <cell r="M3836">
            <v>11350</v>
          </cell>
          <cell r="N3836">
            <v>502328.67286780162</v>
          </cell>
          <cell r="O3836">
            <v>509189.35516753315</v>
          </cell>
          <cell r="P3836">
            <v>289.8288</v>
          </cell>
        </row>
        <row r="3837">
          <cell r="B3837">
            <v>36283</v>
          </cell>
          <cell r="C3837">
            <v>3.249037</v>
          </cell>
          <cell r="D3837">
            <v>1.6735</v>
          </cell>
          <cell r="E3837">
            <v>73878</v>
          </cell>
          <cell r="F3837">
            <v>11436</v>
          </cell>
          <cell r="J3837">
            <v>2396796.5281358962</v>
          </cell>
          <cell r="K3837">
            <v>1.6735</v>
          </cell>
          <cell r="L3837">
            <v>73878</v>
          </cell>
          <cell r="M3837">
            <v>11436</v>
          </cell>
          <cell r="N3837">
            <v>502328.67286780162</v>
          </cell>
          <cell r="O3837">
            <v>509189.35516753315</v>
          </cell>
          <cell r="P3837">
            <v>289.8288</v>
          </cell>
        </row>
        <row r="3838">
          <cell r="B3838">
            <v>36284</v>
          </cell>
          <cell r="C3838">
            <v>3.2526660000000001</v>
          </cell>
          <cell r="D3838">
            <v>1.6734</v>
          </cell>
          <cell r="E3838">
            <v>72818</v>
          </cell>
          <cell r="F3838">
            <v>11268</v>
          </cell>
          <cell r="J3838">
            <v>2399395.187661225</v>
          </cell>
          <cell r="K3838">
            <v>1.6734</v>
          </cell>
          <cell r="L3838">
            <v>72818</v>
          </cell>
          <cell r="M3838">
            <v>11268</v>
          </cell>
          <cell r="N3838">
            <v>502328.67286780162</v>
          </cell>
          <cell r="O3838">
            <v>509189.35516753315</v>
          </cell>
          <cell r="P3838">
            <v>289.8288</v>
          </cell>
        </row>
        <row r="3839">
          <cell r="B3839">
            <v>36285</v>
          </cell>
          <cell r="C3839">
            <v>3.2508520000000001</v>
          </cell>
          <cell r="D3839">
            <v>1.6847000000000001</v>
          </cell>
          <cell r="E3839">
            <v>74851</v>
          </cell>
          <cell r="F3839">
            <v>11578</v>
          </cell>
          <cell r="J3839">
            <v>2401995.2138760909</v>
          </cell>
          <cell r="K3839">
            <v>1.6847000000000001</v>
          </cell>
          <cell r="L3839">
            <v>74851</v>
          </cell>
          <cell r="M3839">
            <v>11578</v>
          </cell>
          <cell r="N3839">
            <v>502328.67286780162</v>
          </cell>
          <cell r="O3839">
            <v>509189.35516753315</v>
          </cell>
          <cell r="P3839">
            <v>289.8288</v>
          </cell>
        </row>
        <row r="3840">
          <cell r="B3840">
            <v>36286</v>
          </cell>
          <cell r="C3840">
            <v>3.2417769999999999</v>
          </cell>
          <cell r="D3840">
            <v>1.6729000000000001</v>
          </cell>
          <cell r="E3840">
            <v>76836</v>
          </cell>
          <cell r="F3840">
            <v>11888</v>
          </cell>
          <cell r="J3840">
            <v>2404590.7914889087</v>
          </cell>
          <cell r="K3840">
            <v>1.6729000000000001</v>
          </cell>
          <cell r="L3840">
            <v>76836</v>
          </cell>
          <cell r="M3840">
            <v>11888</v>
          </cell>
          <cell r="N3840">
            <v>502328.67286780162</v>
          </cell>
          <cell r="O3840">
            <v>509189.35516753315</v>
          </cell>
          <cell r="P3840">
            <v>289.8288</v>
          </cell>
        </row>
        <row r="3841">
          <cell r="B3841">
            <v>36287</v>
          </cell>
          <cell r="C3841">
            <v>3.1433309999999999</v>
          </cell>
          <cell r="D3841">
            <v>1.6712</v>
          </cell>
          <cell r="E3841">
            <v>78928</v>
          </cell>
          <cell r="F3841">
            <v>12233</v>
          </cell>
          <cell r="J3841">
            <v>2407110.2664146423</v>
          </cell>
          <cell r="K3841">
            <v>1.6712</v>
          </cell>
          <cell r="L3841">
            <v>78928</v>
          </cell>
          <cell r="M3841">
            <v>12233</v>
          </cell>
          <cell r="N3841">
            <v>502328.67286780162</v>
          </cell>
          <cell r="O3841">
            <v>509189.35516753315</v>
          </cell>
          <cell r="P3841">
            <v>289.8288</v>
          </cell>
        </row>
        <row r="3842">
          <cell r="B3842">
            <v>36290</v>
          </cell>
          <cell r="C3842">
            <v>3.0339109999999998</v>
          </cell>
          <cell r="D3842">
            <v>1.6517999999999999</v>
          </cell>
          <cell r="E3842">
            <v>80117</v>
          </cell>
          <cell r="F3842">
            <v>12412</v>
          </cell>
          <cell r="J3842">
            <v>2409544.585853138</v>
          </cell>
          <cell r="K3842">
            <v>1.6517999999999999</v>
          </cell>
          <cell r="L3842">
            <v>80117</v>
          </cell>
          <cell r="M3842">
            <v>12412</v>
          </cell>
          <cell r="N3842">
            <v>502328.67286780162</v>
          </cell>
          <cell r="O3842">
            <v>509189.35516753315</v>
          </cell>
          <cell r="P3842">
            <v>289.8288</v>
          </cell>
        </row>
        <row r="3843">
          <cell r="B3843">
            <v>36291</v>
          </cell>
          <cell r="C3843">
            <v>3.0283669999999998</v>
          </cell>
          <cell r="D3843">
            <v>1.6468</v>
          </cell>
          <cell r="E3843">
            <v>79321</v>
          </cell>
          <cell r="F3843">
            <v>12267</v>
          </cell>
          <cell r="J3843">
            <v>2411976.9142894135</v>
          </cell>
          <cell r="K3843">
            <v>1.6468</v>
          </cell>
          <cell r="L3843">
            <v>79321</v>
          </cell>
          <cell r="M3843">
            <v>12267</v>
          </cell>
          <cell r="N3843">
            <v>502328.67286780162</v>
          </cell>
          <cell r="O3843">
            <v>509189.35516753315</v>
          </cell>
          <cell r="P3843">
            <v>289.8288</v>
          </cell>
        </row>
        <row r="3844">
          <cell r="B3844">
            <v>36292</v>
          </cell>
          <cell r="C3844">
            <v>3.026519</v>
          </cell>
          <cell r="D3844">
            <v>1.6614</v>
          </cell>
          <cell r="E3844">
            <v>78622</v>
          </cell>
          <cell r="F3844">
            <v>12147</v>
          </cell>
          <cell r="J3844">
            <v>2414410.2122756331</v>
          </cell>
          <cell r="K3844">
            <v>1.6614</v>
          </cell>
          <cell r="L3844">
            <v>78622</v>
          </cell>
          <cell r="M3844">
            <v>12147</v>
          </cell>
          <cell r="N3844">
            <v>502328.67286780162</v>
          </cell>
          <cell r="O3844">
            <v>509189.35516753315</v>
          </cell>
          <cell r="P3844">
            <v>289.8288</v>
          </cell>
        </row>
        <row r="3845">
          <cell r="B3845">
            <v>36293</v>
          </cell>
          <cell r="C3845">
            <v>2.8063750000000001</v>
          </cell>
          <cell r="D3845">
            <v>1.651</v>
          </cell>
          <cell r="E3845">
            <v>80507</v>
          </cell>
          <cell r="F3845">
            <v>12459</v>
          </cell>
          <cell r="J3845">
            <v>2416668.7924287915</v>
          </cell>
          <cell r="K3845">
            <v>1.651</v>
          </cell>
          <cell r="L3845">
            <v>80507</v>
          </cell>
          <cell r="M3845">
            <v>12459</v>
          </cell>
          <cell r="N3845">
            <v>502328.67286780162</v>
          </cell>
          <cell r="O3845">
            <v>509189.35516753315</v>
          </cell>
          <cell r="P3845">
            <v>289.8288</v>
          </cell>
        </row>
        <row r="3846">
          <cell r="B3846">
            <v>36294</v>
          </cell>
          <cell r="C3846">
            <v>2.7922449999999999</v>
          </cell>
          <cell r="D3846">
            <v>1.657</v>
          </cell>
          <cell r="E3846">
            <v>80122</v>
          </cell>
          <cell r="F3846">
            <v>12335</v>
          </cell>
          <cell r="J3846">
            <v>2418918.1028795633</v>
          </cell>
          <cell r="K3846">
            <v>1.657</v>
          </cell>
          <cell r="L3846">
            <v>80122</v>
          </cell>
          <cell r="M3846">
            <v>12335</v>
          </cell>
          <cell r="N3846">
            <v>502328.67286780162</v>
          </cell>
          <cell r="O3846">
            <v>509189.35516753315</v>
          </cell>
          <cell r="P3846">
            <v>289.8288</v>
          </cell>
        </row>
        <row r="3847">
          <cell r="B3847">
            <v>36297</v>
          </cell>
          <cell r="C3847">
            <v>2.7507009999999998</v>
          </cell>
          <cell r="D3847">
            <v>1.667</v>
          </cell>
          <cell r="E3847">
            <v>79361</v>
          </cell>
          <cell r="F3847">
            <v>12151</v>
          </cell>
          <cell r="J3847">
            <v>2421136.0096943998</v>
          </cell>
          <cell r="K3847">
            <v>1.667</v>
          </cell>
          <cell r="L3847">
            <v>79361</v>
          </cell>
          <cell r="M3847">
            <v>12151</v>
          </cell>
          <cell r="N3847">
            <v>502328.67286780162</v>
          </cell>
          <cell r="O3847">
            <v>509189.35516753315</v>
          </cell>
          <cell r="P3847">
            <v>289.8288</v>
          </cell>
        </row>
        <row r="3848">
          <cell r="B3848">
            <v>36298</v>
          </cell>
          <cell r="C3848">
            <v>2.7156530000000001</v>
          </cell>
          <cell r="D3848">
            <v>1.6658999999999999</v>
          </cell>
          <cell r="E3848">
            <v>81403</v>
          </cell>
          <cell r="F3848">
            <v>12267</v>
          </cell>
          <cell r="J3848">
            <v>2423327.6647837777</v>
          </cell>
          <cell r="K3848">
            <v>1.6658999999999999</v>
          </cell>
          <cell r="L3848">
            <v>81403</v>
          </cell>
          <cell r="M3848">
            <v>12267</v>
          </cell>
          <cell r="N3848">
            <v>502328.67286780162</v>
          </cell>
          <cell r="O3848">
            <v>509189.35516753315</v>
          </cell>
          <cell r="P3848">
            <v>289.8288</v>
          </cell>
        </row>
        <row r="3849">
          <cell r="B3849">
            <v>36299</v>
          </cell>
          <cell r="C3849">
            <v>2.4451079999999998</v>
          </cell>
          <cell r="D3849">
            <v>1.6636</v>
          </cell>
          <cell r="E3849">
            <v>81259</v>
          </cell>
          <cell r="F3849">
            <v>12118</v>
          </cell>
          <cell r="J3849">
            <v>2425302.7640703726</v>
          </cell>
          <cell r="K3849">
            <v>1.6636</v>
          </cell>
          <cell r="L3849">
            <v>81259</v>
          </cell>
          <cell r="M3849">
            <v>12118</v>
          </cell>
          <cell r="N3849">
            <v>502328.67286780162</v>
          </cell>
          <cell r="O3849">
            <v>509189.35516753315</v>
          </cell>
          <cell r="P3849">
            <v>289.8288</v>
          </cell>
        </row>
        <row r="3850">
          <cell r="B3850">
            <v>36300</v>
          </cell>
          <cell r="C3850">
            <v>2.4557760000000002</v>
          </cell>
          <cell r="D3850">
            <v>1.6834</v>
          </cell>
          <cell r="E3850">
            <v>80657</v>
          </cell>
          <cell r="F3850">
            <v>12088</v>
          </cell>
          <cell r="J3850">
            <v>2427288.0975106182</v>
          </cell>
          <cell r="K3850">
            <v>1.6834</v>
          </cell>
          <cell r="L3850">
            <v>80657</v>
          </cell>
          <cell r="M3850">
            <v>12088</v>
          </cell>
          <cell r="N3850">
            <v>502328.67286780162</v>
          </cell>
          <cell r="O3850">
            <v>509189.35516753315</v>
          </cell>
          <cell r="P3850">
            <v>289.8288</v>
          </cell>
        </row>
        <row r="3851">
          <cell r="B3851">
            <v>36301</v>
          </cell>
          <cell r="C3851">
            <v>2.453837</v>
          </cell>
          <cell r="D3851">
            <v>1.6962999999999999</v>
          </cell>
          <cell r="E3851">
            <v>78570</v>
          </cell>
          <cell r="F3851">
            <v>11727</v>
          </cell>
          <cell r="J3851">
            <v>2429273.4872917281</v>
          </cell>
          <cell r="K3851">
            <v>1.6962999999999999</v>
          </cell>
          <cell r="L3851">
            <v>78570</v>
          </cell>
          <cell r="M3851">
            <v>11727</v>
          </cell>
          <cell r="N3851">
            <v>502328.67286780162</v>
          </cell>
          <cell r="O3851">
            <v>509189.35516753315</v>
          </cell>
          <cell r="P3851">
            <v>289.8288</v>
          </cell>
        </row>
        <row r="3852">
          <cell r="B3852">
            <v>36304</v>
          </cell>
          <cell r="C3852">
            <v>2.4509280000000002</v>
          </cell>
          <cell r="D3852">
            <v>1.6984999999999999</v>
          </cell>
          <cell r="E3852">
            <v>75055</v>
          </cell>
          <cell r="F3852">
            <v>11154</v>
          </cell>
          <cell r="J3852">
            <v>2431258.1454282822</v>
          </cell>
          <cell r="K3852">
            <v>1.6984999999999999</v>
          </cell>
          <cell r="L3852">
            <v>75055</v>
          </cell>
          <cell r="M3852">
            <v>11154</v>
          </cell>
          <cell r="N3852">
            <v>502328.67286780162</v>
          </cell>
          <cell r="O3852">
            <v>509189.35516753315</v>
          </cell>
          <cell r="P3852">
            <v>289.8288</v>
          </cell>
        </row>
        <row r="3853">
          <cell r="B3853">
            <v>36305</v>
          </cell>
          <cell r="C3853">
            <v>2.453837</v>
          </cell>
          <cell r="D3853">
            <v>1.748</v>
          </cell>
          <cell r="E3853">
            <v>72123</v>
          </cell>
          <cell r="F3853">
            <v>10602</v>
          </cell>
          <cell r="J3853">
            <v>2433246.782492883</v>
          </cell>
          <cell r="K3853">
            <v>1.748</v>
          </cell>
          <cell r="L3853">
            <v>72123</v>
          </cell>
          <cell r="M3853">
            <v>10602</v>
          </cell>
          <cell r="N3853">
            <v>502328.67286780162</v>
          </cell>
          <cell r="O3853">
            <v>509189.35516753315</v>
          </cell>
          <cell r="P3853">
            <v>289.8288</v>
          </cell>
        </row>
        <row r="3854">
          <cell r="B3854">
            <v>36306</v>
          </cell>
          <cell r="C3854">
            <v>2.4518979999999999</v>
          </cell>
          <cell r="D3854">
            <v>1.7185999999999999</v>
          </cell>
          <cell r="E3854">
            <v>75351</v>
          </cell>
          <cell r="F3854">
            <v>11245</v>
          </cell>
          <cell r="J3854">
            <v>2435235.4734660499</v>
          </cell>
          <cell r="K3854">
            <v>1.7185999999999999</v>
          </cell>
          <cell r="L3854">
            <v>75351</v>
          </cell>
          <cell r="M3854">
            <v>11245</v>
          </cell>
          <cell r="N3854">
            <v>502328.67286780162</v>
          </cell>
          <cell r="O3854">
            <v>509189.35516753315</v>
          </cell>
          <cell r="P3854">
            <v>289.8288</v>
          </cell>
        </row>
        <row r="3855">
          <cell r="B3855">
            <v>36307</v>
          </cell>
          <cell r="C3855">
            <v>2.4247139999999998</v>
          </cell>
          <cell r="D3855">
            <v>1.7137</v>
          </cell>
          <cell r="E3855">
            <v>74274</v>
          </cell>
          <cell r="F3855">
            <v>10936</v>
          </cell>
          <cell r="J3855">
            <v>2437203.7233146532</v>
          </cell>
          <cell r="K3855">
            <v>1.7137</v>
          </cell>
          <cell r="L3855">
            <v>74274</v>
          </cell>
          <cell r="M3855">
            <v>10936</v>
          </cell>
          <cell r="N3855">
            <v>502328.67286780162</v>
          </cell>
          <cell r="O3855">
            <v>509189.35516753315</v>
          </cell>
          <cell r="P3855">
            <v>289.8288</v>
          </cell>
        </row>
        <row r="3856">
          <cell r="B3856">
            <v>36308</v>
          </cell>
          <cell r="C3856">
            <v>2.4120720000000002</v>
          </cell>
          <cell r="D3856">
            <v>1.7311000000000001</v>
          </cell>
          <cell r="E3856">
            <v>74294</v>
          </cell>
          <cell r="F3856">
            <v>10929</v>
          </cell>
          <cell r="J3856">
            <v>2439163.2936010873</v>
          </cell>
          <cell r="K3856">
            <v>1.7311000000000001</v>
          </cell>
          <cell r="L3856">
            <v>74294</v>
          </cell>
          <cell r="M3856">
            <v>10929</v>
          </cell>
          <cell r="N3856">
            <v>502328.67286780162</v>
          </cell>
          <cell r="O3856">
            <v>509189.35516753315</v>
          </cell>
          <cell r="P3856">
            <v>289.8288</v>
          </cell>
        </row>
        <row r="3857">
          <cell r="B3857">
            <v>36311</v>
          </cell>
          <cell r="C3857">
            <v>2.405259</v>
          </cell>
          <cell r="D3857">
            <v>1.724</v>
          </cell>
          <cell r="E3857">
            <v>74936</v>
          </cell>
          <cell r="F3857">
            <v>11089</v>
          </cell>
          <cell r="G3857">
            <v>0.34</v>
          </cell>
          <cell r="H3857">
            <v>0.28999999999999998</v>
          </cell>
          <cell r="I3857">
            <v>292.9563</v>
          </cell>
          <cell r="J3857">
            <v>2441118.9000892215</v>
          </cell>
          <cell r="K3857">
            <v>1.724</v>
          </cell>
          <cell r="L3857">
            <v>74936</v>
          </cell>
          <cell r="M3857">
            <v>11089</v>
          </cell>
          <cell r="N3857">
            <v>504036.59035555221</v>
          </cell>
          <cell r="O3857">
            <v>510666.00429751893</v>
          </cell>
          <cell r="P3857">
            <v>292.9563</v>
          </cell>
        </row>
        <row r="3858">
          <cell r="B3858">
            <v>36312</v>
          </cell>
          <cell r="C3858">
            <v>2.4062320000000001</v>
          </cell>
          <cell r="D3858">
            <v>1.7336</v>
          </cell>
          <cell r="E3858">
            <v>74892</v>
          </cell>
          <cell r="F3858">
            <v>11050</v>
          </cell>
          <cell r="J3858">
            <v>2443076.8662269544</v>
          </cell>
          <cell r="K3858">
            <v>1.7336</v>
          </cell>
          <cell r="L3858">
            <v>74892</v>
          </cell>
          <cell r="M3858">
            <v>11050</v>
          </cell>
          <cell r="N3858">
            <v>504036.59035555221</v>
          </cell>
          <cell r="O3858">
            <v>510666.00429751893</v>
          </cell>
          <cell r="P3858">
            <v>292.9563</v>
          </cell>
        </row>
        <row r="3859">
          <cell r="B3859">
            <v>36313</v>
          </cell>
          <cell r="C3859">
            <v>2.4169360000000002</v>
          </cell>
          <cell r="D3859">
            <v>1.7542</v>
          </cell>
          <cell r="E3859">
            <v>75272</v>
          </cell>
          <cell r="F3859">
            <v>10996</v>
          </cell>
          <cell r="J3859">
            <v>2445045.1197032048</v>
          </cell>
          <cell r="K3859">
            <v>1.7542</v>
          </cell>
          <cell r="L3859">
            <v>75272</v>
          </cell>
          <cell r="M3859">
            <v>10996</v>
          </cell>
          <cell r="N3859">
            <v>504036.59035555221</v>
          </cell>
          <cell r="O3859">
            <v>510666.00429751893</v>
          </cell>
          <cell r="P3859">
            <v>292.9563</v>
          </cell>
        </row>
        <row r="3860">
          <cell r="B3860">
            <v>36315</v>
          </cell>
          <cell r="C3860">
            <v>2.4208249999999998</v>
          </cell>
          <cell r="D3860">
            <v>1.7364999999999999</v>
          </cell>
          <cell r="E3860">
            <v>76570</v>
          </cell>
          <cell r="F3860">
            <v>11233</v>
          </cell>
          <cell r="J3860">
            <v>2447018.1284871735</v>
          </cell>
          <cell r="K3860">
            <v>1.7364999999999999</v>
          </cell>
          <cell r="L3860">
            <v>76570</v>
          </cell>
          <cell r="M3860">
            <v>11233</v>
          </cell>
          <cell r="N3860">
            <v>504036.59035555221</v>
          </cell>
          <cell r="O3860">
            <v>510666.00429751893</v>
          </cell>
          <cell r="P3860">
            <v>292.9563</v>
          </cell>
        </row>
        <row r="3861">
          <cell r="B3861">
            <v>36318</v>
          </cell>
          <cell r="C3861">
            <v>2.4198529999999998</v>
          </cell>
          <cell r="D3861">
            <v>1.7412000000000001</v>
          </cell>
          <cell r="E3861">
            <v>76497</v>
          </cell>
          <cell r="F3861">
            <v>11047</v>
          </cell>
          <cell r="J3861">
            <v>2448991.9365402646</v>
          </cell>
          <cell r="K3861">
            <v>1.7412000000000001</v>
          </cell>
          <cell r="L3861">
            <v>76497</v>
          </cell>
          <cell r="M3861">
            <v>11047</v>
          </cell>
          <cell r="N3861">
            <v>504036.59035555221</v>
          </cell>
          <cell r="O3861">
            <v>510666.00429751893</v>
          </cell>
          <cell r="P3861">
            <v>292.9563</v>
          </cell>
        </row>
        <row r="3862">
          <cell r="B3862">
            <v>36319</v>
          </cell>
          <cell r="C3862">
            <v>2.4247139999999998</v>
          </cell>
          <cell r="D3862">
            <v>1.7479</v>
          </cell>
          <cell r="E3862">
            <v>76435</v>
          </cell>
          <cell r="F3862">
            <v>11032</v>
          </cell>
          <cell r="J3862">
            <v>2450971.3048850703</v>
          </cell>
          <cell r="K3862">
            <v>1.7479</v>
          </cell>
          <cell r="L3862">
            <v>76435</v>
          </cell>
          <cell r="M3862">
            <v>11032</v>
          </cell>
          <cell r="N3862">
            <v>504036.59035555221</v>
          </cell>
          <cell r="O3862">
            <v>510666.00429751893</v>
          </cell>
          <cell r="P3862">
            <v>292.9563</v>
          </cell>
        </row>
        <row r="3863">
          <cell r="B3863">
            <v>36320</v>
          </cell>
          <cell r="C3863">
            <v>2.3290799999999998</v>
          </cell>
          <cell r="D3863">
            <v>1.7491000000000001</v>
          </cell>
          <cell r="E3863">
            <v>76157</v>
          </cell>
          <cell r="F3863">
            <v>10889</v>
          </cell>
          <cell r="J3863">
            <v>2452874.1409673309</v>
          </cell>
          <cell r="K3863">
            <v>1.7491000000000001</v>
          </cell>
          <cell r="L3863">
            <v>76157</v>
          </cell>
          <cell r="M3863">
            <v>10889</v>
          </cell>
          <cell r="N3863">
            <v>504036.59035555221</v>
          </cell>
          <cell r="O3863">
            <v>510666.00429751893</v>
          </cell>
          <cell r="P3863">
            <v>292.9563</v>
          </cell>
        </row>
        <row r="3864">
          <cell r="B3864">
            <v>36321</v>
          </cell>
          <cell r="C3864">
            <v>2.3320189999999998</v>
          </cell>
          <cell r="D3864">
            <v>1.7597</v>
          </cell>
          <cell r="E3864">
            <v>76678</v>
          </cell>
          <cell r="F3864">
            <v>11089</v>
          </cell>
          <cell r="J3864">
            <v>2454780.8573344457</v>
          </cell>
          <cell r="K3864">
            <v>1.7597</v>
          </cell>
          <cell r="L3864">
            <v>76678</v>
          </cell>
          <cell r="M3864">
            <v>11089</v>
          </cell>
          <cell r="N3864">
            <v>504036.59035555221</v>
          </cell>
          <cell r="O3864">
            <v>510666.00429751893</v>
          </cell>
          <cell r="P3864">
            <v>292.9563</v>
          </cell>
        </row>
        <row r="3865">
          <cell r="B3865">
            <v>36322</v>
          </cell>
          <cell r="C3865">
            <v>2.3329979999999999</v>
          </cell>
          <cell r="D3865">
            <v>1.7729999999999999</v>
          </cell>
          <cell r="E3865">
            <v>77579</v>
          </cell>
          <cell r="F3865">
            <v>11104</v>
          </cell>
          <cell r="J3865">
            <v>2456689.8569446458</v>
          </cell>
          <cell r="K3865">
            <v>1.7729999999999999</v>
          </cell>
          <cell r="L3865">
            <v>77579</v>
          </cell>
          <cell r="M3865">
            <v>11104</v>
          </cell>
          <cell r="N3865">
            <v>504036.59035555221</v>
          </cell>
          <cell r="O3865">
            <v>510666.00429751893</v>
          </cell>
          <cell r="P3865">
            <v>292.9563</v>
          </cell>
        </row>
        <row r="3866">
          <cell r="B3866">
            <v>36325</v>
          </cell>
          <cell r="C3866">
            <v>2.3329979999999999</v>
          </cell>
          <cell r="D3866">
            <v>1.7783</v>
          </cell>
          <cell r="E3866">
            <v>77502</v>
          </cell>
          <cell r="F3866">
            <v>11084</v>
          </cell>
          <cell r="J3866">
            <v>2458600.3411189364</v>
          </cell>
          <cell r="K3866">
            <v>1.7783</v>
          </cell>
          <cell r="L3866">
            <v>77502</v>
          </cell>
          <cell r="M3866">
            <v>11084</v>
          </cell>
          <cell r="N3866">
            <v>504036.59035555221</v>
          </cell>
          <cell r="O3866">
            <v>510666.00429751893</v>
          </cell>
          <cell r="P3866">
            <v>292.9563</v>
          </cell>
        </row>
        <row r="3867">
          <cell r="B3867">
            <v>36326</v>
          </cell>
          <cell r="C3867">
            <v>2.3378939999999999</v>
          </cell>
          <cell r="D3867">
            <v>1.7891999999999999</v>
          </cell>
          <cell r="E3867">
            <v>78461</v>
          </cell>
          <cell r="F3867">
            <v>11183</v>
          </cell>
          <cell r="J3867">
            <v>2460516.3234475697</v>
          </cell>
          <cell r="K3867">
            <v>1.7891999999999999</v>
          </cell>
          <cell r="L3867">
            <v>78461</v>
          </cell>
          <cell r="M3867">
            <v>11183</v>
          </cell>
          <cell r="N3867">
            <v>504036.59035555221</v>
          </cell>
          <cell r="O3867">
            <v>510666.00429751893</v>
          </cell>
          <cell r="P3867">
            <v>292.9563</v>
          </cell>
        </row>
        <row r="3868">
          <cell r="B3868">
            <v>36327</v>
          </cell>
          <cell r="C3868">
            <v>2.3310390000000001</v>
          </cell>
          <cell r="D3868">
            <v>1.7675000000000001</v>
          </cell>
          <cell r="E3868">
            <v>81362</v>
          </cell>
          <cell r="F3868">
            <v>11643</v>
          </cell>
          <cell r="J3868">
            <v>2462428.1766176005</v>
          </cell>
          <cell r="K3868">
            <v>1.7675000000000001</v>
          </cell>
          <cell r="L3868">
            <v>81362</v>
          </cell>
          <cell r="M3868">
            <v>11643</v>
          </cell>
          <cell r="N3868">
            <v>504036.59035555221</v>
          </cell>
          <cell r="O3868">
            <v>510666.00429751893</v>
          </cell>
          <cell r="P3868">
            <v>292.9563</v>
          </cell>
        </row>
        <row r="3869">
          <cell r="B3869">
            <v>36328</v>
          </cell>
          <cell r="C3869">
            <v>2.322219</v>
          </cell>
          <cell r="D3869">
            <v>1.7605</v>
          </cell>
          <cell r="E3869">
            <v>81659</v>
          </cell>
          <cell r="F3869">
            <v>11628</v>
          </cell>
          <cell r="J3869">
            <v>2464334.2757835598</v>
          </cell>
          <cell r="K3869">
            <v>1.7605</v>
          </cell>
          <cell r="L3869">
            <v>81659</v>
          </cell>
          <cell r="M3869">
            <v>11628</v>
          </cell>
          <cell r="N3869">
            <v>504036.59035555221</v>
          </cell>
          <cell r="O3869">
            <v>510666.00429751893</v>
          </cell>
          <cell r="P3869">
            <v>292.9563</v>
          </cell>
        </row>
        <row r="3870">
          <cell r="B3870">
            <v>36329</v>
          </cell>
          <cell r="C3870">
            <v>2.3182969999999998</v>
          </cell>
          <cell r="D3870">
            <v>1.7484999999999999</v>
          </cell>
          <cell r="E3870">
            <v>82557</v>
          </cell>
          <cell r="F3870">
            <v>11877</v>
          </cell>
          <cell r="J3870">
            <v>2466238.6287030755</v>
          </cell>
          <cell r="K3870">
            <v>1.7484999999999999</v>
          </cell>
          <cell r="L3870">
            <v>82557</v>
          </cell>
          <cell r="M3870">
            <v>11877</v>
          </cell>
          <cell r="N3870">
            <v>504036.59035555221</v>
          </cell>
          <cell r="O3870">
            <v>510666.00429751893</v>
          </cell>
          <cell r="P3870">
            <v>292.9563</v>
          </cell>
        </row>
        <row r="3871">
          <cell r="B3871">
            <v>36332</v>
          </cell>
          <cell r="C3871">
            <v>2.3202579999999999</v>
          </cell>
          <cell r="D3871">
            <v>1.7636000000000001</v>
          </cell>
          <cell r="E3871">
            <v>82368</v>
          </cell>
          <cell r="F3871">
            <v>12005</v>
          </cell>
          <cell r="J3871">
            <v>2468146.065339128</v>
          </cell>
          <cell r="K3871">
            <v>1.7636000000000001</v>
          </cell>
          <cell r="L3871">
            <v>82368</v>
          </cell>
          <cell r="M3871">
            <v>12005</v>
          </cell>
          <cell r="N3871">
            <v>504036.59035555221</v>
          </cell>
          <cell r="O3871">
            <v>510666.00429751893</v>
          </cell>
          <cell r="P3871">
            <v>292.9563</v>
          </cell>
        </row>
        <row r="3872">
          <cell r="B3872">
            <v>36333</v>
          </cell>
          <cell r="C3872">
            <v>2.3173170000000001</v>
          </cell>
          <cell r="D3872">
            <v>1.7687999999999999</v>
          </cell>
          <cell r="E3872">
            <v>82341</v>
          </cell>
          <cell r="F3872">
            <v>11974</v>
          </cell>
          <cell r="J3872">
            <v>2470052.5576176923</v>
          </cell>
          <cell r="K3872">
            <v>1.7687999999999999</v>
          </cell>
          <cell r="L3872">
            <v>82341</v>
          </cell>
          <cell r="M3872">
            <v>11974</v>
          </cell>
          <cell r="N3872">
            <v>504036.59035555221</v>
          </cell>
          <cell r="O3872">
            <v>510666.00429751893</v>
          </cell>
          <cell r="P3872">
            <v>292.9563</v>
          </cell>
        </row>
        <row r="3873">
          <cell r="B3873">
            <v>36334</v>
          </cell>
          <cell r="C3873">
            <v>2.1573730000000002</v>
          </cell>
          <cell r="D3873">
            <v>1.7847999999999999</v>
          </cell>
          <cell r="E3873">
            <v>81295</v>
          </cell>
          <cell r="F3873">
            <v>11792</v>
          </cell>
          <cell r="J3873">
            <v>2471828.8325164872</v>
          </cell>
          <cell r="K3873">
            <v>1.7847999999999999</v>
          </cell>
          <cell r="L3873">
            <v>81295</v>
          </cell>
          <cell r="M3873">
            <v>11792</v>
          </cell>
          <cell r="N3873">
            <v>504036.59035555221</v>
          </cell>
          <cell r="O3873">
            <v>510666.00429751893</v>
          </cell>
          <cell r="P3873">
            <v>292.9563</v>
          </cell>
        </row>
        <row r="3874">
          <cell r="B3874">
            <v>36335</v>
          </cell>
          <cell r="C3874">
            <v>2.230699</v>
          </cell>
          <cell r="D3874">
            <v>1.8003</v>
          </cell>
          <cell r="E3874">
            <v>79330</v>
          </cell>
          <cell r="F3874">
            <v>11430</v>
          </cell>
          <cell r="J3874">
            <v>2473666.8012181092</v>
          </cell>
          <cell r="K3874">
            <v>1.8003</v>
          </cell>
          <cell r="L3874">
            <v>79330</v>
          </cell>
          <cell r="M3874">
            <v>11430</v>
          </cell>
          <cell r="N3874">
            <v>504036.59035555221</v>
          </cell>
          <cell r="O3874">
            <v>510666.00429751893</v>
          </cell>
          <cell r="P3874">
            <v>292.9563</v>
          </cell>
        </row>
        <row r="3875">
          <cell r="B3875">
            <v>36336</v>
          </cell>
          <cell r="C3875">
            <v>2.2346499999999998</v>
          </cell>
          <cell r="D3875">
            <v>1.7904</v>
          </cell>
          <cell r="E3875">
            <v>78606</v>
          </cell>
          <cell r="F3875">
            <v>11219</v>
          </cell>
          <cell r="J3875">
            <v>2475509.3943905565</v>
          </cell>
          <cell r="K3875">
            <v>1.7904</v>
          </cell>
          <cell r="L3875">
            <v>78606</v>
          </cell>
          <cell r="M3875">
            <v>11219</v>
          </cell>
          <cell r="N3875">
            <v>504036.59035555221</v>
          </cell>
          <cell r="O3875">
            <v>510666.00429751893</v>
          </cell>
          <cell r="P3875">
            <v>292.9563</v>
          </cell>
        </row>
        <row r="3876">
          <cell r="B3876">
            <v>36339</v>
          </cell>
          <cell r="C3876">
            <v>2.229711</v>
          </cell>
          <cell r="D3876">
            <v>1.79</v>
          </cell>
          <cell r="E3876">
            <v>78533</v>
          </cell>
          <cell r="F3876">
            <v>11264</v>
          </cell>
          <cell r="J3876">
            <v>2477349.2845663154</v>
          </cell>
          <cell r="K3876">
            <v>1.79</v>
          </cell>
          <cell r="L3876">
            <v>78533</v>
          </cell>
          <cell r="M3876">
            <v>11264</v>
          </cell>
          <cell r="N3876">
            <v>504036.59035555221</v>
          </cell>
          <cell r="O3876">
            <v>510666.00429751893</v>
          </cell>
          <cell r="P3876">
            <v>292.9563</v>
          </cell>
        </row>
        <row r="3877">
          <cell r="B3877">
            <v>36340</v>
          </cell>
          <cell r="C3877">
            <v>2.228723</v>
          </cell>
          <cell r="D3877">
            <v>1.7672000000000001</v>
          </cell>
          <cell r="E3877">
            <v>79345</v>
          </cell>
          <cell r="F3877">
            <v>11379</v>
          </cell>
          <cell r="J3877">
            <v>2479189.7263428308</v>
          </cell>
          <cell r="K3877">
            <v>1.7672000000000001</v>
          </cell>
          <cell r="L3877">
            <v>79345</v>
          </cell>
          <cell r="M3877">
            <v>11379</v>
          </cell>
          <cell r="N3877">
            <v>504036.59035555221</v>
          </cell>
          <cell r="O3877">
            <v>510666.00429751893</v>
          </cell>
          <cell r="P3877">
            <v>292.9563</v>
          </cell>
        </row>
        <row r="3878">
          <cell r="B3878">
            <v>36341</v>
          </cell>
          <cell r="C3878">
            <v>2.2218049999999998</v>
          </cell>
          <cell r="D3878">
            <v>1.7695000000000001</v>
          </cell>
          <cell r="E3878">
            <v>81085</v>
          </cell>
          <cell r="F3878">
            <v>11626</v>
          </cell>
          <cell r="G3878">
            <v>1.02</v>
          </cell>
          <cell r="H3878">
            <v>0.36</v>
          </cell>
          <cell r="I3878">
            <v>295.33609999999999</v>
          </cell>
          <cell r="J3878">
            <v>2481025.8183861431</v>
          </cell>
          <cell r="K3878">
            <v>1.7695000000000001</v>
          </cell>
          <cell r="L3878">
            <v>81085</v>
          </cell>
          <cell r="M3878">
            <v>11626</v>
          </cell>
          <cell r="N3878">
            <v>509177.76357717882</v>
          </cell>
          <cell r="O3878">
            <v>512504.40191299003</v>
          </cell>
          <cell r="P3878">
            <v>295.33609999999999</v>
          </cell>
        </row>
        <row r="3879">
          <cell r="B3879">
            <v>36342</v>
          </cell>
          <cell r="C3879">
            <v>2.212904</v>
          </cell>
          <cell r="D3879">
            <v>1.7575000000000001</v>
          </cell>
          <cell r="E3879">
            <v>81234</v>
          </cell>
          <cell r="F3879">
            <v>11708</v>
          </cell>
          <cell r="J3879">
            <v>2482855.9090386801</v>
          </cell>
          <cell r="K3879">
            <v>1.7575000000000001</v>
          </cell>
          <cell r="L3879">
            <v>81234</v>
          </cell>
          <cell r="M3879">
            <v>11708</v>
          </cell>
          <cell r="N3879">
            <v>509177.76357717882</v>
          </cell>
          <cell r="O3879">
            <v>512504.40191299003</v>
          </cell>
          <cell r="P3879">
            <v>295.33609999999999</v>
          </cell>
        </row>
        <row r="3880">
          <cell r="B3880">
            <v>36343</v>
          </cell>
          <cell r="C3880">
            <v>2.212904</v>
          </cell>
          <cell r="D3880">
            <v>1.7706</v>
          </cell>
          <cell r="E3880">
            <v>82730</v>
          </cell>
          <cell r="F3880">
            <v>11835</v>
          </cell>
          <cell r="J3880">
            <v>2484687.3496295256</v>
          </cell>
          <cell r="K3880">
            <v>1.7706</v>
          </cell>
          <cell r="L3880">
            <v>82730</v>
          </cell>
          <cell r="M3880">
            <v>11835</v>
          </cell>
          <cell r="N3880">
            <v>509177.76357717882</v>
          </cell>
          <cell r="O3880">
            <v>512504.40191299003</v>
          </cell>
          <cell r="P3880">
            <v>295.33609999999999</v>
          </cell>
        </row>
        <row r="3881">
          <cell r="B3881">
            <v>36346</v>
          </cell>
          <cell r="C3881">
            <v>2.204987</v>
          </cell>
          <cell r="D3881">
            <v>1.7663</v>
          </cell>
          <cell r="E3881">
            <v>83048</v>
          </cell>
          <cell r="F3881">
            <v>11936</v>
          </cell>
          <cell r="J3881">
            <v>2486513.5840645246</v>
          </cell>
          <cell r="K3881">
            <v>1.7663</v>
          </cell>
          <cell r="L3881">
            <v>83048</v>
          </cell>
          <cell r="M3881">
            <v>11936</v>
          </cell>
          <cell r="N3881">
            <v>509177.76357717882</v>
          </cell>
          <cell r="O3881">
            <v>512504.40191299003</v>
          </cell>
          <cell r="P3881">
            <v>295.33609999999999</v>
          </cell>
        </row>
        <row r="3882">
          <cell r="B3882">
            <v>36347</v>
          </cell>
          <cell r="C3882">
            <v>2.2059769999999999</v>
          </cell>
          <cell r="D3882">
            <v>1.7754000000000001</v>
          </cell>
          <cell r="E3882">
            <v>82237</v>
          </cell>
          <cell r="F3882">
            <v>11674</v>
          </cell>
          <cell r="J3882">
            <v>2488341.9813234028</v>
          </cell>
          <cell r="K3882">
            <v>1.7754000000000001</v>
          </cell>
          <cell r="L3882">
            <v>82237</v>
          </cell>
          <cell r="M3882">
            <v>11674</v>
          </cell>
          <cell r="N3882">
            <v>509177.76357717882</v>
          </cell>
          <cell r="O3882">
            <v>512504.40191299003</v>
          </cell>
          <cell r="P3882">
            <v>295.33609999999999</v>
          </cell>
        </row>
        <row r="3883">
          <cell r="B3883">
            <v>36348</v>
          </cell>
          <cell r="C3883">
            <v>2.2020170000000001</v>
          </cell>
          <cell r="D3883">
            <v>1.7815000000000001</v>
          </cell>
          <cell r="E3883">
            <v>83119</v>
          </cell>
          <cell r="F3883">
            <v>11745</v>
          </cell>
          <cell r="J3883">
            <v>2490168.4384382986</v>
          </cell>
          <cell r="K3883">
            <v>1.7815000000000001</v>
          </cell>
          <cell r="L3883">
            <v>83119</v>
          </cell>
          <cell r="M3883">
            <v>11745</v>
          </cell>
          <cell r="N3883">
            <v>509177.76357717882</v>
          </cell>
          <cell r="O3883">
            <v>512504.40191299003</v>
          </cell>
          <cell r="P3883">
            <v>295.33609999999999</v>
          </cell>
        </row>
        <row r="3884">
          <cell r="B3884">
            <v>36349</v>
          </cell>
          <cell r="C3884">
            <v>2.191119</v>
          </cell>
          <cell r="D3884">
            <v>1.7910999999999999</v>
          </cell>
          <cell r="E3884">
            <v>82264</v>
          </cell>
          <cell r="F3884">
            <v>11509</v>
          </cell>
          <cell r="J3884">
            <v>2491987.1902311859</v>
          </cell>
          <cell r="K3884">
            <v>1.7910999999999999</v>
          </cell>
          <cell r="L3884">
            <v>82264</v>
          </cell>
          <cell r="M3884">
            <v>11509</v>
          </cell>
          <cell r="N3884">
            <v>509177.76357717882</v>
          </cell>
          <cell r="O3884">
            <v>512504.40191299003</v>
          </cell>
          <cell r="P3884">
            <v>295.33609999999999</v>
          </cell>
        </row>
        <row r="3885">
          <cell r="B3885">
            <v>36350</v>
          </cell>
          <cell r="C3885">
            <v>2.1891370000000001</v>
          </cell>
          <cell r="D3885">
            <v>1.8044</v>
          </cell>
          <cell r="J3885">
            <v>2493805.6240184065</v>
          </cell>
          <cell r="K3885">
            <v>1.8044</v>
          </cell>
          <cell r="L3885">
            <v>82264</v>
          </cell>
          <cell r="M3885">
            <v>11509</v>
          </cell>
          <cell r="N3885">
            <v>509177.76357717882</v>
          </cell>
          <cell r="O3885">
            <v>512504.40191299003</v>
          </cell>
          <cell r="P3885">
            <v>295.33609999999999</v>
          </cell>
        </row>
        <row r="3886">
          <cell r="B3886">
            <v>36353</v>
          </cell>
          <cell r="C3886">
            <v>2.1960739999999999</v>
          </cell>
          <cell r="D3886">
            <v>1.819</v>
          </cell>
          <cell r="E3886">
            <v>80290</v>
          </cell>
          <cell r="F3886">
            <v>11273</v>
          </cell>
          <cell r="J3886">
            <v>2495631.1512490599</v>
          </cell>
          <cell r="K3886">
            <v>1.819</v>
          </cell>
          <cell r="L3886">
            <v>80290</v>
          </cell>
          <cell r="M3886">
            <v>11273</v>
          </cell>
          <cell r="N3886">
            <v>509177.76357717882</v>
          </cell>
          <cell r="O3886">
            <v>512504.40191299003</v>
          </cell>
          <cell r="P3886">
            <v>295.33609999999999</v>
          </cell>
        </row>
        <row r="3887">
          <cell r="B3887">
            <v>36354</v>
          </cell>
          <cell r="C3887">
            <v>2.2079569999999999</v>
          </cell>
          <cell r="D3887">
            <v>1.8391999999999999</v>
          </cell>
          <cell r="E3887">
            <v>80364</v>
          </cell>
          <cell r="F3887">
            <v>11302</v>
          </cell>
          <cell r="J3887">
            <v>2497467.9000056661</v>
          </cell>
          <cell r="K3887">
            <v>1.8391999999999999</v>
          </cell>
          <cell r="L3887">
            <v>80364</v>
          </cell>
          <cell r="M3887">
            <v>11302</v>
          </cell>
          <cell r="N3887">
            <v>509177.76357717882</v>
          </cell>
          <cell r="O3887">
            <v>512504.40191299003</v>
          </cell>
          <cell r="P3887">
            <v>295.33609999999999</v>
          </cell>
        </row>
        <row r="3888">
          <cell r="B3888">
            <v>36355</v>
          </cell>
          <cell r="C3888">
            <v>2.2079569999999999</v>
          </cell>
          <cell r="D3888">
            <v>1.8109</v>
          </cell>
          <cell r="E3888">
            <v>81002</v>
          </cell>
          <cell r="F3888">
            <v>11349</v>
          </cell>
          <cell r="J3888">
            <v>2499306.0005830303</v>
          </cell>
          <cell r="K3888">
            <v>1.8109</v>
          </cell>
          <cell r="L3888">
            <v>81002</v>
          </cell>
          <cell r="M3888">
            <v>11349</v>
          </cell>
          <cell r="N3888">
            <v>509177.76357717882</v>
          </cell>
          <cell r="O3888">
            <v>512504.40191299003</v>
          </cell>
          <cell r="P3888">
            <v>295.33609999999999</v>
          </cell>
        </row>
        <row r="3889">
          <cell r="B3889">
            <v>36356</v>
          </cell>
          <cell r="C3889">
            <v>2.2079569999999999</v>
          </cell>
          <cell r="D3889">
            <v>1.8281000000000001</v>
          </cell>
          <cell r="E3889">
            <v>81270</v>
          </cell>
          <cell r="F3889">
            <v>11361</v>
          </cell>
          <cell r="J3889">
            <v>2501145.4539760733</v>
          </cell>
          <cell r="K3889">
            <v>1.8281000000000001</v>
          </cell>
          <cell r="L3889">
            <v>81270</v>
          </cell>
          <cell r="M3889">
            <v>11361</v>
          </cell>
          <cell r="N3889">
            <v>509177.76357717882</v>
          </cell>
          <cell r="O3889">
            <v>512504.40191299003</v>
          </cell>
          <cell r="P3889">
            <v>295.33609999999999</v>
          </cell>
        </row>
        <row r="3890">
          <cell r="B3890">
            <v>36357</v>
          </cell>
          <cell r="C3890">
            <v>2.2079569999999999</v>
          </cell>
          <cell r="D3890">
            <v>1.8107</v>
          </cell>
          <cell r="E3890">
            <v>81818</v>
          </cell>
          <cell r="F3890">
            <v>11407</v>
          </cell>
          <cell r="J3890">
            <v>2502986.2611804483</v>
          </cell>
          <cell r="K3890">
            <v>1.8107</v>
          </cell>
          <cell r="L3890">
            <v>81818</v>
          </cell>
          <cell r="M3890">
            <v>11407</v>
          </cell>
          <cell r="N3890">
            <v>509177.76357717882</v>
          </cell>
          <cell r="O3890">
            <v>512504.40191299003</v>
          </cell>
          <cell r="P3890">
            <v>295.33609999999999</v>
          </cell>
        </row>
        <row r="3891">
          <cell r="B3891">
            <v>36360</v>
          </cell>
          <cell r="C3891">
            <v>2.2099359999999999</v>
          </cell>
          <cell r="D3891">
            <v>1.7928999999999999</v>
          </cell>
          <cell r="E3891">
            <v>82199</v>
          </cell>
          <cell r="F3891">
            <v>11451</v>
          </cell>
          <cell r="J3891">
            <v>2504830.0743291443</v>
          </cell>
          <cell r="K3891">
            <v>1.7928999999999999</v>
          </cell>
          <cell r="L3891">
            <v>82199</v>
          </cell>
          <cell r="M3891">
            <v>11451</v>
          </cell>
          <cell r="N3891">
            <v>509177.76357717882</v>
          </cell>
          <cell r="O3891">
            <v>512504.40191299003</v>
          </cell>
          <cell r="P3891">
            <v>295.33609999999999</v>
          </cell>
        </row>
        <row r="3892">
          <cell r="B3892">
            <v>36361</v>
          </cell>
          <cell r="C3892">
            <v>2.2138939999999998</v>
          </cell>
          <cell r="D3892">
            <v>1.7982</v>
          </cell>
          <cell r="E3892">
            <v>81205</v>
          </cell>
          <cell r="F3892">
            <v>11274</v>
          </cell>
          <cell r="J3892">
            <v>2506678.5504200035</v>
          </cell>
          <cell r="K3892">
            <v>1.7982</v>
          </cell>
          <cell r="L3892">
            <v>81205</v>
          </cell>
          <cell r="M3892">
            <v>11274</v>
          </cell>
          <cell r="N3892">
            <v>509177.76357717882</v>
          </cell>
          <cell r="O3892">
            <v>512504.40191299003</v>
          </cell>
          <cell r="P3892">
            <v>295.33609999999999</v>
          </cell>
        </row>
        <row r="3893">
          <cell r="B3893">
            <v>36362</v>
          </cell>
          <cell r="C3893">
            <v>2.2099359999999999</v>
          </cell>
          <cell r="D3893">
            <v>1.8170999999999999</v>
          </cell>
          <cell r="E3893">
            <v>81784</v>
          </cell>
          <cell r="F3893">
            <v>11302</v>
          </cell>
          <cell r="J3893">
            <v>2508525.0834763371</v>
          </cell>
          <cell r="K3893">
            <v>1.8170999999999999</v>
          </cell>
          <cell r="L3893">
            <v>81784</v>
          </cell>
          <cell r="M3893">
            <v>11302</v>
          </cell>
          <cell r="N3893">
            <v>509177.76357717882</v>
          </cell>
          <cell r="O3893">
            <v>512504.40191299003</v>
          </cell>
          <cell r="P3893">
            <v>295.33609999999999</v>
          </cell>
        </row>
        <row r="3894">
          <cell r="B3894">
            <v>36363</v>
          </cell>
          <cell r="C3894">
            <v>2.2158720000000001</v>
          </cell>
          <cell r="D3894">
            <v>1.8170999999999999</v>
          </cell>
          <cell r="E3894">
            <v>81463</v>
          </cell>
          <cell r="F3894">
            <v>11238</v>
          </cell>
          <cell r="J3894">
            <v>2510377.9403075948</v>
          </cell>
          <cell r="K3894">
            <v>1.8170999999999999</v>
          </cell>
          <cell r="L3894">
            <v>81463</v>
          </cell>
          <cell r="M3894">
            <v>11238</v>
          </cell>
          <cell r="N3894">
            <v>509177.76357717882</v>
          </cell>
          <cell r="O3894">
            <v>512504.40191299003</v>
          </cell>
          <cell r="P3894">
            <v>295.33609999999999</v>
          </cell>
        </row>
        <row r="3895">
          <cell r="B3895">
            <v>36364</v>
          </cell>
          <cell r="C3895">
            <v>2.2089460000000001</v>
          </cell>
          <cell r="D3895">
            <v>1.8147</v>
          </cell>
          <cell r="E3895">
            <v>80027</v>
          </cell>
          <cell r="F3895">
            <v>10989</v>
          </cell>
          <cell r="J3895">
            <v>2512226.3700775048</v>
          </cell>
          <cell r="K3895">
            <v>1.8147</v>
          </cell>
          <cell r="L3895">
            <v>80027</v>
          </cell>
          <cell r="M3895">
            <v>10989</v>
          </cell>
          <cell r="N3895">
            <v>509177.76357717882</v>
          </cell>
          <cell r="O3895">
            <v>512504.40191299003</v>
          </cell>
          <cell r="P3895">
            <v>295.33609999999999</v>
          </cell>
        </row>
        <row r="3896">
          <cell r="B3896">
            <v>36367</v>
          </cell>
          <cell r="C3896">
            <v>2.2119149999999999</v>
          </cell>
          <cell r="D3896">
            <v>1.8203</v>
          </cell>
          <cell r="E3896">
            <v>78428</v>
          </cell>
          <cell r="F3896">
            <v>10675</v>
          </cell>
          <cell r="J3896">
            <v>2514078.6471412946</v>
          </cell>
          <cell r="K3896">
            <v>1.8203</v>
          </cell>
          <cell r="L3896">
            <v>78428</v>
          </cell>
          <cell r="M3896">
            <v>10675</v>
          </cell>
          <cell r="N3896">
            <v>509177.76357717882</v>
          </cell>
          <cell r="O3896">
            <v>512504.40191299003</v>
          </cell>
          <cell r="P3896">
            <v>295.33609999999999</v>
          </cell>
        </row>
        <row r="3897">
          <cell r="B3897">
            <v>36368</v>
          </cell>
          <cell r="C3897">
            <v>2.2119149999999999</v>
          </cell>
          <cell r="D3897">
            <v>1.8172999999999999</v>
          </cell>
          <cell r="E3897">
            <v>78434</v>
          </cell>
          <cell r="F3897">
            <v>10734</v>
          </cell>
          <cell r="J3897">
            <v>2515932.2898982246</v>
          </cell>
          <cell r="K3897">
            <v>1.8172999999999999</v>
          </cell>
          <cell r="L3897">
            <v>78434</v>
          </cell>
          <cell r="M3897">
            <v>10734</v>
          </cell>
          <cell r="N3897">
            <v>509177.76357717882</v>
          </cell>
          <cell r="O3897">
            <v>512504.40191299003</v>
          </cell>
          <cell r="P3897">
            <v>295.33609999999999</v>
          </cell>
        </row>
        <row r="3898">
          <cell r="B3898">
            <v>36369</v>
          </cell>
          <cell r="C3898">
            <v>2.1782279999999998</v>
          </cell>
          <cell r="D3898">
            <v>1.7915000000000001</v>
          </cell>
          <cell r="E3898">
            <v>78012</v>
          </cell>
          <cell r="F3898">
            <v>10691</v>
          </cell>
          <cell r="J3898">
            <v>2517759.0479515451</v>
          </cell>
          <cell r="K3898">
            <v>1.7915000000000001</v>
          </cell>
          <cell r="L3898">
            <v>78012</v>
          </cell>
          <cell r="M3898">
            <v>10691</v>
          </cell>
          <cell r="N3898">
            <v>509177.76357717882</v>
          </cell>
          <cell r="O3898">
            <v>512504.40191299003</v>
          </cell>
          <cell r="P3898">
            <v>295.33609999999999</v>
          </cell>
        </row>
        <row r="3899">
          <cell r="B3899">
            <v>36370</v>
          </cell>
          <cell r="C3899">
            <v>2.097588</v>
          </cell>
          <cell r="D3899">
            <v>1.7939000000000001</v>
          </cell>
          <cell r="E3899">
            <v>77291</v>
          </cell>
          <cell r="F3899">
            <v>10568</v>
          </cell>
          <cell r="J3899">
            <v>2519519.4550068364</v>
          </cell>
          <cell r="K3899">
            <v>1.7939000000000001</v>
          </cell>
          <cell r="L3899">
            <v>77291</v>
          </cell>
          <cell r="M3899">
            <v>10568</v>
          </cell>
          <cell r="N3899">
            <v>509177.76357717882</v>
          </cell>
          <cell r="O3899">
            <v>512504.40191299003</v>
          </cell>
          <cell r="P3899">
            <v>295.33609999999999</v>
          </cell>
        </row>
        <row r="3900">
          <cell r="B3900">
            <v>36371</v>
          </cell>
          <cell r="C3900">
            <v>2.0995849999999998</v>
          </cell>
          <cell r="D3900">
            <v>1.7891999999999999</v>
          </cell>
          <cell r="E3900">
            <v>76702</v>
          </cell>
          <cell r="F3900">
            <v>10441</v>
          </cell>
          <cell r="G3900">
            <v>1.59</v>
          </cell>
          <cell r="H3900">
            <v>1.55</v>
          </cell>
          <cell r="I3900">
            <v>297.68329999999997</v>
          </cell>
          <cell r="J3900">
            <v>2521282.7700918168</v>
          </cell>
          <cell r="K3900">
            <v>1.7891999999999999</v>
          </cell>
          <cell r="L3900">
            <v>76702</v>
          </cell>
          <cell r="M3900">
            <v>10441</v>
          </cell>
          <cell r="N3900">
            <v>517273.69001805596</v>
          </cell>
          <cell r="O3900">
            <v>520448.2201426414</v>
          </cell>
          <cell r="P3900">
            <v>297.68329999999997</v>
          </cell>
        </row>
        <row r="3901">
          <cell r="B3901">
            <v>36374</v>
          </cell>
          <cell r="C3901">
            <v>2.0985870000000002</v>
          </cell>
          <cell r="D3901">
            <v>1.8115000000000001</v>
          </cell>
          <cell r="E3901">
            <v>75747</v>
          </cell>
          <cell r="F3901">
            <v>10211</v>
          </cell>
          <cell r="J3901">
            <v>2523046.4805066963</v>
          </cell>
          <cell r="K3901">
            <v>1.8115000000000001</v>
          </cell>
          <cell r="L3901">
            <v>75747</v>
          </cell>
          <cell r="M3901">
            <v>10211</v>
          </cell>
          <cell r="N3901">
            <v>517273.69001805596</v>
          </cell>
          <cell r="O3901">
            <v>520448.2201426414</v>
          </cell>
          <cell r="P3901">
            <v>297.68329999999997</v>
          </cell>
        </row>
        <row r="3902">
          <cell r="B3902">
            <v>36375</v>
          </cell>
          <cell r="C3902">
            <v>2.0965889999999998</v>
          </cell>
          <cell r="D3902">
            <v>1.8278000000000001</v>
          </cell>
          <cell r="E3902">
            <v>75419</v>
          </cell>
          <cell r="F3902">
            <v>10264</v>
          </cell>
          <cell r="J3902">
            <v>2524809.7443392025</v>
          </cell>
          <cell r="K3902">
            <v>1.8278000000000001</v>
          </cell>
          <cell r="L3902">
            <v>75419</v>
          </cell>
          <cell r="M3902">
            <v>10264</v>
          </cell>
          <cell r="N3902">
            <v>517273.69001805596</v>
          </cell>
          <cell r="O3902">
            <v>520448.2201426414</v>
          </cell>
          <cell r="P3902">
            <v>297.68329999999997</v>
          </cell>
        </row>
        <row r="3903">
          <cell r="B3903">
            <v>36376</v>
          </cell>
          <cell r="C3903">
            <v>2.0955900000000001</v>
          </cell>
          <cell r="D3903">
            <v>1.8217000000000001</v>
          </cell>
          <cell r="E3903">
            <v>74720</v>
          </cell>
          <cell r="F3903">
            <v>10172</v>
          </cell>
          <cell r="J3903">
            <v>2526573.3996899156</v>
          </cell>
          <cell r="K3903">
            <v>1.8217000000000001</v>
          </cell>
          <cell r="L3903">
            <v>74720</v>
          </cell>
          <cell r="M3903">
            <v>10172</v>
          </cell>
          <cell r="N3903">
            <v>517273.69001805596</v>
          </cell>
          <cell r="O3903">
            <v>520448.2201426414</v>
          </cell>
          <cell r="P3903">
            <v>297.68329999999997</v>
          </cell>
        </row>
        <row r="3904">
          <cell r="B3904">
            <v>36377</v>
          </cell>
          <cell r="C3904">
            <v>2.0955900000000001</v>
          </cell>
          <cell r="D3904">
            <v>1.8475999999999999</v>
          </cell>
          <cell r="E3904">
            <v>74652</v>
          </cell>
          <cell r="F3904">
            <v>10195</v>
          </cell>
          <cell r="J3904">
            <v>2528338.287006801</v>
          </cell>
          <cell r="K3904">
            <v>1.8475999999999999</v>
          </cell>
          <cell r="L3904">
            <v>74652</v>
          </cell>
          <cell r="M3904">
            <v>10195</v>
          </cell>
          <cell r="N3904">
            <v>517273.69001805596</v>
          </cell>
          <cell r="O3904">
            <v>520448.2201426414</v>
          </cell>
          <cell r="P3904">
            <v>297.68329999999997</v>
          </cell>
        </row>
        <row r="3905">
          <cell r="B3905">
            <v>36378</v>
          </cell>
          <cell r="C3905">
            <v>2.093591</v>
          </cell>
          <cell r="D3905">
            <v>1.8492999999999999</v>
          </cell>
          <cell r="E3905">
            <v>74200</v>
          </cell>
          <cell r="F3905">
            <v>10038</v>
          </cell>
          <cell r="J3905">
            <v>2530102.7224343452</v>
          </cell>
          <cell r="K3905">
            <v>1.8492999999999999</v>
          </cell>
          <cell r="L3905">
            <v>74200</v>
          </cell>
          <cell r="M3905">
            <v>10038</v>
          </cell>
          <cell r="N3905">
            <v>517273.69001805596</v>
          </cell>
          <cell r="O3905">
            <v>520448.2201426414</v>
          </cell>
          <cell r="P3905">
            <v>297.68329999999997</v>
          </cell>
        </row>
        <row r="3906">
          <cell r="B3906">
            <v>36381</v>
          </cell>
          <cell r="C3906">
            <v>2.0925919999999998</v>
          </cell>
          <cell r="D3906">
            <v>1.8453999999999999</v>
          </cell>
          <cell r="E3906">
            <v>73689</v>
          </cell>
          <cell r="F3906">
            <v>9948</v>
          </cell>
          <cell r="J3906">
            <v>2531867.5466730595</v>
          </cell>
          <cell r="K3906">
            <v>1.8453999999999999</v>
          </cell>
          <cell r="L3906">
            <v>73689</v>
          </cell>
          <cell r="M3906">
            <v>9948</v>
          </cell>
          <cell r="N3906">
            <v>517273.69001805596</v>
          </cell>
          <cell r="O3906">
            <v>520448.2201426414</v>
          </cell>
          <cell r="P3906">
            <v>297.68329999999997</v>
          </cell>
        </row>
        <row r="3907">
          <cell r="B3907">
            <v>36382</v>
          </cell>
          <cell r="C3907">
            <v>2.0945909999999999</v>
          </cell>
          <cell r="D3907">
            <v>1.8729</v>
          </cell>
          <cell r="E3907">
            <v>72697</v>
          </cell>
          <cell r="F3907">
            <v>9834</v>
          </cell>
          <cell r="J3907">
            <v>2533635.2889985438</v>
          </cell>
          <cell r="K3907">
            <v>1.8729</v>
          </cell>
          <cell r="L3907">
            <v>72697</v>
          </cell>
          <cell r="M3907">
            <v>9834</v>
          </cell>
          <cell r="N3907">
            <v>517273.69001805596</v>
          </cell>
          <cell r="O3907">
            <v>520448.2201426414</v>
          </cell>
          <cell r="P3907">
            <v>297.68329999999997</v>
          </cell>
        </row>
        <row r="3908">
          <cell r="B3908">
            <v>36383</v>
          </cell>
          <cell r="C3908">
            <v>2.0955900000000001</v>
          </cell>
          <cell r="D3908">
            <v>1.863</v>
          </cell>
          <cell r="E3908">
            <v>74403</v>
          </cell>
          <cell r="F3908">
            <v>10136</v>
          </cell>
          <cell r="J3908">
            <v>2535405.1092569679</v>
          </cell>
          <cell r="K3908">
            <v>1.863</v>
          </cell>
          <cell r="L3908">
            <v>74403</v>
          </cell>
          <cell r="M3908">
            <v>10136</v>
          </cell>
          <cell r="N3908">
            <v>517273.69001805596</v>
          </cell>
          <cell r="O3908">
            <v>520448.2201426414</v>
          </cell>
          <cell r="P3908">
            <v>297.68329999999997</v>
          </cell>
        </row>
        <row r="3909">
          <cell r="B3909">
            <v>36384</v>
          </cell>
          <cell r="C3909">
            <v>2.0945909999999999</v>
          </cell>
          <cell r="D3909">
            <v>1.8511</v>
          </cell>
          <cell r="E3909">
            <v>74912</v>
          </cell>
          <cell r="F3909">
            <v>10045</v>
          </cell>
          <cell r="J3909">
            <v>2537175.3214980355</v>
          </cell>
          <cell r="K3909">
            <v>1.8511</v>
          </cell>
          <cell r="L3909">
            <v>74912</v>
          </cell>
          <cell r="M3909">
            <v>10045</v>
          </cell>
          <cell r="N3909">
            <v>517273.69001805596</v>
          </cell>
          <cell r="O3909">
            <v>520448.2201426414</v>
          </cell>
          <cell r="P3909">
            <v>297.68329999999997</v>
          </cell>
        </row>
        <row r="3910">
          <cell r="B3910">
            <v>36385</v>
          </cell>
          <cell r="C3910">
            <v>2.0955900000000001</v>
          </cell>
          <cell r="D3910">
            <v>1.8711</v>
          </cell>
          <cell r="E3910">
            <v>75292</v>
          </cell>
          <cell r="F3910">
            <v>10180</v>
          </cell>
          <cell r="J3910">
            <v>2538947.6145753614</v>
          </cell>
          <cell r="K3910">
            <v>1.8711</v>
          </cell>
          <cell r="L3910">
            <v>75292</v>
          </cell>
          <cell r="M3910">
            <v>10180</v>
          </cell>
          <cell r="N3910">
            <v>517273.69001805596</v>
          </cell>
          <cell r="O3910">
            <v>520448.2201426414</v>
          </cell>
          <cell r="P3910">
            <v>297.68329999999997</v>
          </cell>
        </row>
        <row r="3911">
          <cell r="B3911">
            <v>36388</v>
          </cell>
          <cell r="C3911">
            <v>2.0945909999999999</v>
          </cell>
          <cell r="D3911">
            <v>1.8768</v>
          </cell>
          <cell r="E3911">
            <v>75377</v>
          </cell>
          <cell r="F3911">
            <v>10118</v>
          </cell>
          <cell r="J3911">
            <v>2540720.3001830149</v>
          </cell>
          <cell r="K3911">
            <v>1.8768</v>
          </cell>
          <cell r="L3911">
            <v>75377</v>
          </cell>
          <cell r="M3911">
            <v>10118</v>
          </cell>
          <cell r="N3911">
            <v>517273.69001805596</v>
          </cell>
          <cell r="O3911">
            <v>520448.2201426414</v>
          </cell>
          <cell r="P3911">
            <v>297.68329999999997</v>
          </cell>
        </row>
        <row r="3912">
          <cell r="B3912">
            <v>36389</v>
          </cell>
          <cell r="C3912">
            <v>2.0925919999999998</v>
          </cell>
          <cell r="D3912">
            <v>1.8819999999999999</v>
          </cell>
          <cell r="E3912">
            <v>74668</v>
          </cell>
          <cell r="F3912">
            <v>9924</v>
          </cell>
          <cell r="J3912">
            <v>2542492.5305078151</v>
          </cell>
          <cell r="K3912">
            <v>1.8819999999999999</v>
          </cell>
          <cell r="L3912">
            <v>74668</v>
          </cell>
          <cell r="M3912">
            <v>9924</v>
          </cell>
          <cell r="N3912">
            <v>517273.69001805596</v>
          </cell>
          <cell r="O3912">
            <v>520448.2201426414</v>
          </cell>
          <cell r="P3912">
            <v>297.68329999999997</v>
          </cell>
        </row>
        <row r="3913">
          <cell r="B3913">
            <v>36390</v>
          </cell>
          <cell r="C3913">
            <v>2.0925919999999998</v>
          </cell>
          <cell r="D3913">
            <v>1.8927</v>
          </cell>
          <cell r="E3913">
            <v>72993</v>
          </cell>
          <cell r="F3913">
            <v>9689</v>
          </cell>
          <cell r="J3913">
            <v>2544265.997017615</v>
          </cell>
          <cell r="K3913">
            <v>1.8927</v>
          </cell>
          <cell r="L3913">
            <v>72993</v>
          </cell>
          <cell r="M3913">
            <v>9689</v>
          </cell>
          <cell r="N3913">
            <v>517273.69001805596</v>
          </cell>
          <cell r="O3913">
            <v>520448.2201426414</v>
          </cell>
          <cell r="P3913">
            <v>297.68329999999997</v>
          </cell>
        </row>
        <row r="3914">
          <cell r="B3914">
            <v>36391</v>
          </cell>
          <cell r="C3914">
            <v>2.093591</v>
          </cell>
          <cell r="D3914">
            <v>1.9171</v>
          </cell>
          <cell r="E3914">
            <v>73911</v>
          </cell>
          <cell r="F3914">
            <v>9818</v>
          </cell>
          <cell r="J3914">
            <v>2546041.5478152689</v>
          </cell>
          <cell r="K3914">
            <v>1.9171</v>
          </cell>
          <cell r="L3914">
            <v>73911</v>
          </cell>
          <cell r="M3914">
            <v>9818</v>
          </cell>
          <cell r="N3914">
            <v>517273.69001805596</v>
          </cell>
          <cell r="O3914">
            <v>520448.2201426414</v>
          </cell>
          <cell r="P3914">
            <v>297.68329999999997</v>
          </cell>
        </row>
        <row r="3915">
          <cell r="B3915">
            <v>36392</v>
          </cell>
          <cell r="C3915">
            <v>2.0905930000000001</v>
          </cell>
          <cell r="D3915">
            <v>1.9497</v>
          </cell>
          <cell r="E3915">
            <v>75219</v>
          </cell>
          <cell r="F3915">
            <v>10142</v>
          </cell>
          <cell r="J3915">
            <v>2547815.7933611264</v>
          </cell>
          <cell r="K3915">
            <v>1.9497</v>
          </cell>
          <cell r="L3915">
            <v>75219</v>
          </cell>
          <cell r="M3915">
            <v>10142</v>
          </cell>
          <cell r="N3915">
            <v>517273.69001805596</v>
          </cell>
          <cell r="O3915">
            <v>520448.2201426414</v>
          </cell>
          <cell r="P3915">
            <v>297.68329999999997</v>
          </cell>
        </row>
        <row r="3916">
          <cell r="B3916">
            <v>36395</v>
          </cell>
          <cell r="C3916">
            <v>2.089594</v>
          </cell>
          <cell r="D3916">
            <v>1.8706</v>
          </cell>
          <cell r="E3916">
            <v>75917</v>
          </cell>
          <cell r="F3916">
            <v>10180</v>
          </cell>
          <cell r="J3916">
            <v>2549590.4268927639</v>
          </cell>
          <cell r="K3916">
            <v>1.8706</v>
          </cell>
          <cell r="L3916">
            <v>75917</v>
          </cell>
          <cell r="M3916">
            <v>10180</v>
          </cell>
          <cell r="N3916">
            <v>517273.69001805596</v>
          </cell>
          <cell r="O3916">
            <v>520448.2201426414</v>
          </cell>
          <cell r="P3916">
            <v>297.68329999999997</v>
          </cell>
        </row>
        <row r="3917">
          <cell r="B3917">
            <v>36396</v>
          </cell>
          <cell r="C3917">
            <v>2.089594</v>
          </cell>
          <cell r="D3917">
            <v>1.9026000000000001</v>
          </cell>
          <cell r="E3917">
            <v>76832</v>
          </cell>
          <cell r="F3917">
            <v>10314</v>
          </cell>
          <cell r="J3917">
            <v>2551366.2965122615</v>
          </cell>
          <cell r="K3917">
            <v>1.9026000000000001</v>
          </cell>
          <cell r="L3917">
            <v>76832</v>
          </cell>
          <cell r="M3917">
            <v>10314</v>
          </cell>
          <cell r="N3917">
            <v>517273.69001805596</v>
          </cell>
          <cell r="O3917">
            <v>520448.2201426414</v>
          </cell>
          <cell r="P3917">
            <v>297.68329999999997</v>
          </cell>
        </row>
        <row r="3918">
          <cell r="B3918">
            <v>36397</v>
          </cell>
          <cell r="C3918">
            <v>2.0875940000000002</v>
          </cell>
          <cell r="D3918">
            <v>1.9311</v>
          </cell>
          <cell r="E3918">
            <v>79500</v>
          </cell>
          <cell r="F3918">
            <v>10650</v>
          </cell>
          <cell r="J3918">
            <v>2553141.7021697285</v>
          </cell>
          <cell r="K3918">
            <v>1.9311</v>
          </cell>
          <cell r="L3918">
            <v>79500</v>
          </cell>
          <cell r="M3918">
            <v>10650</v>
          </cell>
          <cell r="N3918">
            <v>517273.69001805596</v>
          </cell>
          <cell r="O3918">
            <v>520448.2201426414</v>
          </cell>
          <cell r="P3918">
            <v>297.68329999999997</v>
          </cell>
        </row>
        <row r="3919">
          <cell r="B3919">
            <v>36398</v>
          </cell>
          <cell r="C3919">
            <v>2.0945909999999999</v>
          </cell>
          <cell r="D3919">
            <v>1.9087000000000001</v>
          </cell>
          <cell r="E3919">
            <v>79257</v>
          </cell>
          <cell r="F3919">
            <v>10496</v>
          </cell>
          <cell r="J3919">
            <v>2554924.2980467579</v>
          </cell>
          <cell r="K3919">
            <v>1.9087000000000001</v>
          </cell>
          <cell r="L3919">
            <v>79257</v>
          </cell>
          <cell r="M3919">
            <v>10496</v>
          </cell>
          <cell r="N3919">
            <v>517273.69001805596</v>
          </cell>
          <cell r="O3919">
            <v>520448.2201426414</v>
          </cell>
          <cell r="P3919">
            <v>297.68329999999997</v>
          </cell>
        </row>
        <row r="3920">
          <cell r="B3920">
            <v>36399</v>
          </cell>
          <cell r="C3920">
            <v>2.089594</v>
          </cell>
          <cell r="D3920">
            <v>1.9242999999999999</v>
          </cell>
          <cell r="E3920">
            <v>79654</v>
          </cell>
          <cell r="F3920">
            <v>10545</v>
          </cell>
          <cell r="J3920">
            <v>2556703.882874642</v>
          </cell>
          <cell r="K3920">
            <v>1.9242999999999999</v>
          </cell>
          <cell r="L3920">
            <v>79654</v>
          </cell>
          <cell r="M3920">
            <v>10545</v>
          </cell>
          <cell r="N3920">
            <v>517273.69001805596</v>
          </cell>
          <cell r="O3920">
            <v>520448.2201426414</v>
          </cell>
          <cell r="P3920">
            <v>297.68329999999997</v>
          </cell>
        </row>
        <row r="3921">
          <cell r="B3921">
            <v>36402</v>
          </cell>
          <cell r="C3921">
            <v>2.0925919999999998</v>
          </cell>
          <cell r="D3921">
            <v>1.9436</v>
          </cell>
          <cell r="E3921">
            <v>79498</v>
          </cell>
          <cell r="F3921">
            <v>10524</v>
          </cell>
          <cell r="J3921">
            <v>2558487.2622385328</v>
          </cell>
          <cell r="K3921">
            <v>1.9436</v>
          </cell>
          <cell r="L3921">
            <v>79498</v>
          </cell>
          <cell r="M3921">
            <v>10524</v>
          </cell>
          <cell r="N3921">
            <v>517273.69001805596</v>
          </cell>
          <cell r="O3921">
            <v>520448.2201426414</v>
          </cell>
          <cell r="P3921">
            <v>297.68329999999997</v>
          </cell>
        </row>
        <row r="3922">
          <cell r="B3922">
            <v>36403</v>
          </cell>
          <cell r="C3922">
            <v>2.0925919999999998</v>
          </cell>
          <cell r="D3922">
            <v>1.9158999999999999</v>
          </cell>
          <cell r="E3922">
            <v>79449</v>
          </cell>
          <cell r="F3922">
            <v>10564</v>
          </cell>
          <cell r="G3922">
            <v>1.45</v>
          </cell>
          <cell r="H3922">
            <v>1.56</v>
          </cell>
          <cell r="I3922">
            <v>300.04950000000002</v>
          </cell>
          <cell r="J3922">
            <v>2560271.8855642201</v>
          </cell>
          <cell r="K3922">
            <v>1.9158999999999999</v>
          </cell>
          <cell r="L3922">
            <v>79449</v>
          </cell>
          <cell r="M3922">
            <v>10564</v>
          </cell>
          <cell r="N3922">
            <v>524774.15852331778</v>
          </cell>
          <cell r="O3922">
            <v>528567.21237686661</v>
          </cell>
          <cell r="P3922">
            <v>300.04950000000002</v>
          </cell>
        </row>
        <row r="3923">
          <cell r="B3923">
            <v>36404</v>
          </cell>
          <cell r="C3923">
            <v>2.068584</v>
          </cell>
          <cell r="D3923">
            <v>1.9217</v>
          </cell>
          <cell r="E3923">
            <v>81527</v>
          </cell>
          <cell r="F3923">
            <v>10902</v>
          </cell>
          <cell r="J3923">
            <v>2562037.2647169298</v>
          </cell>
          <cell r="K3923">
            <v>1.9217</v>
          </cell>
          <cell r="L3923">
            <v>81527</v>
          </cell>
          <cell r="M3923">
            <v>10902</v>
          </cell>
          <cell r="N3923">
            <v>524774.15852331778</v>
          </cell>
          <cell r="O3923">
            <v>528567.21237686661</v>
          </cell>
          <cell r="P3923">
            <v>300.04950000000002</v>
          </cell>
        </row>
        <row r="3924">
          <cell r="B3924">
            <v>36405</v>
          </cell>
          <cell r="C3924">
            <v>2.0945909999999999</v>
          </cell>
          <cell r="D3924">
            <v>1.9244000000000001</v>
          </cell>
          <cell r="E3924">
            <v>81817</v>
          </cell>
          <cell r="F3924">
            <v>10998</v>
          </cell>
          <cell r="J3924">
            <v>2563826.0714490432</v>
          </cell>
          <cell r="K3924">
            <v>1.9244000000000001</v>
          </cell>
          <cell r="L3924">
            <v>81817</v>
          </cell>
          <cell r="M3924">
            <v>10998</v>
          </cell>
          <cell r="N3924">
            <v>524774.15852331778</v>
          </cell>
          <cell r="O3924">
            <v>528567.21237686661</v>
          </cell>
          <cell r="P3924">
            <v>300.04950000000002</v>
          </cell>
        </row>
        <row r="3925">
          <cell r="B3925">
            <v>36406</v>
          </cell>
          <cell r="C3925">
            <v>2.0925919999999998</v>
          </cell>
          <cell r="D3925">
            <v>1.9039999999999999</v>
          </cell>
          <cell r="E3925">
            <v>82862</v>
          </cell>
          <cell r="F3925">
            <v>11156</v>
          </cell>
          <cell r="J3925">
            <v>2565614.4187578782</v>
          </cell>
          <cell r="K3925">
            <v>1.9039999999999999</v>
          </cell>
          <cell r="L3925">
            <v>82862</v>
          </cell>
          <cell r="M3925">
            <v>11156</v>
          </cell>
          <cell r="N3925">
            <v>524774.15852331778</v>
          </cell>
          <cell r="O3925">
            <v>528567.21237686661</v>
          </cell>
          <cell r="P3925">
            <v>300.04950000000002</v>
          </cell>
        </row>
        <row r="3926">
          <cell r="B3926">
            <v>36409</v>
          </cell>
          <cell r="C3926">
            <v>2.086595</v>
          </cell>
          <cell r="D3926">
            <v>1.9058999999999999</v>
          </cell>
          <cell r="E3926">
            <v>83694</v>
          </cell>
          <cell r="F3926">
            <v>11185</v>
          </cell>
          <cell r="J3926">
            <v>2567398.8848305806</v>
          </cell>
          <cell r="K3926">
            <v>1.9058999999999999</v>
          </cell>
          <cell r="L3926">
            <v>83694</v>
          </cell>
          <cell r="M3926">
            <v>11185</v>
          </cell>
          <cell r="N3926">
            <v>524774.15852331778</v>
          </cell>
          <cell r="O3926">
            <v>528567.21237686661</v>
          </cell>
          <cell r="P3926">
            <v>300.04950000000002</v>
          </cell>
        </row>
        <row r="3927">
          <cell r="B3927">
            <v>36411</v>
          </cell>
          <cell r="C3927">
            <v>2.0905930000000001</v>
          </cell>
          <cell r="D3927">
            <v>1.8983000000000001</v>
          </cell>
          <cell r="E3927">
            <v>82695</v>
          </cell>
          <cell r="F3927">
            <v>11090</v>
          </cell>
          <cell r="J3927">
            <v>2569188.0135428589</v>
          </cell>
          <cell r="K3927">
            <v>1.8983000000000001</v>
          </cell>
          <cell r="L3927">
            <v>82695</v>
          </cell>
          <cell r="M3927">
            <v>11090</v>
          </cell>
          <cell r="N3927">
            <v>524774.15852331778</v>
          </cell>
          <cell r="O3927">
            <v>528567.21237686661</v>
          </cell>
          <cell r="P3927">
            <v>300.04950000000002</v>
          </cell>
        </row>
        <row r="3928">
          <cell r="B3928">
            <v>36412</v>
          </cell>
          <cell r="C3928">
            <v>2.0905930000000001</v>
          </cell>
          <cell r="D3928">
            <v>1.8734999999999999</v>
          </cell>
          <cell r="E3928">
            <v>83793</v>
          </cell>
          <cell r="F3928">
            <v>11292</v>
          </cell>
          <cell r="J3928">
            <v>2570978.3890351243</v>
          </cell>
          <cell r="K3928">
            <v>1.8734999999999999</v>
          </cell>
          <cell r="L3928">
            <v>83793</v>
          </cell>
          <cell r="M3928">
            <v>11292</v>
          </cell>
          <cell r="N3928">
            <v>524774.15852331778</v>
          </cell>
          <cell r="O3928">
            <v>528567.21237686661</v>
          </cell>
          <cell r="P3928">
            <v>300.04950000000002</v>
          </cell>
        </row>
        <row r="3929">
          <cell r="B3929">
            <v>36413</v>
          </cell>
          <cell r="C3929">
            <v>2.1075729999999999</v>
          </cell>
          <cell r="D3929">
            <v>1.8621000000000001</v>
          </cell>
          <cell r="E3929">
            <v>84556</v>
          </cell>
          <cell r="F3929">
            <v>11363</v>
          </cell>
          <cell r="J3929">
            <v>2572784.5639138957</v>
          </cell>
          <cell r="K3929">
            <v>1.8621000000000001</v>
          </cell>
          <cell r="L3929">
            <v>84556</v>
          </cell>
          <cell r="M3929">
            <v>11363</v>
          </cell>
          <cell r="N3929">
            <v>524774.15852331778</v>
          </cell>
          <cell r="O3929">
            <v>528567.21237686661</v>
          </cell>
          <cell r="P3929">
            <v>300.04950000000002</v>
          </cell>
        </row>
        <row r="3930">
          <cell r="B3930">
            <v>36416</v>
          </cell>
          <cell r="C3930">
            <v>2.109569</v>
          </cell>
          <cell r="D3930">
            <v>1.8822000000000001</v>
          </cell>
          <cell r="E3930">
            <v>85135</v>
          </cell>
          <cell r="F3930">
            <v>11477</v>
          </cell>
          <cell r="J3930">
            <v>2574593.7194337999</v>
          </cell>
          <cell r="K3930">
            <v>1.8822000000000001</v>
          </cell>
          <cell r="L3930">
            <v>85135</v>
          </cell>
          <cell r="M3930">
            <v>11477</v>
          </cell>
          <cell r="N3930">
            <v>524774.15852331778</v>
          </cell>
          <cell r="O3930">
            <v>528567.21237686661</v>
          </cell>
          <cell r="P3930">
            <v>300.04950000000002</v>
          </cell>
        </row>
        <row r="3931">
          <cell r="B3931">
            <v>36417</v>
          </cell>
          <cell r="C3931">
            <v>2.097588</v>
          </cell>
          <cell r="D3931">
            <v>1.8923000000000001</v>
          </cell>
          <cell r="E3931">
            <v>85089</v>
          </cell>
          <cell r="F3931">
            <v>11459</v>
          </cell>
          <cell r="J3931">
            <v>2576393.8650640533</v>
          </cell>
          <cell r="K3931">
            <v>1.8923000000000001</v>
          </cell>
          <cell r="L3931">
            <v>85089</v>
          </cell>
          <cell r="M3931">
            <v>11459</v>
          </cell>
          <cell r="N3931">
            <v>524774.15852331778</v>
          </cell>
          <cell r="O3931">
            <v>528567.21237686661</v>
          </cell>
          <cell r="P3931">
            <v>300.04950000000002</v>
          </cell>
        </row>
        <row r="3932">
          <cell r="B3932">
            <v>36418</v>
          </cell>
          <cell r="C3932">
            <v>2.0875940000000002</v>
          </cell>
          <cell r="D3932">
            <v>1.8778999999999999</v>
          </cell>
          <cell r="E3932">
            <v>83977</v>
          </cell>
          <cell r="F3932">
            <v>11263</v>
          </cell>
          <cell r="J3932">
            <v>2578186.6865221681</v>
          </cell>
          <cell r="K3932">
            <v>1.8778999999999999</v>
          </cell>
          <cell r="L3932">
            <v>83977</v>
          </cell>
          <cell r="M3932">
            <v>11263</v>
          </cell>
          <cell r="N3932">
            <v>524774.15852331778</v>
          </cell>
          <cell r="O3932">
            <v>528567.21237686661</v>
          </cell>
          <cell r="P3932">
            <v>300.04950000000002</v>
          </cell>
        </row>
        <row r="3933">
          <cell r="B3933">
            <v>36419</v>
          </cell>
          <cell r="C3933">
            <v>2.0905930000000001</v>
          </cell>
          <cell r="D3933">
            <v>1.8794</v>
          </cell>
          <cell r="E3933">
            <v>83648</v>
          </cell>
          <cell r="F3933">
            <v>11094</v>
          </cell>
          <cell r="J3933">
            <v>2579983.3328686804</v>
          </cell>
          <cell r="K3933">
            <v>1.8794</v>
          </cell>
          <cell r="L3933">
            <v>83648</v>
          </cell>
          <cell r="M3933">
            <v>11094</v>
          </cell>
          <cell r="N3933">
            <v>524774.15852331778</v>
          </cell>
          <cell r="O3933">
            <v>528567.21237686661</v>
          </cell>
          <cell r="P3933">
            <v>300.04950000000002</v>
          </cell>
        </row>
        <row r="3934">
          <cell r="B3934">
            <v>36420</v>
          </cell>
          <cell r="C3934">
            <v>2.0925919999999998</v>
          </cell>
          <cell r="D3934">
            <v>1.8861000000000001</v>
          </cell>
          <cell r="E3934">
            <v>84324</v>
          </cell>
          <cell r="F3934">
            <v>11290</v>
          </cell>
          <cell r="J3934">
            <v>2581782.9503628449</v>
          </cell>
          <cell r="K3934">
            <v>1.8861000000000001</v>
          </cell>
          <cell r="L3934">
            <v>84324</v>
          </cell>
          <cell r="M3934">
            <v>11290</v>
          </cell>
          <cell r="N3934">
            <v>524774.15852331778</v>
          </cell>
          <cell r="O3934">
            <v>528567.21237686661</v>
          </cell>
          <cell r="P3934">
            <v>300.04950000000002</v>
          </cell>
        </row>
        <row r="3935">
          <cell r="B3935">
            <v>36423</v>
          </cell>
          <cell r="C3935">
            <v>2.0945909999999999</v>
          </cell>
          <cell r="D3935">
            <v>1.8745000000000001</v>
          </cell>
          <cell r="E3935">
            <v>85720</v>
          </cell>
          <cell r="F3935">
            <v>11586</v>
          </cell>
          <cell r="J3935">
            <v>2583585.5434734393</v>
          </cell>
          <cell r="K3935">
            <v>1.8745000000000001</v>
          </cell>
          <cell r="L3935">
            <v>85720</v>
          </cell>
          <cell r="M3935">
            <v>11586</v>
          </cell>
          <cell r="N3935">
            <v>524774.15852331778</v>
          </cell>
          <cell r="O3935">
            <v>528567.21237686661</v>
          </cell>
          <cell r="P3935">
            <v>300.04950000000002</v>
          </cell>
        </row>
        <row r="3936">
          <cell r="B3936">
            <v>36424</v>
          </cell>
          <cell r="C3936">
            <v>2.0985870000000002</v>
          </cell>
          <cell r="D3936">
            <v>1.8791</v>
          </cell>
          <cell r="E3936">
            <v>85185</v>
          </cell>
          <cell r="F3936">
            <v>11449</v>
          </cell>
          <cell r="J3936">
            <v>2585392.83648508</v>
          </cell>
          <cell r="K3936">
            <v>1.8791</v>
          </cell>
          <cell r="L3936">
            <v>85185</v>
          </cell>
          <cell r="M3936">
            <v>11449</v>
          </cell>
          <cell r="N3936">
            <v>524774.15852331778</v>
          </cell>
          <cell r="O3936">
            <v>528567.21237686661</v>
          </cell>
          <cell r="P3936">
            <v>300.04950000000002</v>
          </cell>
        </row>
        <row r="3937">
          <cell r="B3937">
            <v>36425</v>
          </cell>
          <cell r="C3937">
            <v>2.0635759999999999</v>
          </cell>
          <cell r="D3937">
            <v>1.8906000000000001</v>
          </cell>
          <cell r="E3937">
            <v>85484</v>
          </cell>
          <cell r="F3937">
            <v>11531</v>
          </cell>
          <cell r="J3937">
            <v>2587171.2213543942</v>
          </cell>
          <cell r="K3937">
            <v>1.8906000000000001</v>
          </cell>
          <cell r="L3937">
            <v>85484</v>
          </cell>
          <cell r="M3937">
            <v>11531</v>
          </cell>
          <cell r="N3937">
            <v>524774.15852331778</v>
          </cell>
          <cell r="O3937">
            <v>528567.21237686661</v>
          </cell>
          <cell r="P3937">
            <v>300.04950000000002</v>
          </cell>
        </row>
        <row r="3938">
          <cell r="B3938">
            <v>36426</v>
          </cell>
          <cell r="C3938">
            <v>2.0615730000000001</v>
          </cell>
          <cell r="D3938">
            <v>1.8914</v>
          </cell>
          <cell r="E3938">
            <v>85699</v>
          </cell>
          <cell r="F3938">
            <v>11385</v>
          </cell>
          <cell r="J3938">
            <v>2588949.1021331679</v>
          </cell>
          <cell r="K3938">
            <v>1.8914</v>
          </cell>
          <cell r="L3938">
            <v>85699</v>
          </cell>
          <cell r="M3938">
            <v>11385</v>
          </cell>
          <cell r="N3938">
            <v>524774.15852331778</v>
          </cell>
          <cell r="O3938">
            <v>528567.21237686661</v>
          </cell>
          <cell r="P3938">
            <v>300.04950000000002</v>
          </cell>
        </row>
        <row r="3939">
          <cell r="B3939">
            <v>36427</v>
          </cell>
          <cell r="C3939">
            <v>2.0615730000000001</v>
          </cell>
          <cell r="D3939">
            <v>1.9144000000000001</v>
          </cell>
          <cell r="E3939">
            <v>86253</v>
          </cell>
          <cell r="F3939">
            <v>11532</v>
          </cell>
          <cell r="J3939">
            <v>2590728.2046556119</v>
          </cell>
          <cell r="K3939">
            <v>1.9144000000000001</v>
          </cell>
          <cell r="L3939">
            <v>86253</v>
          </cell>
          <cell r="M3939">
            <v>11532</v>
          </cell>
          <cell r="N3939">
            <v>524774.15852331778</v>
          </cell>
          <cell r="O3939">
            <v>528567.21237686661</v>
          </cell>
          <cell r="P3939">
            <v>300.04950000000002</v>
          </cell>
        </row>
        <row r="3940">
          <cell r="B3940">
            <v>36430</v>
          </cell>
          <cell r="C3940">
            <v>2.0615730000000001</v>
          </cell>
          <cell r="D3940">
            <v>1.9174</v>
          </cell>
          <cell r="E3940">
            <v>87014</v>
          </cell>
          <cell r="F3940">
            <v>11542</v>
          </cell>
          <cell r="J3940">
            <v>2592508.5297612972</v>
          </cell>
          <cell r="K3940">
            <v>1.9174</v>
          </cell>
          <cell r="L3940">
            <v>87014</v>
          </cell>
          <cell r="M3940">
            <v>11542</v>
          </cell>
          <cell r="N3940">
            <v>524774.15852331778</v>
          </cell>
          <cell r="O3940">
            <v>528567.21237686661</v>
          </cell>
          <cell r="P3940">
            <v>300.04950000000002</v>
          </cell>
        </row>
        <row r="3941">
          <cell r="B3941">
            <v>36431</v>
          </cell>
          <cell r="C3941">
            <v>2.0605709999999999</v>
          </cell>
          <cell r="D3941">
            <v>1.9393</v>
          </cell>
          <cell r="E3941">
            <v>86132</v>
          </cell>
          <cell r="F3941">
            <v>11442</v>
          </cell>
          <cell r="J3941">
            <v>2594289.2123925234</v>
          </cell>
          <cell r="K3941">
            <v>1.9393</v>
          </cell>
          <cell r="L3941">
            <v>86132</v>
          </cell>
          <cell r="M3941">
            <v>11442</v>
          </cell>
          <cell r="N3941">
            <v>524774.15852331778</v>
          </cell>
          <cell r="O3941">
            <v>528567.21237686661</v>
          </cell>
          <cell r="P3941">
            <v>300.04950000000002</v>
          </cell>
        </row>
        <row r="3942">
          <cell r="B3942">
            <v>36432</v>
          </cell>
          <cell r="C3942">
            <v>2.0595680000000001</v>
          </cell>
          <cell r="D3942">
            <v>1.9224000000000001</v>
          </cell>
          <cell r="E3942">
            <v>85973</v>
          </cell>
          <cell r="F3942">
            <v>11433</v>
          </cell>
          <cell r="J3942">
            <v>2596070.2507407195</v>
          </cell>
          <cell r="K3942">
            <v>1.9224000000000001</v>
          </cell>
          <cell r="L3942">
            <v>85973</v>
          </cell>
          <cell r="M3942">
            <v>11433</v>
          </cell>
          <cell r="N3942">
            <v>524774.15852331778</v>
          </cell>
          <cell r="O3942">
            <v>528567.21237686661</v>
          </cell>
          <cell r="P3942">
            <v>300.04950000000002</v>
          </cell>
        </row>
        <row r="3943">
          <cell r="B3943">
            <v>36433</v>
          </cell>
          <cell r="C3943">
            <v>2.0575640000000002</v>
          </cell>
          <cell r="D3943">
            <v>1.9222999999999999</v>
          </cell>
          <cell r="E3943">
            <v>83936</v>
          </cell>
          <cell r="F3943">
            <v>11106</v>
          </cell>
          <cell r="G3943">
            <v>1.47</v>
          </cell>
          <cell r="H3943">
            <v>1.45</v>
          </cell>
          <cell r="I3943">
            <v>302.36860000000001</v>
          </cell>
          <cell r="J3943">
            <v>2597850.7776371841</v>
          </cell>
          <cell r="K3943">
            <v>1.9222999999999999</v>
          </cell>
          <cell r="L3943">
            <v>83936</v>
          </cell>
          <cell r="M3943">
            <v>11106</v>
          </cell>
          <cell r="N3943">
            <v>532488.33865361055</v>
          </cell>
          <cell r="O3943">
            <v>536231.43695633113</v>
          </cell>
          <cell r="P3943">
            <v>302.36860000000001</v>
          </cell>
        </row>
        <row r="3944">
          <cell r="B3944">
            <v>36434</v>
          </cell>
          <cell r="C3944">
            <v>2.0615730000000001</v>
          </cell>
          <cell r="D3944">
            <v>1.9564999999999999</v>
          </cell>
          <cell r="E3944">
            <v>83176</v>
          </cell>
          <cell r="F3944">
            <v>10959</v>
          </cell>
          <cell r="J3944">
            <v>2599635.9973109192</v>
          </cell>
          <cell r="K3944">
            <v>1.9564999999999999</v>
          </cell>
          <cell r="L3944">
            <v>83176</v>
          </cell>
          <cell r="M3944">
            <v>10959</v>
          </cell>
          <cell r="N3944">
            <v>532488.33865361055</v>
          </cell>
          <cell r="O3944">
            <v>536231.43695633113</v>
          </cell>
          <cell r="P3944">
            <v>302.36860000000001</v>
          </cell>
        </row>
        <row r="3945">
          <cell r="B3945">
            <v>36437</v>
          </cell>
          <cell r="C3945">
            <v>2.0585659999999999</v>
          </cell>
          <cell r="D3945">
            <v>1.9388000000000001</v>
          </cell>
          <cell r="E3945">
            <v>83715</v>
          </cell>
          <cell r="F3945">
            <v>11055</v>
          </cell>
          <cell r="J3945">
            <v>2601419.8380697328</v>
          </cell>
          <cell r="K3945">
            <v>1.9388000000000001</v>
          </cell>
          <cell r="L3945">
            <v>83715</v>
          </cell>
          <cell r="M3945">
            <v>11055</v>
          </cell>
          <cell r="N3945">
            <v>532488.33865361055</v>
          </cell>
          <cell r="O3945">
            <v>536231.43695633113</v>
          </cell>
          <cell r="P3945">
            <v>302.36860000000001</v>
          </cell>
        </row>
        <row r="3946">
          <cell r="B3946">
            <v>36438</v>
          </cell>
          <cell r="C3946">
            <v>2.0575640000000002</v>
          </cell>
          <cell r="D3946">
            <v>1.9524999999999999</v>
          </cell>
          <cell r="E3946">
            <v>82951</v>
          </cell>
          <cell r="F3946">
            <v>10923</v>
          </cell>
          <cell r="J3946">
            <v>2603204.0340056322</v>
          </cell>
          <cell r="K3946">
            <v>1.9524999999999999</v>
          </cell>
          <cell r="L3946">
            <v>82951</v>
          </cell>
          <cell r="M3946">
            <v>10923</v>
          </cell>
          <cell r="N3946">
            <v>532488.33865361055</v>
          </cell>
          <cell r="O3946">
            <v>536231.43695633113</v>
          </cell>
          <cell r="P3946">
            <v>302.36860000000001</v>
          </cell>
        </row>
        <row r="3947">
          <cell r="B3947">
            <v>36439</v>
          </cell>
          <cell r="C3947">
            <v>2.0425209999999998</v>
          </cell>
          <cell r="D3947">
            <v>1.96</v>
          </cell>
          <cell r="E3947">
            <v>84857</v>
          </cell>
          <cell r="F3947">
            <v>11345</v>
          </cell>
          <cell r="J3947">
            <v>2604976.4003078793</v>
          </cell>
          <cell r="K3947">
            <v>1.96</v>
          </cell>
          <cell r="L3947">
            <v>84857</v>
          </cell>
          <cell r="M3947">
            <v>11345</v>
          </cell>
          <cell r="N3947">
            <v>532488.33865361055</v>
          </cell>
          <cell r="O3947">
            <v>536231.43695633113</v>
          </cell>
          <cell r="P3947">
            <v>302.36860000000001</v>
          </cell>
        </row>
        <row r="3948">
          <cell r="B3948">
            <v>36440</v>
          </cell>
          <cell r="C3948">
            <v>2.054557</v>
          </cell>
          <cell r="D3948">
            <v>1.9339</v>
          </cell>
          <cell r="E3948">
            <v>85103</v>
          </cell>
          <cell r="F3948">
            <v>11338</v>
          </cell>
          <cell r="J3948">
            <v>2606760.4244739087</v>
          </cell>
          <cell r="K3948">
            <v>1.9339</v>
          </cell>
          <cell r="L3948">
            <v>85103</v>
          </cell>
          <cell r="M3948">
            <v>11338</v>
          </cell>
          <cell r="N3948">
            <v>532488.33865361055</v>
          </cell>
          <cell r="O3948">
            <v>536231.43695633113</v>
          </cell>
          <cell r="P3948">
            <v>302.36860000000001</v>
          </cell>
        </row>
        <row r="3949">
          <cell r="B3949">
            <v>36441</v>
          </cell>
          <cell r="C3949">
            <v>2.0535540000000001</v>
          </cell>
          <cell r="D3949">
            <v>1.9430000000000001</v>
          </cell>
          <cell r="E3949">
            <v>85739</v>
          </cell>
          <cell r="F3949">
            <v>11459</v>
          </cell>
          <cell r="J3949">
            <v>2608544.7989061484</v>
          </cell>
          <cell r="K3949">
            <v>1.9430000000000001</v>
          </cell>
          <cell r="L3949">
            <v>85739</v>
          </cell>
          <cell r="M3949">
            <v>11459</v>
          </cell>
          <cell r="N3949">
            <v>532488.33865361055</v>
          </cell>
          <cell r="O3949">
            <v>536231.43695633113</v>
          </cell>
          <cell r="P3949">
            <v>302.36860000000001</v>
          </cell>
        </row>
        <row r="3950">
          <cell r="B3950">
            <v>36444</v>
          </cell>
          <cell r="C3950">
            <v>2.04854</v>
          </cell>
          <cell r="D3950">
            <v>1.9550000000000001</v>
          </cell>
          <cell r="E3950">
            <v>86083</v>
          </cell>
          <cell r="F3950">
            <v>11478</v>
          </cell>
          <cell r="J3950">
            <v>2610326.0350269321</v>
          </cell>
          <cell r="K3950">
            <v>1.9550000000000001</v>
          </cell>
          <cell r="L3950">
            <v>86083</v>
          </cell>
          <cell r="M3950">
            <v>11478</v>
          </cell>
          <cell r="N3950">
            <v>532488.33865361055</v>
          </cell>
          <cell r="O3950">
            <v>536231.43695633113</v>
          </cell>
          <cell r="P3950">
            <v>302.36860000000001</v>
          </cell>
        </row>
        <row r="3951">
          <cell r="B3951">
            <v>36446</v>
          </cell>
          <cell r="C3951">
            <v>2.0495429999999999</v>
          </cell>
          <cell r="D3951">
            <v>1.9587000000000001</v>
          </cell>
          <cell r="E3951">
            <v>85006</v>
          </cell>
          <cell r="F3951">
            <v>11297</v>
          </cell>
          <cell r="J3951">
            <v>2612109.360177868</v>
          </cell>
          <cell r="K3951">
            <v>1.9587000000000001</v>
          </cell>
          <cell r="L3951">
            <v>85006</v>
          </cell>
          <cell r="M3951">
            <v>11297</v>
          </cell>
          <cell r="N3951">
            <v>532488.33865361055</v>
          </cell>
          <cell r="O3951">
            <v>536231.43695633113</v>
          </cell>
          <cell r="P3951">
            <v>302.36860000000001</v>
          </cell>
        </row>
        <row r="3952">
          <cell r="B3952">
            <v>36447</v>
          </cell>
          <cell r="C3952">
            <v>2.0495429999999999</v>
          </cell>
          <cell r="D3952">
            <v>1.9648000000000001</v>
          </cell>
          <cell r="E3952">
            <v>85757</v>
          </cell>
          <cell r="F3952">
            <v>11330</v>
          </cell>
          <cell r="J3952">
            <v>2613893.9036626639</v>
          </cell>
          <cell r="K3952">
            <v>1.9648000000000001</v>
          </cell>
          <cell r="L3952">
            <v>85757</v>
          </cell>
          <cell r="M3952">
            <v>11330</v>
          </cell>
          <cell r="N3952">
            <v>532488.33865361055</v>
          </cell>
          <cell r="O3952">
            <v>536231.43695633113</v>
          </cell>
          <cell r="P3952">
            <v>302.36860000000001</v>
          </cell>
        </row>
        <row r="3953">
          <cell r="B3953">
            <v>36448</v>
          </cell>
          <cell r="C3953">
            <v>2.04854</v>
          </cell>
          <cell r="D3953">
            <v>1.9794</v>
          </cell>
          <cell r="E3953">
            <v>84550</v>
          </cell>
          <cell r="F3953">
            <v>11146</v>
          </cell>
          <cell r="J3953">
            <v>2615678.7924017999</v>
          </cell>
          <cell r="K3953">
            <v>1.9794</v>
          </cell>
          <cell r="L3953">
            <v>84550</v>
          </cell>
          <cell r="M3953">
            <v>11146</v>
          </cell>
          <cell r="N3953">
            <v>532488.33865361055</v>
          </cell>
          <cell r="O3953">
            <v>536231.43695633113</v>
          </cell>
          <cell r="P3953">
            <v>302.36860000000001</v>
          </cell>
        </row>
        <row r="3954">
          <cell r="B3954">
            <v>36451</v>
          </cell>
          <cell r="C3954">
            <v>2.04854</v>
          </cell>
          <cell r="D3954">
            <v>1.9829000000000001</v>
          </cell>
          <cell r="E3954">
            <v>84011</v>
          </cell>
          <cell r="F3954">
            <v>10978</v>
          </cell>
          <cell r="J3954">
            <v>2617464.8999462621</v>
          </cell>
          <cell r="K3954">
            <v>1.9829000000000001</v>
          </cell>
          <cell r="L3954">
            <v>84011</v>
          </cell>
          <cell r="M3954">
            <v>10978</v>
          </cell>
          <cell r="N3954">
            <v>532488.33865361055</v>
          </cell>
          <cell r="O3954">
            <v>536231.43695633113</v>
          </cell>
          <cell r="P3954">
            <v>302.36860000000001</v>
          </cell>
        </row>
        <row r="3955">
          <cell r="B3955">
            <v>36452</v>
          </cell>
          <cell r="C3955">
            <v>2.0495429999999999</v>
          </cell>
          <cell r="D3955">
            <v>1.9933000000000001</v>
          </cell>
          <cell r="E3955">
            <v>84571</v>
          </cell>
          <cell r="F3955">
            <v>11097</v>
          </cell>
          <cell r="J3955">
            <v>2619253.1022340725</v>
          </cell>
          <cell r="K3955">
            <v>1.9933000000000001</v>
          </cell>
          <cell r="L3955">
            <v>84571</v>
          </cell>
          <cell r="M3955">
            <v>11097</v>
          </cell>
          <cell r="N3955">
            <v>532488.33865361055</v>
          </cell>
          <cell r="O3955">
            <v>536231.43695633113</v>
          </cell>
          <cell r="P3955">
            <v>302.36860000000001</v>
          </cell>
        </row>
        <row r="3956">
          <cell r="B3956">
            <v>36453</v>
          </cell>
          <cell r="C3956">
            <v>2.04854</v>
          </cell>
          <cell r="D3956">
            <v>2.0024999999999999</v>
          </cell>
          <cell r="E3956">
            <v>85323</v>
          </cell>
          <cell r="F3956">
            <v>11274</v>
          </cell>
          <cell r="J3956">
            <v>2621041.6504840893</v>
          </cell>
          <cell r="K3956">
            <v>2.0024999999999999</v>
          </cell>
          <cell r="L3956">
            <v>85323</v>
          </cell>
          <cell r="M3956">
            <v>11274</v>
          </cell>
          <cell r="N3956">
            <v>532488.33865361055</v>
          </cell>
          <cell r="O3956">
            <v>536231.43695633113</v>
          </cell>
          <cell r="P3956">
            <v>302.36860000000001</v>
          </cell>
        </row>
        <row r="3957">
          <cell r="B3957">
            <v>36454</v>
          </cell>
          <cell r="C3957">
            <v>2.0465339999999999</v>
          </cell>
          <cell r="D3957">
            <v>1.9936</v>
          </cell>
          <cell r="E3957">
            <v>85396</v>
          </cell>
          <cell r="F3957">
            <v>11253</v>
          </cell>
          <cell r="J3957">
            <v>2622829.6674351329</v>
          </cell>
          <cell r="K3957">
            <v>1.9936</v>
          </cell>
          <cell r="L3957">
            <v>85396</v>
          </cell>
          <cell r="M3957">
            <v>11253</v>
          </cell>
          <cell r="N3957">
            <v>532488.33865361055</v>
          </cell>
          <cell r="O3957">
            <v>536231.43695633113</v>
          </cell>
          <cell r="P3957">
            <v>302.36860000000001</v>
          </cell>
        </row>
        <row r="3958">
          <cell r="B3958">
            <v>36455</v>
          </cell>
          <cell r="C3958">
            <v>2.0445280000000001</v>
          </cell>
          <cell r="D3958">
            <v>1.9834000000000001</v>
          </cell>
          <cell r="E3958">
            <v>86684</v>
          </cell>
          <cell r="F3958">
            <v>11460</v>
          </cell>
          <cell r="J3958">
            <v>2624617.1503332336</v>
          </cell>
          <cell r="K3958">
            <v>1.9834000000000001</v>
          </cell>
          <cell r="L3958">
            <v>86684</v>
          </cell>
          <cell r="M3958">
            <v>11460</v>
          </cell>
          <cell r="N3958">
            <v>532488.33865361055</v>
          </cell>
          <cell r="O3958">
            <v>536231.43695633113</v>
          </cell>
          <cell r="P3958">
            <v>302.36860000000001</v>
          </cell>
        </row>
        <row r="3959">
          <cell r="B3959">
            <v>36458</v>
          </cell>
          <cell r="C3959">
            <v>2.0405129999999998</v>
          </cell>
          <cell r="D3959">
            <v>1.9777</v>
          </cell>
          <cell r="E3959">
            <v>86094</v>
          </cell>
          <cell r="F3959">
            <v>11394</v>
          </cell>
          <cell r="J3959">
            <v>2626402.3388049928</v>
          </cell>
          <cell r="K3959">
            <v>1.9777</v>
          </cell>
          <cell r="L3959">
            <v>86094</v>
          </cell>
          <cell r="M3959">
            <v>11394</v>
          </cell>
          <cell r="N3959">
            <v>532488.33865361055</v>
          </cell>
          <cell r="O3959">
            <v>536231.43695633113</v>
          </cell>
          <cell r="P3959">
            <v>302.36860000000001</v>
          </cell>
        </row>
        <row r="3960">
          <cell r="B3960">
            <v>36459</v>
          </cell>
          <cell r="C3960">
            <v>2.0415169999999998</v>
          </cell>
          <cell r="D3960">
            <v>1.9869000000000001</v>
          </cell>
          <cell r="E3960">
            <v>86669</v>
          </cell>
          <cell r="F3960">
            <v>11469</v>
          </cell>
          <cell r="J3960">
            <v>2628189.6204794967</v>
          </cell>
          <cell r="K3960">
            <v>1.9869000000000001</v>
          </cell>
          <cell r="L3960">
            <v>86669</v>
          </cell>
          <cell r="M3960">
            <v>11469</v>
          </cell>
          <cell r="N3960">
            <v>532488.33865361055</v>
          </cell>
          <cell r="O3960">
            <v>536231.43695633113</v>
          </cell>
          <cell r="P3960">
            <v>302.36860000000001</v>
          </cell>
        </row>
        <row r="3961">
          <cell r="B3961">
            <v>36460</v>
          </cell>
          <cell r="C3961">
            <v>2.0405129999999998</v>
          </cell>
          <cell r="D3961">
            <v>1.9954000000000001</v>
          </cell>
          <cell r="E3961">
            <v>87162</v>
          </cell>
          <cell r="F3961">
            <v>11530</v>
          </cell>
          <cell r="J3961">
            <v>2629977.2388418475</v>
          </cell>
          <cell r="K3961">
            <v>1.9954000000000001</v>
          </cell>
          <cell r="L3961">
            <v>87162</v>
          </cell>
          <cell r="M3961">
            <v>11530</v>
          </cell>
          <cell r="N3961">
            <v>532488.33865361055</v>
          </cell>
          <cell r="O3961">
            <v>536231.43695633113</v>
          </cell>
          <cell r="P3961">
            <v>302.36860000000001</v>
          </cell>
        </row>
        <row r="3962">
          <cell r="B3962">
            <v>36461</v>
          </cell>
          <cell r="C3962">
            <v>2.0405129999999998</v>
          </cell>
          <cell r="D3962">
            <v>1.9789000000000001</v>
          </cell>
          <cell r="E3962">
            <v>88694</v>
          </cell>
          <cell r="F3962">
            <v>11700</v>
          </cell>
          <cell r="J3962">
            <v>2631766.0730903675</v>
          </cell>
          <cell r="K3962">
            <v>1.9789000000000001</v>
          </cell>
          <cell r="L3962">
            <v>88694</v>
          </cell>
          <cell r="M3962">
            <v>11700</v>
          </cell>
          <cell r="N3962">
            <v>532488.33865361055</v>
          </cell>
          <cell r="O3962">
            <v>536231.43695633113</v>
          </cell>
          <cell r="P3962">
            <v>302.36860000000001</v>
          </cell>
        </row>
        <row r="3963">
          <cell r="B3963">
            <v>36462</v>
          </cell>
          <cell r="C3963">
            <v>2.0415169999999998</v>
          </cell>
          <cell r="D3963">
            <v>1.9530000000000001</v>
          </cell>
          <cell r="E3963">
            <v>89304</v>
          </cell>
          <cell r="F3963">
            <v>11700</v>
          </cell>
          <cell r="G3963">
            <v>1.89</v>
          </cell>
          <cell r="H3963">
            <v>1.7</v>
          </cell>
          <cell r="I3963">
            <v>304.56869999999998</v>
          </cell>
          <cell r="J3963">
            <v>2633557.0048164469</v>
          </cell>
          <cell r="K3963">
            <v>1.9530000000000001</v>
          </cell>
          <cell r="L3963">
            <v>89304</v>
          </cell>
          <cell r="M3963">
            <v>11700</v>
          </cell>
          <cell r="N3963">
            <v>542552.36825416377</v>
          </cell>
          <cell r="O3963">
            <v>545347.37138458877</v>
          </cell>
          <cell r="P3963">
            <v>304.56869999999998</v>
          </cell>
        </row>
        <row r="3964">
          <cell r="B3964">
            <v>36465</v>
          </cell>
          <cell r="C3964">
            <v>2.0425209999999998</v>
          </cell>
          <cell r="D3964">
            <v>1.9431</v>
          </cell>
          <cell r="E3964">
            <v>89913</v>
          </cell>
          <cell r="F3964">
            <v>11762</v>
          </cell>
          <cell r="J3964">
            <v>2635350.0366454585</v>
          </cell>
          <cell r="K3964">
            <v>1.9431</v>
          </cell>
          <cell r="L3964">
            <v>89913</v>
          </cell>
          <cell r="M3964">
            <v>11762</v>
          </cell>
          <cell r="N3964">
            <v>542552.36825416377</v>
          </cell>
          <cell r="O3964">
            <v>545347.37138458877</v>
          </cell>
          <cell r="P3964">
            <v>304.56869999999998</v>
          </cell>
        </row>
        <row r="3965">
          <cell r="B3965">
            <v>36467</v>
          </cell>
          <cell r="C3965">
            <v>2.0415169999999998</v>
          </cell>
          <cell r="D3965">
            <v>1.9414</v>
          </cell>
          <cell r="E3965">
            <v>92608</v>
          </cell>
          <cell r="F3965">
            <v>12346</v>
          </cell>
          <cell r="J3965">
            <v>2637143.4072790463</v>
          </cell>
          <cell r="K3965">
            <v>1.9414</v>
          </cell>
          <cell r="L3965">
            <v>92608</v>
          </cell>
          <cell r="M3965">
            <v>12346</v>
          </cell>
          <cell r="N3965">
            <v>542552.36825416377</v>
          </cell>
          <cell r="O3965">
            <v>545347.37138458877</v>
          </cell>
          <cell r="P3965">
            <v>304.56869999999998</v>
          </cell>
        </row>
        <row r="3966">
          <cell r="B3966">
            <v>36468</v>
          </cell>
          <cell r="C3966">
            <v>2.0415169999999998</v>
          </cell>
          <cell r="D3966">
            <v>1.9295</v>
          </cell>
          <cell r="E3966">
            <v>93292</v>
          </cell>
          <cell r="F3966">
            <v>12406</v>
          </cell>
          <cell r="J3966">
            <v>2638937.9983115126</v>
          </cell>
          <cell r="K3966">
            <v>1.9295</v>
          </cell>
          <cell r="L3966">
            <v>93292</v>
          </cell>
          <cell r="M3966">
            <v>12406</v>
          </cell>
          <cell r="N3966">
            <v>542552.36825416377</v>
          </cell>
          <cell r="O3966">
            <v>545347.37138458877</v>
          </cell>
          <cell r="P3966">
            <v>304.56869999999998</v>
          </cell>
        </row>
        <row r="3967">
          <cell r="B3967">
            <v>36469</v>
          </cell>
          <cell r="C3967">
            <v>2.0405129999999998</v>
          </cell>
          <cell r="D3967">
            <v>1.9155</v>
          </cell>
          <cell r="E3967">
            <v>95386</v>
          </cell>
          <cell r="F3967">
            <v>12714</v>
          </cell>
          <cell r="J3967">
            <v>2640732.9274087623</v>
          </cell>
          <cell r="K3967">
            <v>1.9155</v>
          </cell>
          <cell r="L3967">
            <v>95386</v>
          </cell>
          <cell r="M3967">
            <v>12714</v>
          </cell>
          <cell r="N3967">
            <v>542552.36825416377</v>
          </cell>
          <cell r="O3967">
            <v>545347.37138458877</v>
          </cell>
          <cell r="P3967">
            <v>304.56869999999998</v>
          </cell>
        </row>
        <row r="3968">
          <cell r="B3968">
            <v>36472</v>
          </cell>
          <cell r="C3968">
            <v>2.0405129999999998</v>
          </cell>
          <cell r="D3968">
            <v>1.9266000000000001</v>
          </cell>
          <cell r="E3968">
            <v>95800</v>
          </cell>
          <cell r="F3968">
            <v>12960</v>
          </cell>
          <cell r="J3968">
            <v>2642529.0773647306</v>
          </cell>
          <cell r="K3968">
            <v>1.9266000000000001</v>
          </cell>
          <cell r="L3968">
            <v>95800</v>
          </cell>
          <cell r="M3968">
            <v>12960</v>
          </cell>
          <cell r="N3968">
            <v>542552.36825416377</v>
          </cell>
          <cell r="O3968">
            <v>545347.37138458877</v>
          </cell>
          <cell r="P3968">
            <v>304.56869999999998</v>
          </cell>
        </row>
        <row r="3969">
          <cell r="B3969">
            <v>36473</v>
          </cell>
          <cell r="C3969">
            <v>2.0395099999999999</v>
          </cell>
          <cell r="D3969">
            <v>1.9240999999999999</v>
          </cell>
          <cell r="E3969">
            <v>95210</v>
          </cell>
          <cell r="F3969">
            <v>12879</v>
          </cell>
          <cell r="J3969">
            <v>2644325.5655242563</v>
          </cell>
          <cell r="K3969">
            <v>1.9240999999999999</v>
          </cell>
          <cell r="L3969">
            <v>95210</v>
          </cell>
          <cell r="M3969">
            <v>12879</v>
          </cell>
          <cell r="N3969">
            <v>542552.36825416377</v>
          </cell>
          <cell r="O3969">
            <v>545347.37138458877</v>
          </cell>
          <cell r="P3969">
            <v>304.56869999999998</v>
          </cell>
        </row>
        <row r="3970">
          <cell r="B3970">
            <v>36474</v>
          </cell>
          <cell r="C3970">
            <v>2.0174059999999998</v>
          </cell>
          <cell r="D3970">
            <v>1.9348000000000001</v>
          </cell>
          <cell r="E3970">
            <v>96840</v>
          </cell>
          <cell r="F3970">
            <v>13101</v>
          </cell>
          <cell r="J3970">
            <v>2646103.7916115369</v>
          </cell>
          <cell r="K3970">
            <v>1.9348000000000001</v>
          </cell>
          <cell r="L3970">
            <v>96840</v>
          </cell>
          <cell r="M3970">
            <v>13101</v>
          </cell>
          <cell r="N3970">
            <v>542552.36825416377</v>
          </cell>
          <cell r="O3970">
            <v>545347.37138458877</v>
          </cell>
          <cell r="P3970">
            <v>304.56869999999998</v>
          </cell>
        </row>
        <row r="3971">
          <cell r="B3971">
            <v>36475</v>
          </cell>
          <cell r="C3971">
            <v>2.045531</v>
          </cell>
          <cell r="D3971">
            <v>1.9288000000000001</v>
          </cell>
          <cell r="E3971">
            <v>97664</v>
          </cell>
          <cell r="F3971">
            <v>13189</v>
          </cell>
          <cell r="J3971">
            <v>2647908.0207231897</v>
          </cell>
          <cell r="K3971">
            <v>1.9288000000000001</v>
          </cell>
          <cell r="L3971">
            <v>97664</v>
          </cell>
          <cell r="M3971">
            <v>13189</v>
          </cell>
          <cell r="N3971">
            <v>542552.36825416377</v>
          </cell>
          <cell r="O3971">
            <v>545347.37138458877</v>
          </cell>
          <cell r="P3971">
            <v>304.56869999999998</v>
          </cell>
        </row>
        <row r="3972">
          <cell r="B3972">
            <v>36476</v>
          </cell>
          <cell r="C3972">
            <v>2.0475370000000002</v>
          </cell>
          <cell r="D3972">
            <v>1.9331</v>
          </cell>
          <cell r="E3972">
            <v>97809</v>
          </cell>
          <cell r="F3972">
            <v>13114</v>
          </cell>
          <cell r="J3972">
            <v>2649715.2506048656</v>
          </cell>
          <cell r="K3972">
            <v>1.9331</v>
          </cell>
          <cell r="L3972">
            <v>97809</v>
          </cell>
          <cell r="M3972">
            <v>13114</v>
          </cell>
          <cell r="N3972">
            <v>542552.36825416377</v>
          </cell>
          <cell r="O3972">
            <v>545347.37138458877</v>
          </cell>
          <cell r="P3972">
            <v>304.56869999999998</v>
          </cell>
        </row>
        <row r="3973">
          <cell r="B3973">
            <v>36480</v>
          </cell>
          <cell r="C3973">
            <v>2.04854</v>
          </cell>
          <cell r="D3973">
            <v>1.9331</v>
          </cell>
          <cell r="E3973">
            <v>98452</v>
          </cell>
          <cell r="F3973">
            <v>13128</v>
          </cell>
          <cell r="J3973">
            <v>2651524.5998313567</v>
          </cell>
          <cell r="K3973">
            <v>1.9331</v>
          </cell>
          <cell r="L3973">
            <v>98452</v>
          </cell>
          <cell r="M3973">
            <v>13128</v>
          </cell>
          <cell r="N3973">
            <v>542552.36825416377</v>
          </cell>
          <cell r="O3973">
            <v>545347.37138458877</v>
          </cell>
          <cell r="P3973">
            <v>304.56869999999998</v>
          </cell>
        </row>
        <row r="3974">
          <cell r="B3974">
            <v>36481</v>
          </cell>
          <cell r="C3974">
            <v>2.04854</v>
          </cell>
          <cell r="D3974">
            <v>1.9327000000000001</v>
          </cell>
          <cell r="E3974">
            <v>96834</v>
          </cell>
          <cell r="F3974">
            <v>12812</v>
          </cell>
          <cell r="J3974">
            <v>2653335.1845659362</v>
          </cell>
          <cell r="K3974">
            <v>1.9327000000000001</v>
          </cell>
          <cell r="L3974">
            <v>96834</v>
          </cell>
          <cell r="M3974">
            <v>12812</v>
          </cell>
          <cell r="N3974">
            <v>542552.36825416377</v>
          </cell>
          <cell r="O3974">
            <v>545347.37138458877</v>
          </cell>
          <cell r="P3974">
            <v>304.56869999999998</v>
          </cell>
        </row>
        <row r="3975">
          <cell r="B3975">
            <v>36482</v>
          </cell>
          <cell r="C3975">
            <v>2.0505460000000002</v>
          </cell>
          <cell r="D3975">
            <v>1.929</v>
          </cell>
          <cell r="E3975">
            <v>98707</v>
          </cell>
          <cell r="F3975">
            <v>13087</v>
          </cell>
          <cell r="J3975">
            <v>2655148.7798490599</v>
          </cell>
          <cell r="K3975">
            <v>1.929</v>
          </cell>
          <cell r="L3975">
            <v>98707</v>
          </cell>
          <cell r="M3975">
            <v>13087</v>
          </cell>
          <cell r="N3975">
            <v>542552.36825416377</v>
          </cell>
          <cell r="O3975">
            <v>545347.37138458877</v>
          </cell>
          <cell r="P3975">
            <v>304.56869999999998</v>
          </cell>
        </row>
        <row r="3976">
          <cell r="B3976">
            <v>36483</v>
          </cell>
          <cell r="C3976">
            <v>2.0515490000000001</v>
          </cell>
          <cell r="D3976">
            <v>1.9313</v>
          </cell>
          <cell r="E3976">
            <v>101780</v>
          </cell>
          <cell r="F3976">
            <v>13462</v>
          </cell>
          <cell r="J3976">
            <v>2656964.5024571097</v>
          </cell>
          <cell r="K3976">
            <v>1.9313</v>
          </cell>
          <cell r="L3976">
            <v>101780</v>
          </cell>
          <cell r="M3976">
            <v>13462</v>
          </cell>
          <cell r="N3976">
            <v>542552.36825416377</v>
          </cell>
          <cell r="O3976">
            <v>545347.37138458877</v>
          </cell>
          <cell r="P3976">
            <v>304.56869999999998</v>
          </cell>
        </row>
        <row r="3977">
          <cell r="B3977">
            <v>36486</v>
          </cell>
          <cell r="C3977">
            <v>2.0505460000000002</v>
          </cell>
          <cell r="D3977">
            <v>1.9321999999999999</v>
          </cell>
          <cell r="E3977">
            <v>101784</v>
          </cell>
          <cell r="F3977">
            <v>13435</v>
          </cell>
          <cell r="J3977">
            <v>2658780.5784346615</v>
          </cell>
          <cell r="K3977">
            <v>1.9321999999999999</v>
          </cell>
          <cell r="L3977">
            <v>101784</v>
          </cell>
          <cell r="M3977">
            <v>13435</v>
          </cell>
          <cell r="N3977">
            <v>542552.36825416377</v>
          </cell>
          <cell r="O3977">
            <v>545347.37138458877</v>
          </cell>
          <cell r="P3977">
            <v>304.56869999999998</v>
          </cell>
        </row>
        <row r="3978">
          <cell r="B3978">
            <v>36487</v>
          </cell>
          <cell r="C3978">
            <v>2.0495429999999999</v>
          </cell>
          <cell r="D3978">
            <v>1.9328000000000001</v>
          </cell>
          <cell r="E3978">
            <v>102772</v>
          </cell>
          <cell r="F3978">
            <v>13565</v>
          </cell>
          <cell r="J3978">
            <v>2660597.0068090172</v>
          </cell>
          <cell r="K3978">
            <v>1.9328000000000001</v>
          </cell>
          <cell r="L3978">
            <v>102772</v>
          </cell>
          <cell r="M3978">
            <v>13565</v>
          </cell>
          <cell r="N3978">
            <v>542552.36825416377</v>
          </cell>
          <cell r="O3978">
            <v>545347.37138458877</v>
          </cell>
          <cell r="P3978">
            <v>304.56869999999998</v>
          </cell>
        </row>
        <row r="3979">
          <cell r="B3979">
            <v>36488</v>
          </cell>
          <cell r="C3979">
            <v>2.0495429999999999</v>
          </cell>
          <cell r="D3979">
            <v>1.9295</v>
          </cell>
          <cell r="E3979">
            <v>101232</v>
          </cell>
          <cell r="F3979">
            <v>13392</v>
          </cell>
          <cell r="J3979">
            <v>2662414.676132726</v>
          </cell>
          <cell r="K3979">
            <v>1.9295</v>
          </cell>
          <cell r="L3979">
            <v>101232</v>
          </cell>
          <cell r="M3979">
            <v>13392</v>
          </cell>
          <cell r="N3979">
            <v>542552.36825416377</v>
          </cell>
          <cell r="O3979">
            <v>545347.37138458877</v>
          </cell>
          <cell r="P3979">
            <v>304.56869999999998</v>
          </cell>
        </row>
        <row r="3980">
          <cell r="B3980">
            <v>36489</v>
          </cell>
          <cell r="C3980">
            <v>2.0495429999999999</v>
          </cell>
          <cell r="D3980">
            <v>1.93</v>
          </cell>
          <cell r="E3980">
            <v>102624</v>
          </cell>
          <cell r="F3980">
            <v>13536</v>
          </cell>
          <cell r="J3980">
            <v>2664233.5872535813</v>
          </cell>
          <cell r="K3980">
            <v>1.93</v>
          </cell>
          <cell r="L3980">
            <v>102624</v>
          </cell>
          <cell r="M3980">
            <v>13536</v>
          </cell>
          <cell r="N3980">
            <v>542552.36825416377</v>
          </cell>
          <cell r="O3980">
            <v>545347.37138458877</v>
          </cell>
          <cell r="P3980">
            <v>304.56869999999998</v>
          </cell>
        </row>
        <row r="3981">
          <cell r="B3981">
            <v>36490</v>
          </cell>
          <cell r="C3981">
            <v>2.0515490000000001</v>
          </cell>
          <cell r="D3981">
            <v>1.9262999999999999</v>
          </cell>
          <cell r="E3981">
            <v>105368</v>
          </cell>
          <cell r="F3981">
            <v>13888</v>
          </cell>
          <cell r="J3981">
            <v>2666055.5225041467</v>
          </cell>
          <cell r="K3981">
            <v>1.9262999999999999</v>
          </cell>
          <cell r="L3981">
            <v>105368</v>
          </cell>
          <cell r="M3981">
            <v>13888</v>
          </cell>
          <cell r="N3981">
            <v>542552.36825416377</v>
          </cell>
          <cell r="O3981">
            <v>545347.37138458877</v>
          </cell>
          <cell r="P3981">
            <v>304.56869999999998</v>
          </cell>
        </row>
        <row r="3982">
          <cell r="B3982">
            <v>36493</v>
          </cell>
          <cell r="C3982">
            <v>2.0495429999999999</v>
          </cell>
          <cell r="D3982">
            <v>1.9213</v>
          </cell>
          <cell r="E3982">
            <v>105462</v>
          </cell>
          <cell r="F3982">
            <v>13854</v>
          </cell>
          <cell r="J3982">
            <v>2667876.920982067</v>
          </cell>
          <cell r="K3982">
            <v>1.9213</v>
          </cell>
          <cell r="L3982">
            <v>105462</v>
          </cell>
          <cell r="M3982">
            <v>13854</v>
          </cell>
          <cell r="N3982">
            <v>542552.36825416377</v>
          </cell>
          <cell r="O3982">
            <v>545347.37138458877</v>
          </cell>
          <cell r="P3982">
            <v>304.56869999999998</v>
          </cell>
        </row>
        <row r="3983">
          <cell r="B3983">
            <v>36494</v>
          </cell>
          <cell r="C3983">
            <v>2.0525519999999999</v>
          </cell>
          <cell r="D3983">
            <v>1.9227000000000001</v>
          </cell>
          <cell r="E3983">
            <v>105468</v>
          </cell>
          <cell r="F3983">
            <v>13778</v>
          </cell>
          <cell r="G3983">
            <v>2.5299999999999998</v>
          </cell>
          <cell r="H3983">
            <v>2.39</v>
          </cell>
          <cell r="I3983">
            <v>306.70310000000001</v>
          </cell>
          <cell r="J3983">
            <v>2669702.2396853724</v>
          </cell>
          <cell r="K3983">
            <v>1.9227000000000001</v>
          </cell>
          <cell r="L3983">
            <v>105468</v>
          </cell>
          <cell r="M3983">
            <v>13778</v>
          </cell>
          <cell r="N3983">
            <v>556278.94317099417</v>
          </cell>
          <cell r="O3983">
            <v>558381.17356068047</v>
          </cell>
          <cell r="P3983">
            <v>306.70310000000001</v>
          </cell>
        </row>
        <row r="3984">
          <cell r="B3984">
            <v>36495</v>
          </cell>
          <cell r="C3984">
            <v>2.0525519999999999</v>
          </cell>
          <cell r="D3984">
            <v>1.9220999999999999</v>
          </cell>
          <cell r="E3984">
            <v>106050</v>
          </cell>
          <cell r="F3984">
            <v>13874</v>
          </cell>
          <cell r="J3984">
            <v>2671528.8072425295</v>
          </cell>
          <cell r="K3984">
            <v>1.9220999999999999</v>
          </cell>
          <cell r="L3984">
            <v>106050</v>
          </cell>
          <cell r="M3984">
            <v>13874</v>
          </cell>
          <cell r="N3984">
            <v>556278.94317099417</v>
          </cell>
          <cell r="O3984">
            <v>558381.17356068047</v>
          </cell>
          <cell r="P3984">
            <v>306.70310000000001</v>
          </cell>
        </row>
        <row r="3985">
          <cell r="B3985">
            <v>36496</v>
          </cell>
          <cell r="C3985">
            <v>2.0515490000000001</v>
          </cell>
          <cell r="D3985">
            <v>1.895</v>
          </cell>
          <cell r="E3985">
            <v>108991</v>
          </cell>
          <cell r="F3985">
            <v>14213</v>
          </cell>
          <cell r="J3985">
            <v>2673355.7313268525</v>
          </cell>
          <cell r="K3985">
            <v>1.895</v>
          </cell>
          <cell r="L3985">
            <v>108991</v>
          </cell>
          <cell r="M3985">
            <v>14213</v>
          </cell>
          <cell r="N3985">
            <v>556278.94317099417</v>
          </cell>
          <cell r="O3985">
            <v>558381.17356068047</v>
          </cell>
          <cell r="P3985">
            <v>306.70310000000001</v>
          </cell>
        </row>
        <row r="3986">
          <cell r="B3986">
            <v>36497</v>
          </cell>
          <cell r="C3986">
            <v>2.0525519999999999</v>
          </cell>
          <cell r="D3986">
            <v>1.8774</v>
          </cell>
          <cell r="E3986">
            <v>109905</v>
          </cell>
          <cell r="F3986">
            <v>14408</v>
          </cell>
          <cell r="J3986">
            <v>2675184.7985445345</v>
          </cell>
          <cell r="K3986">
            <v>1.8774</v>
          </cell>
          <cell r="L3986">
            <v>109905</v>
          </cell>
          <cell r="M3986">
            <v>14408</v>
          </cell>
          <cell r="N3986">
            <v>556278.94317099417</v>
          </cell>
          <cell r="O3986">
            <v>558381.17356068047</v>
          </cell>
          <cell r="P3986">
            <v>306.70310000000001</v>
          </cell>
        </row>
        <row r="3987">
          <cell r="B3987">
            <v>36500</v>
          </cell>
          <cell r="C3987">
            <v>2.0535540000000001</v>
          </cell>
          <cell r="D3987">
            <v>1.8669</v>
          </cell>
          <cell r="E3987">
            <v>108569</v>
          </cell>
          <cell r="F3987">
            <v>14344</v>
          </cell>
          <cell r="J3987">
            <v>2677016.0106924642</v>
          </cell>
          <cell r="K3987">
            <v>1.8669</v>
          </cell>
          <cell r="L3987">
            <v>108569</v>
          </cell>
          <cell r="M3987">
            <v>14344</v>
          </cell>
          <cell r="N3987">
            <v>556278.94317099417</v>
          </cell>
          <cell r="O3987">
            <v>558381.17356068047</v>
          </cell>
          <cell r="P3987">
            <v>306.70310000000001</v>
          </cell>
        </row>
        <row r="3988">
          <cell r="B3988">
            <v>36501</v>
          </cell>
          <cell r="C3988">
            <v>2.0495429999999999</v>
          </cell>
          <cell r="D3988">
            <v>1.8593999999999999</v>
          </cell>
          <cell r="E3988">
            <v>108772</v>
          </cell>
          <cell r="F3988">
            <v>14299</v>
          </cell>
          <cell r="J3988">
            <v>2678844.8971676654</v>
          </cell>
          <cell r="K3988">
            <v>1.8593999999999999</v>
          </cell>
          <cell r="L3988">
            <v>108772</v>
          </cell>
          <cell r="M3988">
            <v>14299</v>
          </cell>
          <cell r="N3988">
            <v>556278.94317099417</v>
          </cell>
          <cell r="O3988">
            <v>558381.17356068047</v>
          </cell>
          <cell r="P3988">
            <v>306.70310000000001</v>
          </cell>
        </row>
        <row r="3989">
          <cell r="B3989">
            <v>36502</v>
          </cell>
          <cell r="C3989">
            <v>2.0465339999999999</v>
          </cell>
          <cell r="D3989">
            <v>1.8627</v>
          </cell>
          <cell r="E3989">
            <v>109406</v>
          </cell>
          <cell r="F3989">
            <v>14410</v>
          </cell>
          <cell r="J3989">
            <v>2680672.3462219252</v>
          </cell>
          <cell r="K3989">
            <v>1.8627</v>
          </cell>
          <cell r="L3989">
            <v>109406</v>
          </cell>
          <cell r="M3989">
            <v>14410</v>
          </cell>
          <cell r="N3989">
            <v>556278.94317099417</v>
          </cell>
          <cell r="O3989">
            <v>558381.17356068047</v>
          </cell>
          <cell r="P3989">
            <v>306.70310000000001</v>
          </cell>
        </row>
        <row r="3990">
          <cell r="B3990">
            <v>36503</v>
          </cell>
          <cell r="C3990">
            <v>2.0465339999999999</v>
          </cell>
          <cell r="D3990">
            <v>1.8668</v>
          </cell>
          <cell r="E3990">
            <v>110454</v>
          </cell>
          <cell r="F3990">
            <v>14584</v>
          </cell>
          <cell r="J3990">
            <v>2682501.041921726</v>
          </cell>
          <cell r="K3990">
            <v>1.8668</v>
          </cell>
          <cell r="L3990">
            <v>110454</v>
          </cell>
          <cell r="M3990">
            <v>14584</v>
          </cell>
          <cell r="N3990">
            <v>556278.94317099417</v>
          </cell>
          <cell r="O3990">
            <v>558381.17356068047</v>
          </cell>
          <cell r="P3990">
            <v>306.70310000000001</v>
          </cell>
        </row>
        <row r="3991">
          <cell r="B3991">
            <v>36504</v>
          </cell>
          <cell r="C3991">
            <v>2.045531</v>
          </cell>
          <cell r="D3991">
            <v>1.8667</v>
          </cell>
          <cell r="E3991">
            <v>111935</v>
          </cell>
          <cell r="F3991">
            <v>14783</v>
          </cell>
          <cell r="J3991">
            <v>2684330.0882679871</v>
          </cell>
          <cell r="K3991">
            <v>1.8667</v>
          </cell>
          <cell r="L3991">
            <v>111935</v>
          </cell>
          <cell r="M3991">
            <v>14783</v>
          </cell>
          <cell r="N3991">
            <v>556278.94317099417</v>
          </cell>
          <cell r="O3991">
            <v>558381.17356068047</v>
          </cell>
          <cell r="P3991">
            <v>306.70310000000001</v>
          </cell>
        </row>
        <row r="3992">
          <cell r="B3992">
            <v>36507</v>
          </cell>
          <cell r="C3992">
            <v>2.045531</v>
          </cell>
          <cell r="D3992">
            <v>1.8564000000000001</v>
          </cell>
          <cell r="E3992">
            <v>111977</v>
          </cell>
          <cell r="F3992">
            <v>14811</v>
          </cell>
          <cell r="J3992">
            <v>2686160.3817379153</v>
          </cell>
          <cell r="K3992">
            <v>1.8564000000000001</v>
          </cell>
          <cell r="L3992">
            <v>111977</v>
          </cell>
          <cell r="M3992">
            <v>14811</v>
          </cell>
          <cell r="N3992">
            <v>556278.94317099417</v>
          </cell>
          <cell r="O3992">
            <v>558381.17356068047</v>
          </cell>
          <cell r="P3992">
            <v>306.70310000000001</v>
          </cell>
        </row>
        <row r="3993">
          <cell r="B3993">
            <v>36508</v>
          </cell>
          <cell r="C3993">
            <v>2.045531</v>
          </cell>
          <cell r="D3993">
            <v>1.8463000000000001</v>
          </cell>
          <cell r="E3993">
            <v>111368</v>
          </cell>
          <cell r="F3993">
            <v>14644</v>
          </cell>
          <cell r="J3993">
            <v>2687991.9231818542</v>
          </cell>
          <cell r="K3993">
            <v>1.8463000000000001</v>
          </cell>
          <cell r="L3993">
            <v>111368</v>
          </cell>
          <cell r="M3993">
            <v>14644</v>
          </cell>
          <cell r="N3993">
            <v>556278.94317099417</v>
          </cell>
          <cell r="O3993">
            <v>558381.17356068047</v>
          </cell>
          <cell r="P3993">
            <v>306.70310000000001</v>
          </cell>
        </row>
        <row r="3994">
          <cell r="B3994">
            <v>36509</v>
          </cell>
          <cell r="C3994">
            <v>2.045531</v>
          </cell>
          <cell r="D3994">
            <v>1.8501000000000001</v>
          </cell>
          <cell r="E3994">
            <v>110192</v>
          </cell>
          <cell r="F3994">
            <v>14322</v>
          </cell>
          <cell r="J3994">
            <v>2689824.7134507271</v>
          </cell>
          <cell r="K3994">
            <v>1.8501000000000001</v>
          </cell>
          <cell r="L3994">
            <v>110192</v>
          </cell>
          <cell r="M3994">
            <v>14322</v>
          </cell>
          <cell r="N3994">
            <v>556278.94317099417</v>
          </cell>
          <cell r="O3994">
            <v>558381.17356068047</v>
          </cell>
          <cell r="P3994">
            <v>306.70310000000001</v>
          </cell>
        </row>
        <row r="3995">
          <cell r="B3995">
            <v>36510</v>
          </cell>
          <cell r="C3995">
            <v>2.0475370000000002</v>
          </cell>
          <cell r="D3995">
            <v>1.8407</v>
          </cell>
          <cell r="E3995">
            <v>111444</v>
          </cell>
          <cell r="F3995">
            <v>14497</v>
          </cell>
          <cell r="J3995">
            <v>2691660.5519921621</v>
          </cell>
          <cell r="K3995">
            <v>1.8407</v>
          </cell>
          <cell r="L3995">
            <v>111444</v>
          </cell>
          <cell r="M3995">
            <v>14497</v>
          </cell>
          <cell r="N3995">
            <v>556278.94317099417</v>
          </cell>
          <cell r="O3995">
            <v>558381.17356068047</v>
          </cell>
          <cell r="P3995">
            <v>306.70310000000001</v>
          </cell>
        </row>
        <row r="3996">
          <cell r="B3996">
            <v>36511</v>
          </cell>
          <cell r="C3996">
            <v>2.0465339999999999</v>
          </cell>
          <cell r="D3996">
            <v>1.8178000000000001</v>
          </cell>
          <cell r="E3996">
            <v>113039</v>
          </cell>
          <cell r="F3996">
            <v>14788</v>
          </cell>
          <cell r="J3996">
            <v>2693496.743604199</v>
          </cell>
          <cell r="K3996">
            <v>1.8178000000000001</v>
          </cell>
          <cell r="L3996">
            <v>113039</v>
          </cell>
          <cell r="M3996">
            <v>14788</v>
          </cell>
          <cell r="N3996">
            <v>556278.94317099417</v>
          </cell>
          <cell r="O3996">
            <v>558381.17356068047</v>
          </cell>
          <cell r="P3996">
            <v>306.70310000000001</v>
          </cell>
        </row>
        <row r="3997">
          <cell r="B3997">
            <v>36514</v>
          </cell>
          <cell r="C3997">
            <v>2.04854</v>
          </cell>
          <cell r="D3997">
            <v>1.8048</v>
          </cell>
          <cell r="E3997">
            <v>115755</v>
          </cell>
          <cell r="F3997">
            <v>15110</v>
          </cell>
          <cell r="J3997">
            <v>2695335.9888772466</v>
          </cell>
          <cell r="K3997">
            <v>1.8048</v>
          </cell>
          <cell r="L3997">
            <v>115755</v>
          </cell>
          <cell r="M3997">
            <v>15110</v>
          </cell>
          <cell r="N3997">
            <v>556278.94317099417</v>
          </cell>
          <cell r="O3997">
            <v>558381.17356068047</v>
          </cell>
          <cell r="P3997">
            <v>306.70310000000001</v>
          </cell>
        </row>
        <row r="3998">
          <cell r="B3998">
            <v>36515</v>
          </cell>
          <cell r="C3998">
            <v>2.0495429999999999</v>
          </cell>
          <cell r="D3998">
            <v>1.8233999999999999</v>
          </cell>
          <cell r="E3998">
            <v>118450</v>
          </cell>
          <cell r="F3998">
            <v>15591</v>
          </cell>
          <cell r="J3998">
            <v>2697177.3912134641</v>
          </cell>
          <cell r="K3998">
            <v>1.8233999999999999</v>
          </cell>
          <cell r="L3998">
            <v>118450</v>
          </cell>
          <cell r="M3998">
            <v>15591</v>
          </cell>
          <cell r="N3998">
            <v>556278.94317099417</v>
          </cell>
          <cell r="O3998">
            <v>558381.17356068047</v>
          </cell>
          <cell r="P3998">
            <v>306.70310000000001</v>
          </cell>
        </row>
        <row r="3999">
          <cell r="B3999">
            <v>36516</v>
          </cell>
          <cell r="C3999">
            <v>2.04854</v>
          </cell>
          <cell r="D3999">
            <v>1.8204</v>
          </cell>
          <cell r="E3999">
            <v>119221</v>
          </cell>
          <cell r="F3999">
            <v>15916</v>
          </cell>
          <cell r="J3999">
            <v>2699019.1498044627</v>
          </cell>
          <cell r="K3999">
            <v>1.8204</v>
          </cell>
          <cell r="L3999">
            <v>119221</v>
          </cell>
          <cell r="M3999">
            <v>15916</v>
          </cell>
          <cell r="N3999">
            <v>556278.94317099417</v>
          </cell>
          <cell r="O3999">
            <v>558381.17356068047</v>
          </cell>
          <cell r="P3999">
            <v>306.70310000000001</v>
          </cell>
        </row>
        <row r="4000">
          <cell r="B4000">
            <v>36517</v>
          </cell>
          <cell r="C4000">
            <v>2.0495429999999999</v>
          </cell>
          <cell r="D4000">
            <v>1.8286</v>
          </cell>
          <cell r="E4000">
            <v>119620</v>
          </cell>
          <cell r="F4000">
            <v>15953</v>
          </cell>
          <cell r="J4000">
            <v>2700863.0684062457</v>
          </cell>
          <cell r="K4000">
            <v>1.8286</v>
          </cell>
          <cell r="L4000">
            <v>119620</v>
          </cell>
          <cell r="M4000">
            <v>15953</v>
          </cell>
          <cell r="N4000">
            <v>556278.94317099417</v>
          </cell>
          <cell r="O4000">
            <v>558381.17356068047</v>
          </cell>
          <cell r="P4000">
            <v>306.70310000000001</v>
          </cell>
        </row>
        <row r="4001">
          <cell r="B4001">
            <v>36518</v>
          </cell>
          <cell r="C4001">
            <v>2.0495429999999999</v>
          </cell>
          <cell r="D4001">
            <v>1.829</v>
          </cell>
          <cell r="J4001">
            <v>2702708.2467381828</v>
          </cell>
          <cell r="K4001">
            <v>1.829</v>
          </cell>
          <cell r="L4001">
            <v>119620</v>
          </cell>
          <cell r="M4001">
            <v>15953</v>
          </cell>
          <cell r="N4001">
            <v>556278.94317099417</v>
          </cell>
          <cell r="O4001">
            <v>558381.17356068047</v>
          </cell>
          <cell r="P4001">
            <v>306.70310000000001</v>
          </cell>
        </row>
        <row r="4002">
          <cell r="B4002">
            <v>36521</v>
          </cell>
          <cell r="C4002">
            <v>2.045531</v>
          </cell>
          <cell r="D4002">
            <v>1.8267</v>
          </cell>
          <cell r="E4002">
            <v>119279</v>
          </cell>
          <cell r="F4002">
            <v>16011</v>
          </cell>
          <cell r="J4002">
            <v>2704551.0712390691</v>
          </cell>
          <cell r="K4002">
            <v>1.8267</v>
          </cell>
          <cell r="L4002">
            <v>119279</v>
          </cell>
          <cell r="M4002">
            <v>16011</v>
          </cell>
          <cell r="N4002">
            <v>556278.94317099417</v>
          </cell>
          <cell r="O4002">
            <v>558381.17356068047</v>
          </cell>
          <cell r="P4002">
            <v>306.70310000000001</v>
          </cell>
        </row>
        <row r="4003">
          <cell r="B4003">
            <v>36522</v>
          </cell>
          <cell r="C4003">
            <v>2.045531</v>
          </cell>
          <cell r="D4003">
            <v>1.8289</v>
          </cell>
          <cell r="E4003">
            <v>121391</v>
          </cell>
          <cell r="F4003">
            <v>16376</v>
          </cell>
          <cell r="J4003">
            <v>2706395.1522581698</v>
          </cell>
          <cell r="K4003">
            <v>1.8289</v>
          </cell>
          <cell r="L4003">
            <v>121391</v>
          </cell>
          <cell r="M4003">
            <v>16376</v>
          </cell>
          <cell r="N4003">
            <v>556278.94317099417</v>
          </cell>
          <cell r="O4003">
            <v>558381.17356068047</v>
          </cell>
          <cell r="P4003">
            <v>306.70310000000001</v>
          </cell>
        </row>
        <row r="4004">
          <cell r="B4004">
            <v>36523</v>
          </cell>
          <cell r="C4004">
            <v>2.0445280000000001</v>
          </cell>
          <cell r="D4004">
            <v>1.8169999999999999</v>
          </cell>
          <cell r="E4004">
            <v>124436</v>
          </cell>
          <cell r="F4004">
            <v>16772</v>
          </cell>
          <cell r="J4004">
            <v>2708239.5858141221</v>
          </cell>
          <cell r="K4004">
            <v>1.8169999999999999</v>
          </cell>
          <cell r="L4004">
            <v>124436</v>
          </cell>
          <cell r="M4004">
            <v>16772</v>
          </cell>
          <cell r="N4004">
            <v>556278.94317099417</v>
          </cell>
          <cell r="O4004">
            <v>558381.17356068047</v>
          </cell>
          <cell r="P4004">
            <v>306.70310000000001</v>
          </cell>
        </row>
        <row r="4005">
          <cell r="B4005">
            <v>36524</v>
          </cell>
          <cell r="C4005">
            <v>2.054557</v>
          </cell>
          <cell r="D4005">
            <v>1.7889999999999999</v>
          </cell>
          <cell r="E4005">
            <v>127264</v>
          </cell>
          <cell r="F4005">
            <v>17091</v>
          </cell>
          <cell r="J4005">
            <v>2710094.3300136928</v>
          </cell>
          <cell r="K4005">
            <v>1.7889999999999999</v>
          </cell>
          <cell r="L4005">
            <v>127264</v>
          </cell>
          <cell r="M4005">
            <v>17091</v>
          </cell>
          <cell r="N4005">
            <v>556278.94317099417</v>
          </cell>
          <cell r="O4005">
            <v>558381.17356068047</v>
          </cell>
          <cell r="P4005">
            <v>306.70310000000001</v>
          </cell>
        </row>
        <row r="4006">
          <cell r="B4006">
            <v>36525</v>
          </cell>
          <cell r="C4006">
            <v>2.054557</v>
          </cell>
          <cell r="D4006">
            <v>1.7889999999999999</v>
          </cell>
          <cell r="G4006">
            <v>1.23</v>
          </cell>
          <cell r="H4006">
            <v>1.81</v>
          </cell>
          <cell r="I4006">
            <v>309.16070000000002</v>
          </cell>
          <cell r="J4006">
            <v>2711950.3444391564</v>
          </cell>
          <cell r="K4006">
            <v>1.7889999999999999</v>
          </cell>
          <cell r="L4006">
            <v>127264</v>
          </cell>
          <cell r="M4006">
            <v>17091</v>
          </cell>
          <cell r="N4006">
            <v>563121.17417199735</v>
          </cell>
          <cell r="O4006">
            <v>568487.87280212878</v>
          </cell>
          <cell r="P4006">
            <v>309.16070000000002</v>
          </cell>
        </row>
        <row r="4007">
          <cell r="B4007">
            <v>36528</v>
          </cell>
          <cell r="C4007">
            <v>2.0495429999999999</v>
          </cell>
          <cell r="D4007">
            <v>1.8010999999999999</v>
          </cell>
          <cell r="E4007">
            <v>125866</v>
          </cell>
          <cell r="F4007">
            <v>16930</v>
          </cell>
          <cell r="J4007">
            <v>2713803.0973874209</v>
          </cell>
          <cell r="K4007">
            <v>1.8010999999999999</v>
          </cell>
          <cell r="L4007">
            <v>125866</v>
          </cell>
          <cell r="M4007">
            <v>16930</v>
          </cell>
          <cell r="N4007">
            <v>563121.17417199735</v>
          </cell>
          <cell r="O4007">
            <v>568487.87280212878</v>
          </cell>
          <cell r="P4007">
            <v>309.16070000000002</v>
          </cell>
        </row>
        <row r="4008">
          <cell r="B4008">
            <v>36529</v>
          </cell>
          <cell r="C4008">
            <v>2.0465339999999999</v>
          </cell>
          <cell r="D4008">
            <v>1.8337000000000001</v>
          </cell>
          <cell r="E4008">
            <v>121394</v>
          </cell>
          <cell r="F4008">
            <v>15851</v>
          </cell>
          <cell r="J4008">
            <v>2715654.3941567903</v>
          </cell>
          <cell r="K4008">
            <v>1.8337000000000001</v>
          </cell>
          <cell r="L4008">
            <v>121394</v>
          </cell>
          <cell r="M4008">
            <v>15851</v>
          </cell>
          <cell r="N4008">
            <v>563121.17417199735</v>
          </cell>
          <cell r="O4008">
            <v>568487.87280212878</v>
          </cell>
          <cell r="P4008">
            <v>309.16070000000002</v>
          </cell>
        </row>
        <row r="4009">
          <cell r="B4009">
            <v>36530</v>
          </cell>
          <cell r="C4009">
            <v>2.045531</v>
          </cell>
          <cell r="D4009">
            <v>1.8544</v>
          </cell>
          <cell r="E4009">
            <v>122561</v>
          </cell>
          <cell r="F4009">
            <v>16245</v>
          </cell>
          <cell r="J4009">
            <v>2717506.0459063016</v>
          </cell>
          <cell r="K4009">
            <v>1.8544</v>
          </cell>
          <cell r="L4009">
            <v>122561</v>
          </cell>
          <cell r="M4009">
            <v>16245</v>
          </cell>
          <cell r="N4009">
            <v>563121.17417199735</v>
          </cell>
          <cell r="O4009">
            <v>568487.87280212878</v>
          </cell>
          <cell r="P4009">
            <v>309.16070000000002</v>
          </cell>
        </row>
        <row r="4010">
          <cell r="B4010">
            <v>36531</v>
          </cell>
          <cell r="C4010">
            <v>2.0465339999999999</v>
          </cell>
          <cell r="D4010">
            <v>1.8461000000000001</v>
          </cell>
          <cell r="E4010">
            <v>122697</v>
          </cell>
          <cell r="F4010">
            <v>16106</v>
          </cell>
          <cell r="J4010">
            <v>2719359.8687456856</v>
          </cell>
          <cell r="K4010">
            <v>1.8461000000000001</v>
          </cell>
          <cell r="L4010">
            <v>122697</v>
          </cell>
          <cell r="M4010">
            <v>16106</v>
          </cell>
          <cell r="N4010">
            <v>563121.17417199735</v>
          </cell>
          <cell r="O4010">
            <v>568487.87280212878</v>
          </cell>
          <cell r="P4010">
            <v>309.16070000000002</v>
          </cell>
        </row>
        <row r="4011">
          <cell r="B4011">
            <v>36532</v>
          </cell>
          <cell r="C4011">
            <v>2.0465339999999999</v>
          </cell>
          <cell r="D4011">
            <v>1.8281000000000001</v>
          </cell>
          <cell r="E4011">
            <v>124827</v>
          </cell>
          <cell r="F4011">
            <v>16309</v>
          </cell>
          <cell r="J4011">
            <v>2721214.9562222264</v>
          </cell>
          <cell r="K4011">
            <v>1.8281000000000001</v>
          </cell>
          <cell r="L4011">
            <v>124827</v>
          </cell>
          <cell r="M4011">
            <v>16309</v>
          </cell>
          <cell r="N4011">
            <v>563121.17417199735</v>
          </cell>
          <cell r="O4011">
            <v>568487.87280212878</v>
          </cell>
          <cell r="P4011">
            <v>309.16070000000002</v>
          </cell>
        </row>
        <row r="4012">
          <cell r="B4012">
            <v>36535</v>
          </cell>
          <cell r="C4012">
            <v>2.0465339999999999</v>
          </cell>
          <cell r="D4012">
            <v>1.8161</v>
          </cell>
          <cell r="E4012">
            <v>130805</v>
          </cell>
          <cell r="F4012">
            <v>17022</v>
          </cell>
          <cell r="J4012">
            <v>2723071.3091986319</v>
          </cell>
          <cell r="K4012">
            <v>1.8161</v>
          </cell>
          <cell r="L4012">
            <v>130805</v>
          </cell>
          <cell r="M4012">
            <v>17022</v>
          </cell>
          <cell r="N4012">
            <v>563121.17417199735</v>
          </cell>
          <cell r="O4012">
            <v>568487.87280212878</v>
          </cell>
          <cell r="P4012">
            <v>309.16070000000002</v>
          </cell>
        </row>
        <row r="4013">
          <cell r="B4013">
            <v>36536</v>
          </cell>
          <cell r="C4013">
            <v>2.04854</v>
          </cell>
          <cell r="D4013">
            <v>1.8219000000000001</v>
          </cell>
          <cell r="E4013">
            <v>129484</v>
          </cell>
          <cell r="F4013">
            <v>16572</v>
          </cell>
          <cell r="J4013">
            <v>2724930.7493652138</v>
          </cell>
          <cell r="K4013">
            <v>1.8219000000000001</v>
          </cell>
          <cell r="L4013">
            <v>129484</v>
          </cell>
          <cell r="M4013">
            <v>16572</v>
          </cell>
          <cell r="N4013">
            <v>563121.17417199735</v>
          </cell>
          <cell r="O4013">
            <v>568487.87280212878</v>
          </cell>
          <cell r="P4013">
            <v>309.16070000000002</v>
          </cell>
        </row>
        <row r="4014">
          <cell r="B4014">
            <v>36537</v>
          </cell>
          <cell r="C4014">
            <v>2.045531</v>
          </cell>
          <cell r="D4014">
            <v>1.8313999999999999</v>
          </cell>
          <cell r="E4014">
            <v>129760</v>
          </cell>
          <cell r="F4014">
            <v>16616</v>
          </cell>
          <cell r="J4014">
            <v>2726788.7261387738</v>
          </cell>
          <cell r="K4014">
            <v>1.8313999999999999</v>
          </cell>
          <cell r="L4014">
            <v>129760</v>
          </cell>
          <cell r="M4014">
            <v>16616</v>
          </cell>
          <cell r="N4014">
            <v>563121.17417199735</v>
          </cell>
          <cell r="O4014">
            <v>568487.87280212878</v>
          </cell>
          <cell r="P4014">
            <v>309.16070000000002</v>
          </cell>
        </row>
        <row r="4015">
          <cell r="B4015">
            <v>36538</v>
          </cell>
          <cell r="C4015">
            <v>2.045531</v>
          </cell>
          <cell r="D4015">
            <v>1.8192999999999999</v>
          </cell>
          <cell r="E4015">
            <v>133750</v>
          </cell>
          <cell r="F4015">
            <v>17298</v>
          </cell>
          <cell r="J4015">
            <v>2728647.9697620296</v>
          </cell>
          <cell r="K4015">
            <v>1.8192999999999999</v>
          </cell>
          <cell r="L4015">
            <v>133750</v>
          </cell>
          <cell r="M4015">
            <v>17298</v>
          </cell>
          <cell r="N4015">
            <v>563121.17417199735</v>
          </cell>
          <cell r="O4015">
            <v>568487.87280212878</v>
          </cell>
          <cell r="P4015">
            <v>309.16070000000002</v>
          </cell>
        </row>
        <row r="4016">
          <cell r="B4016">
            <v>36539</v>
          </cell>
          <cell r="C4016">
            <v>2.0475370000000002</v>
          </cell>
          <cell r="D4016">
            <v>1.7997000000000001</v>
          </cell>
          <cell r="E4016">
            <v>135750</v>
          </cell>
          <cell r="F4016">
            <v>17657</v>
          </cell>
          <cell r="J4016">
            <v>2730510.3056547171</v>
          </cell>
          <cell r="K4016">
            <v>1.7997000000000001</v>
          </cell>
          <cell r="L4016">
            <v>135750</v>
          </cell>
          <cell r="M4016">
            <v>17657</v>
          </cell>
          <cell r="N4016">
            <v>563121.17417199735</v>
          </cell>
          <cell r="O4016">
            <v>568487.87280212878</v>
          </cell>
          <cell r="P4016">
            <v>309.16070000000002</v>
          </cell>
        </row>
        <row r="4017">
          <cell r="B4017">
            <v>36542</v>
          </cell>
          <cell r="C4017">
            <v>2.045531</v>
          </cell>
          <cell r="D4017">
            <v>1.7957000000000001</v>
          </cell>
          <cell r="E4017">
            <v>139316</v>
          </cell>
          <cell r="F4017">
            <v>18053</v>
          </cell>
          <cell r="J4017">
            <v>2732372.0868133958</v>
          </cell>
          <cell r="K4017">
            <v>1.7957000000000001</v>
          </cell>
          <cell r="L4017">
            <v>139316</v>
          </cell>
          <cell r="M4017">
            <v>18053</v>
          </cell>
          <cell r="N4017">
            <v>563121.17417199735</v>
          </cell>
          <cell r="O4017">
            <v>568487.87280212878</v>
          </cell>
          <cell r="P4017">
            <v>309.16070000000002</v>
          </cell>
        </row>
        <row r="4018">
          <cell r="B4018">
            <v>36543</v>
          </cell>
          <cell r="C4018">
            <v>2.0445280000000001</v>
          </cell>
          <cell r="D4018">
            <v>1.7924</v>
          </cell>
          <cell r="E4018">
            <v>138375</v>
          </cell>
          <cell r="F4018">
            <v>17903</v>
          </cell>
          <cell r="J4018">
            <v>2734234.223892699</v>
          </cell>
          <cell r="K4018">
            <v>1.7924</v>
          </cell>
          <cell r="L4018">
            <v>138375</v>
          </cell>
          <cell r="M4018">
            <v>17903</v>
          </cell>
          <cell r="N4018">
            <v>563121.17417199735</v>
          </cell>
          <cell r="O4018">
            <v>568487.87280212878</v>
          </cell>
          <cell r="P4018">
            <v>309.16070000000002</v>
          </cell>
        </row>
        <row r="4019">
          <cell r="B4019">
            <v>36544</v>
          </cell>
          <cell r="C4019">
            <v>2.0395099999999999</v>
          </cell>
          <cell r="D4019">
            <v>1.7984</v>
          </cell>
          <cell r="E4019">
            <v>135298</v>
          </cell>
          <cell r="F4019">
            <v>17470</v>
          </cell>
          <cell r="J4019">
            <v>2736093.056573356</v>
          </cell>
          <cell r="K4019">
            <v>1.7984</v>
          </cell>
          <cell r="L4019">
            <v>135298</v>
          </cell>
          <cell r="M4019">
            <v>17470</v>
          </cell>
          <cell r="N4019">
            <v>563121.17417199735</v>
          </cell>
          <cell r="O4019">
            <v>568487.87280212878</v>
          </cell>
          <cell r="P4019">
            <v>309.16070000000002</v>
          </cell>
        </row>
        <row r="4020">
          <cell r="B4020">
            <v>36545</v>
          </cell>
          <cell r="C4020">
            <v>2.0385059999999999</v>
          </cell>
          <cell r="D4020">
            <v>1.7801</v>
          </cell>
          <cell r="E4020">
            <v>134899</v>
          </cell>
          <cell r="F4020">
            <v>17176</v>
          </cell>
          <cell r="J4020">
            <v>2737952.237277484</v>
          </cell>
          <cell r="K4020">
            <v>1.7801</v>
          </cell>
          <cell r="L4020">
            <v>134899</v>
          </cell>
          <cell r="M4020">
            <v>17176</v>
          </cell>
          <cell r="N4020">
            <v>563121.17417199735</v>
          </cell>
          <cell r="O4020">
            <v>568487.87280212878</v>
          </cell>
          <cell r="P4020">
            <v>309.16070000000002</v>
          </cell>
        </row>
        <row r="4021">
          <cell r="B4021">
            <v>36546</v>
          </cell>
          <cell r="C4021">
            <v>2.0475370000000002</v>
          </cell>
          <cell r="D4021">
            <v>1.7784</v>
          </cell>
          <cell r="E4021">
            <v>134708</v>
          </cell>
          <cell r="F4021">
            <v>17034</v>
          </cell>
          <cell r="J4021">
            <v>2739820.9234475037</v>
          </cell>
          <cell r="K4021">
            <v>1.7784</v>
          </cell>
          <cell r="L4021">
            <v>134708</v>
          </cell>
          <cell r="M4021">
            <v>17034</v>
          </cell>
          <cell r="N4021">
            <v>563121.17417199735</v>
          </cell>
          <cell r="O4021">
            <v>568487.87280212878</v>
          </cell>
          <cell r="P4021">
            <v>309.16070000000002</v>
          </cell>
        </row>
        <row r="4022">
          <cell r="B4022">
            <v>36549</v>
          </cell>
          <cell r="C4022">
            <v>2.0475370000000002</v>
          </cell>
          <cell r="D4022">
            <v>1.7652000000000001</v>
          </cell>
          <cell r="E4022">
            <v>135859</v>
          </cell>
          <cell r="F4022">
            <v>16971</v>
          </cell>
          <cell r="J4022">
            <v>2741690.8850188814</v>
          </cell>
          <cell r="K4022">
            <v>1.7652000000000001</v>
          </cell>
          <cell r="L4022">
            <v>135859</v>
          </cell>
          <cell r="M4022">
            <v>16971</v>
          </cell>
          <cell r="N4022">
            <v>563121.17417199735</v>
          </cell>
          <cell r="O4022">
            <v>568487.87280212878</v>
          </cell>
          <cell r="P4022">
            <v>309.16070000000002</v>
          </cell>
        </row>
        <row r="4023">
          <cell r="B4023">
            <v>36550</v>
          </cell>
          <cell r="C4023">
            <v>2.04854</v>
          </cell>
          <cell r="D4023">
            <v>1.7741</v>
          </cell>
          <cell r="E4023">
            <v>135930</v>
          </cell>
          <cell r="J4023">
            <v>2743563.0395007469</v>
          </cell>
          <cell r="K4023">
            <v>1.7741</v>
          </cell>
          <cell r="L4023">
            <v>135930</v>
          </cell>
          <cell r="M4023">
            <v>16971</v>
          </cell>
          <cell r="N4023">
            <v>563121.17417199735</v>
          </cell>
          <cell r="O4023">
            <v>568487.87280212878</v>
          </cell>
          <cell r="P4023">
            <v>309.16070000000002</v>
          </cell>
        </row>
        <row r="4024">
          <cell r="B4024">
            <v>36551</v>
          </cell>
          <cell r="C4024">
            <v>2.0435240000000001</v>
          </cell>
          <cell r="D4024">
            <v>1.7768999999999999</v>
          </cell>
          <cell r="E4024">
            <v>135210</v>
          </cell>
          <cell r="F4024">
            <v>17105</v>
          </cell>
          <cell r="J4024">
            <v>2745431.8851396577</v>
          </cell>
          <cell r="K4024">
            <v>1.7768999999999999</v>
          </cell>
          <cell r="L4024">
            <v>135210</v>
          </cell>
          <cell r="M4024">
            <v>17105</v>
          </cell>
          <cell r="N4024">
            <v>563121.17417199735</v>
          </cell>
          <cell r="O4024">
            <v>568487.87280212878</v>
          </cell>
          <cell r="P4024">
            <v>309.16070000000002</v>
          </cell>
        </row>
        <row r="4025">
          <cell r="B4025">
            <v>36552</v>
          </cell>
          <cell r="C4025">
            <v>2.0405129999999998</v>
          </cell>
          <cell r="D4025">
            <v>1.7753000000000001</v>
          </cell>
          <cell r="E4025">
            <v>136037</v>
          </cell>
          <cell r="F4025">
            <v>17081</v>
          </cell>
          <cell r="J4025">
            <v>2747299.2482904047</v>
          </cell>
          <cell r="K4025">
            <v>1.7753000000000001</v>
          </cell>
          <cell r="L4025">
            <v>136037</v>
          </cell>
          <cell r="M4025">
            <v>17081</v>
          </cell>
          <cell r="N4025">
            <v>563121.17417199735</v>
          </cell>
          <cell r="O4025">
            <v>568487.87280212878</v>
          </cell>
          <cell r="P4025">
            <v>309.16070000000002</v>
          </cell>
        </row>
        <row r="4026">
          <cell r="B4026">
            <v>36553</v>
          </cell>
          <cell r="C4026">
            <v>2.0405129999999998</v>
          </cell>
          <cell r="D4026">
            <v>1.7875000000000001</v>
          </cell>
          <cell r="E4026">
            <v>134290</v>
          </cell>
          <cell r="F4026">
            <v>16734</v>
          </cell>
          <cell r="J4026">
            <v>2749167.8815674135</v>
          </cell>
          <cell r="K4026">
            <v>1.7875000000000001</v>
          </cell>
          <cell r="L4026">
            <v>134290</v>
          </cell>
          <cell r="M4026">
            <v>16734</v>
          </cell>
          <cell r="N4026">
            <v>563121.17417199735</v>
          </cell>
          <cell r="O4026">
            <v>568487.87280212878</v>
          </cell>
          <cell r="P4026">
            <v>309.16070000000002</v>
          </cell>
        </row>
        <row r="4027">
          <cell r="B4027">
            <v>36556</v>
          </cell>
          <cell r="C4027">
            <v>2.0395099999999999</v>
          </cell>
          <cell r="D4027">
            <v>1.8024</v>
          </cell>
          <cell r="E4027">
            <v>131166</v>
          </cell>
          <cell r="F4027">
            <v>16388</v>
          </cell>
          <cell r="G4027">
            <v>1.02</v>
          </cell>
          <cell r="H4027">
            <v>1.24</v>
          </cell>
          <cell r="I4027">
            <v>311.37430000000001</v>
          </cell>
          <cell r="J4027">
            <v>2751036.8666961254</v>
          </cell>
          <cell r="K4027">
            <v>1.8024</v>
          </cell>
          <cell r="L4027">
            <v>131166</v>
          </cell>
          <cell r="M4027">
            <v>16388</v>
          </cell>
          <cell r="N4027">
            <v>568865.01014855166</v>
          </cell>
          <cell r="O4027">
            <v>575537.12242487515</v>
          </cell>
          <cell r="P4027">
            <v>311.37430000000001</v>
          </cell>
        </row>
        <row r="4028">
          <cell r="B4028">
            <v>36557</v>
          </cell>
          <cell r="C4028">
            <v>2.0425209999999998</v>
          </cell>
          <cell r="D4028">
            <v>1.7931999999999999</v>
          </cell>
          <cell r="E4028">
            <v>131771</v>
          </cell>
          <cell r="F4028">
            <v>16522</v>
          </cell>
          <cell r="J4028">
            <v>2752909.8835534593</v>
          </cell>
          <cell r="K4028">
            <v>1.7931999999999999</v>
          </cell>
          <cell r="L4028">
            <v>131771</v>
          </cell>
          <cell r="M4028">
            <v>16522</v>
          </cell>
          <cell r="N4028">
            <v>568865.01014855166</v>
          </cell>
          <cell r="O4028">
            <v>575537.12242487515</v>
          </cell>
          <cell r="P4028">
            <v>311.37430000000001</v>
          </cell>
        </row>
        <row r="4029">
          <cell r="B4029">
            <v>36558</v>
          </cell>
          <cell r="C4029">
            <v>2.0415169999999998</v>
          </cell>
          <cell r="D4029">
            <v>1.79</v>
          </cell>
          <cell r="E4029">
            <v>132804</v>
          </cell>
          <cell r="F4029">
            <v>16868</v>
          </cell>
          <cell r="J4029">
            <v>2754783.2543290402</v>
          </cell>
          <cell r="K4029">
            <v>1.79</v>
          </cell>
          <cell r="L4029">
            <v>132804</v>
          </cell>
          <cell r="M4029">
            <v>16868</v>
          </cell>
          <cell r="N4029">
            <v>568865.01014855166</v>
          </cell>
          <cell r="O4029">
            <v>575537.12242487515</v>
          </cell>
          <cell r="P4029">
            <v>311.37430000000001</v>
          </cell>
        </row>
        <row r="4030">
          <cell r="B4030">
            <v>36559</v>
          </cell>
          <cell r="C4030">
            <v>2.0415169999999998</v>
          </cell>
          <cell r="D4030">
            <v>1.7779</v>
          </cell>
          <cell r="E4030">
            <v>136187</v>
          </cell>
          <cell r="F4030">
            <v>17457</v>
          </cell>
          <cell r="J4030">
            <v>2756657.8999440498</v>
          </cell>
          <cell r="K4030">
            <v>1.7779</v>
          </cell>
          <cell r="L4030">
            <v>136187</v>
          </cell>
          <cell r="M4030">
            <v>17457</v>
          </cell>
          <cell r="N4030">
            <v>568865.01014855166</v>
          </cell>
          <cell r="O4030">
            <v>575537.12242487515</v>
          </cell>
          <cell r="P4030">
            <v>311.37430000000001</v>
          </cell>
        </row>
        <row r="4031">
          <cell r="B4031">
            <v>36560</v>
          </cell>
          <cell r="C4031">
            <v>2.0435240000000001</v>
          </cell>
          <cell r="D4031">
            <v>1.7785</v>
          </cell>
          <cell r="E4031">
            <v>138358</v>
          </cell>
          <cell r="F4031">
            <v>17932</v>
          </cell>
          <cell r="J4031">
            <v>2758535.6654701582</v>
          </cell>
          <cell r="K4031">
            <v>1.7785</v>
          </cell>
          <cell r="L4031">
            <v>138358</v>
          </cell>
          <cell r="M4031">
            <v>17932</v>
          </cell>
          <cell r="N4031">
            <v>568865.01014855166</v>
          </cell>
          <cell r="O4031">
            <v>575537.12242487515</v>
          </cell>
          <cell r="P4031">
            <v>311.37430000000001</v>
          </cell>
        </row>
        <row r="4032">
          <cell r="B4032">
            <v>36563</v>
          </cell>
          <cell r="C4032">
            <v>2.0405129999999998</v>
          </cell>
          <cell r="D4032">
            <v>1.7659</v>
          </cell>
          <cell r="E4032">
            <v>139419</v>
          </cell>
          <cell r="F4032">
            <v>18125</v>
          </cell>
          <cell r="J4032">
            <v>2760411.9414322767</v>
          </cell>
          <cell r="K4032">
            <v>1.7659</v>
          </cell>
          <cell r="L4032">
            <v>139419</v>
          </cell>
          <cell r="M4032">
            <v>18125</v>
          </cell>
          <cell r="N4032">
            <v>568865.01014855166</v>
          </cell>
          <cell r="O4032">
            <v>575537.12242487515</v>
          </cell>
          <cell r="P4032">
            <v>311.37430000000001</v>
          </cell>
        </row>
        <row r="4033">
          <cell r="B4033">
            <v>36564</v>
          </cell>
          <cell r="C4033">
            <v>2.0435240000000001</v>
          </cell>
          <cell r="D4033">
            <v>1.7654000000000001</v>
          </cell>
          <cell r="E4033">
            <v>142884</v>
          </cell>
          <cell r="F4033">
            <v>18685</v>
          </cell>
          <cell r="J4033">
            <v>2762292.2641163445</v>
          </cell>
          <cell r="K4033">
            <v>1.7654000000000001</v>
          </cell>
          <cell r="L4033">
            <v>142884</v>
          </cell>
          <cell r="M4033">
            <v>18685</v>
          </cell>
          <cell r="N4033">
            <v>568865.01014855166</v>
          </cell>
          <cell r="O4033">
            <v>575537.12242487515</v>
          </cell>
          <cell r="P4033">
            <v>311.37430000000001</v>
          </cell>
        </row>
        <row r="4034">
          <cell r="B4034">
            <v>36565</v>
          </cell>
          <cell r="C4034">
            <v>2.0405129999999998</v>
          </cell>
          <cell r="D4034">
            <v>1.7632000000000001</v>
          </cell>
          <cell r="E4034">
            <v>142688</v>
          </cell>
          <cell r="F4034">
            <v>18361</v>
          </cell>
          <cell r="J4034">
            <v>2764171.0952079208</v>
          </cell>
          <cell r="K4034">
            <v>1.7632000000000001</v>
          </cell>
          <cell r="L4034">
            <v>142688</v>
          </cell>
          <cell r="M4034">
            <v>18361</v>
          </cell>
          <cell r="N4034">
            <v>568865.01014855166</v>
          </cell>
          <cell r="O4034">
            <v>575537.12242487515</v>
          </cell>
          <cell r="P4034">
            <v>311.37430000000001</v>
          </cell>
        </row>
        <row r="4035">
          <cell r="B4035">
            <v>36566</v>
          </cell>
          <cell r="C4035">
            <v>2.0425209999999998</v>
          </cell>
          <cell r="D4035">
            <v>1.7695000000000001</v>
          </cell>
          <cell r="E4035">
            <v>144446</v>
          </cell>
          <cell r="F4035">
            <v>18603</v>
          </cell>
          <cell r="J4035">
            <v>2766053.0543777724</v>
          </cell>
          <cell r="K4035">
            <v>1.7695000000000001</v>
          </cell>
          <cell r="L4035">
            <v>144446</v>
          </cell>
          <cell r="M4035">
            <v>18603</v>
          </cell>
          <cell r="N4035">
            <v>568865.01014855166</v>
          </cell>
          <cell r="O4035">
            <v>575537.12242487515</v>
          </cell>
          <cell r="P4035">
            <v>311.37430000000001</v>
          </cell>
        </row>
        <row r="4036">
          <cell r="B4036">
            <v>36567</v>
          </cell>
          <cell r="C4036">
            <v>2.0415169999999998</v>
          </cell>
          <cell r="D4036">
            <v>1.7646999999999999</v>
          </cell>
          <cell r="E4036">
            <v>141886</v>
          </cell>
          <cell r="F4036">
            <v>18083</v>
          </cell>
          <cell r="J4036">
            <v>2767935.3691555774</v>
          </cell>
          <cell r="K4036">
            <v>1.7646999999999999</v>
          </cell>
          <cell r="L4036">
            <v>141886</v>
          </cell>
          <cell r="M4036">
            <v>18083</v>
          </cell>
          <cell r="N4036">
            <v>568865.01014855166</v>
          </cell>
          <cell r="O4036">
            <v>575537.12242487515</v>
          </cell>
          <cell r="P4036">
            <v>311.37430000000001</v>
          </cell>
        </row>
        <row r="4037">
          <cell r="B4037">
            <v>36570</v>
          </cell>
          <cell r="C4037">
            <v>2.0415169999999998</v>
          </cell>
          <cell r="D4037">
            <v>1.7699</v>
          </cell>
          <cell r="E4037">
            <v>139590</v>
          </cell>
          <cell r="F4037">
            <v>17819</v>
          </cell>
          <cell r="J4037">
            <v>2769818.9648592551</v>
          </cell>
          <cell r="K4037">
            <v>1.7699</v>
          </cell>
          <cell r="L4037">
            <v>139590</v>
          </cell>
          <cell r="M4037">
            <v>17819</v>
          </cell>
          <cell r="N4037">
            <v>568865.01014855166</v>
          </cell>
          <cell r="O4037">
            <v>575537.12242487515</v>
          </cell>
          <cell r="P4037">
            <v>311.37430000000001</v>
          </cell>
        </row>
        <row r="4038">
          <cell r="B4038">
            <v>36571</v>
          </cell>
          <cell r="C4038">
            <v>2.0425209999999998</v>
          </cell>
          <cell r="D4038">
            <v>1.7764</v>
          </cell>
          <cell r="E4038">
            <v>139469</v>
          </cell>
          <cell r="F4038">
            <v>17920</v>
          </cell>
          <cell r="J4038">
            <v>2771704.769326563</v>
          </cell>
          <cell r="K4038">
            <v>1.7764</v>
          </cell>
          <cell r="L4038">
            <v>139469</v>
          </cell>
          <cell r="M4038">
            <v>17920</v>
          </cell>
          <cell r="N4038">
            <v>568865.01014855166</v>
          </cell>
          <cell r="O4038">
            <v>575537.12242487515</v>
          </cell>
          <cell r="P4038">
            <v>311.37430000000001</v>
          </cell>
        </row>
        <row r="4039">
          <cell r="B4039">
            <v>36572</v>
          </cell>
          <cell r="C4039">
            <v>2.0445280000000001</v>
          </cell>
          <cell r="D4039">
            <v>1.7732000000000001</v>
          </cell>
          <cell r="E4039">
            <v>140273</v>
          </cell>
          <cell r="F4039">
            <v>18112</v>
          </cell>
          <cell r="J4039">
            <v>2773593.7119961036</v>
          </cell>
          <cell r="K4039">
            <v>1.7732000000000001</v>
          </cell>
          <cell r="L4039">
            <v>140273</v>
          </cell>
          <cell r="M4039">
            <v>18112</v>
          </cell>
          <cell r="N4039">
            <v>568865.01014855166</v>
          </cell>
          <cell r="O4039">
            <v>575537.12242487515</v>
          </cell>
          <cell r="P4039">
            <v>311.37430000000001</v>
          </cell>
        </row>
        <row r="4040">
          <cell r="B4040">
            <v>36573</v>
          </cell>
          <cell r="C4040">
            <v>2.0415169999999998</v>
          </cell>
          <cell r="D4040">
            <v>1.774</v>
          </cell>
          <cell r="E4040">
            <v>140684</v>
          </cell>
          <cell r="F4040">
            <v>17979</v>
          </cell>
          <cell r="J4040">
            <v>2775481.1582341483</v>
          </cell>
          <cell r="K4040">
            <v>1.774</v>
          </cell>
          <cell r="L4040">
            <v>140684</v>
          </cell>
          <cell r="M4040">
            <v>17979</v>
          </cell>
          <cell r="N4040">
            <v>568865.01014855166</v>
          </cell>
          <cell r="O4040">
            <v>575537.12242487515</v>
          </cell>
          <cell r="P4040">
            <v>311.37430000000001</v>
          </cell>
        </row>
        <row r="4041">
          <cell r="B4041">
            <v>36574</v>
          </cell>
          <cell r="C4041">
            <v>2.045531</v>
          </cell>
          <cell r="D4041">
            <v>1.7705</v>
          </cell>
          <cell r="E4041">
            <v>139391</v>
          </cell>
          <cell r="F4041">
            <v>17625</v>
          </cell>
          <cell r="J4041">
            <v>2777373.602483843</v>
          </cell>
          <cell r="K4041">
            <v>1.7705</v>
          </cell>
          <cell r="L4041">
            <v>139391</v>
          </cell>
          <cell r="M4041">
            <v>17625</v>
          </cell>
          <cell r="N4041">
            <v>568865.01014855166</v>
          </cell>
          <cell r="O4041">
            <v>575537.12242487515</v>
          </cell>
          <cell r="P4041">
            <v>311.37430000000001</v>
          </cell>
        </row>
        <row r="4042">
          <cell r="B4042">
            <v>36577</v>
          </cell>
          <cell r="C4042">
            <v>2.0495429999999999</v>
          </cell>
          <cell r="D4042">
            <v>1.7784</v>
          </cell>
          <cell r="E4042">
            <v>141115</v>
          </cell>
          <cell r="F4042">
            <v>17699</v>
          </cell>
          <cell r="J4042">
            <v>2779271.051358962</v>
          </cell>
          <cell r="K4042">
            <v>1.7784</v>
          </cell>
          <cell r="L4042">
            <v>141115</v>
          </cell>
          <cell r="M4042">
            <v>17699</v>
          </cell>
          <cell r="N4042">
            <v>568865.01014855166</v>
          </cell>
          <cell r="O4042">
            <v>575537.12242487515</v>
          </cell>
          <cell r="P4042">
            <v>311.37430000000001</v>
          </cell>
        </row>
        <row r="4043">
          <cell r="B4043">
            <v>36578</v>
          </cell>
          <cell r="C4043">
            <v>2.0475370000000002</v>
          </cell>
          <cell r="D4043">
            <v>1.7825</v>
          </cell>
          <cell r="E4043">
            <v>138778</v>
          </cell>
          <cell r="F4043">
            <v>17489</v>
          </cell>
          <cell r="J4043">
            <v>2781167.9381291908</v>
          </cell>
          <cell r="K4043">
            <v>1.7825</v>
          </cell>
          <cell r="L4043">
            <v>138778</v>
          </cell>
          <cell r="M4043">
            <v>17489</v>
          </cell>
          <cell r="N4043">
            <v>568865.01014855166</v>
          </cell>
          <cell r="O4043">
            <v>575537.12242487515</v>
          </cell>
          <cell r="P4043">
            <v>311.37430000000001</v>
          </cell>
        </row>
        <row r="4044">
          <cell r="B4044">
            <v>36579</v>
          </cell>
          <cell r="C4044">
            <v>2.0475370000000002</v>
          </cell>
          <cell r="D4044">
            <v>1.7886</v>
          </cell>
          <cell r="E4044">
            <v>139751</v>
          </cell>
          <cell r="F4044">
            <v>17833</v>
          </cell>
          <cell r="J4044">
            <v>2783066.1195480353</v>
          </cell>
          <cell r="K4044">
            <v>1.7886</v>
          </cell>
          <cell r="L4044">
            <v>139751</v>
          </cell>
          <cell r="M4044">
            <v>17833</v>
          </cell>
          <cell r="N4044">
            <v>568865.01014855166</v>
          </cell>
          <cell r="O4044">
            <v>575537.12242487515</v>
          </cell>
          <cell r="P4044">
            <v>311.37430000000001</v>
          </cell>
        </row>
        <row r="4045">
          <cell r="B4045">
            <v>36580</v>
          </cell>
          <cell r="C4045">
            <v>2.0465339999999999</v>
          </cell>
          <cell r="D4045">
            <v>1.7779</v>
          </cell>
          <cell r="E4045">
            <v>139399</v>
          </cell>
          <cell r="F4045">
            <v>17775</v>
          </cell>
          <cell r="J4045">
            <v>2784964.6660273359</v>
          </cell>
          <cell r="K4045">
            <v>1.7779</v>
          </cell>
          <cell r="L4045">
            <v>139399</v>
          </cell>
          <cell r="M4045">
            <v>17775</v>
          </cell>
          <cell r="N4045">
            <v>568865.01014855166</v>
          </cell>
          <cell r="O4045">
            <v>575537.12242487515</v>
          </cell>
          <cell r="P4045">
            <v>311.37430000000001</v>
          </cell>
        </row>
        <row r="4046">
          <cell r="B4046">
            <v>36581</v>
          </cell>
          <cell r="C4046">
            <v>2.045531</v>
          </cell>
          <cell r="D4046">
            <v>1.7741</v>
          </cell>
          <cell r="E4046">
            <v>138821</v>
          </cell>
          <cell r="F4046">
            <v>17786</v>
          </cell>
          <cell r="J4046">
            <v>2786863.576546757</v>
          </cell>
          <cell r="K4046">
            <v>1.7741</v>
          </cell>
          <cell r="L4046">
            <v>138821</v>
          </cell>
          <cell r="M4046">
            <v>17786</v>
          </cell>
          <cell r="N4046">
            <v>568865.01014855166</v>
          </cell>
          <cell r="O4046">
            <v>575537.12242487515</v>
          </cell>
          <cell r="P4046">
            <v>311.37430000000001</v>
          </cell>
        </row>
        <row r="4047">
          <cell r="B4047">
            <v>36584</v>
          </cell>
          <cell r="C4047">
            <v>2.0445280000000001</v>
          </cell>
          <cell r="D4047">
            <v>1.7787999999999999</v>
          </cell>
          <cell r="E4047">
            <v>136657</v>
          </cell>
          <cell r="F4047">
            <v>17542</v>
          </cell>
          <cell r="J4047">
            <v>2788762.8500849009</v>
          </cell>
          <cell r="K4047">
            <v>1.7787999999999999</v>
          </cell>
          <cell r="L4047">
            <v>136657</v>
          </cell>
          <cell r="M4047">
            <v>17542</v>
          </cell>
          <cell r="N4047">
            <v>568865.01014855166</v>
          </cell>
          <cell r="O4047">
            <v>575537.12242487515</v>
          </cell>
          <cell r="P4047">
            <v>311.37430000000001</v>
          </cell>
        </row>
        <row r="4048">
          <cell r="B4048">
            <v>36585</v>
          </cell>
          <cell r="C4048">
            <v>2.0475370000000002</v>
          </cell>
          <cell r="D4048">
            <v>1.7685</v>
          </cell>
          <cell r="E4048">
            <v>136852</v>
          </cell>
          <cell r="F4048">
            <v>17660</v>
          </cell>
          <cell r="G4048">
            <v>0.19</v>
          </cell>
          <cell r="H4048">
            <v>0.35</v>
          </cell>
          <cell r="I4048">
            <v>313.65980000000002</v>
          </cell>
          <cell r="J4048">
            <v>2790666.2151248259</v>
          </cell>
          <cell r="K4048">
            <v>1.7685</v>
          </cell>
          <cell r="L4048">
            <v>136852</v>
          </cell>
          <cell r="M4048">
            <v>17660</v>
          </cell>
          <cell r="N4048">
            <v>569945.85366783396</v>
          </cell>
          <cell r="O4048">
            <v>577551.50235336227</v>
          </cell>
          <cell r="P4048">
            <v>313.65980000000002</v>
          </cell>
        </row>
        <row r="4049">
          <cell r="B4049">
            <v>36586</v>
          </cell>
          <cell r="C4049">
            <v>2.0465339999999999</v>
          </cell>
          <cell r="D4049">
            <v>1.7678</v>
          </cell>
          <cell r="E4049">
            <v>137527</v>
          </cell>
          <cell r="F4049">
            <v>17953</v>
          </cell>
          <cell r="J4049">
            <v>2792569.9462221269</v>
          </cell>
          <cell r="K4049">
            <v>1.7678</v>
          </cell>
          <cell r="L4049">
            <v>137527</v>
          </cell>
          <cell r="M4049">
            <v>17953</v>
          </cell>
          <cell r="N4049">
            <v>569945.85366783396</v>
          </cell>
          <cell r="O4049">
            <v>577551.50235336227</v>
          </cell>
          <cell r="P4049">
            <v>313.65980000000002</v>
          </cell>
        </row>
        <row r="4050">
          <cell r="B4050">
            <v>36587</v>
          </cell>
          <cell r="C4050">
            <v>2.0475370000000002</v>
          </cell>
          <cell r="D4050">
            <v>1.76</v>
          </cell>
          <cell r="E4050">
            <v>138807</v>
          </cell>
          <cell r="F4050">
            <v>18015</v>
          </cell>
          <cell r="J4050">
            <v>2794475.9096521195</v>
          </cell>
          <cell r="K4050">
            <v>1.76</v>
          </cell>
          <cell r="L4050">
            <v>138807</v>
          </cell>
          <cell r="M4050">
            <v>18015</v>
          </cell>
          <cell r="N4050">
            <v>569945.85366783396</v>
          </cell>
          <cell r="O4050">
            <v>577551.50235336227</v>
          </cell>
          <cell r="P4050">
            <v>313.65980000000002</v>
          </cell>
        </row>
        <row r="4051">
          <cell r="B4051">
            <v>36588</v>
          </cell>
          <cell r="C4051">
            <v>2.0465339999999999</v>
          </cell>
          <cell r="D4051">
            <v>1.7511000000000001</v>
          </cell>
          <cell r="E4051">
            <v>141488</v>
          </cell>
          <cell r="F4051">
            <v>18631</v>
          </cell>
          <cell r="J4051">
            <v>2796382.2396392138</v>
          </cell>
          <cell r="K4051">
            <v>1.7511000000000001</v>
          </cell>
          <cell r="L4051">
            <v>141488</v>
          </cell>
          <cell r="M4051">
            <v>18631</v>
          </cell>
          <cell r="N4051">
            <v>569945.85366783396</v>
          </cell>
          <cell r="O4051">
            <v>577551.50235336227</v>
          </cell>
          <cell r="P4051">
            <v>313.65980000000002</v>
          </cell>
        </row>
        <row r="4052">
          <cell r="B4052">
            <v>36593</v>
          </cell>
          <cell r="C4052">
            <v>2.0465339999999999</v>
          </cell>
          <cell r="D4052">
            <v>1.7498</v>
          </cell>
          <cell r="E4052">
            <v>139569</v>
          </cell>
          <cell r="F4052">
            <v>18282</v>
          </cell>
          <cell r="J4052">
            <v>2798289.8700826862</v>
          </cell>
          <cell r="K4052">
            <v>1.7498</v>
          </cell>
          <cell r="L4052">
            <v>139569</v>
          </cell>
          <cell r="M4052">
            <v>18282</v>
          </cell>
          <cell r="N4052">
            <v>569945.85366783396</v>
          </cell>
          <cell r="O4052">
            <v>577551.50235336227</v>
          </cell>
          <cell r="P4052">
            <v>313.65980000000002</v>
          </cell>
        </row>
        <row r="4053">
          <cell r="B4053">
            <v>36594</v>
          </cell>
          <cell r="C4053">
            <v>2.0475370000000002</v>
          </cell>
          <cell r="D4053">
            <v>1.7343</v>
          </cell>
          <cell r="E4053">
            <v>139411</v>
          </cell>
          <cell r="F4053">
            <v>18650</v>
          </cell>
          <cell r="J4053">
            <v>2800199.7374312594</v>
          </cell>
          <cell r="K4053">
            <v>1.7343</v>
          </cell>
          <cell r="L4053">
            <v>139411</v>
          </cell>
          <cell r="M4053">
            <v>18650</v>
          </cell>
          <cell r="N4053">
            <v>569945.85366783396</v>
          </cell>
          <cell r="O4053">
            <v>577551.50235336227</v>
          </cell>
          <cell r="P4053">
            <v>313.65980000000002</v>
          </cell>
        </row>
        <row r="4054">
          <cell r="B4054">
            <v>36595</v>
          </cell>
          <cell r="C4054">
            <v>2.0475370000000002</v>
          </cell>
          <cell r="D4054">
            <v>1.7385999999999999</v>
          </cell>
          <cell r="E4054">
            <v>138076</v>
          </cell>
          <cell r="F4054">
            <v>18280</v>
          </cell>
          <cell r="J4054">
            <v>2802110.908287853</v>
          </cell>
          <cell r="K4054">
            <v>1.7385999999999999</v>
          </cell>
          <cell r="L4054">
            <v>138076</v>
          </cell>
          <cell r="M4054">
            <v>18280</v>
          </cell>
          <cell r="N4054">
            <v>569945.85366783396</v>
          </cell>
          <cell r="O4054">
            <v>577551.50235336227</v>
          </cell>
          <cell r="P4054">
            <v>313.65980000000002</v>
          </cell>
        </row>
        <row r="4055">
          <cell r="B4055">
            <v>36598</v>
          </cell>
          <cell r="C4055">
            <v>2.0475370000000002</v>
          </cell>
          <cell r="D4055">
            <v>1.7502</v>
          </cell>
          <cell r="E4055">
            <v>133724</v>
          </cell>
          <cell r="F4055">
            <v>17594</v>
          </cell>
          <cell r="J4055">
            <v>2804023.3835421274</v>
          </cell>
          <cell r="K4055">
            <v>1.7502</v>
          </cell>
          <cell r="L4055">
            <v>133724</v>
          </cell>
          <cell r="M4055">
            <v>17594</v>
          </cell>
          <cell r="N4055">
            <v>569945.85366783396</v>
          </cell>
          <cell r="O4055">
            <v>577551.50235336227</v>
          </cell>
          <cell r="P4055">
            <v>313.65980000000002</v>
          </cell>
        </row>
        <row r="4056">
          <cell r="B4056">
            <v>36599</v>
          </cell>
          <cell r="C4056">
            <v>2.0495429999999999</v>
          </cell>
          <cell r="D4056">
            <v>1.7372000000000001</v>
          </cell>
          <cell r="E4056">
            <v>132114</v>
          </cell>
          <cell r="F4056">
            <v>17221</v>
          </cell>
          <cell r="J4056">
            <v>2805939.0390413194</v>
          </cell>
          <cell r="K4056">
            <v>1.7372000000000001</v>
          </cell>
          <cell r="L4056">
            <v>132114</v>
          </cell>
          <cell r="M4056">
            <v>17221</v>
          </cell>
          <cell r="N4056">
            <v>569945.85366783396</v>
          </cell>
          <cell r="O4056">
            <v>577551.50235336227</v>
          </cell>
          <cell r="P4056">
            <v>313.65980000000002</v>
          </cell>
        </row>
        <row r="4057">
          <cell r="B4057">
            <v>36600</v>
          </cell>
          <cell r="C4057">
            <v>2.0495429999999999</v>
          </cell>
          <cell r="D4057">
            <v>1.7431000000000001</v>
          </cell>
          <cell r="E4057">
            <v>132249</v>
          </cell>
          <cell r="F4057">
            <v>17381</v>
          </cell>
          <cell r="J4057">
            <v>2807856.0032799509</v>
          </cell>
          <cell r="K4057">
            <v>1.7431000000000001</v>
          </cell>
          <cell r="L4057">
            <v>132249</v>
          </cell>
          <cell r="M4057">
            <v>17381</v>
          </cell>
          <cell r="N4057">
            <v>569945.85366783396</v>
          </cell>
          <cell r="O4057">
            <v>577551.50235336227</v>
          </cell>
          <cell r="P4057">
            <v>313.65980000000002</v>
          </cell>
        </row>
        <row r="4058">
          <cell r="B4058">
            <v>36601</v>
          </cell>
          <cell r="C4058">
            <v>2.0495429999999999</v>
          </cell>
          <cell r="D4058">
            <v>1.7357</v>
          </cell>
          <cell r="E4058">
            <v>134151</v>
          </cell>
          <cell r="F4058">
            <v>17642</v>
          </cell>
          <cell r="J4058">
            <v>2809774.2771521281</v>
          </cell>
          <cell r="K4058">
            <v>1.7357</v>
          </cell>
          <cell r="L4058">
            <v>134151</v>
          </cell>
          <cell r="M4058">
            <v>17642</v>
          </cell>
          <cell r="N4058">
            <v>569945.85366783396</v>
          </cell>
          <cell r="O4058">
            <v>577551.50235336227</v>
          </cell>
          <cell r="P4058">
            <v>313.65980000000002</v>
          </cell>
        </row>
        <row r="4059">
          <cell r="B4059">
            <v>36602</v>
          </cell>
          <cell r="C4059">
            <v>2.0475370000000002</v>
          </cell>
          <cell r="D4059">
            <v>1.7406999999999999</v>
          </cell>
          <cell r="E4059">
            <v>133218</v>
          </cell>
          <cell r="F4059">
            <v>17511</v>
          </cell>
          <cell r="J4059">
            <v>2811691.9827501671</v>
          </cell>
          <cell r="K4059">
            <v>1.7406999999999999</v>
          </cell>
          <cell r="L4059">
            <v>133218</v>
          </cell>
          <cell r="M4059">
            <v>17511</v>
          </cell>
          <cell r="N4059">
            <v>569945.85366783396</v>
          </cell>
          <cell r="O4059">
            <v>577551.50235336227</v>
          </cell>
          <cell r="P4059">
            <v>313.65980000000002</v>
          </cell>
        </row>
        <row r="4060">
          <cell r="B4060">
            <v>36605</v>
          </cell>
          <cell r="C4060">
            <v>2.0475370000000002</v>
          </cell>
          <cell r="D4060">
            <v>1.7387999999999999</v>
          </cell>
          <cell r="E4060">
            <v>133259</v>
          </cell>
          <cell r="F4060">
            <v>17525</v>
          </cell>
          <cell r="J4060">
            <v>2813610.9972059289</v>
          </cell>
          <cell r="K4060">
            <v>1.7387999999999999</v>
          </cell>
          <cell r="L4060">
            <v>133259</v>
          </cell>
          <cell r="M4060">
            <v>17525</v>
          </cell>
          <cell r="N4060">
            <v>569945.85366783396</v>
          </cell>
          <cell r="O4060">
            <v>577551.50235336227</v>
          </cell>
          <cell r="P4060">
            <v>313.65980000000002</v>
          </cell>
        </row>
        <row r="4061">
          <cell r="B4061">
            <v>36606</v>
          </cell>
          <cell r="C4061">
            <v>2.04854</v>
          </cell>
          <cell r="D4061">
            <v>1.7381</v>
          </cell>
          <cell r="E4061">
            <v>137354</v>
          </cell>
          <cell r="F4061">
            <v>18342</v>
          </cell>
          <cell r="J4061">
            <v>2815532.2620966677</v>
          </cell>
          <cell r="K4061">
            <v>1.7381</v>
          </cell>
          <cell r="L4061">
            <v>137354</v>
          </cell>
          <cell r="M4061">
            <v>18342</v>
          </cell>
          <cell r="N4061">
            <v>569945.85366783396</v>
          </cell>
          <cell r="O4061">
            <v>577551.50235336227</v>
          </cell>
          <cell r="P4061">
            <v>313.65980000000002</v>
          </cell>
        </row>
        <row r="4062">
          <cell r="B4062">
            <v>36607</v>
          </cell>
          <cell r="C4062">
            <v>2.0304720000000001</v>
          </cell>
          <cell r="D4062">
            <v>1.7304999999999999</v>
          </cell>
          <cell r="E4062">
            <v>137833</v>
          </cell>
          <cell r="F4062">
            <v>18314</v>
          </cell>
          <cell r="J4062">
            <v>2817437.8819044288</v>
          </cell>
          <cell r="K4062">
            <v>1.7304999999999999</v>
          </cell>
          <cell r="L4062">
            <v>137833</v>
          </cell>
          <cell r="M4062">
            <v>18314</v>
          </cell>
          <cell r="N4062">
            <v>569945.85366783396</v>
          </cell>
          <cell r="O4062">
            <v>577551.50235336227</v>
          </cell>
          <cell r="P4062">
            <v>313.65980000000002</v>
          </cell>
        </row>
        <row r="4063">
          <cell r="B4063">
            <v>36608</v>
          </cell>
          <cell r="C4063">
            <v>2.0425209999999998</v>
          </cell>
          <cell r="D4063">
            <v>1.7242</v>
          </cell>
          <cell r="E4063">
            <v>138389</v>
          </cell>
          <cell r="F4063">
            <v>18331</v>
          </cell>
          <cell r="J4063">
            <v>2819356.1072510909</v>
          </cell>
          <cell r="K4063">
            <v>1.7242</v>
          </cell>
          <cell r="L4063">
            <v>138389</v>
          </cell>
          <cell r="M4063">
            <v>18331</v>
          </cell>
          <cell r="N4063">
            <v>569945.85366783396</v>
          </cell>
          <cell r="O4063">
            <v>577551.50235336227</v>
          </cell>
          <cell r="P4063">
            <v>313.65980000000002</v>
          </cell>
        </row>
        <row r="4064">
          <cell r="B4064">
            <v>36609</v>
          </cell>
          <cell r="C4064">
            <v>2.0505460000000002</v>
          </cell>
          <cell r="D4064">
            <v>1.7234</v>
          </cell>
          <cell r="E4064">
            <v>140838</v>
          </cell>
          <cell r="F4064">
            <v>18674</v>
          </cell>
          <cell r="J4064">
            <v>2821283.1803805241</v>
          </cell>
          <cell r="K4064">
            <v>1.7234</v>
          </cell>
          <cell r="L4064">
            <v>140838</v>
          </cell>
          <cell r="M4064">
            <v>18674</v>
          </cell>
          <cell r="N4064">
            <v>569945.85366783396</v>
          </cell>
          <cell r="O4064">
            <v>577551.50235336227</v>
          </cell>
          <cell r="P4064">
            <v>313.65980000000002</v>
          </cell>
        </row>
        <row r="4065">
          <cell r="B4065">
            <v>36612</v>
          </cell>
          <cell r="C4065">
            <v>2.0495429999999999</v>
          </cell>
          <cell r="D4065">
            <v>1.7362</v>
          </cell>
          <cell r="E4065">
            <v>142299</v>
          </cell>
          <cell r="F4065">
            <v>18951</v>
          </cell>
          <cell r="J4065">
            <v>2823210.6274449797</v>
          </cell>
          <cell r="K4065">
            <v>1.7362</v>
          </cell>
          <cell r="L4065">
            <v>142299</v>
          </cell>
          <cell r="M4065">
            <v>18951</v>
          </cell>
          <cell r="N4065">
            <v>569945.85366783396</v>
          </cell>
          <cell r="O4065">
            <v>577551.50235336227</v>
          </cell>
          <cell r="P4065">
            <v>313.65980000000002</v>
          </cell>
        </row>
        <row r="4066">
          <cell r="B4066">
            <v>36613</v>
          </cell>
          <cell r="C4066">
            <v>2.0475370000000002</v>
          </cell>
          <cell r="D4066">
            <v>1.7456</v>
          </cell>
          <cell r="E4066">
            <v>139625</v>
          </cell>
          <cell r="F4066">
            <v>18337</v>
          </cell>
          <cell r="J4066">
            <v>2825137.5035178089</v>
          </cell>
          <cell r="K4066">
            <v>1.7456</v>
          </cell>
          <cell r="L4066">
            <v>139625</v>
          </cell>
          <cell r="M4066">
            <v>18337</v>
          </cell>
          <cell r="N4066">
            <v>569945.85366783396</v>
          </cell>
          <cell r="O4066">
            <v>577551.50235336227</v>
          </cell>
          <cell r="P4066">
            <v>313.65980000000002</v>
          </cell>
        </row>
        <row r="4067">
          <cell r="B4067">
            <v>36614</v>
          </cell>
          <cell r="C4067">
            <v>2.0123769999999999</v>
          </cell>
          <cell r="D4067">
            <v>1.7379</v>
          </cell>
          <cell r="E4067">
            <v>139102</v>
          </cell>
          <cell r="F4067">
            <v>18053</v>
          </cell>
          <cell r="J4067">
            <v>2827032.5840957812</v>
          </cell>
          <cell r="K4067">
            <v>1.7379</v>
          </cell>
          <cell r="L4067">
            <v>139102</v>
          </cell>
          <cell r="M4067">
            <v>18053</v>
          </cell>
          <cell r="N4067">
            <v>569945.85366783396</v>
          </cell>
          <cell r="O4067">
            <v>577551.50235336227</v>
          </cell>
          <cell r="P4067">
            <v>313.65980000000002</v>
          </cell>
        </row>
        <row r="4068">
          <cell r="B4068">
            <v>36615</v>
          </cell>
          <cell r="C4068">
            <v>2.0093580000000002</v>
          </cell>
          <cell r="D4068">
            <v>1.7522</v>
          </cell>
          <cell r="E4068">
            <v>136892</v>
          </cell>
          <cell r="F4068">
            <v>17646</v>
          </cell>
          <cell r="J4068">
            <v>2828926.0909421523</v>
          </cell>
          <cell r="K4068">
            <v>1.7522</v>
          </cell>
          <cell r="L4068">
            <v>136892</v>
          </cell>
          <cell r="M4068">
            <v>17646</v>
          </cell>
          <cell r="N4068">
            <v>569945.85366783396</v>
          </cell>
          <cell r="O4068">
            <v>577551.50235336227</v>
          </cell>
          <cell r="P4068">
            <v>313.65980000000002</v>
          </cell>
        </row>
        <row r="4069">
          <cell r="B4069">
            <v>36616</v>
          </cell>
          <cell r="C4069">
            <v>2.0083519999999999</v>
          </cell>
          <cell r="D4069">
            <v>1.7473000000000001</v>
          </cell>
          <cell r="E4069">
            <v>138630</v>
          </cell>
          <cell r="F4069">
            <v>17820</v>
          </cell>
          <cell r="G4069">
            <v>0.18</v>
          </cell>
          <cell r="H4069">
            <v>0.15</v>
          </cell>
          <cell r="I4069">
            <v>315.71080000000001</v>
          </cell>
          <cell r="J4069">
            <v>2830819.9173996844</v>
          </cell>
          <cell r="K4069">
            <v>1.7473000000000001</v>
          </cell>
          <cell r="L4069">
            <v>138630</v>
          </cell>
          <cell r="M4069">
            <v>17820</v>
          </cell>
          <cell r="N4069">
            <v>570971.75620443607</v>
          </cell>
          <cell r="O4069">
            <v>578417.82960689231</v>
          </cell>
          <cell r="P4069">
            <v>315.71080000000001</v>
          </cell>
        </row>
        <row r="4070">
          <cell r="B4070">
            <v>36619</v>
          </cell>
          <cell r="C4070">
            <v>2.0063390000000001</v>
          </cell>
          <cell r="D4070">
            <v>1.7406999999999999</v>
          </cell>
          <cell r="E4070">
            <v>135217</v>
          </cell>
          <cell r="F4070">
            <v>17245</v>
          </cell>
          <cell r="J4070">
            <v>2832713.1122004362</v>
          </cell>
          <cell r="K4070">
            <v>1.7406999999999999</v>
          </cell>
          <cell r="L4070">
            <v>135217</v>
          </cell>
          <cell r="M4070">
            <v>17245</v>
          </cell>
          <cell r="N4070">
            <v>570971.75620443607</v>
          </cell>
          <cell r="O4070">
            <v>578417.82960689231</v>
          </cell>
          <cell r="P4070">
            <v>315.71080000000001</v>
          </cell>
        </row>
        <row r="4071">
          <cell r="B4071">
            <v>36620</v>
          </cell>
          <cell r="C4071">
            <v>2.0073460000000001</v>
          </cell>
          <cell r="D4071">
            <v>1.7424999999999999</v>
          </cell>
          <cell r="E4071">
            <v>132860</v>
          </cell>
          <cell r="F4071">
            <v>16757</v>
          </cell>
          <cell r="J4071">
            <v>2834608.5239787442</v>
          </cell>
          <cell r="K4071">
            <v>1.7424999999999999</v>
          </cell>
          <cell r="L4071">
            <v>132860</v>
          </cell>
          <cell r="M4071">
            <v>16757</v>
          </cell>
          <cell r="N4071">
            <v>570971.75620443607</v>
          </cell>
          <cell r="O4071">
            <v>578417.82960689231</v>
          </cell>
          <cell r="P4071">
            <v>315.71080000000001</v>
          </cell>
        </row>
        <row r="4072">
          <cell r="B4072">
            <v>36621</v>
          </cell>
          <cell r="C4072">
            <v>2.011371</v>
          </cell>
          <cell r="D4072">
            <v>1.7532000000000001</v>
          </cell>
          <cell r="E4072">
            <v>131968</v>
          </cell>
          <cell r="F4072">
            <v>16714</v>
          </cell>
          <cell r="J4072">
            <v>2836509.0071059056</v>
          </cell>
          <cell r="K4072">
            <v>1.7532000000000001</v>
          </cell>
          <cell r="L4072">
            <v>131968</v>
          </cell>
          <cell r="M4072">
            <v>16714</v>
          </cell>
          <cell r="N4072">
            <v>570971.75620443607</v>
          </cell>
          <cell r="O4072">
            <v>578417.82960689231</v>
          </cell>
          <cell r="P4072">
            <v>315.71080000000001</v>
          </cell>
        </row>
        <row r="4073">
          <cell r="B4073">
            <v>36622</v>
          </cell>
          <cell r="C4073">
            <v>2.0123769999999999</v>
          </cell>
          <cell r="D4073">
            <v>1.7423</v>
          </cell>
          <cell r="E4073">
            <v>134103</v>
          </cell>
          <cell r="F4073">
            <v>17146</v>
          </cell>
          <cell r="J4073">
            <v>2838411.7156013031</v>
          </cell>
          <cell r="K4073">
            <v>1.7423</v>
          </cell>
          <cell r="L4073">
            <v>134103</v>
          </cell>
          <cell r="M4073">
            <v>17146</v>
          </cell>
          <cell r="N4073">
            <v>570971.75620443607</v>
          </cell>
          <cell r="O4073">
            <v>578417.82960689231</v>
          </cell>
          <cell r="P4073">
            <v>315.71080000000001</v>
          </cell>
        </row>
        <row r="4074">
          <cell r="B4074">
            <v>36623</v>
          </cell>
          <cell r="C4074">
            <v>2.011371</v>
          </cell>
          <cell r="D4074">
            <v>1.7439</v>
          </cell>
          <cell r="E4074">
            <v>136538</v>
          </cell>
          <cell r="F4074">
            <v>17513</v>
          </cell>
          <cell r="J4074">
            <v>2840314.74860491</v>
          </cell>
          <cell r="K4074">
            <v>1.7439</v>
          </cell>
          <cell r="L4074">
            <v>136538</v>
          </cell>
          <cell r="M4074">
            <v>17513</v>
          </cell>
          <cell r="N4074">
            <v>570971.75620443607</v>
          </cell>
          <cell r="O4074">
            <v>578417.82960689231</v>
          </cell>
          <cell r="P4074">
            <v>315.71080000000001</v>
          </cell>
        </row>
        <row r="4075">
          <cell r="B4075">
            <v>36626</v>
          </cell>
          <cell r="C4075">
            <v>2.0103650000000002</v>
          </cell>
          <cell r="D4075">
            <v>1.7386999999999999</v>
          </cell>
          <cell r="E4075">
            <v>133239</v>
          </cell>
          <cell r="F4075">
            <v>16783</v>
          </cell>
          <cell r="J4075">
            <v>2842218.1050581029</v>
          </cell>
          <cell r="K4075">
            <v>1.7386999999999999</v>
          </cell>
          <cell r="L4075">
            <v>133239</v>
          </cell>
          <cell r="M4075">
            <v>16783</v>
          </cell>
          <cell r="N4075">
            <v>570971.75620443607</v>
          </cell>
          <cell r="O4075">
            <v>578417.82960689231</v>
          </cell>
          <cell r="P4075">
            <v>315.71080000000001</v>
          </cell>
        </row>
        <row r="4076">
          <cell r="B4076">
            <v>36627</v>
          </cell>
          <cell r="C4076">
            <v>2.011371</v>
          </cell>
          <cell r="D4076">
            <v>1.7447999999999999</v>
          </cell>
          <cell r="E4076">
            <v>132033</v>
          </cell>
          <cell r="F4076">
            <v>16539</v>
          </cell>
          <cell r="J4076">
            <v>2844123.6900821659</v>
          </cell>
          <cell r="K4076">
            <v>1.7447999999999999</v>
          </cell>
          <cell r="L4076">
            <v>132033</v>
          </cell>
          <cell r="M4076">
            <v>16539</v>
          </cell>
          <cell r="N4076">
            <v>570971.75620443607</v>
          </cell>
          <cell r="O4076">
            <v>578417.82960689231</v>
          </cell>
          <cell r="P4076">
            <v>315.71080000000001</v>
          </cell>
        </row>
        <row r="4077">
          <cell r="B4077">
            <v>36628</v>
          </cell>
          <cell r="C4077">
            <v>2.0123769999999999</v>
          </cell>
          <cell r="D4077">
            <v>1.7471000000000001</v>
          </cell>
          <cell r="E4077">
            <v>130698</v>
          </cell>
          <cell r="F4077">
            <v>16323</v>
          </cell>
          <cell r="J4077">
            <v>2846031.5064485245</v>
          </cell>
          <cell r="K4077">
            <v>1.7471000000000001</v>
          </cell>
          <cell r="L4077">
            <v>130698</v>
          </cell>
          <cell r="M4077">
            <v>16323</v>
          </cell>
          <cell r="N4077">
            <v>570971.75620443607</v>
          </cell>
          <cell r="O4077">
            <v>578417.82960689231</v>
          </cell>
          <cell r="P4077">
            <v>315.71080000000001</v>
          </cell>
        </row>
        <row r="4078">
          <cell r="B4078">
            <v>36629</v>
          </cell>
          <cell r="C4078">
            <v>2.0153949999999998</v>
          </cell>
          <cell r="D4078">
            <v>1.7633000000000001</v>
          </cell>
          <cell r="E4078">
            <v>126397</v>
          </cell>
          <cell r="F4078">
            <v>15500</v>
          </cell>
          <cell r="J4078">
            <v>2847943.465671171</v>
          </cell>
          <cell r="K4078">
            <v>1.7633000000000001</v>
          </cell>
          <cell r="L4078">
            <v>126397</v>
          </cell>
          <cell r="M4078">
            <v>15500</v>
          </cell>
          <cell r="N4078">
            <v>570971.75620443607</v>
          </cell>
          <cell r="O4078">
            <v>578417.82960689231</v>
          </cell>
          <cell r="P4078">
            <v>315.71080000000001</v>
          </cell>
        </row>
        <row r="4079">
          <cell r="B4079">
            <v>36630</v>
          </cell>
          <cell r="C4079">
            <v>2.0194169999999998</v>
          </cell>
          <cell r="D4079">
            <v>1.7833000000000001</v>
          </cell>
          <cell r="E4079">
            <v>120222</v>
          </cell>
          <cell r="F4079">
            <v>14794</v>
          </cell>
          <cell r="J4079">
            <v>2849860.5274877097</v>
          </cell>
          <cell r="K4079">
            <v>1.7833000000000001</v>
          </cell>
          <cell r="L4079">
            <v>120222</v>
          </cell>
          <cell r="M4079">
            <v>14794</v>
          </cell>
          <cell r="N4079">
            <v>570971.75620443607</v>
          </cell>
          <cell r="O4079">
            <v>578417.82960689231</v>
          </cell>
          <cell r="P4079">
            <v>315.71080000000001</v>
          </cell>
        </row>
        <row r="4080">
          <cell r="B4080">
            <v>36633</v>
          </cell>
          <cell r="C4080">
            <v>2.0194169999999998</v>
          </cell>
          <cell r="D4080">
            <v>1.7873000000000001</v>
          </cell>
          <cell r="E4080">
            <v>119249</v>
          </cell>
          <cell r="F4080">
            <v>14815</v>
          </cell>
          <cell r="J4080">
            <v>2851778.8797533223</v>
          </cell>
          <cell r="K4080">
            <v>1.7873000000000001</v>
          </cell>
          <cell r="L4080">
            <v>119249</v>
          </cell>
          <cell r="M4080">
            <v>14815</v>
          </cell>
          <cell r="N4080">
            <v>570971.75620443607</v>
          </cell>
          <cell r="O4080">
            <v>578417.82960689231</v>
          </cell>
          <cell r="P4080">
            <v>315.71080000000001</v>
          </cell>
        </row>
        <row r="4081">
          <cell r="B4081">
            <v>36634</v>
          </cell>
          <cell r="C4081">
            <v>2.0194169999999998</v>
          </cell>
          <cell r="D4081">
            <v>1.7696000000000001</v>
          </cell>
          <cell r="E4081">
            <v>123336</v>
          </cell>
          <cell r="F4081">
            <v>15408</v>
          </cell>
          <cell r="J4081">
            <v>2853698.523336661</v>
          </cell>
          <cell r="K4081">
            <v>1.7696000000000001</v>
          </cell>
          <cell r="L4081">
            <v>123336</v>
          </cell>
          <cell r="M4081">
            <v>15408</v>
          </cell>
          <cell r="N4081">
            <v>570971.75620443607</v>
          </cell>
          <cell r="O4081">
            <v>578417.82960689231</v>
          </cell>
          <cell r="P4081">
            <v>315.71080000000001</v>
          </cell>
        </row>
        <row r="4082">
          <cell r="B4082">
            <v>36635</v>
          </cell>
          <cell r="C4082">
            <v>2.014389</v>
          </cell>
          <cell r="D4082">
            <v>1.7662</v>
          </cell>
          <cell r="E4082">
            <v>120163</v>
          </cell>
          <cell r="F4082">
            <v>14926</v>
          </cell>
          <cell r="J4082">
            <v>2855614.6763082361</v>
          </cell>
          <cell r="K4082">
            <v>1.7662</v>
          </cell>
          <cell r="L4082">
            <v>120163</v>
          </cell>
          <cell r="M4082">
            <v>14926</v>
          </cell>
          <cell r="N4082">
            <v>570971.75620443607</v>
          </cell>
          <cell r="O4082">
            <v>578417.82960689231</v>
          </cell>
          <cell r="P4082">
            <v>315.71080000000001</v>
          </cell>
        </row>
        <row r="4083">
          <cell r="B4083">
            <v>36636</v>
          </cell>
          <cell r="C4083">
            <v>2.0184120000000001</v>
          </cell>
          <cell r="D4083">
            <v>1.7784</v>
          </cell>
          <cell r="E4083">
            <v>121635</v>
          </cell>
          <cell r="F4083">
            <v>15203</v>
          </cell>
          <cell r="J4083">
            <v>2857535.9452849147</v>
          </cell>
          <cell r="K4083">
            <v>1.7784</v>
          </cell>
          <cell r="L4083">
            <v>121635</v>
          </cell>
          <cell r="M4083">
            <v>15203</v>
          </cell>
          <cell r="N4083">
            <v>570971.75620443607</v>
          </cell>
          <cell r="O4083">
            <v>578417.82960689231</v>
          </cell>
          <cell r="P4083">
            <v>315.71080000000001</v>
          </cell>
        </row>
        <row r="4084">
          <cell r="B4084">
            <v>36640</v>
          </cell>
          <cell r="C4084">
            <v>2.0184120000000001</v>
          </cell>
          <cell r="D4084">
            <v>1.7916000000000001</v>
          </cell>
          <cell r="E4084">
            <v>120015</v>
          </cell>
          <cell r="F4084">
            <v>14794</v>
          </cell>
          <cell r="J4084">
            <v>2859458.5068990458</v>
          </cell>
          <cell r="K4084">
            <v>1.7916000000000001</v>
          </cell>
          <cell r="L4084">
            <v>120015</v>
          </cell>
          <cell r="M4084">
            <v>14794</v>
          </cell>
          <cell r="N4084">
            <v>570971.75620443607</v>
          </cell>
          <cell r="O4084">
            <v>578417.82960689231</v>
          </cell>
          <cell r="P4084">
            <v>315.71080000000001</v>
          </cell>
        </row>
        <row r="4085">
          <cell r="B4085">
            <v>36641</v>
          </cell>
          <cell r="C4085">
            <v>2.0184120000000001</v>
          </cell>
          <cell r="D4085">
            <v>1.7887999999999999</v>
          </cell>
          <cell r="E4085">
            <v>122985</v>
          </cell>
          <cell r="F4085">
            <v>15400</v>
          </cell>
          <cell r="J4085">
            <v>2861382.3620203212</v>
          </cell>
          <cell r="K4085">
            <v>1.7887999999999999</v>
          </cell>
          <cell r="L4085">
            <v>122985</v>
          </cell>
          <cell r="M4085">
            <v>15400</v>
          </cell>
          <cell r="N4085">
            <v>570971.75620443607</v>
          </cell>
          <cell r="O4085">
            <v>578417.82960689231</v>
          </cell>
          <cell r="P4085">
            <v>315.71080000000001</v>
          </cell>
        </row>
        <row r="4086">
          <cell r="B4086">
            <v>36642</v>
          </cell>
          <cell r="C4086">
            <v>2.0184120000000001</v>
          </cell>
          <cell r="D4086">
            <v>1.7985</v>
          </cell>
          <cell r="E4086">
            <v>123710</v>
          </cell>
          <cell r="F4086">
            <v>15446</v>
          </cell>
          <cell r="J4086">
            <v>2863307.5115190176</v>
          </cell>
          <cell r="K4086">
            <v>1.7985</v>
          </cell>
          <cell r="L4086">
            <v>123710</v>
          </cell>
          <cell r="M4086">
            <v>15446</v>
          </cell>
          <cell r="N4086">
            <v>570971.75620443607</v>
          </cell>
          <cell r="O4086">
            <v>578417.82960689231</v>
          </cell>
          <cell r="P4086">
            <v>315.71080000000001</v>
          </cell>
        </row>
        <row r="4087">
          <cell r="B4087">
            <v>36643</v>
          </cell>
          <cell r="C4087">
            <v>2.0184120000000001</v>
          </cell>
          <cell r="D4087">
            <v>1.8083</v>
          </cell>
          <cell r="E4087">
            <v>123129</v>
          </cell>
          <cell r="F4087">
            <v>15440</v>
          </cell>
          <cell r="J4087">
            <v>2865233.9562659976</v>
          </cell>
          <cell r="K4087">
            <v>1.8083</v>
          </cell>
          <cell r="L4087">
            <v>123129</v>
          </cell>
          <cell r="M4087">
            <v>15440</v>
          </cell>
          <cell r="N4087">
            <v>570971.75620443607</v>
          </cell>
          <cell r="O4087">
            <v>578417.82960689231</v>
          </cell>
          <cell r="P4087">
            <v>315.71080000000001</v>
          </cell>
        </row>
        <row r="4088">
          <cell r="B4088">
            <v>36644</v>
          </cell>
          <cell r="C4088">
            <v>2.0184120000000001</v>
          </cell>
          <cell r="D4088">
            <v>1.8067</v>
          </cell>
          <cell r="E4088">
            <v>125941</v>
          </cell>
          <cell r="F4088">
            <v>15537</v>
          </cell>
          <cell r="G4088">
            <v>0.13</v>
          </cell>
          <cell r="H4088">
            <v>0.23</v>
          </cell>
          <cell r="I4088">
            <v>317.70229999999998</v>
          </cell>
          <cell r="J4088">
            <v>2867161.697132709</v>
          </cell>
          <cell r="K4088">
            <v>1.8067</v>
          </cell>
          <cell r="L4088">
            <v>125941</v>
          </cell>
          <cell r="M4088">
            <v>15537</v>
          </cell>
          <cell r="N4088">
            <v>571714.01948750194</v>
          </cell>
          <cell r="O4088">
            <v>579748.1906149881</v>
          </cell>
          <cell r="P4088">
            <v>317.70229999999998</v>
          </cell>
        </row>
        <row r="4089">
          <cell r="B4089">
            <v>36648</v>
          </cell>
          <cell r="C4089">
            <v>2.0204230000000001</v>
          </cell>
          <cell r="D4089">
            <v>1.8008</v>
          </cell>
          <cell r="E4089">
            <v>126640</v>
          </cell>
          <cell r="F4089">
            <v>15524</v>
          </cell>
          <cell r="J4089">
            <v>2869092.6569452444</v>
          </cell>
          <cell r="K4089">
            <v>1.8008</v>
          </cell>
          <cell r="L4089">
            <v>126640</v>
          </cell>
          <cell r="M4089">
            <v>15524</v>
          </cell>
          <cell r="N4089">
            <v>571714.01948750194</v>
          </cell>
          <cell r="O4089">
            <v>579748.1906149881</v>
          </cell>
          <cell r="P4089">
            <v>317.70229999999998</v>
          </cell>
        </row>
        <row r="4090">
          <cell r="B4090">
            <v>36649</v>
          </cell>
          <cell r="C4090">
            <v>2.0204230000000001</v>
          </cell>
          <cell r="D4090">
            <v>1.8162</v>
          </cell>
          <cell r="E4090">
            <v>124325</v>
          </cell>
          <cell r="F4090">
            <v>15108</v>
          </cell>
          <cell r="J4090">
            <v>2871024.9172096523</v>
          </cell>
          <cell r="K4090">
            <v>1.8162</v>
          </cell>
          <cell r="L4090">
            <v>124325</v>
          </cell>
          <cell r="M4090">
            <v>15108</v>
          </cell>
          <cell r="N4090">
            <v>571714.01948750194</v>
          </cell>
          <cell r="O4090">
            <v>579748.1906149881</v>
          </cell>
          <cell r="P4090">
            <v>317.70229999999998</v>
          </cell>
        </row>
        <row r="4091">
          <cell r="B4091">
            <v>36650</v>
          </cell>
          <cell r="C4091">
            <v>2.0224329999999999</v>
          </cell>
          <cell r="D4091">
            <v>1.8144</v>
          </cell>
          <cell r="E4091">
            <v>123322</v>
          </cell>
          <cell r="F4091">
            <v>14969</v>
          </cell>
          <cell r="J4091">
            <v>2872960.4023884479</v>
          </cell>
          <cell r="K4091">
            <v>1.8144</v>
          </cell>
          <cell r="L4091">
            <v>123322</v>
          </cell>
          <cell r="M4091">
            <v>14969</v>
          </cell>
          <cell r="N4091">
            <v>571714.01948750194</v>
          </cell>
          <cell r="O4091">
            <v>579748.1906149881</v>
          </cell>
          <cell r="P4091">
            <v>317.70229999999998</v>
          </cell>
        </row>
        <row r="4092">
          <cell r="B4092">
            <v>36651</v>
          </cell>
          <cell r="C4092">
            <v>2.0224329999999999</v>
          </cell>
          <cell r="D4092">
            <v>1.8118000000000001</v>
          </cell>
          <cell r="E4092">
            <v>125256</v>
          </cell>
          <cell r="F4092">
            <v>15217</v>
          </cell>
          <cell r="J4092">
            <v>2874897.1923636091</v>
          </cell>
          <cell r="K4092">
            <v>1.8118000000000001</v>
          </cell>
          <cell r="L4092">
            <v>125256</v>
          </cell>
          <cell r="M4092">
            <v>15217</v>
          </cell>
          <cell r="N4092">
            <v>571714.01948750194</v>
          </cell>
          <cell r="O4092">
            <v>579748.1906149881</v>
          </cell>
          <cell r="P4092">
            <v>317.70229999999998</v>
          </cell>
        </row>
        <row r="4093">
          <cell r="B4093">
            <v>36654</v>
          </cell>
          <cell r="C4093">
            <v>2.0194169999999998</v>
          </cell>
          <cell r="D4093">
            <v>1.8058000000000001</v>
          </cell>
          <cell r="E4093">
            <v>122401</v>
          </cell>
          <cell r="F4093">
            <v>14890</v>
          </cell>
          <cell r="J4093">
            <v>2876832.3977847798</v>
          </cell>
          <cell r="K4093">
            <v>1.8058000000000001</v>
          </cell>
          <cell r="L4093">
            <v>122401</v>
          </cell>
          <cell r="M4093">
            <v>14890</v>
          </cell>
          <cell r="N4093">
            <v>571714.01948750194</v>
          </cell>
          <cell r="O4093">
            <v>579748.1906149881</v>
          </cell>
          <cell r="P4093">
            <v>317.70229999999998</v>
          </cell>
        </row>
        <row r="4094">
          <cell r="B4094">
            <v>36655</v>
          </cell>
          <cell r="C4094">
            <v>2.0153949999999998</v>
          </cell>
          <cell r="D4094">
            <v>1.8079000000000001</v>
          </cell>
          <cell r="E4094">
            <v>119848</v>
          </cell>
          <cell r="F4094">
            <v>14581</v>
          </cell>
          <cell r="J4094">
            <v>2878765.0489948909</v>
          </cell>
          <cell r="K4094">
            <v>1.8079000000000001</v>
          </cell>
          <cell r="L4094">
            <v>119848</v>
          </cell>
          <cell r="M4094">
            <v>14581</v>
          </cell>
          <cell r="N4094">
            <v>571714.01948750194</v>
          </cell>
          <cell r="O4094">
            <v>579748.1906149881</v>
          </cell>
          <cell r="P4094">
            <v>317.70229999999998</v>
          </cell>
        </row>
        <row r="4095">
          <cell r="B4095">
            <v>36656</v>
          </cell>
          <cell r="C4095">
            <v>2.0153949999999998</v>
          </cell>
          <cell r="D4095">
            <v>1.8169</v>
          </cell>
          <cell r="E4095">
            <v>118684</v>
          </cell>
          <cell r="F4095">
            <v>14433</v>
          </cell>
          <cell r="J4095">
            <v>2880698.998556864</v>
          </cell>
          <cell r="K4095">
            <v>1.8169</v>
          </cell>
          <cell r="L4095">
            <v>118684</v>
          </cell>
          <cell r="M4095">
            <v>14433</v>
          </cell>
          <cell r="N4095">
            <v>571714.01948750194</v>
          </cell>
          <cell r="O4095">
            <v>579748.1906149881</v>
          </cell>
          <cell r="P4095">
            <v>317.70229999999998</v>
          </cell>
        </row>
        <row r="4096">
          <cell r="B4096">
            <v>36657</v>
          </cell>
          <cell r="C4096">
            <v>2.0153949999999998</v>
          </cell>
          <cell r="D4096">
            <v>1.8162</v>
          </cell>
          <cell r="E4096">
            <v>119224</v>
          </cell>
          <cell r="F4096">
            <v>14498</v>
          </cell>
          <cell r="J4096">
            <v>2882634.2473429292</v>
          </cell>
          <cell r="K4096">
            <v>1.8162</v>
          </cell>
          <cell r="L4096">
            <v>119224</v>
          </cell>
          <cell r="M4096">
            <v>14498</v>
          </cell>
          <cell r="N4096">
            <v>571714.01948750194</v>
          </cell>
          <cell r="O4096">
            <v>579748.1906149881</v>
          </cell>
          <cell r="P4096">
            <v>317.70229999999998</v>
          </cell>
        </row>
        <row r="4097">
          <cell r="B4097">
            <v>36658</v>
          </cell>
          <cell r="C4097">
            <v>2.0133830000000001</v>
          </cell>
          <cell r="D4097">
            <v>1.8266</v>
          </cell>
          <cell r="E4097">
            <v>119045</v>
          </cell>
          <cell r="F4097">
            <v>14458</v>
          </cell>
          <cell r="J4097">
            <v>2884568.8629392018</v>
          </cell>
          <cell r="K4097">
            <v>1.8266</v>
          </cell>
          <cell r="L4097">
            <v>119045</v>
          </cell>
          <cell r="M4097">
            <v>14458</v>
          </cell>
          <cell r="N4097">
            <v>571714.01948750194</v>
          </cell>
          <cell r="O4097">
            <v>579748.1906149881</v>
          </cell>
          <cell r="P4097">
            <v>317.70229999999998</v>
          </cell>
        </row>
        <row r="4098">
          <cell r="B4098">
            <v>36661</v>
          </cell>
          <cell r="C4098">
            <v>2.0133830000000001</v>
          </cell>
          <cell r="D4098">
            <v>1.8382000000000001</v>
          </cell>
          <cell r="E4098">
            <v>122562</v>
          </cell>
          <cell r="F4098">
            <v>15055</v>
          </cell>
          <cell r="J4098">
            <v>2886504.7769095255</v>
          </cell>
          <cell r="K4098">
            <v>1.8382000000000001</v>
          </cell>
          <cell r="L4098">
            <v>122562</v>
          </cell>
          <cell r="M4098">
            <v>15055</v>
          </cell>
          <cell r="N4098">
            <v>571714.01948750194</v>
          </cell>
          <cell r="O4098">
            <v>579748.1906149881</v>
          </cell>
          <cell r="P4098">
            <v>317.70229999999998</v>
          </cell>
        </row>
        <row r="4099">
          <cell r="B4099">
            <v>36662</v>
          </cell>
          <cell r="C4099">
            <v>2.0133830000000001</v>
          </cell>
          <cell r="D4099">
            <v>1.8198000000000001</v>
          </cell>
          <cell r="E4099">
            <v>125377</v>
          </cell>
          <cell r="F4099">
            <v>15360</v>
          </cell>
          <cell r="J4099">
            <v>2888441.9901252748</v>
          </cell>
          <cell r="K4099">
            <v>1.8198000000000001</v>
          </cell>
          <cell r="L4099">
            <v>125377</v>
          </cell>
          <cell r="M4099">
            <v>15360</v>
          </cell>
          <cell r="N4099">
            <v>571714.01948750194</v>
          </cell>
          <cell r="O4099">
            <v>579748.1906149881</v>
          </cell>
          <cell r="P4099">
            <v>317.70229999999998</v>
          </cell>
        </row>
        <row r="4100">
          <cell r="B4100">
            <v>36663</v>
          </cell>
          <cell r="C4100">
            <v>2.0123769999999999</v>
          </cell>
          <cell r="D4100">
            <v>1.8291999999999999</v>
          </cell>
          <cell r="E4100">
            <v>122798</v>
          </cell>
          <cell r="F4100">
            <v>14870</v>
          </cell>
          <cell r="J4100">
            <v>2890379.5348675288</v>
          </cell>
          <cell r="K4100">
            <v>1.8291999999999999</v>
          </cell>
          <cell r="L4100">
            <v>122798</v>
          </cell>
          <cell r="M4100">
            <v>14870</v>
          </cell>
          <cell r="N4100">
            <v>571714.01948750194</v>
          </cell>
          <cell r="O4100">
            <v>579748.1906149881</v>
          </cell>
          <cell r="P4100">
            <v>317.70229999999998</v>
          </cell>
        </row>
        <row r="4101">
          <cell r="B4101">
            <v>36664</v>
          </cell>
          <cell r="C4101">
            <v>2.0123769999999999</v>
          </cell>
          <cell r="D4101">
            <v>1.8305</v>
          </cell>
          <cell r="E4101">
            <v>121229</v>
          </cell>
          <cell r="F4101">
            <v>14626</v>
          </cell>
          <cell r="J4101">
            <v>2892318.3792999415</v>
          </cell>
          <cell r="K4101">
            <v>1.8305</v>
          </cell>
          <cell r="L4101">
            <v>121229</v>
          </cell>
          <cell r="M4101">
            <v>14626</v>
          </cell>
          <cell r="N4101">
            <v>571714.01948750194</v>
          </cell>
          <cell r="O4101">
            <v>579748.1906149881</v>
          </cell>
          <cell r="P4101">
            <v>317.70229999999998</v>
          </cell>
        </row>
        <row r="4102">
          <cell r="B4102">
            <v>36665</v>
          </cell>
          <cell r="C4102">
            <v>2.0123769999999999</v>
          </cell>
          <cell r="D4102">
            <v>1.8453999999999999</v>
          </cell>
          <cell r="E4102">
            <v>119627</v>
          </cell>
          <cell r="F4102">
            <v>14326</v>
          </cell>
          <cell r="J4102">
            <v>2894258.5242943349</v>
          </cell>
          <cell r="K4102">
            <v>1.8453999999999999</v>
          </cell>
          <cell r="L4102">
            <v>119627</v>
          </cell>
          <cell r="M4102">
            <v>14326</v>
          </cell>
          <cell r="N4102">
            <v>571714.01948750194</v>
          </cell>
          <cell r="O4102">
            <v>579748.1906149881</v>
          </cell>
          <cell r="P4102">
            <v>317.70229999999998</v>
          </cell>
        </row>
        <row r="4103">
          <cell r="B4103">
            <v>36668</v>
          </cell>
          <cell r="C4103">
            <v>2.0123769999999999</v>
          </cell>
          <cell r="D4103">
            <v>1.8468</v>
          </cell>
          <cell r="E4103">
            <v>116732</v>
          </cell>
          <cell r="F4103">
            <v>13891</v>
          </cell>
          <cell r="J4103">
            <v>2896199.9707231163</v>
          </cell>
          <cell r="K4103">
            <v>1.8468</v>
          </cell>
          <cell r="L4103">
            <v>116732</v>
          </cell>
          <cell r="M4103">
            <v>13891</v>
          </cell>
          <cell r="N4103">
            <v>571714.01948750194</v>
          </cell>
          <cell r="O4103">
            <v>579748.1906149881</v>
          </cell>
          <cell r="P4103">
            <v>317.70229999999998</v>
          </cell>
        </row>
        <row r="4104">
          <cell r="B4104">
            <v>36669</v>
          </cell>
          <cell r="C4104">
            <v>2.0123769999999999</v>
          </cell>
          <cell r="D4104">
            <v>1.8536999999999999</v>
          </cell>
          <cell r="E4104">
            <v>114731</v>
          </cell>
          <cell r="F4104">
            <v>13587</v>
          </cell>
          <cell r="J4104">
            <v>2898142.7194592776</v>
          </cell>
          <cell r="K4104">
            <v>1.8536999999999999</v>
          </cell>
          <cell r="L4104">
            <v>114731</v>
          </cell>
          <cell r="M4104">
            <v>13587</v>
          </cell>
          <cell r="N4104">
            <v>571714.01948750194</v>
          </cell>
          <cell r="O4104">
            <v>579748.1906149881</v>
          </cell>
          <cell r="P4104">
            <v>317.70229999999998</v>
          </cell>
        </row>
        <row r="4105">
          <cell r="B4105">
            <v>36670</v>
          </cell>
          <cell r="C4105">
            <v>2.0133830000000001</v>
          </cell>
          <cell r="D4105">
            <v>1.8536999999999999</v>
          </cell>
          <cell r="E4105">
            <v>118276</v>
          </cell>
          <cell r="F4105">
            <v>14166</v>
          </cell>
          <cell r="J4105">
            <v>2900087.7432202552</v>
          </cell>
          <cell r="K4105">
            <v>1.8536999999999999</v>
          </cell>
          <cell r="L4105">
            <v>118276</v>
          </cell>
          <cell r="M4105">
            <v>14166</v>
          </cell>
          <cell r="N4105">
            <v>571714.01948750194</v>
          </cell>
          <cell r="O4105">
            <v>579748.1906149881</v>
          </cell>
          <cell r="P4105">
            <v>317.70229999999998</v>
          </cell>
        </row>
        <row r="4106">
          <cell r="B4106">
            <v>36671</v>
          </cell>
          <cell r="C4106">
            <v>2.0133830000000001</v>
          </cell>
          <cell r="D4106">
            <v>1.8391999999999999</v>
          </cell>
          <cell r="E4106">
            <v>118282</v>
          </cell>
          <cell r="F4106">
            <v>14185</v>
          </cell>
          <cell r="J4106">
            <v>2902034.0723404912</v>
          </cell>
          <cell r="K4106">
            <v>1.8391999999999999</v>
          </cell>
          <cell r="L4106">
            <v>118282</v>
          </cell>
          <cell r="M4106">
            <v>14185</v>
          </cell>
          <cell r="N4106">
            <v>571714.01948750194</v>
          </cell>
          <cell r="O4106">
            <v>579748.1906149881</v>
          </cell>
          <cell r="P4106">
            <v>317.70229999999998</v>
          </cell>
        </row>
        <row r="4107">
          <cell r="B4107">
            <v>36672</v>
          </cell>
          <cell r="C4107">
            <v>2.014389</v>
          </cell>
          <cell r="D4107">
            <v>1.8454999999999999</v>
          </cell>
          <cell r="E4107">
            <v>120853</v>
          </cell>
          <cell r="F4107">
            <v>14542</v>
          </cell>
          <cell r="J4107">
            <v>2903982.6808448071</v>
          </cell>
          <cell r="K4107">
            <v>1.8454999999999999</v>
          </cell>
          <cell r="L4107">
            <v>120853</v>
          </cell>
          <cell r="M4107">
            <v>14542</v>
          </cell>
          <cell r="N4107">
            <v>571714.01948750194</v>
          </cell>
          <cell r="O4107">
            <v>579748.1906149881</v>
          </cell>
          <cell r="P4107">
            <v>317.70229999999998</v>
          </cell>
        </row>
        <row r="4108">
          <cell r="B4108">
            <v>36675</v>
          </cell>
          <cell r="C4108">
            <v>2.0133830000000001</v>
          </cell>
          <cell r="D4108">
            <v>1.8388</v>
          </cell>
          <cell r="E4108">
            <v>123222</v>
          </cell>
          <cell r="F4108">
            <v>14772</v>
          </cell>
          <cell r="J4108">
            <v>2905931.6239654426</v>
          </cell>
          <cell r="K4108">
            <v>1.8388</v>
          </cell>
          <cell r="L4108">
            <v>123222</v>
          </cell>
          <cell r="M4108">
            <v>14772</v>
          </cell>
          <cell r="N4108">
            <v>571714.01948750194</v>
          </cell>
          <cell r="O4108">
            <v>579748.1906149881</v>
          </cell>
          <cell r="P4108">
            <v>317.70229999999998</v>
          </cell>
        </row>
        <row r="4109">
          <cell r="B4109">
            <v>36676</v>
          </cell>
          <cell r="C4109">
            <v>2.011371</v>
          </cell>
          <cell r="D4109">
            <v>1.8305</v>
          </cell>
          <cell r="E4109">
            <v>127238</v>
          </cell>
          <cell r="F4109">
            <v>15248</v>
          </cell>
          <cell r="J4109">
            <v>2907879.9261642518</v>
          </cell>
          <cell r="K4109">
            <v>1.8305</v>
          </cell>
          <cell r="L4109">
            <v>127238</v>
          </cell>
          <cell r="M4109">
            <v>15248</v>
          </cell>
          <cell r="N4109">
            <v>571714.01948750194</v>
          </cell>
          <cell r="O4109">
            <v>579748.1906149881</v>
          </cell>
          <cell r="P4109">
            <v>317.70229999999998</v>
          </cell>
        </row>
        <row r="4110">
          <cell r="B4110">
            <v>36677</v>
          </cell>
          <cell r="C4110">
            <v>2.0103650000000002</v>
          </cell>
          <cell r="D4110">
            <v>1.8266</v>
          </cell>
          <cell r="E4110">
            <v>126543</v>
          </cell>
          <cell r="F4110">
            <v>14956</v>
          </cell>
          <cell r="G4110">
            <v>0.67</v>
          </cell>
          <cell r="H4110">
            <v>0.31</v>
          </cell>
          <cell r="I4110">
            <v>320.08640000000003</v>
          </cell>
          <cell r="J4110">
            <v>2909828.5595068396</v>
          </cell>
          <cell r="K4110">
            <v>1.8266</v>
          </cell>
          <cell r="L4110">
            <v>126543</v>
          </cell>
          <cell r="M4110">
            <v>14956</v>
          </cell>
          <cell r="N4110">
            <v>575544.50341806817</v>
          </cell>
          <cell r="O4110">
            <v>581545.41000589461</v>
          </cell>
          <cell r="P4110">
            <v>320.08640000000003</v>
          </cell>
        </row>
        <row r="4111">
          <cell r="B4111">
            <v>36678</v>
          </cell>
          <cell r="C4111">
            <v>2.0093580000000002</v>
          </cell>
          <cell r="D4111">
            <v>1.8202</v>
          </cell>
          <cell r="E4111">
            <v>130285</v>
          </cell>
          <cell r="F4111">
            <v>15450</v>
          </cell>
          <cell r="J4111">
            <v>2911777.5219383975</v>
          </cell>
          <cell r="K4111">
            <v>1.8202</v>
          </cell>
          <cell r="L4111">
            <v>130285</v>
          </cell>
          <cell r="M4111">
            <v>15450</v>
          </cell>
          <cell r="N4111">
            <v>575544.50341806817</v>
          </cell>
          <cell r="O4111">
            <v>581545.41000589461</v>
          </cell>
          <cell r="P4111">
            <v>320.08640000000003</v>
          </cell>
        </row>
        <row r="4112">
          <cell r="B4112">
            <v>36679</v>
          </cell>
          <cell r="C4112">
            <v>2.0083519999999999</v>
          </cell>
          <cell r="D4112">
            <v>1.8104</v>
          </cell>
          <cell r="E4112">
            <v>134535</v>
          </cell>
          <cell r="F4112">
            <v>16222</v>
          </cell>
          <cell r="J4112">
            <v>2913726.8133416441</v>
          </cell>
          <cell r="K4112">
            <v>1.8104</v>
          </cell>
          <cell r="L4112">
            <v>134535</v>
          </cell>
          <cell r="M4112">
            <v>16222</v>
          </cell>
          <cell r="N4112">
            <v>575544.50341806817</v>
          </cell>
          <cell r="O4112">
            <v>581545.41000589461</v>
          </cell>
          <cell r="P4112">
            <v>320.08640000000003</v>
          </cell>
        </row>
        <row r="4113">
          <cell r="B4113">
            <v>36682</v>
          </cell>
          <cell r="C4113">
            <v>2.0063390000000001</v>
          </cell>
          <cell r="D4113">
            <v>1.7932999999999999</v>
          </cell>
          <cell r="E4113">
            <v>133025</v>
          </cell>
          <cell r="F4113">
            <v>16022</v>
          </cell>
          <cell r="J4113">
            <v>2915675.4545886284</v>
          </cell>
          <cell r="K4113">
            <v>1.7932999999999999</v>
          </cell>
          <cell r="L4113">
            <v>133025</v>
          </cell>
          <cell r="M4113">
            <v>16022</v>
          </cell>
          <cell r="N4113">
            <v>575544.50341806817</v>
          </cell>
          <cell r="O4113">
            <v>581545.41000589461</v>
          </cell>
          <cell r="P4113">
            <v>320.08640000000003</v>
          </cell>
        </row>
        <row r="4114">
          <cell r="B4114">
            <v>36683</v>
          </cell>
          <cell r="C4114">
            <v>2.0033189999999998</v>
          </cell>
          <cell r="D4114">
            <v>1.7899</v>
          </cell>
          <cell r="E4114">
            <v>132142</v>
          </cell>
          <cell r="F4114">
            <v>15946</v>
          </cell>
          <cell r="J4114">
            <v>2917622.4639339652</v>
          </cell>
          <cell r="K4114">
            <v>1.7899</v>
          </cell>
          <cell r="L4114">
            <v>132142</v>
          </cell>
          <cell r="M4114">
            <v>15946</v>
          </cell>
          <cell r="N4114">
            <v>575544.50341806817</v>
          </cell>
          <cell r="O4114">
            <v>581545.41000589461</v>
          </cell>
          <cell r="P4114">
            <v>320.08640000000003</v>
          </cell>
        </row>
        <row r="4115">
          <cell r="B4115">
            <v>36684</v>
          </cell>
          <cell r="C4115">
            <v>1.9992909999999999</v>
          </cell>
          <cell r="D4115">
            <v>1.8036000000000001</v>
          </cell>
          <cell r="E4115">
            <v>134269</v>
          </cell>
          <cell r="F4115">
            <v>16271</v>
          </cell>
          <cell r="J4115">
            <v>2919566.8560451451</v>
          </cell>
          <cell r="K4115">
            <v>1.8036000000000001</v>
          </cell>
          <cell r="L4115">
            <v>134269</v>
          </cell>
          <cell r="M4115">
            <v>16271</v>
          </cell>
          <cell r="N4115">
            <v>575544.50341806817</v>
          </cell>
          <cell r="O4115">
            <v>581545.41000589461</v>
          </cell>
          <cell r="P4115">
            <v>320.08640000000003</v>
          </cell>
        </row>
        <row r="4116">
          <cell r="B4116">
            <v>36685</v>
          </cell>
          <cell r="C4116">
            <v>1.997277</v>
          </cell>
          <cell r="D4116">
            <v>1.7948</v>
          </cell>
          <cell r="E4116">
            <v>133607</v>
          </cell>
          <cell r="F4116">
            <v>16398</v>
          </cell>
          <cell r="J4116">
            <v>2921510.5839556591</v>
          </cell>
          <cell r="K4116">
            <v>1.7948</v>
          </cell>
          <cell r="L4116">
            <v>133607</v>
          </cell>
          <cell r="M4116">
            <v>16398</v>
          </cell>
          <cell r="N4116">
            <v>575544.50341806817</v>
          </cell>
          <cell r="O4116">
            <v>581545.41000589461</v>
          </cell>
          <cell r="P4116">
            <v>320.08640000000003</v>
          </cell>
        </row>
        <row r="4117">
          <cell r="B4117">
            <v>36686</v>
          </cell>
          <cell r="C4117">
            <v>1.997277</v>
          </cell>
          <cell r="D4117">
            <v>1.7999000000000001</v>
          </cell>
          <cell r="E4117">
            <v>133442</v>
          </cell>
          <cell r="F4117">
            <v>16342</v>
          </cell>
          <cell r="J4117">
            <v>2923455.6059205229</v>
          </cell>
          <cell r="K4117">
            <v>1.7999000000000001</v>
          </cell>
          <cell r="L4117">
            <v>133442</v>
          </cell>
          <cell r="M4117">
            <v>16342</v>
          </cell>
          <cell r="N4117">
            <v>575544.50341806817</v>
          </cell>
          <cell r="O4117">
            <v>581545.41000589461</v>
          </cell>
          <cell r="P4117">
            <v>320.08640000000003</v>
          </cell>
        </row>
        <row r="4118">
          <cell r="B4118">
            <v>36689</v>
          </cell>
          <cell r="C4118">
            <v>1.9962690000000001</v>
          </cell>
          <cell r="D4118">
            <v>1.804</v>
          </cell>
          <cell r="E4118">
            <v>131795</v>
          </cell>
          <cell r="F4118">
            <v>16096</v>
          </cell>
          <cell r="J4118">
            <v>2925400.9405201813</v>
          </cell>
          <cell r="K4118">
            <v>1.804</v>
          </cell>
          <cell r="L4118">
            <v>131795</v>
          </cell>
          <cell r="M4118">
            <v>16096</v>
          </cell>
          <cell r="N4118">
            <v>575544.50341806817</v>
          </cell>
          <cell r="O4118">
            <v>581545.41000589461</v>
          </cell>
          <cell r="P4118">
            <v>320.08640000000003</v>
          </cell>
        </row>
        <row r="4119">
          <cell r="B4119">
            <v>36690</v>
          </cell>
          <cell r="C4119">
            <v>1.9952620000000001</v>
          </cell>
          <cell r="D4119">
            <v>1.81</v>
          </cell>
          <cell r="E4119">
            <v>133977</v>
          </cell>
          <cell r="F4119">
            <v>16354</v>
          </cell>
          <cell r="J4119">
            <v>2927346.587630643</v>
          </cell>
          <cell r="K4119">
            <v>1.81</v>
          </cell>
          <cell r="L4119">
            <v>133977</v>
          </cell>
          <cell r="M4119">
            <v>16354</v>
          </cell>
          <cell r="N4119">
            <v>575544.50341806817</v>
          </cell>
          <cell r="O4119">
            <v>581545.41000589461</v>
          </cell>
          <cell r="P4119">
            <v>320.08640000000003</v>
          </cell>
        </row>
        <row r="4120">
          <cell r="B4120">
            <v>36691</v>
          </cell>
          <cell r="C4120">
            <v>1.994254</v>
          </cell>
          <cell r="D4120">
            <v>1.8107</v>
          </cell>
          <cell r="E4120">
            <v>134201</v>
          </cell>
          <cell r="F4120">
            <v>16366</v>
          </cell>
          <cell r="J4120">
            <v>2929292.5451778993</v>
          </cell>
          <cell r="K4120">
            <v>1.8107</v>
          </cell>
          <cell r="L4120">
            <v>134201</v>
          </cell>
          <cell r="M4120">
            <v>16366</v>
          </cell>
          <cell r="N4120">
            <v>575544.50341806817</v>
          </cell>
          <cell r="O4120">
            <v>581545.41000589461</v>
          </cell>
          <cell r="P4120">
            <v>320.08640000000003</v>
          </cell>
        </row>
        <row r="4121">
          <cell r="B4121">
            <v>36692</v>
          </cell>
          <cell r="C4121">
            <v>1.9952620000000001</v>
          </cell>
          <cell r="D4121">
            <v>1.8079000000000001</v>
          </cell>
          <cell r="E4121">
            <v>134917</v>
          </cell>
          <cell r="F4121">
            <v>16561</v>
          </cell>
          <cell r="J4121">
            <v>2931240.780545325</v>
          </cell>
          <cell r="K4121">
            <v>1.8079000000000001</v>
          </cell>
          <cell r="L4121">
            <v>134917</v>
          </cell>
          <cell r="M4121">
            <v>16561</v>
          </cell>
          <cell r="N4121">
            <v>575544.50341806817</v>
          </cell>
          <cell r="O4121">
            <v>581545.41000589461</v>
          </cell>
          <cell r="P4121">
            <v>320.08640000000003</v>
          </cell>
        </row>
        <row r="4122">
          <cell r="B4122">
            <v>36693</v>
          </cell>
          <cell r="C4122">
            <v>1.9962690000000001</v>
          </cell>
          <cell r="D4122">
            <v>1.8072999999999999</v>
          </cell>
          <cell r="E4122">
            <v>132976</v>
          </cell>
          <cell r="F4122">
            <v>16424</v>
          </cell>
          <cell r="J4122">
            <v>2933191.2955792379</v>
          </cell>
          <cell r="K4122">
            <v>1.8072999999999999</v>
          </cell>
          <cell r="L4122">
            <v>132976</v>
          </cell>
          <cell r="M4122">
            <v>16424</v>
          </cell>
          <cell r="N4122">
            <v>575544.50341806817</v>
          </cell>
          <cell r="O4122">
            <v>581545.41000589461</v>
          </cell>
          <cell r="P4122">
            <v>320.08640000000003</v>
          </cell>
        </row>
        <row r="4123">
          <cell r="B4123">
            <v>36696</v>
          </cell>
          <cell r="C4123">
            <v>1.9952620000000001</v>
          </cell>
          <cell r="D4123">
            <v>1.8029999999999999</v>
          </cell>
          <cell r="E4123">
            <v>135359</v>
          </cell>
          <cell r="F4123">
            <v>16850</v>
          </cell>
          <cell r="J4123">
            <v>2935142.1239561713</v>
          </cell>
          <cell r="K4123">
            <v>1.8029999999999999</v>
          </cell>
          <cell r="L4123">
            <v>135359</v>
          </cell>
          <cell r="M4123">
            <v>16850</v>
          </cell>
          <cell r="N4123">
            <v>575544.50341806817</v>
          </cell>
          <cell r="O4123">
            <v>581545.41000589461</v>
          </cell>
          <cell r="P4123">
            <v>320.08640000000003</v>
          </cell>
        </row>
        <row r="4124">
          <cell r="B4124">
            <v>36697</v>
          </cell>
          <cell r="C4124">
            <v>1.986191</v>
          </cell>
          <cell r="D4124">
            <v>1.7990999999999999</v>
          </cell>
          <cell r="E4124">
            <v>135322</v>
          </cell>
          <cell r="F4124">
            <v>16843</v>
          </cell>
          <cell r="J4124">
            <v>2937085.374912946</v>
          </cell>
          <cell r="K4124">
            <v>1.7990999999999999</v>
          </cell>
          <cell r="L4124">
            <v>135322</v>
          </cell>
          <cell r="M4124">
            <v>16843</v>
          </cell>
          <cell r="N4124">
            <v>575544.50341806817</v>
          </cell>
          <cell r="O4124">
            <v>581545.41000589461</v>
          </cell>
          <cell r="P4124">
            <v>320.08640000000003</v>
          </cell>
        </row>
        <row r="4125">
          <cell r="B4125">
            <v>36698</v>
          </cell>
          <cell r="C4125">
            <v>1.9133739999999999</v>
          </cell>
          <cell r="D4125">
            <v>1.8121</v>
          </cell>
          <cell r="E4125">
            <v>138197</v>
          </cell>
          <cell r="F4125">
            <v>17254</v>
          </cell>
          <cell r="J4125">
            <v>2938958.6225103256</v>
          </cell>
          <cell r="K4125">
            <v>1.8121</v>
          </cell>
          <cell r="L4125">
            <v>138197</v>
          </cell>
          <cell r="M4125">
            <v>17254</v>
          </cell>
          <cell r="N4125">
            <v>575544.50341806817</v>
          </cell>
          <cell r="O4125">
            <v>581545.41000589461</v>
          </cell>
          <cell r="P4125">
            <v>320.08640000000003</v>
          </cell>
        </row>
        <row r="4126">
          <cell r="B4126">
            <v>36700</v>
          </cell>
          <cell r="C4126">
            <v>1.910331</v>
          </cell>
          <cell r="D4126">
            <v>1.8203</v>
          </cell>
          <cell r="E4126">
            <v>136286</v>
          </cell>
          <cell r="F4126">
            <v>16977</v>
          </cell>
          <cell r="J4126">
            <v>2940830.0837650918</v>
          </cell>
          <cell r="K4126">
            <v>1.8203</v>
          </cell>
          <cell r="L4126">
            <v>136286</v>
          </cell>
          <cell r="M4126">
            <v>16977</v>
          </cell>
          <cell r="N4126">
            <v>575544.50341806817</v>
          </cell>
          <cell r="O4126">
            <v>581545.41000589461</v>
          </cell>
          <cell r="P4126">
            <v>320.08640000000003</v>
          </cell>
        </row>
        <row r="4127">
          <cell r="B4127">
            <v>36703</v>
          </cell>
          <cell r="C4127">
            <v>1.9052560000000001</v>
          </cell>
          <cell r="D4127">
            <v>1.8282</v>
          </cell>
          <cell r="E4127">
            <v>135321</v>
          </cell>
          <cell r="F4127">
            <v>16744</v>
          </cell>
          <cell r="J4127">
            <v>2942697.7618191163</v>
          </cell>
          <cell r="K4127">
            <v>1.8282</v>
          </cell>
          <cell r="L4127">
            <v>135321</v>
          </cell>
          <cell r="M4127">
            <v>16744</v>
          </cell>
          <cell r="N4127">
            <v>575544.50341806817</v>
          </cell>
          <cell r="O4127">
            <v>581545.41000589461</v>
          </cell>
          <cell r="P4127">
            <v>320.08640000000003</v>
          </cell>
        </row>
        <row r="4128">
          <cell r="B4128">
            <v>36704</v>
          </cell>
          <cell r="C4128">
            <v>1.9022110000000001</v>
          </cell>
          <cell r="D4128">
            <v>1.8234999999999999</v>
          </cell>
          <cell r="E4128">
            <v>132529</v>
          </cell>
          <cell r="F4128">
            <v>16512</v>
          </cell>
          <cell r="J4128">
            <v>2944563.6391698522</v>
          </cell>
          <cell r="K4128">
            <v>1.8234999999999999</v>
          </cell>
          <cell r="L4128">
            <v>132529</v>
          </cell>
          <cell r="M4128">
            <v>16512</v>
          </cell>
          <cell r="N4128">
            <v>575544.50341806817</v>
          </cell>
          <cell r="O4128">
            <v>581545.41000589461</v>
          </cell>
          <cell r="P4128">
            <v>320.08640000000003</v>
          </cell>
        </row>
        <row r="4129">
          <cell r="B4129">
            <v>36705</v>
          </cell>
          <cell r="C4129">
            <v>1.8890039999999999</v>
          </cell>
          <cell r="D4129">
            <v>1.8194999999999999</v>
          </cell>
          <cell r="E4129">
            <v>135320</v>
          </cell>
          <cell r="F4129">
            <v>16842</v>
          </cell>
          <cell r="J4129">
            <v>2946417.7366674012</v>
          </cell>
          <cell r="K4129">
            <v>1.8194999999999999</v>
          </cell>
          <cell r="L4129">
            <v>135320</v>
          </cell>
          <cell r="M4129">
            <v>16842</v>
          </cell>
          <cell r="N4129">
            <v>575544.50341806817</v>
          </cell>
          <cell r="O4129">
            <v>581545.41000589461</v>
          </cell>
          <cell r="P4129">
            <v>320.08640000000003</v>
          </cell>
        </row>
        <row r="4130">
          <cell r="B4130">
            <v>36706</v>
          </cell>
          <cell r="C4130">
            <v>1.8930689999999999</v>
          </cell>
          <cell r="D4130">
            <v>1.8171999999999999</v>
          </cell>
          <cell r="E4130">
            <v>131656</v>
          </cell>
          <cell r="F4130">
            <v>16407</v>
          </cell>
          <cell r="J4130">
            <v>2948276.9940268463</v>
          </cell>
          <cell r="K4130">
            <v>1.8171999999999999</v>
          </cell>
          <cell r="L4130">
            <v>131656</v>
          </cell>
          <cell r="M4130">
            <v>16407</v>
          </cell>
          <cell r="N4130">
            <v>575544.50341806817</v>
          </cell>
          <cell r="O4130">
            <v>581545.41000589461</v>
          </cell>
          <cell r="P4130">
            <v>320.08640000000003</v>
          </cell>
        </row>
        <row r="4131">
          <cell r="B4131">
            <v>36707</v>
          </cell>
          <cell r="C4131">
            <v>1.8910359999999999</v>
          </cell>
          <cell r="D4131">
            <v>1.8</v>
          </cell>
          <cell r="E4131">
            <v>133869</v>
          </cell>
          <cell r="F4131">
            <v>16727</v>
          </cell>
          <cell r="G4131">
            <v>0.93</v>
          </cell>
          <cell r="H4131">
            <v>0.85</v>
          </cell>
          <cell r="I4131">
            <v>322.37529999999998</v>
          </cell>
          <cell r="J4131">
            <v>2950135.4266714053</v>
          </cell>
          <cell r="K4131">
            <v>1.8</v>
          </cell>
          <cell r="L4131">
            <v>133869</v>
          </cell>
          <cell r="M4131">
            <v>16727</v>
          </cell>
          <cell r="N4131">
            <v>580897.06729985622</v>
          </cell>
          <cell r="O4131">
            <v>586488.54599094472</v>
          </cell>
          <cell r="P4131">
            <v>322.37529999999998</v>
          </cell>
        </row>
        <row r="4132">
          <cell r="B4132">
            <v>36710</v>
          </cell>
          <cell r="C4132">
            <v>1.88697</v>
          </cell>
          <cell r="D4132">
            <v>1.8080000000000001</v>
          </cell>
          <cell r="E4132">
            <v>133260</v>
          </cell>
          <cell r="F4132">
            <v>17088</v>
          </cell>
          <cell r="J4132">
            <v>2951991.0323534277</v>
          </cell>
          <cell r="K4132">
            <v>1.8080000000000001</v>
          </cell>
          <cell r="L4132">
            <v>133260</v>
          </cell>
          <cell r="M4132">
            <v>17088</v>
          </cell>
          <cell r="N4132">
            <v>580897.06729985622</v>
          </cell>
          <cell r="O4132">
            <v>586488.54599094472</v>
          </cell>
          <cell r="P4132">
            <v>322.37529999999998</v>
          </cell>
        </row>
        <row r="4133">
          <cell r="B4133">
            <v>36711</v>
          </cell>
          <cell r="C4133">
            <v>1.8879870000000001</v>
          </cell>
          <cell r="D4133">
            <v>1.8121</v>
          </cell>
          <cell r="E4133">
            <v>134429</v>
          </cell>
          <cell r="F4133">
            <v>17279</v>
          </cell>
          <cell r="J4133">
            <v>2953848.8059178274</v>
          </cell>
          <cell r="K4133">
            <v>1.8121</v>
          </cell>
          <cell r="L4133">
            <v>134429</v>
          </cell>
          <cell r="M4133">
            <v>17279</v>
          </cell>
          <cell r="N4133">
            <v>580897.06729985622</v>
          </cell>
          <cell r="O4133">
            <v>586488.54599094472</v>
          </cell>
          <cell r="P4133">
            <v>322.37529999999998</v>
          </cell>
        </row>
        <row r="4134">
          <cell r="B4134">
            <v>36712</v>
          </cell>
          <cell r="C4134">
            <v>1.89002</v>
          </cell>
          <cell r="D4134">
            <v>1.8047</v>
          </cell>
          <cell r="E4134">
            <v>133689</v>
          </cell>
          <cell r="F4134">
            <v>17134</v>
          </cell>
          <cell r="J4134">
            <v>2955709.7503578812</v>
          </cell>
          <cell r="K4134">
            <v>1.8047</v>
          </cell>
          <cell r="L4134">
            <v>133689</v>
          </cell>
          <cell r="M4134">
            <v>17134</v>
          </cell>
          <cell r="N4134">
            <v>580897.06729985622</v>
          </cell>
          <cell r="O4134">
            <v>586488.54599094472</v>
          </cell>
          <cell r="P4134">
            <v>322.37529999999998</v>
          </cell>
        </row>
        <row r="4135">
          <cell r="B4135">
            <v>36713</v>
          </cell>
          <cell r="C4135">
            <v>1.892053</v>
          </cell>
          <cell r="D4135">
            <v>1.7969999999999999</v>
          </cell>
          <cell r="E4135">
            <v>136244</v>
          </cell>
          <cell r="F4135">
            <v>17348</v>
          </cell>
          <cell r="J4135">
            <v>2957573.8701913124</v>
          </cell>
          <cell r="K4135">
            <v>1.7969999999999999</v>
          </cell>
          <cell r="L4135">
            <v>136244</v>
          </cell>
          <cell r="M4135">
            <v>17348</v>
          </cell>
          <cell r="N4135">
            <v>580897.06729985622</v>
          </cell>
          <cell r="O4135">
            <v>586488.54599094472</v>
          </cell>
          <cell r="P4135">
            <v>322.37529999999998</v>
          </cell>
        </row>
        <row r="4136">
          <cell r="B4136">
            <v>36714</v>
          </cell>
          <cell r="C4136">
            <v>1.8890039999999999</v>
          </cell>
          <cell r="D4136">
            <v>1.7971999999999999</v>
          </cell>
          <cell r="E4136">
            <v>138925</v>
          </cell>
          <cell r="F4136">
            <v>17598</v>
          </cell>
          <cell r="J4136">
            <v>2959436.1598150078</v>
          </cell>
          <cell r="K4136">
            <v>1.7971999999999999</v>
          </cell>
          <cell r="L4136">
            <v>138925</v>
          </cell>
          <cell r="M4136">
            <v>17598</v>
          </cell>
          <cell r="N4136">
            <v>580897.06729985622</v>
          </cell>
          <cell r="O4136">
            <v>586488.54599094472</v>
          </cell>
          <cell r="P4136">
            <v>322.37529999999998</v>
          </cell>
        </row>
        <row r="4137">
          <cell r="B4137">
            <v>36717</v>
          </cell>
          <cell r="C4137">
            <v>1.863564</v>
          </cell>
          <cell r="D4137">
            <v>1.8006</v>
          </cell>
          <cell r="E4137">
            <v>138424</v>
          </cell>
          <cell r="F4137">
            <v>17471</v>
          </cell>
          <cell r="J4137">
            <v>2961274.5260442509</v>
          </cell>
          <cell r="K4137">
            <v>1.8006</v>
          </cell>
          <cell r="L4137">
            <v>138424</v>
          </cell>
          <cell r="M4137">
            <v>17471</v>
          </cell>
          <cell r="N4137">
            <v>580897.06729985622</v>
          </cell>
          <cell r="O4137">
            <v>586488.54599094472</v>
          </cell>
          <cell r="P4137">
            <v>322.37529999999998</v>
          </cell>
        </row>
        <row r="4138">
          <cell r="B4138">
            <v>36718</v>
          </cell>
          <cell r="C4138">
            <v>1.8594889999999999</v>
          </cell>
          <cell r="D4138">
            <v>1.7971999999999999</v>
          </cell>
          <cell r="E4138">
            <v>134174</v>
          </cell>
          <cell r="F4138">
            <v>16880</v>
          </cell>
          <cell r="J4138">
            <v>2963110.0118466374</v>
          </cell>
          <cell r="K4138">
            <v>1.7971999999999999</v>
          </cell>
          <cell r="L4138">
            <v>134174</v>
          </cell>
          <cell r="M4138">
            <v>16880</v>
          </cell>
          <cell r="N4138">
            <v>580897.06729985622</v>
          </cell>
          <cell r="O4138">
            <v>586488.54599094472</v>
          </cell>
          <cell r="P4138">
            <v>322.37529999999998</v>
          </cell>
        </row>
        <row r="4139">
          <cell r="B4139">
            <v>36719</v>
          </cell>
          <cell r="C4139">
            <v>1.8584700000000001</v>
          </cell>
          <cell r="D4139">
            <v>1.8033999999999999</v>
          </cell>
          <cell r="E4139">
            <v>136146</v>
          </cell>
          <cell r="F4139">
            <v>17053</v>
          </cell>
          <cell r="J4139">
            <v>2964945.6288678763</v>
          </cell>
          <cell r="K4139">
            <v>1.8033999999999999</v>
          </cell>
          <cell r="L4139">
            <v>136146</v>
          </cell>
          <cell r="M4139">
            <v>17053</v>
          </cell>
          <cell r="N4139">
            <v>580897.06729985622</v>
          </cell>
          <cell r="O4139">
            <v>586488.54599094472</v>
          </cell>
          <cell r="P4139">
            <v>322.37529999999998</v>
          </cell>
        </row>
        <row r="4140">
          <cell r="B4140">
            <v>36720</v>
          </cell>
          <cell r="C4140">
            <v>1.857451</v>
          </cell>
          <cell r="D4140">
            <v>1.8103</v>
          </cell>
          <cell r="E4140">
            <v>132696</v>
          </cell>
          <cell r="F4140">
            <v>16444</v>
          </cell>
          <cell r="J4140">
            <v>2966781.3759423047</v>
          </cell>
          <cell r="K4140">
            <v>1.8103</v>
          </cell>
          <cell r="L4140">
            <v>132696</v>
          </cell>
          <cell r="M4140">
            <v>16444</v>
          </cell>
          <cell r="N4140">
            <v>580897.06729985622</v>
          </cell>
          <cell r="O4140">
            <v>586488.54599094472</v>
          </cell>
          <cell r="P4140">
            <v>322.37529999999998</v>
          </cell>
        </row>
        <row r="4141">
          <cell r="B4141">
            <v>36721</v>
          </cell>
          <cell r="C4141">
            <v>1.8584700000000001</v>
          </cell>
          <cell r="D4141">
            <v>1.8106</v>
          </cell>
          <cell r="E4141">
            <v>135699</v>
          </cell>
          <cell r="F4141">
            <v>16880</v>
          </cell>
          <cell r="J4141">
            <v>2968619.2673368873</v>
          </cell>
          <cell r="K4141">
            <v>1.8106</v>
          </cell>
          <cell r="L4141">
            <v>135699</v>
          </cell>
          <cell r="M4141">
            <v>16880</v>
          </cell>
          <cell r="N4141">
            <v>580897.06729985622</v>
          </cell>
          <cell r="O4141">
            <v>586488.54599094472</v>
          </cell>
          <cell r="P4141">
            <v>322.37529999999998</v>
          </cell>
        </row>
        <row r="4142">
          <cell r="B4142">
            <v>36724</v>
          </cell>
          <cell r="C4142">
            <v>1.8584700000000001</v>
          </cell>
          <cell r="D4142">
            <v>1.7979000000000001</v>
          </cell>
          <cell r="E4142">
            <v>140094</v>
          </cell>
          <cell r="F4142">
            <v>17387</v>
          </cell>
          <cell r="J4142">
            <v>2970458.2972868099</v>
          </cell>
          <cell r="K4142">
            <v>1.7979000000000001</v>
          </cell>
          <cell r="L4142">
            <v>140094</v>
          </cell>
          <cell r="M4142">
            <v>17387</v>
          </cell>
          <cell r="N4142">
            <v>580897.06729985622</v>
          </cell>
          <cell r="O4142">
            <v>586488.54599094472</v>
          </cell>
          <cell r="P4142">
            <v>322.37529999999998</v>
          </cell>
        </row>
        <row r="4143">
          <cell r="B4143">
            <v>36725</v>
          </cell>
          <cell r="C4143">
            <v>1.857451</v>
          </cell>
          <cell r="D4143">
            <v>1.7969999999999999</v>
          </cell>
          <cell r="E4143">
            <v>140146</v>
          </cell>
          <cell r="F4143">
            <v>17368</v>
          </cell>
          <cell r="J4143">
            <v>2972297.4575317274</v>
          </cell>
          <cell r="K4143">
            <v>1.7969999999999999</v>
          </cell>
          <cell r="L4143">
            <v>140146</v>
          </cell>
          <cell r="M4143">
            <v>17368</v>
          </cell>
          <cell r="N4143">
            <v>580897.06729985622</v>
          </cell>
          <cell r="O4143">
            <v>586488.54599094472</v>
          </cell>
          <cell r="P4143">
            <v>322.37529999999998</v>
          </cell>
        </row>
        <row r="4144">
          <cell r="B4144">
            <v>36726</v>
          </cell>
          <cell r="C4144">
            <v>1.8523540000000001</v>
          </cell>
          <cell r="D4144">
            <v>1.8044</v>
          </cell>
          <cell r="E4144">
            <v>137561</v>
          </cell>
          <cell r="F4144">
            <v>16927</v>
          </cell>
          <cell r="J4144">
            <v>2974132.7065599435</v>
          </cell>
          <cell r="K4144">
            <v>1.8044</v>
          </cell>
          <cell r="L4144">
            <v>137561</v>
          </cell>
          <cell r="M4144">
            <v>16927</v>
          </cell>
          <cell r="N4144">
            <v>580897.06729985622</v>
          </cell>
          <cell r="O4144">
            <v>586488.54599094472</v>
          </cell>
          <cell r="P4144">
            <v>322.37529999999998</v>
          </cell>
        </row>
        <row r="4145">
          <cell r="B4145">
            <v>36727</v>
          </cell>
          <cell r="C4145">
            <v>1.8176369999999999</v>
          </cell>
          <cell r="D4145">
            <v>1.8015000000000001</v>
          </cell>
          <cell r="E4145">
            <v>138943</v>
          </cell>
          <cell r="F4145">
            <v>17203</v>
          </cell>
          <cell r="J4145">
            <v>2975934.6711100615</v>
          </cell>
          <cell r="K4145">
            <v>1.8015000000000001</v>
          </cell>
          <cell r="L4145">
            <v>138943</v>
          </cell>
          <cell r="M4145">
            <v>17203</v>
          </cell>
          <cell r="N4145">
            <v>580897.06729985622</v>
          </cell>
          <cell r="O4145">
            <v>586488.54599094472</v>
          </cell>
          <cell r="P4145">
            <v>322.37529999999998</v>
          </cell>
        </row>
        <row r="4146">
          <cell r="B4146">
            <v>36728</v>
          </cell>
          <cell r="C4146">
            <v>1.815591</v>
          </cell>
          <cell r="D4146">
            <v>1.7921</v>
          </cell>
          <cell r="E4146">
            <v>139953</v>
          </cell>
          <cell r="F4146">
            <v>17318</v>
          </cell>
          <cell r="J4146">
            <v>2977735.6978452136</v>
          </cell>
          <cell r="K4146">
            <v>1.7921</v>
          </cell>
          <cell r="L4146">
            <v>139953</v>
          </cell>
          <cell r="M4146">
            <v>17318</v>
          </cell>
          <cell r="N4146">
            <v>580897.06729985622</v>
          </cell>
          <cell r="O4146">
            <v>586488.54599094472</v>
          </cell>
          <cell r="P4146">
            <v>322.37529999999998</v>
          </cell>
        </row>
        <row r="4147">
          <cell r="B4147">
            <v>36731</v>
          </cell>
          <cell r="C4147">
            <v>1.8135460000000001</v>
          </cell>
          <cell r="D4147">
            <v>1.7956000000000001</v>
          </cell>
          <cell r="E4147">
            <v>140277</v>
          </cell>
          <cell r="F4147">
            <v>17385</v>
          </cell>
          <cell r="J4147">
            <v>2979535.7847331753</v>
          </cell>
          <cell r="K4147">
            <v>1.7956000000000001</v>
          </cell>
          <cell r="L4147">
            <v>140277</v>
          </cell>
          <cell r="M4147">
            <v>17385</v>
          </cell>
          <cell r="N4147">
            <v>580897.06729985622</v>
          </cell>
          <cell r="O4147">
            <v>586488.54599094472</v>
          </cell>
          <cell r="P4147">
            <v>322.37529999999998</v>
          </cell>
        </row>
        <row r="4148">
          <cell r="B4148">
            <v>36732</v>
          </cell>
          <cell r="C4148">
            <v>1.8115000000000001</v>
          </cell>
          <cell r="D4148">
            <v>1.7898000000000001</v>
          </cell>
          <cell r="E4148">
            <v>138965</v>
          </cell>
          <cell r="F4148">
            <v>17049</v>
          </cell>
          <cell r="J4148">
            <v>2981334.9277578569</v>
          </cell>
          <cell r="K4148">
            <v>1.7898000000000001</v>
          </cell>
          <cell r="L4148">
            <v>138965</v>
          </cell>
          <cell r="M4148">
            <v>17049</v>
          </cell>
          <cell r="N4148">
            <v>580897.06729985622</v>
          </cell>
          <cell r="O4148">
            <v>586488.54599094472</v>
          </cell>
          <cell r="P4148">
            <v>322.37529999999998</v>
          </cell>
        </row>
        <row r="4149">
          <cell r="B4149">
            <v>36733</v>
          </cell>
          <cell r="C4149">
            <v>1.8104769999999999</v>
          </cell>
          <cell r="D4149">
            <v>1.7925</v>
          </cell>
          <cell r="E4149">
            <v>139959</v>
          </cell>
          <cell r="F4149">
            <v>17121</v>
          </cell>
          <cell r="J4149">
            <v>2983134.1405298575</v>
          </cell>
          <cell r="K4149">
            <v>1.7925</v>
          </cell>
          <cell r="L4149">
            <v>139959</v>
          </cell>
          <cell r="M4149">
            <v>17121</v>
          </cell>
          <cell r="N4149">
            <v>580897.06729985622</v>
          </cell>
          <cell r="O4149">
            <v>586488.54599094472</v>
          </cell>
          <cell r="P4149">
            <v>322.37529999999998</v>
          </cell>
        </row>
        <row r="4150">
          <cell r="B4150">
            <v>36734</v>
          </cell>
          <cell r="C4150">
            <v>1.809453</v>
          </cell>
          <cell r="D4150">
            <v>1.7847</v>
          </cell>
          <cell r="E4150">
            <v>138979</v>
          </cell>
          <cell r="F4150">
            <v>16948</v>
          </cell>
          <cell r="J4150">
            <v>2984933.420869852</v>
          </cell>
          <cell r="K4150">
            <v>1.7847</v>
          </cell>
          <cell r="L4150">
            <v>138979</v>
          </cell>
          <cell r="M4150">
            <v>16948</v>
          </cell>
          <cell r="N4150">
            <v>580897.06729985622</v>
          </cell>
          <cell r="O4150">
            <v>586488.54599094472</v>
          </cell>
          <cell r="P4150">
            <v>322.37529999999998</v>
          </cell>
        </row>
        <row r="4151">
          <cell r="B4151">
            <v>36735</v>
          </cell>
          <cell r="C4151">
            <v>1.80843</v>
          </cell>
          <cell r="D4151">
            <v>1.7827999999999999</v>
          </cell>
          <cell r="E4151">
            <v>137354</v>
          </cell>
          <cell r="F4151">
            <v>16485</v>
          </cell>
          <cell r="J4151">
            <v>2986732.7685852866</v>
          </cell>
          <cell r="K4151">
            <v>1.7827999999999999</v>
          </cell>
          <cell r="L4151">
            <v>137354</v>
          </cell>
          <cell r="M4151">
            <v>16485</v>
          </cell>
          <cell r="N4151">
            <v>580897.06729985622</v>
          </cell>
          <cell r="O4151">
            <v>586488.54599094472</v>
          </cell>
          <cell r="P4151">
            <v>322.37529999999998</v>
          </cell>
        </row>
        <row r="4152">
          <cell r="B4152">
            <v>36738</v>
          </cell>
          <cell r="C4152">
            <v>1.8063830000000001</v>
          </cell>
          <cell r="D4152">
            <v>1.7747999999999999</v>
          </cell>
          <cell r="E4152">
            <v>135751</v>
          </cell>
          <cell r="F4152">
            <v>16454</v>
          </cell>
          <cell r="G4152">
            <v>2.2599999999999998</v>
          </cell>
          <cell r="H4152">
            <v>1.57</v>
          </cell>
          <cell r="I4152">
            <v>324.48849999999999</v>
          </cell>
          <cell r="J4152">
            <v>2988531.1630181912</v>
          </cell>
          <cell r="K4152">
            <v>1.7747999999999999</v>
          </cell>
          <cell r="L4152">
            <v>135751</v>
          </cell>
          <cell r="M4152">
            <v>16454</v>
          </cell>
          <cell r="N4152">
            <v>594025.341020833</v>
          </cell>
          <cell r="O4152">
            <v>595696.41616300261</v>
          </cell>
          <cell r="P4152">
            <v>324.48849999999999</v>
          </cell>
        </row>
        <row r="4153">
          <cell r="B4153">
            <v>36739</v>
          </cell>
          <cell r="C4153">
            <v>1.8053589999999999</v>
          </cell>
          <cell r="D4153">
            <v>1.788</v>
          </cell>
          <cell r="E4153">
            <v>134496</v>
          </cell>
          <cell r="F4153">
            <v>16289</v>
          </cell>
          <cell r="J4153">
            <v>2990329.6202288368</v>
          </cell>
          <cell r="K4153">
            <v>1.788</v>
          </cell>
          <cell r="L4153">
            <v>134496</v>
          </cell>
          <cell r="M4153">
            <v>16289</v>
          </cell>
          <cell r="N4153">
            <v>594025.341020833</v>
          </cell>
          <cell r="O4153">
            <v>595696.41616300261</v>
          </cell>
          <cell r="P4153">
            <v>324.48849999999999</v>
          </cell>
        </row>
        <row r="4154">
          <cell r="B4154">
            <v>36740</v>
          </cell>
          <cell r="C4154">
            <v>1.8053589999999999</v>
          </cell>
          <cell r="D4154">
            <v>1.7916000000000001</v>
          </cell>
          <cell r="E4154">
            <v>134696</v>
          </cell>
          <cell r="F4154">
            <v>16314</v>
          </cell>
          <cell r="J4154">
            <v>2992129.1597264525</v>
          </cell>
          <cell r="K4154">
            <v>1.7916000000000001</v>
          </cell>
          <cell r="L4154">
            <v>134696</v>
          </cell>
          <cell r="M4154">
            <v>16314</v>
          </cell>
          <cell r="N4154">
            <v>594025.341020833</v>
          </cell>
          <cell r="O4154">
            <v>595696.41616300261</v>
          </cell>
          <cell r="P4154">
            <v>324.48849999999999</v>
          </cell>
        </row>
        <row r="4155">
          <cell r="B4155">
            <v>36741</v>
          </cell>
          <cell r="C4155">
            <v>1.8053589999999999</v>
          </cell>
          <cell r="D4155">
            <v>1.8079000000000001</v>
          </cell>
          <cell r="E4155">
            <v>138537</v>
          </cell>
          <cell r="F4155">
            <v>16720</v>
          </cell>
          <cell r="J4155">
            <v>2993929.7821623441</v>
          </cell>
          <cell r="K4155">
            <v>1.8079000000000001</v>
          </cell>
          <cell r="L4155">
            <v>138537</v>
          </cell>
          <cell r="M4155">
            <v>16720</v>
          </cell>
          <cell r="N4155">
            <v>594025.341020833</v>
          </cell>
          <cell r="O4155">
            <v>595696.41616300261</v>
          </cell>
          <cell r="P4155">
            <v>324.48849999999999</v>
          </cell>
        </row>
        <row r="4156">
          <cell r="B4156">
            <v>36742</v>
          </cell>
          <cell r="C4156">
            <v>1.8053589999999999</v>
          </cell>
          <cell r="D4156">
            <v>1.7919</v>
          </cell>
          <cell r="E4156">
            <v>140369</v>
          </cell>
          <cell r="F4156">
            <v>16761</v>
          </cell>
          <cell r="J4156">
            <v>2995731.4881882095</v>
          </cell>
          <cell r="K4156">
            <v>1.7919</v>
          </cell>
          <cell r="L4156">
            <v>140369</v>
          </cell>
          <cell r="M4156">
            <v>16761</v>
          </cell>
          <cell r="N4156">
            <v>594025.341020833</v>
          </cell>
          <cell r="O4156">
            <v>595696.41616300261</v>
          </cell>
          <cell r="P4156">
            <v>324.48849999999999</v>
          </cell>
        </row>
        <row r="4157">
          <cell r="B4157">
            <v>36745</v>
          </cell>
          <cell r="C4157">
            <v>1.8063830000000001</v>
          </cell>
          <cell r="D4157">
            <v>1.7961</v>
          </cell>
          <cell r="E4157">
            <v>142192</v>
          </cell>
          <cell r="F4157">
            <v>16995</v>
          </cell>
          <cell r="J4157">
            <v>2997535.300999152</v>
          </cell>
          <cell r="K4157">
            <v>1.7961</v>
          </cell>
          <cell r="L4157">
            <v>142192</v>
          </cell>
          <cell r="M4157">
            <v>16995</v>
          </cell>
          <cell r="N4157">
            <v>594025.341020833</v>
          </cell>
          <cell r="O4157">
            <v>595696.41616300261</v>
          </cell>
          <cell r="P4157">
            <v>324.48849999999999</v>
          </cell>
        </row>
        <row r="4158">
          <cell r="B4158">
            <v>36746</v>
          </cell>
          <cell r="C4158">
            <v>1.807407</v>
          </cell>
          <cell r="D4158">
            <v>1.7991999999999999</v>
          </cell>
          <cell r="E4158">
            <v>141480</v>
          </cell>
          <cell r="F4158">
            <v>16884</v>
          </cell>
          <cell r="J4158">
            <v>2999341.2230944093</v>
          </cell>
          <cell r="K4158">
            <v>1.7991999999999999</v>
          </cell>
          <cell r="L4158">
            <v>141480</v>
          </cell>
          <cell r="M4158">
            <v>16884</v>
          </cell>
          <cell r="N4158">
            <v>594025.341020833</v>
          </cell>
          <cell r="O4158">
            <v>595696.41616300261</v>
          </cell>
          <cell r="P4158">
            <v>324.48849999999999</v>
          </cell>
        </row>
        <row r="4159">
          <cell r="B4159">
            <v>36747</v>
          </cell>
          <cell r="C4159">
            <v>1.8063830000000001</v>
          </cell>
          <cell r="D4159">
            <v>1.7949999999999999</v>
          </cell>
          <cell r="E4159">
            <v>139882</v>
          </cell>
          <cell r="F4159">
            <v>16533</v>
          </cell>
          <cell r="J4159">
            <v>3001147.2094266079</v>
          </cell>
          <cell r="K4159">
            <v>1.7949999999999999</v>
          </cell>
          <cell r="L4159">
            <v>139882</v>
          </cell>
          <cell r="M4159">
            <v>16533</v>
          </cell>
          <cell r="N4159">
            <v>594025.341020833</v>
          </cell>
          <cell r="O4159">
            <v>595696.41616300261</v>
          </cell>
          <cell r="P4159">
            <v>324.48849999999999</v>
          </cell>
        </row>
        <row r="4160">
          <cell r="B4160">
            <v>36748</v>
          </cell>
          <cell r="C4160">
            <v>1.80843</v>
          </cell>
          <cell r="D4160">
            <v>1.7962</v>
          </cell>
          <cell r="E4160">
            <v>141151</v>
          </cell>
          <cell r="F4160">
            <v>16834</v>
          </cell>
          <cell r="J4160">
            <v>3002956.3309759223</v>
          </cell>
          <cell r="K4160">
            <v>1.7962</v>
          </cell>
          <cell r="L4160">
            <v>141151</v>
          </cell>
          <cell r="M4160">
            <v>16834</v>
          </cell>
          <cell r="N4160">
            <v>594025.341020833</v>
          </cell>
          <cell r="O4160">
            <v>595696.41616300261</v>
          </cell>
          <cell r="P4160">
            <v>324.48849999999999</v>
          </cell>
        </row>
        <row r="4161">
          <cell r="B4161">
            <v>36749</v>
          </cell>
          <cell r="C4161">
            <v>1.8115000000000001</v>
          </cell>
          <cell r="D4161">
            <v>1.7959000000000001</v>
          </cell>
          <cell r="E4161">
            <v>144553</v>
          </cell>
          <cell r="F4161">
            <v>17395</v>
          </cell>
          <cell r="J4161">
            <v>3004769.6161071099</v>
          </cell>
          <cell r="K4161">
            <v>1.7959000000000001</v>
          </cell>
          <cell r="L4161">
            <v>144553</v>
          </cell>
          <cell r="M4161">
            <v>17395</v>
          </cell>
          <cell r="N4161">
            <v>594025.341020833</v>
          </cell>
          <cell r="O4161">
            <v>595696.41616300261</v>
          </cell>
          <cell r="P4161">
            <v>324.48849999999999</v>
          </cell>
        </row>
        <row r="4162">
          <cell r="B4162">
            <v>36752</v>
          </cell>
          <cell r="C4162">
            <v>1.8135460000000001</v>
          </cell>
          <cell r="D4162">
            <v>1.8021</v>
          </cell>
          <cell r="E4162">
            <v>148083</v>
          </cell>
          <cell r="F4162">
            <v>17810</v>
          </cell>
          <cell r="J4162">
            <v>3006586.0454131812</v>
          </cell>
          <cell r="K4162">
            <v>1.8021</v>
          </cell>
          <cell r="L4162">
            <v>148083</v>
          </cell>
          <cell r="M4162">
            <v>17810</v>
          </cell>
          <cell r="N4162">
            <v>594025.341020833</v>
          </cell>
          <cell r="O4162">
            <v>595696.41616300261</v>
          </cell>
          <cell r="P4162">
            <v>324.48849999999999</v>
          </cell>
        </row>
        <row r="4163">
          <cell r="B4163">
            <v>36753</v>
          </cell>
          <cell r="C4163">
            <v>1.809453</v>
          </cell>
          <cell r="D4163">
            <v>1.8056000000000001</v>
          </cell>
          <cell r="E4163">
            <v>148050</v>
          </cell>
          <cell r="F4163">
            <v>17744</v>
          </cell>
          <cell r="J4163">
            <v>3008399.4707930582</v>
          </cell>
          <cell r="K4163">
            <v>1.8056000000000001</v>
          </cell>
          <cell r="L4163">
            <v>148050</v>
          </cell>
          <cell r="M4163">
            <v>17744</v>
          </cell>
          <cell r="N4163">
            <v>594025.341020833</v>
          </cell>
          <cell r="O4163">
            <v>595696.41616300261</v>
          </cell>
          <cell r="P4163">
            <v>324.48849999999999</v>
          </cell>
        </row>
        <row r="4164">
          <cell r="B4164">
            <v>36754</v>
          </cell>
          <cell r="C4164">
            <v>1.807407</v>
          </cell>
          <cell r="D4164">
            <v>1.8069999999999999</v>
          </cell>
          <cell r="E4164">
            <v>145846</v>
          </cell>
          <cell r="F4164">
            <v>17330</v>
          </cell>
          <cell r="J4164">
            <v>3010211.9382138271</v>
          </cell>
          <cell r="K4164">
            <v>1.8069999999999999</v>
          </cell>
          <cell r="L4164">
            <v>145846</v>
          </cell>
          <cell r="M4164">
            <v>17330</v>
          </cell>
          <cell r="N4164">
            <v>594025.341020833</v>
          </cell>
          <cell r="O4164">
            <v>595696.41616300261</v>
          </cell>
          <cell r="P4164">
            <v>324.48849999999999</v>
          </cell>
        </row>
        <row r="4165">
          <cell r="B4165">
            <v>36755</v>
          </cell>
          <cell r="C4165">
            <v>1.809453</v>
          </cell>
          <cell r="D4165">
            <v>1.8096000000000001</v>
          </cell>
          <cell r="E4165">
            <v>148650</v>
          </cell>
          <cell r="F4165">
            <v>17702</v>
          </cell>
          <cell r="J4165">
            <v>3012027.5505545726</v>
          </cell>
          <cell r="K4165">
            <v>1.8096000000000001</v>
          </cell>
          <cell r="L4165">
            <v>148650</v>
          </cell>
          <cell r="M4165">
            <v>17702</v>
          </cell>
          <cell r="N4165">
            <v>594025.341020833</v>
          </cell>
          <cell r="O4165">
            <v>595696.41616300261</v>
          </cell>
          <cell r="P4165">
            <v>324.48849999999999</v>
          </cell>
        </row>
        <row r="4166">
          <cell r="B4166">
            <v>36756</v>
          </cell>
          <cell r="C4166">
            <v>1.8104769999999999</v>
          </cell>
          <cell r="D4166">
            <v>1.8173999999999999</v>
          </cell>
          <cell r="E4166">
            <v>146237</v>
          </cell>
          <cell r="F4166">
            <v>17313</v>
          </cell>
          <cell r="J4166">
            <v>3013845.2860891209</v>
          </cell>
          <cell r="K4166">
            <v>1.8173999999999999</v>
          </cell>
          <cell r="L4166">
            <v>146237</v>
          </cell>
          <cell r="M4166">
            <v>17313</v>
          </cell>
          <cell r="N4166">
            <v>594025.341020833</v>
          </cell>
          <cell r="O4166">
            <v>595696.41616300261</v>
          </cell>
          <cell r="P4166">
            <v>324.48849999999999</v>
          </cell>
        </row>
        <row r="4167">
          <cell r="B4167">
            <v>36759</v>
          </cell>
          <cell r="C4167">
            <v>1.816614</v>
          </cell>
          <cell r="D4167">
            <v>1.8199000000000001</v>
          </cell>
          <cell r="E4167">
            <v>145369</v>
          </cell>
          <cell r="F4167">
            <v>17083</v>
          </cell>
          <cell r="J4167">
            <v>3015670.2839359688</v>
          </cell>
          <cell r="K4167">
            <v>1.8199000000000001</v>
          </cell>
          <cell r="L4167">
            <v>145369</v>
          </cell>
          <cell r="M4167">
            <v>17083</v>
          </cell>
          <cell r="N4167">
            <v>594025.341020833</v>
          </cell>
          <cell r="O4167">
            <v>595696.41616300261</v>
          </cell>
          <cell r="P4167">
            <v>324.48849999999999</v>
          </cell>
        </row>
        <row r="4168">
          <cell r="B4168">
            <v>36760</v>
          </cell>
          <cell r="C4168">
            <v>1.809453</v>
          </cell>
          <cell r="D4168">
            <v>1.8169</v>
          </cell>
          <cell r="E4168">
            <v>145587</v>
          </cell>
          <cell r="F4168">
            <v>17224</v>
          </cell>
          <cell r="J4168">
            <v>3017489.1884833951</v>
          </cell>
          <cell r="K4168">
            <v>1.8169</v>
          </cell>
          <cell r="L4168">
            <v>145587</v>
          </cell>
          <cell r="M4168">
            <v>17224</v>
          </cell>
          <cell r="N4168">
            <v>594025.341020833</v>
          </cell>
          <cell r="O4168">
            <v>595696.41616300261</v>
          </cell>
          <cell r="P4168">
            <v>324.48849999999999</v>
          </cell>
        </row>
        <row r="4169">
          <cell r="B4169">
            <v>36761</v>
          </cell>
          <cell r="C4169">
            <v>1.782818</v>
          </cell>
          <cell r="D4169">
            <v>1.8186</v>
          </cell>
          <cell r="E4169">
            <v>146646</v>
          </cell>
          <cell r="F4169">
            <v>17450</v>
          </cell>
          <cell r="J4169">
            <v>3019282.3998300727</v>
          </cell>
          <cell r="K4169">
            <v>1.8186</v>
          </cell>
          <cell r="L4169">
            <v>146646</v>
          </cell>
          <cell r="M4169">
            <v>17450</v>
          </cell>
          <cell r="N4169">
            <v>594025.341020833</v>
          </cell>
          <cell r="O4169">
            <v>595696.41616300261</v>
          </cell>
          <cell r="P4169">
            <v>324.48849999999999</v>
          </cell>
        </row>
        <row r="4170">
          <cell r="B4170">
            <v>36762</v>
          </cell>
          <cell r="C4170">
            <v>1.8063830000000001</v>
          </cell>
          <cell r="D4170">
            <v>1.8204</v>
          </cell>
          <cell r="E4170">
            <v>145869</v>
          </cell>
          <cell r="F4170">
            <v>17310</v>
          </cell>
          <cell r="J4170">
            <v>3021100.39329649</v>
          </cell>
          <cell r="K4170">
            <v>1.8204</v>
          </cell>
          <cell r="L4170">
            <v>145869</v>
          </cell>
          <cell r="M4170">
            <v>17310</v>
          </cell>
          <cell r="N4170">
            <v>594025.341020833</v>
          </cell>
          <cell r="O4170">
            <v>595696.41616300261</v>
          </cell>
          <cell r="P4170">
            <v>324.48849999999999</v>
          </cell>
        </row>
        <row r="4171">
          <cell r="B4171">
            <v>36763</v>
          </cell>
          <cell r="C4171">
            <v>1.809453</v>
          </cell>
          <cell r="D4171">
            <v>1.8212999999999999</v>
          </cell>
          <cell r="E4171">
            <v>147573</v>
          </cell>
          <cell r="F4171">
            <v>17642</v>
          </cell>
          <cell r="J4171">
            <v>3022922.5730198072</v>
          </cell>
          <cell r="K4171">
            <v>1.8212999999999999</v>
          </cell>
          <cell r="L4171">
            <v>147573</v>
          </cell>
          <cell r="M4171">
            <v>17642</v>
          </cell>
          <cell r="N4171">
            <v>594025.341020833</v>
          </cell>
          <cell r="O4171">
            <v>595696.41616300261</v>
          </cell>
          <cell r="P4171">
            <v>324.48849999999999</v>
          </cell>
        </row>
        <row r="4172">
          <cell r="B4172">
            <v>36766</v>
          </cell>
          <cell r="C4172">
            <v>1.8104769999999999</v>
          </cell>
          <cell r="D4172">
            <v>1.8277000000000001</v>
          </cell>
          <cell r="E4172">
            <v>146961</v>
          </cell>
          <cell r="F4172">
            <v>17460</v>
          </cell>
          <cell r="J4172">
            <v>3024746.8836168852</v>
          </cell>
          <cell r="K4172">
            <v>1.8277000000000001</v>
          </cell>
          <cell r="L4172">
            <v>146961</v>
          </cell>
          <cell r="M4172">
            <v>17460</v>
          </cell>
          <cell r="N4172">
            <v>594025.341020833</v>
          </cell>
          <cell r="O4172">
            <v>595696.41616300261</v>
          </cell>
          <cell r="P4172">
            <v>324.48849999999999</v>
          </cell>
        </row>
        <row r="4173">
          <cell r="B4173">
            <v>36767</v>
          </cell>
          <cell r="C4173">
            <v>1.8115000000000001</v>
          </cell>
          <cell r="D4173">
            <v>1.8349</v>
          </cell>
          <cell r="E4173">
            <v>146807</v>
          </cell>
          <cell r="F4173">
            <v>17354</v>
          </cell>
          <cell r="J4173">
            <v>3026573.3266101093</v>
          </cell>
          <cell r="K4173">
            <v>1.8349</v>
          </cell>
          <cell r="L4173">
            <v>146807</v>
          </cell>
          <cell r="M4173">
            <v>17354</v>
          </cell>
          <cell r="N4173">
            <v>594025.341020833</v>
          </cell>
          <cell r="O4173">
            <v>595696.41616300261</v>
          </cell>
          <cell r="P4173">
            <v>324.48849999999999</v>
          </cell>
        </row>
        <row r="4174">
          <cell r="B4174">
            <v>36768</v>
          </cell>
          <cell r="C4174">
            <v>1.809453</v>
          </cell>
          <cell r="D4174">
            <v>1.8259000000000001</v>
          </cell>
          <cell r="E4174">
            <v>146490</v>
          </cell>
          <cell r="F4174">
            <v>17414</v>
          </cell>
          <cell r="J4174">
            <v>3028398.8073386275</v>
          </cell>
          <cell r="K4174">
            <v>1.8259000000000001</v>
          </cell>
          <cell r="L4174">
            <v>146490</v>
          </cell>
          <cell r="M4174">
            <v>17414</v>
          </cell>
          <cell r="N4174">
            <v>594025.341020833</v>
          </cell>
          <cell r="O4174">
            <v>595696.41616300261</v>
          </cell>
          <cell r="P4174">
            <v>324.48849999999999</v>
          </cell>
        </row>
        <row r="4175">
          <cell r="B4175">
            <v>36769</v>
          </cell>
          <cell r="C4175">
            <v>1.8053589999999999</v>
          </cell>
          <cell r="D4175">
            <v>1.8233999999999999</v>
          </cell>
          <cell r="E4175">
            <v>146456</v>
          </cell>
          <cell r="F4175">
            <v>17346</v>
          </cell>
          <cell r="G4175">
            <v>1.82</v>
          </cell>
          <cell r="H4175">
            <v>2.39</v>
          </cell>
          <cell r="I4175">
            <v>326.77120000000002</v>
          </cell>
          <cell r="J4175">
            <v>3030221.2563527669</v>
          </cell>
          <cell r="K4175">
            <v>1.8233999999999999</v>
          </cell>
          <cell r="L4175">
            <v>146456</v>
          </cell>
          <cell r="M4175">
            <v>17346</v>
          </cell>
          <cell r="N4175">
            <v>604836.60222741216</v>
          </cell>
          <cell r="O4175">
            <v>609933.56050929835</v>
          </cell>
          <cell r="P4175">
            <v>326.77120000000002</v>
          </cell>
        </row>
        <row r="4176">
          <cell r="B4176">
            <v>36770</v>
          </cell>
          <cell r="C4176">
            <v>1.8043359999999999</v>
          </cell>
          <cell r="D4176">
            <v>1.8218000000000001</v>
          </cell>
          <cell r="E4176">
            <v>148980</v>
          </cell>
          <cell r="F4176">
            <v>17577</v>
          </cell>
          <cell r="J4176">
            <v>3032043.768786368</v>
          </cell>
          <cell r="K4176">
            <v>1.8218000000000001</v>
          </cell>
          <cell r="L4176">
            <v>148980</v>
          </cell>
          <cell r="M4176">
            <v>17577</v>
          </cell>
          <cell r="N4176">
            <v>604836.60222741216</v>
          </cell>
          <cell r="O4176">
            <v>609933.56050929835</v>
          </cell>
          <cell r="P4176">
            <v>326.77120000000002</v>
          </cell>
        </row>
        <row r="4177">
          <cell r="B4177">
            <v>36773</v>
          </cell>
          <cell r="C4177">
            <v>1.807407</v>
          </cell>
          <cell r="D4177">
            <v>1.8254999999999999</v>
          </cell>
          <cell r="E4177">
            <v>150225</v>
          </cell>
          <cell r="F4177">
            <v>17613</v>
          </cell>
          <cell r="J4177">
            <v>3033870.4811637048</v>
          </cell>
          <cell r="K4177">
            <v>1.8254999999999999</v>
          </cell>
          <cell r="L4177">
            <v>150225</v>
          </cell>
          <cell r="M4177">
            <v>17613</v>
          </cell>
          <cell r="N4177">
            <v>604836.60222741216</v>
          </cell>
          <cell r="O4177">
            <v>609933.56050929835</v>
          </cell>
          <cell r="P4177">
            <v>326.77120000000002</v>
          </cell>
        </row>
        <row r="4178">
          <cell r="B4178">
            <v>36774</v>
          </cell>
          <cell r="C4178">
            <v>1.80843</v>
          </cell>
          <cell r="D4178">
            <v>1.8293999999999999</v>
          </cell>
          <cell r="E4178">
            <v>149304</v>
          </cell>
          <cell r="F4178">
            <v>17424</v>
          </cell>
          <cell r="J4178">
            <v>3035699.3286284548</v>
          </cell>
          <cell r="K4178">
            <v>1.8293999999999999</v>
          </cell>
          <cell r="L4178">
            <v>149304</v>
          </cell>
          <cell r="M4178">
            <v>17424</v>
          </cell>
          <cell r="N4178">
            <v>604836.60222741216</v>
          </cell>
          <cell r="O4178">
            <v>609933.56050929835</v>
          </cell>
          <cell r="P4178">
            <v>326.77120000000002</v>
          </cell>
        </row>
        <row r="4179">
          <cell r="B4179">
            <v>36775</v>
          </cell>
          <cell r="C4179">
            <v>1.8125230000000001</v>
          </cell>
          <cell r="D4179">
            <v>1.8207</v>
          </cell>
          <cell r="E4179">
            <v>150083</v>
          </cell>
          <cell r="F4179">
            <v>17589</v>
          </cell>
          <cell r="J4179">
            <v>3037533.4202465294</v>
          </cell>
          <cell r="K4179">
            <v>1.8207</v>
          </cell>
          <cell r="L4179">
            <v>150083</v>
          </cell>
          <cell r="M4179">
            <v>17589</v>
          </cell>
          <cell r="N4179">
            <v>604836.60222741216</v>
          </cell>
          <cell r="O4179">
            <v>609933.56050929835</v>
          </cell>
          <cell r="P4179">
            <v>326.77120000000002</v>
          </cell>
        </row>
        <row r="4180">
          <cell r="B4180">
            <v>36777</v>
          </cell>
          <cell r="C4180">
            <v>1.8135460000000001</v>
          </cell>
          <cell r="D4180">
            <v>1.8224</v>
          </cell>
          <cell r="E4180">
            <v>148743</v>
          </cell>
          <cell r="F4180">
            <v>17433</v>
          </cell>
          <cell r="J4180">
            <v>3039369.6557745812</v>
          </cell>
          <cell r="K4180">
            <v>1.8224</v>
          </cell>
          <cell r="L4180">
            <v>148743</v>
          </cell>
          <cell r="M4180">
            <v>17433</v>
          </cell>
          <cell r="N4180">
            <v>604836.60222741216</v>
          </cell>
          <cell r="O4180">
            <v>609933.56050929835</v>
          </cell>
          <cell r="P4180">
            <v>326.77120000000002</v>
          </cell>
        </row>
        <row r="4181">
          <cell r="B4181">
            <v>36780</v>
          </cell>
          <cell r="C4181">
            <v>1.8176369999999999</v>
          </cell>
          <cell r="D4181">
            <v>1.8199000000000001</v>
          </cell>
          <cell r="E4181">
            <v>148651</v>
          </cell>
          <cell r="F4181">
            <v>17287</v>
          </cell>
          <cell r="J4181">
            <v>3041211.1460222527</v>
          </cell>
          <cell r="K4181">
            <v>1.8199000000000001</v>
          </cell>
          <cell r="L4181">
            <v>148651</v>
          </cell>
          <cell r="M4181">
            <v>17287</v>
          </cell>
          <cell r="N4181">
            <v>604836.60222741216</v>
          </cell>
          <cell r="O4181">
            <v>609933.56050929835</v>
          </cell>
          <cell r="P4181">
            <v>326.77120000000002</v>
          </cell>
        </row>
        <row r="4182">
          <cell r="B4182">
            <v>36781</v>
          </cell>
          <cell r="C4182">
            <v>1.8176369999999999</v>
          </cell>
          <cell r="D4182">
            <v>1.8279000000000001</v>
          </cell>
          <cell r="E4182">
            <v>146541</v>
          </cell>
          <cell r="F4182">
            <v>16882</v>
          </cell>
          <cell r="J4182">
            <v>3043053.751990194</v>
          </cell>
          <cell r="K4182">
            <v>1.8279000000000001</v>
          </cell>
          <cell r="L4182">
            <v>146541</v>
          </cell>
          <cell r="M4182">
            <v>16882</v>
          </cell>
          <cell r="N4182">
            <v>604836.60222741216</v>
          </cell>
          <cell r="O4182">
            <v>609933.56050929835</v>
          </cell>
          <cell r="P4182">
            <v>326.77120000000002</v>
          </cell>
        </row>
        <row r="4183">
          <cell r="B4183">
            <v>36782</v>
          </cell>
          <cell r="C4183">
            <v>1.818659</v>
          </cell>
          <cell r="D4183">
            <v>1.8320000000000001</v>
          </cell>
          <cell r="E4183">
            <v>147156</v>
          </cell>
          <cell r="F4183">
            <v>16998</v>
          </cell>
          <cell r="J4183">
            <v>3044898.5110213743</v>
          </cell>
          <cell r="K4183">
            <v>1.8320000000000001</v>
          </cell>
          <cell r="L4183">
            <v>147156</v>
          </cell>
          <cell r="M4183">
            <v>16998</v>
          </cell>
          <cell r="N4183">
            <v>604836.60222741216</v>
          </cell>
          <cell r="O4183">
            <v>609933.56050929835</v>
          </cell>
          <cell r="P4183">
            <v>326.77120000000002</v>
          </cell>
        </row>
        <row r="4184">
          <cell r="B4184">
            <v>36783</v>
          </cell>
          <cell r="C4184">
            <v>1.819682</v>
          </cell>
          <cell r="D4184">
            <v>1.8317000000000001</v>
          </cell>
          <cell r="E4184">
            <v>145394</v>
          </cell>
          <cell r="F4184">
            <v>16768</v>
          </cell>
          <cell r="J4184">
            <v>3046745.4266921519</v>
          </cell>
          <cell r="K4184">
            <v>1.8317000000000001</v>
          </cell>
          <cell r="L4184">
            <v>145394</v>
          </cell>
          <cell r="M4184">
            <v>16768</v>
          </cell>
          <cell r="N4184">
            <v>604836.60222741216</v>
          </cell>
          <cell r="O4184">
            <v>609933.56050929835</v>
          </cell>
          <cell r="P4184">
            <v>326.77120000000002</v>
          </cell>
        </row>
        <row r="4185">
          <cell r="B4185">
            <v>36784</v>
          </cell>
          <cell r="C4185">
            <v>1.818659</v>
          </cell>
          <cell r="D4185">
            <v>1.8438000000000001</v>
          </cell>
          <cell r="E4185">
            <v>143641</v>
          </cell>
          <cell r="F4185">
            <v>16563</v>
          </cell>
          <cell r="J4185">
            <v>3048592.4236891395</v>
          </cell>
          <cell r="K4185">
            <v>1.8438000000000001</v>
          </cell>
          <cell r="L4185">
            <v>143641</v>
          </cell>
          <cell r="M4185">
            <v>16563</v>
          </cell>
          <cell r="N4185">
            <v>604836.60222741216</v>
          </cell>
          <cell r="O4185">
            <v>609933.56050929835</v>
          </cell>
          <cell r="P4185">
            <v>326.77120000000002</v>
          </cell>
        </row>
        <row r="4186">
          <cell r="B4186">
            <v>36787</v>
          </cell>
          <cell r="C4186">
            <v>1.818659</v>
          </cell>
          <cell r="D4186">
            <v>1.8557999999999999</v>
          </cell>
          <cell r="E4186">
            <v>138931</v>
          </cell>
          <cell r="F4186">
            <v>15913</v>
          </cell>
          <cell r="J4186">
            <v>3050440.5403720313</v>
          </cell>
          <cell r="K4186">
            <v>1.8557999999999999</v>
          </cell>
          <cell r="L4186">
            <v>138931</v>
          </cell>
          <cell r="M4186">
            <v>15913</v>
          </cell>
          <cell r="N4186">
            <v>604836.60222741216</v>
          </cell>
          <cell r="O4186">
            <v>609933.56050929835</v>
          </cell>
          <cell r="P4186">
            <v>326.77120000000002</v>
          </cell>
        </row>
        <row r="4187">
          <cell r="B4187">
            <v>36788</v>
          </cell>
          <cell r="C4187">
            <v>1.8176369999999999</v>
          </cell>
          <cell r="D4187">
            <v>1.8537999999999999</v>
          </cell>
          <cell r="E4187">
            <v>140590</v>
          </cell>
          <cell r="F4187">
            <v>16188</v>
          </cell>
          <cell r="J4187">
            <v>3052288.7382361917</v>
          </cell>
          <cell r="K4187">
            <v>1.8537999999999999</v>
          </cell>
          <cell r="L4187">
            <v>140590</v>
          </cell>
          <cell r="M4187">
            <v>16188</v>
          </cell>
          <cell r="N4187">
            <v>604836.60222741216</v>
          </cell>
          <cell r="O4187">
            <v>609933.56050929835</v>
          </cell>
          <cell r="P4187">
            <v>326.77120000000002</v>
          </cell>
        </row>
        <row r="4188">
          <cell r="B4188">
            <v>36789</v>
          </cell>
          <cell r="C4188">
            <v>1.8176369999999999</v>
          </cell>
          <cell r="D4188">
            <v>1.8546</v>
          </cell>
          <cell r="E4188">
            <v>138927</v>
          </cell>
          <cell r="F4188">
            <v>16077</v>
          </cell>
          <cell r="J4188">
            <v>3054138.0558846258</v>
          </cell>
          <cell r="K4188">
            <v>1.8546</v>
          </cell>
          <cell r="L4188">
            <v>138927</v>
          </cell>
          <cell r="M4188">
            <v>16077</v>
          </cell>
          <cell r="N4188">
            <v>604836.60222741216</v>
          </cell>
          <cell r="O4188">
            <v>609933.56050929835</v>
          </cell>
          <cell r="P4188">
            <v>326.77120000000002</v>
          </cell>
        </row>
        <row r="4189">
          <cell r="B4189">
            <v>36790</v>
          </cell>
          <cell r="C4189">
            <v>1.818659</v>
          </cell>
          <cell r="D4189">
            <v>1.8516999999999999</v>
          </cell>
          <cell r="E4189">
            <v>139657</v>
          </cell>
          <cell r="F4189">
            <v>16146</v>
          </cell>
          <cell r="J4189">
            <v>3055989.5344388182</v>
          </cell>
          <cell r="K4189">
            <v>1.8516999999999999</v>
          </cell>
          <cell r="L4189">
            <v>139657</v>
          </cell>
          <cell r="M4189">
            <v>16146</v>
          </cell>
          <cell r="N4189">
            <v>604836.60222741216</v>
          </cell>
          <cell r="O4189">
            <v>609933.56050929835</v>
          </cell>
          <cell r="P4189">
            <v>326.77120000000002</v>
          </cell>
        </row>
        <row r="4190">
          <cell r="B4190">
            <v>36791</v>
          </cell>
          <cell r="C4190">
            <v>1.8176369999999999</v>
          </cell>
          <cell r="D4190">
            <v>1.8593999999999999</v>
          </cell>
          <cell r="E4190">
            <v>141108</v>
          </cell>
          <cell r="F4190">
            <v>16353</v>
          </cell>
          <cell r="J4190">
            <v>3057841.0943219545</v>
          </cell>
          <cell r="K4190">
            <v>1.8593999999999999</v>
          </cell>
          <cell r="L4190">
            <v>141108</v>
          </cell>
          <cell r="M4190">
            <v>16353</v>
          </cell>
          <cell r="N4190">
            <v>604836.60222741216</v>
          </cell>
          <cell r="O4190">
            <v>609933.56050929835</v>
          </cell>
          <cell r="P4190">
            <v>326.77120000000002</v>
          </cell>
        </row>
        <row r="4191">
          <cell r="B4191">
            <v>36794</v>
          </cell>
          <cell r="C4191">
            <v>1.816614</v>
          </cell>
          <cell r="D4191">
            <v>1.8411999999999999</v>
          </cell>
          <cell r="E4191">
            <v>141035</v>
          </cell>
          <cell r="F4191">
            <v>16318</v>
          </cell>
          <cell r="J4191">
            <v>3059692.7333025285</v>
          </cell>
          <cell r="K4191">
            <v>1.8411999999999999</v>
          </cell>
          <cell r="L4191">
            <v>141035</v>
          </cell>
          <cell r="M4191">
            <v>16318</v>
          </cell>
          <cell r="N4191">
            <v>604836.60222741216</v>
          </cell>
          <cell r="O4191">
            <v>609933.56050929835</v>
          </cell>
          <cell r="P4191">
            <v>326.77120000000002</v>
          </cell>
        </row>
        <row r="4192">
          <cell r="B4192">
            <v>36795</v>
          </cell>
          <cell r="C4192">
            <v>1.8145690000000001</v>
          </cell>
          <cell r="D4192">
            <v>1.8506</v>
          </cell>
          <cell r="E4192">
            <v>139816</v>
          </cell>
          <cell r="F4192">
            <v>16254</v>
          </cell>
          <cell r="J4192">
            <v>3061543.4078303208</v>
          </cell>
          <cell r="K4192">
            <v>1.8506</v>
          </cell>
          <cell r="L4192">
            <v>139816</v>
          </cell>
          <cell r="M4192">
            <v>16254</v>
          </cell>
          <cell r="N4192">
            <v>604836.60222741216</v>
          </cell>
          <cell r="O4192">
            <v>609933.56050929835</v>
          </cell>
          <cell r="P4192">
            <v>326.77120000000002</v>
          </cell>
        </row>
        <row r="4193">
          <cell r="B4193">
            <v>36796</v>
          </cell>
          <cell r="C4193">
            <v>1.8115000000000001</v>
          </cell>
          <cell r="D4193">
            <v>1.8492</v>
          </cell>
          <cell r="E4193">
            <v>136881</v>
          </cell>
          <cell r="F4193">
            <v>15848</v>
          </cell>
          <cell r="J4193">
            <v>3063392.0697914157</v>
          </cell>
          <cell r="K4193">
            <v>1.8492</v>
          </cell>
          <cell r="L4193">
            <v>136881</v>
          </cell>
          <cell r="M4193">
            <v>15848</v>
          </cell>
          <cell r="N4193">
            <v>604836.60222741216</v>
          </cell>
          <cell r="O4193">
            <v>609933.56050929835</v>
          </cell>
          <cell r="P4193">
            <v>326.77120000000002</v>
          </cell>
        </row>
        <row r="4194">
          <cell r="B4194">
            <v>36797</v>
          </cell>
          <cell r="C4194">
            <v>1.8125230000000001</v>
          </cell>
          <cell r="D4194">
            <v>1.8479000000000001</v>
          </cell>
          <cell r="E4194">
            <v>138535</v>
          </cell>
          <cell r="F4194">
            <v>16013</v>
          </cell>
          <cell r="J4194">
            <v>3065242.8926529204</v>
          </cell>
          <cell r="K4194">
            <v>1.8479000000000001</v>
          </cell>
          <cell r="L4194">
            <v>138535</v>
          </cell>
          <cell r="M4194">
            <v>16013</v>
          </cell>
          <cell r="N4194">
            <v>604836.60222741216</v>
          </cell>
          <cell r="O4194">
            <v>609933.56050929835</v>
          </cell>
          <cell r="P4194">
            <v>326.77120000000002</v>
          </cell>
        </row>
        <row r="4195">
          <cell r="B4195">
            <v>36798</v>
          </cell>
          <cell r="C4195">
            <v>1.8176369999999999</v>
          </cell>
          <cell r="D4195">
            <v>1.8436999999999999</v>
          </cell>
          <cell r="E4195">
            <v>138331</v>
          </cell>
          <cell r="F4195">
            <v>15928</v>
          </cell>
          <cell r="G4195">
            <v>0.69</v>
          </cell>
          <cell r="H4195">
            <v>1.1599999999999999</v>
          </cell>
          <cell r="I4195">
            <v>328.74590000000001</v>
          </cell>
          <cell r="J4195">
            <v>3067100.0589514785</v>
          </cell>
          <cell r="K4195">
            <v>1.8436999999999999</v>
          </cell>
          <cell r="L4195">
            <v>138331</v>
          </cell>
          <cell r="M4195">
            <v>15928</v>
          </cell>
          <cell r="N4195">
            <v>609009.97478278121</v>
          </cell>
          <cell r="O4195">
            <v>617008.78981120628</v>
          </cell>
          <cell r="P4195">
            <v>328.74590000000001</v>
          </cell>
        </row>
        <row r="4196">
          <cell r="B4196">
            <v>36801</v>
          </cell>
          <cell r="C4196">
            <v>1.818659</v>
          </cell>
          <cell r="D4196">
            <v>1.8483000000000001</v>
          </cell>
          <cell r="E4196">
            <v>135672</v>
          </cell>
          <cell r="F4196">
            <v>15559</v>
          </cell>
          <cell r="J4196">
            <v>3068959.3953268495</v>
          </cell>
          <cell r="K4196">
            <v>1.8483000000000001</v>
          </cell>
          <cell r="L4196">
            <v>135672</v>
          </cell>
          <cell r="M4196">
            <v>15559</v>
          </cell>
          <cell r="N4196">
            <v>609009.97478278121</v>
          </cell>
          <cell r="O4196">
            <v>617008.78981120628</v>
          </cell>
          <cell r="P4196">
            <v>328.74590000000001</v>
          </cell>
        </row>
        <row r="4197">
          <cell r="B4197">
            <v>36802</v>
          </cell>
          <cell r="C4197">
            <v>1.8176369999999999</v>
          </cell>
          <cell r="D4197">
            <v>1.8498000000000001</v>
          </cell>
          <cell r="E4197">
            <v>135735</v>
          </cell>
          <cell r="F4197">
            <v>15633</v>
          </cell>
          <cell r="J4197">
            <v>3070818.8133763312</v>
          </cell>
          <cell r="K4197">
            <v>1.8498000000000001</v>
          </cell>
          <cell r="L4197">
            <v>135735</v>
          </cell>
          <cell r="M4197">
            <v>15633</v>
          </cell>
          <cell r="N4197">
            <v>609009.97478278121</v>
          </cell>
          <cell r="O4197">
            <v>617008.78981120628</v>
          </cell>
          <cell r="P4197">
            <v>328.74590000000001</v>
          </cell>
        </row>
        <row r="4198">
          <cell r="B4198">
            <v>36803</v>
          </cell>
          <cell r="C4198">
            <v>1.819682</v>
          </cell>
          <cell r="D4198">
            <v>1.8529</v>
          </cell>
          <cell r="E4198">
            <v>137486</v>
          </cell>
          <cell r="F4198">
            <v>15876</v>
          </cell>
          <cell r="J4198">
            <v>3072681.4512829855</v>
          </cell>
          <cell r="K4198">
            <v>1.8529</v>
          </cell>
          <cell r="L4198">
            <v>137486</v>
          </cell>
          <cell r="M4198">
            <v>15876</v>
          </cell>
          <cell r="N4198">
            <v>609009.97478278121</v>
          </cell>
          <cell r="O4198">
            <v>617008.78981120628</v>
          </cell>
          <cell r="P4198">
            <v>328.74590000000001</v>
          </cell>
        </row>
        <row r="4199">
          <cell r="B4199">
            <v>36804</v>
          </cell>
          <cell r="C4199">
            <v>1.819682</v>
          </cell>
          <cell r="D4199">
            <v>1.8501000000000001</v>
          </cell>
          <cell r="E4199">
            <v>141351</v>
          </cell>
          <cell r="F4199">
            <v>16362</v>
          </cell>
          <cell r="J4199">
            <v>3074545.2189925304</v>
          </cell>
          <cell r="K4199">
            <v>1.8501000000000001</v>
          </cell>
          <cell r="L4199">
            <v>141351</v>
          </cell>
          <cell r="M4199">
            <v>16362</v>
          </cell>
          <cell r="N4199">
            <v>609009.97478278121</v>
          </cell>
          <cell r="O4199">
            <v>617008.78981120628</v>
          </cell>
          <cell r="P4199">
            <v>328.74590000000001</v>
          </cell>
        </row>
        <row r="4200">
          <cell r="B4200">
            <v>36805</v>
          </cell>
          <cell r="C4200">
            <v>1.816614</v>
          </cell>
          <cell r="D4200">
            <v>1.8520000000000001</v>
          </cell>
          <cell r="E4200">
            <v>138713</v>
          </cell>
          <cell r="F4200">
            <v>15945</v>
          </cell>
          <cell r="J4200">
            <v>3076406.9729553489</v>
          </cell>
          <cell r="K4200">
            <v>1.8520000000000001</v>
          </cell>
          <cell r="L4200">
            <v>138713</v>
          </cell>
          <cell r="M4200">
            <v>15945</v>
          </cell>
          <cell r="N4200">
            <v>609009.97478278121</v>
          </cell>
          <cell r="O4200">
            <v>617008.78981120628</v>
          </cell>
          <cell r="P4200">
            <v>328.74590000000001</v>
          </cell>
        </row>
        <row r="4201">
          <cell r="B4201">
            <v>36808</v>
          </cell>
          <cell r="C4201">
            <v>1.816614</v>
          </cell>
          <cell r="D4201">
            <v>1.8573999999999999</v>
          </cell>
          <cell r="E4201">
            <v>137763</v>
          </cell>
          <cell r="F4201">
            <v>15855</v>
          </cell>
          <cell r="J4201">
            <v>3078269.8542809384</v>
          </cell>
          <cell r="K4201">
            <v>1.8573999999999999</v>
          </cell>
          <cell r="L4201">
            <v>137763</v>
          </cell>
          <cell r="M4201">
            <v>15855</v>
          </cell>
          <cell r="N4201">
            <v>609009.97478278121</v>
          </cell>
          <cell r="O4201">
            <v>617008.78981120628</v>
          </cell>
          <cell r="P4201">
            <v>328.74590000000001</v>
          </cell>
        </row>
        <row r="4202">
          <cell r="B4202">
            <v>36809</v>
          </cell>
          <cell r="C4202">
            <v>1.815591</v>
          </cell>
          <cell r="D4202">
            <v>1.8541000000000001</v>
          </cell>
          <cell r="E4202">
            <v>136914</v>
          </cell>
          <cell r="F4202">
            <v>15747</v>
          </cell>
          <cell r="J4202">
            <v>3080132.8139619399</v>
          </cell>
          <cell r="K4202">
            <v>1.8541000000000001</v>
          </cell>
          <cell r="L4202">
            <v>136914</v>
          </cell>
          <cell r="M4202">
            <v>15747</v>
          </cell>
          <cell r="N4202">
            <v>609009.97478278121</v>
          </cell>
          <cell r="O4202">
            <v>617008.78981120628</v>
          </cell>
          <cell r="P4202">
            <v>328.74590000000001</v>
          </cell>
        </row>
        <row r="4203">
          <cell r="B4203">
            <v>36810</v>
          </cell>
          <cell r="C4203">
            <v>1.8135460000000001</v>
          </cell>
          <cell r="D4203">
            <v>1.8603000000000001</v>
          </cell>
          <cell r="E4203">
            <v>135401</v>
          </cell>
          <cell r="F4203">
            <v>15526</v>
          </cell>
          <cell r="J4203">
            <v>3081994.801476683</v>
          </cell>
          <cell r="K4203">
            <v>1.8603000000000001</v>
          </cell>
          <cell r="L4203">
            <v>135401</v>
          </cell>
          <cell r="M4203">
            <v>15526</v>
          </cell>
          <cell r="N4203">
            <v>609009.97478278121</v>
          </cell>
          <cell r="O4203">
            <v>617008.78981120628</v>
          </cell>
          <cell r="P4203">
            <v>328.74590000000001</v>
          </cell>
        </row>
        <row r="4204">
          <cell r="B4204">
            <v>36812</v>
          </cell>
          <cell r="C4204">
            <v>1.815591</v>
          </cell>
          <cell r="D4204">
            <v>1.8764000000000001</v>
          </cell>
          <cell r="E4204">
            <v>133569</v>
          </cell>
          <cell r="F4204">
            <v>15385</v>
          </cell>
          <cell r="J4204">
            <v>3083860.0154845524</v>
          </cell>
          <cell r="K4204">
            <v>1.8764000000000001</v>
          </cell>
          <cell r="L4204">
            <v>133569</v>
          </cell>
          <cell r="M4204">
            <v>15385</v>
          </cell>
          <cell r="N4204">
            <v>609009.97478278121</v>
          </cell>
          <cell r="O4204">
            <v>617008.78981120628</v>
          </cell>
          <cell r="P4204">
            <v>328.74590000000001</v>
          </cell>
        </row>
        <row r="4205">
          <cell r="B4205">
            <v>36815</v>
          </cell>
          <cell r="C4205">
            <v>1.816614</v>
          </cell>
          <cell r="D4205">
            <v>1.8704000000000001</v>
          </cell>
          <cell r="E4205">
            <v>133129</v>
          </cell>
          <cell r="F4205">
            <v>15241</v>
          </cell>
          <cell r="J4205">
            <v>3085727.409910609</v>
          </cell>
          <cell r="K4205">
            <v>1.8704000000000001</v>
          </cell>
          <cell r="L4205">
            <v>133129</v>
          </cell>
          <cell r="M4205">
            <v>15241</v>
          </cell>
          <cell r="N4205">
            <v>609009.97478278121</v>
          </cell>
          <cell r="O4205">
            <v>617008.78981120628</v>
          </cell>
          <cell r="P4205">
            <v>328.74590000000001</v>
          </cell>
        </row>
        <row r="4206">
          <cell r="B4206">
            <v>36816</v>
          </cell>
          <cell r="C4206">
            <v>1.816614</v>
          </cell>
          <cell r="D4206">
            <v>1.8667</v>
          </cell>
          <cell r="E4206">
            <v>130333</v>
          </cell>
          <cell r="F4206">
            <v>14870</v>
          </cell>
          <cell r="J4206">
            <v>3087595.9351149518</v>
          </cell>
          <cell r="K4206">
            <v>1.8667</v>
          </cell>
          <cell r="L4206">
            <v>130333</v>
          </cell>
          <cell r="M4206">
            <v>14870</v>
          </cell>
          <cell r="N4206">
            <v>609009.97478278121</v>
          </cell>
          <cell r="O4206">
            <v>617008.78981120628</v>
          </cell>
          <cell r="P4206">
            <v>328.74590000000001</v>
          </cell>
        </row>
        <row r="4207">
          <cell r="B4207">
            <v>36817</v>
          </cell>
          <cell r="C4207">
            <v>1.816614</v>
          </cell>
          <cell r="D4207">
            <v>1.8794999999999999</v>
          </cell>
          <cell r="E4207">
            <v>126356</v>
          </cell>
          <cell r="F4207">
            <v>14420</v>
          </cell>
          <cell r="J4207">
            <v>3089465.5917823096</v>
          </cell>
          <cell r="K4207">
            <v>1.8794999999999999</v>
          </cell>
          <cell r="L4207">
            <v>126356</v>
          </cell>
          <cell r="M4207">
            <v>14420</v>
          </cell>
          <cell r="N4207">
            <v>609009.97478278121</v>
          </cell>
          <cell r="O4207">
            <v>617008.78981120628</v>
          </cell>
          <cell r="P4207">
            <v>328.74590000000001</v>
          </cell>
        </row>
        <row r="4208">
          <cell r="B4208">
            <v>36818</v>
          </cell>
          <cell r="C4208">
            <v>1.816614</v>
          </cell>
          <cell r="D4208">
            <v>1.8714</v>
          </cell>
          <cell r="E4208">
            <v>129767</v>
          </cell>
          <cell r="F4208">
            <v>14845</v>
          </cell>
          <cell r="J4208">
            <v>3091336.3805978266</v>
          </cell>
          <cell r="K4208">
            <v>1.8714</v>
          </cell>
          <cell r="L4208">
            <v>129767</v>
          </cell>
          <cell r="M4208">
            <v>14845</v>
          </cell>
          <cell r="N4208">
            <v>609009.97478278121</v>
          </cell>
          <cell r="O4208">
            <v>617008.78981120628</v>
          </cell>
          <cell r="P4208">
            <v>328.74590000000001</v>
          </cell>
        </row>
        <row r="4209">
          <cell r="B4209">
            <v>36819</v>
          </cell>
          <cell r="C4209">
            <v>1.8176369999999999</v>
          </cell>
          <cell r="D4209">
            <v>1.8795999999999999</v>
          </cell>
          <cell r="E4209">
            <v>127900</v>
          </cell>
          <cell r="F4209">
            <v>14529</v>
          </cell>
          <cell r="J4209">
            <v>3093209.3563927673</v>
          </cell>
          <cell r="K4209">
            <v>1.8795999999999999</v>
          </cell>
          <cell r="L4209">
            <v>127900</v>
          </cell>
          <cell r="M4209">
            <v>14529</v>
          </cell>
          <cell r="N4209">
            <v>609009.97478278121</v>
          </cell>
          <cell r="O4209">
            <v>617008.78981120628</v>
          </cell>
          <cell r="P4209">
            <v>328.74590000000001</v>
          </cell>
        </row>
        <row r="4210">
          <cell r="B4210">
            <v>36822</v>
          </cell>
          <cell r="C4210">
            <v>1.816614</v>
          </cell>
          <cell r="D4210">
            <v>1.8917999999999999</v>
          </cell>
          <cell r="E4210">
            <v>124371</v>
          </cell>
          <cell r="F4210">
            <v>13989</v>
          </cell>
          <cell r="J4210">
            <v>3095082.4122000188</v>
          </cell>
          <cell r="K4210">
            <v>1.8917999999999999</v>
          </cell>
          <cell r="L4210">
            <v>124371</v>
          </cell>
          <cell r="M4210">
            <v>13989</v>
          </cell>
          <cell r="N4210">
            <v>609009.97478278121</v>
          </cell>
          <cell r="O4210">
            <v>617008.78981120628</v>
          </cell>
          <cell r="P4210">
            <v>328.74590000000001</v>
          </cell>
        </row>
        <row r="4211">
          <cell r="B4211">
            <v>36823</v>
          </cell>
          <cell r="C4211">
            <v>1.815591</v>
          </cell>
          <cell r="D4211">
            <v>1.8980999999999999</v>
          </cell>
          <cell r="E4211">
            <v>123716</v>
          </cell>
          <cell r="F4211">
            <v>13799</v>
          </cell>
          <cell r="J4211">
            <v>3096955.5467906352</v>
          </cell>
          <cell r="K4211">
            <v>1.8980999999999999</v>
          </cell>
          <cell r="L4211">
            <v>123716</v>
          </cell>
          <cell r="M4211">
            <v>13799</v>
          </cell>
          <cell r="N4211">
            <v>609009.97478278121</v>
          </cell>
          <cell r="O4211">
            <v>617008.78981120628</v>
          </cell>
          <cell r="P4211">
            <v>328.74590000000001</v>
          </cell>
        </row>
        <row r="4212">
          <cell r="B4212">
            <v>36824</v>
          </cell>
          <cell r="C4212">
            <v>1.815591</v>
          </cell>
          <cell r="D4212">
            <v>1.9281999999999999</v>
          </cell>
          <cell r="E4212">
            <v>123016</v>
          </cell>
          <cell r="F4212">
            <v>13665</v>
          </cell>
          <cell r="J4212">
            <v>3098829.8149966863</v>
          </cell>
          <cell r="K4212">
            <v>1.9281999999999999</v>
          </cell>
          <cell r="L4212">
            <v>123016</v>
          </cell>
          <cell r="M4212">
            <v>13665</v>
          </cell>
          <cell r="N4212">
            <v>609009.97478278121</v>
          </cell>
          <cell r="O4212">
            <v>617008.78981120628</v>
          </cell>
          <cell r="P4212">
            <v>328.74590000000001</v>
          </cell>
        </row>
        <row r="4213">
          <cell r="B4213">
            <v>36825</v>
          </cell>
          <cell r="C4213">
            <v>1.816614</v>
          </cell>
          <cell r="D4213">
            <v>1.9339999999999999</v>
          </cell>
          <cell r="E4213">
            <v>126627</v>
          </cell>
          <cell r="F4213">
            <v>14223</v>
          </cell>
          <cell r="J4213">
            <v>3100706.2742051999</v>
          </cell>
          <cell r="K4213">
            <v>1.9339999999999999</v>
          </cell>
          <cell r="L4213">
            <v>126627</v>
          </cell>
          <cell r="M4213">
            <v>14223</v>
          </cell>
          <cell r="N4213">
            <v>609009.97478278121</v>
          </cell>
          <cell r="O4213">
            <v>617008.78981120628</v>
          </cell>
          <cell r="P4213">
            <v>328.74590000000001</v>
          </cell>
        </row>
        <row r="4214">
          <cell r="B4214">
            <v>36826</v>
          </cell>
          <cell r="C4214">
            <v>1.816614</v>
          </cell>
          <cell r="D4214">
            <v>1.9239999999999999</v>
          </cell>
          <cell r="E4214">
            <v>130820</v>
          </cell>
          <cell r="F4214">
            <v>14691</v>
          </cell>
          <cell r="J4214">
            <v>3102583.8696810696</v>
          </cell>
          <cell r="K4214">
            <v>1.9239999999999999</v>
          </cell>
          <cell r="L4214">
            <v>130820</v>
          </cell>
          <cell r="M4214">
            <v>14691</v>
          </cell>
          <cell r="N4214">
            <v>609009.97478278121</v>
          </cell>
          <cell r="O4214">
            <v>617008.78981120628</v>
          </cell>
          <cell r="P4214">
            <v>328.74590000000001</v>
          </cell>
        </row>
        <row r="4215">
          <cell r="B4215">
            <v>36829</v>
          </cell>
          <cell r="C4215">
            <v>1.816614</v>
          </cell>
          <cell r="D4215">
            <v>1.9184000000000001</v>
          </cell>
          <cell r="E4215">
            <v>131747</v>
          </cell>
          <cell r="F4215">
            <v>14891</v>
          </cell>
          <cell r="I4215">
            <v>330.82459999999998</v>
          </cell>
          <cell r="J4215">
            <v>3104462.6021123487</v>
          </cell>
          <cell r="K4215">
            <v>1.9184000000000001</v>
          </cell>
          <cell r="L4215">
            <v>131747</v>
          </cell>
          <cell r="M4215">
            <v>14891</v>
          </cell>
          <cell r="N4215">
            <v>609009.97478278121</v>
          </cell>
          <cell r="O4215">
            <v>617008.78981120628</v>
          </cell>
          <cell r="P4215">
            <v>330.82459999999998</v>
          </cell>
        </row>
        <row r="4216">
          <cell r="B4216">
            <v>36830</v>
          </cell>
          <cell r="C4216">
            <v>1.8176369999999999</v>
          </cell>
          <cell r="D4216">
            <v>1.909</v>
          </cell>
          <cell r="E4216">
            <v>132218</v>
          </cell>
          <cell r="F4216">
            <v>14867</v>
          </cell>
          <cell r="G4216">
            <v>0.37</v>
          </cell>
          <cell r="H4216">
            <v>0.38</v>
          </cell>
          <cell r="J4216">
            <v>3106343.5308092544</v>
          </cell>
          <cell r="K4216">
            <v>1.909</v>
          </cell>
          <cell r="L4216">
            <v>132218</v>
          </cell>
          <cell r="M4216">
            <v>14867</v>
          </cell>
          <cell r="N4216">
            <v>611263.31168947753</v>
          </cell>
          <cell r="O4216">
            <v>619353.42321248888</v>
          </cell>
          <cell r="P4216">
            <v>330.82459999999998</v>
          </cell>
        </row>
        <row r="4217">
          <cell r="B4217">
            <v>36831</v>
          </cell>
          <cell r="C4217">
            <v>1.815591</v>
          </cell>
          <cell r="D4217">
            <v>1.9098999999999999</v>
          </cell>
          <cell r="E4217">
            <v>131930</v>
          </cell>
          <cell r="F4217">
            <v>14791</v>
          </cell>
          <cell r="J4217">
            <v>3108223.4805950699</v>
          </cell>
          <cell r="K4217">
            <v>1.9098999999999999</v>
          </cell>
          <cell r="L4217">
            <v>131930</v>
          </cell>
          <cell r="M4217">
            <v>14791</v>
          </cell>
          <cell r="N4217">
            <v>611263.31168947753</v>
          </cell>
          <cell r="O4217">
            <v>619353.42321248888</v>
          </cell>
          <cell r="P4217">
            <v>330.82459999999998</v>
          </cell>
        </row>
        <row r="4218">
          <cell r="B4218">
            <v>36833</v>
          </cell>
          <cell r="C4218">
            <v>1.8125230000000001</v>
          </cell>
          <cell r="D4218">
            <v>1.9286000000000001</v>
          </cell>
          <cell r="E4218">
            <v>130636</v>
          </cell>
          <cell r="F4218">
            <v>14533</v>
          </cell>
          <cell r="J4218">
            <v>3110101.3894443098</v>
          </cell>
          <cell r="K4218">
            <v>1.9286000000000001</v>
          </cell>
          <cell r="L4218">
            <v>130636</v>
          </cell>
          <cell r="M4218">
            <v>14533</v>
          </cell>
          <cell r="N4218">
            <v>611263.31168947753</v>
          </cell>
          <cell r="O4218">
            <v>619353.42321248888</v>
          </cell>
          <cell r="P4218">
            <v>330.82459999999998</v>
          </cell>
        </row>
        <row r="4219">
          <cell r="B4219">
            <v>36836</v>
          </cell>
          <cell r="C4219">
            <v>1.80843</v>
          </cell>
          <cell r="D4219">
            <v>1.9461999999999999</v>
          </cell>
          <cell r="E4219">
            <v>132132</v>
          </cell>
          <cell r="F4219">
            <v>14800</v>
          </cell>
          <cell r="J4219">
            <v>3111976.1896628807</v>
          </cell>
          <cell r="K4219">
            <v>1.9461999999999999</v>
          </cell>
          <cell r="L4219">
            <v>132132</v>
          </cell>
          <cell r="M4219">
            <v>14800</v>
          </cell>
          <cell r="N4219">
            <v>611263.31168947753</v>
          </cell>
          <cell r="O4219">
            <v>619353.42321248888</v>
          </cell>
          <cell r="P4219">
            <v>330.82459999999998</v>
          </cell>
        </row>
        <row r="4220">
          <cell r="B4220">
            <v>36837</v>
          </cell>
          <cell r="C4220">
            <v>1.8104769999999999</v>
          </cell>
          <cell r="D4220">
            <v>1.9573</v>
          </cell>
          <cell r="E4220">
            <v>132908</v>
          </cell>
          <cell r="F4220">
            <v>14968</v>
          </cell>
          <cell r="J4220">
            <v>3113854.243434858</v>
          </cell>
          <cell r="K4220">
            <v>1.9573</v>
          </cell>
          <cell r="L4220">
            <v>132908</v>
          </cell>
          <cell r="M4220">
            <v>14968</v>
          </cell>
          <cell r="N4220">
            <v>611263.31168947753</v>
          </cell>
          <cell r="O4220">
            <v>619353.42321248888</v>
          </cell>
          <cell r="P4220">
            <v>330.82459999999998</v>
          </cell>
        </row>
        <row r="4221">
          <cell r="B4221">
            <v>36838</v>
          </cell>
          <cell r="C4221">
            <v>1.8145690000000001</v>
          </cell>
          <cell r="D4221">
            <v>1.9502999999999999</v>
          </cell>
          <cell r="E4221">
            <v>131107</v>
          </cell>
          <cell r="F4221">
            <v>14656</v>
          </cell>
          <cell r="J4221">
            <v>3115737.6778950766</v>
          </cell>
          <cell r="K4221">
            <v>1.9502999999999999</v>
          </cell>
          <cell r="L4221">
            <v>131107</v>
          </cell>
          <cell r="M4221">
            <v>14656</v>
          </cell>
          <cell r="N4221">
            <v>611263.31168947753</v>
          </cell>
          <cell r="O4221">
            <v>619353.42321248888</v>
          </cell>
          <cell r="P4221">
            <v>330.82459999999998</v>
          </cell>
        </row>
        <row r="4222">
          <cell r="B4222">
            <v>36839</v>
          </cell>
          <cell r="C4222">
            <v>1.815591</v>
          </cell>
          <cell r="D4222">
            <v>1.9682999999999999</v>
          </cell>
          <cell r="E4222">
            <v>129960</v>
          </cell>
          <cell r="F4222">
            <v>14524</v>
          </cell>
          <cell r="J4222">
            <v>3117623.3129905257</v>
          </cell>
          <cell r="K4222">
            <v>1.9682999999999999</v>
          </cell>
          <cell r="L4222">
            <v>129960</v>
          </cell>
          <cell r="M4222">
            <v>14524</v>
          </cell>
          <cell r="N4222">
            <v>611263.31168947753</v>
          </cell>
          <cell r="O4222">
            <v>619353.42321248888</v>
          </cell>
          <cell r="P4222">
            <v>330.82459999999998</v>
          </cell>
        </row>
        <row r="4223">
          <cell r="B4223">
            <v>36840</v>
          </cell>
          <cell r="C4223">
            <v>1.816614</v>
          </cell>
          <cell r="D4223">
            <v>1.9565999999999999</v>
          </cell>
          <cell r="E4223">
            <v>130052</v>
          </cell>
          <cell r="F4223">
            <v>14625</v>
          </cell>
          <cell r="J4223">
            <v>3119511.1523762275</v>
          </cell>
          <cell r="K4223">
            <v>1.9565999999999999</v>
          </cell>
          <cell r="L4223">
            <v>130052</v>
          </cell>
          <cell r="M4223">
            <v>14625</v>
          </cell>
          <cell r="N4223">
            <v>611263.31168947753</v>
          </cell>
          <cell r="O4223">
            <v>619353.42321248888</v>
          </cell>
          <cell r="P4223">
            <v>330.82459999999998</v>
          </cell>
        </row>
        <row r="4224">
          <cell r="B4224">
            <v>36843</v>
          </cell>
          <cell r="C4224">
            <v>1.816614</v>
          </cell>
          <cell r="D4224">
            <v>1.9579</v>
          </cell>
          <cell r="E4224">
            <v>128462</v>
          </cell>
          <cell r="F4224">
            <v>14371</v>
          </cell>
          <cell r="J4224">
            <v>3121400.1349204155</v>
          </cell>
          <cell r="K4224">
            <v>1.9579</v>
          </cell>
          <cell r="L4224">
            <v>128462</v>
          </cell>
          <cell r="M4224">
            <v>14371</v>
          </cell>
          <cell r="N4224">
            <v>611263.31168947753</v>
          </cell>
          <cell r="O4224">
            <v>619353.42321248888</v>
          </cell>
          <cell r="P4224">
            <v>330.82459999999998</v>
          </cell>
        </row>
        <row r="4225">
          <cell r="B4225">
            <v>36844</v>
          </cell>
          <cell r="C4225">
            <v>1.8176369999999999</v>
          </cell>
          <cell r="D4225">
            <v>1.9440999999999999</v>
          </cell>
          <cell r="E4225">
            <v>129968</v>
          </cell>
          <cell r="F4225">
            <v>14540</v>
          </cell>
          <cell r="J4225">
            <v>3123291.3257127614</v>
          </cell>
          <cell r="K4225">
            <v>1.9440999999999999</v>
          </cell>
          <cell r="L4225">
            <v>129968</v>
          </cell>
          <cell r="M4225">
            <v>14540</v>
          </cell>
          <cell r="N4225">
            <v>611263.31168947753</v>
          </cell>
          <cell r="O4225">
            <v>619353.42321248888</v>
          </cell>
          <cell r="P4225">
            <v>330.82459999999998</v>
          </cell>
        </row>
        <row r="4226">
          <cell r="B4226">
            <v>36846</v>
          </cell>
          <cell r="C4226">
            <v>1.8176369999999999</v>
          </cell>
          <cell r="D4226">
            <v>1.9486000000000001</v>
          </cell>
          <cell r="E4226">
            <v>129094</v>
          </cell>
          <cell r="F4226">
            <v>14489</v>
          </cell>
          <cell r="J4226">
            <v>3125183.6623378932</v>
          </cell>
          <cell r="K4226">
            <v>1.9486000000000001</v>
          </cell>
          <cell r="L4226">
            <v>129094</v>
          </cell>
          <cell r="M4226">
            <v>14489</v>
          </cell>
          <cell r="N4226">
            <v>611263.31168947753</v>
          </cell>
          <cell r="O4226">
            <v>619353.42321248888</v>
          </cell>
          <cell r="P4226">
            <v>330.82459999999998</v>
          </cell>
        </row>
        <row r="4227">
          <cell r="B4227">
            <v>36847</v>
          </cell>
          <cell r="C4227">
            <v>1.818659</v>
          </cell>
          <cell r="D4227">
            <v>1.9592000000000001</v>
          </cell>
          <cell r="E4227">
            <v>128232</v>
          </cell>
          <cell r="F4227">
            <v>14323</v>
          </cell>
          <cell r="J4227">
            <v>3127078.2101359479</v>
          </cell>
          <cell r="K4227">
            <v>1.9592000000000001</v>
          </cell>
          <cell r="L4227">
            <v>128232</v>
          </cell>
          <cell r="M4227">
            <v>14323</v>
          </cell>
          <cell r="N4227">
            <v>611263.31168947753</v>
          </cell>
          <cell r="O4227">
            <v>619353.42321248888</v>
          </cell>
          <cell r="P4227">
            <v>330.82459999999998</v>
          </cell>
        </row>
        <row r="4228">
          <cell r="B4228">
            <v>36850</v>
          </cell>
          <cell r="C4228">
            <v>1.8176369999999999</v>
          </cell>
          <cell r="D4228">
            <v>1.9365000000000001</v>
          </cell>
          <cell r="E4228">
            <v>128689</v>
          </cell>
          <cell r="F4228">
            <v>14499</v>
          </cell>
          <cell r="J4228">
            <v>3128972.8411548273</v>
          </cell>
          <cell r="K4228">
            <v>1.9365000000000001</v>
          </cell>
          <cell r="L4228">
            <v>128689</v>
          </cell>
          <cell r="M4228">
            <v>14499</v>
          </cell>
          <cell r="N4228">
            <v>611263.31168947753</v>
          </cell>
          <cell r="O4228">
            <v>619353.42321248888</v>
          </cell>
          <cell r="P4228">
            <v>330.82459999999998</v>
          </cell>
        </row>
        <row r="4229">
          <cell r="B4229">
            <v>36851</v>
          </cell>
          <cell r="C4229">
            <v>1.8176369999999999</v>
          </cell>
          <cell r="D4229">
            <v>1.91</v>
          </cell>
          <cell r="E4229">
            <v>129884</v>
          </cell>
          <cell r="F4229">
            <v>14783</v>
          </cell>
          <cell r="J4229">
            <v>3130868.6200908534</v>
          </cell>
          <cell r="K4229">
            <v>1.91</v>
          </cell>
          <cell r="L4229">
            <v>129884</v>
          </cell>
          <cell r="M4229">
            <v>14783</v>
          </cell>
          <cell r="N4229">
            <v>611263.31168947753</v>
          </cell>
          <cell r="O4229">
            <v>619353.42321248888</v>
          </cell>
          <cell r="P4229">
            <v>330.82459999999998</v>
          </cell>
        </row>
        <row r="4230">
          <cell r="B4230">
            <v>36852</v>
          </cell>
          <cell r="C4230">
            <v>1.8104769999999999</v>
          </cell>
          <cell r="D4230">
            <v>1.9321999999999999</v>
          </cell>
          <cell r="E4230">
            <v>128123</v>
          </cell>
          <cell r="F4230">
            <v>14576</v>
          </cell>
          <cell r="J4230">
            <v>3132758.0752997524</v>
          </cell>
          <cell r="K4230">
            <v>1.9321999999999999</v>
          </cell>
          <cell r="L4230">
            <v>128123</v>
          </cell>
          <cell r="M4230">
            <v>14576</v>
          </cell>
          <cell r="N4230">
            <v>611263.31168947753</v>
          </cell>
          <cell r="O4230">
            <v>619353.42321248888</v>
          </cell>
          <cell r="P4230">
            <v>330.82459999999998</v>
          </cell>
        </row>
        <row r="4231">
          <cell r="B4231">
            <v>36853</v>
          </cell>
          <cell r="C4231">
            <v>1.8104769999999999</v>
          </cell>
          <cell r="D4231">
            <v>1.9413</v>
          </cell>
          <cell r="E4231">
            <v>126933</v>
          </cell>
          <cell r="F4231">
            <v>14314</v>
          </cell>
          <cell r="J4231">
            <v>3134648.670780384</v>
          </cell>
          <cell r="K4231">
            <v>1.9413</v>
          </cell>
          <cell r="L4231">
            <v>126933</v>
          </cell>
          <cell r="M4231">
            <v>14314</v>
          </cell>
          <cell r="N4231">
            <v>611263.31168947753</v>
          </cell>
          <cell r="O4231">
            <v>619353.42321248888</v>
          </cell>
          <cell r="P4231">
            <v>330.82459999999998</v>
          </cell>
        </row>
        <row r="4232">
          <cell r="B4232">
            <v>36854</v>
          </cell>
          <cell r="C4232">
            <v>1.809453</v>
          </cell>
          <cell r="D4232">
            <v>1.956</v>
          </cell>
          <cell r="E4232">
            <v>127235</v>
          </cell>
          <cell r="F4232">
            <v>14335</v>
          </cell>
          <cell r="J4232">
            <v>3136539.3372608139</v>
          </cell>
          <cell r="K4232">
            <v>1.956</v>
          </cell>
          <cell r="L4232">
            <v>127235</v>
          </cell>
          <cell r="M4232">
            <v>14335</v>
          </cell>
          <cell r="N4232">
            <v>611263.31168947753</v>
          </cell>
          <cell r="O4232">
            <v>619353.42321248888</v>
          </cell>
          <cell r="P4232">
            <v>330.82459999999998</v>
          </cell>
        </row>
        <row r="4233">
          <cell r="B4233">
            <v>36857</v>
          </cell>
          <cell r="C4233">
            <v>1.80843</v>
          </cell>
          <cell r="D4233">
            <v>1.9571000000000001</v>
          </cell>
          <cell r="E4233">
            <v>125363</v>
          </cell>
          <cell r="F4233">
            <v>14008</v>
          </cell>
          <cell r="J4233">
            <v>3138430.0745387077</v>
          </cell>
          <cell r="K4233">
            <v>1.9571000000000001</v>
          </cell>
          <cell r="L4233">
            <v>125363</v>
          </cell>
          <cell r="M4233">
            <v>14008</v>
          </cell>
          <cell r="N4233">
            <v>611263.31168947753</v>
          </cell>
          <cell r="O4233">
            <v>619353.42321248888</v>
          </cell>
          <cell r="P4233">
            <v>330.82459999999998</v>
          </cell>
        </row>
        <row r="4234">
          <cell r="B4234">
            <v>36858</v>
          </cell>
          <cell r="C4234">
            <v>1.809453</v>
          </cell>
          <cell r="D4234">
            <v>1.9778</v>
          </cell>
          <cell r="E4234">
            <v>124449</v>
          </cell>
          <cell r="F4234">
            <v>13913</v>
          </cell>
          <cell r="J4234">
            <v>3140323.0217765956</v>
          </cell>
          <cell r="K4234">
            <v>1.9778</v>
          </cell>
          <cell r="L4234">
            <v>124449</v>
          </cell>
          <cell r="M4234">
            <v>13913</v>
          </cell>
          <cell r="N4234">
            <v>611263.31168947753</v>
          </cell>
          <cell r="O4234">
            <v>619353.42321248888</v>
          </cell>
          <cell r="P4234">
            <v>330.82459999999998</v>
          </cell>
        </row>
        <row r="4235">
          <cell r="B4235">
            <v>36859</v>
          </cell>
          <cell r="C4235">
            <v>1.8063830000000001</v>
          </cell>
          <cell r="D4235">
            <v>1.9610000000000001</v>
          </cell>
          <cell r="E4235">
            <v>123377</v>
          </cell>
          <cell r="F4235">
            <v>13787</v>
          </cell>
          <cell r="J4235">
            <v>3142213.8971502772</v>
          </cell>
          <cell r="K4235">
            <v>1.9610000000000001</v>
          </cell>
          <cell r="L4235">
            <v>123377</v>
          </cell>
          <cell r="M4235">
            <v>13787</v>
          </cell>
          <cell r="N4235">
            <v>611263.31168947753</v>
          </cell>
          <cell r="O4235">
            <v>619353.42321248888</v>
          </cell>
          <cell r="P4235">
            <v>330.82459999999998</v>
          </cell>
        </row>
        <row r="4236">
          <cell r="B4236">
            <v>36860</v>
          </cell>
          <cell r="C4236">
            <v>1.8043359999999999</v>
          </cell>
          <cell r="D4236">
            <v>1.9596</v>
          </cell>
          <cell r="E4236">
            <v>119631</v>
          </cell>
          <cell r="F4236">
            <v>13287</v>
          </cell>
          <cell r="G4236">
            <v>0.39</v>
          </cell>
          <cell r="H4236">
            <v>0.28999999999999998</v>
          </cell>
          <cell r="I4236">
            <v>332.87670000000003</v>
          </cell>
          <cell r="J4236">
            <v>3144103.7670350536</v>
          </cell>
          <cell r="K4236">
            <v>1.9596</v>
          </cell>
          <cell r="L4236">
            <v>119631</v>
          </cell>
          <cell r="M4236">
            <v>13287</v>
          </cell>
          <cell r="N4236">
            <v>613647.23860506655</v>
          </cell>
          <cell r="O4236">
            <v>621149.54813980509</v>
          </cell>
          <cell r="P4236">
            <v>332.87670000000003</v>
          </cell>
        </row>
        <row r="4237">
          <cell r="B4237">
            <v>36861</v>
          </cell>
          <cell r="C4237">
            <v>1.8053589999999999</v>
          </cell>
          <cell r="D4237">
            <v>1.9795</v>
          </cell>
          <cell r="E4237">
            <v>121254</v>
          </cell>
          <cell r="F4237">
            <v>13437</v>
          </cell>
          <cell r="J4237">
            <v>3145995.8457126375</v>
          </cell>
          <cell r="K4237">
            <v>1.9795</v>
          </cell>
          <cell r="L4237">
            <v>121254</v>
          </cell>
          <cell r="M4237">
            <v>13437</v>
          </cell>
          <cell r="N4237">
            <v>613647.23860506655</v>
          </cell>
          <cell r="O4237">
            <v>621149.54813980509</v>
          </cell>
          <cell r="P4237">
            <v>332.87670000000003</v>
          </cell>
        </row>
        <row r="4238">
          <cell r="B4238">
            <v>36864</v>
          </cell>
          <cell r="C4238">
            <v>1.8043359999999999</v>
          </cell>
          <cell r="D4238">
            <v>1.9846999999999999</v>
          </cell>
          <cell r="E4238">
            <v>121741</v>
          </cell>
          <cell r="F4238">
            <v>13510</v>
          </cell>
          <cell r="J4238">
            <v>3147887.9902327275</v>
          </cell>
          <cell r="K4238">
            <v>1.9846999999999999</v>
          </cell>
          <cell r="L4238">
            <v>121741</v>
          </cell>
          <cell r="M4238">
            <v>13510</v>
          </cell>
          <cell r="N4238">
            <v>613647.23860506655</v>
          </cell>
          <cell r="O4238">
            <v>621149.54813980509</v>
          </cell>
          <cell r="P4238">
            <v>332.87670000000003</v>
          </cell>
        </row>
        <row r="4239">
          <cell r="B4239">
            <v>36865</v>
          </cell>
          <cell r="C4239">
            <v>1.8043359999999999</v>
          </cell>
          <cell r="D4239">
            <v>1.9648000000000001</v>
          </cell>
          <cell r="E4239">
            <v>127305</v>
          </cell>
          <cell r="F4239">
            <v>14181</v>
          </cell>
          <cell r="J4239">
            <v>3149781.2727743094</v>
          </cell>
          <cell r="K4239">
            <v>1.9648000000000001</v>
          </cell>
          <cell r="L4239">
            <v>127305</v>
          </cell>
          <cell r="M4239">
            <v>14181</v>
          </cell>
          <cell r="N4239">
            <v>613647.23860506655</v>
          </cell>
          <cell r="O4239">
            <v>621149.54813980509</v>
          </cell>
          <cell r="P4239">
            <v>332.87670000000003</v>
          </cell>
        </row>
        <row r="4240">
          <cell r="B4240">
            <v>36866</v>
          </cell>
          <cell r="C4240">
            <v>1.803312</v>
          </cell>
          <cell r="D4240">
            <v>1.9657</v>
          </cell>
          <cell r="E4240">
            <v>126686</v>
          </cell>
          <cell r="F4240">
            <v>13945</v>
          </cell>
          <cell r="J4240">
            <v>3151674.6188964993</v>
          </cell>
          <cell r="K4240">
            <v>1.9657</v>
          </cell>
          <cell r="L4240">
            <v>126686</v>
          </cell>
          <cell r="M4240">
            <v>13945</v>
          </cell>
          <cell r="N4240">
            <v>613647.23860506655</v>
          </cell>
          <cell r="O4240">
            <v>621149.54813980509</v>
          </cell>
          <cell r="P4240">
            <v>332.87670000000003</v>
          </cell>
        </row>
        <row r="4241">
          <cell r="B4241">
            <v>36867</v>
          </cell>
          <cell r="C4241">
            <v>1.8022879999999999</v>
          </cell>
          <cell r="D4241">
            <v>1.9698</v>
          </cell>
          <cell r="E4241">
            <v>129408</v>
          </cell>
          <cell r="F4241">
            <v>14459</v>
          </cell>
          <cell r="J4241">
            <v>3153568.0273450133</v>
          </cell>
          <cell r="K4241">
            <v>1.9698</v>
          </cell>
          <cell r="L4241">
            <v>129408</v>
          </cell>
          <cell r="M4241">
            <v>14459</v>
          </cell>
          <cell r="N4241">
            <v>613647.23860506655</v>
          </cell>
          <cell r="O4241">
            <v>621149.54813980509</v>
          </cell>
          <cell r="P4241">
            <v>332.87670000000003</v>
          </cell>
        </row>
        <row r="4242">
          <cell r="B4242">
            <v>36868</v>
          </cell>
          <cell r="C4242">
            <v>1.8022879999999999</v>
          </cell>
          <cell r="D4242">
            <v>1.9695</v>
          </cell>
          <cell r="E4242">
            <v>133544</v>
          </cell>
          <cell r="F4242">
            <v>14982</v>
          </cell>
          <cell r="J4242">
            <v>3155462.5732826358</v>
          </cell>
          <cell r="K4242">
            <v>1.9695</v>
          </cell>
          <cell r="L4242">
            <v>133544</v>
          </cell>
          <cell r="M4242">
            <v>14982</v>
          </cell>
          <cell r="N4242">
            <v>613647.23860506655</v>
          </cell>
          <cell r="O4242">
            <v>621149.54813980509</v>
          </cell>
          <cell r="P4242">
            <v>332.87670000000003</v>
          </cell>
        </row>
        <row r="4243">
          <cell r="B4243">
            <v>36871</v>
          </cell>
          <cell r="C4243">
            <v>1.801264</v>
          </cell>
          <cell r="D4243">
            <v>1.9648000000000001</v>
          </cell>
          <cell r="E4243">
            <v>135069</v>
          </cell>
          <cell r="F4243">
            <v>15187</v>
          </cell>
          <cell r="J4243">
            <v>3157357.1803281694</v>
          </cell>
          <cell r="K4243">
            <v>1.9648000000000001</v>
          </cell>
          <cell r="L4243">
            <v>135069</v>
          </cell>
          <cell r="M4243">
            <v>15187</v>
          </cell>
          <cell r="N4243">
            <v>613647.23860506655</v>
          </cell>
          <cell r="O4243">
            <v>621149.54813980509</v>
          </cell>
          <cell r="P4243">
            <v>332.87670000000003</v>
          </cell>
        </row>
        <row r="4244">
          <cell r="B4244">
            <v>36872</v>
          </cell>
          <cell r="C4244">
            <v>1.8002400000000001</v>
          </cell>
          <cell r="D4244">
            <v>1.9676</v>
          </cell>
          <cell r="E4244">
            <v>133487</v>
          </cell>
          <cell r="F4244">
            <v>14906</v>
          </cell>
          <cell r="J4244">
            <v>3159251.8472249405</v>
          </cell>
          <cell r="K4244">
            <v>1.9676</v>
          </cell>
          <cell r="L4244">
            <v>133487</v>
          </cell>
          <cell r="M4244">
            <v>14906</v>
          </cell>
          <cell r="N4244">
            <v>613647.23860506655</v>
          </cell>
          <cell r="O4244">
            <v>621149.54813980509</v>
          </cell>
          <cell r="P4244">
            <v>332.87670000000003</v>
          </cell>
        </row>
        <row r="4245">
          <cell r="B4245">
            <v>36873</v>
          </cell>
          <cell r="C4245">
            <v>1.7992159999999999</v>
          </cell>
          <cell r="D4245">
            <v>1.9622999999999999</v>
          </cell>
          <cell r="E4245">
            <v>135900</v>
          </cell>
          <cell r="F4245">
            <v>15290</v>
          </cell>
          <cell r="J4245">
            <v>3161146.5727154599</v>
          </cell>
          <cell r="K4245">
            <v>1.9622999999999999</v>
          </cell>
          <cell r="L4245">
            <v>135900</v>
          </cell>
          <cell r="M4245">
            <v>15290</v>
          </cell>
          <cell r="N4245">
            <v>613647.23860506655</v>
          </cell>
          <cell r="O4245">
            <v>621149.54813980509</v>
          </cell>
          <cell r="P4245">
            <v>332.87670000000003</v>
          </cell>
        </row>
        <row r="4246">
          <cell r="B4246">
            <v>36874</v>
          </cell>
          <cell r="C4246">
            <v>1.798192</v>
          </cell>
          <cell r="D4246">
            <v>1.9635</v>
          </cell>
          <cell r="E4246">
            <v>135353</v>
          </cell>
          <cell r="F4246">
            <v>15259</v>
          </cell>
          <cell r="J4246">
            <v>3163041.3555414216</v>
          </cell>
          <cell r="K4246">
            <v>1.9635</v>
          </cell>
          <cell r="L4246">
            <v>135353</v>
          </cell>
          <cell r="M4246">
            <v>15259</v>
          </cell>
          <cell r="N4246">
            <v>613647.23860506655</v>
          </cell>
          <cell r="O4246">
            <v>621149.54813980509</v>
          </cell>
          <cell r="P4246">
            <v>332.87670000000003</v>
          </cell>
        </row>
        <row r="4247">
          <cell r="B4247">
            <v>36875</v>
          </cell>
          <cell r="C4247">
            <v>1.798192</v>
          </cell>
          <cell r="D4247">
            <v>1.9678</v>
          </cell>
          <cell r="E4247">
            <v>133253</v>
          </cell>
          <cell r="F4247">
            <v>14987</v>
          </cell>
          <cell r="J4247">
            <v>3164937.2740951562</v>
          </cell>
          <cell r="K4247">
            <v>1.9678</v>
          </cell>
          <cell r="L4247">
            <v>133253</v>
          </cell>
          <cell r="M4247">
            <v>14987</v>
          </cell>
          <cell r="N4247">
            <v>613647.23860506655</v>
          </cell>
          <cell r="O4247">
            <v>621149.54813980509</v>
          </cell>
          <cell r="P4247">
            <v>332.87670000000003</v>
          </cell>
        </row>
        <row r="4248">
          <cell r="B4248">
            <v>36878</v>
          </cell>
          <cell r="C4248">
            <v>1.796143</v>
          </cell>
          <cell r="D4248">
            <v>1.9539</v>
          </cell>
          <cell r="E4248">
            <v>133698</v>
          </cell>
          <cell r="F4248">
            <v>15082</v>
          </cell>
          <cell r="J4248">
            <v>3166832.1674052575</v>
          </cell>
          <cell r="K4248">
            <v>1.9539</v>
          </cell>
          <cell r="L4248">
            <v>133698</v>
          </cell>
          <cell r="M4248">
            <v>15082</v>
          </cell>
          <cell r="N4248">
            <v>613647.23860506655</v>
          </cell>
          <cell r="O4248">
            <v>621149.54813980509</v>
          </cell>
          <cell r="P4248">
            <v>332.87670000000003</v>
          </cell>
        </row>
        <row r="4249">
          <cell r="B4249">
            <v>36879</v>
          </cell>
          <cell r="C4249">
            <v>1.7940940000000001</v>
          </cell>
          <cell r="D4249">
            <v>1.9556</v>
          </cell>
          <cell r="E4249">
            <v>135318</v>
          </cell>
          <cell r="F4249">
            <v>15336</v>
          </cell>
          <cell r="J4249">
            <v>3168726.0322687738</v>
          </cell>
          <cell r="K4249">
            <v>1.9556</v>
          </cell>
          <cell r="L4249">
            <v>135318</v>
          </cell>
          <cell r="M4249">
            <v>15336</v>
          </cell>
          <cell r="N4249">
            <v>613647.23860506655</v>
          </cell>
          <cell r="O4249">
            <v>621149.54813980509</v>
          </cell>
          <cell r="P4249">
            <v>332.87670000000003</v>
          </cell>
        </row>
        <row r="4250">
          <cell r="B4250">
            <v>36880</v>
          </cell>
          <cell r="C4250">
            <v>1.769479</v>
          </cell>
          <cell r="D4250">
            <v>1.9559</v>
          </cell>
          <cell r="E4250">
            <v>130509</v>
          </cell>
          <cell r="F4250">
            <v>14622</v>
          </cell>
          <cell r="J4250">
            <v>3170595.0303257247</v>
          </cell>
          <cell r="K4250">
            <v>1.9559</v>
          </cell>
          <cell r="L4250">
            <v>130509</v>
          </cell>
          <cell r="M4250">
            <v>14622</v>
          </cell>
          <cell r="N4250">
            <v>613647.23860506655</v>
          </cell>
          <cell r="O4250">
            <v>621149.54813980509</v>
          </cell>
          <cell r="P4250">
            <v>332.87670000000003</v>
          </cell>
        </row>
        <row r="4251">
          <cell r="B4251">
            <v>36881</v>
          </cell>
          <cell r="C4251">
            <v>1.7406969999999999</v>
          </cell>
          <cell r="D4251">
            <v>1.9578</v>
          </cell>
          <cell r="E4251">
            <v>129824</v>
          </cell>
          <cell r="F4251">
            <v>14505</v>
          </cell>
          <cell r="J4251">
            <v>3172434.7120782253</v>
          </cell>
          <cell r="K4251">
            <v>1.9578</v>
          </cell>
          <cell r="L4251">
            <v>129824</v>
          </cell>
          <cell r="M4251">
            <v>14505</v>
          </cell>
          <cell r="N4251">
            <v>613647.23860506655</v>
          </cell>
          <cell r="O4251">
            <v>621149.54813980509</v>
          </cell>
          <cell r="P4251">
            <v>332.87670000000003</v>
          </cell>
        </row>
        <row r="4252">
          <cell r="B4252">
            <v>36882</v>
          </cell>
          <cell r="C4252">
            <v>1.7396670000000001</v>
          </cell>
          <cell r="D4252">
            <v>1.9523999999999999</v>
          </cell>
          <cell r="E4252">
            <v>131019</v>
          </cell>
          <cell r="F4252">
            <v>14652</v>
          </cell>
          <cell r="J4252">
            <v>3174274.3720709775</v>
          </cell>
          <cell r="K4252">
            <v>1.9523999999999999</v>
          </cell>
          <cell r="L4252">
            <v>131019</v>
          </cell>
          <cell r="M4252">
            <v>14652</v>
          </cell>
          <cell r="N4252">
            <v>613647.23860506655</v>
          </cell>
          <cell r="O4252">
            <v>621149.54813980509</v>
          </cell>
          <cell r="P4252">
            <v>332.87670000000003</v>
          </cell>
        </row>
        <row r="4253">
          <cell r="B4253">
            <v>36886</v>
          </cell>
          <cell r="C4253">
            <v>1.7386379999999999</v>
          </cell>
          <cell r="D4253">
            <v>1.9578</v>
          </cell>
          <cell r="E4253">
            <v>132666</v>
          </cell>
          <cell r="F4253">
            <v>14794</v>
          </cell>
          <cell r="J4253">
            <v>3176114.0100862137</v>
          </cell>
          <cell r="K4253">
            <v>1.9578</v>
          </cell>
          <cell r="L4253">
            <v>132666</v>
          </cell>
          <cell r="M4253">
            <v>14794</v>
          </cell>
          <cell r="N4253">
            <v>613647.23860506655</v>
          </cell>
          <cell r="O4253">
            <v>621149.54813980509</v>
          </cell>
          <cell r="P4253">
            <v>332.87670000000003</v>
          </cell>
        </row>
        <row r="4254">
          <cell r="B4254">
            <v>36887</v>
          </cell>
          <cell r="C4254">
            <v>1.7365790000000001</v>
          </cell>
          <cell r="D4254">
            <v>1.9608000000000001</v>
          </cell>
          <cell r="E4254">
            <v>135306</v>
          </cell>
          <cell r="F4254">
            <v>15186</v>
          </cell>
          <cell r="J4254">
            <v>3177952.5343833878</v>
          </cell>
          <cell r="K4254">
            <v>1.9608000000000001</v>
          </cell>
          <cell r="L4254">
            <v>135306</v>
          </cell>
          <cell r="M4254">
            <v>15186</v>
          </cell>
          <cell r="N4254">
            <v>613647.23860506655</v>
          </cell>
          <cell r="O4254">
            <v>621149.54813980509</v>
          </cell>
          <cell r="P4254">
            <v>332.87670000000003</v>
          </cell>
        </row>
        <row r="4255">
          <cell r="B4255">
            <v>36888</v>
          </cell>
          <cell r="C4255">
            <v>1.7386379999999999</v>
          </cell>
          <cell r="D4255">
            <v>1.9554</v>
          </cell>
          <cell r="E4255">
            <v>135436</v>
          </cell>
          <cell r="F4255">
            <v>15259</v>
          </cell>
          <cell r="G4255">
            <v>0.76</v>
          </cell>
          <cell r="H4255">
            <v>0.63</v>
          </cell>
          <cell r="J4255">
            <v>3179794.3040628796</v>
          </cell>
          <cell r="K4255">
            <v>1.9554</v>
          </cell>
          <cell r="L4255">
            <v>135436</v>
          </cell>
          <cell r="M4255">
            <v>15259</v>
          </cell>
          <cell r="N4255">
            <v>618310.95761846507</v>
          </cell>
          <cell r="O4255">
            <v>625062.79029308585</v>
          </cell>
          <cell r="P4255">
            <v>332.87670000000003</v>
          </cell>
        </row>
        <row r="4256">
          <cell r="B4256">
            <v>36889</v>
          </cell>
          <cell r="C4256">
            <v>1.7386379999999999</v>
          </cell>
          <cell r="D4256">
            <v>1.9554</v>
          </cell>
          <cell r="I4256">
            <v>334.87259999999998</v>
          </cell>
          <cell r="J4256">
            <v>3181637.141132622</v>
          </cell>
          <cell r="K4256">
            <v>1.9554</v>
          </cell>
          <cell r="L4256">
            <v>135436</v>
          </cell>
          <cell r="M4256">
            <v>15259</v>
          </cell>
          <cell r="N4256">
            <v>618310.95761846507</v>
          </cell>
          <cell r="O4256">
            <v>625062.79029308585</v>
          </cell>
          <cell r="P4256">
            <v>334.87259999999998</v>
          </cell>
        </row>
        <row r="4257">
          <cell r="B4257">
            <v>36893</v>
          </cell>
          <cell r="C4257">
            <v>1.7396670000000001</v>
          </cell>
          <cell r="D4257">
            <v>1.9384999999999999</v>
          </cell>
          <cell r="E4257">
            <v>135635</v>
          </cell>
          <cell r="F4257">
            <v>15425</v>
          </cell>
          <cell r="J4257">
            <v>3183482.137512756</v>
          </cell>
          <cell r="K4257">
            <v>1.9384999999999999</v>
          </cell>
          <cell r="L4257">
            <v>135635</v>
          </cell>
          <cell r="M4257">
            <v>15425</v>
          </cell>
          <cell r="N4257">
            <v>618310.95761846507</v>
          </cell>
          <cell r="O4257">
            <v>625062.79029308585</v>
          </cell>
          <cell r="P4257">
            <v>334.87259999999998</v>
          </cell>
        </row>
        <row r="4258">
          <cell r="B4258">
            <v>36894</v>
          </cell>
          <cell r="C4258">
            <v>1.7365790000000001</v>
          </cell>
          <cell r="D4258">
            <v>1.9421999999999999</v>
          </cell>
          <cell r="E4258">
            <v>143452</v>
          </cell>
          <cell r="F4258">
            <v>16599</v>
          </cell>
          <cell r="J4258">
            <v>3185324.926921716</v>
          </cell>
          <cell r="K4258">
            <v>1.9421999999999999</v>
          </cell>
          <cell r="L4258">
            <v>143452</v>
          </cell>
          <cell r="M4258">
            <v>16599</v>
          </cell>
          <cell r="N4258">
            <v>618310.95761846507</v>
          </cell>
          <cell r="O4258">
            <v>625062.79029308585</v>
          </cell>
          <cell r="P4258">
            <v>334.87259999999998</v>
          </cell>
        </row>
        <row r="4259">
          <cell r="B4259">
            <v>36895</v>
          </cell>
          <cell r="C4259">
            <v>1.7355499999999999</v>
          </cell>
          <cell r="D4259">
            <v>1.9353</v>
          </cell>
          <cell r="E4259">
            <v>145491</v>
          </cell>
          <cell r="F4259">
            <v>16675</v>
          </cell>
          <cell r="J4259">
            <v>3187167.6904806891</v>
          </cell>
          <cell r="K4259">
            <v>1.9353</v>
          </cell>
          <cell r="L4259">
            <v>145491</v>
          </cell>
          <cell r="M4259">
            <v>16675</v>
          </cell>
          <cell r="N4259">
            <v>618310.95761846507</v>
          </cell>
          <cell r="O4259">
            <v>625062.79029308585</v>
          </cell>
          <cell r="P4259">
            <v>334.87259999999998</v>
          </cell>
        </row>
        <row r="4260">
          <cell r="B4260">
            <v>36896</v>
          </cell>
          <cell r="C4260">
            <v>1.7365790000000001</v>
          </cell>
          <cell r="D4260">
            <v>1.9483999999999999</v>
          </cell>
          <cell r="E4260">
            <v>143838</v>
          </cell>
          <cell r="F4260">
            <v>16409</v>
          </cell>
          <cell r="J4260">
            <v>3189012.6133076116</v>
          </cell>
          <cell r="K4260">
            <v>1.9483999999999999</v>
          </cell>
          <cell r="L4260">
            <v>143838</v>
          </cell>
          <cell r="M4260">
            <v>16409</v>
          </cell>
          <cell r="N4260">
            <v>618310.95761846507</v>
          </cell>
          <cell r="O4260">
            <v>625062.79029308585</v>
          </cell>
          <cell r="P4260">
            <v>334.87259999999998</v>
          </cell>
        </row>
        <row r="4261">
          <cell r="B4261">
            <v>36899</v>
          </cell>
          <cell r="C4261">
            <v>1.7355499999999999</v>
          </cell>
          <cell r="D4261">
            <v>1.9523999999999999</v>
          </cell>
          <cell r="E4261">
            <v>144716</v>
          </cell>
          <cell r="F4261">
            <v>16562</v>
          </cell>
          <cell r="J4261">
            <v>3190857.5102546206</v>
          </cell>
          <cell r="K4261">
            <v>1.9523999999999999</v>
          </cell>
          <cell r="L4261">
            <v>144716</v>
          </cell>
          <cell r="M4261">
            <v>16562</v>
          </cell>
          <cell r="N4261">
            <v>618310.95761846507</v>
          </cell>
          <cell r="O4261">
            <v>625062.79029308585</v>
          </cell>
          <cell r="P4261">
            <v>334.87259999999998</v>
          </cell>
        </row>
        <row r="4262">
          <cell r="B4262">
            <v>36900</v>
          </cell>
          <cell r="C4262">
            <v>1.7355499999999999</v>
          </cell>
          <cell r="D4262">
            <v>1.9440999999999999</v>
          </cell>
          <cell r="E4262">
            <v>147494</v>
          </cell>
          <cell r="F4262">
            <v>16975</v>
          </cell>
          <cell r="J4262">
            <v>3192703.4745052615</v>
          </cell>
          <cell r="K4262">
            <v>1.9440999999999999</v>
          </cell>
          <cell r="L4262">
            <v>147494</v>
          </cell>
          <cell r="M4262">
            <v>16975</v>
          </cell>
          <cell r="N4262">
            <v>618310.95761846507</v>
          </cell>
          <cell r="O4262">
            <v>625062.79029308585</v>
          </cell>
          <cell r="P4262">
            <v>334.87259999999998</v>
          </cell>
        </row>
        <row r="4263">
          <cell r="B4263">
            <v>36901</v>
          </cell>
          <cell r="C4263">
            <v>1.7293700000000001</v>
          </cell>
          <cell r="D4263">
            <v>1.9429000000000001</v>
          </cell>
          <cell r="E4263">
            <v>146786</v>
          </cell>
          <cell r="F4263">
            <v>16918</v>
          </cell>
          <cell r="J4263">
            <v>3194543.9297078298</v>
          </cell>
          <cell r="K4263">
            <v>1.9429000000000001</v>
          </cell>
          <cell r="L4263">
            <v>146786</v>
          </cell>
          <cell r="M4263">
            <v>16918</v>
          </cell>
          <cell r="N4263">
            <v>618310.95761846507</v>
          </cell>
          <cell r="O4263">
            <v>625062.79029308585</v>
          </cell>
          <cell r="P4263">
            <v>334.87259999999998</v>
          </cell>
        </row>
        <row r="4264">
          <cell r="B4264">
            <v>36902</v>
          </cell>
          <cell r="C4264">
            <v>1.7273099999999999</v>
          </cell>
          <cell r="D4264">
            <v>1.9462999999999999</v>
          </cell>
          <cell r="E4264">
            <v>147828</v>
          </cell>
          <cell r="F4264">
            <v>17023</v>
          </cell>
          <cell r="J4264">
            <v>3196383.2522662375</v>
          </cell>
          <cell r="K4264">
            <v>1.9462999999999999</v>
          </cell>
          <cell r="L4264">
            <v>147828</v>
          </cell>
          <cell r="M4264">
            <v>17023</v>
          </cell>
          <cell r="N4264">
            <v>618310.95761846507</v>
          </cell>
          <cell r="O4264">
            <v>625062.79029308585</v>
          </cell>
          <cell r="P4264">
            <v>334.87259999999998</v>
          </cell>
        </row>
        <row r="4265">
          <cell r="B4265">
            <v>36903</v>
          </cell>
          <cell r="C4265">
            <v>1.725249</v>
          </cell>
          <cell r="D4265">
            <v>1.9508000000000001</v>
          </cell>
          <cell r="E4265">
            <v>147520</v>
          </cell>
          <cell r="F4265">
            <v>16850</v>
          </cell>
          <cell r="J4265">
            <v>3198221.4379361006</v>
          </cell>
          <cell r="K4265">
            <v>1.9508000000000001</v>
          </cell>
          <cell r="L4265">
            <v>147520</v>
          </cell>
          <cell r="M4265">
            <v>16850</v>
          </cell>
          <cell r="N4265">
            <v>618310.95761846507</v>
          </cell>
          <cell r="O4265">
            <v>625062.79029308585</v>
          </cell>
          <cell r="P4265">
            <v>334.87259999999998</v>
          </cell>
        </row>
        <row r="4266">
          <cell r="B4266">
            <v>36906</v>
          </cell>
          <cell r="C4266">
            <v>1.724218</v>
          </cell>
          <cell r="D4266">
            <v>1.9475</v>
          </cell>
          <cell r="E4266">
            <v>148302</v>
          </cell>
          <cell r="F4266">
            <v>16962</v>
          </cell>
          <cell r="J4266">
            <v>3200059.5815931922</v>
          </cell>
          <cell r="K4266">
            <v>1.9475</v>
          </cell>
          <cell r="L4266">
            <v>148302</v>
          </cell>
          <cell r="M4266">
            <v>16962</v>
          </cell>
          <cell r="N4266">
            <v>618310.95761846507</v>
          </cell>
          <cell r="O4266">
            <v>625062.79029308585</v>
          </cell>
          <cell r="P4266">
            <v>334.87259999999998</v>
          </cell>
        </row>
        <row r="4267">
          <cell r="B4267">
            <v>36907</v>
          </cell>
          <cell r="C4267">
            <v>1.725249</v>
          </cell>
          <cell r="D4267">
            <v>1.9516</v>
          </cell>
          <cell r="E4267">
            <v>146593</v>
          </cell>
          <cell r="F4267">
            <v>16720</v>
          </cell>
          <cell r="J4267">
            <v>3201899.8814575532</v>
          </cell>
          <cell r="K4267">
            <v>1.9516</v>
          </cell>
          <cell r="L4267">
            <v>146593</v>
          </cell>
          <cell r="M4267">
            <v>16720</v>
          </cell>
          <cell r="N4267">
            <v>618310.95761846507</v>
          </cell>
          <cell r="O4267">
            <v>625062.79029308585</v>
          </cell>
          <cell r="P4267">
            <v>334.87259999999998</v>
          </cell>
        </row>
        <row r="4268">
          <cell r="B4268">
            <v>36908</v>
          </cell>
          <cell r="C4268">
            <v>1.6932609999999999</v>
          </cell>
          <cell r="D4268">
            <v>1.9500999999999999</v>
          </cell>
          <cell r="E4268">
            <v>149330</v>
          </cell>
          <cell r="F4268">
            <v>17191</v>
          </cell>
          <cell r="J4268">
            <v>3203707.0988559453</v>
          </cell>
          <cell r="K4268">
            <v>1.9500999999999999</v>
          </cell>
          <cell r="L4268">
            <v>149330</v>
          </cell>
          <cell r="M4268">
            <v>17191</v>
          </cell>
          <cell r="N4268">
            <v>618310.95761846507</v>
          </cell>
          <cell r="O4268">
            <v>625062.79029308585</v>
          </cell>
          <cell r="P4268">
            <v>334.87259999999998</v>
          </cell>
        </row>
        <row r="4269">
          <cell r="B4269">
            <v>36909</v>
          </cell>
          <cell r="C4269">
            <v>1.684992</v>
          </cell>
          <cell r="D4269">
            <v>1.9527000000000001</v>
          </cell>
          <cell r="E4269">
            <v>152496</v>
          </cell>
          <cell r="F4269">
            <v>17521</v>
          </cell>
          <cell r="J4269">
            <v>3205506.505799917</v>
          </cell>
          <cell r="K4269">
            <v>1.9527000000000001</v>
          </cell>
          <cell r="L4269">
            <v>152496</v>
          </cell>
          <cell r="M4269">
            <v>17521</v>
          </cell>
          <cell r="N4269">
            <v>618310.95761846507</v>
          </cell>
          <cell r="O4269">
            <v>625062.79029308585</v>
          </cell>
          <cell r="P4269">
            <v>334.87259999999998</v>
          </cell>
        </row>
        <row r="4270">
          <cell r="B4270">
            <v>36910</v>
          </cell>
          <cell r="C4270">
            <v>1.684992</v>
          </cell>
          <cell r="D4270">
            <v>1.9553</v>
          </cell>
          <cell r="E4270">
            <v>153496</v>
          </cell>
          <cell r="F4270">
            <v>17530</v>
          </cell>
          <cell r="J4270">
            <v>3207306.9234059905</v>
          </cell>
          <cell r="K4270">
            <v>1.9553</v>
          </cell>
          <cell r="L4270">
            <v>153496</v>
          </cell>
          <cell r="M4270">
            <v>17530</v>
          </cell>
          <cell r="N4270">
            <v>618310.95761846507</v>
          </cell>
          <cell r="O4270">
            <v>625062.79029308585</v>
          </cell>
          <cell r="P4270">
            <v>334.87259999999998</v>
          </cell>
        </row>
        <row r="4271">
          <cell r="B4271">
            <v>36913</v>
          </cell>
          <cell r="C4271">
            <v>1.6829229999999999</v>
          </cell>
          <cell r="D4271">
            <v>1.9571000000000001</v>
          </cell>
          <cell r="E4271">
            <v>152720</v>
          </cell>
          <cell r="F4271">
            <v>17391</v>
          </cell>
          <cell r="J4271">
            <v>3209106.140269143</v>
          </cell>
          <cell r="K4271">
            <v>1.9571000000000001</v>
          </cell>
          <cell r="L4271">
            <v>152720</v>
          </cell>
          <cell r="M4271">
            <v>17391</v>
          </cell>
          <cell r="N4271">
            <v>618310.95761846507</v>
          </cell>
          <cell r="O4271">
            <v>625062.79029308585</v>
          </cell>
          <cell r="P4271">
            <v>334.87259999999998</v>
          </cell>
        </row>
        <row r="4272">
          <cell r="B4272">
            <v>36914</v>
          </cell>
          <cell r="C4272">
            <v>1.679821</v>
          </cell>
          <cell r="D4272">
            <v>1.9585999999999999</v>
          </cell>
          <cell r="E4272">
            <v>155530</v>
          </cell>
          <cell r="F4272">
            <v>17832</v>
          </cell>
          <cell r="J4272">
            <v>3210903.0482310276</v>
          </cell>
          <cell r="K4272">
            <v>1.9585999999999999</v>
          </cell>
          <cell r="L4272">
            <v>155530</v>
          </cell>
          <cell r="M4272">
            <v>17832</v>
          </cell>
          <cell r="N4272">
            <v>618310.95761846507</v>
          </cell>
          <cell r="O4272">
            <v>625062.79029308585</v>
          </cell>
          <cell r="P4272">
            <v>334.87259999999998</v>
          </cell>
        </row>
        <row r="4273">
          <cell r="B4273">
            <v>36915</v>
          </cell>
          <cell r="C4273">
            <v>1.681889</v>
          </cell>
          <cell r="D4273">
            <v>1.9595</v>
          </cell>
          <cell r="E4273">
            <v>157072</v>
          </cell>
          <cell r="F4273">
            <v>17771</v>
          </cell>
          <cell r="J4273">
            <v>3212703.1757366564</v>
          </cell>
          <cell r="K4273">
            <v>1.9595</v>
          </cell>
          <cell r="L4273">
            <v>157072</v>
          </cell>
          <cell r="M4273">
            <v>17771</v>
          </cell>
          <cell r="N4273">
            <v>618310.95761846507</v>
          </cell>
          <cell r="O4273">
            <v>625062.79029308585</v>
          </cell>
          <cell r="P4273">
            <v>334.87259999999998</v>
          </cell>
        </row>
        <row r="4274">
          <cell r="B4274">
            <v>36916</v>
          </cell>
          <cell r="C4274">
            <v>1.6829229999999999</v>
          </cell>
          <cell r="D4274">
            <v>1.9738</v>
          </cell>
          <cell r="J4274">
            <v>3214505.4197588628</v>
          </cell>
          <cell r="K4274">
            <v>1.9738</v>
          </cell>
          <cell r="L4274">
            <v>157072</v>
          </cell>
          <cell r="M4274">
            <v>17771</v>
          </cell>
          <cell r="N4274">
            <v>618310.95761846507</v>
          </cell>
          <cell r="O4274">
            <v>625062.79029308585</v>
          </cell>
          <cell r="P4274">
            <v>334.87259999999998</v>
          </cell>
        </row>
        <row r="4275">
          <cell r="B4275">
            <v>36917</v>
          </cell>
          <cell r="C4275">
            <v>1.676717</v>
          </cell>
          <cell r="D4275">
            <v>1.974</v>
          </cell>
          <cell r="E4275">
            <v>159041</v>
          </cell>
          <cell r="F4275">
            <v>17889</v>
          </cell>
          <cell r="J4275">
            <v>3216302.0250534965</v>
          </cell>
          <cell r="K4275">
            <v>1.974</v>
          </cell>
          <cell r="L4275">
            <v>159041</v>
          </cell>
          <cell r="M4275">
            <v>17889</v>
          </cell>
          <cell r="N4275">
            <v>618310.95761846507</v>
          </cell>
          <cell r="O4275">
            <v>625062.79029308585</v>
          </cell>
          <cell r="P4275">
            <v>334.87259999999998</v>
          </cell>
        </row>
        <row r="4276">
          <cell r="B4276">
            <v>36920</v>
          </cell>
          <cell r="C4276">
            <v>1.6736120000000001</v>
          </cell>
          <cell r="D4276">
            <v>1.9753000000000001</v>
          </cell>
          <cell r="E4276">
            <v>159090</v>
          </cell>
          <cell r="F4276">
            <v>17883</v>
          </cell>
          <cell r="J4276">
            <v>3218096.3056084146</v>
          </cell>
          <cell r="K4276">
            <v>1.9753000000000001</v>
          </cell>
          <cell r="L4276">
            <v>159090</v>
          </cell>
          <cell r="M4276">
            <v>17883</v>
          </cell>
          <cell r="N4276">
            <v>618310.95761846507</v>
          </cell>
          <cell r="O4276">
            <v>625062.79029308585</v>
          </cell>
          <cell r="P4276">
            <v>334.87259999999998</v>
          </cell>
        </row>
        <row r="4277">
          <cell r="B4277">
            <v>36921</v>
          </cell>
          <cell r="C4277">
            <v>1.672577</v>
          </cell>
          <cell r="D4277">
            <v>1.9714</v>
          </cell>
          <cell r="E4277">
            <v>158493</v>
          </cell>
          <cell r="F4277">
            <v>17722</v>
          </cell>
          <cell r="J4277">
            <v>3219890.4768965961</v>
          </cell>
          <cell r="K4277">
            <v>1.9714</v>
          </cell>
          <cell r="L4277">
            <v>158493</v>
          </cell>
          <cell r="M4277">
            <v>17722</v>
          </cell>
          <cell r="N4277">
            <v>618310.95761846507</v>
          </cell>
          <cell r="O4277">
            <v>625062.79029308585</v>
          </cell>
          <cell r="P4277">
            <v>334.87259999999998</v>
          </cell>
        </row>
        <row r="4278">
          <cell r="B4278">
            <v>36922</v>
          </cell>
          <cell r="C4278">
            <v>1.668436</v>
          </cell>
          <cell r="D4278">
            <v>1.9711000000000001</v>
          </cell>
          <cell r="E4278">
            <v>159422</v>
          </cell>
          <cell r="F4278">
            <v>17672</v>
          </cell>
          <cell r="G4278">
            <v>0.49</v>
          </cell>
          <cell r="H4278">
            <v>0.62</v>
          </cell>
          <cell r="I4278">
            <v>337.00909999999999</v>
          </cell>
          <cell r="J4278">
            <v>3221681.2039591665</v>
          </cell>
          <cell r="K4278">
            <v>1.9711000000000001</v>
          </cell>
          <cell r="L4278">
            <v>159422</v>
          </cell>
          <cell r="M4278">
            <v>17672</v>
          </cell>
          <cell r="N4278">
            <v>621340.68131079548</v>
          </cell>
          <cell r="O4278">
            <v>628938.179592903</v>
          </cell>
          <cell r="P4278">
            <v>337.00909999999999</v>
          </cell>
        </row>
        <row r="4279">
          <cell r="B4279">
            <v>36923</v>
          </cell>
          <cell r="C4279">
            <v>1.6674009999999999</v>
          </cell>
          <cell r="D4279">
            <v>1.9739</v>
          </cell>
          <cell r="E4279">
            <v>155220</v>
          </cell>
          <cell r="F4279">
            <v>17038</v>
          </cell>
          <cell r="J4279">
            <v>3223471.8154462203</v>
          </cell>
          <cell r="K4279">
            <v>1.9739</v>
          </cell>
          <cell r="L4279">
            <v>155220</v>
          </cell>
          <cell r="M4279">
            <v>17038</v>
          </cell>
          <cell r="N4279">
            <v>621340.68131079548</v>
          </cell>
          <cell r="O4279">
            <v>628938.179592903</v>
          </cell>
          <cell r="P4279">
            <v>337.00909999999999</v>
          </cell>
        </row>
        <row r="4280">
          <cell r="B4280">
            <v>36924</v>
          </cell>
          <cell r="C4280">
            <v>1.6663650000000001</v>
          </cell>
          <cell r="D4280">
            <v>1.9934000000000001</v>
          </cell>
          <cell r="E4280">
            <v>153846</v>
          </cell>
          <cell r="F4280">
            <v>16914</v>
          </cell>
          <cell r="J4280">
            <v>3225262.3089834689</v>
          </cell>
          <cell r="K4280">
            <v>1.9934000000000001</v>
          </cell>
          <cell r="L4280">
            <v>153846</v>
          </cell>
          <cell r="M4280">
            <v>16914</v>
          </cell>
          <cell r="N4280">
            <v>621340.68131079548</v>
          </cell>
          <cell r="O4280">
            <v>628938.179592903</v>
          </cell>
          <cell r="P4280">
            <v>337.00909999999999</v>
          </cell>
        </row>
        <row r="4281">
          <cell r="B4281">
            <v>36927</v>
          </cell>
          <cell r="C4281">
            <v>1.668436</v>
          </cell>
          <cell r="D4281">
            <v>1.9944999999999999</v>
          </cell>
          <cell r="E4281">
            <v>152476</v>
          </cell>
          <cell r="F4281">
            <v>16731</v>
          </cell>
          <cell r="J4281">
            <v>3227056.023565386</v>
          </cell>
          <cell r="K4281">
            <v>1.9944999999999999</v>
          </cell>
          <cell r="L4281">
            <v>152476</v>
          </cell>
          <cell r="M4281">
            <v>16731</v>
          </cell>
          <cell r="N4281">
            <v>621340.68131079548</v>
          </cell>
          <cell r="O4281">
            <v>628938.179592903</v>
          </cell>
          <cell r="P4281">
            <v>337.00909999999999</v>
          </cell>
        </row>
        <row r="4282">
          <cell r="B4282">
            <v>36928</v>
          </cell>
          <cell r="C4282">
            <v>1.6694720000000001</v>
          </cell>
          <cell r="D4282">
            <v>1.998</v>
          </cell>
          <cell r="E4282">
            <v>155145</v>
          </cell>
          <cell r="F4282">
            <v>17006</v>
          </cell>
          <cell r="J4282">
            <v>3228851.8501233105</v>
          </cell>
          <cell r="K4282">
            <v>1.998</v>
          </cell>
          <cell r="L4282">
            <v>155145</v>
          </cell>
          <cell r="M4282">
            <v>17006</v>
          </cell>
          <cell r="N4282">
            <v>621340.68131079548</v>
          </cell>
          <cell r="O4282">
            <v>628938.179592903</v>
          </cell>
          <cell r="P4282">
            <v>337.00909999999999</v>
          </cell>
        </row>
        <row r="4283">
          <cell r="B4283">
            <v>36929</v>
          </cell>
          <cell r="C4283">
            <v>1.672577</v>
          </cell>
          <cell r="D4283">
            <v>2.0045000000000002</v>
          </cell>
          <cell r="E4283">
            <v>153258</v>
          </cell>
          <cell r="F4283">
            <v>16812</v>
          </cell>
          <cell r="J4283">
            <v>3230652.017903618</v>
          </cell>
          <cell r="K4283">
            <v>2.0045000000000002</v>
          </cell>
          <cell r="L4283">
            <v>153258</v>
          </cell>
          <cell r="M4283">
            <v>16812</v>
          </cell>
          <cell r="N4283">
            <v>621340.68131079548</v>
          </cell>
          <cell r="O4283">
            <v>628938.179592903</v>
          </cell>
          <cell r="P4283">
            <v>337.00909999999999</v>
          </cell>
        </row>
        <row r="4284">
          <cell r="B4284">
            <v>36930</v>
          </cell>
          <cell r="C4284">
            <v>1.674647</v>
          </cell>
          <cell r="D4284">
            <v>1.9959</v>
          </cell>
          <cell r="E4284">
            <v>157321</v>
          </cell>
          <cell r="F4284">
            <v>17243</v>
          </cell>
          <cell r="J4284">
            <v>3232455.4184735599</v>
          </cell>
          <cell r="K4284">
            <v>1.9959</v>
          </cell>
          <cell r="L4284">
            <v>157321</v>
          </cell>
          <cell r="M4284">
            <v>17243</v>
          </cell>
          <cell r="N4284">
            <v>621340.68131079548</v>
          </cell>
          <cell r="O4284">
            <v>628938.179592903</v>
          </cell>
          <cell r="P4284">
            <v>337.00909999999999</v>
          </cell>
        </row>
        <row r="4285">
          <cell r="B4285">
            <v>36931</v>
          </cell>
          <cell r="C4285">
            <v>1.676717</v>
          </cell>
          <cell r="D4285">
            <v>1.9883999999999999</v>
          </cell>
          <cell r="E4285">
            <v>156024</v>
          </cell>
          <cell r="F4285">
            <v>17138</v>
          </cell>
          <cell r="J4285">
            <v>3234262.0561241917</v>
          </cell>
          <cell r="K4285">
            <v>1.9883999999999999</v>
          </cell>
          <cell r="L4285">
            <v>156024</v>
          </cell>
          <cell r="M4285">
            <v>17138</v>
          </cell>
          <cell r="N4285">
            <v>621340.68131079548</v>
          </cell>
          <cell r="O4285">
            <v>628938.179592903</v>
          </cell>
          <cell r="P4285">
            <v>337.00909999999999</v>
          </cell>
        </row>
        <row r="4286">
          <cell r="B4286">
            <v>36934</v>
          </cell>
          <cell r="C4286">
            <v>1.674647</v>
          </cell>
          <cell r="D4286">
            <v>1.9813000000000001</v>
          </cell>
          <cell r="E4286">
            <v>154266</v>
          </cell>
          <cell r="F4286">
            <v>16917</v>
          </cell>
          <cell r="J4286">
            <v>3236067.4718740257</v>
          </cell>
          <cell r="K4286">
            <v>1.9813000000000001</v>
          </cell>
          <cell r="L4286">
            <v>154266</v>
          </cell>
          <cell r="M4286">
            <v>16917</v>
          </cell>
          <cell r="N4286">
            <v>621340.68131079548</v>
          </cell>
          <cell r="O4286">
            <v>628938.179592903</v>
          </cell>
          <cell r="P4286">
            <v>337.00909999999999</v>
          </cell>
        </row>
        <row r="4287">
          <cell r="B4287">
            <v>36935</v>
          </cell>
          <cell r="C4287">
            <v>1.672577</v>
          </cell>
          <cell r="D4287">
            <v>1.9802999999999999</v>
          </cell>
          <cell r="E4287">
            <v>153904</v>
          </cell>
          <cell r="F4287">
            <v>17095</v>
          </cell>
          <cell r="J4287">
            <v>3237871.6625486603</v>
          </cell>
          <cell r="K4287">
            <v>1.9802999999999999</v>
          </cell>
          <cell r="L4287">
            <v>153904</v>
          </cell>
          <cell r="M4287">
            <v>17095</v>
          </cell>
          <cell r="N4287">
            <v>621340.68131079548</v>
          </cell>
          <cell r="O4287">
            <v>628938.179592903</v>
          </cell>
          <cell r="P4287">
            <v>337.00909999999999</v>
          </cell>
        </row>
        <row r="4288">
          <cell r="B4288">
            <v>36936</v>
          </cell>
          <cell r="C4288">
            <v>1.6632579999999999</v>
          </cell>
          <cell r="D4288">
            <v>1.9894000000000001</v>
          </cell>
          <cell r="E4288">
            <v>153901</v>
          </cell>
          <cell r="F4288">
            <v>17120</v>
          </cell>
          <cell r="J4288">
            <v>3239666.8011972294</v>
          </cell>
          <cell r="K4288">
            <v>1.9894000000000001</v>
          </cell>
          <cell r="L4288">
            <v>153901</v>
          </cell>
          <cell r="M4288">
            <v>17120</v>
          </cell>
          <cell r="N4288">
            <v>621340.68131079548</v>
          </cell>
          <cell r="O4288">
            <v>628938.179592903</v>
          </cell>
          <cell r="P4288">
            <v>337.00909999999999</v>
          </cell>
        </row>
        <row r="4289">
          <cell r="B4289">
            <v>36937</v>
          </cell>
          <cell r="C4289">
            <v>1.681889</v>
          </cell>
          <cell r="D4289">
            <v>1.9812000000000001</v>
          </cell>
          <cell r="E4289">
            <v>152659</v>
          </cell>
          <cell r="F4289">
            <v>16937</v>
          </cell>
          <cell r="J4289">
            <v>3241483.0545160957</v>
          </cell>
          <cell r="K4289">
            <v>1.9812000000000001</v>
          </cell>
          <cell r="L4289">
            <v>152659</v>
          </cell>
          <cell r="M4289">
            <v>16937</v>
          </cell>
          <cell r="N4289">
            <v>621340.68131079548</v>
          </cell>
          <cell r="O4289">
            <v>628938.179592903</v>
          </cell>
          <cell r="P4289">
            <v>337.00909999999999</v>
          </cell>
        </row>
        <row r="4290">
          <cell r="B4290">
            <v>36938</v>
          </cell>
          <cell r="C4290">
            <v>1.681889</v>
          </cell>
          <cell r="D4290">
            <v>1.994</v>
          </cell>
          <cell r="E4290">
            <v>148230</v>
          </cell>
          <cell r="F4290">
            <v>16259</v>
          </cell>
          <cell r="J4290">
            <v>3243300.326080455</v>
          </cell>
          <cell r="K4290">
            <v>1.994</v>
          </cell>
          <cell r="L4290">
            <v>148230</v>
          </cell>
          <cell r="M4290">
            <v>16259</v>
          </cell>
          <cell r="N4290">
            <v>621340.68131079548</v>
          </cell>
          <cell r="O4290">
            <v>628938.179592903</v>
          </cell>
          <cell r="P4290">
            <v>337.00909999999999</v>
          </cell>
        </row>
        <row r="4291">
          <cell r="B4291">
            <v>36941</v>
          </cell>
          <cell r="C4291">
            <v>1.6787859999999999</v>
          </cell>
          <cell r="D4291">
            <v>2.0026999999999999</v>
          </cell>
          <cell r="E4291">
            <v>148009</v>
          </cell>
          <cell r="F4291">
            <v>16060</v>
          </cell>
          <cell r="J4291">
            <v>3245115.2618075279</v>
          </cell>
          <cell r="K4291">
            <v>2.0026999999999999</v>
          </cell>
          <cell r="L4291">
            <v>148009</v>
          </cell>
          <cell r="M4291">
            <v>16060</v>
          </cell>
          <cell r="N4291">
            <v>621340.68131079548</v>
          </cell>
          <cell r="O4291">
            <v>628938.179592903</v>
          </cell>
          <cell r="P4291">
            <v>337.00909999999999</v>
          </cell>
        </row>
        <row r="4292">
          <cell r="B4292">
            <v>36942</v>
          </cell>
          <cell r="C4292">
            <v>1.679821</v>
          </cell>
          <cell r="D4292">
            <v>2.0063</v>
          </cell>
          <cell r="E4292">
            <v>146674</v>
          </cell>
          <cell r="F4292">
            <v>15910</v>
          </cell>
          <cell r="J4292">
            <v>3246932.3327289298</v>
          </cell>
          <cell r="K4292">
            <v>2.0063</v>
          </cell>
          <cell r="L4292">
            <v>146674</v>
          </cell>
          <cell r="M4292">
            <v>15910</v>
          </cell>
          <cell r="N4292">
            <v>621340.68131079548</v>
          </cell>
          <cell r="O4292">
            <v>628938.179592903</v>
          </cell>
          <cell r="P4292">
            <v>337.00909999999999</v>
          </cell>
        </row>
        <row r="4293">
          <cell r="B4293">
            <v>36943</v>
          </cell>
          <cell r="C4293">
            <v>1.679821</v>
          </cell>
          <cell r="D4293">
            <v>2.024</v>
          </cell>
          <cell r="E4293">
            <v>145102</v>
          </cell>
          <cell r="F4293">
            <v>15593</v>
          </cell>
          <cell r="J4293">
            <v>3248750.4211016293</v>
          </cell>
          <cell r="K4293">
            <v>2.024</v>
          </cell>
          <cell r="L4293">
            <v>145102</v>
          </cell>
          <cell r="M4293">
            <v>15593</v>
          </cell>
          <cell r="N4293">
            <v>621340.68131079548</v>
          </cell>
          <cell r="O4293">
            <v>628938.179592903</v>
          </cell>
          <cell r="P4293">
            <v>337.00909999999999</v>
          </cell>
        </row>
        <row r="4294">
          <cell r="B4294">
            <v>36944</v>
          </cell>
          <cell r="C4294">
            <v>1.679821</v>
          </cell>
          <cell r="D4294">
            <v>2.0367999999999999</v>
          </cell>
          <cell r="E4294">
            <v>147877</v>
          </cell>
          <cell r="F4294">
            <v>15910</v>
          </cell>
          <cell r="J4294">
            <v>3250569.5274953381</v>
          </cell>
          <cell r="K4294">
            <v>2.0367999999999999</v>
          </cell>
          <cell r="L4294">
            <v>147877</v>
          </cell>
          <cell r="M4294">
            <v>15910</v>
          </cell>
          <cell r="N4294">
            <v>621340.68131079548</v>
          </cell>
          <cell r="O4294">
            <v>628938.179592903</v>
          </cell>
          <cell r="P4294">
            <v>337.00909999999999</v>
          </cell>
        </row>
        <row r="4295">
          <cell r="B4295">
            <v>36945</v>
          </cell>
          <cell r="C4295">
            <v>1.6787859999999999</v>
          </cell>
          <cell r="D4295">
            <v>2.0436000000000001</v>
          </cell>
          <cell r="E4295">
            <v>149714</v>
          </cell>
          <cell r="F4295">
            <v>16157</v>
          </cell>
          <cell r="J4295">
            <v>3252388.5310335997</v>
          </cell>
          <cell r="K4295">
            <v>2.0436000000000001</v>
          </cell>
          <cell r="L4295">
            <v>149714</v>
          </cell>
          <cell r="M4295">
            <v>16157</v>
          </cell>
          <cell r="N4295">
            <v>621340.68131079548</v>
          </cell>
          <cell r="O4295">
            <v>628938.179592903</v>
          </cell>
          <cell r="P4295">
            <v>337.00909999999999</v>
          </cell>
        </row>
        <row r="4296">
          <cell r="B4296">
            <v>36950</v>
          </cell>
          <cell r="C4296">
            <v>1.676717</v>
          </cell>
          <cell r="D4296">
            <v>2.0451999999999999</v>
          </cell>
          <cell r="E4296">
            <v>147968</v>
          </cell>
          <cell r="F4296">
            <v>15891</v>
          </cell>
          <cell r="G4296">
            <v>0.34</v>
          </cell>
          <cell r="H4296">
            <v>0.23</v>
          </cell>
          <cell r="I4296">
            <v>338.92059999999998</v>
          </cell>
          <cell r="J4296">
            <v>3254206.3094137958</v>
          </cell>
          <cell r="K4296">
            <v>2.0451999999999999</v>
          </cell>
          <cell r="L4296">
            <v>147968</v>
          </cell>
          <cell r="M4296">
            <v>15891</v>
          </cell>
          <cell r="N4296">
            <v>623453.23962725222</v>
          </cell>
          <cell r="O4296">
            <v>630384.73740596662</v>
          </cell>
          <cell r="P4296">
            <v>338.92059999999998</v>
          </cell>
        </row>
        <row r="4297">
          <cell r="B4297">
            <v>36951</v>
          </cell>
          <cell r="C4297">
            <v>1.6736120000000001</v>
          </cell>
          <cell r="D4297">
            <v>2.0428000000000002</v>
          </cell>
          <cell r="E4297">
            <v>151752</v>
          </cell>
          <cell r="F4297">
            <v>16416</v>
          </cell>
          <cell r="J4297">
            <v>3256021.7356570996</v>
          </cell>
          <cell r="K4297">
            <v>2.0428000000000002</v>
          </cell>
          <cell r="L4297">
            <v>151752</v>
          </cell>
          <cell r="M4297">
            <v>16416</v>
          </cell>
          <cell r="N4297">
            <v>623453.23962725222</v>
          </cell>
          <cell r="O4297">
            <v>630384.73740596662</v>
          </cell>
          <cell r="P4297">
            <v>338.92059999999998</v>
          </cell>
        </row>
        <row r="4298">
          <cell r="B4298">
            <v>36952</v>
          </cell>
          <cell r="C4298">
            <v>1.6736120000000001</v>
          </cell>
          <cell r="D4298">
            <v>2.0354999999999999</v>
          </cell>
          <cell r="E4298">
            <v>152066</v>
          </cell>
          <cell r="F4298">
            <v>16581</v>
          </cell>
          <cell r="J4298">
            <v>3257838.174673452</v>
          </cell>
          <cell r="K4298">
            <v>2.0354999999999999</v>
          </cell>
          <cell r="L4298">
            <v>152066</v>
          </cell>
          <cell r="M4298">
            <v>16581</v>
          </cell>
          <cell r="N4298">
            <v>623453.23962725222</v>
          </cell>
          <cell r="O4298">
            <v>630384.73740596662</v>
          </cell>
          <cell r="P4298">
            <v>338.92059999999998</v>
          </cell>
        </row>
        <row r="4299">
          <cell r="B4299">
            <v>36955</v>
          </cell>
          <cell r="C4299">
            <v>1.6736120000000001</v>
          </cell>
          <cell r="D4299">
            <v>2.0232000000000001</v>
          </cell>
          <cell r="E4299">
            <v>152406</v>
          </cell>
          <cell r="F4299">
            <v>16537</v>
          </cell>
          <cell r="J4299">
            <v>3259655.6270278492</v>
          </cell>
          <cell r="K4299">
            <v>2.0232000000000001</v>
          </cell>
          <cell r="L4299">
            <v>152406</v>
          </cell>
          <cell r="M4299">
            <v>16537</v>
          </cell>
          <cell r="N4299">
            <v>623453.23962725222</v>
          </cell>
          <cell r="O4299">
            <v>630384.73740596662</v>
          </cell>
          <cell r="P4299">
            <v>338.92059999999998</v>
          </cell>
        </row>
        <row r="4300">
          <cell r="B4300">
            <v>36956</v>
          </cell>
          <cell r="C4300">
            <v>1.672577</v>
          </cell>
          <cell r="D4300">
            <v>2.0207999999999999</v>
          </cell>
          <cell r="E4300">
            <v>151215</v>
          </cell>
          <cell r="F4300">
            <v>16324</v>
          </cell>
          <cell r="J4300">
            <v>3261472.9687044113</v>
          </cell>
          <cell r="K4300">
            <v>2.0207999999999999</v>
          </cell>
          <cell r="L4300">
            <v>151215</v>
          </cell>
          <cell r="M4300">
            <v>16324</v>
          </cell>
          <cell r="N4300">
            <v>623453.23962725222</v>
          </cell>
          <cell r="O4300">
            <v>630384.73740596662</v>
          </cell>
          <cell r="P4300">
            <v>338.92059999999998</v>
          </cell>
        </row>
        <row r="4301">
          <cell r="B4301">
            <v>36957</v>
          </cell>
          <cell r="C4301">
            <v>1.6715420000000001</v>
          </cell>
          <cell r="D4301">
            <v>2.0390999999999999</v>
          </cell>
          <cell r="E4301">
            <v>151657</v>
          </cell>
          <cell r="F4301">
            <v>16395</v>
          </cell>
          <cell r="J4301">
            <v>3263290.1983874291</v>
          </cell>
          <cell r="K4301">
            <v>2.0390999999999999</v>
          </cell>
          <cell r="L4301">
            <v>151657</v>
          </cell>
          <cell r="M4301">
            <v>16395</v>
          </cell>
          <cell r="N4301">
            <v>623453.23962725222</v>
          </cell>
          <cell r="O4301">
            <v>630384.73740596662</v>
          </cell>
          <cell r="P4301">
            <v>338.92059999999998</v>
          </cell>
        </row>
        <row r="4302">
          <cell r="B4302">
            <v>36958</v>
          </cell>
          <cell r="C4302">
            <v>1.6715420000000001</v>
          </cell>
          <cell r="D4302">
            <v>2.0385</v>
          </cell>
          <cell r="E4302">
            <v>149593</v>
          </cell>
          <cell r="F4302">
            <v>16226</v>
          </cell>
          <cell r="J4302">
            <v>3265108.4405956934</v>
          </cell>
          <cell r="K4302">
            <v>2.0385</v>
          </cell>
          <cell r="L4302">
            <v>149593</v>
          </cell>
          <cell r="M4302">
            <v>16226</v>
          </cell>
          <cell r="N4302">
            <v>623453.23962725222</v>
          </cell>
          <cell r="O4302">
            <v>630384.73740596662</v>
          </cell>
          <cell r="P4302">
            <v>338.92059999999998</v>
          </cell>
        </row>
        <row r="4303">
          <cell r="B4303">
            <v>36959</v>
          </cell>
          <cell r="C4303">
            <v>1.6694720000000001</v>
          </cell>
          <cell r="D4303">
            <v>2.0598999999999998</v>
          </cell>
          <cell r="E4303">
            <v>148642</v>
          </cell>
          <cell r="F4303">
            <v>16123</v>
          </cell>
          <cell r="J4303">
            <v>3266925.4429685394</v>
          </cell>
          <cell r="K4303">
            <v>2.0598999999999998</v>
          </cell>
          <cell r="L4303">
            <v>148642</v>
          </cell>
          <cell r="M4303">
            <v>16123</v>
          </cell>
          <cell r="N4303">
            <v>623453.23962725222</v>
          </cell>
          <cell r="O4303">
            <v>630384.73740596662</v>
          </cell>
          <cell r="P4303">
            <v>338.92059999999998</v>
          </cell>
        </row>
        <row r="4304">
          <cell r="B4304">
            <v>36962</v>
          </cell>
          <cell r="C4304">
            <v>1.6694720000000001</v>
          </cell>
          <cell r="D4304">
            <v>2.0552000000000001</v>
          </cell>
          <cell r="E4304">
            <v>143830</v>
          </cell>
          <cell r="F4304">
            <v>15527</v>
          </cell>
          <cell r="J4304">
            <v>3268743.456486247</v>
          </cell>
          <cell r="K4304">
            <v>2.0552000000000001</v>
          </cell>
          <cell r="L4304">
            <v>143830</v>
          </cell>
          <cell r="M4304">
            <v>15527</v>
          </cell>
          <cell r="N4304">
            <v>623453.23962725222</v>
          </cell>
          <cell r="O4304">
            <v>630384.73740596662</v>
          </cell>
          <cell r="P4304">
            <v>338.92059999999998</v>
          </cell>
        </row>
        <row r="4305">
          <cell r="B4305">
            <v>36963</v>
          </cell>
          <cell r="C4305">
            <v>1.670507</v>
          </cell>
          <cell r="D4305">
            <v>2.0621999999999998</v>
          </cell>
          <cell r="E4305">
            <v>144400</v>
          </cell>
          <cell r="F4305">
            <v>15584</v>
          </cell>
          <cell r="J4305">
            <v>3270563.609428002</v>
          </cell>
          <cell r="K4305">
            <v>2.0621999999999998</v>
          </cell>
          <cell r="L4305">
            <v>144400</v>
          </cell>
          <cell r="M4305">
            <v>15584</v>
          </cell>
          <cell r="N4305">
            <v>623453.23962725222</v>
          </cell>
          <cell r="O4305">
            <v>630384.73740596662</v>
          </cell>
          <cell r="P4305">
            <v>338.92059999999998</v>
          </cell>
        </row>
        <row r="4306">
          <cell r="B4306">
            <v>36964</v>
          </cell>
          <cell r="C4306">
            <v>1.670507</v>
          </cell>
          <cell r="D4306">
            <v>2.0762999999999998</v>
          </cell>
          <cell r="E4306">
            <v>141954</v>
          </cell>
          <cell r="F4306">
            <v>15244</v>
          </cell>
          <cell r="J4306">
            <v>3272384.775895834</v>
          </cell>
          <cell r="K4306">
            <v>2.0762999999999998</v>
          </cell>
          <cell r="L4306">
            <v>141954</v>
          </cell>
          <cell r="M4306">
            <v>15244</v>
          </cell>
          <cell r="N4306">
            <v>623453.23962725222</v>
          </cell>
          <cell r="O4306">
            <v>630384.73740596662</v>
          </cell>
          <cell r="P4306">
            <v>338.92059999999998</v>
          </cell>
        </row>
        <row r="4307">
          <cell r="B4307">
            <v>36965</v>
          </cell>
          <cell r="C4307">
            <v>1.670507</v>
          </cell>
          <cell r="D4307">
            <v>2.0863999999999998</v>
          </cell>
          <cell r="E4307">
            <v>142017</v>
          </cell>
          <cell r="F4307">
            <v>15060</v>
          </cell>
          <cell r="J4307">
            <v>3274206.9564541099</v>
          </cell>
          <cell r="K4307">
            <v>2.0863999999999998</v>
          </cell>
          <cell r="L4307">
            <v>142017</v>
          </cell>
          <cell r="M4307">
            <v>15060</v>
          </cell>
          <cell r="N4307">
            <v>623453.23962725222</v>
          </cell>
          <cell r="O4307">
            <v>630384.73740596662</v>
          </cell>
          <cell r="P4307">
            <v>338.92059999999998</v>
          </cell>
        </row>
        <row r="4308">
          <cell r="B4308">
            <v>36966</v>
          </cell>
          <cell r="C4308">
            <v>1.676717</v>
          </cell>
          <cell r="D4308">
            <v>2.1217000000000001</v>
          </cell>
          <cell r="E4308">
            <v>142962</v>
          </cell>
          <cell r="F4308">
            <v>15237</v>
          </cell>
          <cell r="J4308">
            <v>3276036.9292759113</v>
          </cell>
          <cell r="K4308">
            <v>2.1217000000000001</v>
          </cell>
          <cell r="L4308">
            <v>142962</v>
          </cell>
          <cell r="M4308">
            <v>15237</v>
          </cell>
          <cell r="N4308">
            <v>623453.23962725222</v>
          </cell>
          <cell r="O4308">
            <v>630384.73740596662</v>
          </cell>
          <cell r="P4308">
            <v>338.92059999999998</v>
          </cell>
        </row>
        <row r="4309">
          <cell r="B4309">
            <v>36969</v>
          </cell>
          <cell r="C4309">
            <v>1.6787859999999999</v>
          </cell>
          <cell r="D4309">
            <v>2.1276999999999999</v>
          </cell>
          <cell r="E4309">
            <v>140006</v>
          </cell>
          <cell r="F4309">
            <v>14835</v>
          </cell>
          <cell r="J4309">
            <v>3277870.1842533615</v>
          </cell>
          <cell r="K4309">
            <v>2.1276999999999999</v>
          </cell>
          <cell r="L4309">
            <v>140006</v>
          </cell>
          <cell r="M4309">
            <v>14835</v>
          </cell>
          <cell r="N4309">
            <v>623453.23962725222</v>
          </cell>
          <cell r="O4309">
            <v>630384.73740596662</v>
          </cell>
          <cell r="P4309">
            <v>338.92059999999998</v>
          </cell>
        </row>
        <row r="4310">
          <cell r="B4310">
            <v>36970</v>
          </cell>
          <cell r="C4310">
            <v>1.6829229999999999</v>
          </cell>
          <cell r="D4310">
            <v>2.0929000000000002</v>
          </cell>
          <cell r="E4310">
            <v>140554</v>
          </cell>
          <cell r="F4310">
            <v>14903</v>
          </cell>
          <cell r="J4310">
            <v>3279708.9852947262</v>
          </cell>
          <cell r="K4310">
            <v>2.0929000000000002</v>
          </cell>
          <cell r="L4310">
            <v>140554</v>
          </cell>
          <cell r="M4310">
            <v>14903</v>
          </cell>
          <cell r="N4310">
            <v>623453.23962725222</v>
          </cell>
          <cell r="O4310">
            <v>630384.73740596662</v>
          </cell>
          <cell r="P4310">
            <v>338.92059999999998</v>
          </cell>
        </row>
        <row r="4311">
          <cell r="B4311">
            <v>36971</v>
          </cell>
          <cell r="C4311">
            <v>1.6829229999999999</v>
          </cell>
          <cell r="D4311">
            <v>2.1</v>
          </cell>
          <cell r="E4311">
            <v>139571</v>
          </cell>
          <cell r="F4311">
            <v>14852</v>
          </cell>
          <cell r="J4311">
            <v>3281548.8178562787</v>
          </cell>
          <cell r="K4311">
            <v>2.1</v>
          </cell>
          <cell r="L4311">
            <v>139571</v>
          </cell>
          <cell r="M4311">
            <v>14852</v>
          </cell>
          <cell r="N4311">
            <v>623453.23962725222</v>
          </cell>
          <cell r="O4311">
            <v>630384.73740596662</v>
          </cell>
          <cell r="P4311">
            <v>338.92059999999998</v>
          </cell>
        </row>
        <row r="4312">
          <cell r="B4312">
            <v>36972</v>
          </cell>
          <cell r="C4312">
            <v>1.7386379999999999</v>
          </cell>
          <cell r="D4312">
            <v>2.1419000000000001</v>
          </cell>
          <cell r="E4312">
            <v>132802</v>
          </cell>
          <cell r="F4312">
            <v>14067</v>
          </cell>
          <cell r="J4312">
            <v>3283450.626347472</v>
          </cell>
          <cell r="K4312">
            <v>2.1419000000000001</v>
          </cell>
          <cell r="L4312">
            <v>132802</v>
          </cell>
          <cell r="M4312">
            <v>14067</v>
          </cell>
          <cell r="N4312">
            <v>623453.23962725222</v>
          </cell>
          <cell r="O4312">
            <v>630384.73740596662</v>
          </cell>
          <cell r="P4312">
            <v>338.92059999999998</v>
          </cell>
        </row>
        <row r="4313">
          <cell r="B4313">
            <v>36973</v>
          </cell>
          <cell r="C4313">
            <v>1.7396670000000001</v>
          </cell>
          <cell r="D4313">
            <v>2.1585999999999999</v>
          </cell>
          <cell r="E4313">
            <v>135736</v>
          </cell>
          <cell r="F4313">
            <v>14435</v>
          </cell>
          <cell r="J4313">
            <v>3285354.6632477338</v>
          </cell>
          <cell r="K4313">
            <v>2.1585999999999999</v>
          </cell>
          <cell r="L4313">
            <v>135736</v>
          </cell>
          <cell r="M4313">
            <v>14435</v>
          </cell>
          <cell r="N4313">
            <v>623453.23962725222</v>
          </cell>
          <cell r="O4313">
            <v>630384.73740596662</v>
          </cell>
          <cell r="P4313">
            <v>338.92059999999998</v>
          </cell>
        </row>
        <row r="4314">
          <cell r="B4314">
            <v>36976</v>
          </cell>
          <cell r="C4314">
            <v>1.7386379999999999</v>
          </cell>
          <cell r="D4314">
            <v>2.1373000000000002</v>
          </cell>
          <cell r="E4314">
            <v>138055</v>
          </cell>
          <cell r="F4314">
            <v>14712</v>
          </cell>
          <cell r="J4314">
            <v>3287258.6774014002</v>
          </cell>
          <cell r="K4314">
            <v>2.1373000000000002</v>
          </cell>
          <cell r="L4314">
            <v>138055</v>
          </cell>
          <cell r="M4314">
            <v>14712</v>
          </cell>
          <cell r="N4314">
            <v>623453.23962725222</v>
          </cell>
          <cell r="O4314">
            <v>630384.73740596662</v>
          </cell>
          <cell r="P4314">
            <v>338.92059999999998</v>
          </cell>
        </row>
        <row r="4315">
          <cell r="B4315">
            <v>36977</v>
          </cell>
          <cell r="C4315">
            <v>1.7386379999999999</v>
          </cell>
          <cell r="D4315">
            <v>2.1236000000000002</v>
          </cell>
          <cell r="E4315">
            <v>138512</v>
          </cell>
          <cell r="F4315">
            <v>14835</v>
          </cell>
          <cell r="J4315">
            <v>3289163.7950188536</v>
          </cell>
          <cell r="K4315">
            <v>2.1236000000000002</v>
          </cell>
          <cell r="L4315">
            <v>138512</v>
          </cell>
          <cell r="M4315">
            <v>14835</v>
          </cell>
          <cell r="N4315">
            <v>623453.23962725222</v>
          </cell>
          <cell r="O4315">
            <v>630384.73740596662</v>
          </cell>
          <cell r="P4315">
            <v>338.92059999999998</v>
          </cell>
        </row>
        <row r="4316">
          <cell r="B4316">
            <v>36978</v>
          </cell>
          <cell r="C4316">
            <v>1.737609</v>
          </cell>
          <cell r="D4316">
            <v>2.117</v>
          </cell>
          <cell r="E4316">
            <v>136788</v>
          </cell>
          <cell r="F4316">
            <v>14631</v>
          </cell>
          <cell r="J4316">
            <v>3291068.8885564199</v>
          </cell>
          <cell r="K4316">
            <v>2.117</v>
          </cell>
          <cell r="L4316">
            <v>136788</v>
          </cell>
          <cell r="M4316">
            <v>14631</v>
          </cell>
          <cell r="N4316">
            <v>623453.23962725222</v>
          </cell>
          <cell r="O4316">
            <v>630384.73740596662</v>
          </cell>
          <cell r="P4316">
            <v>338.92059999999998</v>
          </cell>
        </row>
        <row r="4317">
          <cell r="B4317">
            <v>36979</v>
          </cell>
          <cell r="C4317">
            <v>1.737609</v>
          </cell>
          <cell r="D4317">
            <v>2.1368999999999998</v>
          </cell>
          <cell r="E4317">
            <v>135860</v>
          </cell>
          <cell r="F4317">
            <v>14282</v>
          </cell>
          <cell r="J4317">
            <v>3292975.0855298787</v>
          </cell>
          <cell r="K4317">
            <v>2.1368999999999998</v>
          </cell>
          <cell r="L4317">
            <v>135860</v>
          </cell>
          <cell r="M4317">
            <v>14282</v>
          </cell>
          <cell r="N4317">
            <v>623453.23962725222</v>
          </cell>
          <cell r="O4317">
            <v>630384.73740596662</v>
          </cell>
          <cell r="P4317">
            <v>338.92059999999998</v>
          </cell>
        </row>
        <row r="4318">
          <cell r="B4318">
            <v>36980</v>
          </cell>
          <cell r="C4318">
            <v>1.7386379999999999</v>
          </cell>
          <cell r="D4318">
            <v>2.1616</v>
          </cell>
          <cell r="E4318">
            <v>134655</v>
          </cell>
          <cell r="F4318">
            <v>14438</v>
          </cell>
          <cell r="G4318">
            <v>0.8</v>
          </cell>
          <cell r="H4318">
            <v>0.56000000000000005</v>
          </cell>
          <cell r="I4318">
            <v>341.20260000000002</v>
          </cell>
          <cell r="J4318">
            <v>3294883.5160687971</v>
          </cell>
          <cell r="K4318">
            <v>2.1616</v>
          </cell>
          <cell r="L4318">
            <v>134655</v>
          </cell>
          <cell r="M4318">
            <v>14438</v>
          </cell>
          <cell r="N4318">
            <v>628440.86554427026</v>
          </cell>
          <cell r="O4318">
            <v>633914.89193544001</v>
          </cell>
          <cell r="P4318">
            <v>341.20260000000002</v>
          </cell>
        </row>
        <row r="4319">
          <cell r="B4319">
            <v>36983</v>
          </cell>
          <cell r="C4319">
            <v>1.7386379999999999</v>
          </cell>
          <cell r="D4319">
            <v>2.1583999999999999</v>
          </cell>
          <cell r="E4319">
            <v>132103</v>
          </cell>
          <cell r="F4319">
            <v>13981</v>
          </cell>
          <cell r="J4319">
            <v>3296793.0526310005</v>
          </cell>
          <cell r="K4319">
            <v>2.1583999999999999</v>
          </cell>
          <cell r="L4319">
            <v>132103</v>
          </cell>
          <cell r="M4319">
            <v>13981</v>
          </cell>
          <cell r="N4319">
            <v>628440.86554427026</v>
          </cell>
          <cell r="O4319">
            <v>633914.89193544001</v>
          </cell>
          <cell r="P4319">
            <v>341.20260000000002</v>
          </cell>
        </row>
        <row r="4320">
          <cell r="B4320">
            <v>36984</v>
          </cell>
          <cell r="C4320">
            <v>1.7396670000000001</v>
          </cell>
          <cell r="D4320">
            <v>2.1732</v>
          </cell>
          <cell r="E4320">
            <v>130109</v>
          </cell>
          <cell r="F4320">
            <v>13736</v>
          </cell>
          <cell r="J4320">
            <v>3298704.8266574973</v>
          </cell>
          <cell r="K4320">
            <v>2.1732</v>
          </cell>
          <cell r="L4320">
            <v>130109</v>
          </cell>
          <cell r="M4320">
            <v>13736</v>
          </cell>
          <cell r="N4320">
            <v>628440.86554427026</v>
          </cell>
          <cell r="O4320">
            <v>633914.89193544001</v>
          </cell>
          <cell r="P4320">
            <v>341.20260000000002</v>
          </cell>
        </row>
        <row r="4321">
          <cell r="B4321">
            <v>36985</v>
          </cell>
          <cell r="C4321">
            <v>1.7386379999999999</v>
          </cell>
          <cell r="D4321">
            <v>2.1631999999999998</v>
          </cell>
          <cell r="E4321">
            <v>130956</v>
          </cell>
          <cell r="F4321">
            <v>13854</v>
          </cell>
          <cell r="J4321">
            <v>3300616.5778449671</v>
          </cell>
          <cell r="K4321">
            <v>2.1631999999999998</v>
          </cell>
          <cell r="L4321">
            <v>130956</v>
          </cell>
          <cell r="M4321">
            <v>13854</v>
          </cell>
          <cell r="N4321">
            <v>628440.86554427026</v>
          </cell>
          <cell r="O4321">
            <v>633914.89193544001</v>
          </cell>
          <cell r="P4321">
            <v>341.20260000000002</v>
          </cell>
        </row>
        <row r="4322">
          <cell r="B4322">
            <v>36986</v>
          </cell>
          <cell r="C4322">
            <v>1.737609</v>
          </cell>
          <cell r="D4322">
            <v>2.1589</v>
          </cell>
          <cell r="E4322">
            <v>135562</v>
          </cell>
          <cell r="F4322">
            <v>14442</v>
          </cell>
          <cell r="J4322">
            <v>3302528.3048687046</v>
          </cell>
          <cell r="K4322">
            <v>2.1589</v>
          </cell>
          <cell r="L4322">
            <v>135562</v>
          </cell>
          <cell r="M4322">
            <v>14442</v>
          </cell>
          <cell r="N4322">
            <v>628440.86554427026</v>
          </cell>
          <cell r="O4322">
            <v>633914.89193544001</v>
          </cell>
          <cell r="P4322">
            <v>341.20260000000002</v>
          </cell>
        </row>
        <row r="4323">
          <cell r="B4323">
            <v>36987</v>
          </cell>
          <cell r="C4323">
            <v>1.7386379999999999</v>
          </cell>
          <cell r="D4323">
            <v>2.1520999999999999</v>
          </cell>
          <cell r="E4323">
            <v>136045</v>
          </cell>
          <cell r="F4323">
            <v>14484</v>
          </cell>
          <cell r="J4323">
            <v>3304442.2719376781</v>
          </cell>
          <cell r="K4323">
            <v>2.1520999999999999</v>
          </cell>
          <cell r="L4323">
            <v>136045</v>
          </cell>
          <cell r="M4323">
            <v>14484</v>
          </cell>
          <cell r="N4323">
            <v>628440.86554427026</v>
          </cell>
          <cell r="O4323">
            <v>633914.89193544001</v>
          </cell>
          <cell r="P4323">
            <v>341.20260000000002</v>
          </cell>
        </row>
        <row r="4324">
          <cell r="B4324">
            <v>36990</v>
          </cell>
          <cell r="C4324">
            <v>1.737609</v>
          </cell>
          <cell r="D4324">
            <v>2.1642000000000001</v>
          </cell>
          <cell r="E4324">
            <v>137565</v>
          </cell>
          <cell r="F4324">
            <v>14718</v>
          </cell>
          <cell r="J4324">
            <v>3306356.2148149111</v>
          </cell>
          <cell r="K4324">
            <v>2.1642000000000001</v>
          </cell>
          <cell r="L4324">
            <v>137565</v>
          </cell>
          <cell r="M4324">
            <v>14718</v>
          </cell>
          <cell r="N4324">
            <v>628440.86554427026</v>
          </cell>
          <cell r="O4324">
            <v>633914.89193544001</v>
          </cell>
          <cell r="P4324">
            <v>341.20260000000002</v>
          </cell>
        </row>
        <row r="4325">
          <cell r="B4325">
            <v>36991</v>
          </cell>
          <cell r="C4325">
            <v>1.7406969999999999</v>
          </cell>
          <cell r="D4325">
            <v>2.1421999999999999</v>
          </cell>
          <cell r="E4325">
            <v>140278</v>
          </cell>
          <cell r="F4325">
            <v>15047</v>
          </cell>
          <cell r="J4325">
            <v>3308274.6695962641</v>
          </cell>
          <cell r="K4325">
            <v>2.1421999999999999</v>
          </cell>
          <cell r="L4325">
            <v>140278</v>
          </cell>
          <cell r="M4325">
            <v>15047</v>
          </cell>
          <cell r="N4325">
            <v>628440.86554427026</v>
          </cell>
          <cell r="O4325">
            <v>633914.89193544001</v>
          </cell>
          <cell r="P4325">
            <v>341.20260000000002</v>
          </cell>
        </row>
        <row r="4326">
          <cell r="B4326">
            <v>36992</v>
          </cell>
          <cell r="C4326">
            <v>1.7396670000000001</v>
          </cell>
          <cell r="D4326">
            <v>2.1383999999999999</v>
          </cell>
          <cell r="E4326">
            <v>138972</v>
          </cell>
          <cell r="F4326">
            <v>14818</v>
          </cell>
          <cell r="J4326">
            <v>3310193.1016861415</v>
          </cell>
          <cell r="K4326">
            <v>2.1383999999999999</v>
          </cell>
          <cell r="L4326">
            <v>138972</v>
          </cell>
          <cell r="M4326">
            <v>14818</v>
          </cell>
          <cell r="N4326">
            <v>628440.86554427026</v>
          </cell>
          <cell r="O4326">
            <v>633914.89193544001</v>
          </cell>
          <cell r="P4326">
            <v>341.20260000000002</v>
          </cell>
        </row>
        <row r="4327">
          <cell r="B4327">
            <v>36993</v>
          </cell>
          <cell r="C4327">
            <v>1.7396670000000001</v>
          </cell>
          <cell r="D4327">
            <v>2.1573000000000002</v>
          </cell>
          <cell r="E4327">
            <v>140327</v>
          </cell>
          <cell r="F4327">
            <v>14969</v>
          </cell>
          <cell r="J4327">
            <v>3312112.646253685</v>
          </cell>
          <cell r="K4327">
            <v>2.1573000000000002</v>
          </cell>
          <cell r="L4327">
            <v>140327</v>
          </cell>
          <cell r="M4327">
            <v>14969</v>
          </cell>
          <cell r="N4327">
            <v>628440.86554427026</v>
          </cell>
          <cell r="O4327">
            <v>633914.89193544001</v>
          </cell>
          <cell r="P4327">
            <v>341.20260000000002</v>
          </cell>
        </row>
        <row r="4328">
          <cell r="B4328">
            <v>36997</v>
          </cell>
          <cell r="C4328">
            <v>1.7417260000000001</v>
          </cell>
          <cell r="D4328">
            <v>2.1825000000000001</v>
          </cell>
          <cell r="E4328">
            <v>136249</v>
          </cell>
          <cell r="F4328">
            <v>14444</v>
          </cell>
          <cell r="J4328">
            <v>3314035.5771573219</v>
          </cell>
          <cell r="K4328">
            <v>2.1825000000000001</v>
          </cell>
          <cell r="L4328">
            <v>136249</v>
          </cell>
          <cell r="M4328">
            <v>14444</v>
          </cell>
          <cell r="N4328">
            <v>628440.86554427026</v>
          </cell>
          <cell r="O4328">
            <v>633914.89193544001</v>
          </cell>
          <cell r="P4328">
            <v>341.20260000000002</v>
          </cell>
        </row>
        <row r="4329">
          <cell r="B4329">
            <v>36998</v>
          </cell>
          <cell r="C4329">
            <v>1.7417260000000001</v>
          </cell>
          <cell r="D4329">
            <v>2.1888000000000001</v>
          </cell>
          <cell r="E4329">
            <v>135051</v>
          </cell>
          <cell r="F4329">
            <v>14336</v>
          </cell>
          <cell r="J4329">
            <v>3315959.624467209</v>
          </cell>
          <cell r="K4329">
            <v>2.1888000000000001</v>
          </cell>
          <cell r="L4329">
            <v>135051</v>
          </cell>
          <cell r="M4329">
            <v>14336</v>
          </cell>
          <cell r="N4329">
            <v>628440.86554427026</v>
          </cell>
          <cell r="O4329">
            <v>633914.89193544001</v>
          </cell>
          <cell r="P4329">
            <v>341.20260000000002</v>
          </cell>
        </row>
        <row r="4330">
          <cell r="B4330">
            <v>36999</v>
          </cell>
          <cell r="C4330">
            <v>1.7489269999999999</v>
          </cell>
          <cell r="D4330">
            <v>2.1749999999999998</v>
          </cell>
          <cell r="E4330">
            <v>139676</v>
          </cell>
          <cell r="F4330">
            <v>14955</v>
          </cell>
          <cell r="J4330">
            <v>3317892.7482399223</v>
          </cell>
          <cell r="K4330">
            <v>2.1749999999999998</v>
          </cell>
          <cell r="L4330">
            <v>139676</v>
          </cell>
          <cell r="M4330">
            <v>14955</v>
          </cell>
          <cell r="N4330">
            <v>628440.86554427026</v>
          </cell>
          <cell r="O4330">
            <v>633914.89193544001</v>
          </cell>
          <cell r="P4330">
            <v>341.20260000000002</v>
          </cell>
        </row>
        <row r="4331">
          <cell r="B4331">
            <v>37000</v>
          </cell>
          <cell r="C4331">
            <v>1.7910200000000001</v>
          </cell>
          <cell r="D4331">
            <v>2.1882000000000001</v>
          </cell>
          <cell r="E4331">
            <v>136152</v>
          </cell>
          <cell r="F4331">
            <v>14431</v>
          </cell>
          <cell r="J4331">
            <v>3319873.5523299067</v>
          </cell>
          <cell r="K4331">
            <v>2.1882000000000001</v>
          </cell>
          <cell r="L4331">
            <v>136152</v>
          </cell>
          <cell r="M4331">
            <v>14431</v>
          </cell>
          <cell r="N4331">
            <v>628440.86554427026</v>
          </cell>
          <cell r="O4331">
            <v>633914.89193544001</v>
          </cell>
          <cell r="P4331">
            <v>341.20260000000002</v>
          </cell>
        </row>
        <row r="4332">
          <cell r="B4332">
            <v>37001</v>
          </cell>
          <cell r="C4332">
            <v>1.7910200000000001</v>
          </cell>
          <cell r="D4332">
            <v>2.2364000000000002</v>
          </cell>
          <cell r="E4332">
            <v>130969</v>
          </cell>
          <cell r="F4332">
            <v>13696</v>
          </cell>
          <cell r="J4332">
            <v>3321855.5389731382</v>
          </cell>
          <cell r="K4332">
            <v>2.2364000000000002</v>
          </cell>
          <cell r="L4332">
            <v>130969</v>
          </cell>
          <cell r="M4332">
            <v>13696</v>
          </cell>
          <cell r="N4332">
            <v>628440.86554427026</v>
          </cell>
          <cell r="O4332">
            <v>633914.89193544001</v>
          </cell>
          <cell r="P4332">
            <v>341.20260000000002</v>
          </cell>
        </row>
        <row r="4333">
          <cell r="B4333">
            <v>37004</v>
          </cell>
          <cell r="C4333">
            <v>1.7910200000000001</v>
          </cell>
          <cell r="D4333">
            <v>2.2585999999999999</v>
          </cell>
          <cell r="E4333">
            <v>132462</v>
          </cell>
          <cell r="F4333">
            <v>13892</v>
          </cell>
          <cell r="J4333">
            <v>3323838.7088756091</v>
          </cell>
          <cell r="K4333">
            <v>2.2585999999999999</v>
          </cell>
          <cell r="L4333">
            <v>132462</v>
          </cell>
          <cell r="M4333">
            <v>13892</v>
          </cell>
          <cell r="N4333">
            <v>628440.86554427026</v>
          </cell>
          <cell r="O4333">
            <v>633914.89193544001</v>
          </cell>
          <cell r="P4333">
            <v>341.20260000000002</v>
          </cell>
        </row>
        <row r="4334">
          <cell r="B4334">
            <v>37005</v>
          </cell>
          <cell r="C4334">
            <v>1.7910200000000001</v>
          </cell>
          <cell r="D4334">
            <v>2.2538</v>
          </cell>
          <cell r="E4334">
            <v>133078</v>
          </cell>
          <cell r="F4334">
            <v>14068</v>
          </cell>
          <cell r="J4334">
            <v>3325823.0627437327</v>
          </cell>
          <cell r="K4334">
            <v>2.2538</v>
          </cell>
          <cell r="L4334">
            <v>133078</v>
          </cell>
          <cell r="M4334">
            <v>14068</v>
          </cell>
          <cell r="N4334">
            <v>628440.86554427026</v>
          </cell>
          <cell r="O4334">
            <v>633914.89193544001</v>
          </cell>
          <cell r="P4334">
            <v>341.20260000000002</v>
          </cell>
        </row>
        <row r="4335">
          <cell r="B4335">
            <v>37006</v>
          </cell>
          <cell r="C4335">
            <v>1.7910200000000001</v>
          </cell>
          <cell r="D4335">
            <v>2.3010999999999999</v>
          </cell>
          <cell r="E4335">
            <v>133163</v>
          </cell>
          <cell r="F4335">
            <v>14162</v>
          </cell>
          <cell r="J4335">
            <v>3327808.6012843447</v>
          </cell>
          <cell r="K4335">
            <v>2.3010999999999999</v>
          </cell>
          <cell r="L4335">
            <v>133163</v>
          </cell>
          <cell r="M4335">
            <v>14162</v>
          </cell>
          <cell r="N4335">
            <v>628440.86554427026</v>
          </cell>
          <cell r="O4335">
            <v>633914.89193544001</v>
          </cell>
          <cell r="P4335">
            <v>341.20260000000002</v>
          </cell>
        </row>
        <row r="4336">
          <cell r="B4336">
            <v>37007</v>
          </cell>
          <cell r="C4336">
            <v>1.7910200000000001</v>
          </cell>
          <cell r="D4336">
            <v>2.2541000000000002</v>
          </cell>
          <cell r="E4336">
            <v>138068</v>
          </cell>
          <cell r="F4336">
            <v>14757</v>
          </cell>
          <cell r="J4336">
            <v>3329795.3252047026</v>
          </cell>
          <cell r="K4336">
            <v>2.2541000000000002</v>
          </cell>
          <cell r="L4336">
            <v>138068</v>
          </cell>
          <cell r="M4336">
            <v>14757</v>
          </cell>
          <cell r="N4336">
            <v>628440.86554427026</v>
          </cell>
          <cell r="O4336">
            <v>633914.89193544001</v>
          </cell>
          <cell r="P4336">
            <v>341.20260000000002</v>
          </cell>
        </row>
        <row r="4337">
          <cell r="B4337">
            <v>37008</v>
          </cell>
          <cell r="C4337">
            <v>1.7930699999999999</v>
          </cell>
          <cell r="D4337">
            <v>2.218</v>
          </cell>
          <cell r="E4337">
            <v>139813</v>
          </cell>
          <cell r="F4337">
            <v>14927</v>
          </cell>
          <cell r="J4337">
            <v>3331785.5105726239</v>
          </cell>
          <cell r="K4337">
            <v>2.218</v>
          </cell>
          <cell r="L4337">
            <v>139813</v>
          </cell>
          <cell r="M4337">
            <v>14927</v>
          </cell>
          <cell r="N4337">
            <v>628440.86554427026</v>
          </cell>
          <cell r="O4337">
            <v>633914.89193544001</v>
          </cell>
          <cell r="P4337">
            <v>341.20260000000002</v>
          </cell>
        </row>
        <row r="4338">
          <cell r="B4338">
            <v>37011</v>
          </cell>
          <cell r="C4338">
            <v>1.7910200000000001</v>
          </cell>
          <cell r="D4338">
            <v>2.1846999999999999</v>
          </cell>
          <cell r="E4338">
            <v>139645</v>
          </cell>
          <cell r="F4338">
            <v>14917</v>
          </cell>
          <cell r="G4338">
            <v>1.1299999999999999</v>
          </cell>
          <cell r="H4338">
            <v>1</v>
          </cell>
          <cell r="I4338">
            <v>343.43880000000001</v>
          </cell>
          <cell r="J4338">
            <v>3333774.6087343395</v>
          </cell>
          <cell r="K4338">
            <v>2.1846999999999999</v>
          </cell>
          <cell r="L4338">
            <v>139645</v>
          </cell>
          <cell r="M4338">
            <v>14917</v>
          </cell>
          <cell r="N4338">
            <v>635542.24732492061</v>
          </cell>
          <cell r="O4338">
            <v>640254.04085479444</v>
          </cell>
          <cell r="P4338">
            <v>343.43880000000001</v>
          </cell>
        </row>
        <row r="4339">
          <cell r="B4339">
            <v>37013</v>
          </cell>
          <cell r="C4339">
            <v>1.789995</v>
          </cell>
          <cell r="D4339">
            <v>2.2239</v>
          </cell>
          <cell r="E4339">
            <v>140366</v>
          </cell>
          <cell r="F4339">
            <v>14897</v>
          </cell>
          <cell r="J4339">
            <v>3335763.7553612599</v>
          </cell>
          <cell r="K4339">
            <v>2.2239</v>
          </cell>
          <cell r="L4339">
            <v>140366</v>
          </cell>
          <cell r="M4339">
            <v>14897</v>
          </cell>
          <cell r="N4339">
            <v>635542.24732492061</v>
          </cell>
          <cell r="O4339">
            <v>640254.04085479444</v>
          </cell>
          <cell r="P4339">
            <v>343.43880000000001</v>
          </cell>
        </row>
        <row r="4340">
          <cell r="B4340">
            <v>37014</v>
          </cell>
          <cell r="C4340">
            <v>1.7889699999999999</v>
          </cell>
          <cell r="D4340">
            <v>2.2353000000000001</v>
          </cell>
          <cell r="E4340">
            <v>141861</v>
          </cell>
          <cell r="F4340">
            <v>15141</v>
          </cell>
          <cell r="J4340">
            <v>3337752.9491230692</v>
          </cell>
          <cell r="K4340">
            <v>2.2353000000000001</v>
          </cell>
          <cell r="L4340">
            <v>141861</v>
          </cell>
          <cell r="M4340">
            <v>15141</v>
          </cell>
          <cell r="N4340">
            <v>635542.24732492061</v>
          </cell>
          <cell r="O4340">
            <v>640254.04085479444</v>
          </cell>
          <cell r="P4340">
            <v>343.43880000000001</v>
          </cell>
        </row>
        <row r="4341">
          <cell r="B4341">
            <v>37015</v>
          </cell>
          <cell r="C4341">
            <v>1.7910200000000001</v>
          </cell>
          <cell r="D4341">
            <v>2.2187000000000001</v>
          </cell>
          <cell r="E4341">
            <v>141880</v>
          </cell>
          <cell r="F4341">
            <v>15092</v>
          </cell>
          <cell r="J4341">
            <v>3339745.609885382</v>
          </cell>
          <cell r="K4341">
            <v>2.2187000000000001</v>
          </cell>
          <cell r="L4341">
            <v>141880</v>
          </cell>
          <cell r="M4341">
            <v>15092</v>
          </cell>
          <cell r="N4341">
            <v>635542.24732492061</v>
          </cell>
          <cell r="O4341">
            <v>640254.04085479444</v>
          </cell>
          <cell r="P4341">
            <v>343.43880000000001</v>
          </cell>
        </row>
        <row r="4342">
          <cell r="B4342">
            <v>37018</v>
          </cell>
          <cell r="C4342">
            <v>1.7910200000000001</v>
          </cell>
          <cell r="D4342">
            <v>2.1957</v>
          </cell>
          <cell r="E4342">
            <v>139884</v>
          </cell>
          <cell r="F4342">
            <v>14875</v>
          </cell>
          <cell r="J4342">
            <v>3341739.4602794545</v>
          </cell>
          <cell r="K4342">
            <v>2.1957</v>
          </cell>
          <cell r="L4342">
            <v>139884</v>
          </cell>
          <cell r="M4342">
            <v>14875</v>
          </cell>
          <cell r="N4342">
            <v>635542.24732492061</v>
          </cell>
          <cell r="O4342">
            <v>640254.04085479444</v>
          </cell>
          <cell r="P4342">
            <v>343.43880000000001</v>
          </cell>
        </row>
        <row r="4343">
          <cell r="B4343">
            <v>37019</v>
          </cell>
          <cell r="C4343">
            <v>1.7920450000000001</v>
          </cell>
          <cell r="D4343">
            <v>2.2319</v>
          </cell>
          <cell r="E4343">
            <v>139358</v>
          </cell>
          <cell r="F4343">
            <v>14747</v>
          </cell>
          <cell r="J4343">
            <v>3343735.6427764865</v>
          </cell>
          <cell r="K4343">
            <v>2.2319</v>
          </cell>
          <cell r="L4343">
            <v>139358</v>
          </cell>
          <cell r="M4343">
            <v>14747</v>
          </cell>
          <cell r="N4343">
            <v>635542.24732492061</v>
          </cell>
          <cell r="O4343">
            <v>640254.04085479444</v>
          </cell>
          <cell r="P4343">
            <v>343.43880000000001</v>
          </cell>
        </row>
        <row r="4344">
          <cell r="B4344">
            <v>37020</v>
          </cell>
          <cell r="C4344">
            <v>1.7930699999999999</v>
          </cell>
          <cell r="D4344">
            <v>2.2585999999999999</v>
          </cell>
          <cell r="E4344">
            <v>139684</v>
          </cell>
          <cell r="F4344">
            <v>14778</v>
          </cell>
          <cell r="J4344">
            <v>3345734.1601328175</v>
          </cell>
          <cell r="K4344">
            <v>2.2585999999999999</v>
          </cell>
          <cell r="L4344">
            <v>139684</v>
          </cell>
          <cell r="M4344">
            <v>14778</v>
          </cell>
          <cell r="N4344">
            <v>635542.24732492061</v>
          </cell>
          <cell r="O4344">
            <v>640254.04085479444</v>
          </cell>
          <cell r="P4344">
            <v>343.43880000000001</v>
          </cell>
        </row>
        <row r="4345">
          <cell r="B4345">
            <v>37021</v>
          </cell>
          <cell r="C4345">
            <v>1.7930699999999999</v>
          </cell>
          <cell r="D4345">
            <v>2.2694999999999999</v>
          </cell>
          <cell r="E4345">
            <v>141344</v>
          </cell>
          <cell r="F4345">
            <v>14993</v>
          </cell>
          <cell r="J4345">
            <v>3347733.871982987</v>
          </cell>
          <cell r="K4345">
            <v>2.2694999999999999</v>
          </cell>
          <cell r="L4345">
            <v>141344</v>
          </cell>
          <cell r="M4345">
            <v>14993</v>
          </cell>
          <cell r="N4345">
            <v>635542.24732492061</v>
          </cell>
          <cell r="O4345">
            <v>640254.04085479444</v>
          </cell>
          <cell r="P4345">
            <v>343.43880000000001</v>
          </cell>
        </row>
        <row r="4346">
          <cell r="B4346">
            <v>37022</v>
          </cell>
          <cell r="C4346">
            <v>1.7930699999999999</v>
          </cell>
          <cell r="D4346">
            <v>2.2863000000000002</v>
          </cell>
          <cell r="E4346">
            <v>137122</v>
          </cell>
          <cell r="F4346">
            <v>14493</v>
          </cell>
          <cell r="J4346">
            <v>3349734.7790409327</v>
          </cell>
          <cell r="K4346">
            <v>2.2863000000000002</v>
          </cell>
          <cell r="L4346">
            <v>137122</v>
          </cell>
          <cell r="M4346">
            <v>14493</v>
          </cell>
          <cell r="N4346">
            <v>635542.24732492061</v>
          </cell>
          <cell r="O4346">
            <v>640254.04085479444</v>
          </cell>
          <cell r="P4346">
            <v>343.43880000000001</v>
          </cell>
        </row>
        <row r="4347">
          <cell r="B4347">
            <v>37025</v>
          </cell>
          <cell r="C4347">
            <v>1.7920450000000001</v>
          </cell>
          <cell r="D4347">
            <v>2.3062</v>
          </cell>
          <cell r="E4347">
            <v>134010</v>
          </cell>
          <cell r="F4347">
            <v>14132</v>
          </cell>
          <cell r="J4347">
            <v>3351735.7375283013</v>
          </cell>
          <cell r="K4347">
            <v>2.3062</v>
          </cell>
          <cell r="L4347">
            <v>134010</v>
          </cell>
          <cell r="M4347">
            <v>14132</v>
          </cell>
          <cell r="N4347">
            <v>635542.24732492061</v>
          </cell>
          <cell r="O4347">
            <v>640254.04085479444</v>
          </cell>
          <cell r="P4347">
            <v>343.43880000000001</v>
          </cell>
        </row>
        <row r="4348">
          <cell r="B4348">
            <v>37026</v>
          </cell>
          <cell r="C4348">
            <v>1.7930699999999999</v>
          </cell>
          <cell r="D4348">
            <v>2.3384</v>
          </cell>
          <cell r="E4348">
            <v>135236</v>
          </cell>
          <cell r="F4348">
            <v>14226</v>
          </cell>
          <cell r="J4348">
            <v>3353739.0364612644</v>
          </cell>
          <cell r="K4348">
            <v>2.3384</v>
          </cell>
          <cell r="L4348">
            <v>135236</v>
          </cell>
          <cell r="M4348">
            <v>14226</v>
          </cell>
          <cell r="N4348">
            <v>635542.24732492061</v>
          </cell>
          <cell r="O4348">
            <v>640254.04085479444</v>
          </cell>
          <cell r="P4348">
            <v>343.43880000000001</v>
          </cell>
        </row>
        <row r="4349">
          <cell r="B4349">
            <v>37027</v>
          </cell>
          <cell r="C4349">
            <v>1.7920450000000001</v>
          </cell>
          <cell r="D4349">
            <v>2.3218999999999999</v>
          </cell>
          <cell r="E4349">
            <v>138378</v>
          </cell>
          <cell r="F4349">
            <v>14714</v>
          </cell>
          <cell r="J4349">
            <v>3355742.3868851289</v>
          </cell>
          <cell r="K4349">
            <v>2.3218999999999999</v>
          </cell>
          <cell r="L4349">
            <v>138378</v>
          </cell>
          <cell r="M4349">
            <v>14714</v>
          </cell>
          <cell r="N4349">
            <v>635542.24732492061</v>
          </cell>
          <cell r="O4349">
            <v>640254.04085479444</v>
          </cell>
          <cell r="P4349">
            <v>343.43880000000001</v>
          </cell>
        </row>
        <row r="4350">
          <cell r="B4350">
            <v>37028</v>
          </cell>
          <cell r="C4350">
            <v>1.7930699999999999</v>
          </cell>
          <cell r="D4350">
            <v>2.3035999999999999</v>
          </cell>
          <cell r="E4350">
            <v>138940</v>
          </cell>
          <cell r="F4350">
            <v>14793</v>
          </cell>
          <cell r="J4350">
            <v>3357748.0805523461</v>
          </cell>
          <cell r="K4350">
            <v>2.3035999999999999</v>
          </cell>
          <cell r="L4350">
            <v>138940</v>
          </cell>
          <cell r="M4350">
            <v>14793</v>
          </cell>
          <cell r="N4350">
            <v>635542.24732492061</v>
          </cell>
          <cell r="O4350">
            <v>640254.04085479444</v>
          </cell>
          <cell r="P4350">
            <v>343.43880000000001</v>
          </cell>
        </row>
        <row r="4351">
          <cell r="B4351">
            <v>37029</v>
          </cell>
          <cell r="C4351">
            <v>1.7930699999999999</v>
          </cell>
          <cell r="D4351">
            <v>2.2940999999999998</v>
          </cell>
          <cell r="E4351">
            <v>139574</v>
          </cell>
          <cell r="F4351">
            <v>14884</v>
          </cell>
          <cell r="J4351">
            <v>3359754.9730026112</v>
          </cell>
          <cell r="K4351">
            <v>2.2940999999999998</v>
          </cell>
          <cell r="L4351">
            <v>139574</v>
          </cell>
          <cell r="M4351">
            <v>14884</v>
          </cell>
          <cell r="N4351">
            <v>635542.24732492061</v>
          </cell>
          <cell r="O4351">
            <v>640254.04085479444</v>
          </cell>
          <cell r="P4351">
            <v>343.43880000000001</v>
          </cell>
        </row>
        <row r="4352">
          <cell r="B4352">
            <v>37032</v>
          </cell>
          <cell r="C4352">
            <v>1.7920450000000001</v>
          </cell>
          <cell r="D4352">
            <v>2.3277999999999999</v>
          </cell>
          <cell r="E4352">
            <v>140838</v>
          </cell>
          <cell r="F4352">
            <v>15127</v>
          </cell>
          <cell r="J4352">
            <v>3361761.9170361422</v>
          </cell>
          <cell r="K4352">
            <v>2.3277999999999999</v>
          </cell>
          <cell r="L4352">
            <v>140838</v>
          </cell>
          <cell r="M4352">
            <v>15127</v>
          </cell>
          <cell r="N4352">
            <v>635542.24732492061</v>
          </cell>
          <cell r="O4352">
            <v>640254.04085479444</v>
          </cell>
          <cell r="P4352">
            <v>343.43880000000001</v>
          </cell>
        </row>
        <row r="4353">
          <cell r="B4353">
            <v>37033</v>
          </cell>
          <cell r="C4353">
            <v>1.7930699999999999</v>
          </cell>
          <cell r="D4353">
            <v>2.3062</v>
          </cell>
          <cell r="E4353">
            <v>139157</v>
          </cell>
          <cell r="F4353">
            <v>14828</v>
          </cell>
          <cell r="J4353">
            <v>3363771.2085163356</v>
          </cell>
          <cell r="K4353">
            <v>2.3062</v>
          </cell>
          <cell r="L4353">
            <v>139157</v>
          </cell>
          <cell r="M4353">
            <v>14828</v>
          </cell>
          <cell r="N4353">
            <v>635542.24732492061</v>
          </cell>
          <cell r="O4353">
            <v>640254.04085479444</v>
          </cell>
          <cell r="P4353">
            <v>343.43880000000001</v>
          </cell>
        </row>
        <row r="4354">
          <cell r="B4354">
            <v>37034</v>
          </cell>
          <cell r="C4354">
            <v>1.829901</v>
          </cell>
          <cell r="D4354">
            <v>2.3426999999999998</v>
          </cell>
          <cell r="E4354">
            <v>137435</v>
          </cell>
          <cell r="F4354">
            <v>14691</v>
          </cell>
          <cell r="J4354">
            <v>3365822.9979490805</v>
          </cell>
          <cell r="K4354">
            <v>2.3426999999999998</v>
          </cell>
          <cell r="L4354">
            <v>137435</v>
          </cell>
          <cell r="M4354">
            <v>14691</v>
          </cell>
          <cell r="N4354">
            <v>635542.24732492061</v>
          </cell>
          <cell r="O4354">
            <v>640254.04085479444</v>
          </cell>
          <cell r="P4354">
            <v>343.43880000000001</v>
          </cell>
        </row>
        <row r="4355">
          <cell r="B4355">
            <v>37035</v>
          </cell>
          <cell r="C4355">
            <v>1.8411329999999999</v>
          </cell>
          <cell r="D4355">
            <v>2.3494000000000002</v>
          </cell>
          <cell r="E4355">
            <v>136960</v>
          </cell>
          <cell r="F4355">
            <v>14523</v>
          </cell>
          <cell r="J4355">
            <v>3367888.6405469747</v>
          </cell>
          <cell r="K4355">
            <v>2.3494000000000002</v>
          </cell>
          <cell r="L4355">
            <v>136960</v>
          </cell>
          <cell r="M4355">
            <v>14523</v>
          </cell>
          <cell r="N4355">
            <v>635542.24732492061</v>
          </cell>
          <cell r="O4355">
            <v>640254.04085479444</v>
          </cell>
          <cell r="P4355">
            <v>343.43880000000001</v>
          </cell>
        </row>
        <row r="4356">
          <cell r="B4356">
            <v>37036</v>
          </cell>
          <cell r="C4356">
            <v>1.8441940000000001</v>
          </cell>
          <cell r="D4356">
            <v>2.3403</v>
          </cell>
          <cell r="E4356">
            <v>135542</v>
          </cell>
          <cell r="F4356">
            <v>14310</v>
          </cell>
          <cell r="J4356">
            <v>3369958.9872214962</v>
          </cell>
          <cell r="K4356">
            <v>2.3403</v>
          </cell>
          <cell r="L4356">
            <v>135542</v>
          </cell>
          <cell r="M4356">
            <v>14310</v>
          </cell>
          <cell r="N4356">
            <v>635542.24732492061</v>
          </cell>
          <cell r="O4356">
            <v>640254.04085479444</v>
          </cell>
          <cell r="P4356">
            <v>343.43880000000001</v>
          </cell>
        </row>
        <row r="4357">
          <cell r="B4357">
            <v>37039</v>
          </cell>
          <cell r="C4357">
            <v>1.8452139999999999</v>
          </cell>
          <cell r="D4357">
            <v>2.3264999999999998</v>
          </cell>
          <cell r="E4357">
            <v>135262</v>
          </cell>
          <cell r="F4357">
            <v>14302</v>
          </cell>
          <cell r="J4357">
            <v>3372031.752389045</v>
          </cell>
          <cell r="K4357">
            <v>2.3264999999999998</v>
          </cell>
          <cell r="L4357">
            <v>135262</v>
          </cell>
          <cell r="M4357">
            <v>14302</v>
          </cell>
          <cell r="N4357">
            <v>635542.24732492061</v>
          </cell>
          <cell r="O4357">
            <v>640254.04085479444</v>
          </cell>
          <cell r="P4357">
            <v>343.43880000000001</v>
          </cell>
        </row>
        <row r="4358">
          <cell r="B4358">
            <v>37040</v>
          </cell>
          <cell r="C4358">
            <v>1.8462350000000001</v>
          </cell>
          <cell r="D4358">
            <v>2.3424999999999998</v>
          </cell>
          <cell r="E4358">
            <v>136063</v>
          </cell>
          <cell r="F4358">
            <v>14453</v>
          </cell>
          <cell r="J4358">
            <v>3374106.9400698352</v>
          </cell>
          <cell r="K4358">
            <v>2.3424999999999998</v>
          </cell>
          <cell r="L4358">
            <v>136063</v>
          </cell>
          <cell r="M4358">
            <v>14453</v>
          </cell>
          <cell r="N4358">
            <v>635542.24732492061</v>
          </cell>
          <cell r="O4358">
            <v>640254.04085479444</v>
          </cell>
          <cell r="P4358">
            <v>343.43880000000001</v>
          </cell>
        </row>
        <row r="4359">
          <cell r="B4359">
            <v>37041</v>
          </cell>
          <cell r="C4359">
            <v>1.8462350000000001</v>
          </cell>
          <cell r="D4359">
            <v>2.3595999999999999</v>
          </cell>
          <cell r="E4359">
            <v>136516</v>
          </cell>
          <cell r="F4359">
            <v>14489</v>
          </cell>
          <cell r="J4359">
            <v>3376183.4048453346</v>
          </cell>
          <cell r="K4359">
            <v>2.3595999999999999</v>
          </cell>
          <cell r="L4359">
            <v>136516</v>
          </cell>
          <cell r="M4359">
            <v>14489</v>
          </cell>
          <cell r="N4359">
            <v>635542.24732492061</v>
          </cell>
          <cell r="O4359">
            <v>640254.04085479444</v>
          </cell>
          <cell r="P4359">
            <v>343.43880000000001</v>
          </cell>
        </row>
        <row r="4360">
          <cell r="B4360">
            <v>37042</v>
          </cell>
          <cell r="C4360">
            <v>1.8452139999999999</v>
          </cell>
          <cell r="D4360">
            <v>2.36</v>
          </cell>
          <cell r="E4360">
            <v>137844</v>
          </cell>
          <cell r="F4360">
            <v>14649</v>
          </cell>
          <cell r="G4360">
            <v>0.44</v>
          </cell>
          <cell r="H4360">
            <v>0.86</v>
          </cell>
          <cell r="I4360">
            <v>345.78660000000002</v>
          </cell>
          <cell r="J4360">
            <v>3378259.9984737304</v>
          </cell>
          <cell r="K4360">
            <v>2.36</v>
          </cell>
          <cell r="L4360">
            <v>137844</v>
          </cell>
          <cell r="M4360">
            <v>14649</v>
          </cell>
          <cell r="N4360">
            <v>638338.6332131502</v>
          </cell>
          <cell r="O4360">
            <v>645760.22560614569</v>
          </cell>
          <cell r="P4360">
            <v>345.78660000000002</v>
          </cell>
        </row>
        <row r="4361">
          <cell r="B4361">
            <v>37043</v>
          </cell>
          <cell r="C4361">
            <v>1.8462350000000001</v>
          </cell>
          <cell r="D4361">
            <v>2.3833000000000002</v>
          </cell>
          <cell r="E4361">
            <v>138635</v>
          </cell>
          <cell r="F4361">
            <v>14791</v>
          </cell>
          <cell r="J4361">
            <v>3380339.0190898241</v>
          </cell>
          <cell r="K4361">
            <v>2.3833000000000002</v>
          </cell>
          <cell r="L4361">
            <v>138635</v>
          </cell>
          <cell r="M4361">
            <v>14791</v>
          </cell>
          <cell r="N4361">
            <v>638338.6332131502</v>
          </cell>
          <cell r="O4361">
            <v>645760.22560614569</v>
          </cell>
          <cell r="P4361">
            <v>345.78660000000002</v>
          </cell>
        </row>
        <row r="4362">
          <cell r="B4362">
            <v>37046</v>
          </cell>
          <cell r="C4362">
            <v>1.8452139999999999</v>
          </cell>
          <cell r="D4362">
            <v>2.3628999999999998</v>
          </cell>
          <cell r="E4362">
            <v>139929</v>
          </cell>
          <cell r="F4362">
            <v>15103</v>
          </cell>
          <cell r="J4362">
            <v>3382418.1687174141</v>
          </cell>
          <cell r="K4362">
            <v>2.3628999999999998</v>
          </cell>
          <cell r="L4362">
            <v>139929</v>
          </cell>
          <cell r="M4362">
            <v>15103</v>
          </cell>
          <cell r="N4362">
            <v>638338.6332131502</v>
          </cell>
          <cell r="O4362">
            <v>645760.22560614569</v>
          </cell>
          <cell r="P4362">
            <v>345.78660000000002</v>
          </cell>
        </row>
        <row r="4363">
          <cell r="B4363">
            <v>37047</v>
          </cell>
          <cell r="C4363">
            <v>1.8441940000000001</v>
          </cell>
          <cell r="D4363">
            <v>2.3895</v>
          </cell>
          <cell r="E4363">
            <v>143812</v>
          </cell>
          <cell r="F4363">
            <v>15394</v>
          </cell>
          <cell r="J4363">
            <v>3384497.4471481605</v>
          </cell>
          <cell r="K4363">
            <v>2.3895</v>
          </cell>
          <cell r="L4363">
            <v>143812</v>
          </cell>
          <cell r="M4363">
            <v>15394</v>
          </cell>
          <cell r="N4363">
            <v>638338.6332131502</v>
          </cell>
          <cell r="O4363">
            <v>645760.22560614569</v>
          </cell>
          <cell r="P4363">
            <v>345.78660000000002</v>
          </cell>
        </row>
        <row r="4364">
          <cell r="B4364">
            <v>37048</v>
          </cell>
          <cell r="C4364">
            <v>1.8421529999999999</v>
          </cell>
          <cell r="D4364">
            <v>2.3820999999999999</v>
          </cell>
          <cell r="E4364">
            <v>143986</v>
          </cell>
          <cell r="F4364">
            <v>15328</v>
          </cell>
          <cell r="J4364">
            <v>3386575.7011900791</v>
          </cell>
          <cell r="K4364">
            <v>2.3820999999999999</v>
          </cell>
          <cell r="L4364">
            <v>143986</v>
          </cell>
          <cell r="M4364">
            <v>15328</v>
          </cell>
          <cell r="N4364">
            <v>638338.6332131502</v>
          </cell>
          <cell r="O4364">
            <v>645760.22560614569</v>
          </cell>
          <cell r="P4364">
            <v>345.78660000000002</v>
          </cell>
        </row>
        <row r="4365">
          <cell r="B4365">
            <v>37049</v>
          </cell>
          <cell r="C4365">
            <v>1.840112</v>
          </cell>
          <cell r="D4365">
            <v>2.3879999999999999</v>
          </cell>
          <cell r="E4365">
            <v>144720</v>
          </cell>
          <cell r="F4365">
            <v>15464</v>
          </cell>
          <cell r="J4365">
            <v>3388652.9273856352</v>
          </cell>
          <cell r="K4365">
            <v>2.3879999999999999</v>
          </cell>
          <cell r="L4365">
            <v>144720</v>
          </cell>
          <cell r="M4365">
            <v>15464</v>
          </cell>
          <cell r="N4365">
            <v>638338.6332131502</v>
          </cell>
          <cell r="O4365">
            <v>645760.22560614569</v>
          </cell>
          <cell r="P4365">
            <v>345.78660000000002</v>
          </cell>
        </row>
        <row r="4366">
          <cell r="B4366">
            <v>37050</v>
          </cell>
          <cell r="C4366">
            <v>1.8360289999999999</v>
          </cell>
          <cell r="D4366">
            <v>2.3618999999999999</v>
          </cell>
          <cell r="E4366">
            <v>145795</v>
          </cell>
          <cell r="F4366">
            <v>15366</v>
          </cell>
          <cell r="J4366">
            <v>3390726.8157341736</v>
          </cell>
          <cell r="K4366">
            <v>2.3618999999999999</v>
          </cell>
          <cell r="L4366">
            <v>145795</v>
          </cell>
          <cell r="M4366">
            <v>15366</v>
          </cell>
          <cell r="N4366">
            <v>638338.6332131502</v>
          </cell>
          <cell r="O4366">
            <v>645760.22560614569</v>
          </cell>
          <cell r="P4366">
            <v>345.78660000000002</v>
          </cell>
        </row>
        <row r="4367">
          <cell r="B4367">
            <v>37053</v>
          </cell>
          <cell r="C4367">
            <v>1.832965</v>
          </cell>
          <cell r="D4367">
            <v>2.3721999999999999</v>
          </cell>
          <cell r="E4367">
            <v>144874</v>
          </cell>
          <cell r="F4367">
            <v>15224</v>
          </cell>
          <cell r="J4367">
            <v>3392798.5102601079</v>
          </cell>
          <cell r="K4367">
            <v>2.3721999999999999</v>
          </cell>
          <cell r="L4367">
            <v>144874</v>
          </cell>
          <cell r="M4367">
            <v>15224</v>
          </cell>
          <cell r="N4367">
            <v>638338.6332131502</v>
          </cell>
          <cell r="O4367">
            <v>645760.22560614569</v>
          </cell>
          <cell r="P4367">
            <v>345.78660000000002</v>
          </cell>
        </row>
        <row r="4368">
          <cell r="B4368">
            <v>37054</v>
          </cell>
          <cell r="C4368">
            <v>1.835008</v>
          </cell>
          <cell r="D4368">
            <v>2.3906000000000001</v>
          </cell>
          <cell r="E4368">
            <v>143948</v>
          </cell>
          <cell r="F4368">
            <v>15173</v>
          </cell>
          <cell r="J4368">
            <v>3394873.7810630132</v>
          </cell>
          <cell r="K4368">
            <v>2.3906000000000001</v>
          </cell>
          <cell r="L4368">
            <v>143948</v>
          </cell>
          <cell r="M4368">
            <v>15173</v>
          </cell>
          <cell r="N4368">
            <v>638338.6332131502</v>
          </cell>
          <cell r="O4368">
            <v>645760.22560614569</v>
          </cell>
          <cell r="P4368">
            <v>345.78660000000002</v>
          </cell>
        </row>
        <row r="4369">
          <cell r="B4369">
            <v>37055</v>
          </cell>
          <cell r="C4369">
            <v>1.832965</v>
          </cell>
          <cell r="D4369">
            <v>2.4077999999999999</v>
          </cell>
          <cell r="E4369">
            <v>146479</v>
          </cell>
          <cell r="F4369">
            <v>15403</v>
          </cell>
          <cell r="J4369">
            <v>3396948.0093363822</v>
          </cell>
          <cell r="K4369">
            <v>2.4077999999999999</v>
          </cell>
          <cell r="L4369">
            <v>146479</v>
          </cell>
          <cell r="M4369">
            <v>15403</v>
          </cell>
          <cell r="N4369">
            <v>638338.6332131502</v>
          </cell>
          <cell r="O4369">
            <v>645760.22560614569</v>
          </cell>
          <cell r="P4369">
            <v>345.78660000000002</v>
          </cell>
        </row>
        <row r="4370">
          <cell r="B4370">
            <v>37057</v>
          </cell>
          <cell r="C4370">
            <v>1.8360289999999999</v>
          </cell>
          <cell r="D4370">
            <v>2.4079000000000002</v>
          </cell>
          <cell r="E4370">
            <v>143709</v>
          </cell>
          <cell r="F4370">
            <v>14985</v>
          </cell>
          <cell r="J4370">
            <v>3399026.9743552599</v>
          </cell>
          <cell r="K4370">
            <v>2.4079000000000002</v>
          </cell>
          <cell r="L4370">
            <v>143709</v>
          </cell>
          <cell r="M4370">
            <v>14985</v>
          </cell>
          <cell r="N4370">
            <v>638338.6332131502</v>
          </cell>
          <cell r="O4370">
            <v>645760.22560614569</v>
          </cell>
          <cell r="P4370">
            <v>345.78660000000002</v>
          </cell>
        </row>
        <row r="4371">
          <cell r="B4371">
            <v>37060</v>
          </cell>
          <cell r="C4371">
            <v>1.8441940000000001</v>
          </cell>
          <cell r="D4371">
            <v>2.4586000000000001</v>
          </cell>
          <cell r="E4371">
            <v>139160</v>
          </cell>
          <cell r="F4371">
            <v>14355</v>
          </cell>
          <cell r="J4371">
            <v>3401116.4627392413</v>
          </cell>
          <cell r="K4371">
            <v>2.4586000000000001</v>
          </cell>
          <cell r="L4371">
            <v>139160</v>
          </cell>
          <cell r="M4371">
            <v>14355</v>
          </cell>
          <cell r="N4371">
            <v>638338.6332131502</v>
          </cell>
          <cell r="O4371">
            <v>645760.22560614569</v>
          </cell>
          <cell r="P4371">
            <v>345.78660000000002</v>
          </cell>
        </row>
        <row r="4372">
          <cell r="B4372">
            <v>37061</v>
          </cell>
          <cell r="C4372">
            <v>1.8472550000000001</v>
          </cell>
          <cell r="D4372">
            <v>2.4674999999999998</v>
          </cell>
          <cell r="E4372">
            <v>139323</v>
          </cell>
          <cell r="F4372">
            <v>14400</v>
          </cell>
          <cell r="J4372">
            <v>3403210.7058697008</v>
          </cell>
          <cell r="K4372">
            <v>2.4674999999999998</v>
          </cell>
          <cell r="L4372">
            <v>139323</v>
          </cell>
          <cell r="M4372">
            <v>14400</v>
          </cell>
          <cell r="N4372">
            <v>638338.6332131502</v>
          </cell>
          <cell r="O4372">
            <v>645760.22560614569</v>
          </cell>
          <cell r="P4372">
            <v>345.78660000000002</v>
          </cell>
        </row>
        <row r="4373">
          <cell r="B4373">
            <v>37062</v>
          </cell>
          <cell r="C4373">
            <v>1.892053</v>
          </cell>
          <cell r="D4373">
            <v>2.4748000000000001</v>
          </cell>
          <cell r="E4373">
            <v>140282</v>
          </cell>
          <cell r="F4373">
            <v>14571</v>
          </cell>
          <cell r="J4373">
            <v>3405357.0575449248</v>
          </cell>
          <cell r="K4373">
            <v>2.4748000000000001</v>
          </cell>
          <cell r="L4373">
            <v>140282</v>
          </cell>
          <cell r="M4373">
            <v>14571</v>
          </cell>
          <cell r="N4373">
            <v>638338.6332131502</v>
          </cell>
          <cell r="O4373">
            <v>645760.22560614569</v>
          </cell>
          <cell r="P4373">
            <v>345.78660000000002</v>
          </cell>
        </row>
        <row r="4374">
          <cell r="B4374">
            <v>37063</v>
          </cell>
          <cell r="C4374">
            <v>1.997277</v>
          </cell>
          <cell r="D4374">
            <v>2.4054000000000002</v>
          </cell>
          <cell r="E4374">
            <v>142109</v>
          </cell>
          <cell r="F4374">
            <v>14822</v>
          </cell>
          <cell r="J4374">
            <v>3407624.2046541991</v>
          </cell>
          <cell r="K4374">
            <v>2.4054000000000002</v>
          </cell>
          <cell r="L4374">
            <v>142109</v>
          </cell>
          <cell r="M4374">
            <v>14822</v>
          </cell>
          <cell r="N4374">
            <v>638338.6332131502</v>
          </cell>
          <cell r="O4374">
            <v>645760.22560614569</v>
          </cell>
          <cell r="P4374">
            <v>345.78660000000002</v>
          </cell>
        </row>
        <row r="4375">
          <cell r="B4375">
            <v>37064</v>
          </cell>
          <cell r="C4375">
            <v>1.9982839999999999</v>
          </cell>
          <cell r="D4375">
            <v>2.3296000000000001</v>
          </cell>
          <cell r="E4375">
            <v>142730</v>
          </cell>
          <cell r="F4375">
            <v>14682</v>
          </cell>
          <cell r="J4375">
            <v>3409894.004962923</v>
          </cell>
          <cell r="K4375">
            <v>2.3296000000000001</v>
          </cell>
          <cell r="L4375">
            <v>142730</v>
          </cell>
          <cell r="M4375">
            <v>14682</v>
          </cell>
          <cell r="N4375">
            <v>638338.6332131502</v>
          </cell>
          <cell r="O4375">
            <v>645760.22560614569</v>
          </cell>
          <cell r="P4375">
            <v>345.78660000000002</v>
          </cell>
        </row>
        <row r="4376">
          <cell r="B4376">
            <v>37067</v>
          </cell>
          <cell r="C4376">
            <v>1.9982839999999999</v>
          </cell>
          <cell r="D4376">
            <v>2.2997000000000001</v>
          </cell>
          <cell r="E4376">
            <v>140866</v>
          </cell>
          <cell r="F4376">
            <v>14539</v>
          </cell>
          <cell r="J4376">
            <v>3412165.3171735271</v>
          </cell>
          <cell r="K4376">
            <v>2.2997000000000001</v>
          </cell>
          <cell r="L4376">
            <v>140866</v>
          </cell>
          <cell r="M4376">
            <v>14539</v>
          </cell>
          <cell r="N4376">
            <v>638338.6332131502</v>
          </cell>
          <cell r="O4376">
            <v>645760.22560614569</v>
          </cell>
          <cell r="P4376">
            <v>345.78660000000002</v>
          </cell>
        </row>
        <row r="4377">
          <cell r="B4377">
            <v>37068</v>
          </cell>
          <cell r="C4377">
            <v>1.997277</v>
          </cell>
          <cell r="D4377">
            <v>2.3138999999999998</v>
          </cell>
          <cell r="E4377">
            <v>140070</v>
          </cell>
          <cell r="F4377">
            <v>14459</v>
          </cell>
          <cell r="J4377">
            <v>3414436.9969429234</v>
          </cell>
          <cell r="K4377">
            <v>2.3138999999999998</v>
          </cell>
          <cell r="L4377">
            <v>140070</v>
          </cell>
          <cell r="M4377">
            <v>14459</v>
          </cell>
          <cell r="N4377">
            <v>638338.6332131502</v>
          </cell>
          <cell r="O4377">
            <v>645760.22560614569</v>
          </cell>
          <cell r="P4377">
            <v>345.78660000000002</v>
          </cell>
        </row>
        <row r="4378">
          <cell r="B4378">
            <v>37069</v>
          </cell>
          <cell r="C4378">
            <v>1.9992909999999999</v>
          </cell>
          <cell r="D4378">
            <v>2.3235999999999999</v>
          </cell>
          <cell r="E4378">
            <v>138794</v>
          </cell>
          <cell r="F4378">
            <v>14308</v>
          </cell>
          <cell r="J4378">
            <v>3416712.4813289414</v>
          </cell>
          <cell r="K4378">
            <v>2.3235999999999999</v>
          </cell>
          <cell r="L4378">
            <v>138794</v>
          </cell>
          <cell r="M4378">
            <v>14308</v>
          </cell>
          <cell r="N4378">
            <v>638338.6332131502</v>
          </cell>
          <cell r="O4378">
            <v>645760.22560614569</v>
          </cell>
          <cell r="P4378">
            <v>345.78660000000002</v>
          </cell>
        </row>
        <row r="4379">
          <cell r="B4379">
            <v>37070</v>
          </cell>
          <cell r="C4379">
            <v>1.9992909999999999</v>
          </cell>
          <cell r="D4379">
            <v>2.2923</v>
          </cell>
          <cell r="E4379">
            <v>138962</v>
          </cell>
          <cell r="F4379">
            <v>14390</v>
          </cell>
          <cell r="J4379">
            <v>3418989.4821667774</v>
          </cell>
          <cell r="K4379">
            <v>2.2923</v>
          </cell>
          <cell r="L4379">
            <v>138962</v>
          </cell>
          <cell r="M4379">
            <v>14390</v>
          </cell>
          <cell r="N4379">
            <v>638338.6332131502</v>
          </cell>
          <cell r="O4379">
            <v>645760.22560614569</v>
          </cell>
          <cell r="P4379">
            <v>345.78660000000002</v>
          </cell>
        </row>
        <row r="4380">
          <cell r="B4380">
            <v>37071</v>
          </cell>
          <cell r="C4380">
            <v>1.9992909999999999</v>
          </cell>
          <cell r="D4380">
            <v>2.3048999999999999</v>
          </cell>
          <cell r="E4380">
            <v>141055</v>
          </cell>
          <cell r="F4380">
            <v>14559</v>
          </cell>
          <cell r="G4380">
            <v>1.46</v>
          </cell>
          <cell r="H4380">
            <v>0.98</v>
          </cell>
          <cell r="I4380">
            <v>348.02210000000002</v>
          </cell>
          <cell r="J4380">
            <v>3421268.0004670406</v>
          </cell>
          <cell r="K4380">
            <v>2.3048999999999999</v>
          </cell>
          <cell r="L4380">
            <v>141055</v>
          </cell>
          <cell r="M4380">
            <v>14559</v>
          </cell>
          <cell r="N4380">
            <v>647658.37725806213</v>
          </cell>
          <cell r="O4380">
            <v>652088.6758170859</v>
          </cell>
          <cell r="P4380">
            <v>348.02210000000002</v>
          </cell>
        </row>
        <row r="4381">
          <cell r="B4381">
            <v>37074</v>
          </cell>
          <cell r="C4381">
            <v>2.0002979999999999</v>
          </cell>
          <cell r="D4381">
            <v>2.3249</v>
          </cell>
          <cell r="E4381">
            <v>141321</v>
          </cell>
          <cell r="F4381">
            <v>14555</v>
          </cell>
          <cell r="J4381">
            <v>3423549.1856466397</v>
          </cell>
          <cell r="K4381">
            <v>2.3249</v>
          </cell>
          <cell r="L4381">
            <v>141321</v>
          </cell>
          <cell r="M4381">
            <v>14555</v>
          </cell>
          <cell r="N4381">
            <v>647658.37725806213</v>
          </cell>
          <cell r="O4381">
            <v>652088.6758170859</v>
          </cell>
          <cell r="P4381">
            <v>348.02210000000002</v>
          </cell>
        </row>
        <row r="4382">
          <cell r="B4382">
            <v>37075</v>
          </cell>
          <cell r="C4382">
            <v>2.0013049999999999</v>
          </cell>
          <cell r="D4382">
            <v>2.3395000000000001</v>
          </cell>
          <cell r="E4382">
            <v>139702</v>
          </cell>
          <cell r="F4382">
            <v>14352</v>
          </cell>
          <cell r="J4382">
            <v>3425833.0410142997</v>
          </cell>
          <cell r="K4382">
            <v>2.3395000000000001</v>
          </cell>
          <cell r="L4382">
            <v>139702</v>
          </cell>
          <cell r="M4382">
            <v>14352</v>
          </cell>
          <cell r="N4382">
            <v>647658.37725806213</v>
          </cell>
          <cell r="O4382">
            <v>652088.6758170859</v>
          </cell>
          <cell r="P4382">
            <v>348.02210000000002</v>
          </cell>
        </row>
        <row r="4383">
          <cell r="B4383">
            <v>37076</v>
          </cell>
          <cell r="C4383">
            <v>2.0013049999999999</v>
          </cell>
          <cell r="D4383">
            <v>2.3906999999999998</v>
          </cell>
          <cell r="E4383">
            <v>138028</v>
          </cell>
          <cell r="F4383">
            <v>14056</v>
          </cell>
          <cell r="J4383">
            <v>3428118.4199456819</v>
          </cell>
          <cell r="K4383">
            <v>2.3906999999999998</v>
          </cell>
          <cell r="L4383">
            <v>138028</v>
          </cell>
          <cell r="M4383">
            <v>14056</v>
          </cell>
          <cell r="N4383">
            <v>647658.37725806213</v>
          </cell>
          <cell r="O4383">
            <v>652088.6758170859</v>
          </cell>
          <cell r="P4383">
            <v>348.02210000000002</v>
          </cell>
        </row>
        <row r="4384">
          <cell r="B4384">
            <v>37077</v>
          </cell>
          <cell r="C4384">
            <v>2.0013049999999999</v>
          </cell>
          <cell r="D4384">
            <v>2.4113000000000002</v>
          </cell>
          <cell r="E4384">
            <v>137818</v>
          </cell>
          <cell r="F4384">
            <v>14047</v>
          </cell>
          <cell r="J4384">
            <v>3430405.3234571582</v>
          </cell>
          <cell r="K4384">
            <v>2.4113000000000002</v>
          </cell>
          <cell r="L4384">
            <v>137818</v>
          </cell>
          <cell r="M4384">
            <v>14047</v>
          </cell>
          <cell r="N4384">
            <v>647658.37725806213</v>
          </cell>
          <cell r="O4384">
            <v>652088.6758170859</v>
          </cell>
          <cell r="P4384">
            <v>348.02210000000002</v>
          </cell>
        </row>
        <row r="4385">
          <cell r="B4385">
            <v>37078</v>
          </cell>
          <cell r="C4385">
            <v>2.0033189999999998</v>
          </cell>
          <cell r="D4385">
            <v>2.4943</v>
          </cell>
          <cell r="E4385">
            <v>136062</v>
          </cell>
          <cell r="F4385">
            <v>13906</v>
          </cell>
          <cell r="J4385">
            <v>3432696.055511219</v>
          </cell>
          <cell r="K4385">
            <v>2.4943</v>
          </cell>
          <cell r="L4385">
            <v>136062</v>
          </cell>
          <cell r="M4385">
            <v>13906</v>
          </cell>
          <cell r="N4385">
            <v>647658.37725806213</v>
          </cell>
          <cell r="O4385">
            <v>652088.6758170859</v>
          </cell>
          <cell r="P4385">
            <v>348.02210000000002</v>
          </cell>
        </row>
        <row r="4386">
          <cell r="B4386">
            <v>37081</v>
          </cell>
          <cell r="C4386">
            <v>2.0023119999999999</v>
          </cell>
          <cell r="J4386">
            <v>3434987.165012653</v>
          </cell>
          <cell r="K4386">
            <v>2.4943</v>
          </cell>
          <cell r="L4386">
            <v>136062</v>
          </cell>
          <cell r="M4386">
            <v>13906</v>
          </cell>
          <cell r="N4386">
            <v>647658.37725806213</v>
          </cell>
          <cell r="O4386">
            <v>652088.6758170859</v>
          </cell>
          <cell r="P4386">
            <v>348.02210000000002</v>
          </cell>
        </row>
        <row r="4387">
          <cell r="B4387">
            <v>37082</v>
          </cell>
          <cell r="C4387">
            <v>2.0043259999999998</v>
          </cell>
          <cell r="D4387">
            <v>2.4802</v>
          </cell>
          <cell r="E4387">
            <v>132007</v>
          </cell>
          <cell r="F4387">
            <v>13569</v>
          </cell>
          <cell r="J4387">
            <v>3437282.1097074868</v>
          </cell>
          <cell r="K4387">
            <v>2.4802</v>
          </cell>
          <cell r="L4387">
            <v>132007</v>
          </cell>
          <cell r="M4387">
            <v>13569</v>
          </cell>
          <cell r="N4387">
            <v>647658.37725806213</v>
          </cell>
          <cell r="O4387">
            <v>652088.6758170859</v>
          </cell>
          <cell r="P4387">
            <v>348.02210000000002</v>
          </cell>
        </row>
        <row r="4388">
          <cell r="B4388">
            <v>37083</v>
          </cell>
          <cell r="C4388">
            <v>2.014389</v>
          </cell>
          <cell r="D4388">
            <v>2.5299999999999998</v>
          </cell>
          <cell r="E4388">
            <v>132631</v>
          </cell>
          <cell r="F4388">
            <v>13811</v>
          </cell>
          <cell r="J4388">
            <v>3439590.1174647175</v>
          </cell>
          <cell r="K4388">
            <v>2.5299999999999998</v>
          </cell>
          <cell r="L4388">
            <v>132631</v>
          </cell>
          <cell r="M4388">
            <v>13811</v>
          </cell>
          <cell r="N4388">
            <v>647658.37725806213</v>
          </cell>
          <cell r="O4388">
            <v>652088.6758170859</v>
          </cell>
          <cell r="P4388">
            <v>348.02210000000002</v>
          </cell>
        </row>
        <row r="4389">
          <cell r="B4389">
            <v>37084</v>
          </cell>
          <cell r="C4389">
            <v>2.0194169999999998</v>
          </cell>
          <cell r="D4389">
            <v>2.5423</v>
          </cell>
          <cell r="E4389">
            <v>133189</v>
          </cell>
          <cell r="F4389">
            <v>13912</v>
          </cell>
          <cell r="J4389">
            <v>3441905.4397167978</v>
          </cell>
          <cell r="K4389">
            <v>2.5423</v>
          </cell>
          <cell r="L4389">
            <v>133189</v>
          </cell>
          <cell r="M4389">
            <v>13912</v>
          </cell>
          <cell r="N4389">
            <v>647658.37725806213</v>
          </cell>
          <cell r="O4389">
            <v>652088.6758170859</v>
          </cell>
          <cell r="P4389">
            <v>348.02210000000002</v>
          </cell>
        </row>
        <row r="4390">
          <cell r="B4390">
            <v>37085</v>
          </cell>
          <cell r="C4390">
            <v>2.0153949999999998</v>
          </cell>
          <cell r="D4390">
            <v>2.5537999999999998</v>
          </cell>
          <cell r="E4390">
            <v>134044</v>
          </cell>
          <cell r="F4390">
            <v>14078</v>
          </cell>
          <cell r="J4390">
            <v>3444217.7060546903</v>
          </cell>
          <cell r="K4390">
            <v>2.5537999999999998</v>
          </cell>
          <cell r="L4390">
            <v>134044</v>
          </cell>
          <cell r="M4390">
            <v>14078</v>
          </cell>
          <cell r="N4390">
            <v>647658.37725806213</v>
          </cell>
          <cell r="O4390">
            <v>652088.6758170859</v>
          </cell>
          <cell r="P4390">
            <v>348.02210000000002</v>
          </cell>
        </row>
        <row r="4391">
          <cell r="B4391">
            <v>37088</v>
          </cell>
          <cell r="C4391">
            <v>2.011371</v>
          </cell>
          <cell r="D4391">
            <v>2.5979000000000001</v>
          </cell>
          <cell r="E4391">
            <v>132844</v>
          </cell>
          <cell r="F4391">
            <v>13811</v>
          </cell>
          <cell r="J4391">
            <v>3446526.9059252385</v>
          </cell>
          <cell r="K4391">
            <v>2.5979000000000001</v>
          </cell>
          <cell r="L4391">
            <v>132844</v>
          </cell>
          <cell r="M4391">
            <v>13811</v>
          </cell>
          <cell r="N4391">
            <v>647658.37725806213</v>
          </cell>
          <cell r="O4391">
            <v>652088.6758170859</v>
          </cell>
          <cell r="P4391">
            <v>348.02210000000002</v>
          </cell>
        </row>
        <row r="4392">
          <cell r="B4392">
            <v>37089</v>
          </cell>
          <cell r="C4392">
            <v>2.0083519999999999</v>
          </cell>
          <cell r="D4392">
            <v>2.5304000000000002</v>
          </cell>
          <cell r="E4392">
            <v>135942</v>
          </cell>
          <cell r="F4392">
            <v>14168</v>
          </cell>
          <cell r="J4392">
            <v>3448834.185660095</v>
          </cell>
          <cell r="K4392">
            <v>2.5304000000000002</v>
          </cell>
          <cell r="L4392">
            <v>135942</v>
          </cell>
          <cell r="M4392">
            <v>14168</v>
          </cell>
          <cell r="N4392">
            <v>647658.37725806213</v>
          </cell>
          <cell r="O4392">
            <v>652088.6758170859</v>
          </cell>
          <cell r="P4392">
            <v>348.02210000000002</v>
          </cell>
        </row>
        <row r="4393">
          <cell r="B4393">
            <v>37090</v>
          </cell>
          <cell r="C4393">
            <v>2.0415169999999998</v>
          </cell>
          <cell r="D4393">
            <v>2.4695999999999998</v>
          </cell>
          <cell r="E4393">
            <v>133598</v>
          </cell>
          <cell r="F4393">
            <v>13790</v>
          </cell>
          <cell r="J4393">
            <v>3451181.1368668308</v>
          </cell>
          <cell r="K4393">
            <v>2.4695999999999998</v>
          </cell>
          <cell r="L4393">
            <v>133598</v>
          </cell>
          <cell r="M4393">
            <v>13790</v>
          </cell>
          <cell r="N4393">
            <v>647658.37725806213</v>
          </cell>
          <cell r="O4393">
            <v>652088.6758170859</v>
          </cell>
          <cell r="P4393">
            <v>348.02210000000002</v>
          </cell>
        </row>
        <row r="4394">
          <cell r="B4394">
            <v>37091</v>
          </cell>
          <cell r="C4394">
            <v>2.0665809999999998</v>
          </cell>
          <cell r="D4394">
            <v>2.5032000000000001</v>
          </cell>
          <cell r="E4394">
            <v>133784</v>
          </cell>
          <cell r="F4394">
            <v>13761</v>
          </cell>
          <cell r="J4394">
            <v>3453558.5186551665</v>
          </cell>
          <cell r="K4394">
            <v>2.5032000000000001</v>
          </cell>
          <cell r="L4394">
            <v>133784</v>
          </cell>
          <cell r="M4394">
            <v>13761</v>
          </cell>
          <cell r="N4394">
            <v>647658.37725806213</v>
          </cell>
          <cell r="O4394">
            <v>652088.6758170859</v>
          </cell>
          <cell r="P4394">
            <v>348.02210000000002</v>
          </cell>
        </row>
        <row r="4395">
          <cell r="B4395">
            <v>37092</v>
          </cell>
          <cell r="C4395">
            <v>2.068584</v>
          </cell>
          <cell r="D4395">
            <v>2.4573</v>
          </cell>
          <cell r="E4395">
            <v>135920</v>
          </cell>
          <cell r="F4395">
            <v>14092</v>
          </cell>
          <cell r="J4395">
            <v>3455939.8439534181</v>
          </cell>
          <cell r="K4395">
            <v>2.4573</v>
          </cell>
          <cell r="L4395">
            <v>135920</v>
          </cell>
          <cell r="M4395">
            <v>14092</v>
          </cell>
          <cell r="N4395">
            <v>647658.37725806213</v>
          </cell>
          <cell r="O4395">
            <v>652088.6758170859</v>
          </cell>
          <cell r="P4395">
            <v>348.02210000000002</v>
          </cell>
        </row>
        <row r="4396">
          <cell r="B4396">
            <v>37095</v>
          </cell>
          <cell r="C4396">
            <v>2.0655800000000002</v>
          </cell>
          <cell r="D4396">
            <v>2.4108000000000001</v>
          </cell>
          <cell r="E4396">
            <v>136708</v>
          </cell>
          <cell r="F4396">
            <v>14067</v>
          </cell>
          <cell r="J4396">
            <v>3458319.350694376</v>
          </cell>
          <cell r="K4396">
            <v>2.4108000000000001</v>
          </cell>
          <cell r="L4396">
            <v>136708</v>
          </cell>
          <cell r="M4396">
            <v>14067</v>
          </cell>
          <cell r="N4396">
            <v>647658.37725806213</v>
          </cell>
          <cell r="O4396">
            <v>652088.6758170859</v>
          </cell>
          <cell r="P4396">
            <v>348.02210000000002</v>
          </cell>
        </row>
        <row r="4397">
          <cell r="B4397">
            <v>37096</v>
          </cell>
          <cell r="C4397">
            <v>2.0665809999999998</v>
          </cell>
          <cell r="D4397">
            <v>2.4247000000000001</v>
          </cell>
          <cell r="E4397">
            <v>134181</v>
          </cell>
          <cell r="F4397">
            <v>13737</v>
          </cell>
          <cell r="J4397">
            <v>3460701.6497150683</v>
          </cell>
          <cell r="K4397">
            <v>2.4247000000000001</v>
          </cell>
          <cell r="L4397">
            <v>134181</v>
          </cell>
          <cell r="M4397">
            <v>13737</v>
          </cell>
          <cell r="N4397">
            <v>647658.37725806213</v>
          </cell>
          <cell r="O4397">
            <v>652088.6758170859</v>
          </cell>
          <cell r="P4397">
            <v>348.02210000000002</v>
          </cell>
        </row>
        <row r="4398">
          <cell r="B4398">
            <v>37097</v>
          </cell>
          <cell r="C4398">
            <v>2.0665809999999998</v>
          </cell>
          <cell r="D4398">
            <v>2.4914000000000001</v>
          </cell>
          <cell r="E4398">
            <v>135541</v>
          </cell>
          <cell r="F4398">
            <v>13955</v>
          </cell>
          <cell r="J4398">
            <v>3463085.5898070578</v>
          </cell>
          <cell r="K4398">
            <v>2.4914000000000001</v>
          </cell>
          <cell r="L4398">
            <v>135541</v>
          </cell>
          <cell r="M4398">
            <v>13955</v>
          </cell>
          <cell r="N4398">
            <v>647658.37725806213</v>
          </cell>
          <cell r="O4398">
            <v>652088.6758170859</v>
          </cell>
          <cell r="P4398">
            <v>348.02210000000002</v>
          </cell>
        </row>
        <row r="4399">
          <cell r="B4399">
            <v>37098</v>
          </cell>
          <cell r="C4399">
            <v>2.0635759999999999</v>
          </cell>
          <cell r="D4399">
            <v>2.4836</v>
          </cell>
          <cell r="E4399">
            <v>133678</v>
          </cell>
          <cell r="F4399">
            <v>13810</v>
          </cell>
          <cell r="J4399">
            <v>3465467.7032434153</v>
          </cell>
          <cell r="K4399">
            <v>2.4836</v>
          </cell>
          <cell r="L4399">
            <v>133678</v>
          </cell>
          <cell r="M4399">
            <v>13810</v>
          </cell>
          <cell r="N4399">
            <v>647658.37725806213</v>
          </cell>
          <cell r="O4399">
            <v>652088.6758170859</v>
          </cell>
          <cell r="P4399">
            <v>348.02210000000002</v>
          </cell>
        </row>
        <row r="4400">
          <cell r="B4400">
            <v>37099</v>
          </cell>
          <cell r="C4400">
            <v>2.0675829999999999</v>
          </cell>
          <cell r="D4400">
            <v>2.4971000000000001</v>
          </cell>
          <cell r="E4400">
            <v>134164</v>
          </cell>
          <cell r="F4400">
            <v>13910</v>
          </cell>
          <cell r="J4400">
            <v>3467856.0839468404</v>
          </cell>
          <cell r="K4400">
            <v>2.4971000000000001</v>
          </cell>
          <cell r="L4400">
            <v>134164</v>
          </cell>
          <cell r="M4400">
            <v>13910</v>
          </cell>
          <cell r="N4400">
            <v>647658.37725806213</v>
          </cell>
          <cell r="O4400">
            <v>652088.6758170859</v>
          </cell>
          <cell r="P4400">
            <v>348.02210000000002</v>
          </cell>
        </row>
        <row r="4401">
          <cell r="B4401">
            <v>37102</v>
          </cell>
          <cell r="C4401">
            <v>2.0675829999999999</v>
          </cell>
          <cell r="D4401">
            <v>2.4333999999999998</v>
          </cell>
          <cell r="E4401">
            <v>132296</v>
          </cell>
          <cell r="F4401">
            <v>13703</v>
          </cell>
          <cell r="J4401">
            <v>3470246.1107087121</v>
          </cell>
          <cell r="K4401">
            <v>2.4333999999999998</v>
          </cell>
          <cell r="L4401">
            <v>132296</v>
          </cell>
          <cell r="M4401">
            <v>13703</v>
          </cell>
          <cell r="N4401">
            <v>647658.37725806213</v>
          </cell>
          <cell r="O4401">
            <v>652088.6758170859</v>
          </cell>
          <cell r="P4401">
            <v>348.02210000000002</v>
          </cell>
        </row>
        <row r="4402">
          <cell r="B4402">
            <v>37103</v>
          </cell>
          <cell r="C4402">
            <v>2.0675829999999999</v>
          </cell>
          <cell r="D4402">
            <v>2.4312999999999998</v>
          </cell>
          <cell r="E4402">
            <v>132536</v>
          </cell>
          <cell r="F4402">
            <v>13754</v>
          </cell>
          <cell r="G4402">
            <v>1.62</v>
          </cell>
          <cell r="H4402">
            <v>1.48</v>
          </cell>
          <cell r="I4402">
            <v>350.61590000000001</v>
          </cell>
          <cell r="J4402">
            <v>3472637.7846634849</v>
          </cell>
          <cell r="K4402">
            <v>2.4312999999999998</v>
          </cell>
          <cell r="L4402">
            <v>132536</v>
          </cell>
          <cell r="M4402">
            <v>13754</v>
          </cell>
          <cell r="N4402">
            <v>658150.4429696427</v>
          </cell>
          <cell r="O4402">
            <v>661739.58821917872</v>
          </cell>
          <cell r="P4402">
            <v>350.61590000000001</v>
          </cell>
        </row>
        <row r="4403">
          <cell r="B4403">
            <v>37104</v>
          </cell>
          <cell r="C4403">
            <v>2.068584</v>
          </cell>
          <cell r="D4403">
            <v>2.4935</v>
          </cell>
          <cell r="E4403">
            <v>132628</v>
          </cell>
          <cell r="F4403">
            <v>13743</v>
          </cell>
          <cell r="J4403">
            <v>3475032.2656498686</v>
          </cell>
          <cell r="K4403">
            <v>2.4935</v>
          </cell>
          <cell r="L4403">
            <v>132628</v>
          </cell>
          <cell r="M4403">
            <v>13743</v>
          </cell>
          <cell r="N4403">
            <v>658150.4429696427</v>
          </cell>
          <cell r="O4403">
            <v>661739.58821917872</v>
          </cell>
          <cell r="P4403">
            <v>350.61590000000001</v>
          </cell>
        </row>
        <row r="4404">
          <cell r="B4404">
            <v>37105</v>
          </cell>
          <cell r="C4404">
            <v>2.0675829999999999</v>
          </cell>
          <cell r="D4404">
            <v>2.4876999999999998</v>
          </cell>
          <cell r="E4404">
            <v>134171</v>
          </cell>
          <cell r="F4404">
            <v>13822</v>
          </cell>
          <cell r="J4404">
            <v>3477427.238195505</v>
          </cell>
          <cell r="K4404">
            <v>2.4876999999999998</v>
          </cell>
          <cell r="L4404">
            <v>134171</v>
          </cell>
          <cell r="M4404">
            <v>13822</v>
          </cell>
          <cell r="N4404">
            <v>658150.4429696427</v>
          </cell>
          <cell r="O4404">
            <v>661739.58821917872</v>
          </cell>
          <cell r="P4404">
            <v>350.61590000000001</v>
          </cell>
        </row>
        <row r="4405">
          <cell r="B4405">
            <v>37106</v>
          </cell>
          <cell r="C4405">
            <v>2.068584</v>
          </cell>
          <cell r="D4405">
            <v>2.4883999999999999</v>
          </cell>
          <cell r="E4405">
            <v>133931</v>
          </cell>
          <cell r="F4405">
            <v>13838</v>
          </cell>
          <cell r="J4405">
            <v>3479825.0216442039</v>
          </cell>
          <cell r="K4405">
            <v>2.4883999999999999</v>
          </cell>
          <cell r="L4405">
            <v>133931</v>
          </cell>
          <cell r="M4405">
            <v>13838</v>
          </cell>
          <cell r="N4405">
            <v>658150.4429696427</v>
          </cell>
          <cell r="O4405">
            <v>661739.58821917872</v>
          </cell>
          <cell r="P4405">
            <v>350.61590000000001</v>
          </cell>
        </row>
        <row r="4406">
          <cell r="B4406">
            <v>37109</v>
          </cell>
          <cell r="C4406">
            <v>2.069585</v>
          </cell>
          <cell r="D4406">
            <v>2.4689999999999999</v>
          </cell>
          <cell r="E4406">
            <v>135068</v>
          </cell>
          <cell r="F4406">
            <v>14046</v>
          </cell>
          <cell r="J4406">
            <v>3482225.6195333437</v>
          </cell>
          <cell r="K4406">
            <v>2.4689999999999999</v>
          </cell>
          <cell r="L4406">
            <v>135068</v>
          </cell>
          <cell r="M4406">
            <v>14046</v>
          </cell>
          <cell r="N4406">
            <v>658150.4429696427</v>
          </cell>
          <cell r="O4406">
            <v>661739.58821917872</v>
          </cell>
          <cell r="P4406">
            <v>350.61590000000001</v>
          </cell>
        </row>
        <row r="4407">
          <cell r="B4407">
            <v>37110</v>
          </cell>
          <cell r="C4407">
            <v>2.0715880000000002</v>
          </cell>
          <cell r="D4407">
            <v>2.4462999999999999</v>
          </cell>
          <cell r="E4407">
            <v>134800</v>
          </cell>
          <cell r="F4407">
            <v>14035</v>
          </cell>
          <cell r="J4407">
            <v>3484630.1984689161</v>
          </cell>
          <cell r="K4407">
            <v>2.4462999999999999</v>
          </cell>
          <cell r="L4407">
            <v>134800</v>
          </cell>
          <cell r="M4407">
            <v>14035</v>
          </cell>
          <cell r="N4407">
            <v>658150.4429696427</v>
          </cell>
          <cell r="O4407">
            <v>661739.58821917872</v>
          </cell>
          <cell r="P4407">
            <v>350.61590000000001</v>
          </cell>
        </row>
        <row r="4408">
          <cell r="B4408">
            <v>37111</v>
          </cell>
          <cell r="C4408">
            <v>2.0715880000000002</v>
          </cell>
          <cell r="D4408">
            <v>2.4704000000000002</v>
          </cell>
          <cell r="E4408">
            <v>134344</v>
          </cell>
          <cell r="F4408">
            <v>13919</v>
          </cell>
          <cell r="J4408">
            <v>3487036.4378367779</v>
          </cell>
          <cell r="K4408">
            <v>2.4704000000000002</v>
          </cell>
          <cell r="L4408">
            <v>134344</v>
          </cell>
          <cell r="M4408">
            <v>13919</v>
          </cell>
          <cell r="N4408">
            <v>658150.4429696427</v>
          </cell>
          <cell r="O4408">
            <v>661739.58821917872</v>
          </cell>
          <cell r="P4408">
            <v>350.61590000000001</v>
          </cell>
        </row>
        <row r="4409">
          <cell r="B4409">
            <v>37112</v>
          </cell>
          <cell r="C4409">
            <v>2.0715880000000002</v>
          </cell>
          <cell r="D4409">
            <v>2.4668000000000001</v>
          </cell>
          <cell r="E4409">
            <v>133667</v>
          </cell>
          <cell r="F4409">
            <v>13834</v>
          </cell>
          <cell r="J4409">
            <v>3489444.3387835058</v>
          </cell>
          <cell r="K4409">
            <v>2.4668000000000001</v>
          </cell>
          <cell r="L4409">
            <v>133667</v>
          </cell>
          <cell r="M4409">
            <v>13834</v>
          </cell>
          <cell r="N4409">
            <v>658150.4429696427</v>
          </cell>
          <cell r="O4409">
            <v>661739.58821917872</v>
          </cell>
          <cell r="P4409">
            <v>350.61590000000001</v>
          </cell>
        </row>
        <row r="4410">
          <cell r="B4410">
            <v>37113</v>
          </cell>
          <cell r="C4410">
            <v>2.070586</v>
          </cell>
          <cell r="D4410">
            <v>2.4842</v>
          </cell>
          <cell r="E4410">
            <v>134487</v>
          </cell>
          <cell r="F4410">
            <v>13915</v>
          </cell>
          <cell r="J4410">
            <v>3491852.7369820606</v>
          </cell>
          <cell r="K4410">
            <v>2.4842</v>
          </cell>
          <cell r="L4410">
            <v>134487</v>
          </cell>
          <cell r="M4410">
            <v>13915</v>
          </cell>
          <cell r="N4410">
            <v>658150.4429696427</v>
          </cell>
          <cell r="O4410">
            <v>661739.58821917872</v>
          </cell>
          <cell r="P4410">
            <v>350.61590000000001</v>
          </cell>
        </row>
        <row r="4411">
          <cell r="B4411">
            <v>37116</v>
          </cell>
          <cell r="C4411">
            <v>2.0725889999999998</v>
          </cell>
          <cell r="D4411">
            <v>2.4910000000000001</v>
          </cell>
          <cell r="E4411">
            <v>133517</v>
          </cell>
          <cell r="F4411">
            <v>13771</v>
          </cell>
          <cell r="J4411">
            <v>3494265.12883949</v>
          </cell>
          <cell r="K4411">
            <v>2.4910000000000001</v>
          </cell>
          <cell r="L4411">
            <v>133517</v>
          </cell>
          <cell r="M4411">
            <v>13771</v>
          </cell>
          <cell r="N4411">
            <v>658150.4429696427</v>
          </cell>
          <cell r="O4411">
            <v>661739.58821917872</v>
          </cell>
          <cell r="P4411">
            <v>350.61590000000001</v>
          </cell>
        </row>
        <row r="4412">
          <cell r="B4412">
            <v>37117</v>
          </cell>
          <cell r="C4412">
            <v>2.0725889999999998</v>
          </cell>
          <cell r="D4412">
            <v>2.5139999999999998</v>
          </cell>
          <cell r="E4412">
            <v>134145</v>
          </cell>
          <cell r="F4412">
            <v>13829</v>
          </cell>
          <cell r="J4412">
            <v>3496679.1873291954</v>
          </cell>
          <cell r="K4412">
            <v>2.5139999999999998</v>
          </cell>
          <cell r="L4412">
            <v>134145</v>
          </cell>
          <cell r="M4412">
            <v>13829</v>
          </cell>
          <cell r="N4412">
            <v>658150.4429696427</v>
          </cell>
          <cell r="O4412">
            <v>661739.58821917872</v>
          </cell>
          <cell r="P4412">
            <v>350.61590000000001</v>
          </cell>
        </row>
        <row r="4413">
          <cell r="B4413">
            <v>37118</v>
          </cell>
          <cell r="C4413">
            <v>2.0725889999999998</v>
          </cell>
          <cell r="D4413">
            <v>2.5005000000000002</v>
          </cell>
          <cell r="E4413">
            <v>134151</v>
          </cell>
          <cell r="F4413">
            <v>13658</v>
          </cell>
          <cell r="J4413">
            <v>3499094.913602591</v>
          </cell>
          <cell r="K4413">
            <v>2.5005000000000002</v>
          </cell>
          <cell r="L4413">
            <v>134151</v>
          </cell>
          <cell r="M4413">
            <v>13658</v>
          </cell>
          <cell r="N4413">
            <v>658150.4429696427</v>
          </cell>
          <cell r="O4413">
            <v>661739.58821917872</v>
          </cell>
          <cell r="P4413">
            <v>350.61590000000001</v>
          </cell>
        </row>
        <row r="4414">
          <cell r="B4414">
            <v>37119</v>
          </cell>
          <cell r="C4414">
            <v>2.0735899999999998</v>
          </cell>
          <cell r="D4414">
            <v>2.4876999999999998</v>
          </cell>
          <cell r="E4414">
            <v>132943</v>
          </cell>
          <cell r="F4414">
            <v>13509</v>
          </cell>
          <cell r="J4414">
            <v>3501513.4763432238</v>
          </cell>
          <cell r="K4414">
            <v>2.4876999999999998</v>
          </cell>
          <cell r="L4414">
            <v>132943</v>
          </cell>
          <cell r="M4414">
            <v>13509</v>
          </cell>
          <cell r="N4414">
            <v>658150.4429696427</v>
          </cell>
          <cell r="O4414">
            <v>661739.58821917872</v>
          </cell>
          <cell r="P4414">
            <v>350.61590000000001</v>
          </cell>
        </row>
        <row r="4415">
          <cell r="B4415">
            <v>37120</v>
          </cell>
          <cell r="C4415">
            <v>2.0745909999999999</v>
          </cell>
          <cell r="D4415">
            <v>2.5234999999999999</v>
          </cell>
          <cell r="E4415">
            <v>129487</v>
          </cell>
          <cell r="F4415">
            <v>13044</v>
          </cell>
          <cell r="J4415">
            <v>3503934.8791246903</v>
          </cell>
          <cell r="K4415">
            <v>2.5234999999999999</v>
          </cell>
          <cell r="L4415">
            <v>129487</v>
          </cell>
          <cell r="M4415">
            <v>13044</v>
          </cell>
          <cell r="N4415">
            <v>658150.4429696427</v>
          </cell>
          <cell r="O4415">
            <v>661739.58821917872</v>
          </cell>
          <cell r="P4415">
            <v>350.61590000000001</v>
          </cell>
        </row>
        <row r="4416">
          <cell r="B4416">
            <v>37123</v>
          </cell>
          <cell r="C4416">
            <v>2.0745909999999999</v>
          </cell>
          <cell r="D4416">
            <v>2.5306000000000002</v>
          </cell>
          <cell r="E4416">
            <v>129815</v>
          </cell>
          <cell r="F4416">
            <v>13115</v>
          </cell>
          <cell r="J4416">
            <v>3506357.9563796292</v>
          </cell>
          <cell r="K4416">
            <v>2.5306000000000002</v>
          </cell>
          <cell r="L4416">
            <v>129815</v>
          </cell>
          <cell r="M4416">
            <v>13115</v>
          </cell>
          <cell r="N4416">
            <v>658150.4429696427</v>
          </cell>
          <cell r="O4416">
            <v>661739.58821917872</v>
          </cell>
          <cell r="P4416">
            <v>350.61590000000001</v>
          </cell>
        </row>
        <row r="4417">
          <cell r="B4417">
            <v>37124</v>
          </cell>
          <cell r="C4417">
            <v>2.0755910000000002</v>
          </cell>
          <cell r="D4417">
            <v>2.5352999999999999</v>
          </cell>
          <cell r="E4417">
            <v>127729</v>
          </cell>
          <cell r="F4417">
            <v>12891</v>
          </cell>
          <cell r="J4417">
            <v>3508783.8780519757</v>
          </cell>
          <cell r="K4417">
            <v>2.5352999999999999</v>
          </cell>
          <cell r="L4417">
            <v>127729</v>
          </cell>
          <cell r="M4417">
            <v>12891</v>
          </cell>
          <cell r="N4417">
            <v>658150.4429696427</v>
          </cell>
          <cell r="O4417">
            <v>661739.58821917872</v>
          </cell>
          <cell r="P4417">
            <v>350.61590000000001</v>
          </cell>
        </row>
        <row r="4418">
          <cell r="B4418">
            <v>37125</v>
          </cell>
          <cell r="C4418">
            <v>2.0775929999999998</v>
          </cell>
          <cell r="D4418">
            <v>2.5230999999999999</v>
          </cell>
          <cell r="E4418">
            <v>127469</v>
          </cell>
          <cell r="F4418">
            <v>12952</v>
          </cell>
          <cell r="J4418">
            <v>3511213.8196598273</v>
          </cell>
          <cell r="K4418">
            <v>2.5230999999999999</v>
          </cell>
          <cell r="L4418">
            <v>127469</v>
          </cell>
          <cell r="M4418">
            <v>12952</v>
          </cell>
          <cell r="N4418">
            <v>658150.4429696427</v>
          </cell>
          <cell r="O4418">
            <v>661739.58821917872</v>
          </cell>
          <cell r="P4418">
            <v>350.61590000000001</v>
          </cell>
        </row>
        <row r="4419">
          <cell r="B4419">
            <v>37126</v>
          </cell>
          <cell r="C4419">
            <v>2.0745909999999999</v>
          </cell>
          <cell r="D4419">
            <v>2.5282</v>
          </cell>
          <cell r="E4419">
            <v>125535</v>
          </cell>
          <cell r="F4419">
            <v>12750</v>
          </cell>
          <cell r="J4419">
            <v>3513641.9305229411</v>
          </cell>
          <cell r="K4419">
            <v>2.5282</v>
          </cell>
          <cell r="L4419">
            <v>125535</v>
          </cell>
          <cell r="M4419">
            <v>12750</v>
          </cell>
          <cell r="N4419">
            <v>658150.4429696427</v>
          </cell>
          <cell r="O4419">
            <v>661739.58821917872</v>
          </cell>
          <cell r="P4419">
            <v>350.61590000000001</v>
          </cell>
        </row>
        <row r="4420">
          <cell r="B4420">
            <v>37127</v>
          </cell>
          <cell r="C4420">
            <v>2.0755910000000002</v>
          </cell>
          <cell r="D4420">
            <v>2.5499999999999998</v>
          </cell>
          <cell r="E4420">
            <v>127185</v>
          </cell>
          <cell r="F4420">
            <v>13001</v>
          </cell>
          <cell r="J4420">
            <v>3516072.8917123461</v>
          </cell>
          <cell r="K4420">
            <v>2.5499999999999998</v>
          </cell>
          <cell r="L4420">
            <v>127185</v>
          </cell>
          <cell r="M4420">
            <v>13001</v>
          </cell>
          <cell r="N4420">
            <v>658150.4429696427</v>
          </cell>
          <cell r="O4420">
            <v>661739.58821917872</v>
          </cell>
          <cell r="P4420">
            <v>350.61590000000001</v>
          </cell>
        </row>
        <row r="4421">
          <cell r="B4421">
            <v>37130</v>
          </cell>
          <cell r="C4421">
            <v>2.0745909999999999</v>
          </cell>
          <cell r="D4421">
            <v>2.5585</v>
          </cell>
          <cell r="E4421">
            <v>127049</v>
          </cell>
          <cell r="F4421">
            <v>12995</v>
          </cell>
          <cell r="J4421">
            <v>3518504.3627711758</v>
          </cell>
          <cell r="K4421">
            <v>2.5585</v>
          </cell>
          <cell r="L4421">
            <v>127049</v>
          </cell>
          <cell r="M4421">
            <v>12995</v>
          </cell>
          <cell r="N4421">
            <v>658150.4429696427</v>
          </cell>
          <cell r="O4421">
            <v>661739.58821917872</v>
          </cell>
          <cell r="P4421">
            <v>350.61590000000001</v>
          </cell>
        </row>
        <row r="4422">
          <cell r="B4422">
            <v>37131</v>
          </cell>
          <cell r="C4422">
            <v>2.0735899999999998</v>
          </cell>
          <cell r="D4422">
            <v>2.5564</v>
          </cell>
          <cell r="E4422">
            <v>127362</v>
          </cell>
          <cell r="F4422">
            <v>13018</v>
          </cell>
          <cell r="J4422">
            <v>3520936.3412583754</v>
          </cell>
          <cell r="K4422">
            <v>2.5564</v>
          </cell>
          <cell r="L4422">
            <v>127362</v>
          </cell>
          <cell r="M4422">
            <v>13018</v>
          </cell>
          <cell r="N4422">
            <v>658150.4429696427</v>
          </cell>
          <cell r="O4422">
            <v>661739.58821917872</v>
          </cell>
          <cell r="P4422">
            <v>350.61590000000001</v>
          </cell>
        </row>
        <row r="4423">
          <cell r="B4423">
            <v>37132</v>
          </cell>
          <cell r="C4423">
            <v>2.0715880000000002</v>
          </cell>
          <cell r="D4423">
            <v>2.5474000000000001</v>
          </cell>
          <cell r="E4423">
            <v>127593</v>
          </cell>
          <cell r="F4423">
            <v>13076</v>
          </cell>
          <cell r="J4423">
            <v>3523367.6510828133</v>
          </cell>
          <cell r="K4423">
            <v>2.5474000000000001</v>
          </cell>
          <cell r="L4423">
            <v>127593</v>
          </cell>
          <cell r="M4423">
            <v>13076</v>
          </cell>
          <cell r="N4423">
            <v>658150.4429696427</v>
          </cell>
          <cell r="O4423">
            <v>661739.58821917872</v>
          </cell>
          <cell r="P4423">
            <v>350.61590000000001</v>
          </cell>
        </row>
        <row r="4424">
          <cell r="B4424">
            <v>37133</v>
          </cell>
          <cell r="C4424">
            <v>2.0735899999999998</v>
          </cell>
          <cell r="D4424">
            <v>2.5402999999999998</v>
          </cell>
          <cell r="E4424">
            <v>126618</v>
          </cell>
          <cell r="F4424">
            <v>12892</v>
          </cell>
          <cell r="J4424">
            <v>3525802.991058683</v>
          </cell>
          <cell r="K4424">
            <v>2.5402999999999998</v>
          </cell>
          <cell r="L4424">
            <v>126618</v>
          </cell>
          <cell r="M4424">
            <v>12892</v>
          </cell>
          <cell r="N4424">
            <v>658150.4429696427</v>
          </cell>
          <cell r="O4424">
            <v>661739.58821917872</v>
          </cell>
          <cell r="P4424">
            <v>350.61590000000001</v>
          </cell>
        </row>
        <row r="4425">
          <cell r="B4425">
            <v>37134</v>
          </cell>
          <cell r="C4425">
            <v>2.0755910000000002</v>
          </cell>
          <cell r="D4425">
            <v>2.5516999999999999</v>
          </cell>
          <cell r="E4425">
            <v>126344</v>
          </cell>
          <cell r="F4425">
            <v>12840</v>
          </cell>
          <cell r="G4425">
            <v>0.9</v>
          </cell>
          <cell r="H4425">
            <v>1.38</v>
          </cell>
          <cell r="I4425">
            <v>353.57960000000003</v>
          </cell>
          <cell r="J4425">
            <v>3528242.3660440212</v>
          </cell>
          <cell r="K4425">
            <v>2.5516999999999999</v>
          </cell>
          <cell r="L4425">
            <v>126344</v>
          </cell>
          <cell r="M4425">
            <v>12840</v>
          </cell>
          <cell r="N4425">
            <v>664073.79695636942</v>
          </cell>
          <cell r="O4425">
            <v>670871.59453660343</v>
          </cell>
          <cell r="P4425">
            <v>353.57960000000003</v>
          </cell>
        </row>
        <row r="4426">
          <cell r="B4426">
            <v>37137</v>
          </cell>
          <cell r="C4426">
            <v>2.0755910000000002</v>
          </cell>
          <cell r="D4426">
            <v>2.5590000000000002</v>
          </cell>
          <cell r="E4426">
            <v>125759</v>
          </cell>
          <cell r="F4426">
            <v>12800</v>
          </cell>
          <cell r="J4426">
            <v>3530683.4287442812</v>
          </cell>
          <cell r="K4426">
            <v>2.5590000000000002</v>
          </cell>
          <cell r="L4426">
            <v>125759</v>
          </cell>
          <cell r="M4426">
            <v>12800</v>
          </cell>
          <cell r="N4426">
            <v>664073.79695636942</v>
          </cell>
          <cell r="O4426">
            <v>670871.59453660343</v>
          </cell>
          <cell r="P4426">
            <v>353.57960000000003</v>
          </cell>
        </row>
        <row r="4427">
          <cell r="B4427">
            <v>37138</v>
          </cell>
          <cell r="C4427">
            <v>2.073591</v>
          </cell>
          <cell r="D4427">
            <v>2.5642</v>
          </cell>
          <cell r="E4427">
            <v>125806</v>
          </cell>
          <cell r="F4427">
            <v>12766</v>
          </cell>
          <cell r="J4427">
            <v>3533123.8265381791</v>
          </cell>
          <cell r="K4427">
            <v>2.5642</v>
          </cell>
          <cell r="L4427">
            <v>125806</v>
          </cell>
          <cell r="M4427">
            <v>12766</v>
          </cell>
          <cell r="N4427">
            <v>664073.79695636942</v>
          </cell>
          <cell r="O4427">
            <v>670871.59453660343</v>
          </cell>
          <cell r="P4427">
            <v>353.57960000000003</v>
          </cell>
        </row>
        <row r="4428">
          <cell r="B4428">
            <v>37139</v>
          </cell>
          <cell r="C4428">
            <v>2.073591</v>
          </cell>
          <cell r="D4428">
            <v>2.5669</v>
          </cell>
          <cell r="E4428">
            <v>124160</v>
          </cell>
          <cell r="F4428">
            <v>12590</v>
          </cell>
          <cell r="J4428">
            <v>3535565.9111277112</v>
          </cell>
          <cell r="K4428">
            <v>2.5669</v>
          </cell>
          <cell r="L4428">
            <v>124160</v>
          </cell>
          <cell r="M4428">
            <v>12590</v>
          </cell>
          <cell r="N4428">
            <v>664073.79695636942</v>
          </cell>
          <cell r="O4428">
            <v>670871.59453660343</v>
          </cell>
          <cell r="P4428">
            <v>353.57960000000003</v>
          </cell>
        </row>
        <row r="4429">
          <cell r="B4429">
            <v>37140</v>
          </cell>
          <cell r="C4429">
            <v>2.073591</v>
          </cell>
          <cell r="D4429">
            <v>2.5926999999999998</v>
          </cell>
          <cell r="E4429">
            <v>121824</v>
          </cell>
          <cell r="F4429">
            <v>12255</v>
          </cell>
          <cell r="J4429">
            <v>3538009.6836787853</v>
          </cell>
          <cell r="K4429">
            <v>2.5926999999999998</v>
          </cell>
          <cell r="L4429">
            <v>121824</v>
          </cell>
          <cell r="M4429">
            <v>12255</v>
          </cell>
          <cell r="N4429">
            <v>664073.79695636942</v>
          </cell>
          <cell r="O4429">
            <v>670871.59453660343</v>
          </cell>
          <cell r="P4429">
            <v>353.57960000000003</v>
          </cell>
        </row>
        <row r="4430">
          <cell r="B4430">
            <v>37144</v>
          </cell>
          <cell r="C4430">
            <v>2.0755919999999999</v>
          </cell>
          <cell r="D4430">
            <v>2.6013000000000002</v>
          </cell>
          <cell r="E4430">
            <v>119188</v>
          </cell>
          <cell r="F4430">
            <v>11922</v>
          </cell>
          <cell r="J4430">
            <v>3540457.5052105743</v>
          </cell>
          <cell r="K4430">
            <v>2.6013000000000002</v>
          </cell>
          <cell r="L4430">
            <v>119188</v>
          </cell>
          <cell r="M4430">
            <v>11922</v>
          </cell>
          <cell r="N4430">
            <v>664073.79695636942</v>
          </cell>
          <cell r="O4430">
            <v>670871.59453660343</v>
          </cell>
          <cell r="P4430">
            <v>353.57960000000003</v>
          </cell>
        </row>
        <row r="4431">
          <cell r="B4431">
            <v>37145</v>
          </cell>
          <cell r="C4431">
            <v>2.0745900000000002</v>
          </cell>
          <cell r="D4431">
            <v>2.6368999999999998</v>
          </cell>
          <cell r="E4431">
            <v>111368</v>
          </cell>
          <cell r="F4431">
            <v>10827</v>
          </cell>
          <cell r="J4431">
            <v>3542905.8377891527</v>
          </cell>
          <cell r="K4431">
            <v>2.6368999999999998</v>
          </cell>
          <cell r="L4431">
            <v>111368</v>
          </cell>
          <cell r="M4431">
            <v>10827</v>
          </cell>
          <cell r="N4431">
            <v>664073.79695636942</v>
          </cell>
          <cell r="O4431">
            <v>670871.59453660343</v>
          </cell>
          <cell r="P4431">
            <v>353.57960000000003</v>
          </cell>
        </row>
        <row r="4432">
          <cell r="B4432">
            <v>37146</v>
          </cell>
          <cell r="C4432">
            <v>2.0745900000000002</v>
          </cell>
          <cell r="D4432">
            <v>2.6741000000000001</v>
          </cell>
          <cell r="E4432">
            <v>113190</v>
          </cell>
          <cell r="F4432">
            <v>11113</v>
          </cell>
          <cell r="J4432">
            <v>3545355.8634631597</v>
          </cell>
          <cell r="K4432">
            <v>2.6741000000000001</v>
          </cell>
          <cell r="L4432">
            <v>113190</v>
          </cell>
          <cell r="M4432">
            <v>11113</v>
          </cell>
          <cell r="N4432">
            <v>664073.79695636942</v>
          </cell>
          <cell r="O4432">
            <v>670871.59453660343</v>
          </cell>
          <cell r="P4432">
            <v>353.57960000000003</v>
          </cell>
        </row>
        <row r="4433">
          <cell r="B4433">
            <v>37147</v>
          </cell>
          <cell r="C4433">
            <v>2.073591</v>
          </cell>
          <cell r="D4433">
            <v>2.6978</v>
          </cell>
          <cell r="E4433">
            <v>106283</v>
          </cell>
          <cell r="F4433">
            <v>10306</v>
          </cell>
          <cell r="J4433">
            <v>3547806.4027999183</v>
          </cell>
          <cell r="K4433">
            <v>2.6978</v>
          </cell>
          <cell r="L4433">
            <v>106283</v>
          </cell>
          <cell r="M4433">
            <v>10306</v>
          </cell>
          <cell r="N4433">
            <v>664073.79695636942</v>
          </cell>
          <cell r="O4433">
            <v>670871.59453660343</v>
          </cell>
          <cell r="P4433">
            <v>353.57960000000003</v>
          </cell>
        </row>
        <row r="4434">
          <cell r="B4434">
            <v>37148</v>
          </cell>
          <cell r="C4434">
            <v>2.0755919999999999</v>
          </cell>
          <cell r="D4434">
            <v>2.6985999999999999</v>
          </cell>
          <cell r="E4434">
            <v>103208</v>
          </cell>
          <cell r="F4434">
            <v>10034</v>
          </cell>
          <cell r="J4434">
            <v>3550261.0023289849</v>
          </cell>
          <cell r="K4434">
            <v>2.6985999999999999</v>
          </cell>
          <cell r="L4434">
            <v>103208</v>
          </cell>
          <cell r="M4434">
            <v>10034</v>
          </cell>
          <cell r="N4434">
            <v>664073.79695636942</v>
          </cell>
          <cell r="O4434">
            <v>670871.59453660343</v>
          </cell>
          <cell r="P4434">
            <v>353.57960000000003</v>
          </cell>
        </row>
        <row r="4435">
          <cell r="B4435">
            <v>37151</v>
          </cell>
          <cell r="C4435">
            <v>2.0755919999999999</v>
          </cell>
          <cell r="D4435">
            <v>2.6678999999999999</v>
          </cell>
          <cell r="E4435">
            <v>108093</v>
          </cell>
          <cell r="F4435">
            <v>10544</v>
          </cell>
          <cell r="J4435">
            <v>3552717.3001071</v>
          </cell>
          <cell r="K4435">
            <v>2.6678999999999999</v>
          </cell>
          <cell r="L4435">
            <v>108093</v>
          </cell>
          <cell r="M4435">
            <v>10544</v>
          </cell>
          <cell r="N4435">
            <v>664073.79695636942</v>
          </cell>
          <cell r="O4435">
            <v>670871.59453660343</v>
          </cell>
          <cell r="P4435">
            <v>353.57960000000003</v>
          </cell>
        </row>
        <row r="4436">
          <cell r="B4436">
            <v>37152</v>
          </cell>
          <cell r="C4436">
            <v>2.0755919999999999</v>
          </cell>
          <cell r="D4436">
            <v>2.6793</v>
          </cell>
          <cell r="E4436">
            <v>108123</v>
          </cell>
          <cell r="F4436">
            <v>10554</v>
          </cell>
          <cell r="J4436">
            <v>3555175.2973092212</v>
          </cell>
          <cell r="K4436">
            <v>2.6793</v>
          </cell>
          <cell r="L4436">
            <v>108123</v>
          </cell>
          <cell r="M4436">
            <v>10554</v>
          </cell>
          <cell r="N4436">
            <v>664073.79695636942</v>
          </cell>
          <cell r="O4436">
            <v>670871.59453660343</v>
          </cell>
          <cell r="P4436">
            <v>353.57960000000003</v>
          </cell>
        </row>
        <row r="4437">
          <cell r="B4437">
            <v>37153</v>
          </cell>
          <cell r="C4437">
            <v>2.0745900000000002</v>
          </cell>
          <cell r="D4437">
            <v>2.7065000000000001</v>
          </cell>
          <cell r="E4437">
            <v>110026</v>
          </cell>
          <cell r="F4437">
            <v>10744</v>
          </cell>
          <cell r="J4437">
            <v>3557633.8076825701</v>
          </cell>
          <cell r="K4437">
            <v>2.7065000000000001</v>
          </cell>
          <cell r="L4437">
            <v>110026</v>
          </cell>
          <cell r="M4437">
            <v>10744</v>
          </cell>
          <cell r="N4437">
            <v>664073.79695636942</v>
          </cell>
          <cell r="O4437">
            <v>670871.59453660343</v>
          </cell>
          <cell r="P4437">
            <v>353.57960000000003</v>
          </cell>
        </row>
        <row r="4438">
          <cell r="B4438">
            <v>37154</v>
          </cell>
          <cell r="C4438">
            <v>2.0745900000000002</v>
          </cell>
          <cell r="D4438">
            <v>2.7322000000000002</v>
          </cell>
          <cell r="E4438">
            <v>108389</v>
          </cell>
          <cell r="F4438">
            <v>10543</v>
          </cell>
          <cell r="J4438">
            <v>3560094.0181895974</v>
          </cell>
          <cell r="K4438">
            <v>2.7322000000000002</v>
          </cell>
          <cell r="L4438">
            <v>108389</v>
          </cell>
          <cell r="M4438">
            <v>10543</v>
          </cell>
          <cell r="N4438">
            <v>664073.79695636942</v>
          </cell>
          <cell r="O4438">
            <v>670871.59453660343</v>
          </cell>
          <cell r="P4438">
            <v>353.57960000000003</v>
          </cell>
        </row>
        <row r="4439">
          <cell r="B4439">
            <v>37155</v>
          </cell>
          <cell r="C4439">
            <v>2.0765910000000001</v>
          </cell>
          <cell r="D4439">
            <v>2.8007</v>
          </cell>
          <cell r="E4439">
            <v>107519</v>
          </cell>
          <cell r="F4439">
            <v>10418</v>
          </cell>
          <cell r="J4439">
            <v>3562558.3045887062</v>
          </cell>
          <cell r="K4439">
            <v>2.8007</v>
          </cell>
          <cell r="L4439">
            <v>107519</v>
          </cell>
          <cell r="M4439">
            <v>10418</v>
          </cell>
          <cell r="N4439">
            <v>664073.79695636942</v>
          </cell>
          <cell r="O4439">
            <v>670871.59453660343</v>
          </cell>
          <cell r="P4439">
            <v>353.57960000000003</v>
          </cell>
        </row>
        <row r="4440">
          <cell r="B4440">
            <v>37158</v>
          </cell>
          <cell r="C4440">
            <v>2.0755919999999999</v>
          </cell>
          <cell r="D4440">
            <v>2.7675000000000001</v>
          </cell>
          <cell r="E4440">
            <v>108620</v>
          </cell>
          <cell r="F4440">
            <v>10532</v>
          </cell>
          <cell r="J4440">
            <v>3565023.1104275524</v>
          </cell>
          <cell r="K4440">
            <v>2.7675000000000001</v>
          </cell>
          <cell r="L4440">
            <v>108620</v>
          </cell>
          <cell r="M4440">
            <v>10532</v>
          </cell>
          <cell r="N4440">
            <v>664073.79695636942</v>
          </cell>
          <cell r="O4440">
            <v>670871.59453660343</v>
          </cell>
          <cell r="P4440">
            <v>353.57960000000003</v>
          </cell>
        </row>
        <row r="4441">
          <cell r="B4441">
            <v>37159</v>
          </cell>
          <cell r="C4441">
            <v>2.0775929999999998</v>
          </cell>
          <cell r="D4441">
            <v>2.7132999999999998</v>
          </cell>
          <cell r="E4441">
            <v>105724</v>
          </cell>
          <cell r="F4441">
            <v>10229</v>
          </cell>
          <cell r="J4441">
            <v>3567491.99944724</v>
          </cell>
          <cell r="K4441">
            <v>2.7132999999999998</v>
          </cell>
          <cell r="L4441">
            <v>105724</v>
          </cell>
          <cell r="M4441">
            <v>10229</v>
          </cell>
          <cell r="N4441">
            <v>664073.79695636942</v>
          </cell>
          <cell r="O4441">
            <v>670871.59453660343</v>
          </cell>
          <cell r="P4441">
            <v>353.57960000000003</v>
          </cell>
        </row>
        <row r="4442">
          <cell r="B4442">
            <v>37160</v>
          </cell>
          <cell r="C4442">
            <v>2.0795940000000002</v>
          </cell>
          <cell r="D4442">
            <v>2.7263999999999999</v>
          </cell>
          <cell r="E4442">
            <v>103796</v>
          </cell>
          <cell r="F4442">
            <v>10005</v>
          </cell>
          <cell r="J4442">
            <v>3569964.9777662731</v>
          </cell>
          <cell r="K4442">
            <v>2.7263999999999999</v>
          </cell>
          <cell r="L4442">
            <v>103796</v>
          </cell>
          <cell r="M4442">
            <v>10005</v>
          </cell>
          <cell r="N4442">
            <v>664073.79695636942</v>
          </cell>
          <cell r="O4442">
            <v>670871.59453660343</v>
          </cell>
          <cell r="P4442">
            <v>353.57960000000003</v>
          </cell>
        </row>
        <row r="4443">
          <cell r="B4443">
            <v>37161</v>
          </cell>
          <cell r="C4443">
            <v>2.0805929999999999</v>
          </cell>
          <cell r="D4443">
            <v>2.7050000000000001</v>
          </cell>
          <cell r="E4443">
            <v>106568</v>
          </cell>
          <cell r="F4443">
            <v>10404</v>
          </cell>
          <cell r="J4443">
            <v>3572440.8591472683</v>
          </cell>
          <cell r="K4443">
            <v>2.7050000000000001</v>
          </cell>
          <cell r="L4443">
            <v>106568</v>
          </cell>
          <cell r="M4443">
            <v>10404</v>
          </cell>
          <cell r="N4443">
            <v>664073.79695636942</v>
          </cell>
          <cell r="O4443">
            <v>670871.59453660343</v>
          </cell>
          <cell r="P4443">
            <v>353.57960000000003</v>
          </cell>
        </row>
        <row r="4444">
          <cell r="B4444">
            <v>37162</v>
          </cell>
          <cell r="C4444">
            <v>2.0805929999999999</v>
          </cell>
          <cell r="D4444">
            <v>2.6713</v>
          </cell>
          <cell r="E4444">
            <v>108198</v>
          </cell>
          <cell r="F4444">
            <v>10635</v>
          </cell>
          <cell r="G4444">
            <v>0.38</v>
          </cell>
          <cell r="H4444">
            <v>0.31</v>
          </cell>
          <cell r="I4444">
            <v>355.92559999999997</v>
          </cell>
          <cell r="J4444">
            <v>3574918.4576287535</v>
          </cell>
          <cell r="K4444">
            <v>2.6713</v>
          </cell>
          <cell r="L4444">
            <v>108198</v>
          </cell>
          <cell r="M4444">
            <v>10635</v>
          </cell>
          <cell r="N4444">
            <v>666597.27738480363</v>
          </cell>
          <cell r="O4444">
            <v>672951.29647966695</v>
          </cell>
          <cell r="P4444">
            <v>355.92559999999997</v>
          </cell>
        </row>
        <row r="4445">
          <cell r="B4445">
            <v>37165</v>
          </cell>
          <cell r="C4445">
            <v>2.0815950000000001</v>
          </cell>
          <cell r="D4445">
            <v>2.6865999999999999</v>
          </cell>
          <cell r="E4445">
            <v>107963</v>
          </cell>
          <cell r="F4445">
            <v>10501</v>
          </cell>
          <cell r="J4445">
            <v>3577398.9684243556</v>
          </cell>
          <cell r="K4445">
            <v>2.6865999999999999</v>
          </cell>
          <cell r="L4445">
            <v>107963</v>
          </cell>
          <cell r="M4445">
            <v>10501</v>
          </cell>
          <cell r="N4445">
            <v>666597.27738480363</v>
          </cell>
          <cell r="O4445">
            <v>672951.29647966695</v>
          </cell>
          <cell r="P4445">
            <v>355.92559999999997</v>
          </cell>
        </row>
        <row r="4446">
          <cell r="B4446">
            <v>37166</v>
          </cell>
          <cell r="C4446">
            <v>2.0825939999999998</v>
          </cell>
          <cell r="D4446">
            <v>2.7038000000000002</v>
          </cell>
          <cell r="E4446">
            <v>107228</v>
          </cell>
          <cell r="F4446">
            <v>10350</v>
          </cell>
          <cell r="J4446">
            <v>3579882.3916334375</v>
          </cell>
          <cell r="K4446">
            <v>2.7038000000000002</v>
          </cell>
          <cell r="L4446">
            <v>107228</v>
          </cell>
          <cell r="M4446">
            <v>10350</v>
          </cell>
          <cell r="N4446">
            <v>666597.27738480363</v>
          </cell>
          <cell r="O4446">
            <v>672951.29647966695</v>
          </cell>
          <cell r="P4446">
            <v>355.92559999999997</v>
          </cell>
        </row>
        <row r="4447">
          <cell r="B4447">
            <v>37167</v>
          </cell>
          <cell r="C4447">
            <v>2.0825939999999998</v>
          </cell>
          <cell r="D4447">
            <v>2.7286999999999999</v>
          </cell>
          <cell r="E4447">
            <v>106438</v>
          </cell>
          <cell r="F4447">
            <v>10233</v>
          </cell>
          <cell r="J4447">
            <v>3582367.5388299446</v>
          </cell>
          <cell r="K4447">
            <v>2.7286999999999999</v>
          </cell>
          <cell r="L4447">
            <v>106438</v>
          </cell>
          <cell r="M4447">
            <v>10233</v>
          </cell>
          <cell r="N4447">
            <v>666597.27738480363</v>
          </cell>
          <cell r="O4447">
            <v>672951.29647966695</v>
          </cell>
          <cell r="P4447">
            <v>355.92559999999997</v>
          </cell>
        </row>
        <row r="4448">
          <cell r="B4448">
            <v>37168</v>
          </cell>
          <cell r="C4448">
            <v>2.0805929999999999</v>
          </cell>
          <cell r="D4448">
            <v>2.7326000000000001</v>
          </cell>
          <cell r="E4448">
            <v>104702</v>
          </cell>
          <cell r="F4448">
            <v>10061</v>
          </cell>
          <cell r="J4448">
            <v>3584852.0217715171</v>
          </cell>
          <cell r="K4448">
            <v>2.7326000000000001</v>
          </cell>
          <cell r="L4448">
            <v>104702</v>
          </cell>
          <cell r="M4448">
            <v>10061</v>
          </cell>
          <cell r="N4448">
            <v>666597.27738480363</v>
          </cell>
          <cell r="O4448">
            <v>672951.29647966695</v>
          </cell>
          <cell r="P4448">
            <v>355.92559999999997</v>
          </cell>
        </row>
        <row r="4449">
          <cell r="B4449">
            <v>37169</v>
          </cell>
          <cell r="C4449">
            <v>2.0795940000000002</v>
          </cell>
          <cell r="D4449">
            <v>2.754</v>
          </cell>
          <cell r="E4449">
            <v>105669</v>
          </cell>
          <cell r="F4449">
            <v>10197</v>
          </cell>
          <cell r="J4449">
            <v>3587337.0340233049</v>
          </cell>
          <cell r="K4449">
            <v>2.754</v>
          </cell>
          <cell r="L4449">
            <v>105669</v>
          </cell>
          <cell r="M4449">
            <v>10197</v>
          </cell>
          <cell r="N4449">
            <v>666597.27738480363</v>
          </cell>
          <cell r="O4449">
            <v>672951.29647966695</v>
          </cell>
          <cell r="P4449">
            <v>355.92559999999997</v>
          </cell>
        </row>
        <row r="4450">
          <cell r="B4450">
            <v>37172</v>
          </cell>
          <cell r="C4450">
            <v>2.078592</v>
          </cell>
          <cell r="D4450">
            <v>2.7827999999999999</v>
          </cell>
          <cell r="E4450">
            <v>104963</v>
          </cell>
          <cell r="F4450">
            <v>10094</v>
          </cell>
          <cell r="J4450">
            <v>3589822.5707100462</v>
          </cell>
          <cell r="K4450">
            <v>2.7827999999999999</v>
          </cell>
          <cell r="L4450">
            <v>104963</v>
          </cell>
          <cell r="M4450">
            <v>10094</v>
          </cell>
          <cell r="N4450">
            <v>666597.27738480363</v>
          </cell>
          <cell r="O4450">
            <v>672951.29647966695</v>
          </cell>
          <cell r="P4450">
            <v>355.92559999999997</v>
          </cell>
        </row>
        <row r="4451">
          <cell r="B4451">
            <v>37173</v>
          </cell>
          <cell r="C4451">
            <v>2.0775929999999998</v>
          </cell>
          <cell r="D4451">
            <v>2.7797000000000001</v>
          </cell>
          <cell r="E4451">
            <v>106133</v>
          </cell>
          <cell r="F4451">
            <v>10284</v>
          </cell>
          <cell r="J4451">
            <v>3592308.6341247628</v>
          </cell>
          <cell r="K4451">
            <v>2.7797000000000001</v>
          </cell>
          <cell r="L4451">
            <v>106133</v>
          </cell>
          <cell r="M4451">
            <v>10284</v>
          </cell>
          <cell r="N4451">
            <v>666597.27738480363</v>
          </cell>
          <cell r="O4451">
            <v>672951.29647966695</v>
          </cell>
          <cell r="P4451">
            <v>355.92559999999997</v>
          </cell>
        </row>
        <row r="4452">
          <cell r="B4452">
            <v>37174</v>
          </cell>
          <cell r="C4452">
            <v>2.0755919999999999</v>
          </cell>
          <cell r="D4452">
            <v>2.7784</v>
          </cell>
          <cell r="E4452">
            <v>108435</v>
          </cell>
          <cell r="F4452">
            <v>10462</v>
          </cell>
          <cell r="J4452">
            <v>3594794.023145603</v>
          </cell>
          <cell r="K4452">
            <v>2.7784</v>
          </cell>
          <cell r="L4452">
            <v>108435</v>
          </cell>
          <cell r="M4452">
            <v>10462</v>
          </cell>
          <cell r="N4452">
            <v>666597.27738480363</v>
          </cell>
          <cell r="O4452">
            <v>672951.29647966695</v>
          </cell>
          <cell r="P4452">
            <v>355.92559999999997</v>
          </cell>
        </row>
        <row r="4453">
          <cell r="B4453">
            <v>37175</v>
          </cell>
          <cell r="C4453">
            <v>2.0755919999999999</v>
          </cell>
          <cell r="D4453">
            <v>2.7799</v>
          </cell>
          <cell r="E4453">
            <v>110868</v>
          </cell>
          <cell r="F4453">
            <v>10784</v>
          </cell>
          <cell r="J4453">
            <v>3597281.1317176325</v>
          </cell>
          <cell r="K4453">
            <v>2.7799</v>
          </cell>
          <cell r="L4453">
            <v>110868</v>
          </cell>
          <cell r="M4453">
            <v>10784</v>
          </cell>
          <cell r="N4453">
            <v>666597.27738480363</v>
          </cell>
          <cell r="O4453">
            <v>672951.29647966695</v>
          </cell>
          <cell r="P4453">
            <v>355.92559999999997</v>
          </cell>
        </row>
        <row r="4454">
          <cell r="B4454">
            <v>37179</v>
          </cell>
          <cell r="C4454">
            <v>2.0755919999999999</v>
          </cell>
          <cell r="D4454">
            <v>2.7789999999999999</v>
          </cell>
          <cell r="E4454">
            <v>115812</v>
          </cell>
          <cell r="F4454">
            <v>11329</v>
          </cell>
          <cell r="J4454">
            <v>3599769.961030547</v>
          </cell>
          <cell r="K4454">
            <v>2.7789999999999999</v>
          </cell>
          <cell r="L4454">
            <v>115812</v>
          </cell>
          <cell r="M4454">
            <v>11329</v>
          </cell>
          <cell r="N4454">
            <v>666597.27738480363</v>
          </cell>
          <cell r="O4454">
            <v>672951.29647966695</v>
          </cell>
          <cell r="P4454">
            <v>355.92559999999997</v>
          </cell>
        </row>
        <row r="4455">
          <cell r="B4455">
            <v>37180</v>
          </cell>
          <cell r="C4455">
            <v>2.0745900000000002</v>
          </cell>
          <cell r="D4455">
            <v>2.7526000000000002</v>
          </cell>
          <cell r="E4455">
            <v>116278</v>
          </cell>
          <cell r="F4455">
            <v>11257</v>
          </cell>
          <cell r="J4455">
            <v>3602259.3099516989</v>
          </cell>
          <cell r="K4455">
            <v>2.7526000000000002</v>
          </cell>
          <cell r="L4455">
            <v>116278</v>
          </cell>
          <cell r="M4455">
            <v>11257</v>
          </cell>
          <cell r="N4455">
            <v>666597.27738480363</v>
          </cell>
          <cell r="O4455">
            <v>672951.29647966695</v>
          </cell>
          <cell r="P4455">
            <v>355.92559999999997</v>
          </cell>
        </row>
        <row r="4456">
          <cell r="B4456">
            <v>37181</v>
          </cell>
          <cell r="C4456">
            <v>2.073591</v>
          </cell>
          <cell r="D4456">
            <v>2.7210999999999999</v>
          </cell>
          <cell r="E4456">
            <v>116330</v>
          </cell>
          <cell r="F4456">
            <v>11271</v>
          </cell>
          <cell r="J4456">
            <v>3604749.18077996</v>
          </cell>
          <cell r="K4456">
            <v>2.7210999999999999</v>
          </cell>
          <cell r="L4456">
            <v>116330</v>
          </cell>
          <cell r="M4456">
            <v>11271</v>
          </cell>
          <cell r="N4456">
            <v>666597.27738480363</v>
          </cell>
          <cell r="O4456">
            <v>672951.29647966695</v>
          </cell>
          <cell r="P4456">
            <v>355.92559999999997</v>
          </cell>
        </row>
        <row r="4457">
          <cell r="B4457">
            <v>37182</v>
          </cell>
          <cell r="C4457">
            <v>2.0755919999999999</v>
          </cell>
          <cell r="D4457">
            <v>2.7425000000000002</v>
          </cell>
          <cell r="E4457">
            <v>114230</v>
          </cell>
          <cell r="F4457">
            <v>10994</v>
          </cell>
          <cell r="J4457">
            <v>3607243.176967171</v>
          </cell>
          <cell r="K4457">
            <v>2.7425000000000002</v>
          </cell>
          <cell r="L4457">
            <v>114230</v>
          </cell>
          <cell r="M4457">
            <v>10994</v>
          </cell>
          <cell r="N4457">
            <v>666597.27738480363</v>
          </cell>
          <cell r="O4457">
            <v>672951.29647966695</v>
          </cell>
          <cell r="P4457">
            <v>355.92559999999997</v>
          </cell>
        </row>
        <row r="4458">
          <cell r="B4458">
            <v>37183</v>
          </cell>
          <cell r="C4458">
            <v>2.0745900000000002</v>
          </cell>
          <cell r="D4458">
            <v>2.7572999999999999</v>
          </cell>
          <cell r="E4458">
            <v>117320</v>
          </cell>
          <cell r="F4458">
            <v>11331</v>
          </cell>
          <cell r="J4458">
            <v>3609737.6938413396</v>
          </cell>
          <cell r="K4458">
            <v>2.7572999999999999</v>
          </cell>
          <cell r="L4458">
            <v>117320</v>
          </cell>
          <cell r="M4458">
            <v>11331</v>
          </cell>
          <cell r="N4458">
            <v>666597.27738480363</v>
          </cell>
          <cell r="O4458">
            <v>672951.29647966695</v>
          </cell>
          <cell r="P4458">
            <v>355.92559999999997</v>
          </cell>
        </row>
        <row r="4459">
          <cell r="B4459">
            <v>37186</v>
          </cell>
          <cell r="C4459">
            <v>2.0745900000000002</v>
          </cell>
          <cell r="D4459">
            <v>2.7176</v>
          </cell>
          <cell r="E4459">
            <v>120351</v>
          </cell>
          <cell r="F4459">
            <v>11699</v>
          </cell>
          <cell r="J4459">
            <v>3612233.935748762</v>
          </cell>
          <cell r="K4459">
            <v>2.7176</v>
          </cell>
          <cell r="L4459">
            <v>120351</v>
          </cell>
          <cell r="M4459">
            <v>11699</v>
          </cell>
          <cell r="N4459">
            <v>666597.27738480363</v>
          </cell>
          <cell r="O4459">
            <v>672951.29647966695</v>
          </cell>
          <cell r="P4459">
            <v>355.92559999999997</v>
          </cell>
        </row>
        <row r="4460">
          <cell r="B4460">
            <v>37187</v>
          </cell>
          <cell r="C4460">
            <v>2.0755919999999999</v>
          </cell>
          <cell r="D4460">
            <v>2.7168000000000001</v>
          </cell>
          <cell r="E4460">
            <v>120211</v>
          </cell>
          <cell r="F4460">
            <v>11613</v>
          </cell>
          <cell r="J4460">
            <v>3614733.1103684846</v>
          </cell>
          <cell r="K4460">
            <v>2.7168000000000001</v>
          </cell>
          <cell r="L4460">
            <v>120211</v>
          </cell>
          <cell r="M4460">
            <v>11613</v>
          </cell>
          <cell r="N4460">
            <v>666597.27738480363</v>
          </cell>
          <cell r="O4460">
            <v>672951.29647966695</v>
          </cell>
          <cell r="P4460">
            <v>355.92559999999997</v>
          </cell>
        </row>
        <row r="4461">
          <cell r="B4461">
            <v>37188</v>
          </cell>
          <cell r="C4461">
            <v>2.0755919999999999</v>
          </cell>
          <cell r="D4461">
            <v>2.7437999999999998</v>
          </cell>
          <cell r="E4461">
            <v>119630</v>
          </cell>
          <cell r="F4461">
            <v>11467</v>
          </cell>
          <cell r="J4461">
            <v>3617234.0140771568</v>
          </cell>
          <cell r="K4461">
            <v>2.7437999999999998</v>
          </cell>
          <cell r="L4461">
            <v>119630</v>
          </cell>
          <cell r="M4461">
            <v>11467</v>
          </cell>
          <cell r="N4461">
            <v>666597.27738480363</v>
          </cell>
          <cell r="O4461">
            <v>672951.29647966695</v>
          </cell>
          <cell r="P4461">
            <v>355.92559999999997</v>
          </cell>
        </row>
        <row r="4462">
          <cell r="B4462">
            <v>37189</v>
          </cell>
          <cell r="C4462">
            <v>2.0745900000000002</v>
          </cell>
          <cell r="D4462">
            <v>2.7427999999999999</v>
          </cell>
          <cell r="E4462">
            <v>121609</v>
          </cell>
          <cell r="F4462">
            <v>11723</v>
          </cell>
          <cell r="J4462">
            <v>3619735.439914912</v>
          </cell>
          <cell r="K4462">
            <v>2.7427999999999999</v>
          </cell>
          <cell r="L4462">
            <v>121609</v>
          </cell>
          <cell r="M4462">
            <v>11723</v>
          </cell>
          <cell r="N4462">
            <v>666597.27738480363</v>
          </cell>
          <cell r="O4462">
            <v>672951.29647966695</v>
          </cell>
          <cell r="P4462">
            <v>355.92559999999997</v>
          </cell>
        </row>
        <row r="4463">
          <cell r="B4463">
            <v>37190</v>
          </cell>
          <cell r="C4463">
            <v>2.0735899999999998</v>
          </cell>
          <cell r="D4463">
            <v>2.7290000000000001</v>
          </cell>
          <cell r="E4463">
            <v>122549</v>
          </cell>
          <cell r="F4463">
            <v>11780</v>
          </cell>
          <cell r="J4463">
            <v>3622237.3889851966</v>
          </cell>
          <cell r="K4463">
            <v>2.7290000000000001</v>
          </cell>
          <cell r="L4463">
            <v>122549</v>
          </cell>
          <cell r="M4463">
            <v>11780</v>
          </cell>
          <cell r="N4463">
            <v>666597.27738480363</v>
          </cell>
          <cell r="O4463">
            <v>672951.29647966695</v>
          </cell>
          <cell r="P4463">
            <v>355.92559999999997</v>
          </cell>
        </row>
        <row r="4464">
          <cell r="B4464">
            <v>37193</v>
          </cell>
          <cell r="C4464">
            <v>2.0755919999999999</v>
          </cell>
          <cell r="D4464">
            <v>2.7246000000000001</v>
          </cell>
          <cell r="E4464">
            <v>118633</v>
          </cell>
          <cell r="F4464">
            <v>11377</v>
          </cell>
          <cell r="J4464">
            <v>3624743.4846340893</v>
          </cell>
          <cell r="K4464">
            <v>2.7246000000000001</v>
          </cell>
          <cell r="L4464">
            <v>118633</v>
          </cell>
          <cell r="M4464">
            <v>11377</v>
          </cell>
          <cell r="N4464">
            <v>666597.27738480363</v>
          </cell>
          <cell r="O4464">
            <v>672951.29647966695</v>
          </cell>
          <cell r="P4464">
            <v>355.92559999999997</v>
          </cell>
        </row>
        <row r="4465">
          <cell r="B4465">
            <v>37194</v>
          </cell>
          <cell r="C4465">
            <v>2.0745900000000002</v>
          </cell>
          <cell r="D4465">
            <v>2.7231000000000001</v>
          </cell>
          <cell r="E4465">
            <v>115898</v>
          </cell>
          <cell r="F4465">
            <v>11023</v>
          </cell>
          <cell r="J4465">
            <v>3627250.1034960188</v>
          </cell>
          <cell r="K4465">
            <v>2.7231000000000001</v>
          </cell>
          <cell r="L4465">
            <v>115898</v>
          </cell>
          <cell r="M4465">
            <v>11023</v>
          </cell>
          <cell r="N4465">
            <v>666597.27738480363</v>
          </cell>
          <cell r="O4465">
            <v>672951.29647966695</v>
          </cell>
          <cell r="P4465">
            <v>355.92559999999997</v>
          </cell>
        </row>
        <row r="4466">
          <cell r="B4466">
            <v>37195</v>
          </cell>
          <cell r="C4466">
            <v>2.0745900000000002</v>
          </cell>
          <cell r="D4466">
            <v>2.7071000000000001</v>
          </cell>
          <cell r="E4466">
            <v>118355</v>
          </cell>
          <cell r="F4466">
            <v>11364</v>
          </cell>
          <cell r="G4466">
            <v>1.45</v>
          </cell>
          <cell r="H4466">
            <v>1.18</v>
          </cell>
          <cell r="I4466">
            <v>358.74740000000003</v>
          </cell>
          <cell r="J4466">
            <v>3629758.4557600897</v>
          </cell>
          <cell r="K4466">
            <v>2.7071000000000001</v>
          </cell>
          <cell r="L4466">
            <v>118355</v>
          </cell>
          <cell r="M4466">
            <v>11364</v>
          </cell>
          <cell r="N4466">
            <v>676262.93790688331</v>
          </cell>
          <cell r="O4466">
            <v>680892.12177812704</v>
          </cell>
          <cell r="P4466">
            <v>358.74740000000003</v>
          </cell>
        </row>
        <row r="4467">
          <cell r="B4467">
            <v>37196</v>
          </cell>
          <cell r="C4467">
            <v>2.0745900000000002</v>
          </cell>
          <cell r="D4467">
            <v>2.6819999999999999</v>
          </cell>
          <cell r="E4467">
            <v>119128</v>
          </cell>
          <cell r="F4467">
            <v>11387</v>
          </cell>
          <cell r="J4467">
            <v>3632268.5426250016</v>
          </cell>
          <cell r="K4467">
            <v>2.6819999999999999</v>
          </cell>
          <cell r="L4467">
            <v>119128</v>
          </cell>
          <cell r="M4467">
            <v>11387</v>
          </cell>
          <cell r="N4467">
            <v>676262.93790688331</v>
          </cell>
          <cell r="O4467">
            <v>680892.12177812704</v>
          </cell>
          <cell r="P4467">
            <v>358.74740000000003</v>
          </cell>
        </row>
        <row r="4468">
          <cell r="B4468">
            <v>37200</v>
          </cell>
          <cell r="C4468">
            <v>2.0755919999999999</v>
          </cell>
          <cell r="D4468">
            <v>2.6208</v>
          </cell>
          <cell r="E4468">
            <v>126064</v>
          </cell>
          <cell r="F4468">
            <v>12164</v>
          </cell>
          <cell r="J4468">
            <v>3634781.5784679763</v>
          </cell>
          <cell r="K4468">
            <v>2.6208</v>
          </cell>
          <cell r="L4468">
            <v>126064</v>
          </cell>
          <cell r="M4468">
            <v>12164</v>
          </cell>
          <cell r="N4468">
            <v>676262.93790688331</v>
          </cell>
          <cell r="O4468">
            <v>680892.12177812704</v>
          </cell>
          <cell r="P4468">
            <v>358.74740000000003</v>
          </cell>
        </row>
        <row r="4469">
          <cell r="B4469">
            <v>37201</v>
          </cell>
          <cell r="C4469">
            <v>2.0755910000000002</v>
          </cell>
          <cell r="D4469">
            <v>2.6002999999999998</v>
          </cell>
          <cell r="E4469">
            <v>129624</v>
          </cell>
          <cell r="F4469">
            <v>12415</v>
          </cell>
          <cell r="J4469">
            <v>3637296.3517783876</v>
          </cell>
          <cell r="K4469">
            <v>2.6002999999999998</v>
          </cell>
          <cell r="L4469">
            <v>129624</v>
          </cell>
          <cell r="M4469">
            <v>12415</v>
          </cell>
          <cell r="N4469">
            <v>676262.93790688331</v>
          </cell>
          <cell r="O4469">
            <v>680892.12177812704</v>
          </cell>
          <cell r="P4469">
            <v>358.74740000000003</v>
          </cell>
        </row>
        <row r="4470">
          <cell r="B4470">
            <v>37202</v>
          </cell>
          <cell r="C4470">
            <v>2.0765910000000001</v>
          </cell>
          <cell r="D4470">
            <v>2.6055000000000001</v>
          </cell>
          <cell r="E4470">
            <v>132110</v>
          </cell>
          <cell r="F4470">
            <v>12615</v>
          </cell>
          <cell r="J4470">
            <v>3639814.0774011994</v>
          </cell>
          <cell r="K4470">
            <v>2.6055000000000001</v>
          </cell>
          <cell r="L4470">
            <v>132110</v>
          </cell>
          <cell r="M4470">
            <v>12615</v>
          </cell>
          <cell r="N4470">
            <v>676262.93790688331</v>
          </cell>
          <cell r="O4470">
            <v>680892.12177812704</v>
          </cell>
          <cell r="P4470">
            <v>358.74740000000003</v>
          </cell>
        </row>
        <row r="4471">
          <cell r="B4471">
            <v>37203</v>
          </cell>
          <cell r="C4471">
            <v>2.0755910000000002</v>
          </cell>
          <cell r="D4471">
            <v>2.5571000000000002</v>
          </cell>
          <cell r="E4471">
            <v>131218</v>
          </cell>
          <cell r="F4471">
            <v>12553</v>
          </cell>
          <cell r="J4471">
            <v>3642332.332514775</v>
          </cell>
          <cell r="K4471">
            <v>2.5571000000000002</v>
          </cell>
          <cell r="L4471">
            <v>131218</v>
          </cell>
          <cell r="M4471">
            <v>12553</v>
          </cell>
          <cell r="N4471">
            <v>676262.93790688331</v>
          </cell>
          <cell r="O4471">
            <v>680892.12177812704</v>
          </cell>
          <cell r="P4471">
            <v>358.74740000000003</v>
          </cell>
        </row>
        <row r="4472">
          <cell r="B4472">
            <v>37204</v>
          </cell>
          <cell r="C4472">
            <v>2.0765910000000001</v>
          </cell>
          <cell r="D4472">
            <v>2.5347</v>
          </cell>
          <cell r="E4472">
            <v>131865</v>
          </cell>
          <cell r="F4472">
            <v>12730</v>
          </cell>
          <cell r="J4472">
            <v>3644853.5440283446</v>
          </cell>
          <cell r="K4472">
            <v>2.5347</v>
          </cell>
          <cell r="L4472">
            <v>131865</v>
          </cell>
          <cell r="M4472">
            <v>12730</v>
          </cell>
          <cell r="N4472">
            <v>676262.93790688331</v>
          </cell>
          <cell r="O4472">
            <v>680892.12177812704</v>
          </cell>
          <cell r="P4472">
            <v>358.74740000000003</v>
          </cell>
        </row>
        <row r="4473">
          <cell r="B4473">
            <v>37207</v>
          </cell>
          <cell r="C4473">
            <v>2.0765910000000001</v>
          </cell>
          <cell r="D4473">
            <v>2.5501999999999998</v>
          </cell>
          <cell r="E4473">
            <v>130800</v>
          </cell>
          <cell r="F4473">
            <v>12567</v>
          </cell>
          <cell r="J4473">
            <v>3647376.5007169605</v>
          </cell>
          <cell r="K4473">
            <v>2.5501999999999998</v>
          </cell>
          <cell r="L4473">
            <v>130800</v>
          </cell>
          <cell r="M4473">
            <v>12567</v>
          </cell>
          <cell r="N4473">
            <v>676262.93790688331</v>
          </cell>
          <cell r="O4473">
            <v>680892.12177812704</v>
          </cell>
          <cell r="P4473">
            <v>358.74740000000003</v>
          </cell>
        </row>
        <row r="4474">
          <cell r="B4474">
            <v>37208</v>
          </cell>
          <cell r="C4474">
            <v>2.0755919999999999</v>
          </cell>
          <cell r="D4474">
            <v>2.5270000000000001</v>
          </cell>
          <cell r="E4474">
            <v>133656</v>
          </cell>
          <cell r="F4474">
            <v>12918</v>
          </cell>
          <cell r="J4474">
            <v>3649899.9892122527</v>
          </cell>
          <cell r="K4474">
            <v>2.5270000000000001</v>
          </cell>
          <cell r="L4474">
            <v>133656</v>
          </cell>
          <cell r="M4474">
            <v>12918</v>
          </cell>
          <cell r="N4474">
            <v>676262.93790688331</v>
          </cell>
          <cell r="O4474">
            <v>680892.12177812704</v>
          </cell>
          <cell r="P4474">
            <v>358.74740000000003</v>
          </cell>
        </row>
        <row r="4475">
          <cell r="B4475">
            <v>37209</v>
          </cell>
          <cell r="C4475">
            <v>2.0765910000000001</v>
          </cell>
          <cell r="D4475">
            <v>2.5299</v>
          </cell>
          <cell r="E4475">
            <v>134102</v>
          </cell>
          <cell r="F4475">
            <v>12825</v>
          </cell>
          <cell r="J4475">
            <v>3652426.4390350855</v>
          </cell>
          <cell r="K4475">
            <v>2.5299</v>
          </cell>
          <cell r="L4475">
            <v>134102</v>
          </cell>
          <cell r="M4475">
            <v>12825</v>
          </cell>
          <cell r="N4475">
            <v>676262.93790688331</v>
          </cell>
          <cell r="O4475">
            <v>680892.12177812704</v>
          </cell>
          <cell r="P4475">
            <v>358.74740000000003</v>
          </cell>
        </row>
        <row r="4476">
          <cell r="B4476">
            <v>37211</v>
          </cell>
          <cell r="C4476">
            <v>2.0765920000000002</v>
          </cell>
          <cell r="D4476">
            <v>2.5392000000000001</v>
          </cell>
          <cell r="E4476">
            <v>135851</v>
          </cell>
          <cell r="F4476">
            <v>12882</v>
          </cell>
          <cell r="J4476">
            <v>3654954.6388763818</v>
          </cell>
          <cell r="K4476">
            <v>2.5392000000000001</v>
          </cell>
          <cell r="L4476">
            <v>135851</v>
          </cell>
          <cell r="M4476">
            <v>12882</v>
          </cell>
          <cell r="N4476">
            <v>676262.93790688331</v>
          </cell>
          <cell r="O4476">
            <v>680892.12177812704</v>
          </cell>
          <cell r="P4476">
            <v>358.74740000000003</v>
          </cell>
        </row>
        <row r="4477">
          <cell r="B4477">
            <v>37214</v>
          </cell>
          <cell r="C4477">
            <v>2.0765910000000001</v>
          </cell>
          <cell r="D4477">
            <v>2.5154000000000001</v>
          </cell>
          <cell r="E4477">
            <v>137516</v>
          </cell>
          <cell r="F4477">
            <v>12987</v>
          </cell>
          <cell r="J4477">
            <v>3657484.5875125481</v>
          </cell>
          <cell r="K4477">
            <v>2.5154000000000001</v>
          </cell>
          <cell r="L4477">
            <v>137516</v>
          </cell>
          <cell r="M4477">
            <v>12987</v>
          </cell>
          <cell r="N4477">
            <v>676262.93790688331</v>
          </cell>
          <cell r="O4477">
            <v>680892.12177812704</v>
          </cell>
          <cell r="P4477">
            <v>358.74740000000003</v>
          </cell>
        </row>
        <row r="4478">
          <cell r="B4478">
            <v>37215</v>
          </cell>
          <cell r="C4478">
            <v>2.0765910000000001</v>
          </cell>
          <cell r="D4478">
            <v>2.5350000000000001</v>
          </cell>
          <cell r="E4478">
            <v>134860</v>
          </cell>
          <cell r="F4478">
            <v>12638</v>
          </cell>
          <cell r="J4478">
            <v>3660016.2873715707</v>
          </cell>
          <cell r="K4478">
            <v>2.5350000000000001</v>
          </cell>
          <cell r="L4478">
            <v>134860</v>
          </cell>
          <cell r="M4478">
            <v>12638</v>
          </cell>
          <cell r="N4478">
            <v>676262.93790688331</v>
          </cell>
          <cell r="O4478">
            <v>680892.12177812704</v>
          </cell>
          <cell r="P4478">
            <v>358.74740000000003</v>
          </cell>
        </row>
        <row r="4479">
          <cell r="B4479">
            <v>37216</v>
          </cell>
          <cell r="C4479">
            <v>2.0745900000000002</v>
          </cell>
          <cell r="D4479">
            <v>2.5411000000000001</v>
          </cell>
          <cell r="E4479">
            <v>135205</v>
          </cell>
          <cell r="F4479">
            <v>12793</v>
          </cell>
          <cell r="J4479">
            <v>3662547.2984347772</v>
          </cell>
          <cell r="K4479">
            <v>2.5411000000000001</v>
          </cell>
          <cell r="L4479">
            <v>135205</v>
          </cell>
          <cell r="M4479">
            <v>12793</v>
          </cell>
          <cell r="N4479">
            <v>676262.93790688331</v>
          </cell>
          <cell r="O4479">
            <v>680892.12177812704</v>
          </cell>
          <cell r="P4479">
            <v>358.74740000000003</v>
          </cell>
        </row>
        <row r="4480">
          <cell r="B4480">
            <v>37217</v>
          </cell>
          <cell r="C4480">
            <v>2.0765910000000001</v>
          </cell>
          <cell r="D4480">
            <v>2.5383</v>
          </cell>
          <cell r="E4480">
            <v>137720</v>
          </cell>
          <cell r="F4480">
            <v>13019</v>
          </cell>
          <cell r="J4480">
            <v>3665082.502687112</v>
          </cell>
          <cell r="K4480">
            <v>2.5383</v>
          </cell>
          <cell r="L4480">
            <v>137720</v>
          </cell>
          <cell r="M4480">
            <v>13019</v>
          </cell>
          <cell r="N4480">
            <v>676262.93790688331</v>
          </cell>
          <cell r="O4480">
            <v>680892.12177812704</v>
          </cell>
          <cell r="P4480">
            <v>358.74740000000003</v>
          </cell>
        </row>
        <row r="4481">
          <cell r="B4481">
            <v>37218</v>
          </cell>
          <cell r="C4481">
            <v>2.0765910000000001</v>
          </cell>
          <cell r="D4481">
            <v>2.5133999999999999</v>
          </cell>
          <cell r="E4481">
            <v>142208</v>
          </cell>
          <cell r="F4481">
            <v>13423</v>
          </cell>
          <cell r="J4481">
            <v>3667619.4618002246</v>
          </cell>
          <cell r="K4481">
            <v>2.5133999999999999</v>
          </cell>
          <cell r="L4481">
            <v>142208</v>
          </cell>
          <cell r="M4481">
            <v>13423</v>
          </cell>
          <cell r="N4481">
            <v>676262.93790688331</v>
          </cell>
          <cell r="O4481">
            <v>680892.12177812704</v>
          </cell>
          <cell r="P4481">
            <v>358.74740000000003</v>
          </cell>
        </row>
        <row r="4482">
          <cell r="B4482">
            <v>37221</v>
          </cell>
          <cell r="C4482">
            <v>2.0765910000000001</v>
          </cell>
          <cell r="D4482">
            <v>2.4893999999999998</v>
          </cell>
          <cell r="E4482">
            <v>145627</v>
          </cell>
          <cell r="F4482">
            <v>13759</v>
          </cell>
          <cell r="J4482">
            <v>3670158.1769888243</v>
          </cell>
          <cell r="K4482">
            <v>2.4893999999999998</v>
          </cell>
          <cell r="L4482">
            <v>145627</v>
          </cell>
          <cell r="M4482">
            <v>13759</v>
          </cell>
          <cell r="N4482">
            <v>676262.93790688331</v>
          </cell>
          <cell r="O4482">
            <v>680892.12177812704</v>
          </cell>
          <cell r="P4482">
            <v>358.74740000000003</v>
          </cell>
        </row>
        <row r="4483">
          <cell r="B4483">
            <v>37222</v>
          </cell>
          <cell r="C4483">
            <v>2.0765910000000001</v>
          </cell>
          <cell r="D4483">
            <v>2.4603999999999999</v>
          </cell>
          <cell r="E4483">
            <v>143910</v>
          </cell>
          <cell r="F4483">
            <v>13602</v>
          </cell>
          <cell r="J4483">
            <v>3672698.6494684615</v>
          </cell>
          <cell r="K4483">
            <v>2.4603999999999999</v>
          </cell>
          <cell r="L4483">
            <v>143910</v>
          </cell>
          <cell r="M4483">
            <v>13602</v>
          </cell>
          <cell r="N4483">
            <v>676262.93790688331</v>
          </cell>
          <cell r="O4483">
            <v>680892.12177812704</v>
          </cell>
          <cell r="P4483">
            <v>358.74740000000003</v>
          </cell>
        </row>
        <row r="4484">
          <cell r="B4484">
            <v>37223</v>
          </cell>
          <cell r="C4484">
            <v>2.0765910000000001</v>
          </cell>
          <cell r="D4484">
            <v>2.4857</v>
          </cell>
          <cell r="E4484">
            <v>139101</v>
          </cell>
          <cell r="F4484">
            <v>13019</v>
          </cell>
          <cell r="J4484">
            <v>3675240.8804555275</v>
          </cell>
          <cell r="K4484">
            <v>2.4857</v>
          </cell>
          <cell r="L4484">
            <v>139101</v>
          </cell>
          <cell r="M4484">
            <v>13019</v>
          </cell>
          <cell r="N4484">
            <v>676262.93790688331</v>
          </cell>
          <cell r="O4484">
            <v>680892.12177812704</v>
          </cell>
          <cell r="P4484">
            <v>358.74740000000003</v>
          </cell>
        </row>
        <row r="4485">
          <cell r="B4485">
            <v>37224</v>
          </cell>
          <cell r="C4485">
            <v>2.0765910000000001</v>
          </cell>
          <cell r="D4485">
            <v>2.5072000000000001</v>
          </cell>
          <cell r="E4485">
            <v>136749</v>
          </cell>
          <cell r="F4485">
            <v>12736</v>
          </cell>
          <cell r="J4485">
            <v>3677784.871167256</v>
          </cell>
          <cell r="K4485">
            <v>2.5072000000000001</v>
          </cell>
          <cell r="L4485">
            <v>136749</v>
          </cell>
          <cell r="M4485">
            <v>12736</v>
          </cell>
          <cell r="N4485">
            <v>676262.93790688331</v>
          </cell>
          <cell r="O4485">
            <v>680892.12177812704</v>
          </cell>
          <cell r="P4485">
            <v>358.74740000000003</v>
          </cell>
        </row>
        <row r="4486">
          <cell r="B4486">
            <v>37225</v>
          </cell>
          <cell r="C4486">
            <v>2.0765910000000001</v>
          </cell>
          <cell r="D4486">
            <v>2.5287000000000002</v>
          </cell>
          <cell r="E4486">
            <v>138813</v>
          </cell>
          <cell r="F4486">
            <v>12931</v>
          </cell>
          <cell r="G4486">
            <v>0.76</v>
          </cell>
          <cell r="H4486">
            <v>1.1000000000000001</v>
          </cell>
          <cell r="I4486">
            <v>361.2364</v>
          </cell>
          <cell r="J4486">
            <v>3680330.6228217236</v>
          </cell>
          <cell r="K4486">
            <v>2.5287000000000002</v>
          </cell>
          <cell r="L4486">
            <v>138813</v>
          </cell>
          <cell r="M4486">
            <v>12931</v>
          </cell>
          <cell r="N4486">
            <v>681402.53623497568</v>
          </cell>
          <cell r="O4486">
            <v>688381.9351176864</v>
          </cell>
          <cell r="P4486">
            <v>361.2364</v>
          </cell>
        </row>
        <row r="4487">
          <cell r="B4487">
            <v>37228</v>
          </cell>
          <cell r="C4487">
            <v>2.0775929999999998</v>
          </cell>
          <cell r="D4487">
            <v>2.4672000000000001</v>
          </cell>
          <cell r="E4487">
            <v>141821</v>
          </cell>
          <cell r="F4487">
            <v>13336</v>
          </cell>
          <cell r="J4487">
            <v>3682879.3658682774</v>
          </cell>
          <cell r="K4487">
            <v>2.4672000000000001</v>
          </cell>
          <cell r="L4487">
            <v>141821</v>
          </cell>
          <cell r="M4487">
            <v>13336</v>
          </cell>
          <cell r="N4487">
            <v>681402.53623497568</v>
          </cell>
          <cell r="O4487">
            <v>688381.9351176864</v>
          </cell>
          <cell r="P4487">
            <v>361.2364</v>
          </cell>
        </row>
        <row r="4488">
          <cell r="B4488">
            <v>37229</v>
          </cell>
          <cell r="C4488">
            <v>2.0775929999999998</v>
          </cell>
          <cell r="D4488">
            <v>2.4289000000000001</v>
          </cell>
          <cell r="E4488">
            <v>140193</v>
          </cell>
          <cell r="F4488">
            <v>13146</v>
          </cell>
          <cell r="J4488">
            <v>3685429.8739984017</v>
          </cell>
          <cell r="K4488">
            <v>2.4289000000000001</v>
          </cell>
          <cell r="L4488">
            <v>140193</v>
          </cell>
          <cell r="M4488">
            <v>13146</v>
          </cell>
          <cell r="N4488">
            <v>681402.53623497568</v>
          </cell>
          <cell r="O4488">
            <v>688381.9351176864</v>
          </cell>
          <cell r="P4488">
            <v>361.2364</v>
          </cell>
        </row>
        <row r="4489">
          <cell r="B4489">
            <v>37230</v>
          </cell>
          <cell r="C4489">
            <v>2.0795940000000002</v>
          </cell>
          <cell r="D4489">
            <v>2.4306000000000001</v>
          </cell>
          <cell r="E4489">
            <v>142599</v>
          </cell>
          <cell r="F4489">
            <v>13382</v>
          </cell>
          <cell r="J4489">
            <v>3687984.6066161976</v>
          </cell>
          <cell r="K4489">
            <v>2.4306000000000001</v>
          </cell>
          <cell r="L4489">
            <v>142599</v>
          </cell>
          <cell r="M4489">
            <v>13382</v>
          </cell>
          <cell r="N4489">
            <v>681402.53623497568</v>
          </cell>
          <cell r="O4489">
            <v>688381.9351176864</v>
          </cell>
          <cell r="P4489">
            <v>361.2364</v>
          </cell>
        </row>
        <row r="4490">
          <cell r="B4490">
            <v>37231</v>
          </cell>
          <cell r="C4490">
            <v>2.078592</v>
          </cell>
          <cell r="D4490">
            <v>2.4434999999999998</v>
          </cell>
          <cell r="E4490">
            <v>143987</v>
          </cell>
          <cell r="F4490">
            <v>13539</v>
          </cell>
          <cell r="J4490">
            <v>3690539.8783826758</v>
          </cell>
          <cell r="K4490">
            <v>2.4434999999999998</v>
          </cell>
          <cell r="L4490">
            <v>143987</v>
          </cell>
          <cell r="M4490">
            <v>13539</v>
          </cell>
          <cell r="N4490">
            <v>681402.53623497568</v>
          </cell>
          <cell r="O4490">
            <v>688381.9351176864</v>
          </cell>
          <cell r="P4490">
            <v>361.2364</v>
          </cell>
        </row>
        <row r="4491">
          <cell r="B4491">
            <v>37232</v>
          </cell>
          <cell r="C4491">
            <v>2.078592</v>
          </cell>
          <cell r="D4491">
            <v>2.4005000000000001</v>
          </cell>
          <cell r="E4491">
            <v>142351</v>
          </cell>
          <cell r="F4491">
            <v>13298</v>
          </cell>
          <cell r="J4491">
            <v>3693096.9206049712</v>
          </cell>
          <cell r="K4491">
            <v>2.4005000000000001</v>
          </cell>
          <cell r="L4491">
            <v>142351</v>
          </cell>
          <cell r="M4491">
            <v>13298</v>
          </cell>
          <cell r="N4491">
            <v>681402.53623497568</v>
          </cell>
          <cell r="O4491">
            <v>688381.9351176864</v>
          </cell>
          <cell r="P4491">
            <v>361.2364</v>
          </cell>
        </row>
        <row r="4492">
          <cell r="B4492">
            <v>37235</v>
          </cell>
          <cell r="C4492">
            <v>2.0775929999999998</v>
          </cell>
          <cell r="D4492">
            <v>2.3578999999999999</v>
          </cell>
          <cell r="E4492">
            <v>144350</v>
          </cell>
          <cell r="F4492">
            <v>13446</v>
          </cell>
          <cell r="J4492">
            <v>3695654.504708495</v>
          </cell>
          <cell r="K4492">
            <v>2.3578999999999999</v>
          </cell>
          <cell r="L4492">
            <v>144350</v>
          </cell>
          <cell r="M4492">
            <v>13446</v>
          </cell>
          <cell r="N4492">
            <v>681402.53623497568</v>
          </cell>
          <cell r="O4492">
            <v>688381.9351176864</v>
          </cell>
          <cell r="P4492">
            <v>361.2364</v>
          </cell>
        </row>
        <row r="4493">
          <cell r="B4493">
            <v>37236</v>
          </cell>
          <cell r="C4493">
            <v>2.0775929999999998</v>
          </cell>
          <cell r="D4493">
            <v>2.3416999999999999</v>
          </cell>
          <cell r="E4493">
            <v>143464</v>
          </cell>
          <cell r="F4493">
            <v>13348</v>
          </cell>
          <cell r="J4493">
            <v>3698213.8600182957</v>
          </cell>
          <cell r="K4493">
            <v>2.3416999999999999</v>
          </cell>
          <cell r="L4493">
            <v>143464</v>
          </cell>
          <cell r="M4493">
            <v>13348</v>
          </cell>
          <cell r="N4493">
            <v>681402.53623497568</v>
          </cell>
          <cell r="O4493">
            <v>688381.9351176864</v>
          </cell>
          <cell r="P4493">
            <v>361.2364</v>
          </cell>
        </row>
        <row r="4494">
          <cell r="B4494">
            <v>37237</v>
          </cell>
          <cell r="C4494">
            <v>2.0775929999999998</v>
          </cell>
          <cell r="D4494">
            <v>2.3551000000000002</v>
          </cell>
          <cell r="E4494">
            <v>145339</v>
          </cell>
          <cell r="F4494">
            <v>13562</v>
          </cell>
          <cell r="J4494">
            <v>3700774.9877609885</v>
          </cell>
          <cell r="K4494">
            <v>2.3551000000000002</v>
          </cell>
          <cell r="L4494">
            <v>145339</v>
          </cell>
          <cell r="M4494">
            <v>13562</v>
          </cell>
          <cell r="N4494">
            <v>681402.53623497568</v>
          </cell>
          <cell r="O4494">
            <v>688381.9351176864</v>
          </cell>
          <cell r="P4494">
            <v>361.2364</v>
          </cell>
        </row>
        <row r="4495">
          <cell r="B4495">
            <v>37238</v>
          </cell>
          <cell r="C4495">
            <v>2.0755919999999999</v>
          </cell>
          <cell r="D4495">
            <v>2.3847</v>
          </cell>
          <cell r="E4495">
            <v>142433</v>
          </cell>
          <cell r="F4495">
            <v>13148</v>
          </cell>
          <cell r="J4495">
            <v>3703335.4207471209</v>
          </cell>
          <cell r="K4495">
            <v>2.3847</v>
          </cell>
          <cell r="L4495">
            <v>142433</v>
          </cell>
          <cell r="M4495">
            <v>13148</v>
          </cell>
          <cell r="N4495">
            <v>681402.53623497568</v>
          </cell>
          <cell r="O4495">
            <v>688381.9351176864</v>
          </cell>
          <cell r="P4495">
            <v>361.2364</v>
          </cell>
        </row>
        <row r="4496">
          <cell r="B4496">
            <v>37239</v>
          </cell>
          <cell r="C4496">
            <v>2.0755919999999999</v>
          </cell>
          <cell r="D4496">
            <v>2.3839999999999999</v>
          </cell>
          <cell r="E4496">
            <v>141134</v>
          </cell>
          <cell r="F4496">
            <v>12959</v>
          </cell>
          <cell r="J4496">
            <v>3705897.6252046605</v>
          </cell>
          <cell r="K4496">
            <v>2.3839999999999999</v>
          </cell>
          <cell r="L4496">
            <v>141134</v>
          </cell>
          <cell r="M4496">
            <v>12959</v>
          </cell>
          <cell r="N4496">
            <v>681402.53623497568</v>
          </cell>
          <cell r="O4496">
            <v>688381.9351176864</v>
          </cell>
          <cell r="P4496">
            <v>361.2364</v>
          </cell>
        </row>
        <row r="4497">
          <cell r="B4497">
            <v>37242</v>
          </cell>
          <cell r="C4497">
            <v>2.0765910000000001</v>
          </cell>
          <cell r="D4497">
            <v>2.3580000000000001</v>
          </cell>
          <cell r="E4497">
            <v>140865</v>
          </cell>
          <cell r="F4497">
            <v>12912</v>
          </cell>
          <cell r="J4497">
            <v>3708462.8364231344</v>
          </cell>
          <cell r="K4497">
            <v>2.3580000000000001</v>
          </cell>
          <cell r="L4497">
            <v>140865</v>
          </cell>
          <cell r="M4497">
            <v>12912</v>
          </cell>
          <cell r="N4497">
            <v>681402.53623497568</v>
          </cell>
          <cell r="O4497">
            <v>688381.9351176864</v>
          </cell>
          <cell r="P4497">
            <v>361.2364</v>
          </cell>
        </row>
        <row r="4498">
          <cell r="B4498">
            <v>37243</v>
          </cell>
          <cell r="C4498">
            <v>2.0765910000000001</v>
          </cell>
          <cell r="D4498">
            <v>2.343</v>
          </cell>
          <cell r="E4498">
            <v>144316</v>
          </cell>
          <cell r="F4498">
            <v>13397</v>
          </cell>
          <cell r="J4498">
            <v>3711029.8232731181</v>
          </cell>
          <cell r="K4498">
            <v>2.343</v>
          </cell>
          <cell r="L4498">
            <v>144316</v>
          </cell>
          <cell r="M4498">
            <v>13397</v>
          </cell>
          <cell r="N4498">
            <v>681402.53623497568</v>
          </cell>
          <cell r="O4498">
            <v>688381.9351176864</v>
          </cell>
          <cell r="P4498">
            <v>361.2364</v>
          </cell>
        </row>
        <row r="4499">
          <cell r="B4499">
            <v>37244</v>
          </cell>
          <cell r="C4499">
            <v>2.0765910000000001</v>
          </cell>
          <cell r="D4499">
            <v>2.2930000000000001</v>
          </cell>
          <cell r="E4499">
            <v>143512</v>
          </cell>
          <cell r="F4499">
            <v>13290</v>
          </cell>
          <cell r="J4499">
            <v>3713598.5869836984</v>
          </cell>
          <cell r="K4499">
            <v>2.2930000000000001</v>
          </cell>
          <cell r="L4499">
            <v>143512</v>
          </cell>
          <cell r="M4499">
            <v>13290</v>
          </cell>
          <cell r="N4499">
            <v>681402.53623497568</v>
          </cell>
          <cell r="O4499">
            <v>688381.9351176864</v>
          </cell>
          <cell r="P4499">
            <v>361.2364</v>
          </cell>
        </row>
        <row r="4500">
          <cell r="B4500">
            <v>37245</v>
          </cell>
          <cell r="C4500">
            <v>2.0765910000000001</v>
          </cell>
          <cell r="D4500">
            <v>2.3201999999999998</v>
          </cell>
          <cell r="E4500">
            <v>140517</v>
          </cell>
          <cell r="F4500">
            <v>12918</v>
          </cell>
          <cell r="J4500">
            <v>3716169.128784813</v>
          </cell>
          <cell r="K4500">
            <v>2.3201999999999998</v>
          </cell>
          <cell r="L4500">
            <v>140517</v>
          </cell>
          <cell r="M4500">
            <v>12918</v>
          </cell>
          <cell r="N4500">
            <v>681402.53623497568</v>
          </cell>
          <cell r="O4500">
            <v>688381.9351176864</v>
          </cell>
          <cell r="P4500">
            <v>361.2364</v>
          </cell>
        </row>
        <row r="4501">
          <cell r="B4501">
            <v>37246</v>
          </cell>
          <cell r="C4501">
            <v>2.0775929999999998</v>
          </cell>
          <cell r="D4501">
            <v>2.3311000000000002</v>
          </cell>
          <cell r="E4501">
            <v>144480</v>
          </cell>
          <cell r="F4501">
            <v>13368</v>
          </cell>
          <cell r="J4501">
            <v>3718742.6911077397</v>
          </cell>
          <cell r="K4501">
            <v>2.3311000000000002</v>
          </cell>
          <cell r="L4501">
            <v>144480</v>
          </cell>
          <cell r="M4501">
            <v>13368</v>
          </cell>
          <cell r="N4501">
            <v>681402.53623497568</v>
          </cell>
          <cell r="O4501">
            <v>688381.9351176864</v>
          </cell>
          <cell r="P4501">
            <v>361.2364</v>
          </cell>
        </row>
        <row r="4502">
          <cell r="B4502">
            <v>37249</v>
          </cell>
          <cell r="C4502">
            <v>2.0775929999999998</v>
          </cell>
          <cell r="D4502">
            <v>2.3378000000000001</v>
          </cell>
          <cell r="J4502">
            <v>3721318.0357023557</v>
          </cell>
          <cell r="K4502">
            <v>2.3378000000000001</v>
          </cell>
          <cell r="L4502">
            <v>144480</v>
          </cell>
          <cell r="M4502">
            <v>13368</v>
          </cell>
          <cell r="N4502">
            <v>681402.53623497568</v>
          </cell>
          <cell r="O4502">
            <v>688381.9351176864</v>
          </cell>
          <cell r="P4502">
            <v>361.2364</v>
          </cell>
        </row>
        <row r="4503">
          <cell r="B4503">
            <v>37251</v>
          </cell>
          <cell r="C4503">
            <v>2.0745900000000002</v>
          </cell>
          <cell r="D4503">
            <v>2.3144999999999998</v>
          </cell>
          <cell r="E4503">
            <v>144807</v>
          </cell>
          <cell r="F4503">
            <v>13358</v>
          </cell>
          <cell r="J4503">
            <v>3723891.4387635854</v>
          </cell>
          <cell r="K4503">
            <v>2.3144999999999998</v>
          </cell>
          <cell r="L4503">
            <v>144807</v>
          </cell>
          <cell r="M4503">
            <v>13358</v>
          </cell>
          <cell r="N4503">
            <v>681402.53623497568</v>
          </cell>
          <cell r="O4503">
            <v>688381.9351176864</v>
          </cell>
          <cell r="P4503">
            <v>361.2364</v>
          </cell>
        </row>
        <row r="4504">
          <cell r="B4504">
            <v>37252</v>
          </cell>
          <cell r="C4504">
            <v>2.073591</v>
          </cell>
          <cell r="D4504">
            <v>2.3214999999999999</v>
          </cell>
          <cell r="E4504">
            <v>148351</v>
          </cell>
          <cell r="F4504">
            <v>13757</v>
          </cell>
          <cell r="J4504">
            <v>3726465.3813543846</v>
          </cell>
          <cell r="K4504">
            <v>2.3214999999999999</v>
          </cell>
          <cell r="L4504">
            <v>148351</v>
          </cell>
          <cell r="M4504">
            <v>13757</v>
          </cell>
          <cell r="N4504">
            <v>681402.53623497568</v>
          </cell>
          <cell r="O4504">
            <v>688381.9351176864</v>
          </cell>
          <cell r="P4504">
            <v>361.2364</v>
          </cell>
        </row>
        <row r="4505">
          <cell r="B4505">
            <v>37253</v>
          </cell>
          <cell r="C4505">
            <v>2.073591</v>
          </cell>
          <cell r="D4505">
            <v>2.3203999999999998</v>
          </cell>
          <cell r="E4505">
            <v>146506</v>
          </cell>
          <cell r="F4505">
            <v>13577</v>
          </cell>
          <cell r="J4505">
            <v>3729041.1030465811</v>
          </cell>
          <cell r="K4505">
            <v>2.3203999999999998</v>
          </cell>
          <cell r="L4505">
            <v>146506</v>
          </cell>
          <cell r="M4505">
            <v>13577</v>
          </cell>
          <cell r="N4505">
            <v>681402.53623497568</v>
          </cell>
          <cell r="O4505">
            <v>688381.9351176864</v>
          </cell>
          <cell r="P4505">
            <v>361.2364</v>
          </cell>
        </row>
        <row r="4506">
          <cell r="B4506">
            <v>37256</v>
          </cell>
          <cell r="C4506">
            <v>2.073591</v>
          </cell>
          <cell r="G4506">
            <v>0.18</v>
          </cell>
          <cell r="H4506">
            <v>0.22</v>
          </cell>
          <cell r="I4506">
            <v>363.76249999999999</v>
          </cell>
          <cell r="J4506">
            <v>3731618.6050698841</v>
          </cell>
          <cell r="K4506">
            <v>2.3203999999999998</v>
          </cell>
          <cell r="L4506">
            <v>146506</v>
          </cell>
          <cell r="M4506">
            <v>13577</v>
          </cell>
          <cell r="N4506">
            <v>682629.0608001987</v>
          </cell>
          <cell r="O4506">
            <v>689896.37537494535</v>
          </cell>
          <cell r="P4506">
            <v>363.76249999999999</v>
          </cell>
        </row>
        <row r="4507">
          <cell r="B4507">
            <v>37258</v>
          </cell>
          <cell r="C4507">
            <v>2.073591</v>
          </cell>
          <cell r="D4507">
            <v>2.3066</v>
          </cell>
          <cell r="E4507">
            <v>150056</v>
          </cell>
          <cell r="F4507">
            <v>13872</v>
          </cell>
          <cell r="J4507">
            <v>3734197.8886548528</v>
          </cell>
          <cell r="K4507">
            <v>2.3066</v>
          </cell>
          <cell r="L4507">
            <v>150056</v>
          </cell>
          <cell r="M4507">
            <v>13872</v>
          </cell>
          <cell r="N4507">
            <v>682629.0608001987</v>
          </cell>
          <cell r="O4507">
            <v>689896.37537494535</v>
          </cell>
          <cell r="P4507">
            <v>363.76249999999999</v>
          </cell>
        </row>
        <row r="4508">
          <cell r="B4508">
            <v>37259</v>
          </cell>
          <cell r="C4508">
            <v>2.073591</v>
          </cell>
          <cell r="D4508">
            <v>2.2932000000000001</v>
          </cell>
          <cell r="E4508">
            <v>154341</v>
          </cell>
          <cell r="F4508">
            <v>14265</v>
          </cell>
          <cell r="J4508">
            <v>3736778.9550328976</v>
          </cell>
          <cell r="K4508">
            <v>2.2932000000000001</v>
          </cell>
          <cell r="L4508">
            <v>154341</v>
          </cell>
          <cell r="M4508">
            <v>14265</v>
          </cell>
          <cell r="N4508">
            <v>682629.0608001987</v>
          </cell>
          <cell r="O4508">
            <v>689896.37537494535</v>
          </cell>
          <cell r="P4508">
            <v>363.76249999999999</v>
          </cell>
        </row>
        <row r="4509">
          <cell r="B4509">
            <v>37260</v>
          </cell>
          <cell r="C4509">
            <v>2.0745900000000002</v>
          </cell>
          <cell r="D4509">
            <v>2.3100999999999998</v>
          </cell>
          <cell r="E4509">
            <v>155649</v>
          </cell>
          <cell r="F4509">
            <v>14331</v>
          </cell>
          <cell r="J4509">
            <v>3739363.0497836717</v>
          </cell>
          <cell r="K4509">
            <v>2.3100999999999998</v>
          </cell>
          <cell r="L4509">
            <v>155649</v>
          </cell>
          <cell r="M4509">
            <v>14331</v>
          </cell>
          <cell r="N4509">
            <v>682629.0608001987</v>
          </cell>
          <cell r="O4509">
            <v>689896.37537494535</v>
          </cell>
          <cell r="P4509">
            <v>363.76249999999999</v>
          </cell>
        </row>
        <row r="4510">
          <cell r="B4510">
            <v>37263</v>
          </cell>
          <cell r="C4510">
            <v>2.0745900000000002</v>
          </cell>
          <cell r="D4510">
            <v>2.3428</v>
          </cell>
          <cell r="E4510">
            <v>156309</v>
          </cell>
          <cell r="F4510">
            <v>14378</v>
          </cell>
          <cell r="J4510">
            <v>3741948.9315134892</v>
          </cell>
          <cell r="K4510">
            <v>2.3428</v>
          </cell>
          <cell r="L4510">
            <v>156309</v>
          </cell>
          <cell r="M4510">
            <v>14378</v>
          </cell>
          <cell r="N4510">
            <v>682629.0608001987</v>
          </cell>
          <cell r="O4510">
            <v>689896.37537494535</v>
          </cell>
          <cell r="P4510">
            <v>363.76249999999999</v>
          </cell>
        </row>
        <row r="4511">
          <cell r="B4511">
            <v>37264</v>
          </cell>
          <cell r="C4511">
            <v>2.073591</v>
          </cell>
          <cell r="D4511">
            <v>2.3454000000000002</v>
          </cell>
          <cell r="E4511">
            <v>154724</v>
          </cell>
          <cell r="F4511">
            <v>14167</v>
          </cell>
          <cell r="J4511">
            <v>3744535.3553891047</v>
          </cell>
          <cell r="K4511">
            <v>2.3454000000000002</v>
          </cell>
          <cell r="L4511">
            <v>154724</v>
          </cell>
          <cell r="M4511">
            <v>14167</v>
          </cell>
          <cell r="N4511">
            <v>682629.0608001987</v>
          </cell>
          <cell r="O4511">
            <v>689896.37537494535</v>
          </cell>
          <cell r="P4511">
            <v>363.76249999999999</v>
          </cell>
        </row>
        <row r="4512">
          <cell r="B4512">
            <v>37265</v>
          </cell>
          <cell r="C4512">
            <v>2.0745900000000002</v>
          </cell>
          <cell r="D4512">
            <v>2.3794</v>
          </cell>
          <cell r="E4512">
            <v>154164</v>
          </cell>
          <cell r="F4512">
            <v>14020</v>
          </cell>
          <cell r="J4512">
            <v>3747124.8139234171</v>
          </cell>
          <cell r="K4512">
            <v>2.3794</v>
          </cell>
          <cell r="L4512">
            <v>154164</v>
          </cell>
          <cell r="M4512">
            <v>14020</v>
          </cell>
          <cell r="N4512">
            <v>682629.0608001987</v>
          </cell>
          <cell r="O4512">
            <v>689896.37537494535</v>
          </cell>
          <cell r="P4512">
            <v>363.76249999999999</v>
          </cell>
        </row>
        <row r="4513">
          <cell r="B4513">
            <v>37266</v>
          </cell>
          <cell r="C4513">
            <v>2.0745900000000002</v>
          </cell>
          <cell r="D4513">
            <v>2.3896000000000002</v>
          </cell>
          <cell r="E4513">
            <v>151777</v>
          </cell>
          <cell r="F4513">
            <v>13570</v>
          </cell>
          <cell r="J4513">
            <v>3749716.06314599</v>
          </cell>
          <cell r="K4513">
            <v>2.3896000000000002</v>
          </cell>
          <cell r="L4513">
            <v>151777</v>
          </cell>
          <cell r="M4513">
            <v>13570</v>
          </cell>
          <cell r="N4513">
            <v>682629.0608001987</v>
          </cell>
          <cell r="O4513">
            <v>689896.37537494535</v>
          </cell>
          <cell r="P4513">
            <v>363.76249999999999</v>
          </cell>
        </row>
        <row r="4514">
          <cell r="B4514">
            <v>37267</v>
          </cell>
          <cell r="C4514">
            <v>2.073591</v>
          </cell>
          <cell r="D4514">
            <v>2.4167999999999998</v>
          </cell>
          <cell r="E4514">
            <v>152422</v>
          </cell>
          <cell r="F4514">
            <v>13587</v>
          </cell>
          <cell r="J4514">
            <v>3752307.8556396887</v>
          </cell>
          <cell r="K4514">
            <v>2.4167999999999998</v>
          </cell>
          <cell r="L4514">
            <v>152422</v>
          </cell>
          <cell r="M4514">
            <v>13587</v>
          </cell>
          <cell r="N4514">
            <v>682629.0608001987</v>
          </cell>
          <cell r="O4514">
            <v>689896.37537494535</v>
          </cell>
          <cell r="P4514">
            <v>363.76249999999999</v>
          </cell>
        </row>
        <row r="4515">
          <cell r="B4515">
            <v>37270</v>
          </cell>
          <cell r="C4515">
            <v>2.073591</v>
          </cell>
          <cell r="D4515">
            <v>2.4072</v>
          </cell>
          <cell r="E4515">
            <v>147881</v>
          </cell>
          <cell r="F4515">
            <v>13121</v>
          </cell>
          <cell r="J4515">
            <v>3754901.4395725834</v>
          </cell>
          <cell r="K4515">
            <v>2.4072</v>
          </cell>
          <cell r="L4515">
            <v>147881</v>
          </cell>
          <cell r="M4515">
            <v>13121</v>
          </cell>
          <cell r="N4515">
            <v>682629.0608001987</v>
          </cell>
          <cell r="O4515">
            <v>689896.37537494535</v>
          </cell>
          <cell r="P4515">
            <v>363.76249999999999</v>
          </cell>
        </row>
        <row r="4516">
          <cell r="B4516">
            <v>37271</v>
          </cell>
          <cell r="C4516">
            <v>2.073591</v>
          </cell>
          <cell r="D4516">
            <v>2.3704999999999998</v>
          </cell>
          <cell r="E4516">
            <v>146809</v>
          </cell>
          <cell r="F4516">
            <v>13010</v>
          </cell>
          <cell r="J4516">
            <v>3757496.8161829119</v>
          </cell>
          <cell r="K4516">
            <v>2.3704999999999998</v>
          </cell>
          <cell r="L4516">
            <v>146809</v>
          </cell>
          <cell r="M4516">
            <v>13010</v>
          </cell>
          <cell r="N4516">
            <v>682629.0608001987</v>
          </cell>
          <cell r="O4516">
            <v>689896.37537494535</v>
          </cell>
          <cell r="P4516">
            <v>363.76249999999999</v>
          </cell>
        </row>
        <row r="4517">
          <cell r="B4517">
            <v>37272</v>
          </cell>
          <cell r="C4517">
            <v>2.073591</v>
          </cell>
          <cell r="D4517">
            <v>2.3866999999999998</v>
          </cell>
          <cell r="E4517">
            <v>147310</v>
          </cell>
          <cell r="F4517">
            <v>13083</v>
          </cell>
          <cell r="J4517">
            <v>3760093.9867097675</v>
          </cell>
          <cell r="K4517">
            <v>2.3866999999999998</v>
          </cell>
          <cell r="L4517">
            <v>147310</v>
          </cell>
          <cell r="M4517">
            <v>13083</v>
          </cell>
          <cell r="N4517">
            <v>682629.0608001987</v>
          </cell>
          <cell r="O4517">
            <v>689896.37537494535</v>
          </cell>
          <cell r="P4517">
            <v>363.76249999999999</v>
          </cell>
        </row>
        <row r="4518">
          <cell r="B4518">
            <v>37273</v>
          </cell>
          <cell r="C4518">
            <v>2.073591</v>
          </cell>
          <cell r="D4518">
            <v>2.3641000000000001</v>
          </cell>
          <cell r="E4518">
            <v>150146</v>
          </cell>
          <cell r="F4518">
            <v>13336</v>
          </cell>
          <cell r="J4518">
            <v>3762692.9523930997</v>
          </cell>
          <cell r="K4518">
            <v>2.3641000000000001</v>
          </cell>
          <cell r="L4518">
            <v>150146</v>
          </cell>
          <cell r="M4518">
            <v>13336</v>
          </cell>
          <cell r="N4518">
            <v>682629.0608001987</v>
          </cell>
          <cell r="O4518">
            <v>689896.37537494535</v>
          </cell>
          <cell r="P4518">
            <v>363.76249999999999</v>
          </cell>
        </row>
        <row r="4519">
          <cell r="B4519">
            <v>37274</v>
          </cell>
          <cell r="C4519">
            <v>2.073591</v>
          </cell>
          <cell r="D4519">
            <v>2.3752</v>
          </cell>
          <cell r="E4519">
            <v>150140</v>
          </cell>
          <cell r="F4519">
            <v>13372</v>
          </cell>
          <cell r="J4519">
            <v>3765293.7144737151</v>
          </cell>
          <cell r="K4519">
            <v>2.3752</v>
          </cell>
          <cell r="L4519">
            <v>150140</v>
          </cell>
          <cell r="M4519">
            <v>13372</v>
          </cell>
          <cell r="N4519">
            <v>682629.0608001987</v>
          </cell>
          <cell r="O4519">
            <v>689896.37537494535</v>
          </cell>
          <cell r="P4519">
            <v>363.76249999999999</v>
          </cell>
        </row>
        <row r="4520">
          <cell r="B4520">
            <v>37277</v>
          </cell>
          <cell r="C4520">
            <v>2.0745900000000002</v>
          </cell>
          <cell r="D4520">
            <v>2.3742000000000001</v>
          </cell>
          <cell r="E4520">
            <v>148482</v>
          </cell>
          <cell r="F4520">
            <v>13154</v>
          </cell>
          <cell r="J4520">
            <v>3767897.5280360854</v>
          </cell>
          <cell r="K4520">
            <v>2.3742000000000001</v>
          </cell>
          <cell r="L4520">
            <v>148482</v>
          </cell>
          <cell r="M4520">
            <v>13154</v>
          </cell>
          <cell r="N4520">
            <v>682629.0608001987</v>
          </cell>
          <cell r="O4520">
            <v>689896.37537494535</v>
          </cell>
          <cell r="P4520">
            <v>363.76249999999999</v>
          </cell>
        </row>
        <row r="4521">
          <cell r="B4521">
            <v>37278</v>
          </cell>
          <cell r="C4521">
            <v>2.073591</v>
          </cell>
          <cell r="D4521">
            <v>2.3666999999999998</v>
          </cell>
          <cell r="E4521">
            <v>147227</v>
          </cell>
          <cell r="F4521">
            <v>13003</v>
          </cell>
          <cell r="J4521">
            <v>3770501.8875037716</v>
          </cell>
          <cell r="K4521">
            <v>2.3666999999999998</v>
          </cell>
          <cell r="L4521">
            <v>147227</v>
          </cell>
          <cell r="M4521">
            <v>13003</v>
          </cell>
          <cell r="N4521">
            <v>682629.0608001987</v>
          </cell>
          <cell r="O4521">
            <v>689896.37537494535</v>
          </cell>
          <cell r="P4521">
            <v>363.76249999999999</v>
          </cell>
        </row>
        <row r="4522">
          <cell r="B4522">
            <v>37279</v>
          </cell>
          <cell r="C4522">
            <v>2.0725889999999998</v>
          </cell>
          <cell r="D4522">
            <v>2.3803999999999998</v>
          </cell>
          <cell r="E4522">
            <v>150049</v>
          </cell>
          <cell r="F4522">
            <v>13232</v>
          </cell>
          <cell r="J4522">
            <v>3773106.7877492779</v>
          </cell>
          <cell r="K4522">
            <v>2.3803999999999998</v>
          </cell>
          <cell r="L4522">
            <v>150049</v>
          </cell>
          <cell r="M4522">
            <v>13232</v>
          </cell>
          <cell r="N4522">
            <v>682629.0608001987</v>
          </cell>
          <cell r="O4522">
            <v>689896.37537494535</v>
          </cell>
          <cell r="P4522">
            <v>363.76249999999999</v>
          </cell>
        </row>
        <row r="4523">
          <cell r="B4523">
            <v>37280</v>
          </cell>
          <cell r="C4523">
            <v>2.073591</v>
          </cell>
          <cell r="D4523">
            <v>2.3980999999999999</v>
          </cell>
          <cell r="E4523">
            <v>150046</v>
          </cell>
          <cell r="F4523">
            <v>13162</v>
          </cell>
          <cell r="J4523">
            <v>3775714.7478416502</v>
          </cell>
          <cell r="K4523">
            <v>2.3980999999999999</v>
          </cell>
          <cell r="L4523">
            <v>150046</v>
          </cell>
          <cell r="M4523">
            <v>13162</v>
          </cell>
          <cell r="N4523">
            <v>682629.0608001987</v>
          </cell>
          <cell r="O4523">
            <v>689896.37537494535</v>
          </cell>
          <cell r="P4523">
            <v>363.76249999999999</v>
          </cell>
        </row>
        <row r="4524">
          <cell r="B4524">
            <v>37281</v>
          </cell>
          <cell r="C4524">
            <v>2.073591</v>
          </cell>
          <cell r="D4524">
            <v>2.4045999999999998</v>
          </cell>
          <cell r="J4524">
            <v>3778324.5105482144</v>
          </cell>
          <cell r="K4524">
            <v>2.4045999999999998</v>
          </cell>
          <cell r="L4524">
            <v>150046</v>
          </cell>
          <cell r="M4524">
            <v>13162</v>
          </cell>
          <cell r="N4524">
            <v>682629.0608001987</v>
          </cell>
          <cell r="O4524">
            <v>689896.37537494535</v>
          </cell>
          <cell r="P4524">
            <v>363.76249999999999</v>
          </cell>
        </row>
        <row r="4525">
          <cell r="B4525">
            <v>37284</v>
          </cell>
          <cell r="C4525">
            <v>2.073591</v>
          </cell>
          <cell r="D4525">
            <v>2.4228000000000001</v>
          </cell>
          <cell r="E4525">
            <v>147883</v>
          </cell>
          <cell r="F4525">
            <v>13001</v>
          </cell>
          <cell r="J4525">
            <v>3780936.0771149322</v>
          </cell>
          <cell r="K4525">
            <v>2.4228000000000001</v>
          </cell>
          <cell r="L4525">
            <v>147883</v>
          </cell>
          <cell r="M4525">
            <v>13001</v>
          </cell>
          <cell r="N4525">
            <v>682629.0608001987</v>
          </cell>
          <cell r="O4525">
            <v>689896.37537494535</v>
          </cell>
          <cell r="P4525">
            <v>363.76249999999999</v>
          </cell>
        </row>
        <row r="4526">
          <cell r="B4526">
            <v>37285</v>
          </cell>
          <cell r="C4526">
            <v>2.073591</v>
          </cell>
          <cell r="D4526">
            <v>2.4234</v>
          </cell>
          <cell r="E4526">
            <v>142835</v>
          </cell>
          <cell r="F4526">
            <v>12501</v>
          </cell>
          <cell r="J4526">
            <v>3783549.4487886261</v>
          </cell>
          <cell r="K4526">
            <v>2.4234</v>
          </cell>
          <cell r="L4526">
            <v>142835</v>
          </cell>
          <cell r="M4526">
            <v>12501</v>
          </cell>
          <cell r="N4526">
            <v>682629.0608001987</v>
          </cell>
          <cell r="O4526">
            <v>689896.37537494535</v>
          </cell>
          <cell r="P4526">
            <v>363.76249999999999</v>
          </cell>
        </row>
        <row r="4527">
          <cell r="B4527">
            <v>37286</v>
          </cell>
          <cell r="C4527">
            <v>2.073591</v>
          </cell>
          <cell r="D4527">
            <v>2.4384000000000001</v>
          </cell>
          <cell r="E4527">
            <v>142380</v>
          </cell>
          <cell r="F4527">
            <v>12532</v>
          </cell>
          <cell r="J4527">
            <v>3786164.626816981</v>
          </cell>
          <cell r="K4527">
            <v>2.4384000000000001</v>
          </cell>
          <cell r="L4527">
            <v>142380</v>
          </cell>
          <cell r="M4527">
            <v>12532</v>
          </cell>
          <cell r="N4527">
            <v>682629.0608001987</v>
          </cell>
          <cell r="O4527">
            <v>689896.37537494535</v>
          </cell>
          <cell r="P4527">
            <v>363.76249999999999</v>
          </cell>
        </row>
        <row r="4528">
          <cell r="B4528">
            <v>37287</v>
          </cell>
          <cell r="C4528">
            <v>2.0745900000000002</v>
          </cell>
          <cell r="D4528">
            <v>2.4182999999999999</v>
          </cell>
          <cell r="E4528">
            <v>143830</v>
          </cell>
          <cell r="F4528">
            <v>12721</v>
          </cell>
          <cell r="G4528">
            <v>0.19</v>
          </cell>
          <cell r="H4528">
            <v>0.36</v>
          </cell>
          <cell r="I4528">
            <v>366.52859999999998</v>
          </cell>
          <cell r="J4528">
            <v>3788782.873241364</v>
          </cell>
          <cell r="K4528">
            <v>2.4182999999999999</v>
          </cell>
          <cell r="L4528">
            <v>143830</v>
          </cell>
          <cell r="M4528">
            <v>12721</v>
          </cell>
          <cell r="N4528">
            <v>683926.05601571908</v>
          </cell>
          <cell r="O4528">
            <v>692380.00232629513</v>
          </cell>
          <cell r="P4528">
            <v>366.52859999999998</v>
          </cell>
        </row>
        <row r="4529">
          <cell r="B4529">
            <v>37288</v>
          </cell>
          <cell r="C4529">
            <v>2.0755919999999999</v>
          </cell>
          <cell r="D4529">
            <v>2.4161000000000001</v>
          </cell>
          <cell r="E4529">
            <v>143601</v>
          </cell>
          <cell r="F4529">
            <v>12658</v>
          </cell>
          <cell r="J4529">
            <v>3791404.1957151764</v>
          </cell>
          <cell r="K4529">
            <v>2.4161000000000001</v>
          </cell>
          <cell r="L4529">
            <v>143601</v>
          </cell>
          <cell r="M4529">
            <v>12658</v>
          </cell>
          <cell r="N4529">
            <v>683926.05601571908</v>
          </cell>
          <cell r="O4529">
            <v>692380.00232629513</v>
          </cell>
          <cell r="P4529">
            <v>366.52859999999998</v>
          </cell>
        </row>
        <row r="4530">
          <cell r="B4530">
            <v>37291</v>
          </cell>
          <cell r="C4530">
            <v>2.0755919999999999</v>
          </cell>
          <cell r="D4530">
            <v>2.4228000000000001</v>
          </cell>
          <cell r="E4530">
            <v>142308</v>
          </cell>
          <cell r="F4530">
            <v>12512</v>
          </cell>
          <cell r="J4530">
            <v>3794027.3317876407</v>
          </cell>
          <cell r="K4530">
            <v>2.4228000000000001</v>
          </cell>
          <cell r="L4530">
            <v>142308</v>
          </cell>
          <cell r="M4530">
            <v>12512</v>
          </cell>
          <cell r="N4530">
            <v>683926.05601571908</v>
          </cell>
          <cell r="O4530">
            <v>692380.00232629513</v>
          </cell>
          <cell r="P4530">
            <v>366.52859999999998</v>
          </cell>
        </row>
        <row r="4531">
          <cell r="B4531">
            <v>37292</v>
          </cell>
          <cell r="C4531">
            <v>2.0755919999999999</v>
          </cell>
          <cell r="D4531">
            <v>2.4214000000000002</v>
          </cell>
          <cell r="E4531">
            <v>143824</v>
          </cell>
          <cell r="F4531">
            <v>12747</v>
          </cell>
          <cell r="J4531">
            <v>3796652.2827135203</v>
          </cell>
          <cell r="K4531">
            <v>2.4214000000000002</v>
          </cell>
          <cell r="L4531">
            <v>143824</v>
          </cell>
          <cell r="M4531">
            <v>12747</v>
          </cell>
          <cell r="N4531">
            <v>683926.05601571908</v>
          </cell>
          <cell r="O4531">
            <v>692380.00232629513</v>
          </cell>
          <cell r="P4531">
            <v>366.52859999999998</v>
          </cell>
        </row>
        <row r="4532">
          <cell r="B4532">
            <v>37293</v>
          </cell>
          <cell r="C4532">
            <v>2.0755919999999999</v>
          </cell>
          <cell r="D4532">
            <v>2.4205999999999999</v>
          </cell>
          <cell r="E4532">
            <v>143667</v>
          </cell>
          <cell r="F4532">
            <v>12750</v>
          </cell>
          <cell r="J4532">
            <v>3799279.0497484477</v>
          </cell>
          <cell r="K4532">
            <v>2.4205999999999999</v>
          </cell>
          <cell r="L4532">
            <v>143667</v>
          </cell>
          <cell r="M4532">
            <v>12750</v>
          </cell>
          <cell r="N4532">
            <v>683926.05601571908</v>
          </cell>
          <cell r="O4532">
            <v>692380.00232629513</v>
          </cell>
          <cell r="P4532">
            <v>366.52859999999998</v>
          </cell>
        </row>
        <row r="4533">
          <cell r="B4533">
            <v>37294</v>
          </cell>
          <cell r="C4533">
            <v>2.0755919999999999</v>
          </cell>
          <cell r="D4533">
            <v>2.4518</v>
          </cell>
          <cell r="E4533">
            <v>143516</v>
          </cell>
          <cell r="F4533">
            <v>12683</v>
          </cell>
          <cell r="J4533">
            <v>3801907.6341489227</v>
          </cell>
          <cell r="K4533">
            <v>2.4518</v>
          </cell>
          <cell r="L4533">
            <v>143516</v>
          </cell>
          <cell r="M4533">
            <v>12683</v>
          </cell>
          <cell r="N4533">
            <v>683926.05601571908</v>
          </cell>
          <cell r="O4533">
            <v>692380.00232629513</v>
          </cell>
          <cell r="P4533">
            <v>366.52859999999998</v>
          </cell>
        </row>
        <row r="4534">
          <cell r="B4534">
            <v>37295</v>
          </cell>
          <cell r="C4534">
            <v>2.0755919999999999</v>
          </cell>
          <cell r="D4534">
            <v>2.4691000000000001</v>
          </cell>
          <cell r="E4534">
            <v>142705</v>
          </cell>
          <cell r="F4534">
            <v>12597</v>
          </cell>
          <cell r="J4534">
            <v>3804538.0371723156</v>
          </cell>
          <cell r="K4534">
            <v>2.4691000000000001</v>
          </cell>
          <cell r="L4534">
            <v>142705</v>
          </cell>
          <cell r="M4534">
            <v>12597</v>
          </cell>
          <cell r="N4534">
            <v>683926.05601571908</v>
          </cell>
          <cell r="O4534">
            <v>692380.00232629513</v>
          </cell>
          <cell r="P4534">
            <v>366.52859999999998</v>
          </cell>
        </row>
        <row r="4535">
          <cell r="B4535">
            <v>37300</v>
          </cell>
          <cell r="C4535">
            <v>2.0755919999999999</v>
          </cell>
          <cell r="D4535">
            <v>2.4232</v>
          </cell>
          <cell r="E4535">
            <v>145420</v>
          </cell>
          <cell r="F4535">
            <v>12960</v>
          </cell>
          <cell r="J4535">
            <v>3807170.2600768656</v>
          </cell>
          <cell r="K4535">
            <v>2.4232</v>
          </cell>
          <cell r="L4535">
            <v>145420</v>
          </cell>
          <cell r="M4535">
            <v>12960</v>
          </cell>
          <cell r="N4535">
            <v>683926.05601571908</v>
          </cell>
          <cell r="O4535">
            <v>692380.00232629513</v>
          </cell>
          <cell r="P4535">
            <v>366.52859999999998</v>
          </cell>
        </row>
        <row r="4536">
          <cell r="B4536">
            <v>37301</v>
          </cell>
          <cell r="C4536">
            <v>2.0755919999999999</v>
          </cell>
          <cell r="D4536">
            <v>2.4249000000000001</v>
          </cell>
          <cell r="E4536">
            <v>148835</v>
          </cell>
          <cell r="F4536">
            <v>13245</v>
          </cell>
          <cell r="J4536">
            <v>3809804.3041216834</v>
          </cell>
          <cell r="K4536">
            <v>2.4249000000000001</v>
          </cell>
          <cell r="L4536">
            <v>148835</v>
          </cell>
          <cell r="M4536">
            <v>13245</v>
          </cell>
          <cell r="N4536">
            <v>683926.05601571908</v>
          </cell>
          <cell r="O4536">
            <v>692380.00232629513</v>
          </cell>
          <cell r="P4536">
            <v>366.52859999999998</v>
          </cell>
        </row>
        <row r="4537">
          <cell r="B4537">
            <v>37302</v>
          </cell>
          <cell r="D4537">
            <v>2.4380000000000002</v>
          </cell>
          <cell r="F4537">
            <v>13229</v>
          </cell>
          <cell r="J4537">
            <v>3809804.3041216834</v>
          </cell>
          <cell r="K4537">
            <v>2.4380000000000002</v>
          </cell>
          <cell r="L4537">
            <v>148835</v>
          </cell>
          <cell r="M4537">
            <v>13229</v>
          </cell>
          <cell r="N4537">
            <v>683926.05601571908</v>
          </cell>
          <cell r="O4537">
            <v>692380.00232629513</v>
          </cell>
          <cell r="P4537">
            <v>366.52859999999998</v>
          </cell>
        </row>
        <row r="4538">
          <cell r="B4538">
            <v>37315</v>
          </cell>
          <cell r="I4538">
            <v>368.79259999999999</v>
          </cell>
          <cell r="J4538">
            <v>3809804.3041216834</v>
          </cell>
          <cell r="K4538">
            <v>2.4380000000000002</v>
          </cell>
          <cell r="L4538">
            <v>148835</v>
          </cell>
          <cell r="M4538">
            <v>13229</v>
          </cell>
          <cell r="N4538">
            <v>683926.05601571908</v>
          </cell>
          <cell r="O4538">
            <v>692380.00232629513</v>
          </cell>
          <cell r="P4538">
            <v>368.79259999999999</v>
          </cell>
        </row>
        <row r="4539">
          <cell r="B4539">
            <v>37316</v>
          </cell>
          <cell r="J4539">
            <v>3809804.3041216834</v>
          </cell>
          <cell r="K4539">
            <v>2.4380000000000002</v>
          </cell>
          <cell r="L4539">
            <v>148835</v>
          </cell>
          <cell r="M4539">
            <v>13229</v>
          </cell>
          <cell r="N4539">
            <v>683926.05601571908</v>
          </cell>
          <cell r="O4539">
            <v>692380.00232629513</v>
          </cell>
          <cell r="P4539">
            <v>368.79259999999999</v>
          </cell>
        </row>
        <row r="4540">
          <cell r="B4540">
            <v>37317</v>
          </cell>
          <cell r="J4540">
            <v>3809804.3041216834</v>
          </cell>
          <cell r="K4540">
            <v>2.4380000000000002</v>
          </cell>
          <cell r="L4540">
            <v>148835</v>
          </cell>
          <cell r="M4540">
            <v>13229</v>
          </cell>
          <cell r="N4540">
            <v>683926.05601571908</v>
          </cell>
          <cell r="O4540">
            <v>692380.00232629513</v>
          </cell>
          <cell r="P4540">
            <v>368.79259999999999</v>
          </cell>
        </row>
        <row r="4541">
          <cell r="B4541">
            <v>37318</v>
          </cell>
          <cell r="J4541">
            <v>3809804.3041216834</v>
          </cell>
          <cell r="K4541">
            <v>2.4380000000000002</v>
          </cell>
          <cell r="L4541">
            <v>148835</v>
          </cell>
          <cell r="M4541">
            <v>13229</v>
          </cell>
          <cell r="N4541">
            <v>683926.05601571908</v>
          </cell>
          <cell r="O4541">
            <v>692380.00232629513</v>
          </cell>
          <cell r="P4541">
            <v>368.79259999999999</v>
          </cell>
        </row>
        <row r="4542">
          <cell r="B4542">
            <v>37319</v>
          </cell>
          <cell r="J4542">
            <v>3809804.3041216834</v>
          </cell>
          <cell r="K4542">
            <v>2.4380000000000002</v>
          </cell>
          <cell r="L4542">
            <v>148835</v>
          </cell>
          <cell r="M4542">
            <v>13229</v>
          </cell>
          <cell r="N4542">
            <v>683926.05601571908</v>
          </cell>
          <cell r="O4542">
            <v>692380.00232629513</v>
          </cell>
          <cell r="P4542">
            <v>368.79259999999999</v>
          </cell>
        </row>
        <row r="4543">
          <cell r="B4543">
            <v>37320</v>
          </cell>
          <cell r="J4543">
            <v>3809804.3041216834</v>
          </cell>
          <cell r="K4543">
            <v>2.4380000000000002</v>
          </cell>
          <cell r="L4543">
            <v>148835</v>
          </cell>
          <cell r="M4543">
            <v>13229</v>
          </cell>
          <cell r="N4543">
            <v>683926.05601571908</v>
          </cell>
          <cell r="O4543">
            <v>692380.00232629513</v>
          </cell>
          <cell r="P4543">
            <v>368.79259999999999</v>
          </cell>
        </row>
        <row r="4544">
          <cell r="B4544">
            <v>37321</v>
          </cell>
          <cell r="J4544">
            <v>3809804.3041216834</v>
          </cell>
          <cell r="K4544">
            <v>2.4380000000000002</v>
          </cell>
          <cell r="L4544">
            <v>148835</v>
          </cell>
          <cell r="M4544">
            <v>13229</v>
          </cell>
          <cell r="N4544">
            <v>683926.05601571908</v>
          </cell>
          <cell r="O4544">
            <v>692380.00232629513</v>
          </cell>
          <cell r="P4544">
            <v>368.79259999999999</v>
          </cell>
        </row>
        <row r="4545">
          <cell r="B4545">
            <v>37322</v>
          </cell>
          <cell r="J4545">
            <v>3809804.3041216834</v>
          </cell>
          <cell r="K4545">
            <v>2.4380000000000002</v>
          </cell>
          <cell r="L4545">
            <v>148835</v>
          </cell>
          <cell r="M4545">
            <v>13229</v>
          </cell>
          <cell r="N4545">
            <v>683926.05601571908</v>
          </cell>
          <cell r="O4545">
            <v>692380.00232629513</v>
          </cell>
          <cell r="P4545">
            <v>368.79259999999999</v>
          </cell>
        </row>
        <row r="4546">
          <cell r="B4546">
            <v>37323</v>
          </cell>
          <cell r="J4546">
            <v>3809804.3041216834</v>
          </cell>
          <cell r="K4546">
            <v>2.4380000000000002</v>
          </cell>
          <cell r="L4546">
            <v>148835</v>
          </cell>
          <cell r="M4546">
            <v>13229</v>
          </cell>
          <cell r="N4546">
            <v>683926.05601571908</v>
          </cell>
          <cell r="O4546">
            <v>692380.00232629513</v>
          </cell>
          <cell r="P4546">
            <v>368.79259999999999</v>
          </cell>
        </row>
        <row r="4547">
          <cell r="B4547">
            <v>37324</v>
          </cell>
          <cell r="J4547">
            <v>3809804.3041216834</v>
          </cell>
          <cell r="K4547">
            <v>2.4380000000000002</v>
          </cell>
          <cell r="L4547">
            <v>148835</v>
          </cell>
          <cell r="M4547">
            <v>13229</v>
          </cell>
          <cell r="N4547">
            <v>683926.05601571908</v>
          </cell>
          <cell r="O4547">
            <v>692380.00232629513</v>
          </cell>
          <cell r="P4547">
            <v>368.79259999999999</v>
          </cell>
        </row>
        <row r="4548">
          <cell r="B4548">
            <v>37325</v>
          </cell>
          <cell r="J4548">
            <v>3809804.3041216834</v>
          </cell>
          <cell r="K4548">
            <v>2.4380000000000002</v>
          </cell>
          <cell r="L4548">
            <v>148835</v>
          </cell>
          <cell r="M4548">
            <v>13229</v>
          </cell>
          <cell r="N4548">
            <v>683926.05601571908</v>
          </cell>
          <cell r="O4548">
            <v>692380.00232629513</v>
          </cell>
          <cell r="P4548">
            <v>368.79259999999999</v>
          </cell>
        </row>
        <row r="4549">
          <cell r="B4549">
            <v>37326</v>
          </cell>
          <cell r="J4549">
            <v>3809804.3041216834</v>
          </cell>
          <cell r="K4549">
            <v>2.4380000000000002</v>
          </cell>
          <cell r="L4549">
            <v>148835</v>
          </cell>
          <cell r="M4549">
            <v>13229</v>
          </cell>
          <cell r="N4549">
            <v>683926.05601571908</v>
          </cell>
          <cell r="O4549">
            <v>692380.00232629513</v>
          </cell>
          <cell r="P4549">
            <v>368.79259999999999</v>
          </cell>
        </row>
        <row r="4550">
          <cell r="B4550">
            <v>37327</v>
          </cell>
          <cell r="J4550">
            <v>3809804.3041216834</v>
          </cell>
          <cell r="K4550">
            <v>2.4380000000000002</v>
          </cell>
          <cell r="L4550">
            <v>148835</v>
          </cell>
          <cell r="M4550">
            <v>13229</v>
          </cell>
          <cell r="N4550">
            <v>683926.05601571908</v>
          </cell>
          <cell r="O4550">
            <v>692380.00232629513</v>
          </cell>
          <cell r="P4550">
            <v>368.79259999999999</v>
          </cell>
        </row>
        <row r="4551">
          <cell r="B4551">
            <v>37328</v>
          </cell>
          <cell r="J4551">
            <v>3809804.3041216834</v>
          </cell>
          <cell r="K4551">
            <v>2.4380000000000002</v>
          </cell>
          <cell r="L4551">
            <v>148835</v>
          </cell>
          <cell r="M4551">
            <v>13229</v>
          </cell>
          <cell r="N4551">
            <v>683926.05601571908</v>
          </cell>
          <cell r="O4551">
            <v>692380.00232629513</v>
          </cell>
          <cell r="P4551">
            <v>368.79259999999999</v>
          </cell>
        </row>
        <row r="4552">
          <cell r="B4552">
            <v>37329</v>
          </cell>
          <cell r="J4552">
            <v>3809804.3041216834</v>
          </cell>
          <cell r="K4552">
            <v>2.4380000000000002</v>
          </cell>
          <cell r="L4552">
            <v>148835</v>
          </cell>
          <cell r="M4552">
            <v>13229</v>
          </cell>
          <cell r="N4552">
            <v>683926.05601571908</v>
          </cell>
          <cell r="O4552">
            <v>692380.00232629513</v>
          </cell>
          <cell r="P4552">
            <v>368.79259999999999</v>
          </cell>
        </row>
        <row r="4553">
          <cell r="B4553">
            <v>37330</v>
          </cell>
          <cell r="J4553">
            <v>3809804.3041216834</v>
          </cell>
          <cell r="K4553">
            <v>2.4380000000000002</v>
          </cell>
          <cell r="L4553">
            <v>148835</v>
          </cell>
          <cell r="M4553">
            <v>13229</v>
          </cell>
          <cell r="N4553">
            <v>683926.05601571908</v>
          </cell>
          <cell r="O4553">
            <v>692380.00232629513</v>
          </cell>
          <cell r="P4553">
            <v>368.79259999999999</v>
          </cell>
        </row>
        <row r="4554">
          <cell r="B4554">
            <v>37331</v>
          </cell>
          <cell r="J4554">
            <v>3809804.3041216834</v>
          </cell>
          <cell r="K4554">
            <v>2.4380000000000002</v>
          </cell>
          <cell r="L4554">
            <v>148835</v>
          </cell>
          <cell r="M4554">
            <v>13229</v>
          </cell>
          <cell r="N4554">
            <v>683926.05601571908</v>
          </cell>
          <cell r="O4554">
            <v>692380.00232629513</v>
          </cell>
          <cell r="P4554">
            <v>368.79259999999999</v>
          </cell>
        </row>
        <row r="4555">
          <cell r="B4555">
            <v>37332</v>
          </cell>
          <cell r="J4555">
            <v>3809804.3041216834</v>
          </cell>
          <cell r="K4555">
            <v>2.4380000000000002</v>
          </cell>
          <cell r="L4555">
            <v>148835</v>
          </cell>
          <cell r="M4555">
            <v>13229</v>
          </cell>
          <cell r="N4555">
            <v>683926.05601571908</v>
          </cell>
          <cell r="O4555">
            <v>692380.00232629513</v>
          </cell>
          <cell r="P4555">
            <v>368.79259999999999</v>
          </cell>
        </row>
        <row r="4556">
          <cell r="B4556">
            <v>37333</v>
          </cell>
          <cell r="J4556">
            <v>3809804.3041216834</v>
          </cell>
          <cell r="K4556">
            <v>2.4380000000000002</v>
          </cell>
          <cell r="L4556">
            <v>148835</v>
          </cell>
          <cell r="M4556">
            <v>13229</v>
          </cell>
          <cell r="N4556">
            <v>683926.05601571908</v>
          </cell>
          <cell r="O4556">
            <v>692380.00232629513</v>
          </cell>
          <cell r="P4556">
            <v>368.79259999999999</v>
          </cell>
        </row>
        <row r="4557">
          <cell r="B4557">
            <v>37334</v>
          </cell>
          <cell r="J4557">
            <v>3809804.3041216834</v>
          </cell>
          <cell r="K4557">
            <v>2.4380000000000002</v>
          </cell>
          <cell r="L4557">
            <v>148835</v>
          </cell>
          <cell r="M4557">
            <v>13229</v>
          </cell>
          <cell r="N4557">
            <v>683926.05601571908</v>
          </cell>
          <cell r="O4557">
            <v>692380.00232629513</v>
          </cell>
          <cell r="P4557">
            <v>368.79259999999999</v>
          </cell>
        </row>
        <row r="4558">
          <cell r="B4558">
            <v>37335</v>
          </cell>
          <cell r="J4558">
            <v>3809804.3041216834</v>
          </cell>
          <cell r="K4558">
            <v>2.4380000000000002</v>
          </cell>
          <cell r="L4558">
            <v>148835</v>
          </cell>
          <cell r="M4558">
            <v>13229</v>
          </cell>
          <cell r="N4558">
            <v>683926.05601571908</v>
          </cell>
          <cell r="O4558">
            <v>692380.00232629513</v>
          </cell>
          <cell r="P4558">
            <v>368.79259999999999</v>
          </cell>
        </row>
        <row r="4559">
          <cell r="B4559">
            <v>37336</v>
          </cell>
          <cell r="J4559">
            <v>3809804.3041216834</v>
          </cell>
          <cell r="K4559">
            <v>2.4380000000000002</v>
          </cell>
          <cell r="L4559">
            <v>148835</v>
          </cell>
          <cell r="M4559">
            <v>13229</v>
          </cell>
          <cell r="N4559">
            <v>683926.05601571908</v>
          </cell>
          <cell r="O4559">
            <v>692380.00232629513</v>
          </cell>
          <cell r="P4559">
            <v>368.79259999999999</v>
          </cell>
        </row>
        <row r="4560">
          <cell r="B4560">
            <v>37337</v>
          </cell>
          <cell r="J4560">
            <v>3809804.3041216834</v>
          </cell>
          <cell r="K4560">
            <v>2.4380000000000002</v>
          </cell>
          <cell r="L4560">
            <v>148835</v>
          </cell>
          <cell r="M4560">
            <v>13229</v>
          </cell>
          <cell r="N4560">
            <v>683926.05601571908</v>
          </cell>
          <cell r="O4560">
            <v>692380.00232629513</v>
          </cell>
          <cell r="P4560">
            <v>368.79259999999999</v>
          </cell>
        </row>
        <row r="4561">
          <cell r="B4561">
            <v>37338</v>
          </cell>
          <cell r="J4561">
            <v>3809804.3041216834</v>
          </cell>
          <cell r="K4561">
            <v>2.4380000000000002</v>
          </cell>
          <cell r="L4561">
            <v>148835</v>
          </cell>
          <cell r="M4561">
            <v>13229</v>
          </cell>
          <cell r="N4561">
            <v>683926.05601571908</v>
          </cell>
          <cell r="O4561">
            <v>692380.00232629513</v>
          </cell>
          <cell r="P4561">
            <v>368.79259999999999</v>
          </cell>
        </row>
        <row r="4562">
          <cell r="B4562">
            <v>37339</v>
          </cell>
          <cell r="J4562">
            <v>3809804.3041216834</v>
          </cell>
          <cell r="K4562">
            <v>2.4380000000000002</v>
          </cell>
          <cell r="L4562">
            <v>148835</v>
          </cell>
          <cell r="M4562">
            <v>13229</v>
          </cell>
          <cell r="N4562">
            <v>683926.05601571908</v>
          </cell>
          <cell r="O4562">
            <v>692380.00232629513</v>
          </cell>
          <cell r="P4562">
            <v>368.79259999999999</v>
          </cell>
        </row>
        <row r="4563">
          <cell r="B4563">
            <v>37340</v>
          </cell>
          <cell r="J4563">
            <v>3809804.3041216834</v>
          </cell>
          <cell r="K4563">
            <v>2.4380000000000002</v>
          </cell>
          <cell r="L4563">
            <v>148835</v>
          </cell>
          <cell r="M4563">
            <v>13229</v>
          </cell>
          <cell r="N4563">
            <v>683926.05601571908</v>
          </cell>
          <cell r="O4563">
            <v>692380.00232629513</v>
          </cell>
          <cell r="P4563">
            <v>368.79259999999999</v>
          </cell>
        </row>
        <row r="4564">
          <cell r="B4564">
            <v>37341</v>
          </cell>
          <cell r="J4564">
            <v>3809804.3041216834</v>
          </cell>
          <cell r="K4564">
            <v>2.4380000000000002</v>
          </cell>
          <cell r="L4564">
            <v>148835</v>
          </cell>
          <cell r="M4564">
            <v>13229</v>
          </cell>
          <cell r="N4564">
            <v>683926.05601571908</v>
          </cell>
          <cell r="O4564">
            <v>692380.00232629513</v>
          </cell>
          <cell r="P4564">
            <v>368.79259999999999</v>
          </cell>
        </row>
        <row r="4565">
          <cell r="B4565">
            <v>37342</v>
          </cell>
          <cell r="J4565">
            <v>3809804.3041216834</v>
          </cell>
          <cell r="K4565">
            <v>2.4380000000000002</v>
          </cell>
          <cell r="L4565">
            <v>148835</v>
          </cell>
          <cell r="M4565">
            <v>13229</v>
          </cell>
          <cell r="N4565">
            <v>683926.05601571908</v>
          </cell>
          <cell r="O4565">
            <v>692380.00232629513</v>
          </cell>
          <cell r="P4565">
            <v>368.79259999999999</v>
          </cell>
        </row>
        <row r="4566">
          <cell r="B4566">
            <v>37343</v>
          </cell>
          <cell r="J4566">
            <v>3809804.3041216834</v>
          </cell>
          <cell r="K4566">
            <v>2.4380000000000002</v>
          </cell>
          <cell r="L4566">
            <v>148835</v>
          </cell>
          <cell r="M4566">
            <v>13229</v>
          </cell>
          <cell r="N4566">
            <v>683926.05601571908</v>
          </cell>
          <cell r="O4566">
            <v>692380.00232629513</v>
          </cell>
          <cell r="P4566">
            <v>368.79259999999999</v>
          </cell>
        </row>
        <row r="4567">
          <cell r="B4567">
            <v>37344</v>
          </cell>
          <cell r="J4567">
            <v>3809804.3041216834</v>
          </cell>
          <cell r="K4567">
            <v>2.4380000000000002</v>
          </cell>
          <cell r="L4567">
            <v>148835</v>
          </cell>
          <cell r="M4567">
            <v>13229</v>
          </cell>
          <cell r="N4567">
            <v>683926.05601571908</v>
          </cell>
          <cell r="O4567">
            <v>692380.00232629513</v>
          </cell>
          <cell r="P4567">
            <v>368.79259999999999</v>
          </cell>
        </row>
        <row r="4568">
          <cell r="B4568">
            <v>37345</v>
          </cell>
          <cell r="J4568">
            <v>3809804.3041216834</v>
          </cell>
          <cell r="K4568">
            <v>2.4380000000000002</v>
          </cell>
          <cell r="L4568">
            <v>148835</v>
          </cell>
          <cell r="M4568">
            <v>13229</v>
          </cell>
          <cell r="N4568">
            <v>683926.05601571908</v>
          </cell>
          <cell r="O4568">
            <v>692380.00232629513</v>
          </cell>
          <cell r="P4568">
            <v>368.79259999999999</v>
          </cell>
        </row>
        <row r="4569">
          <cell r="B4569">
            <v>37346</v>
          </cell>
          <cell r="J4569">
            <v>3809804.3041216834</v>
          </cell>
          <cell r="K4569">
            <v>2.4380000000000002</v>
          </cell>
          <cell r="L4569">
            <v>148835</v>
          </cell>
          <cell r="M4569">
            <v>13229</v>
          </cell>
          <cell r="N4569">
            <v>683926.05601571908</v>
          </cell>
          <cell r="O4569">
            <v>692380.00232629513</v>
          </cell>
          <cell r="P4569">
            <v>368.79259999999999</v>
          </cell>
        </row>
        <row r="4570">
          <cell r="B4570">
            <v>37347</v>
          </cell>
          <cell r="J4570">
            <v>3809804.3041216834</v>
          </cell>
          <cell r="K4570">
            <v>2.4380000000000002</v>
          </cell>
          <cell r="L4570">
            <v>148835</v>
          </cell>
          <cell r="M4570">
            <v>13229</v>
          </cell>
          <cell r="N4570">
            <v>683926.05601571908</v>
          </cell>
          <cell r="O4570">
            <v>692380.00232629513</v>
          </cell>
          <cell r="P4570">
            <v>368.79259999999999</v>
          </cell>
        </row>
        <row r="4571">
          <cell r="B4571">
            <v>37348</v>
          </cell>
          <cell r="J4571">
            <v>3809804.3041216834</v>
          </cell>
          <cell r="K4571">
            <v>2.4380000000000002</v>
          </cell>
          <cell r="L4571">
            <v>148835</v>
          </cell>
          <cell r="M4571">
            <v>13229</v>
          </cell>
          <cell r="N4571">
            <v>683926.05601571908</v>
          </cell>
          <cell r="O4571">
            <v>692380.00232629513</v>
          </cell>
          <cell r="P4571">
            <v>368.79259999999999</v>
          </cell>
        </row>
        <row r="4572">
          <cell r="B4572">
            <v>37349</v>
          </cell>
          <cell r="J4572">
            <v>3809804.3041216834</v>
          </cell>
          <cell r="K4572">
            <v>2.4380000000000002</v>
          </cell>
          <cell r="L4572">
            <v>148835</v>
          </cell>
          <cell r="M4572">
            <v>13229</v>
          </cell>
          <cell r="N4572">
            <v>683926.05601571908</v>
          </cell>
          <cell r="O4572">
            <v>692380.00232629513</v>
          </cell>
          <cell r="P4572">
            <v>368.79259999999999</v>
          </cell>
        </row>
        <row r="4573">
          <cell r="B4573">
            <v>37350</v>
          </cell>
          <cell r="J4573">
            <v>3809804.3041216834</v>
          </cell>
          <cell r="K4573">
            <v>2.4380000000000002</v>
          </cell>
          <cell r="L4573">
            <v>148835</v>
          </cell>
          <cell r="M4573">
            <v>13229</v>
          </cell>
          <cell r="N4573">
            <v>683926.05601571908</v>
          </cell>
          <cell r="O4573">
            <v>692380.00232629513</v>
          </cell>
          <cell r="P4573">
            <v>368.79259999999999</v>
          </cell>
        </row>
        <row r="4574">
          <cell r="B4574">
            <v>37351</v>
          </cell>
          <cell r="J4574">
            <v>3809804.3041216834</v>
          </cell>
          <cell r="K4574">
            <v>2.4380000000000002</v>
          </cell>
          <cell r="L4574">
            <v>148835</v>
          </cell>
          <cell r="M4574">
            <v>13229</v>
          </cell>
          <cell r="N4574">
            <v>683926.05601571908</v>
          </cell>
          <cell r="O4574">
            <v>692380.00232629513</v>
          </cell>
          <cell r="P4574">
            <v>368.79259999999999</v>
          </cell>
        </row>
        <row r="4575">
          <cell r="B4575">
            <v>37352</v>
          </cell>
          <cell r="J4575">
            <v>3809804.3041216834</v>
          </cell>
          <cell r="K4575">
            <v>2.4380000000000002</v>
          </cell>
          <cell r="L4575">
            <v>148835</v>
          </cell>
          <cell r="M4575">
            <v>13229</v>
          </cell>
          <cell r="N4575">
            <v>683926.05601571908</v>
          </cell>
          <cell r="O4575">
            <v>692380.00232629513</v>
          </cell>
          <cell r="P4575">
            <v>368.79259999999999</v>
          </cell>
        </row>
        <row r="4576">
          <cell r="B4576">
            <v>37353</v>
          </cell>
          <cell r="J4576">
            <v>3809804.3041216834</v>
          </cell>
          <cell r="K4576">
            <v>2.4380000000000002</v>
          </cell>
          <cell r="L4576">
            <v>148835</v>
          </cell>
          <cell r="M4576">
            <v>13229</v>
          </cell>
          <cell r="N4576">
            <v>683926.05601571908</v>
          </cell>
          <cell r="O4576">
            <v>692380.00232629513</v>
          </cell>
          <cell r="P4576">
            <v>368.79259999999999</v>
          </cell>
        </row>
        <row r="4577">
          <cell r="B4577">
            <v>37354</v>
          </cell>
          <cell r="J4577">
            <v>3809804.3041216834</v>
          </cell>
          <cell r="K4577">
            <v>2.4380000000000002</v>
          </cell>
          <cell r="L4577">
            <v>148835</v>
          </cell>
          <cell r="M4577">
            <v>13229</v>
          </cell>
          <cell r="N4577">
            <v>683926.05601571908</v>
          </cell>
          <cell r="O4577">
            <v>692380.00232629513</v>
          </cell>
          <cell r="P4577">
            <v>368.79259999999999</v>
          </cell>
        </row>
        <row r="4578">
          <cell r="B4578">
            <v>37355</v>
          </cell>
          <cell r="J4578">
            <v>3809804.3041216834</v>
          </cell>
          <cell r="K4578">
            <v>2.4380000000000002</v>
          </cell>
          <cell r="L4578">
            <v>148835</v>
          </cell>
          <cell r="M4578">
            <v>13229</v>
          </cell>
          <cell r="N4578">
            <v>683926.05601571908</v>
          </cell>
          <cell r="O4578">
            <v>692380.00232629513</v>
          </cell>
          <cell r="P4578">
            <v>368.79259999999999</v>
          </cell>
        </row>
        <row r="4579">
          <cell r="B4579">
            <v>37356</v>
          </cell>
          <cell r="J4579">
            <v>3809804.3041216834</v>
          </cell>
          <cell r="K4579">
            <v>2.4380000000000002</v>
          </cell>
          <cell r="L4579">
            <v>148835</v>
          </cell>
          <cell r="M4579">
            <v>13229</v>
          </cell>
          <cell r="N4579">
            <v>683926.05601571908</v>
          </cell>
          <cell r="O4579">
            <v>692380.00232629513</v>
          </cell>
          <cell r="P4579">
            <v>368.79259999999999</v>
          </cell>
        </row>
        <row r="4580">
          <cell r="B4580">
            <v>37357</v>
          </cell>
          <cell r="J4580">
            <v>3809804.3041216834</v>
          </cell>
          <cell r="K4580">
            <v>2.4380000000000002</v>
          </cell>
          <cell r="L4580">
            <v>148835</v>
          </cell>
          <cell r="M4580">
            <v>13229</v>
          </cell>
          <cell r="N4580">
            <v>683926.05601571908</v>
          </cell>
          <cell r="O4580">
            <v>692380.00232629513</v>
          </cell>
          <cell r="P4580">
            <v>368.79259999999999</v>
          </cell>
        </row>
        <row r="4581">
          <cell r="B4581">
            <v>37358</v>
          </cell>
          <cell r="J4581">
            <v>3809804.3041216834</v>
          </cell>
          <cell r="K4581">
            <v>2.4380000000000002</v>
          </cell>
          <cell r="L4581">
            <v>148835</v>
          </cell>
          <cell r="M4581">
            <v>13229</v>
          </cell>
          <cell r="N4581">
            <v>683926.05601571908</v>
          </cell>
          <cell r="O4581">
            <v>692380.00232629513</v>
          </cell>
          <cell r="P4581">
            <v>368.79259999999999</v>
          </cell>
        </row>
        <row r="4582">
          <cell r="B4582">
            <v>37359</v>
          </cell>
          <cell r="J4582">
            <v>3809804.3041216834</v>
          </cell>
          <cell r="K4582">
            <v>2.4380000000000002</v>
          </cell>
          <cell r="L4582">
            <v>148835</v>
          </cell>
          <cell r="M4582">
            <v>13229</v>
          </cell>
          <cell r="N4582">
            <v>683926.05601571908</v>
          </cell>
          <cell r="O4582">
            <v>692380.00232629513</v>
          </cell>
          <cell r="P4582">
            <v>368.79259999999999</v>
          </cell>
        </row>
        <row r="4583">
          <cell r="B4583">
            <v>37360</v>
          </cell>
          <cell r="J4583">
            <v>3809804.3041216834</v>
          </cell>
          <cell r="K4583">
            <v>2.4380000000000002</v>
          </cell>
          <cell r="L4583">
            <v>148835</v>
          </cell>
          <cell r="M4583">
            <v>13229</v>
          </cell>
          <cell r="N4583">
            <v>683926.05601571908</v>
          </cell>
          <cell r="O4583">
            <v>692380.00232629513</v>
          </cell>
          <cell r="P4583">
            <v>368.79259999999999</v>
          </cell>
        </row>
        <row r="4584">
          <cell r="B4584">
            <v>37361</v>
          </cell>
          <cell r="J4584">
            <v>3809804.3041216834</v>
          </cell>
          <cell r="K4584">
            <v>2.4380000000000002</v>
          </cell>
          <cell r="L4584">
            <v>148835</v>
          </cell>
          <cell r="M4584">
            <v>13229</v>
          </cell>
          <cell r="N4584">
            <v>683926.05601571908</v>
          </cell>
          <cell r="O4584">
            <v>692380.00232629513</v>
          </cell>
          <cell r="P4584">
            <v>368.79259999999999</v>
          </cell>
        </row>
        <row r="4585">
          <cell r="B4585">
            <v>37362</v>
          </cell>
          <cell r="J4585">
            <v>3809804.3041216834</v>
          </cell>
          <cell r="K4585">
            <v>2.4380000000000002</v>
          </cell>
          <cell r="L4585">
            <v>148835</v>
          </cell>
          <cell r="M4585">
            <v>13229</v>
          </cell>
          <cell r="N4585">
            <v>683926.05601571908</v>
          </cell>
          <cell r="O4585">
            <v>692380.00232629513</v>
          </cell>
          <cell r="P4585">
            <v>368.79259999999999</v>
          </cell>
        </row>
        <row r="4586">
          <cell r="B4586">
            <v>37363</v>
          </cell>
          <cell r="J4586">
            <v>3809804.3041216834</v>
          </cell>
          <cell r="K4586">
            <v>2.4380000000000002</v>
          </cell>
          <cell r="L4586">
            <v>148835</v>
          </cell>
          <cell r="M4586">
            <v>13229</v>
          </cell>
          <cell r="N4586">
            <v>683926.05601571908</v>
          </cell>
          <cell r="O4586">
            <v>692380.00232629513</v>
          </cell>
          <cell r="P4586">
            <v>368.79259999999999</v>
          </cell>
        </row>
        <row r="4587">
          <cell r="B4587">
            <v>37364</v>
          </cell>
          <cell r="J4587">
            <v>3809804.3041216834</v>
          </cell>
          <cell r="K4587">
            <v>2.4380000000000002</v>
          </cell>
          <cell r="L4587">
            <v>148835</v>
          </cell>
          <cell r="M4587">
            <v>13229</v>
          </cell>
          <cell r="N4587">
            <v>683926.05601571908</v>
          </cell>
          <cell r="O4587">
            <v>692380.00232629513</v>
          </cell>
          <cell r="P4587">
            <v>368.79259999999999</v>
          </cell>
        </row>
        <row r="4588">
          <cell r="B4588">
            <v>37365</v>
          </cell>
          <cell r="J4588">
            <v>3809804.3041216834</v>
          </cell>
          <cell r="K4588">
            <v>2.4380000000000002</v>
          </cell>
          <cell r="L4588">
            <v>148835</v>
          </cell>
          <cell r="M4588">
            <v>13229</v>
          </cell>
          <cell r="N4588">
            <v>683926.05601571908</v>
          </cell>
          <cell r="O4588">
            <v>692380.00232629513</v>
          </cell>
          <cell r="P4588">
            <v>368.79259999999999</v>
          </cell>
        </row>
        <row r="4589">
          <cell r="B4589">
            <v>37366</v>
          </cell>
          <cell r="J4589">
            <v>3809804.3041216834</v>
          </cell>
          <cell r="K4589">
            <v>2.4380000000000002</v>
          </cell>
          <cell r="L4589">
            <v>148835</v>
          </cell>
          <cell r="M4589">
            <v>13229</v>
          </cell>
          <cell r="N4589">
            <v>683926.05601571908</v>
          </cell>
          <cell r="O4589">
            <v>692380.00232629513</v>
          </cell>
          <cell r="P4589">
            <v>368.79259999999999</v>
          </cell>
        </row>
        <row r="4590">
          <cell r="B4590">
            <v>37367</v>
          </cell>
          <cell r="J4590">
            <v>3809804.3041216834</v>
          </cell>
          <cell r="K4590">
            <v>2.4380000000000002</v>
          </cell>
          <cell r="L4590">
            <v>148835</v>
          </cell>
          <cell r="M4590">
            <v>13229</v>
          </cell>
          <cell r="N4590">
            <v>683926.05601571908</v>
          </cell>
          <cell r="O4590">
            <v>692380.00232629513</v>
          </cell>
          <cell r="P4590">
            <v>368.79259999999999</v>
          </cell>
        </row>
        <row r="4591">
          <cell r="B4591">
            <v>37368</v>
          </cell>
          <cell r="J4591">
            <v>3809804.3041216834</v>
          </cell>
          <cell r="K4591">
            <v>2.4380000000000002</v>
          </cell>
          <cell r="L4591">
            <v>148835</v>
          </cell>
          <cell r="M4591">
            <v>13229</v>
          </cell>
          <cell r="N4591">
            <v>683926.05601571908</v>
          </cell>
          <cell r="O4591">
            <v>692380.00232629513</v>
          </cell>
          <cell r="P4591">
            <v>368.79259999999999</v>
          </cell>
        </row>
        <row r="4592">
          <cell r="B4592">
            <v>37369</v>
          </cell>
          <cell r="J4592">
            <v>3809804.3041216834</v>
          </cell>
          <cell r="K4592">
            <v>2.4380000000000002</v>
          </cell>
          <cell r="L4592">
            <v>148835</v>
          </cell>
          <cell r="M4592">
            <v>13229</v>
          </cell>
          <cell r="N4592">
            <v>683926.05601571908</v>
          </cell>
          <cell r="O4592">
            <v>692380.00232629513</v>
          </cell>
          <cell r="P4592">
            <v>368.79259999999999</v>
          </cell>
        </row>
        <row r="4593">
          <cell r="B4593">
            <v>37370</v>
          </cell>
          <cell r="J4593">
            <v>3809804.3041216834</v>
          </cell>
          <cell r="K4593">
            <v>2.4380000000000002</v>
          </cell>
          <cell r="L4593">
            <v>148835</v>
          </cell>
          <cell r="M4593">
            <v>13229</v>
          </cell>
          <cell r="N4593">
            <v>683926.05601571908</v>
          </cell>
          <cell r="O4593">
            <v>692380.00232629513</v>
          </cell>
          <cell r="P4593">
            <v>368.79259999999999</v>
          </cell>
        </row>
        <row r="4594">
          <cell r="B4594">
            <v>37371</v>
          </cell>
          <cell r="J4594">
            <v>3809804.3041216834</v>
          </cell>
          <cell r="K4594">
            <v>2.4380000000000002</v>
          </cell>
          <cell r="L4594">
            <v>148835</v>
          </cell>
          <cell r="M4594">
            <v>13229</v>
          </cell>
          <cell r="N4594">
            <v>683926.05601571908</v>
          </cell>
          <cell r="O4594">
            <v>692380.00232629513</v>
          </cell>
          <cell r="P4594">
            <v>368.79259999999999</v>
          </cell>
        </row>
        <row r="4595">
          <cell r="B4595">
            <v>37372</v>
          </cell>
          <cell r="J4595">
            <v>3809804.3041216834</v>
          </cell>
          <cell r="K4595">
            <v>2.4380000000000002</v>
          </cell>
          <cell r="L4595">
            <v>148835</v>
          </cell>
          <cell r="M4595">
            <v>13229</v>
          </cell>
          <cell r="N4595">
            <v>683926.05601571908</v>
          </cell>
          <cell r="O4595">
            <v>692380.00232629513</v>
          </cell>
          <cell r="P4595">
            <v>368.79259999999999</v>
          </cell>
        </row>
        <row r="4596">
          <cell r="B4596">
            <v>37373</v>
          </cell>
          <cell r="J4596">
            <v>3809804.3041216834</v>
          </cell>
          <cell r="K4596">
            <v>2.4380000000000002</v>
          </cell>
          <cell r="L4596">
            <v>148835</v>
          </cell>
          <cell r="M4596">
            <v>13229</v>
          </cell>
          <cell r="N4596">
            <v>683926.05601571908</v>
          </cell>
          <cell r="O4596">
            <v>692380.00232629513</v>
          </cell>
          <cell r="P4596">
            <v>368.79259999999999</v>
          </cell>
        </row>
        <row r="4597">
          <cell r="B4597">
            <v>37374</v>
          </cell>
          <cell r="J4597">
            <v>3809804.3041216834</v>
          </cell>
          <cell r="K4597">
            <v>2.4380000000000002</v>
          </cell>
          <cell r="L4597">
            <v>148835</v>
          </cell>
          <cell r="M4597">
            <v>13229</v>
          </cell>
          <cell r="N4597">
            <v>683926.05601571908</v>
          </cell>
          <cell r="O4597">
            <v>692380.00232629513</v>
          </cell>
          <cell r="P4597">
            <v>368.79259999999999</v>
          </cell>
        </row>
        <row r="4598">
          <cell r="B4598">
            <v>37375</v>
          </cell>
          <cell r="J4598">
            <v>3809804.3041216834</v>
          </cell>
          <cell r="K4598">
            <v>2.4380000000000002</v>
          </cell>
          <cell r="L4598">
            <v>148835</v>
          </cell>
          <cell r="M4598">
            <v>13229</v>
          </cell>
          <cell r="N4598">
            <v>683926.05601571908</v>
          </cell>
          <cell r="O4598">
            <v>692380.00232629513</v>
          </cell>
          <cell r="P4598">
            <v>368.79259999999999</v>
          </cell>
        </row>
        <row r="4599">
          <cell r="B4599">
            <v>37376</v>
          </cell>
          <cell r="J4599">
            <v>3809804.3041216834</v>
          </cell>
          <cell r="K4599">
            <v>2.4380000000000002</v>
          </cell>
          <cell r="L4599">
            <v>148835</v>
          </cell>
          <cell r="M4599">
            <v>13229</v>
          </cell>
          <cell r="N4599">
            <v>683926.05601571908</v>
          </cell>
          <cell r="O4599">
            <v>692380.00232629513</v>
          </cell>
          <cell r="P4599">
            <v>368.79259999999999</v>
          </cell>
        </row>
        <row r="4600">
          <cell r="B4600">
            <v>37377</v>
          </cell>
          <cell r="J4600">
            <v>3809804.3041216834</v>
          </cell>
          <cell r="K4600">
            <v>2.4380000000000002</v>
          </cell>
          <cell r="L4600">
            <v>148835</v>
          </cell>
          <cell r="M4600">
            <v>13229</v>
          </cell>
          <cell r="N4600">
            <v>683926.05601571908</v>
          </cell>
          <cell r="O4600">
            <v>692380.00232629513</v>
          </cell>
          <cell r="P4600">
            <v>368.79259999999999</v>
          </cell>
        </row>
        <row r="4601">
          <cell r="B4601">
            <v>37378</v>
          </cell>
          <cell r="J4601">
            <v>3809804.3041216834</v>
          </cell>
          <cell r="K4601">
            <v>2.4380000000000002</v>
          </cell>
          <cell r="L4601">
            <v>148835</v>
          </cell>
          <cell r="M4601">
            <v>13229</v>
          </cell>
          <cell r="N4601">
            <v>683926.05601571908</v>
          </cell>
          <cell r="O4601">
            <v>692380.00232629513</v>
          </cell>
          <cell r="P4601">
            <v>368.79259999999999</v>
          </cell>
        </row>
        <row r="4602">
          <cell r="B4602">
            <v>37379</v>
          </cell>
          <cell r="J4602">
            <v>3809804.3041216834</v>
          </cell>
          <cell r="K4602">
            <v>2.4380000000000002</v>
          </cell>
          <cell r="L4602">
            <v>148835</v>
          </cell>
          <cell r="M4602">
            <v>13229</v>
          </cell>
          <cell r="N4602">
            <v>683926.05601571908</v>
          </cell>
          <cell r="O4602">
            <v>692380.00232629513</v>
          </cell>
          <cell r="P4602">
            <v>368.79259999999999</v>
          </cell>
        </row>
        <row r="4603">
          <cell r="B4603">
            <v>37380</v>
          </cell>
          <cell r="J4603">
            <v>3809804.3041216834</v>
          </cell>
          <cell r="K4603">
            <v>2.4380000000000002</v>
          </cell>
          <cell r="L4603">
            <v>148835</v>
          </cell>
          <cell r="M4603">
            <v>13229</v>
          </cell>
          <cell r="N4603">
            <v>683926.05601571908</v>
          </cell>
          <cell r="O4603">
            <v>692380.00232629513</v>
          </cell>
          <cell r="P4603">
            <v>368.79259999999999</v>
          </cell>
        </row>
        <row r="4604">
          <cell r="B4604">
            <v>37381</v>
          </cell>
          <cell r="J4604">
            <v>3809804.3041216834</v>
          </cell>
          <cell r="K4604">
            <v>2.4380000000000002</v>
          </cell>
          <cell r="L4604">
            <v>148835</v>
          </cell>
          <cell r="M4604">
            <v>13229</v>
          </cell>
          <cell r="N4604">
            <v>683926.05601571908</v>
          </cell>
          <cell r="O4604">
            <v>692380.00232629513</v>
          </cell>
          <cell r="P4604">
            <v>368.79259999999999</v>
          </cell>
        </row>
        <row r="4605">
          <cell r="B4605">
            <v>37382</v>
          </cell>
          <cell r="J4605">
            <v>3809804.3041216834</v>
          </cell>
          <cell r="K4605">
            <v>2.4380000000000002</v>
          </cell>
          <cell r="L4605">
            <v>148835</v>
          </cell>
          <cell r="M4605">
            <v>13229</v>
          </cell>
          <cell r="N4605">
            <v>683926.05601571908</v>
          </cell>
          <cell r="O4605">
            <v>692380.00232629513</v>
          </cell>
          <cell r="P4605">
            <v>368.79259999999999</v>
          </cell>
        </row>
        <row r="4606">
          <cell r="B4606">
            <v>37383</v>
          </cell>
          <cell r="J4606">
            <v>3809804.3041216834</v>
          </cell>
          <cell r="K4606">
            <v>2.4380000000000002</v>
          </cell>
          <cell r="L4606">
            <v>148835</v>
          </cell>
          <cell r="M4606">
            <v>13229</v>
          </cell>
          <cell r="N4606">
            <v>683926.05601571908</v>
          </cell>
          <cell r="O4606">
            <v>692380.00232629513</v>
          </cell>
          <cell r="P4606">
            <v>368.79259999999999</v>
          </cell>
        </row>
        <row r="4607">
          <cell r="B4607">
            <v>37384</v>
          </cell>
          <cell r="J4607">
            <v>3809804.3041216834</v>
          </cell>
          <cell r="K4607">
            <v>2.4380000000000002</v>
          </cell>
          <cell r="L4607">
            <v>148835</v>
          </cell>
          <cell r="M4607">
            <v>13229</v>
          </cell>
          <cell r="N4607">
            <v>683926.05601571908</v>
          </cell>
          <cell r="O4607">
            <v>692380.00232629513</v>
          </cell>
          <cell r="P4607">
            <v>368.79259999999999</v>
          </cell>
        </row>
        <row r="4608">
          <cell r="B4608">
            <v>37385</v>
          </cell>
          <cell r="J4608">
            <v>3809804.3041216834</v>
          </cell>
          <cell r="K4608">
            <v>2.4380000000000002</v>
          </cell>
          <cell r="L4608">
            <v>148835</v>
          </cell>
          <cell r="M4608">
            <v>13229</v>
          </cell>
          <cell r="N4608">
            <v>683926.05601571908</v>
          </cell>
          <cell r="O4608">
            <v>692380.00232629513</v>
          </cell>
          <cell r="P4608">
            <v>368.79259999999999</v>
          </cell>
        </row>
        <row r="4609">
          <cell r="B4609">
            <v>37386</v>
          </cell>
          <cell r="J4609">
            <v>3809804.3041216834</v>
          </cell>
          <cell r="K4609">
            <v>2.4380000000000002</v>
          </cell>
          <cell r="L4609">
            <v>148835</v>
          </cell>
          <cell r="M4609">
            <v>13229</v>
          </cell>
          <cell r="N4609">
            <v>683926.05601571908</v>
          </cell>
          <cell r="O4609">
            <v>692380.00232629513</v>
          </cell>
          <cell r="P4609">
            <v>368.79259999999999</v>
          </cell>
        </row>
        <row r="4610">
          <cell r="B4610">
            <v>37387</v>
          </cell>
          <cell r="J4610">
            <v>3809804.3041216834</v>
          </cell>
          <cell r="K4610">
            <v>2.4380000000000002</v>
          </cell>
          <cell r="L4610">
            <v>148835</v>
          </cell>
          <cell r="M4610">
            <v>13229</v>
          </cell>
          <cell r="N4610">
            <v>683926.05601571908</v>
          </cell>
          <cell r="O4610">
            <v>692380.00232629513</v>
          </cell>
          <cell r="P4610">
            <v>368.79259999999999</v>
          </cell>
        </row>
        <row r="4611">
          <cell r="B4611">
            <v>37388</v>
          </cell>
          <cell r="J4611">
            <v>3809804.3041216834</v>
          </cell>
          <cell r="K4611">
            <v>2.4380000000000002</v>
          </cell>
          <cell r="L4611">
            <v>148835</v>
          </cell>
          <cell r="M4611">
            <v>13229</v>
          </cell>
          <cell r="N4611">
            <v>683926.05601571908</v>
          </cell>
          <cell r="O4611">
            <v>692380.00232629513</v>
          </cell>
          <cell r="P4611">
            <v>368.79259999999999</v>
          </cell>
        </row>
        <row r="4612">
          <cell r="B4612">
            <v>37389</v>
          </cell>
          <cell r="J4612">
            <v>3809804.3041216834</v>
          </cell>
          <cell r="K4612">
            <v>2.4380000000000002</v>
          </cell>
          <cell r="L4612">
            <v>148835</v>
          </cell>
          <cell r="M4612">
            <v>13229</v>
          </cell>
          <cell r="N4612">
            <v>683926.05601571908</v>
          </cell>
          <cell r="O4612">
            <v>692380.00232629513</v>
          </cell>
          <cell r="P4612">
            <v>368.79259999999999</v>
          </cell>
        </row>
        <row r="4613">
          <cell r="B4613">
            <v>37390</v>
          </cell>
          <cell r="J4613">
            <v>3809804.3041216834</v>
          </cell>
          <cell r="K4613">
            <v>2.4380000000000002</v>
          </cell>
          <cell r="L4613">
            <v>148835</v>
          </cell>
          <cell r="M4613">
            <v>13229</v>
          </cell>
          <cell r="N4613">
            <v>683926.05601571908</v>
          </cell>
          <cell r="O4613">
            <v>692380.00232629513</v>
          </cell>
          <cell r="P4613">
            <v>368.79259999999999</v>
          </cell>
        </row>
        <row r="4614">
          <cell r="B4614">
            <v>37391</v>
          </cell>
          <cell r="J4614">
            <v>3809804.3041216834</v>
          </cell>
          <cell r="K4614">
            <v>2.4380000000000002</v>
          </cell>
          <cell r="L4614">
            <v>148835</v>
          </cell>
          <cell r="M4614">
            <v>13229</v>
          </cell>
          <cell r="N4614">
            <v>683926.05601571908</v>
          </cell>
          <cell r="O4614">
            <v>692380.00232629513</v>
          </cell>
          <cell r="P4614">
            <v>368.79259999999999</v>
          </cell>
        </row>
        <row r="4615">
          <cell r="B4615">
            <v>37392</v>
          </cell>
          <cell r="J4615">
            <v>3809804.3041216834</v>
          </cell>
          <cell r="K4615">
            <v>2.4380000000000002</v>
          </cell>
          <cell r="L4615">
            <v>148835</v>
          </cell>
          <cell r="M4615">
            <v>13229</v>
          </cell>
          <cell r="N4615">
            <v>683926.05601571908</v>
          </cell>
          <cell r="O4615">
            <v>692380.00232629513</v>
          </cell>
          <cell r="P4615">
            <v>368.79259999999999</v>
          </cell>
        </row>
        <row r="4616">
          <cell r="B4616">
            <v>37393</v>
          </cell>
          <cell r="J4616">
            <v>3809804.3041216834</v>
          </cell>
          <cell r="K4616">
            <v>2.4380000000000002</v>
          </cell>
          <cell r="L4616">
            <v>148835</v>
          </cell>
          <cell r="M4616">
            <v>13229</v>
          </cell>
          <cell r="N4616">
            <v>683926.05601571908</v>
          </cell>
          <cell r="O4616">
            <v>692380.00232629513</v>
          </cell>
          <cell r="P4616">
            <v>368.79259999999999</v>
          </cell>
        </row>
        <row r="4617">
          <cell r="B4617">
            <v>37394</v>
          </cell>
          <cell r="J4617">
            <v>3809804.3041216834</v>
          </cell>
          <cell r="K4617">
            <v>2.4380000000000002</v>
          </cell>
          <cell r="L4617">
            <v>148835</v>
          </cell>
          <cell r="M4617">
            <v>13229</v>
          </cell>
          <cell r="N4617">
            <v>683926.05601571908</v>
          </cell>
          <cell r="O4617">
            <v>692380.00232629513</v>
          </cell>
          <cell r="P4617">
            <v>368.79259999999999</v>
          </cell>
        </row>
        <row r="4618">
          <cell r="B4618">
            <v>37395</v>
          </cell>
          <cell r="J4618">
            <v>3809804.3041216834</v>
          </cell>
          <cell r="K4618">
            <v>2.4380000000000002</v>
          </cell>
          <cell r="L4618">
            <v>148835</v>
          </cell>
          <cell r="M4618">
            <v>13229</v>
          </cell>
          <cell r="N4618">
            <v>683926.05601571908</v>
          </cell>
          <cell r="O4618">
            <v>692380.00232629513</v>
          </cell>
          <cell r="P4618">
            <v>368.79259999999999</v>
          </cell>
        </row>
        <row r="4619">
          <cell r="B4619">
            <v>37396</v>
          </cell>
          <cell r="J4619">
            <v>3809804.3041216834</v>
          </cell>
          <cell r="K4619">
            <v>2.4380000000000002</v>
          </cell>
          <cell r="L4619">
            <v>148835</v>
          </cell>
          <cell r="M4619">
            <v>13229</v>
          </cell>
          <cell r="N4619">
            <v>683926.05601571908</v>
          </cell>
          <cell r="O4619">
            <v>692380.00232629513</v>
          </cell>
          <cell r="P4619">
            <v>368.79259999999999</v>
          </cell>
        </row>
        <row r="4620">
          <cell r="B4620">
            <v>37397</v>
          </cell>
          <cell r="J4620">
            <v>3809804.3041216834</v>
          </cell>
          <cell r="K4620">
            <v>2.4380000000000002</v>
          </cell>
          <cell r="L4620">
            <v>148835</v>
          </cell>
          <cell r="M4620">
            <v>13229</v>
          </cell>
          <cell r="N4620">
            <v>683926.05601571908</v>
          </cell>
          <cell r="O4620">
            <v>692380.00232629513</v>
          </cell>
          <cell r="P4620">
            <v>368.79259999999999</v>
          </cell>
        </row>
        <row r="4621">
          <cell r="B4621">
            <v>37398</v>
          </cell>
          <cell r="J4621">
            <v>3809804.3041216834</v>
          </cell>
          <cell r="K4621">
            <v>2.4380000000000002</v>
          </cell>
          <cell r="L4621">
            <v>148835</v>
          </cell>
          <cell r="M4621">
            <v>13229</v>
          </cell>
          <cell r="N4621">
            <v>683926.05601571908</v>
          </cell>
          <cell r="O4621">
            <v>692380.00232629513</v>
          </cell>
          <cell r="P4621">
            <v>368.79259999999999</v>
          </cell>
        </row>
        <row r="4622">
          <cell r="B4622">
            <v>37399</v>
          </cell>
          <cell r="J4622">
            <v>3809804.3041216834</v>
          </cell>
          <cell r="K4622">
            <v>2.4380000000000002</v>
          </cell>
          <cell r="L4622">
            <v>148835</v>
          </cell>
          <cell r="M4622">
            <v>13229</v>
          </cell>
          <cell r="N4622">
            <v>683926.05601571908</v>
          </cell>
          <cell r="O4622">
            <v>692380.00232629513</v>
          </cell>
          <cell r="P4622">
            <v>368.79259999999999</v>
          </cell>
        </row>
        <row r="4623">
          <cell r="B4623">
            <v>37400</v>
          </cell>
          <cell r="J4623">
            <v>3809804.3041216834</v>
          </cell>
          <cell r="K4623">
            <v>2.4380000000000002</v>
          </cell>
          <cell r="L4623">
            <v>148835</v>
          </cell>
          <cell r="M4623">
            <v>13229</v>
          </cell>
          <cell r="N4623">
            <v>683926.05601571908</v>
          </cell>
          <cell r="O4623">
            <v>692380.00232629513</v>
          </cell>
          <cell r="P4623">
            <v>368.79259999999999</v>
          </cell>
        </row>
        <row r="4624">
          <cell r="B4624">
            <v>37401</v>
          </cell>
          <cell r="J4624">
            <v>3809804.3041216834</v>
          </cell>
          <cell r="K4624">
            <v>2.4380000000000002</v>
          </cell>
          <cell r="L4624">
            <v>148835</v>
          </cell>
          <cell r="M4624">
            <v>13229</v>
          </cell>
          <cell r="N4624">
            <v>683926.05601571908</v>
          </cell>
          <cell r="O4624">
            <v>692380.00232629513</v>
          </cell>
          <cell r="P4624">
            <v>368.79259999999999</v>
          </cell>
        </row>
        <row r="4625">
          <cell r="B4625">
            <v>37402</v>
          </cell>
          <cell r="J4625">
            <v>3809804.3041216834</v>
          </cell>
          <cell r="K4625">
            <v>2.4380000000000002</v>
          </cell>
          <cell r="L4625">
            <v>148835</v>
          </cell>
          <cell r="M4625">
            <v>13229</v>
          </cell>
          <cell r="N4625">
            <v>683926.05601571908</v>
          </cell>
          <cell r="O4625">
            <v>692380.00232629513</v>
          </cell>
          <cell r="P4625">
            <v>368.79259999999999</v>
          </cell>
        </row>
        <row r="4626">
          <cell r="B4626">
            <v>37403</v>
          </cell>
          <cell r="J4626">
            <v>3809804.3041216834</v>
          </cell>
          <cell r="K4626">
            <v>2.4380000000000002</v>
          </cell>
          <cell r="L4626">
            <v>148835</v>
          </cell>
          <cell r="M4626">
            <v>13229</v>
          </cell>
          <cell r="N4626">
            <v>683926.05601571908</v>
          </cell>
          <cell r="O4626">
            <v>692380.00232629513</v>
          </cell>
          <cell r="P4626">
            <v>368.79259999999999</v>
          </cell>
        </row>
        <row r="4627">
          <cell r="B4627">
            <v>37404</v>
          </cell>
          <cell r="J4627">
            <v>3809804.3041216834</v>
          </cell>
          <cell r="K4627">
            <v>2.4380000000000002</v>
          </cell>
          <cell r="L4627">
            <v>148835</v>
          </cell>
          <cell r="M4627">
            <v>13229</v>
          </cell>
          <cell r="N4627">
            <v>683926.05601571908</v>
          </cell>
          <cell r="O4627">
            <v>692380.00232629513</v>
          </cell>
          <cell r="P4627">
            <v>368.79259999999999</v>
          </cell>
        </row>
        <row r="4628">
          <cell r="B4628">
            <v>37405</v>
          </cell>
          <cell r="J4628">
            <v>3809804.3041216834</v>
          </cell>
          <cell r="K4628">
            <v>2.4380000000000002</v>
          </cell>
          <cell r="L4628">
            <v>148835</v>
          </cell>
          <cell r="M4628">
            <v>13229</v>
          </cell>
          <cell r="N4628">
            <v>683926.05601571908</v>
          </cell>
          <cell r="O4628">
            <v>692380.00232629513</v>
          </cell>
          <cell r="P4628">
            <v>368.79259999999999</v>
          </cell>
        </row>
        <row r="4629">
          <cell r="B4629">
            <v>37406</v>
          </cell>
          <cell r="J4629">
            <v>3809804.3041216834</v>
          </cell>
          <cell r="K4629">
            <v>2.4380000000000002</v>
          </cell>
          <cell r="L4629">
            <v>148835</v>
          </cell>
          <cell r="M4629">
            <v>13229</v>
          </cell>
          <cell r="N4629">
            <v>683926.05601571908</v>
          </cell>
          <cell r="O4629">
            <v>692380.00232629513</v>
          </cell>
          <cell r="P4629">
            <v>368.79259999999999</v>
          </cell>
        </row>
        <row r="4630">
          <cell r="B4630">
            <v>37407</v>
          </cell>
          <cell r="J4630">
            <v>3809804.3041216834</v>
          </cell>
          <cell r="K4630">
            <v>2.4380000000000002</v>
          </cell>
          <cell r="L4630">
            <v>148835</v>
          </cell>
          <cell r="M4630">
            <v>13229</v>
          </cell>
          <cell r="N4630">
            <v>683926.05601571908</v>
          </cell>
          <cell r="O4630">
            <v>692380.00232629513</v>
          </cell>
          <cell r="P4630">
            <v>368.79259999999999</v>
          </cell>
        </row>
        <row r="4631">
          <cell r="B4631">
            <v>37408</v>
          </cell>
          <cell r="J4631">
            <v>3809804.3041216834</v>
          </cell>
          <cell r="K4631">
            <v>2.4380000000000002</v>
          </cell>
          <cell r="L4631">
            <v>148835</v>
          </cell>
          <cell r="M4631">
            <v>13229</v>
          </cell>
          <cell r="N4631">
            <v>683926.05601571908</v>
          </cell>
          <cell r="O4631">
            <v>692380.00232629513</v>
          </cell>
          <cell r="P4631">
            <v>368.79259999999999</v>
          </cell>
        </row>
        <row r="4632">
          <cell r="B4632">
            <v>37409</v>
          </cell>
          <cell r="J4632">
            <v>3809804.3041216834</v>
          </cell>
          <cell r="K4632">
            <v>2.4380000000000002</v>
          </cell>
          <cell r="L4632">
            <v>148835</v>
          </cell>
          <cell r="M4632">
            <v>13229</v>
          </cell>
          <cell r="N4632">
            <v>683926.05601571908</v>
          </cell>
          <cell r="O4632">
            <v>692380.00232629513</v>
          </cell>
          <cell r="P4632">
            <v>368.79259999999999</v>
          </cell>
        </row>
        <row r="4633">
          <cell r="B4633">
            <v>37410</v>
          </cell>
          <cell r="J4633">
            <v>3809804.3041216834</v>
          </cell>
          <cell r="K4633">
            <v>2.4380000000000002</v>
          </cell>
          <cell r="L4633">
            <v>148835</v>
          </cell>
          <cell r="M4633">
            <v>13229</v>
          </cell>
          <cell r="N4633">
            <v>683926.05601571908</v>
          </cell>
          <cell r="O4633">
            <v>692380.00232629513</v>
          </cell>
          <cell r="P4633">
            <v>368.79259999999999</v>
          </cell>
        </row>
        <row r="4634">
          <cell r="B4634">
            <v>37411</v>
          </cell>
          <cell r="J4634">
            <v>3809804.3041216834</v>
          </cell>
          <cell r="K4634">
            <v>2.4380000000000002</v>
          </cell>
          <cell r="L4634">
            <v>148835</v>
          </cell>
          <cell r="M4634">
            <v>13229</v>
          </cell>
          <cell r="N4634">
            <v>683926.05601571908</v>
          </cell>
          <cell r="O4634">
            <v>692380.00232629513</v>
          </cell>
          <cell r="P4634">
            <v>368.79259999999999</v>
          </cell>
        </row>
        <row r="4635">
          <cell r="B4635">
            <v>37412</v>
          </cell>
          <cell r="J4635">
            <v>3809804.3041216834</v>
          </cell>
          <cell r="K4635">
            <v>2.4380000000000002</v>
          </cell>
          <cell r="L4635">
            <v>148835</v>
          </cell>
          <cell r="M4635">
            <v>13229</v>
          </cell>
          <cell r="N4635">
            <v>683926.05601571908</v>
          </cell>
          <cell r="O4635">
            <v>692380.00232629513</v>
          </cell>
          <cell r="P4635">
            <v>368.79259999999999</v>
          </cell>
        </row>
        <row r="4636">
          <cell r="B4636">
            <v>37413</v>
          </cell>
          <cell r="J4636">
            <v>3809804.3041216834</v>
          </cell>
          <cell r="K4636">
            <v>2.4380000000000002</v>
          </cell>
          <cell r="L4636">
            <v>148835</v>
          </cell>
          <cell r="M4636">
            <v>13229</v>
          </cell>
          <cell r="N4636">
            <v>683926.05601571908</v>
          </cell>
          <cell r="O4636">
            <v>692380.00232629513</v>
          </cell>
          <cell r="P4636">
            <v>368.79259999999999</v>
          </cell>
        </row>
        <row r="4637">
          <cell r="B4637">
            <v>37414</v>
          </cell>
          <cell r="J4637">
            <v>3809804.3041216834</v>
          </cell>
          <cell r="K4637">
            <v>2.4380000000000002</v>
          </cell>
          <cell r="L4637">
            <v>148835</v>
          </cell>
          <cell r="M4637">
            <v>13229</v>
          </cell>
          <cell r="N4637">
            <v>683926.05601571908</v>
          </cell>
          <cell r="O4637">
            <v>692380.00232629513</v>
          </cell>
          <cell r="P4637">
            <v>368.79259999999999</v>
          </cell>
        </row>
        <row r="4638">
          <cell r="B4638">
            <v>37415</v>
          </cell>
          <cell r="J4638">
            <v>3809804.3041216834</v>
          </cell>
          <cell r="K4638">
            <v>2.4380000000000002</v>
          </cell>
          <cell r="L4638">
            <v>148835</v>
          </cell>
          <cell r="M4638">
            <v>13229</v>
          </cell>
          <cell r="N4638">
            <v>683926.05601571908</v>
          </cell>
          <cell r="O4638">
            <v>692380.00232629513</v>
          </cell>
          <cell r="P4638">
            <v>368.79259999999999</v>
          </cell>
        </row>
        <row r="4639">
          <cell r="B4639">
            <v>37416</v>
          </cell>
          <cell r="J4639">
            <v>3809804.3041216834</v>
          </cell>
          <cell r="K4639">
            <v>2.4380000000000002</v>
          </cell>
          <cell r="L4639">
            <v>148835</v>
          </cell>
          <cell r="M4639">
            <v>13229</v>
          </cell>
          <cell r="N4639">
            <v>683926.05601571908</v>
          </cell>
          <cell r="O4639">
            <v>692380.00232629513</v>
          </cell>
          <cell r="P4639">
            <v>368.79259999999999</v>
          </cell>
        </row>
        <row r="4640">
          <cell r="B4640">
            <v>37417</v>
          </cell>
          <cell r="J4640">
            <v>3809804.3041216834</v>
          </cell>
          <cell r="K4640">
            <v>2.4380000000000002</v>
          </cell>
          <cell r="L4640">
            <v>148835</v>
          </cell>
          <cell r="M4640">
            <v>13229</v>
          </cell>
          <cell r="N4640">
            <v>683926.05601571908</v>
          </cell>
          <cell r="O4640">
            <v>692380.00232629513</v>
          </cell>
          <cell r="P4640">
            <v>368.79259999999999</v>
          </cell>
        </row>
        <row r="4641">
          <cell r="B4641">
            <v>37418</v>
          </cell>
          <cell r="J4641">
            <v>3809804.3041216834</v>
          </cell>
          <cell r="K4641">
            <v>2.4380000000000002</v>
          </cell>
          <cell r="L4641">
            <v>148835</v>
          </cell>
          <cell r="M4641">
            <v>13229</v>
          </cell>
          <cell r="N4641">
            <v>683926.05601571908</v>
          </cell>
          <cell r="O4641">
            <v>692380.00232629513</v>
          </cell>
          <cell r="P4641">
            <v>368.79259999999999</v>
          </cell>
        </row>
        <row r="4642">
          <cell r="B4642">
            <v>37419</v>
          </cell>
          <cell r="J4642">
            <v>3809804.3041216834</v>
          </cell>
          <cell r="K4642">
            <v>2.4380000000000002</v>
          </cell>
          <cell r="L4642">
            <v>148835</v>
          </cell>
          <cell r="M4642">
            <v>13229</v>
          </cell>
          <cell r="N4642">
            <v>683926.05601571908</v>
          </cell>
          <cell r="O4642">
            <v>692380.00232629513</v>
          </cell>
          <cell r="P4642">
            <v>368.79259999999999</v>
          </cell>
        </row>
        <row r="4643">
          <cell r="B4643">
            <v>37420</v>
          </cell>
          <cell r="J4643">
            <v>3809804.3041216834</v>
          </cell>
          <cell r="K4643">
            <v>2.4380000000000002</v>
          </cell>
          <cell r="L4643">
            <v>148835</v>
          </cell>
          <cell r="M4643">
            <v>13229</v>
          </cell>
          <cell r="N4643">
            <v>683926.05601571908</v>
          </cell>
          <cell r="O4643">
            <v>692380.00232629513</v>
          </cell>
          <cell r="P4643">
            <v>368.79259999999999</v>
          </cell>
        </row>
        <row r="4644">
          <cell r="B4644">
            <v>37421</v>
          </cell>
          <cell r="J4644">
            <v>3809804.3041216834</v>
          </cell>
          <cell r="K4644">
            <v>2.4380000000000002</v>
          </cell>
          <cell r="L4644">
            <v>148835</v>
          </cell>
          <cell r="M4644">
            <v>13229</v>
          </cell>
          <cell r="N4644">
            <v>683926.05601571908</v>
          </cell>
          <cell r="O4644">
            <v>692380.00232629513</v>
          </cell>
          <cell r="P4644">
            <v>368.79259999999999</v>
          </cell>
        </row>
        <row r="4645">
          <cell r="B4645">
            <v>37422</v>
          </cell>
          <cell r="J4645">
            <v>3809804.3041216834</v>
          </cell>
          <cell r="K4645">
            <v>2.4380000000000002</v>
          </cell>
          <cell r="L4645">
            <v>148835</v>
          </cell>
          <cell r="M4645">
            <v>13229</v>
          </cell>
          <cell r="N4645">
            <v>683926.05601571908</v>
          </cell>
          <cell r="O4645">
            <v>692380.00232629513</v>
          </cell>
          <cell r="P4645">
            <v>368.79259999999999</v>
          </cell>
        </row>
        <row r="4646">
          <cell r="B4646">
            <v>37423</v>
          </cell>
          <cell r="J4646">
            <v>3809804.3041216834</v>
          </cell>
          <cell r="K4646">
            <v>2.4380000000000002</v>
          </cell>
          <cell r="L4646">
            <v>148835</v>
          </cell>
          <cell r="M4646">
            <v>13229</v>
          </cell>
          <cell r="N4646">
            <v>683926.05601571908</v>
          </cell>
          <cell r="O4646">
            <v>692380.00232629513</v>
          </cell>
          <cell r="P4646">
            <v>368.79259999999999</v>
          </cell>
        </row>
        <row r="4647">
          <cell r="B4647">
            <v>37424</v>
          </cell>
          <cell r="J4647">
            <v>3809804.3041216834</v>
          </cell>
          <cell r="K4647">
            <v>2.4380000000000002</v>
          </cell>
          <cell r="L4647">
            <v>148835</v>
          </cell>
          <cell r="M4647">
            <v>13229</v>
          </cell>
          <cell r="N4647">
            <v>683926.05601571908</v>
          </cell>
          <cell r="O4647">
            <v>692380.00232629513</v>
          </cell>
          <cell r="P4647">
            <v>368.79259999999999</v>
          </cell>
        </row>
        <row r="4648">
          <cell r="B4648">
            <v>37425</v>
          </cell>
          <cell r="J4648">
            <v>3809804.3041216834</v>
          </cell>
          <cell r="K4648">
            <v>2.4380000000000002</v>
          </cell>
          <cell r="L4648">
            <v>148835</v>
          </cell>
          <cell r="M4648">
            <v>13229</v>
          </cell>
          <cell r="N4648">
            <v>683926.05601571908</v>
          </cell>
          <cell r="O4648">
            <v>692380.00232629513</v>
          </cell>
          <cell r="P4648">
            <v>368.79259999999999</v>
          </cell>
        </row>
        <row r="4649">
          <cell r="B4649">
            <v>37426</v>
          </cell>
          <cell r="J4649">
            <v>3809804.3041216834</v>
          </cell>
          <cell r="K4649">
            <v>2.4380000000000002</v>
          </cell>
          <cell r="L4649">
            <v>148835</v>
          </cell>
          <cell r="M4649">
            <v>13229</v>
          </cell>
          <cell r="N4649">
            <v>683926.05601571908</v>
          </cell>
          <cell r="O4649">
            <v>692380.00232629513</v>
          </cell>
          <cell r="P4649">
            <v>368.79259999999999</v>
          </cell>
        </row>
        <row r="4650">
          <cell r="B4650">
            <v>37427</v>
          </cell>
          <cell r="J4650">
            <v>3809804.3041216834</v>
          </cell>
          <cell r="K4650">
            <v>2.4380000000000002</v>
          </cell>
          <cell r="L4650">
            <v>148835</v>
          </cell>
          <cell r="M4650">
            <v>13229</v>
          </cell>
          <cell r="N4650">
            <v>683926.05601571908</v>
          </cell>
          <cell r="O4650">
            <v>692380.00232629513</v>
          </cell>
          <cell r="P4650">
            <v>368.79259999999999</v>
          </cell>
        </row>
        <row r="4651">
          <cell r="B4651">
            <v>37428</v>
          </cell>
          <cell r="J4651">
            <v>3809804.3041216834</v>
          </cell>
          <cell r="K4651">
            <v>2.4380000000000002</v>
          </cell>
          <cell r="L4651">
            <v>148835</v>
          </cell>
          <cell r="M4651">
            <v>13229</v>
          </cell>
          <cell r="N4651">
            <v>683926.05601571908</v>
          </cell>
          <cell r="O4651">
            <v>692380.00232629513</v>
          </cell>
          <cell r="P4651">
            <v>368.79259999999999</v>
          </cell>
        </row>
        <row r="4652">
          <cell r="B4652">
            <v>37429</v>
          </cell>
          <cell r="J4652">
            <v>3809804.3041216834</v>
          </cell>
          <cell r="K4652">
            <v>2.4380000000000002</v>
          </cell>
          <cell r="L4652">
            <v>148835</v>
          </cell>
          <cell r="M4652">
            <v>13229</v>
          </cell>
          <cell r="N4652">
            <v>683926.05601571908</v>
          </cell>
          <cell r="O4652">
            <v>692380.00232629513</v>
          </cell>
          <cell r="P4652">
            <v>368.79259999999999</v>
          </cell>
        </row>
        <row r="4653">
          <cell r="B4653">
            <v>37430</v>
          </cell>
          <cell r="J4653">
            <v>3809804.3041216834</v>
          </cell>
          <cell r="K4653">
            <v>2.4380000000000002</v>
          </cell>
          <cell r="L4653">
            <v>148835</v>
          </cell>
          <cell r="M4653">
            <v>13229</v>
          </cell>
          <cell r="N4653">
            <v>683926.05601571908</v>
          </cell>
          <cell r="O4653">
            <v>692380.00232629513</v>
          </cell>
          <cell r="P4653">
            <v>368.79259999999999</v>
          </cell>
        </row>
        <row r="4654">
          <cell r="B4654">
            <v>37431</v>
          </cell>
          <cell r="J4654">
            <v>3809804.3041216834</v>
          </cell>
          <cell r="K4654">
            <v>2.4380000000000002</v>
          </cell>
          <cell r="L4654">
            <v>148835</v>
          </cell>
          <cell r="M4654">
            <v>13229</v>
          </cell>
          <cell r="N4654">
            <v>683926.05601571908</v>
          </cell>
          <cell r="O4654">
            <v>692380.00232629513</v>
          </cell>
          <cell r="P4654">
            <v>368.79259999999999</v>
          </cell>
        </row>
        <row r="4655">
          <cell r="B4655">
            <v>37432</v>
          </cell>
          <cell r="J4655">
            <v>3809804.3041216834</v>
          </cell>
          <cell r="K4655">
            <v>2.4380000000000002</v>
          </cell>
          <cell r="L4655">
            <v>148835</v>
          </cell>
          <cell r="M4655">
            <v>13229</v>
          </cell>
          <cell r="N4655">
            <v>683926.05601571908</v>
          </cell>
          <cell r="O4655">
            <v>692380.00232629513</v>
          </cell>
          <cell r="P4655">
            <v>368.79259999999999</v>
          </cell>
        </row>
        <row r="4656">
          <cell r="B4656">
            <v>37433</v>
          </cell>
          <cell r="J4656">
            <v>3809804.3041216834</v>
          </cell>
          <cell r="K4656">
            <v>2.4380000000000002</v>
          </cell>
          <cell r="L4656">
            <v>148835</v>
          </cell>
          <cell r="M4656">
            <v>13229</v>
          </cell>
          <cell r="N4656">
            <v>683926.05601571908</v>
          </cell>
          <cell r="O4656">
            <v>692380.00232629513</v>
          </cell>
          <cell r="P4656">
            <v>368.79259999999999</v>
          </cell>
        </row>
        <row r="4657">
          <cell r="B4657">
            <v>37434</v>
          </cell>
          <cell r="J4657">
            <v>3809804.3041216834</v>
          </cell>
          <cell r="K4657">
            <v>2.4380000000000002</v>
          </cell>
          <cell r="L4657">
            <v>148835</v>
          </cell>
          <cell r="M4657">
            <v>13229</v>
          </cell>
          <cell r="N4657">
            <v>683926.05601571908</v>
          </cell>
          <cell r="O4657">
            <v>692380.00232629513</v>
          </cell>
          <cell r="P4657">
            <v>368.79259999999999</v>
          </cell>
        </row>
        <row r="4658">
          <cell r="B4658">
            <v>37435</v>
          </cell>
          <cell r="J4658">
            <v>3809804.3041216834</v>
          </cell>
          <cell r="K4658">
            <v>2.4380000000000002</v>
          </cell>
          <cell r="L4658">
            <v>148835</v>
          </cell>
          <cell r="M4658">
            <v>13229</v>
          </cell>
          <cell r="N4658">
            <v>683926.05601571908</v>
          </cell>
          <cell r="O4658">
            <v>692380.00232629513</v>
          </cell>
          <cell r="P4658">
            <v>368.79259999999999</v>
          </cell>
        </row>
        <row r="4659">
          <cell r="B4659">
            <v>37436</v>
          </cell>
          <cell r="J4659">
            <v>3809804.3041216834</v>
          </cell>
          <cell r="K4659">
            <v>2.4380000000000002</v>
          </cell>
          <cell r="L4659">
            <v>148835</v>
          </cell>
          <cell r="M4659">
            <v>13229</v>
          </cell>
          <cell r="N4659">
            <v>683926.05601571908</v>
          </cell>
          <cell r="O4659">
            <v>692380.00232629513</v>
          </cell>
          <cell r="P4659">
            <v>368.79259999999999</v>
          </cell>
        </row>
        <row r="4660">
          <cell r="B4660">
            <v>37437</v>
          </cell>
          <cell r="J4660">
            <v>3809804.3041216834</v>
          </cell>
          <cell r="K4660">
            <v>2.4380000000000002</v>
          </cell>
          <cell r="L4660">
            <v>148835</v>
          </cell>
          <cell r="M4660">
            <v>13229</v>
          </cell>
          <cell r="N4660">
            <v>683926.05601571908</v>
          </cell>
          <cell r="O4660">
            <v>692380.00232629513</v>
          </cell>
          <cell r="P4660">
            <v>368.79259999999999</v>
          </cell>
        </row>
        <row r="4661">
          <cell r="B4661">
            <v>37438</v>
          </cell>
          <cell r="J4661">
            <v>3809804.3041216834</v>
          </cell>
          <cell r="K4661">
            <v>2.4380000000000002</v>
          </cell>
          <cell r="L4661">
            <v>148835</v>
          </cell>
          <cell r="M4661">
            <v>13229</v>
          </cell>
          <cell r="N4661">
            <v>683926.05601571908</v>
          </cell>
          <cell r="O4661">
            <v>692380.00232629513</v>
          </cell>
          <cell r="P4661">
            <v>368.79259999999999</v>
          </cell>
        </row>
        <row r="4662">
          <cell r="B4662">
            <v>37439</v>
          </cell>
          <cell r="J4662">
            <v>3809804.3041216834</v>
          </cell>
          <cell r="K4662">
            <v>2.4380000000000002</v>
          </cell>
          <cell r="L4662">
            <v>148835</v>
          </cell>
          <cell r="M4662">
            <v>13229</v>
          </cell>
          <cell r="N4662">
            <v>683926.05601571908</v>
          </cell>
          <cell r="O4662">
            <v>692380.00232629513</v>
          </cell>
          <cell r="P4662">
            <v>368.79259999999999</v>
          </cell>
        </row>
        <row r="4663">
          <cell r="B4663">
            <v>37440</v>
          </cell>
          <cell r="J4663">
            <v>3809804.3041216834</v>
          </cell>
          <cell r="K4663">
            <v>2.4380000000000002</v>
          </cell>
          <cell r="L4663">
            <v>148835</v>
          </cell>
          <cell r="M4663">
            <v>13229</v>
          </cell>
          <cell r="N4663">
            <v>683926.05601571908</v>
          </cell>
          <cell r="O4663">
            <v>692380.00232629513</v>
          </cell>
          <cell r="P4663">
            <v>368.79259999999999</v>
          </cell>
        </row>
        <row r="4664">
          <cell r="B4664">
            <v>37441</v>
          </cell>
          <cell r="J4664">
            <v>3809804.3041216834</v>
          </cell>
          <cell r="K4664">
            <v>2.4380000000000002</v>
          </cell>
          <cell r="L4664">
            <v>148835</v>
          </cell>
          <cell r="M4664">
            <v>13229</v>
          </cell>
          <cell r="N4664">
            <v>683926.05601571908</v>
          </cell>
          <cell r="O4664">
            <v>692380.00232629513</v>
          </cell>
          <cell r="P4664">
            <v>368.79259999999999</v>
          </cell>
        </row>
        <row r="4665">
          <cell r="B4665">
            <v>37442</v>
          </cell>
          <cell r="J4665">
            <v>3809804.3041216834</v>
          </cell>
          <cell r="K4665">
            <v>2.4380000000000002</v>
          </cell>
          <cell r="L4665">
            <v>148835</v>
          </cell>
          <cell r="M4665">
            <v>13229</v>
          </cell>
          <cell r="N4665">
            <v>683926.05601571908</v>
          </cell>
          <cell r="O4665">
            <v>692380.00232629513</v>
          </cell>
          <cell r="P4665">
            <v>368.79259999999999</v>
          </cell>
        </row>
        <row r="4666">
          <cell r="B4666">
            <v>37443</v>
          </cell>
          <cell r="J4666">
            <v>3809804.3041216834</v>
          </cell>
          <cell r="K4666">
            <v>2.4380000000000002</v>
          </cell>
          <cell r="L4666">
            <v>148835</v>
          </cell>
          <cell r="M4666">
            <v>13229</v>
          </cell>
          <cell r="N4666">
            <v>683926.05601571908</v>
          </cell>
          <cell r="O4666">
            <v>692380.00232629513</v>
          </cell>
          <cell r="P4666">
            <v>368.79259999999999</v>
          </cell>
        </row>
        <row r="4667">
          <cell r="B4667">
            <v>37444</v>
          </cell>
          <cell r="J4667">
            <v>3809804.3041216834</v>
          </cell>
          <cell r="K4667">
            <v>2.4380000000000002</v>
          </cell>
          <cell r="L4667">
            <v>148835</v>
          </cell>
          <cell r="M4667">
            <v>13229</v>
          </cell>
          <cell r="N4667">
            <v>683926.05601571908</v>
          </cell>
          <cell r="O4667">
            <v>692380.00232629513</v>
          </cell>
          <cell r="P4667">
            <v>368.79259999999999</v>
          </cell>
        </row>
        <row r="4668">
          <cell r="B4668">
            <v>37445</v>
          </cell>
          <cell r="J4668">
            <v>3809804.3041216834</v>
          </cell>
          <cell r="K4668">
            <v>2.4380000000000002</v>
          </cell>
          <cell r="L4668">
            <v>148835</v>
          </cell>
          <cell r="M4668">
            <v>13229</v>
          </cell>
          <cell r="N4668">
            <v>683926.05601571908</v>
          </cell>
          <cell r="O4668">
            <v>692380.00232629513</v>
          </cell>
          <cell r="P4668">
            <v>368.79259999999999</v>
          </cell>
        </row>
        <row r="4669">
          <cell r="B4669">
            <v>37446</v>
          </cell>
          <cell r="J4669">
            <v>3809804.3041216834</v>
          </cell>
          <cell r="K4669">
            <v>2.4380000000000002</v>
          </cell>
          <cell r="L4669">
            <v>148835</v>
          </cell>
          <cell r="M4669">
            <v>13229</v>
          </cell>
          <cell r="N4669">
            <v>683926.05601571908</v>
          </cell>
          <cell r="O4669">
            <v>692380.00232629513</v>
          </cell>
          <cell r="P4669">
            <v>368.79259999999999</v>
          </cell>
        </row>
        <row r="4670">
          <cell r="B4670">
            <v>37447</v>
          </cell>
          <cell r="J4670">
            <v>3809804.3041216834</v>
          </cell>
          <cell r="K4670">
            <v>2.4380000000000002</v>
          </cell>
          <cell r="L4670">
            <v>148835</v>
          </cell>
          <cell r="M4670">
            <v>13229</v>
          </cell>
          <cell r="N4670">
            <v>683926.05601571908</v>
          </cell>
          <cell r="O4670">
            <v>692380.00232629513</v>
          </cell>
          <cell r="P4670">
            <v>368.79259999999999</v>
          </cell>
        </row>
        <row r="4671">
          <cell r="B4671">
            <v>37448</v>
          </cell>
          <cell r="J4671">
            <v>3809804.3041216834</v>
          </cell>
          <cell r="K4671">
            <v>2.4380000000000002</v>
          </cell>
          <cell r="L4671">
            <v>148835</v>
          </cell>
          <cell r="M4671">
            <v>13229</v>
          </cell>
          <cell r="N4671">
            <v>683926.05601571908</v>
          </cell>
          <cell r="O4671">
            <v>692380.00232629513</v>
          </cell>
          <cell r="P4671">
            <v>368.79259999999999</v>
          </cell>
        </row>
        <row r="4672">
          <cell r="B4672">
            <v>37449</v>
          </cell>
          <cell r="J4672">
            <v>3809804.3041216834</v>
          </cell>
          <cell r="K4672">
            <v>2.4380000000000002</v>
          </cell>
          <cell r="L4672">
            <v>148835</v>
          </cell>
          <cell r="M4672">
            <v>13229</v>
          </cell>
          <cell r="N4672">
            <v>683926.05601571908</v>
          </cell>
          <cell r="O4672">
            <v>692380.00232629513</v>
          </cell>
          <cell r="P4672">
            <v>368.79259999999999</v>
          </cell>
        </row>
        <row r="4673">
          <cell r="B4673">
            <v>37450</v>
          </cell>
          <cell r="J4673">
            <v>3809804.3041216834</v>
          </cell>
          <cell r="K4673">
            <v>2.4380000000000002</v>
          </cell>
          <cell r="L4673">
            <v>148835</v>
          </cell>
          <cell r="M4673">
            <v>13229</v>
          </cell>
          <cell r="N4673">
            <v>683926.05601571908</v>
          </cell>
          <cell r="O4673">
            <v>692380.00232629513</v>
          </cell>
          <cell r="P4673">
            <v>368.79259999999999</v>
          </cell>
        </row>
        <row r="4674">
          <cell r="B4674">
            <v>37451</v>
          </cell>
          <cell r="J4674">
            <v>3809804.3041216834</v>
          </cell>
          <cell r="K4674">
            <v>2.4380000000000002</v>
          </cell>
          <cell r="L4674">
            <v>148835</v>
          </cell>
          <cell r="M4674">
            <v>13229</v>
          </cell>
          <cell r="N4674">
            <v>683926.05601571908</v>
          </cell>
          <cell r="O4674">
            <v>692380.00232629513</v>
          </cell>
          <cell r="P4674">
            <v>368.79259999999999</v>
          </cell>
        </row>
        <row r="4675">
          <cell r="B4675">
            <v>37452</v>
          </cell>
          <cell r="J4675">
            <v>3809804.3041216834</v>
          </cell>
          <cell r="K4675">
            <v>2.4380000000000002</v>
          </cell>
          <cell r="L4675">
            <v>148835</v>
          </cell>
          <cell r="M4675">
            <v>13229</v>
          </cell>
          <cell r="N4675">
            <v>683926.05601571908</v>
          </cell>
          <cell r="O4675">
            <v>692380.00232629513</v>
          </cell>
          <cell r="P4675">
            <v>368.79259999999999</v>
          </cell>
        </row>
        <row r="4676">
          <cell r="B4676">
            <v>37453</v>
          </cell>
          <cell r="J4676">
            <v>3809804.3041216834</v>
          </cell>
          <cell r="K4676">
            <v>2.4380000000000002</v>
          </cell>
          <cell r="L4676">
            <v>148835</v>
          </cell>
          <cell r="M4676">
            <v>13229</v>
          </cell>
          <cell r="N4676">
            <v>683926.05601571908</v>
          </cell>
          <cell r="O4676">
            <v>692380.00232629513</v>
          </cell>
          <cell r="P4676">
            <v>368.79259999999999</v>
          </cell>
        </row>
        <row r="4677">
          <cell r="B4677">
            <v>37454</v>
          </cell>
          <cell r="J4677">
            <v>3809804.3041216834</v>
          </cell>
          <cell r="K4677">
            <v>2.4380000000000002</v>
          </cell>
          <cell r="L4677">
            <v>148835</v>
          </cell>
          <cell r="M4677">
            <v>13229</v>
          </cell>
          <cell r="N4677">
            <v>683926.05601571908</v>
          </cell>
          <cell r="O4677">
            <v>692380.00232629513</v>
          </cell>
          <cell r="P4677">
            <v>368.79259999999999</v>
          </cell>
        </row>
        <row r="4678">
          <cell r="B4678">
            <v>37455</v>
          </cell>
          <cell r="J4678">
            <v>3809804.3041216834</v>
          </cell>
          <cell r="K4678">
            <v>2.4380000000000002</v>
          </cell>
          <cell r="L4678">
            <v>148835</v>
          </cell>
          <cell r="M4678">
            <v>13229</v>
          </cell>
          <cell r="N4678">
            <v>683926.05601571908</v>
          </cell>
          <cell r="O4678">
            <v>692380.00232629513</v>
          </cell>
          <cell r="P4678">
            <v>368.79259999999999</v>
          </cell>
        </row>
        <row r="4679">
          <cell r="B4679">
            <v>37456</v>
          </cell>
          <cell r="J4679">
            <v>3809804.3041216834</v>
          </cell>
          <cell r="K4679">
            <v>2.4380000000000002</v>
          </cell>
          <cell r="L4679">
            <v>148835</v>
          </cell>
          <cell r="M4679">
            <v>13229</v>
          </cell>
          <cell r="N4679">
            <v>683926.05601571908</v>
          </cell>
          <cell r="O4679">
            <v>692380.00232629513</v>
          </cell>
          <cell r="P4679">
            <v>368.79259999999999</v>
          </cell>
        </row>
        <row r="4680">
          <cell r="B4680">
            <v>37457</v>
          </cell>
          <cell r="J4680">
            <v>3809804.3041216834</v>
          </cell>
          <cell r="K4680">
            <v>2.4380000000000002</v>
          </cell>
          <cell r="L4680">
            <v>148835</v>
          </cell>
          <cell r="M4680">
            <v>13229</v>
          </cell>
          <cell r="N4680">
            <v>683926.05601571908</v>
          </cell>
          <cell r="O4680">
            <v>692380.00232629513</v>
          </cell>
          <cell r="P4680">
            <v>368.79259999999999</v>
          </cell>
        </row>
        <row r="4681">
          <cell r="B4681">
            <v>37458</v>
          </cell>
          <cell r="J4681">
            <v>3809804.3041216834</v>
          </cell>
          <cell r="K4681">
            <v>2.4380000000000002</v>
          </cell>
          <cell r="L4681">
            <v>148835</v>
          </cell>
          <cell r="M4681">
            <v>13229</v>
          </cell>
          <cell r="N4681">
            <v>683926.05601571908</v>
          </cell>
          <cell r="O4681">
            <v>692380.00232629513</v>
          </cell>
          <cell r="P4681">
            <v>368.79259999999999</v>
          </cell>
        </row>
        <row r="4682">
          <cell r="B4682">
            <v>37459</v>
          </cell>
          <cell r="J4682">
            <v>3809804.3041216834</v>
          </cell>
          <cell r="K4682">
            <v>2.4380000000000002</v>
          </cell>
          <cell r="L4682">
            <v>148835</v>
          </cell>
          <cell r="M4682">
            <v>13229</v>
          </cell>
          <cell r="N4682">
            <v>683926.05601571908</v>
          </cell>
          <cell r="O4682">
            <v>692380.00232629513</v>
          </cell>
          <cell r="P4682">
            <v>368.79259999999999</v>
          </cell>
        </row>
        <row r="4683">
          <cell r="B4683">
            <v>37460</v>
          </cell>
          <cell r="J4683">
            <v>3809804.3041216834</v>
          </cell>
          <cell r="K4683">
            <v>2.4380000000000002</v>
          </cell>
          <cell r="L4683">
            <v>148835</v>
          </cell>
          <cell r="M4683">
            <v>13229</v>
          </cell>
          <cell r="N4683">
            <v>683926.05601571908</v>
          </cell>
          <cell r="O4683">
            <v>692380.00232629513</v>
          </cell>
          <cell r="P4683">
            <v>368.79259999999999</v>
          </cell>
        </row>
        <row r="4684">
          <cell r="B4684">
            <v>37461</v>
          </cell>
          <cell r="J4684">
            <v>3809804.3041216834</v>
          </cell>
          <cell r="K4684">
            <v>2.4380000000000002</v>
          </cell>
          <cell r="L4684">
            <v>148835</v>
          </cell>
          <cell r="M4684">
            <v>13229</v>
          </cell>
          <cell r="N4684">
            <v>683926.05601571908</v>
          </cell>
          <cell r="O4684">
            <v>692380.00232629513</v>
          </cell>
          <cell r="P4684">
            <v>368.79259999999999</v>
          </cell>
        </row>
        <row r="4685">
          <cell r="B4685">
            <v>37462</v>
          </cell>
          <cell r="J4685">
            <v>3809804.3041216834</v>
          </cell>
          <cell r="K4685">
            <v>2.4380000000000002</v>
          </cell>
          <cell r="L4685">
            <v>148835</v>
          </cell>
          <cell r="M4685">
            <v>13229</v>
          </cell>
          <cell r="N4685">
            <v>683926.05601571908</v>
          </cell>
          <cell r="O4685">
            <v>692380.00232629513</v>
          </cell>
          <cell r="P4685">
            <v>368.79259999999999</v>
          </cell>
        </row>
        <row r="4686">
          <cell r="B4686">
            <v>37463</v>
          </cell>
          <cell r="J4686">
            <v>3809804.3041216834</v>
          </cell>
          <cell r="K4686">
            <v>2.4380000000000002</v>
          </cell>
          <cell r="L4686">
            <v>148835</v>
          </cell>
          <cell r="M4686">
            <v>13229</v>
          </cell>
          <cell r="N4686">
            <v>683926.05601571908</v>
          </cell>
          <cell r="O4686">
            <v>692380.00232629513</v>
          </cell>
          <cell r="P4686">
            <v>368.79259999999999</v>
          </cell>
        </row>
        <row r="4687">
          <cell r="B4687">
            <v>37464</v>
          </cell>
          <cell r="J4687">
            <v>3809804.3041216834</v>
          </cell>
          <cell r="K4687">
            <v>2.4380000000000002</v>
          </cell>
          <cell r="L4687">
            <v>148835</v>
          </cell>
          <cell r="M4687">
            <v>13229</v>
          </cell>
          <cell r="N4687">
            <v>683926.05601571908</v>
          </cell>
          <cell r="O4687">
            <v>692380.00232629513</v>
          </cell>
          <cell r="P4687">
            <v>368.79259999999999</v>
          </cell>
        </row>
        <row r="4688">
          <cell r="B4688">
            <v>37465</v>
          </cell>
          <cell r="J4688">
            <v>3809804.3041216834</v>
          </cell>
          <cell r="K4688">
            <v>2.4380000000000002</v>
          </cell>
          <cell r="L4688">
            <v>148835</v>
          </cell>
          <cell r="M4688">
            <v>13229</v>
          </cell>
          <cell r="N4688">
            <v>683926.05601571908</v>
          </cell>
          <cell r="O4688">
            <v>692380.00232629513</v>
          </cell>
          <cell r="P4688">
            <v>368.79259999999999</v>
          </cell>
        </row>
        <row r="4689">
          <cell r="B4689">
            <v>37466</v>
          </cell>
          <cell r="J4689">
            <v>3809804.3041216834</v>
          </cell>
          <cell r="K4689">
            <v>2.4380000000000002</v>
          </cell>
          <cell r="L4689">
            <v>148835</v>
          </cell>
          <cell r="M4689">
            <v>13229</v>
          </cell>
          <cell r="N4689">
            <v>683926.05601571908</v>
          </cell>
          <cell r="O4689">
            <v>692380.00232629513</v>
          </cell>
          <cell r="P4689">
            <v>368.79259999999999</v>
          </cell>
        </row>
        <row r="4690">
          <cell r="B4690">
            <v>37467</v>
          </cell>
          <cell r="J4690">
            <v>3809804.3041216834</v>
          </cell>
          <cell r="K4690">
            <v>2.4380000000000002</v>
          </cell>
          <cell r="L4690">
            <v>148835</v>
          </cell>
          <cell r="M4690">
            <v>13229</v>
          </cell>
          <cell r="N4690">
            <v>683926.05601571908</v>
          </cell>
          <cell r="O4690">
            <v>692380.00232629513</v>
          </cell>
          <cell r="P4690">
            <v>368.79259999999999</v>
          </cell>
        </row>
        <row r="4691">
          <cell r="B4691">
            <v>37468</v>
          </cell>
          <cell r="J4691">
            <v>3809804.3041216834</v>
          </cell>
          <cell r="K4691">
            <v>2.4380000000000002</v>
          </cell>
          <cell r="L4691">
            <v>148835</v>
          </cell>
          <cell r="M4691">
            <v>13229</v>
          </cell>
          <cell r="N4691">
            <v>683926.05601571908</v>
          </cell>
          <cell r="O4691">
            <v>692380.00232629513</v>
          </cell>
          <cell r="P4691">
            <v>368.79259999999999</v>
          </cell>
        </row>
        <row r="4692">
          <cell r="B4692">
            <v>37469</v>
          </cell>
          <cell r="J4692">
            <v>3809804.3041216834</v>
          </cell>
          <cell r="K4692">
            <v>2.4380000000000002</v>
          </cell>
          <cell r="L4692">
            <v>148835</v>
          </cell>
          <cell r="M4692">
            <v>13229</v>
          </cell>
          <cell r="N4692">
            <v>683926.05601571908</v>
          </cell>
          <cell r="O4692">
            <v>692380.00232629513</v>
          </cell>
          <cell r="P4692">
            <v>368.79259999999999</v>
          </cell>
        </row>
        <row r="4693">
          <cell r="B4693">
            <v>37470</v>
          </cell>
          <cell r="J4693">
            <v>3809804.3041216834</v>
          </cell>
          <cell r="K4693">
            <v>2.4380000000000002</v>
          </cell>
          <cell r="L4693">
            <v>148835</v>
          </cell>
          <cell r="M4693">
            <v>13229</v>
          </cell>
          <cell r="N4693">
            <v>683926.05601571908</v>
          </cell>
          <cell r="O4693">
            <v>692380.00232629513</v>
          </cell>
          <cell r="P4693">
            <v>368.79259999999999</v>
          </cell>
        </row>
        <row r="4694">
          <cell r="B4694">
            <v>37471</v>
          </cell>
          <cell r="J4694">
            <v>3809804.3041216834</v>
          </cell>
          <cell r="K4694">
            <v>2.4380000000000002</v>
          </cell>
          <cell r="L4694">
            <v>148835</v>
          </cell>
          <cell r="M4694">
            <v>13229</v>
          </cell>
          <cell r="N4694">
            <v>683926.05601571908</v>
          </cell>
          <cell r="O4694">
            <v>692380.00232629513</v>
          </cell>
          <cell r="P4694">
            <v>368.79259999999999</v>
          </cell>
        </row>
        <row r="4695">
          <cell r="B4695">
            <v>37472</v>
          </cell>
          <cell r="J4695">
            <v>3809804.3041216834</v>
          </cell>
          <cell r="K4695">
            <v>2.4380000000000002</v>
          </cell>
          <cell r="L4695">
            <v>148835</v>
          </cell>
          <cell r="M4695">
            <v>13229</v>
          </cell>
          <cell r="N4695">
            <v>683926.05601571908</v>
          </cell>
          <cell r="O4695">
            <v>692380.00232629513</v>
          </cell>
          <cell r="P4695">
            <v>368.79259999999999</v>
          </cell>
        </row>
        <row r="4696">
          <cell r="B4696">
            <v>37473</v>
          </cell>
          <cell r="J4696">
            <v>3809804.3041216834</v>
          </cell>
          <cell r="K4696">
            <v>2.4380000000000002</v>
          </cell>
          <cell r="L4696">
            <v>148835</v>
          </cell>
          <cell r="M4696">
            <v>13229</v>
          </cell>
          <cell r="N4696">
            <v>683926.05601571908</v>
          </cell>
          <cell r="O4696">
            <v>692380.00232629513</v>
          </cell>
          <cell r="P4696">
            <v>368.79259999999999</v>
          </cell>
        </row>
        <row r="4697">
          <cell r="B4697">
            <v>37474</v>
          </cell>
          <cell r="J4697">
            <v>3809804.3041216834</v>
          </cell>
          <cell r="K4697">
            <v>2.4380000000000002</v>
          </cell>
          <cell r="L4697">
            <v>148835</v>
          </cell>
          <cell r="M4697">
            <v>13229</v>
          </cell>
          <cell r="N4697">
            <v>683926.05601571908</v>
          </cell>
          <cell r="O4697">
            <v>692380.00232629513</v>
          </cell>
          <cell r="P4697">
            <v>368.79259999999999</v>
          </cell>
        </row>
        <row r="4698">
          <cell r="B4698">
            <v>37475</v>
          </cell>
          <cell r="J4698">
            <v>3809804.3041216834</v>
          </cell>
          <cell r="K4698">
            <v>2.4380000000000002</v>
          </cell>
          <cell r="L4698">
            <v>148835</v>
          </cell>
          <cell r="M4698">
            <v>13229</v>
          </cell>
          <cell r="N4698">
            <v>683926.05601571908</v>
          </cell>
          <cell r="O4698">
            <v>692380.00232629513</v>
          </cell>
          <cell r="P4698">
            <v>368.79259999999999</v>
          </cell>
        </row>
        <row r="4699">
          <cell r="B4699">
            <v>37476</v>
          </cell>
          <cell r="J4699">
            <v>3809804.3041216834</v>
          </cell>
          <cell r="K4699">
            <v>2.4380000000000002</v>
          </cell>
          <cell r="L4699">
            <v>148835</v>
          </cell>
          <cell r="M4699">
            <v>13229</v>
          </cell>
          <cell r="N4699">
            <v>683926.05601571908</v>
          </cell>
          <cell r="O4699">
            <v>692380.00232629513</v>
          </cell>
          <cell r="P4699">
            <v>368.79259999999999</v>
          </cell>
        </row>
        <row r="4700">
          <cell r="B4700">
            <v>37477</v>
          </cell>
          <cell r="J4700">
            <v>3809804.3041216834</v>
          </cell>
          <cell r="K4700">
            <v>2.4380000000000002</v>
          </cell>
          <cell r="L4700">
            <v>148835</v>
          </cell>
          <cell r="M4700">
            <v>13229</v>
          </cell>
          <cell r="N4700">
            <v>683926.05601571908</v>
          </cell>
          <cell r="O4700">
            <v>692380.00232629513</v>
          </cell>
          <cell r="P4700">
            <v>368.79259999999999</v>
          </cell>
        </row>
        <row r="4701">
          <cell r="B4701">
            <v>37478</v>
          </cell>
          <cell r="J4701">
            <v>3809804.3041216834</v>
          </cell>
          <cell r="K4701">
            <v>2.4380000000000002</v>
          </cell>
          <cell r="L4701">
            <v>148835</v>
          </cell>
          <cell r="M4701">
            <v>13229</v>
          </cell>
          <cell r="N4701">
            <v>683926.05601571908</v>
          </cell>
          <cell r="O4701">
            <v>692380.00232629513</v>
          </cell>
          <cell r="P4701">
            <v>368.79259999999999</v>
          </cell>
        </row>
        <row r="4702">
          <cell r="B4702">
            <v>37479</v>
          </cell>
          <cell r="J4702">
            <v>3809804.3041216834</v>
          </cell>
          <cell r="K4702">
            <v>2.4380000000000002</v>
          </cell>
          <cell r="L4702">
            <v>148835</v>
          </cell>
          <cell r="M4702">
            <v>13229</v>
          </cell>
          <cell r="N4702">
            <v>683926.05601571908</v>
          </cell>
          <cell r="O4702">
            <v>692380.00232629513</v>
          </cell>
          <cell r="P4702">
            <v>368.79259999999999</v>
          </cell>
        </row>
        <row r="4703">
          <cell r="B4703">
            <v>37480</v>
          </cell>
          <cell r="J4703">
            <v>3809804.3041216834</v>
          </cell>
          <cell r="K4703">
            <v>2.4380000000000002</v>
          </cell>
          <cell r="L4703">
            <v>148835</v>
          </cell>
          <cell r="M4703">
            <v>13229</v>
          </cell>
          <cell r="N4703">
            <v>683926.05601571908</v>
          </cell>
          <cell r="O4703">
            <v>692380.00232629513</v>
          </cell>
          <cell r="P4703">
            <v>368.79259999999999</v>
          </cell>
        </row>
        <row r="4704">
          <cell r="B4704">
            <v>37481</v>
          </cell>
          <cell r="J4704">
            <v>3809804.3041216834</v>
          </cell>
          <cell r="K4704">
            <v>2.4380000000000002</v>
          </cell>
          <cell r="L4704">
            <v>148835</v>
          </cell>
          <cell r="M4704">
            <v>13229</v>
          </cell>
          <cell r="N4704">
            <v>683926.05601571908</v>
          </cell>
          <cell r="O4704">
            <v>692380.00232629513</v>
          </cell>
          <cell r="P4704">
            <v>368.79259999999999</v>
          </cell>
        </row>
        <row r="4705">
          <cell r="B4705">
            <v>37482</v>
          </cell>
          <cell r="J4705">
            <v>3809804.3041216834</v>
          </cell>
          <cell r="K4705">
            <v>2.4380000000000002</v>
          </cell>
          <cell r="L4705">
            <v>148835</v>
          </cell>
          <cell r="M4705">
            <v>13229</v>
          </cell>
          <cell r="N4705">
            <v>683926.05601571908</v>
          </cell>
          <cell r="O4705">
            <v>692380.00232629513</v>
          </cell>
          <cell r="P4705">
            <v>368.79259999999999</v>
          </cell>
        </row>
        <row r="4706">
          <cell r="B4706">
            <v>37483</v>
          </cell>
          <cell r="J4706">
            <v>3809804.3041216834</v>
          </cell>
          <cell r="K4706">
            <v>2.4380000000000002</v>
          </cell>
          <cell r="L4706">
            <v>148835</v>
          </cell>
          <cell r="M4706">
            <v>13229</v>
          </cell>
          <cell r="N4706">
            <v>683926.05601571908</v>
          </cell>
          <cell r="O4706">
            <v>692380.00232629513</v>
          </cell>
          <cell r="P4706">
            <v>368.79259999999999</v>
          </cell>
        </row>
        <row r="4707">
          <cell r="B4707">
            <v>37484</v>
          </cell>
          <cell r="J4707">
            <v>3809804.3041216834</v>
          </cell>
          <cell r="K4707">
            <v>2.4380000000000002</v>
          </cell>
          <cell r="L4707">
            <v>148835</v>
          </cell>
          <cell r="M4707">
            <v>13229</v>
          </cell>
          <cell r="N4707">
            <v>683926.05601571908</v>
          </cell>
          <cell r="O4707">
            <v>692380.00232629513</v>
          </cell>
          <cell r="P4707">
            <v>368.79259999999999</v>
          </cell>
        </row>
        <row r="4708">
          <cell r="B4708">
            <v>37485</v>
          </cell>
          <cell r="J4708">
            <v>3809804.3041216834</v>
          </cell>
          <cell r="K4708">
            <v>2.4380000000000002</v>
          </cell>
          <cell r="L4708">
            <v>148835</v>
          </cell>
          <cell r="M4708">
            <v>13229</v>
          </cell>
          <cell r="N4708">
            <v>683926.05601571908</v>
          </cell>
          <cell r="O4708">
            <v>692380.00232629513</v>
          </cell>
          <cell r="P4708">
            <v>368.79259999999999</v>
          </cell>
        </row>
        <row r="4709">
          <cell r="B4709">
            <v>37486</v>
          </cell>
          <cell r="J4709">
            <v>3809804.3041216834</v>
          </cell>
          <cell r="K4709">
            <v>2.4380000000000002</v>
          </cell>
          <cell r="L4709">
            <v>148835</v>
          </cell>
          <cell r="M4709">
            <v>13229</v>
          </cell>
          <cell r="N4709">
            <v>683926.05601571908</v>
          </cell>
          <cell r="O4709">
            <v>692380.00232629513</v>
          </cell>
          <cell r="P4709">
            <v>368.79259999999999</v>
          </cell>
        </row>
        <row r="4710">
          <cell r="B4710">
            <v>37487</v>
          </cell>
          <cell r="J4710">
            <v>3809804.3041216834</v>
          </cell>
          <cell r="K4710">
            <v>2.4380000000000002</v>
          </cell>
          <cell r="L4710">
            <v>148835</v>
          </cell>
          <cell r="M4710">
            <v>13229</v>
          </cell>
          <cell r="N4710">
            <v>683926.05601571908</v>
          </cell>
          <cell r="O4710">
            <v>692380.00232629513</v>
          </cell>
          <cell r="P4710">
            <v>368.79259999999999</v>
          </cell>
        </row>
        <row r="4711">
          <cell r="B4711">
            <v>37488</v>
          </cell>
          <cell r="J4711">
            <v>3809804.3041216834</v>
          </cell>
          <cell r="K4711">
            <v>2.4380000000000002</v>
          </cell>
          <cell r="L4711">
            <v>148835</v>
          </cell>
          <cell r="M4711">
            <v>13229</v>
          </cell>
          <cell r="N4711">
            <v>683926.05601571908</v>
          </cell>
          <cell r="O4711">
            <v>692380.00232629513</v>
          </cell>
          <cell r="P4711">
            <v>368.79259999999999</v>
          </cell>
        </row>
        <row r="4712">
          <cell r="B4712">
            <v>37489</v>
          </cell>
          <cell r="J4712">
            <v>3809804.3041216834</v>
          </cell>
          <cell r="K4712">
            <v>2.4380000000000002</v>
          </cell>
          <cell r="L4712">
            <v>148835</v>
          </cell>
          <cell r="M4712">
            <v>13229</v>
          </cell>
          <cell r="N4712">
            <v>683926.05601571908</v>
          </cell>
          <cell r="O4712">
            <v>692380.00232629513</v>
          </cell>
          <cell r="P4712">
            <v>368.79259999999999</v>
          </cell>
        </row>
        <row r="4713">
          <cell r="B4713">
            <v>37490</v>
          </cell>
          <cell r="J4713">
            <v>3809804.3041216834</v>
          </cell>
          <cell r="K4713">
            <v>2.4380000000000002</v>
          </cell>
          <cell r="L4713">
            <v>148835</v>
          </cell>
          <cell r="M4713">
            <v>13229</v>
          </cell>
          <cell r="N4713">
            <v>683926.05601571908</v>
          </cell>
          <cell r="O4713">
            <v>692380.00232629513</v>
          </cell>
          <cell r="P4713">
            <v>368.79259999999999</v>
          </cell>
        </row>
        <row r="4714">
          <cell r="B4714">
            <v>37491</v>
          </cell>
          <cell r="J4714">
            <v>3809804.3041216834</v>
          </cell>
          <cell r="K4714">
            <v>2.4380000000000002</v>
          </cell>
          <cell r="L4714">
            <v>148835</v>
          </cell>
          <cell r="M4714">
            <v>13229</v>
          </cell>
          <cell r="N4714">
            <v>683926.05601571908</v>
          </cell>
          <cell r="O4714">
            <v>692380.00232629513</v>
          </cell>
          <cell r="P4714">
            <v>368.79259999999999</v>
          </cell>
        </row>
        <row r="4715">
          <cell r="B4715">
            <v>37492</v>
          </cell>
          <cell r="J4715">
            <v>3809804.3041216834</v>
          </cell>
          <cell r="K4715">
            <v>2.4380000000000002</v>
          </cell>
          <cell r="L4715">
            <v>148835</v>
          </cell>
          <cell r="M4715">
            <v>13229</v>
          </cell>
          <cell r="N4715">
            <v>683926.05601571908</v>
          </cell>
          <cell r="O4715">
            <v>692380.00232629513</v>
          </cell>
          <cell r="P4715">
            <v>368.79259999999999</v>
          </cell>
        </row>
        <row r="4716">
          <cell r="B4716">
            <v>37493</v>
          </cell>
          <cell r="J4716">
            <v>3809804.3041216834</v>
          </cell>
          <cell r="K4716">
            <v>2.4380000000000002</v>
          </cell>
          <cell r="L4716">
            <v>148835</v>
          </cell>
          <cell r="M4716">
            <v>13229</v>
          </cell>
          <cell r="N4716">
            <v>683926.05601571908</v>
          </cell>
          <cell r="O4716">
            <v>692380.00232629513</v>
          </cell>
          <cell r="P4716">
            <v>368.79259999999999</v>
          </cell>
        </row>
        <row r="4717">
          <cell r="B4717">
            <v>37494</v>
          </cell>
          <cell r="J4717">
            <v>3809804.3041216834</v>
          </cell>
          <cell r="K4717">
            <v>2.4380000000000002</v>
          </cell>
          <cell r="L4717">
            <v>148835</v>
          </cell>
          <cell r="M4717">
            <v>13229</v>
          </cell>
          <cell r="N4717">
            <v>683926.05601571908</v>
          </cell>
          <cell r="O4717">
            <v>692380.00232629513</v>
          </cell>
          <cell r="P4717">
            <v>368.79259999999999</v>
          </cell>
        </row>
        <row r="4718">
          <cell r="B4718">
            <v>37495</v>
          </cell>
          <cell r="J4718">
            <v>3809804.3041216834</v>
          </cell>
          <cell r="K4718">
            <v>2.4380000000000002</v>
          </cell>
          <cell r="L4718">
            <v>148835</v>
          </cell>
          <cell r="M4718">
            <v>13229</v>
          </cell>
          <cell r="N4718">
            <v>683926.05601571908</v>
          </cell>
          <cell r="O4718">
            <v>692380.00232629513</v>
          </cell>
          <cell r="P4718">
            <v>368.79259999999999</v>
          </cell>
        </row>
        <row r="4719">
          <cell r="B4719">
            <v>37496</v>
          </cell>
          <cell r="J4719">
            <v>3809804.3041216834</v>
          </cell>
          <cell r="K4719">
            <v>2.4380000000000002</v>
          </cell>
          <cell r="L4719">
            <v>148835</v>
          </cell>
          <cell r="M4719">
            <v>13229</v>
          </cell>
          <cell r="N4719">
            <v>683926.05601571908</v>
          </cell>
          <cell r="O4719">
            <v>692380.00232629513</v>
          </cell>
          <cell r="P4719">
            <v>368.79259999999999</v>
          </cell>
        </row>
        <row r="4720">
          <cell r="B4720">
            <v>37497</v>
          </cell>
          <cell r="J4720">
            <v>3809804.3041216834</v>
          </cell>
          <cell r="K4720">
            <v>2.4380000000000002</v>
          </cell>
          <cell r="L4720">
            <v>148835</v>
          </cell>
          <cell r="M4720">
            <v>13229</v>
          </cell>
          <cell r="N4720">
            <v>683926.05601571908</v>
          </cell>
          <cell r="O4720">
            <v>692380.00232629513</v>
          </cell>
          <cell r="P4720">
            <v>368.79259999999999</v>
          </cell>
        </row>
        <row r="4721">
          <cell r="B4721">
            <v>37498</v>
          </cell>
          <cell r="J4721">
            <v>3809804.3041216834</v>
          </cell>
          <cell r="K4721">
            <v>2.4380000000000002</v>
          </cell>
          <cell r="L4721">
            <v>148835</v>
          </cell>
          <cell r="M4721">
            <v>13229</v>
          </cell>
          <cell r="N4721">
            <v>683926.05601571908</v>
          </cell>
          <cell r="O4721">
            <v>692380.00232629513</v>
          </cell>
          <cell r="P4721">
            <v>368.79259999999999</v>
          </cell>
        </row>
        <row r="4722">
          <cell r="B4722">
            <v>37499</v>
          </cell>
          <cell r="J4722">
            <v>3809804.3041216834</v>
          </cell>
          <cell r="K4722">
            <v>2.4380000000000002</v>
          </cell>
          <cell r="L4722">
            <v>148835</v>
          </cell>
          <cell r="M4722">
            <v>13229</v>
          </cell>
          <cell r="N4722">
            <v>683926.05601571908</v>
          </cell>
          <cell r="O4722">
            <v>692380.00232629513</v>
          </cell>
          <cell r="P4722">
            <v>368.79259999999999</v>
          </cell>
        </row>
        <row r="4723">
          <cell r="B4723">
            <v>37500</v>
          </cell>
          <cell r="J4723">
            <v>3809804.3041216834</v>
          </cell>
          <cell r="K4723">
            <v>2.4380000000000002</v>
          </cell>
          <cell r="L4723">
            <v>148835</v>
          </cell>
          <cell r="M4723">
            <v>13229</v>
          </cell>
          <cell r="N4723">
            <v>683926.05601571908</v>
          </cell>
          <cell r="O4723">
            <v>692380.00232629513</v>
          </cell>
          <cell r="P4723">
            <v>368.79259999999999</v>
          </cell>
        </row>
        <row r="4724">
          <cell r="B4724">
            <v>37501</v>
          </cell>
          <cell r="J4724">
            <v>3809804.3041216834</v>
          </cell>
          <cell r="K4724">
            <v>2.4380000000000002</v>
          </cell>
          <cell r="L4724">
            <v>148835</v>
          </cell>
          <cell r="M4724">
            <v>13229</v>
          </cell>
          <cell r="N4724">
            <v>683926.05601571908</v>
          </cell>
          <cell r="O4724">
            <v>692380.00232629513</v>
          </cell>
          <cell r="P4724">
            <v>368.79259999999999</v>
          </cell>
        </row>
        <row r="4725">
          <cell r="B4725">
            <v>37502</v>
          </cell>
          <cell r="J4725">
            <v>3809804.3041216834</v>
          </cell>
          <cell r="K4725">
            <v>2.4380000000000002</v>
          </cell>
          <cell r="L4725">
            <v>148835</v>
          </cell>
          <cell r="M4725">
            <v>13229</v>
          </cell>
          <cell r="N4725">
            <v>683926.05601571908</v>
          </cell>
          <cell r="O4725">
            <v>692380.00232629513</v>
          </cell>
          <cell r="P4725">
            <v>368.79259999999999</v>
          </cell>
        </row>
        <row r="4726">
          <cell r="B4726">
            <v>37503</v>
          </cell>
          <cell r="J4726">
            <v>3809804.3041216834</v>
          </cell>
          <cell r="K4726">
            <v>2.4380000000000002</v>
          </cell>
          <cell r="L4726">
            <v>148835</v>
          </cell>
          <cell r="M4726">
            <v>13229</v>
          </cell>
          <cell r="N4726">
            <v>683926.05601571908</v>
          </cell>
          <cell r="O4726">
            <v>692380.00232629513</v>
          </cell>
          <cell r="P4726">
            <v>368.79259999999999</v>
          </cell>
        </row>
        <row r="4727">
          <cell r="B4727">
            <v>37504</v>
          </cell>
          <cell r="J4727">
            <v>3809804.3041216834</v>
          </cell>
          <cell r="K4727">
            <v>2.4380000000000002</v>
          </cell>
          <cell r="L4727">
            <v>148835</v>
          </cell>
          <cell r="M4727">
            <v>13229</v>
          </cell>
          <cell r="N4727">
            <v>683926.05601571908</v>
          </cell>
          <cell r="O4727">
            <v>692380.00232629513</v>
          </cell>
          <cell r="P4727">
            <v>368.79259999999999</v>
          </cell>
        </row>
        <row r="4728">
          <cell r="B4728">
            <v>37505</v>
          </cell>
          <cell r="J4728">
            <v>3809804.3041216834</v>
          </cell>
          <cell r="K4728">
            <v>2.4380000000000002</v>
          </cell>
          <cell r="L4728">
            <v>148835</v>
          </cell>
          <cell r="M4728">
            <v>13229</v>
          </cell>
          <cell r="N4728">
            <v>683926.05601571908</v>
          </cell>
          <cell r="O4728">
            <v>692380.00232629513</v>
          </cell>
          <cell r="P4728">
            <v>368.79259999999999</v>
          </cell>
        </row>
        <row r="4729">
          <cell r="B4729">
            <v>37506</v>
          </cell>
          <cell r="J4729">
            <v>3809804.3041216834</v>
          </cell>
          <cell r="K4729">
            <v>2.4380000000000002</v>
          </cell>
          <cell r="L4729">
            <v>148835</v>
          </cell>
          <cell r="M4729">
            <v>13229</v>
          </cell>
          <cell r="N4729">
            <v>683926.05601571908</v>
          </cell>
          <cell r="O4729">
            <v>692380.00232629513</v>
          </cell>
          <cell r="P4729">
            <v>368.79259999999999</v>
          </cell>
        </row>
        <row r="4730">
          <cell r="B4730">
            <v>37507</v>
          </cell>
          <cell r="J4730">
            <v>3809804.3041216834</v>
          </cell>
          <cell r="K4730">
            <v>2.4380000000000002</v>
          </cell>
          <cell r="L4730">
            <v>148835</v>
          </cell>
          <cell r="M4730">
            <v>13229</v>
          </cell>
          <cell r="N4730">
            <v>683926.05601571908</v>
          </cell>
          <cell r="O4730">
            <v>692380.00232629513</v>
          </cell>
          <cell r="P4730">
            <v>368.79259999999999</v>
          </cell>
        </row>
        <row r="4731">
          <cell r="B4731">
            <v>37508</v>
          </cell>
          <cell r="J4731">
            <v>3809804.3041216834</v>
          </cell>
          <cell r="K4731">
            <v>2.4380000000000002</v>
          </cell>
          <cell r="L4731">
            <v>148835</v>
          </cell>
          <cell r="M4731">
            <v>13229</v>
          </cell>
          <cell r="N4731">
            <v>683926.05601571908</v>
          </cell>
          <cell r="O4731">
            <v>692380.00232629513</v>
          </cell>
          <cell r="P4731">
            <v>368.79259999999999</v>
          </cell>
        </row>
        <row r="4732">
          <cell r="B4732">
            <v>37509</v>
          </cell>
          <cell r="J4732">
            <v>3809804.3041216834</v>
          </cell>
          <cell r="K4732">
            <v>2.4380000000000002</v>
          </cell>
          <cell r="L4732">
            <v>148835</v>
          </cell>
          <cell r="M4732">
            <v>13229</v>
          </cell>
          <cell r="N4732">
            <v>683926.05601571908</v>
          </cell>
          <cell r="O4732">
            <v>692380.00232629513</v>
          </cell>
          <cell r="P4732">
            <v>368.79259999999999</v>
          </cell>
        </row>
        <row r="4733">
          <cell r="B4733">
            <v>37510</v>
          </cell>
          <cell r="J4733">
            <v>3809804.3041216834</v>
          </cell>
          <cell r="K4733">
            <v>2.4380000000000002</v>
          </cell>
          <cell r="L4733">
            <v>148835</v>
          </cell>
          <cell r="M4733">
            <v>13229</v>
          </cell>
          <cell r="N4733">
            <v>683926.05601571908</v>
          </cell>
          <cell r="O4733">
            <v>692380.00232629513</v>
          </cell>
          <cell r="P4733">
            <v>368.79259999999999</v>
          </cell>
        </row>
        <row r="4734">
          <cell r="B4734">
            <v>37511</v>
          </cell>
          <cell r="J4734">
            <v>3809804.3041216834</v>
          </cell>
          <cell r="K4734">
            <v>2.4380000000000002</v>
          </cell>
          <cell r="L4734">
            <v>148835</v>
          </cell>
          <cell r="M4734">
            <v>13229</v>
          </cell>
          <cell r="N4734">
            <v>683926.05601571908</v>
          </cell>
          <cell r="O4734">
            <v>692380.00232629513</v>
          </cell>
          <cell r="P4734">
            <v>368.79259999999999</v>
          </cell>
        </row>
        <row r="4735">
          <cell r="B4735">
            <v>37512</v>
          </cell>
          <cell r="J4735">
            <v>3809804.3041216834</v>
          </cell>
          <cell r="K4735">
            <v>2.4380000000000002</v>
          </cell>
          <cell r="L4735">
            <v>148835</v>
          </cell>
          <cell r="M4735">
            <v>13229</v>
          </cell>
          <cell r="N4735">
            <v>683926.05601571908</v>
          </cell>
          <cell r="O4735">
            <v>692380.00232629513</v>
          </cell>
          <cell r="P4735">
            <v>368.79259999999999</v>
          </cell>
        </row>
        <row r="4736">
          <cell r="B4736">
            <v>37513</v>
          </cell>
          <cell r="J4736">
            <v>3809804.3041216834</v>
          </cell>
          <cell r="K4736">
            <v>2.4380000000000002</v>
          </cell>
          <cell r="L4736">
            <v>148835</v>
          </cell>
          <cell r="M4736">
            <v>13229</v>
          </cell>
          <cell r="N4736">
            <v>683926.05601571908</v>
          </cell>
          <cell r="O4736">
            <v>692380.00232629513</v>
          </cell>
          <cell r="P4736">
            <v>368.79259999999999</v>
          </cell>
        </row>
        <row r="4737">
          <cell r="B4737">
            <v>37514</v>
          </cell>
          <cell r="J4737">
            <v>3809804.3041216834</v>
          </cell>
          <cell r="K4737">
            <v>2.4380000000000002</v>
          </cell>
          <cell r="L4737">
            <v>148835</v>
          </cell>
          <cell r="M4737">
            <v>13229</v>
          </cell>
          <cell r="N4737">
            <v>683926.05601571908</v>
          </cell>
          <cell r="O4737">
            <v>692380.00232629513</v>
          </cell>
          <cell r="P4737">
            <v>368.79259999999999</v>
          </cell>
        </row>
        <row r="4738">
          <cell r="B4738">
            <v>37515</v>
          </cell>
          <cell r="J4738">
            <v>3809804.3041216834</v>
          </cell>
          <cell r="K4738">
            <v>2.4380000000000002</v>
          </cell>
          <cell r="L4738">
            <v>148835</v>
          </cell>
          <cell r="M4738">
            <v>13229</v>
          </cell>
          <cell r="N4738">
            <v>683926.05601571908</v>
          </cell>
          <cell r="O4738">
            <v>692380.00232629513</v>
          </cell>
          <cell r="P4738">
            <v>368.79259999999999</v>
          </cell>
        </row>
        <row r="4739">
          <cell r="B4739">
            <v>37516</v>
          </cell>
          <cell r="J4739">
            <v>3809804.3041216834</v>
          </cell>
          <cell r="K4739">
            <v>2.4380000000000002</v>
          </cell>
          <cell r="L4739">
            <v>148835</v>
          </cell>
          <cell r="M4739">
            <v>13229</v>
          </cell>
          <cell r="N4739">
            <v>683926.05601571908</v>
          </cell>
          <cell r="O4739">
            <v>692380.00232629513</v>
          </cell>
          <cell r="P4739">
            <v>368.79259999999999</v>
          </cell>
        </row>
        <row r="4740">
          <cell r="B4740">
            <v>37517</v>
          </cell>
          <cell r="J4740">
            <v>3809804.3041216834</v>
          </cell>
          <cell r="K4740">
            <v>2.4380000000000002</v>
          </cell>
          <cell r="L4740">
            <v>148835</v>
          </cell>
          <cell r="M4740">
            <v>13229</v>
          </cell>
          <cell r="N4740">
            <v>683926.05601571908</v>
          </cell>
          <cell r="O4740">
            <v>692380.00232629513</v>
          </cell>
          <cell r="P4740">
            <v>368.79259999999999</v>
          </cell>
        </row>
        <row r="4741">
          <cell r="B4741">
            <v>37518</v>
          </cell>
          <cell r="J4741">
            <v>3809804.3041216834</v>
          </cell>
          <cell r="K4741">
            <v>2.4380000000000002</v>
          </cell>
          <cell r="L4741">
            <v>148835</v>
          </cell>
          <cell r="M4741">
            <v>13229</v>
          </cell>
          <cell r="N4741">
            <v>683926.05601571908</v>
          </cell>
          <cell r="O4741">
            <v>692380.00232629513</v>
          </cell>
          <cell r="P4741">
            <v>368.79259999999999</v>
          </cell>
        </row>
        <row r="4742">
          <cell r="B4742">
            <v>37519</v>
          </cell>
          <cell r="J4742">
            <v>3809804.3041216834</v>
          </cell>
          <cell r="K4742">
            <v>2.4380000000000002</v>
          </cell>
          <cell r="L4742">
            <v>148835</v>
          </cell>
          <cell r="M4742">
            <v>13229</v>
          </cell>
          <cell r="N4742">
            <v>683926.05601571908</v>
          </cell>
          <cell r="O4742">
            <v>692380.00232629513</v>
          </cell>
          <cell r="P4742">
            <v>368.79259999999999</v>
          </cell>
        </row>
        <row r="4743">
          <cell r="B4743">
            <v>37520</v>
          </cell>
          <cell r="J4743">
            <v>3809804.3041216834</v>
          </cell>
          <cell r="K4743">
            <v>2.4380000000000002</v>
          </cell>
          <cell r="L4743">
            <v>148835</v>
          </cell>
          <cell r="M4743">
            <v>13229</v>
          </cell>
          <cell r="N4743">
            <v>683926.05601571908</v>
          </cell>
          <cell r="O4743">
            <v>692380.00232629513</v>
          </cell>
          <cell r="P4743">
            <v>368.79259999999999</v>
          </cell>
        </row>
        <row r="4744">
          <cell r="B4744">
            <v>37521</v>
          </cell>
          <cell r="J4744">
            <v>3809804.3041216834</v>
          </cell>
          <cell r="K4744">
            <v>2.4380000000000002</v>
          </cell>
          <cell r="L4744">
            <v>148835</v>
          </cell>
          <cell r="M4744">
            <v>13229</v>
          </cell>
          <cell r="N4744">
            <v>683926.05601571908</v>
          </cell>
          <cell r="O4744">
            <v>692380.00232629513</v>
          </cell>
          <cell r="P4744">
            <v>368.79259999999999</v>
          </cell>
        </row>
        <row r="4745">
          <cell r="B4745">
            <v>37522</v>
          </cell>
          <cell r="J4745">
            <v>3809804.3041216834</v>
          </cell>
          <cell r="K4745">
            <v>2.4380000000000002</v>
          </cell>
          <cell r="L4745">
            <v>148835</v>
          </cell>
          <cell r="M4745">
            <v>13229</v>
          </cell>
          <cell r="N4745">
            <v>683926.05601571908</v>
          </cell>
          <cell r="O4745">
            <v>692380.00232629513</v>
          </cell>
          <cell r="P4745">
            <v>368.79259999999999</v>
          </cell>
        </row>
        <row r="4746">
          <cell r="B4746">
            <v>37523</v>
          </cell>
          <cell r="J4746">
            <v>3809804.3041216834</v>
          </cell>
          <cell r="K4746">
            <v>2.4380000000000002</v>
          </cell>
          <cell r="L4746">
            <v>148835</v>
          </cell>
          <cell r="M4746">
            <v>13229</v>
          </cell>
          <cell r="N4746">
            <v>683926.05601571908</v>
          </cell>
          <cell r="O4746">
            <v>692380.00232629513</v>
          </cell>
          <cell r="P4746">
            <v>368.79259999999999</v>
          </cell>
        </row>
        <row r="4747">
          <cell r="B4747">
            <v>37524</v>
          </cell>
          <cell r="J4747">
            <v>3809804.3041216834</v>
          </cell>
          <cell r="K4747">
            <v>2.4380000000000002</v>
          </cell>
          <cell r="L4747">
            <v>148835</v>
          </cell>
          <cell r="M4747">
            <v>13229</v>
          </cell>
          <cell r="N4747">
            <v>683926.05601571908</v>
          </cell>
          <cell r="O4747">
            <v>692380.00232629513</v>
          </cell>
          <cell r="P4747">
            <v>368.79259999999999</v>
          </cell>
        </row>
        <row r="4748">
          <cell r="B4748">
            <v>37525</v>
          </cell>
          <cell r="J4748">
            <v>3809804.3041216834</v>
          </cell>
          <cell r="K4748">
            <v>2.4380000000000002</v>
          </cell>
          <cell r="L4748">
            <v>148835</v>
          </cell>
          <cell r="M4748">
            <v>13229</v>
          </cell>
          <cell r="N4748">
            <v>683926.05601571908</v>
          </cell>
          <cell r="O4748">
            <v>692380.00232629513</v>
          </cell>
          <cell r="P4748">
            <v>368.79259999999999</v>
          </cell>
        </row>
        <row r="4749">
          <cell r="B4749">
            <v>37526</v>
          </cell>
          <cell r="J4749">
            <v>3809804.3041216834</v>
          </cell>
          <cell r="K4749">
            <v>2.4380000000000002</v>
          </cell>
          <cell r="L4749">
            <v>148835</v>
          </cell>
          <cell r="M4749">
            <v>13229</v>
          </cell>
          <cell r="N4749">
            <v>683926.05601571908</v>
          </cell>
          <cell r="O4749">
            <v>692380.00232629513</v>
          </cell>
          <cell r="P4749">
            <v>368.79259999999999</v>
          </cell>
        </row>
        <row r="4750">
          <cell r="B4750">
            <v>37527</v>
          </cell>
          <cell r="J4750">
            <v>3809804.3041216834</v>
          </cell>
          <cell r="K4750">
            <v>2.4380000000000002</v>
          </cell>
          <cell r="L4750">
            <v>148835</v>
          </cell>
          <cell r="M4750">
            <v>13229</v>
          </cell>
          <cell r="N4750">
            <v>683926.05601571908</v>
          </cell>
          <cell r="O4750">
            <v>692380.00232629513</v>
          </cell>
          <cell r="P4750">
            <v>368.79259999999999</v>
          </cell>
        </row>
        <row r="4751">
          <cell r="B4751">
            <v>37528</v>
          </cell>
          <cell r="J4751">
            <v>3809804.3041216834</v>
          </cell>
          <cell r="K4751">
            <v>2.4380000000000002</v>
          </cell>
          <cell r="L4751">
            <v>148835</v>
          </cell>
          <cell r="M4751">
            <v>13229</v>
          </cell>
          <cell r="N4751">
            <v>683926.05601571908</v>
          </cell>
          <cell r="O4751">
            <v>692380.00232629513</v>
          </cell>
          <cell r="P4751">
            <v>368.79259999999999</v>
          </cell>
        </row>
        <row r="4752">
          <cell r="B4752">
            <v>37529</v>
          </cell>
          <cell r="J4752">
            <v>3809804.3041216834</v>
          </cell>
          <cell r="K4752">
            <v>2.4380000000000002</v>
          </cell>
          <cell r="L4752">
            <v>148835</v>
          </cell>
          <cell r="M4752">
            <v>13229</v>
          </cell>
          <cell r="N4752">
            <v>683926.05601571908</v>
          </cell>
          <cell r="O4752">
            <v>692380.00232629513</v>
          </cell>
          <cell r="P4752">
            <v>368.79259999999999</v>
          </cell>
        </row>
        <row r="4753">
          <cell r="B4753">
            <v>37530</v>
          </cell>
          <cell r="J4753">
            <v>3809804.3041216834</v>
          </cell>
          <cell r="K4753">
            <v>2.4380000000000002</v>
          </cell>
          <cell r="L4753">
            <v>148835</v>
          </cell>
          <cell r="M4753">
            <v>13229</v>
          </cell>
          <cell r="N4753">
            <v>683926.05601571908</v>
          </cell>
          <cell r="O4753">
            <v>692380.00232629513</v>
          </cell>
          <cell r="P4753">
            <v>368.79259999999999</v>
          </cell>
        </row>
        <row r="4754">
          <cell r="B4754">
            <v>37531</v>
          </cell>
          <cell r="J4754">
            <v>3809804.3041216834</v>
          </cell>
          <cell r="K4754">
            <v>2.4380000000000002</v>
          </cell>
          <cell r="L4754">
            <v>148835</v>
          </cell>
          <cell r="M4754">
            <v>13229</v>
          </cell>
          <cell r="N4754">
            <v>683926.05601571908</v>
          </cell>
          <cell r="O4754">
            <v>692380.00232629513</v>
          </cell>
          <cell r="P4754">
            <v>368.79259999999999</v>
          </cell>
        </row>
        <row r="4755">
          <cell r="B4755">
            <v>37532</v>
          </cell>
          <cell r="J4755">
            <v>3809804.3041216834</v>
          </cell>
          <cell r="K4755">
            <v>2.4380000000000002</v>
          </cell>
          <cell r="L4755">
            <v>148835</v>
          </cell>
          <cell r="M4755">
            <v>13229</v>
          </cell>
          <cell r="N4755">
            <v>683926.05601571908</v>
          </cell>
          <cell r="O4755">
            <v>692380.00232629513</v>
          </cell>
          <cell r="P4755">
            <v>368.79259999999999</v>
          </cell>
        </row>
        <row r="4756">
          <cell r="B4756">
            <v>37533</v>
          </cell>
          <cell r="J4756">
            <v>3809804.3041216834</v>
          </cell>
          <cell r="K4756">
            <v>2.4380000000000002</v>
          </cell>
          <cell r="L4756">
            <v>148835</v>
          </cell>
          <cell r="M4756">
            <v>13229</v>
          </cell>
          <cell r="N4756">
            <v>683926.05601571908</v>
          </cell>
          <cell r="O4756">
            <v>692380.00232629513</v>
          </cell>
          <cell r="P4756">
            <v>368.79259999999999</v>
          </cell>
        </row>
        <row r="4757">
          <cell r="B4757">
            <v>37534</v>
          </cell>
          <cell r="J4757">
            <v>3809804.3041216834</v>
          </cell>
          <cell r="K4757">
            <v>2.4380000000000002</v>
          </cell>
          <cell r="L4757">
            <v>148835</v>
          </cell>
          <cell r="M4757">
            <v>13229</v>
          </cell>
          <cell r="N4757">
            <v>683926.05601571908</v>
          </cell>
          <cell r="O4757">
            <v>692380.00232629513</v>
          </cell>
          <cell r="P4757">
            <v>368.79259999999999</v>
          </cell>
        </row>
        <row r="4758">
          <cell r="B4758">
            <v>37535</v>
          </cell>
          <cell r="J4758">
            <v>3809804.3041216834</v>
          </cell>
          <cell r="K4758">
            <v>2.4380000000000002</v>
          </cell>
          <cell r="L4758">
            <v>148835</v>
          </cell>
          <cell r="M4758">
            <v>13229</v>
          </cell>
          <cell r="N4758">
            <v>683926.05601571908</v>
          </cell>
          <cell r="O4758">
            <v>692380.00232629513</v>
          </cell>
          <cell r="P4758">
            <v>368.79259999999999</v>
          </cell>
        </row>
        <row r="4759">
          <cell r="B4759">
            <v>37536</v>
          </cell>
          <cell r="J4759">
            <v>3809804.3041216834</v>
          </cell>
          <cell r="K4759">
            <v>2.4380000000000002</v>
          </cell>
          <cell r="L4759">
            <v>148835</v>
          </cell>
          <cell r="M4759">
            <v>13229</v>
          </cell>
          <cell r="N4759">
            <v>683926.05601571908</v>
          </cell>
          <cell r="O4759">
            <v>692380.00232629513</v>
          </cell>
          <cell r="P4759">
            <v>368.79259999999999</v>
          </cell>
        </row>
        <row r="4760">
          <cell r="B4760">
            <v>37537</v>
          </cell>
          <cell r="J4760">
            <v>3809804.3041216834</v>
          </cell>
          <cell r="K4760">
            <v>2.4380000000000002</v>
          </cell>
          <cell r="L4760">
            <v>148835</v>
          </cell>
          <cell r="M4760">
            <v>13229</v>
          </cell>
          <cell r="N4760">
            <v>683926.05601571908</v>
          </cell>
          <cell r="O4760">
            <v>692380.00232629513</v>
          </cell>
          <cell r="P4760">
            <v>368.79259999999999</v>
          </cell>
        </row>
        <row r="4761">
          <cell r="B4761">
            <v>37538</v>
          </cell>
          <cell r="J4761">
            <v>3809804.3041216834</v>
          </cell>
          <cell r="K4761">
            <v>2.4380000000000002</v>
          </cell>
          <cell r="L4761">
            <v>148835</v>
          </cell>
          <cell r="M4761">
            <v>13229</v>
          </cell>
          <cell r="N4761">
            <v>683926.05601571908</v>
          </cell>
          <cell r="O4761">
            <v>692380.00232629513</v>
          </cell>
          <cell r="P4761">
            <v>368.79259999999999</v>
          </cell>
        </row>
        <row r="4762">
          <cell r="B4762">
            <v>37539</v>
          </cell>
          <cell r="J4762">
            <v>3809804.3041216834</v>
          </cell>
          <cell r="K4762">
            <v>2.4380000000000002</v>
          </cell>
          <cell r="L4762">
            <v>148835</v>
          </cell>
          <cell r="M4762">
            <v>13229</v>
          </cell>
          <cell r="N4762">
            <v>683926.05601571908</v>
          </cell>
          <cell r="O4762">
            <v>692380.00232629513</v>
          </cell>
          <cell r="P4762">
            <v>368.79259999999999</v>
          </cell>
        </row>
        <row r="4763">
          <cell r="B4763">
            <v>37540</v>
          </cell>
          <cell r="J4763">
            <v>3809804.3041216834</v>
          </cell>
          <cell r="K4763">
            <v>2.4380000000000002</v>
          </cell>
          <cell r="L4763">
            <v>148835</v>
          </cell>
          <cell r="M4763">
            <v>13229</v>
          </cell>
          <cell r="N4763">
            <v>683926.05601571908</v>
          </cell>
          <cell r="O4763">
            <v>692380.00232629513</v>
          </cell>
          <cell r="P4763">
            <v>368.79259999999999</v>
          </cell>
        </row>
        <row r="4764">
          <cell r="B4764">
            <v>37541</v>
          </cell>
          <cell r="J4764">
            <v>3809804.3041216834</v>
          </cell>
          <cell r="K4764">
            <v>2.4380000000000002</v>
          </cell>
          <cell r="L4764">
            <v>148835</v>
          </cell>
          <cell r="M4764">
            <v>13229</v>
          </cell>
          <cell r="N4764">
            <v>683926.05601571908</v>
          </cell>
          <cell r="O4764">
            <v>692380.00232629513</v>
          </cell>
          <cell r="P4764">
            <v>368.79259999999999</v>
          </cell>
        </row>
        <row r="4765">
          <cell r="B4765">
            <v>37542</v>
          </cell>
          <cell r="J4765">
            <v>3809804.3041216834</v>
          </cell>
          <cell r="K4765">
            <v>2.4380000000000002</v>
          </cell>
          <cell r="L4765">
            <v>148835</v>
          </cell>
          <cell r="M4765">
            <v>13229</v>
          </cell>
          <cell r="N4765">
            <v>683926.05601571908</v>
          </cell>
          <cell r="O4765">
            <v>692380.00232629513</v>
          </cell>
          <cell r="P4765">
            <v>368.79259999999999</v>
          </cell>
        </row>
        <row r="4766">
          <cell r="B4766">
            <v>37543</v>
          </cell>
          <cell r="J4766">
            <v>3809804.3041216834</v>
          </cell>
          <cell r="K4766">
            <v>2.4380000000000002</v>
          </cell>
          <cell r="L4766">
            <v>148835</v>
          </cell>
          <cell r="M4766">
            <v>13229</v>
          </cell>
          <cell r="N4766">
            <v>683926.05601571908</v>
          </cell>
          <cell r="O4766">
            <v>692380.00232629513</v>
          </cell>
          <cell r="P4766">
            <v>368.79259999999999</v>
          </cell>
        </row>
        <row r="4767">
          <cell r="B4767">
            <v>37544</v>
          </cell>
          <cell r="J4767">
            <v>3809804.3041216834</v>
          </cell>
          <cell r="K4767">
            <v>2.4380000000000002</v>
          </cell>
          <cell r="L4767">
            <v>148835</v>
          </cell>
          <cell r="M4767">
            <v>13229</v>
          </cell>
          <cell r="N4767">
            <v>683926.05601571908</v>
          </cell>
          <cell r="O4767">
            <v>692380.00232629513</v>
          </cell>
          <cell r="P4767">
            <v>368.79259999999999</v>
          </cell>
        </row>
        <row r="4768">
          <cell r="B4768">
            <v>37545</v>
          </cell>
          <cell r="J4768">
            <v>3809804.3041216834</v>
          </cell>
          <cell r="K4768">
            <v>2.4380000000000002</v>
          </cell>
          <cell r="L4768">
            <v>148835</v>
          </cell>
          <cell r="M4768">
            <v>13229</v>
          </cell>
          <cell r="N4768">
            <v>683926.05601571908</v>
          </cell>
          <cell r="O4768">
            <v>692380.00232629513</v>
          </cell>
          <cell r="P4768">
            <v>368.79259999999999</v>
          </cell>
        </row>
        <row r="4769">
          <cell r="B4769">
            <v>37546</v>
          </cell>
          <cell r="J4769">
            <v>3809804.3041216834</v>
          </cell>
          <cell r="K4769">
            <v>2.4380000000000002</v>
          </cell>
          <cell r="L4769">
            <v>148835</v>
          </cell>
          <cell r="M4769">
            <v>13229</v>
          </cell>
          <cell r="N4769">
            <v>683926.05601571908</v>
          </cell>
          <cell r="O4769">
            <v>692380.00232629513</v>
          </cell>
          <cell r="P4769">
            <v>368.79259999999999</v>
          </cell>
        </row>
        <row r="4770">
          <cell r="B4770">
            <v>37547</v>
          </cell>
          <cell r="J4770">
            <v>3809804.3041216834</v>
          </cell>
          <cell r="K4770">
            <v>2.4380000000000002</v>
          </cell>
          <cell r="L4770">
            <v>148835</v>
          </cell>
          <cell r="M4770">
            <v>13229</v>
          </cell>
          <cell r="N4770">
            <v>683926.05601571908</v>
          </cell>
          <cell r="O4770">
            <v>692380.00232629513</v>
          </cell>
          <cell r="P4770">
            <v>368.79259999999999</v>
          </cell>
        </row>
        <row r="4771">
          <cell r="B4771">
            <v>37548</v>
          </cell>
          <cell r="J4771">
            <v>3809804.3041216834</v>
          </cell>
          <cell r="K4771">
            <v>2.4380000000000002</v>
          </cell>
          <cell r="L4771">
            <v>148835</v>
          </cell>
          <cell r="M4771">
            <v>13229</v>
          </cell>
          <cell r="N4771">
            <v>683926.05601571908</v>
          </cell>
          <cell r="O4771">
            <v>692380.00232629513</v>
          </cell>
          <cell r="P4771">
            <v>368.79259999999999</v>
          </cell>
        </row>
        <row r="4772">
          <cell r="B4772">
            <v>37549</v>
          </cell>
          <cell r="J4772">
            <v>3809804.3041216834</v>
          </cell>
          <cell r="K4772">
            <v>2.4380000000000002</v>
          </cell>
          <cell r="L4772">
            <v>148835</v>
          </cell>
          <cell r="M4772">
            <v>13229</v>
          </cell>
          <cell r="N4772">
            <v>683926.05601571908</v>
          </cell>
          <cell r="O4772">
            <v>692380.00232629513</v>
          </cell>
          <cell r="P4772">
            <v>368.79259999999999</v>
          </cell>
        </row>
        <row r="4773">
          <cell r="B4773">
            <v>37550</v>
          </cell>
          <cell r="J4773">
            <v>3809804.3041216834</v>
          </cell>
          <cell r="K4773">
            <v>2.4380000000000002</v>
          </cell>
          <cell r="L4773">
            <v>148835</v>
          </cell>
          <cell r="M4773">
            <v>13229</v>
          </cell>
          <cell r="N4773">
            <v>683926.05601571908</v>
          </cell>
          <cell r="O4773">
            <v>692380.00232629513</v>
          </cell>
          <cell r="P4773">
            <v>368.79259999999999</v>
          </cell>
        </row>
        <row r="4774">
          <cell r="B4774">
            <v>37551</v>
          </cell>
          <cell r="J4774">
            <v>3809804.3041216834</v>
          </cell>
          <cell r="K4774">
            <v>2.4380000000000002</v>
          </cell>
          <cell r="L4774">
            <v>148835</v>
          </cell>
          <cell r="M4774">
            <v>13229</v>
          </cell>
          <cell r="N4774">
            <v>683926.05601571908</v>
          </cell>
          <cell r="O4774">
            <v>692380.00232629513</v>
          </cell>
          <cell r="P4774">
            <v>368.79259999999999</v>
          </cell>
        </row>
        <row r="4775">
          <cell r="B4775">
            <v>37552</v>
          </cell>
          <cell r="J4775">
            <v>3809804.3041216834</v>
          </cell>
          <cell r="K4775">
            <v>2.4380000000000002</v>
          </cell>
          <cell r="L4775">
            <v>148835</v>
          </cell>
          <cell r="M4775">
            <v>13229</v>
          </cell>
          <cell r="N4775">
            <v>683926.05601571908</v>
          </cell>
          <cell r="O4775">
            <v>692380.00232629513</v>
          </cell>
          <cell r="P4775">
            <v>368.79259999999999</v>
          </cell>
        </row>
        <row r="4776">
          <cell r="B4776">
            <v>37553</v>
          </cell>
          <cell r="J4776">
            <v>3809804.3041216834</v>
          </cell>
          <cell r="K4776">
            <v>2.4380000000000002</v>
          </cell>
          <cell r="L4776">
            <v>148835</v>
          </cell>
          <cell r="M4776">
            <v>13229</v>
          </cell>
          <cell r="N4776">
            <v>683926.05601571908</v>
          </cell>
          <cell r="O4776">
            <v>692380.00232629513</v>
          </cell>
          <cell r="P4776">
            <v>368.79259999999999</v>
          </cell>
        </row>
        <row r="4777">
          <cell r="B4777">
            <v>37554</v>
          </cell>
          <cell r="J4777">
            <v>3809804.3041216834</v>
          </cell>
          <cell r="K4777">
            <v>2.4380000000000002</v>
          </cell>
          <cell r="L4777">
            <v>148835</v>
          </cell>
          <cell r="M4777">
            <v>13229</v>
          </cell>
          <cell r="N4777">
            <v>683926.05601571908</v>
          </cell>
          <cell r="O4777">
            <v>692380.00232629513</v>
          </cell>
          <cell r="P4777">
            <v>368.79259999999999</v>
          </cell>
        </row>
        <row r="4778">
          <cell r="B4778">
            <v>37555</v>
          </cell>
          <cell r="J4778">
            <v>3809804.3041216834</v>
          </cell>
          <cell r="K4778">
            <v>2.4380000000000002</v>
          </cell>
          <cell r="L4778">
            <v>148835</v>
          </cell>
          <cell r="M4778">
            <v>13229</v>
          </cell>
          <cell r="N4778">
            <v>683926.05601571908</v>
          </cell>
          <cell r="O4778">
            <v>692380.00232629513</v>
          </cell>
          <cell r="P4778">
            <v>368.79259999999999</v>
          </cell>
        </row>
        <row r="4779">
          <cell r="B4779">
            <v>37556</v>
          </cell>
          <cell r="J4779">
            <v>3809804.3041216834</v>
          </cell>
          <cell r="K4779">
            <v>2.4380000000000002</v>
          </cell>
          <cell r="L4779">
            <v>148835</v>
          </cell>
          <cell r="M4779">
            <v>13229</v>
          </cell>
          <cell r="N4779">
            <v>683926.05601571908</v>
          </cell>
          <cell r="O4779">
            <v>692380.00232629513</v>
          </cell>
          <cell r="P4779">
            <v>368.79259999999999</v>
          </cell>
        </row>
        <row r="4780">
          <cell r="B4780">
            <v>37557</v>
          </cell>
          <cell r="J4780">
            <v>3809804.3041216834</v>
          </cell>
          <cell r="K4780">
            <v>2.4380000000000002</v>
          </cell>
          <cell r="L4780">
            <v>148835</v>
          </cell>
          <cell r="M4780">
            <v>13229</v>
          </cell>
          <cell r="N4780">
            <v>683926.05601571908</v>
          </cell>
          <cell r="O4780">
            <v>692380.00232629513</v>
          </cell>
          <cell r="P4780">
            <v>368.79259999999999</v>
          </cell>
        </row>
        <row r="4781">
          <cell r="B4781">
            <v>37558</v>
          </cell>
          <cell r="J4781">
            <v>3809804.3041216834</v>
          </cell>
          <cell r="K4781">
            <v>2.4380000000000002</v>
          </cell>
          <cell r="L4781">
            <v>148835</v>
          </cell>
          <cell r="M4781">
            <v>13229</v>
          </cell>
          <cell r="N4781">
            <v>683926.05601571908</v>
          </cell>
          <cell r="O4781">
            <v>692380.00232629513</v>
          </cell>
          <cell r="P4781">
            <v>368.79259999999999</v>
          </cell>
        </row>
        <row r="4782">
          <cell r="B4782">
            <v>37559</v>
          </cell>
          <cell r="J4782">
            <v>3809804.3041216834</v>
          </cell>
          <cell r="K4782">
            <v>2.4380000000000002</v>
          </cell>
          <cell r="L4782">
            <v>148835</v>
          </cell>
          <cell r="M4782">
            <v>13229</v>
          </cell>
          <cell r="N4782">
            <v>683926.05601571908</v>
          </cell>
          <cell r="O4782">
            <v>692380.00232629513</v>
          </cell>
          <cell r="P4782">
            <v>368.79259999999999</v>
          </cell>
        </row>
        <row r="4783">
          <cell r="B4783">
            <v>37560</v>
          </cell>
          <cell r="J4783">
            <v>3809804.3041216834</v>
          </cell>
          <cell r="K4783">
            <v>2.4380000000000002</v>
          </cell>
          <cell r="L4783">
            <v>148835</v>
          </cell>
          <cell r="M4783">
            <v>13229</v>
          </cell>
          <cell r="N4783">
            <v>683926.05601571908</v>
          </cell>
          <cell r="O4783">
            <v>692380.00232629513</v>
          </cell>
          <cell r="P4783">
            <v>368.79259999999999</v>
          </cell>
        </row>
        <row r="4784">
          <cell r="B4784">
            <v>37561</v>
          </cell>
          <cell r="J4784">
            <v>3809804.3041216834</v>
          </cell>
          <cell r="K4784">
            <v>2.4380000000000002</v>
          </cell>
          <cell r="L4784">
            <v>148835</v>
          </cell>
          <cell r="M4784">
            <v>13229</v>
          </cell>
          <cell r="N4784">
            <v>683926.05601571908</v>
          </cell>
          <cell r="O4784">
            <v>692380.00232629513</v>
          </cell>
          <cell r="P4784">
            <v>368.79259999999999</v>
          </cell>
        </row>
        <row r="4785">
          <cell r="B4785">
            <v>37562</v>
          </cell>
          <cell r="J4785">
            <v>3809804.3041216834</v>
          </cell>
          <cell r="K4785">
            <v>2.4380000000000002</v>
          </cell>
          <cell r="L4785">
            <v>148835</v>
          </cell>
          <cell r="M4785">
            <v>13229</v>
          </cell>
          <cell r="N4785">
            <v>683926.05601571908</v>
          </cell>
          <cell r="O4785">
            <v>692380.00232629513</v>
          </cell>
          <cell r="P4785">
            <v>368.79259999999999</v>
          </cell>
        </row>
        <row r="4786">
          <cell r="B4786">
            <v>37563</v>
          </cell>
          <cell r="J4786">
            <v>3809804.3041216834</v>
          </cell>
          <cell r="K4786">
            <v>2.4380000000000002</v>
          </cell>
          <cell r="L4786">
            <v>148835</v>
          </cell>
          <cell r="M4786">
            <v>13229</v>
          </cell>
          <cell r="N4786">
            <v>683926.05601571908</v>
          </cell>
          <cell r="O4786">
            <v>692380.00232629513</v>
          </cell>
          <cell r="P4786">
            <v>368.79259999999999</v>
          </cell>
        </row>
        <row r="4787">
          <cell r="B4787">
            <v>37564</v>
          </cell>
          <cell r="J4787">
            <v>3809804.3041216834</v>
          </cell>
          <cell r="K4787">
            <v>2.4380000000000002</v>
          </cell>
          <cell r="L4787">
            <v>148835</v>
          </cell>
          <cell r="M4787">
            <v>13229</v>
          </cell>
          <cell r="N4787">
            <v>683926.05601571908</v>
          </cell>
          <cell r="O4787">
            <v>692380.00232629513</v>
          </cell>
          <cell r="P4787">
            <v>368.79259999999999</v>
          </cell>
        </row>
        <row r="4788">
          <cell r="B4788">
            <v>37565</v>
          </cell>
          <cell r="J4788">
            <v>3809804.3041216834</v>
          </cell>
          <cell r="K4788">
            <v>2.4380000000000002</v>
          </cell>
          <cell r="L4788">
            <v>148835</v>
          </cell>
          <cell r="M4788">
            <v>13229</v>
          </cell>
          <cell r="N4788">
            <v>683926.05601571908</v>
          </cell>
          <cell r="O4788">
            <v>692380.00232629513</v>
          </cell>
          <cell r="P4788">
            <v>368.79259999999999</v>
          </cell>
        </row>
        <row r="4789">
          <cell r="B4789">
            <v>37566</v>
          </cell>
          <cell r="J4789">
            <v>3809804.3041216834</v>
          </cell>
          <cell r="K4789">
            <v>2.4380000000000002</v>
          </cell>
          <cell r="L4789">
            <v>148835</v>
          </cell>
          <cell r="M4789">
            <v>13229</v>
          </cell>
          <cell r="N4789">
            <v>683926.05601571908</v>
          </cell>
          <cell r="O4789">
            <v>692380.00232629513</v>
          </cell>
          <cell r="P4789">
            <v>368.79259999999999</v>
          </cell>
        </row>
        <row r="4790">
          <cell r="B4790">
            <v>37567</v>
          </cell>
          <cell r="J4790">
            <v>3809804.3041216834</v>
          </cell>
          <cell r="K4790">
            <v>2.4380000000000002</v>
          </cell>
          <cell r="L4790">
            <v>148835</v>
          </cell>
          <cell r="M4790">
            <v>13229</v>
          </cell>
          <cell r="N4790">
            <v>683926.05601571908</v>
          </cell>
          <cell r="O4790">
            <v>692380.00232629513</v>
          </cell>
          <cell r="P4790">
            <v>368.79259999999999</v>
          </cell>
        </row>
        <row r="4791">
          <cell r="B4791">
            <v>37568</v>
          </cell>
          <cell r="J4791">
            <v>3809804.3041216834</v>
          </cell>
          <cell r="K4791">
            <v>2.4380000000000002</v>
          </cell>
          <cell r="L4791">
            <v>148835</v>
          </cell>
          <cell r="M4791">
            <v>13229</v>
          </cell>
          <cell r="N4791">
            <v>683926.05601571908</v>
          </cell>
          <cell r="O4791">
            <v>692380.00232629513</v>
          </cell>
          <cell r="P4791">
            <v>368.79259999999999</v>
          </cell>
        </row>
        <row r="4792">
          <cell r="B4792">
            <v>37569</v>
          </cell>
          <cell r="J4792">
            <v>3809804.3041216834</v>
          </cell>
          <cell r="K4792">
            <v>2.4380000000000002</v>
          </cell>
          <cell r="L4792">
            <v>148835</v>
          </cell>
          <cell r="M4792">
            <v>13229</v>
          </cell>
          <cell r="N4792">
            <v>683926.05601571908</v>
          </cell>
          <cell r="O4792">
            <v>692380.00232629513</v>
          </cell>
          <cell r="P4792">
            <v>368.79259999999999</v>
          </cell>
        </row>
        <row r="4793">
          <cell r="B4793">
            <v>37570</v>
          </cell>
          <cell r="J4793">
            <v>3809804.3041216834</v>
          </cell>
          <cell r="K4793">
            <v>2.4380000000000002</v>
          </cell>
          <cell r="L4793">
            <v>148835</v>
          </cell>
          <cell r="M4793">
            <v>13229</v>
          </cell>
          <cell r="N4793">
            <v>683926.05601571908</v>
          </cell>
          <cell r="O4793">
            <v>692380.00232629513</v>
          </cell>
          <cell r="P4793">
            <v>368.79259999999999</v>
          </cell>
        </row>
        <row r="4794">
          <cell r="B4794">
            <v>37571</v>
          </cell>
          <cell r="J4794">
            <v>3809804.3041216834</v>
          </cell>
          <cell r="K4794">
            <v>2.4380000000000002</v>
          </cell>
          <cell r="L4794">
            <v>148835</v>
          </cell>
          <cell r="M4794">
            <v>13229</v>
          </cell>
          <cell r="N4794">
            <v>683926.05601571908</v>
          </cell>
          <cell r="O4794">
            <v>692380.00232629513</v>
          </cell>
          <cell r="P4794">
            <v>368.79259999999999</v>
          </cell>
        </row>
        <row r="4795">
          <cell r="B4795">
            <v>37572</v>
          </cell>
          <cell r="J4795">
            <v>3809804.3041216834</v>
          </cell>
          <cell r="K4795">
            <v>2.4380000000000002</v>
          </cell>
          <cell r="L4795">
            <v>148835</v>
          </cell>
          <cell r="M4795">
            <v>13229</v>
          </cell>
          <cell r="N4795">
            <v>683926.05601571908</v>
          </cell>
          <cell r="O4795">
            <v>692380.00232629513</v>
          </cell>
          <cell r="P4795">
            <v>368.79259999999999</v>
          </cell>
        </row>
        <row r="4796">
          <cell r="B4796">
            <v>37573</v>
          </cell>
          <cell r="J4796">
            <v>3809804.3041216834</v>
          </cell>
          <cell r="K4796">
            <v>2.4380000000000002</v>
          </cell>
          <cell r="L4796">
            <v>148835</v>
          </cell>
          <cell r="M4796">
            <v>13229</v>
          </cell>
          <cell r="N4796">
            <v>683926.05601571908</v>
          </cell>
          <cell r="O4796">
            <v>692380.00232629513</v>
          </cell>
          <cell r="P4796">
            <v>368.79259999999999</v>
          </cell>
        </row>
        <row r="4797">
          <cell r="B4797">
            <v>37574</v>
          </cell>
          <cell r="J4797">
            <v>3809804.3041216834</v>
          </cell>
          <cell r="K4797">
            <v>2.4380000000000002</v>
          </cell>
          <cell r="L4797">
            <v>148835</v>
          </cell>
          <cell r="M4797">
            <v>13229</v>
          </cell>
          <cell r="N4797">
            <v>683926.05601571908</v>
          </cell>
          <cell r="O4797">
            <v>692380.00232629513</v>
          </cell>
          <cell r="P4797">
            <v>368.79259999999999</v>
          </cell>
        </row>
        <row r="4798">
          <cell r="B4798">
            <v>37575</v>
          </cell>
          <cell r="J4798">
            <v>3809804.3041216834</v>
          </cell>
          <cell r="K4798">
            <v>2.4380000000000002</v>
          </cell>
          <cell r="L4798">
            <v>148835</v>
          </cell>
          <cell r="M4798">
            <v>13229</v>
          </cell>
          <cell r="N4798">
            <v>683926.05601571908</v>
          </cell>
          <cell r="O4798">
            <v>692380.00232629513</v>
          </cell>
          <cell r="P4798">
            <v>368.79259999999999</v>
          </cell>
        </row>
        <row r="4799">
          <cell r="B4799">
            <v>37576</v>
          </cell>
          <cell r="J4799">
            <v>3809804.3041216834</v>
          </cell>
          <cell r="K4799">
            <v>2.4380000000000002</v>
          </cell>
          <cell r="L4799">
            <v>148835</v>
          </cell>
          <cell r="M4799">
            <v>13229</v>
          </cell>
          <cell r="N4799">
            <v>683926.05601571908</v>
          </cell>
          <cell r="O4799">
            <v>692380.00232629513</v>
          </cell>
          <cell r="P4799">
            <v>368.79259999999999</v>
          </cell>
        </row>
        <row r="4800">
          <cell r="B4800">
            <v>37577</v>
          </cell>
          <cell r="J4800">
            <v>3809804.3041216834</v>
          </cell>
          <cell r="K4800">
            <v>2.4380000000000002</v>
          </cell>
          <cell r="L4800">
            <v>148835</v>
          </cell>
          <cell r="M4800">
            <v>13229</v>
          </cell>
          <cell r="N4800">
            <v>683926.05601571908</v>
          </cell>
          <cell r="O4800">
            <v>692380.00232629513</v>
          </cell>
          <cell r="P4800">
            <v>368.79259999999999</v>
          </cell>
        </row>
        <row r="4801">
          <cell r="B4801">
            <v>37578</v>
          </cell>
          <cell r="J4801">
            <v>3809804.3041216834</v>
          </cell>
          <cell r="K4801">
            <v>2.4380000000000002</v>
          </cell>
          <cell r="L4801">
            <v>148835</v>
          </cell>
          <cell r="M4801">
            <v>13229</v>
          </cell>
          <cell r="N4801">
            <v>683926.05601571908</v>
          </cell>
          <cell r="O4801">
            <v>692380.00232629513</v>
          </cell>
          <cell r="P4801">
            <v>368.79259999999999</v>
          </cell>
        </row>
        <row r="4802">
          <cell r="B4802">
            <v>37579</v>
          </cell>
          <cell r="J4802">
            <v>3809804.3041216834</v>
          </cell>
          <cell r="K4802">
            <v>2.4380000000000002</v>
          </cell>
          <cell r="L4802">
            <v>148835</v>
          </cell>
          <cell r="M4802">
            <v>13229</v>
          </cell>
          <cell r="N4802">
            <v>683926.05601571908</v>
          </cell>
          <cell r="O4802">
            <v>692380.00232629513</v>
          </cell>
          <cell r="P4802">
            <v>368.79259999999999</v>
          </cell>
        </row>
        <row r="4803">
          <cell r="B4803">
            <v>37580</v>
          </cell>
          <cell r="J4803">
            <v>3809804.3041216834</v>
          </cell>
          <cell r="K4803">
            <v>2.4380000000000002</v>
          </cell>
          <cell r="L4803">
            <v>148835</v>
          </cell>
          <cell r="M4803">
            <v>13229</v>
          </cell>
          <cell r="N4803">
            <v>683926.05601571908</v>
          </cell>
          <cell r="O4803">
            <v>692380.00232629513</v>
          </cell>
          <cell r="P4803">
            <v>368.79259999999999</v>
          </cell>
        </row>
        <row r="4804">
          <cell r="B4804">
            <v>37581</v>
          </cell>
          <cell r="J4804">
            <v>3809804.3041216834</v>
          </cell>
          <cell r="K4804">
            <v>2.4380000000000002</v>
          </cell>
          <cell r="L4804">
            <v>148835</v>
          </cell>
          <cell r="M4804">
            <v>13229</v>
          </cell>
          <cell r="N4804">
            <v>683926.05601571908</v>
          </cell>
          <cell r="O4804">
            <v>692380.00232629513</v>
          </cell>
          <cell r="P4804">
            <v>368.79259999999999</v>
          </cell>
        </row>
        <row r="4805">
          <cell r="B4805">
            <v>37582</v>
          </cell>
          <cell r="J4805">
            <v>3809804.3041216834</v>
          </cell>
          <cell r="K4805">
            <v>2.4380000000000002</v>
          </cell>
          <cell r="L4805">
            <v>148835</v>
          </cell>
          <cell r="M4805">
            <v>13229</v>
          </cell>
          <cell r="N4805">
            <v>683926.05601571908</v>
          </cell>
          <cell r="O4805">
            <v>692380.00232629513</v>
          </cell>
          <cell r="P4805">
            <v>368.79259999999999</v>
          </cell>
        </row>
        <row r="4806">
          <cell r="B4806">
            <v>37583</v>
          </cell>
          <cell r="J4806">
            <v>3809804.3041216834</v>
          </cell>
          <cell r="K4806">
            <v>2.4380000000000002</v>
          </cell>
          <cell r="L4806">
            <v>148835</v>
          </cell>
          <cell r="M4806">
            <v>13229</v>
          </cell>
          <cell r="N4806">
            <v>683926.05601571908</v>
          </cell>
          <cell r="O4806">
            <v>692380.00232629513</v>
          </cell>
          <cell r="P4806">
            <v>368.79259999999999</v>
          </cell>
        </row>
        <row r="4807">
          <cell r="B4807">
            <v>37584</v>
          </cell>
          <cell r="J4807">
            <v>3809804.3041216834</v>
          </cell>
          <cell r="K4807">
            <v>2.4380000000000002</v>
          </cell>
          <cell r="L4807">
            <v>148835</v>
          </cell>
          <cell r="M4807">
            <v>13229</v>
          </cell>
          <cell r="N4807">
            <v>683926.05601571908</v>
          </cell>
          <cell r="O4807">
            <v>692380.00232629513</v>
          </cell>
          <cell r="P4807">
            <v>368.79259999999999</v>
          </cell>
        </row>
        <row r="4808">
          <cell r="B4808">
            <v>37585</v>
          </cell>
          <cell r="J4808">
            <v>3809804.3041216834</v>
          </cell>
          <cell r="K4808">
            <v>2.4380000000000002</v>
          </cell>
          <cell r="L4808">
            <v>148835</v>
          </cell>
          <cell r="M4808">
            <v>13229</v>
          </cell>
          <cell r="N4808">
            <v>683926.05601571908</v>
          </cell>
          <cell r="O4808">
            <v>692380.00232629513</v>
          </cell>
          <cell r="P4808">
            <v>368.79259999999999</v>
          </cell>
        </row>
        <row r="4809">
          <cell r="B4809">
            <v>37586</v>
          </cell>
          <cell r="J4809">
            <v>3809804.3041216834</v>
          </cell>
          <cell r="K4809">
            <v>2.4380000000000002</v>
          </cell>
          <cell r="L4809">
            <v>148835</v>
          </cell>
          <cell r="M4809">
            <v>13229</v>
          </cell>
          <cell r="N4809">
            <v>683926.05601571908</v>
          </cell>
          <cell r="O4809">
            <v>692380.00232629513</v>
          </cell>
          <cell r="P4809">
            <v>368.79259999999999</v>
          </cell>
        </row>
        <row r="4810">
          <cell r="B4810">
            <v>37587</v>
          </cell>
          <cell r="J4810">
            <v>3809804.3041216834</v>
          </cell>
          <cell r="K4810">
            <v>2.4380000000000002</v>
          </cell>
          <cell r="L4810">
            <v>148835</v>
          </cell>
          <cell r="M4810">
            <v>13229</v>
          </cell>
          <cell r="N4810">
            <v>683926.05601571908</v>
          </cell>
          <cell r="O4810">
            <v>692380.00232629513</v>
          </cell>
          <cell r="P4810">
            <v>368.79259999999999</v>
          </cell>
        </row>
        <row r="4811">
          <cell r="B4811">
            <v>37588</v>
          </cell>
          <cell r="J4811">
            <v>3809804.3041216834</v>
          </cell>
          <cell r="K4811">
            <v>2.4380000000000002</v>
          </cell>
          <cell r="L4811">
            <v>148835</v>
          </cell>
          <cell r="M4811">
            <v>13229</v>
          </cell>
          <cell r="N4811">
            <v>683926.05601571908</v>
          </cell>
          <cell r="O4811">
            <v>692380.00232629513</v>
          </cell>
          <cell r="P4811">
            <v>368.79259999999999</v>
          </cell>
        </row>
        <row r="4812">
          <cell r="B4812">
            <v>37589</v>
          </cell>
          <cell r="J4812">
            <v>3809804.3041216834</v>
          </cell>
          <cell r="K4812">
            <v>2.4380000000000002</v>
          </cell>
          <cell r="L4812">
            <v>148835</v>
          </cell>
          <cell r="M4812">
            <v>13229</v>
          </cell>
          <cell r="N4812">
            <v>683926.05601571908</v>
          </cell>
          <cell r="O4812">
            <v>692380.00232629513</v>
          </cell>
          <cell r="P4812">
            <v>368.79259999999999</v>
          </cell>
        </row>
        <row r="4813">
          <cell r="B4813">
            <v>37590</v>
          </cell>
          <cell r="J4813">
            <v>3809804.3041216834</v>
          </cell>
          <cell r="K4813">
            <v>2.4380000000000002</v>
          </cell>
          <cell r="L4813">
            <v>148835</v>
          </cell>
          <cell r="M4813">
            <v>13229</v>
          </cell>
          <cell r="N4813">
            <v>683926.05601571908</v>
          </cell>
          <cell r="O4813">
            <v>692380.00232629513</v>
          </cell>
          <cell r="P4813">
            <v>368.79259999999999</v>
          </cell>
        </row>
        <row r="4814">
          <cell r="B4814">
            <v>37591</v>
          </cell>
          <cell r="J4814">
            <v>3809804.3041216834</v>
          </cell>
          <cell r="K4814">
            <v>2.4380000000000002</v>
          </cell>
          <cell r="L4814">
            <v>148835</v>
          </cell>
          <cell r="M4814">
            <v>13229</v>
          </cell>
          <cell r="N4814">
            <v>683926.05601571908</v>
          </cell>
          <cell r="O4814">
            <v>692380.00232629513</v>
          </cell>
          <cell r="P4814">
            <v>368.79259999999999</v>
          </cell>
        </row>
        <row r="4815">
          <cell r="B4815">
            <v>37592</v>
          </cell>
          <cell r="J4815">
            <v>3809804.3041216834</v>
          </cell>
          <cell r="K4815">
            <v>2.4380000000000002</v>
          </cell>
          <cell r="L4815">
            <v>148835</v>
          </cell>
          <cell r="M4815">
            <v>13229</v>
          </cell>
          <cell r="N4815">
            <v>683926.05601571908</v>
          </cell>
          <cell r="O4815">
            <v>692380.00232629513</v>
          </cell>
          <cell r="P4815">
            <v>368.79259999999999</v>
          </cell>
        </row>
        <row r="4816">
          <cell r="B4816">
            <v>37593</v>
          </cell>
          <cell r="J4816">
            <v>3809804.3041216834</v>
          </cell>
          <cell r="K4816">
            <v>2.4380000000000002</v>
          </cell>
          <cell r="L4816">
            <v>148835</v>
          </cell>
          <cell r="M4816">
            <v>13229</v>
          </cell>
          <cell r="N4816">
            <v>683926.05601571908</v>
          </cell>
          <cell r="O4816">
            <v>692380.00232629513</v>
          </cell>
          <cell r="P4816">
            <v>368.79259999999999</v>
          </cell>
        </row>
        <row r="4817">
          <cell r="B4817">
            <v>37594</v>
          </cell>
          <cell r="J4817">
            <v>3809804.3041216834</v>
          </cell>
          <cell r="K4817">
            <v>2.4380000000000002</v>
          </cell>
          <cell r="L4817">
            <v>148835</v>
          </cell>
          <cell r="M4817">
            <v>13229</v>
          </cell>
          <cell r="N4817">
            <v>683926.05601571908</v>
          </cell>
          <cell r="O4817">
            <v>692380.00232629513</v>
          </cell>
          <cell r="P4817">
            <v>368.79259999999999</v>
          </cell>
        </row>
        <row r="4818">
          <cell r="B4818">
            <v>37595</v>
          </cell>
          <cell r="J4818">
            <v>3809804.3041216834</v>
          </cell>
          <cell r="K4818">
            <v>2.4380000000000002</v>
          </cell>
          <cell r="L4818">
            <v>148835</v>
          </cell>
          <cell r="M4818">
            <v>13229</v>
          </cell>
          <cell r="N4818">
            <v>683926.05601571908</v>
          </cell>
          <cell r="O4818">
            <v>692380.00232629513</v>
          </cell>
          <cell r="P4818">
            <v>368.79259999999999</v>
          </cell>
        </row>
        <row r="4819">
          <cell r="B4819">
            <v>37596</v>
          </cell>
          <cell r="J4819">
            <v>3809804.3041216834</v>
          </cell>
          <cell r="K4819">
            <v>2.4380000000000002</v>
          </cell>
          <cell r="L4819">
            <v>148835</v>
          </cell>
          <cell r="M4819">
            <v>13229</v>
          </cell>
          <cell r="N4819">
            <v>683926.05601571908</v>
          </cell>
          <cell r="O4819">
            <v>692380.00232629513</v>
          </cell>
          <cell r="P4819">
            <v>368.79259999999999</v>
          </cell>
        </row>
        <row r="4820">
          <cell r="B4820">
            <v>37597</v>
          </cell>
          <cell r="J4820">
            <v>3809804.3041216834</v>
          </cell>
          <cell r="K4820">
            <v>2.4380000000000002</v>
          </cell>
          <cell r="L4820">
            <v>148835</v>
          </cell>
          <cell r="M4820">
            <v>13229</v>
          </cell>
          <cell r="N4820">
            <v>683926.05601571908</v>
          </cell>
          <cell r="O4820">
            <v>692380.00232629513</v>
          </cell>
          <cell r="P4820">
            <v>368.79259999999999</v>
          </cell>
        </row>
        <row r="4821">
          <cell r="B4821">
            <v>37598</v>
          </cell>
          <cell r="J4821">
            <v>3809804.3041216834</v>
          </cell>
          <cell r="K4821">
            <v>2.4380000000000002</v>
          </cell>
          <cell r="L4821">
            <v>148835</v>
          </cell>
          <cell r="M4821">
            <v>13229</v>
          </cell>
          <cell r="N4821">
            <v>683926.05601571908</v>
          </cell>
          <cell r="O4821">
            <v>692380.00232629513</v>
          </cell>
          <cell r="P4821">
            <v>368.79259999999999</v>
          </cell>
        </row>
        <row r="4822">
          <cell r="B4822">
            <v>37599</v>
          </cell>
          <cell r="J4822">
            <v>3809804.3041216834</v>
          </cell>
          <cell r="K4822">
            <v>2.4380000000000002</v>
          </cell>
          <cell r="L4822">
            <v>148835</v>
          </cell>
          <cell r="M4822">
            <v>13229</v>
          </cell>
          <cell r="N4822">
            <v>683926.05601571908</v>
          </cell>
          <cell r="O4822">
            <v>692380.00232629513</v>
          </cell>
          <cell r="P4822">
            <v>368.79259999999999</v>
          </cell>
        </row>
        <row r="4823">
          <cell r="B4823">
            <v>37600</v>
          </cell>
          <cell r="J4823">
            <v>3809804.3041216834</v>
          </cell>
          <cell r="K4823">
            <v>2.4380000000000002</v>
          </cell>
          <cell r="L4823">
            <v>148835</v>
          </cell>
          <cell r="M4823">
            <v>13229</v>
          </cell>
          <cell r="N4823">
            <v>683926.05601571908</v>
          </cell>
          <cell r="O4823">
            <v>692380.00232629513</v>
          </cell>
          <cell r="P4823">
            <v>368.79259999999999</v>
          </cell>
        </row>
        <row r="4824">
          <cell r="B4824">
            <v>37601</v>
          </cell>
          <cell r="J4824">
            <v>3809804.3041216834</v>
          </cell>
          <cell r="K4824">
            <v>2.4380000000000002</v>
          </cell>
          <cell r="L4824">
            <v>148835</v>
          </cell>
          <cell r="M4824">
            <v>13229</v>
          </cell>
          <cell r="N4824">
            <v>683926.05601571908</v>
          </cell>
          <cell r="O4824">
            <v>692380.00232629513</v>
          </cell>
          <cell r="P4824">
            <v>368.79259999999999</v>
          </cell>
        </row>
        <row r="4825">
          <cell r="B4825">
            <v>37602</v>
          </cell>
          <cell r="J4825">
            <v>3809804.3041216834</v>
          </cell>
          <cell r="K4825">
            <v>2.4380000000000002</v>
          </cell>
          <cell r="L4825">
            <v>148835</v>
          </cell>
          <cell r="M4825">
            <v>13229</v>
          </cell>
          <cell r="N4825">
            <v>683926.05601571908</v>
          </cell>
          <cell r="O4825">
            <v>692380.00232629513</v>
          </cell>
          <cell r="P4825">
            <v>368.79259999999999</v>
          </cell>
        </row>
        <row r="4826">
          <cell r="B4826">
            <v>37603</v>
          </cell>
          <cell r="J4826">
            <v>3809804.3041216834</v>
          </cell>
          <cell r="K4826">
            <v>2.4380000000000002</v>
          </cell>
          <cell r="L4826">
            <v>148835</v>
          </cell>
          <cell r="M4826">
            <v>13229</v>
          </cell>
          <cell r="N4826">
            <v>683926.05601571908</v>
          </cell>
          <cell r="O4826">
            <v>692380.00232629513</v>
          </cell>
          <cell r="P4826">
            <v>368.79259999999999</v>
          </cell>
        </row>
        <row r="4827">
          <cell r="B4827">
            <v>37604</v>
          </cell>
          <cell r="J4827">
            <v>3809804.3041216834</v>
          </cell>
          <cell r="K4827">
            <v>2.4380000000000002</v>
          </cell>
          <cell r="L4827">
            <v>148835</v>
          </cell>
          <cell r="M4827">
            <v>13229</v>
          </cell>
          <cell r="N4827">
            <v>683926.05601571908</v>
          </cell>
          <cell r="O4827">
            <v>692380.00232629513</v>
          </cell>
          <cell r="P4827">
            <v>368.79259999999999</v>
          </cell>
        </row>
        <row r="4828">
          <cell r="B4828">
            <v>37605</v>
          </cell>
          <cell r="J4828">
            <v>3809804.3041216834</v>
          </cell>
          <cell r="K4828">
            <v>2.4380000000000002</v>
          </cell>
          <cell r="L4828">
            <v>148835</v>
          </cell>
          <cell r="M4828">
            <v>13229</v>
          </cell>
          <cell r="N4828">
            <v>683926.05601571908</v>
          </cell>
          <cell r="O4828">
            <v>692380.00232629513</v>
          </cell>
          <cell r="P4828">
            <v>368.79259999999999</v>
          </cell>
        </row>
        <row r="4829">
          <cell r="B4829">
            <v>37606</v>
          </cell>
          <cell r="J4829">
            <v>3809804.3041216834</v>
          </cell>
          <cell r="K4829">
            <v>2.4380000000000002</v>
          </cell>
          <cell r="L4829">
            <v>148835</v>
          </cell>
          <cell r="M4829">
            <v>13229</v>
          </cell>
          <cell r="N4829">
            <v>683926.05601571908</v>
          </cell>
          <cell r="O4829">
            <v>692380.00232629513</v>
          </cell>
          <cell r="P4829">
            <v>368.79259999999999</v>
          </cell>
        </row>
        <row r="4830">
          <cell r="B4830">
            <v>37607</v>
          </cell>
          <cell r="J4830">
            <v>3809804.3041216834</v>
          </cell>
          <cell r="K4830">
            <v>2.4380000000000002</v>
          </cell>
          <cell r="L4830">
            <v>148835</v>
          </cell>
          <cell r="M4830">
            <v>13229</v>
          </cell>
          <cell r="N4830">
            <v>683926.05601571908</v>
          </cell>
          <cell r="O4830">
            <v>692380.00232629513</v>
          </cell>
          <cell r="P4830">
            <v>368.79259999999999</v>
          </cell>
        </row>
        <row r="4831">
          <cell r="B4831">
            <v>37608</v>
          </cell>
          <cell r="J4831">
            <v>3809804.3041216834</v>
          </cell>
          <cell r="K4831">
            <v>2.4380000000000002</v>
          </cell>
          <cell r="L4831">
            <v>148835</v>
          </cell>
          <cell r="M4831">
            <v>13229</v>
          </cell>
          <cell r="N4831">
            <v>683926.05601571908</v>
          </cell>
          <cell r="O4831">
            <v>692380.00232629513</v>
          </cell>
          <cell r="P4831">
            <v>368.79259999999999</v>
          </cell>
        </row>
        <row r="4832">
          <cell r="B4832">
            <v>37609</v>
          </cell>
          <cell r="J4832">
            <v>3809804.3041216834</v>
          </cell>
          <cell r="K4832">
            <v>2.4380000000000002</v>
          </cell>
          <cell r="L4832">
            <v>148835</v>
          </cell>
          <cell r="M4832">
            <v>13229</v>
          </cell>
          <cell r="N4832">
            <v>683926.05601571908</v>
          </cell>
          <cell r="O4832">
            <v>692380.00232629513</v>
          </cell>
          <cell r="P4832">
            <v>368.79259999999999</v>
          </cell>
        </row>
        <row r="4833">
          <cell r="B4833">
            <v>37610</v>
          </cell>
          <cell r="J4833">
            <v>3809804.3041216834</v>
          </cell>
          <cell r="K4833">
            <v>2.4380000000000002</v>
          </cell>
          <cell r="L4833">
            <v>148835</v>
          </cell>
          <cell r="M4833">
            <v>13229</v>
          </cell>
          <cell r="N4833">
            <v>683926.05601571908</v>
          </cell>
          <cell r="O4833">
            <v>692380.00232629513</v>
          </cell>
          <cell r="P4833">
            <v>368.79259999999999</v>
          </cell>
        </row>
        <row r="4834">
          <cell r="B4834">
            <v>37611</v>
          </cell>
          <cell r="J4834">
            <v>3809804.3041216834</v>
          </cell>
          <cell r="K4834">
            <v>2.4380000000000002</v>
          </cell>
          <cell r="L4834">
            <v>148835</v>
          </cell>
          <cell r="M4834">
            <v>13229</v>
          </cell>
          <cell r="N4834">
            <v>683926.05601571908</v>
          </cell>
          <cell r="O4834">
            <v>692380.00232629513</v>
          </cell>
          <cell r="P4834">
            <v>368.79259999999999</v>
          </cell>
        </row>
        <row r="4835">
          <cell r="B4835">
            <v>37612</v>
          </cell>
          <cell r="J4835">
            <v>3809804.3041216834</v>
          </cell>
          <cell r="K4835">
            <v>2.4380000000000002</v>
          </cell>
          <cell r="L4835">
            <v>148835</v>
          </cell>
          <cell r="M4835">
            <v>13229</v>
          </cell>
          <cell r="N4835">
            <v>683926.05601571908</v>
          </cell>
          <cell r="O4835">
            <v>692380.00232629513</v>
          </cell>
          <cell r="P4835">
            <v>368.79259999999999</v>
          </cell>
        </row>
        <row r="4836">
          <cell r="B4836">
            <v>37613</v>
          </cell>
          <cell r="J4836">
            <v>3809804.3041216834</v>
          </cell>
          <cell r="K4836">
            <v>2.4380000000000002</v>
          </cell>
          <cell r="L4836">
            <v>148835</v>
          </cell>
          <cell r="M4836">
            <v>13229</v>
          </cell>
          <cell r="N4836">
            <v>683926.05601571908</v>
          </cell>
          <cell r="O4836">
            <v>692380.00232629513</v>
          </cell>
          <cell r="P4836">
            <v>368.79259999999999</v>
          </cell>
        </row>
        <row r="4837">
          <cell r="B4837">
            <v>37614</v>
          </cell>
          <cell r="J4837">
            <v>3809804.3041216834</v>
          </cell>
          <cell r="K4837">
            <v>2.4380000000000002</v>
          </cell>
          <cell r="L4837">
            <v>148835</v>
          </cell>
          <cell r="M4837">
            <v>13229</v>
          </cell>
          <cell r="N4837">
            <v>683926.05601571908</v>
          </cell>
          <cell r="O4837">
            <v>692380.00232629513</v>
          </cell>
          <cell r="P4837">
            <v>368.79259999999999</v>
          </cell>
        </row>
        <row r="4838">
          <cell r="B4838">
            <v>37615</v>
          </cell>
          <cell r="J4838">
            <v>3809804.3041216834</v>
          </cell>
          <cell r="K4838">
            <v>2.4380000000000002</v>
          </cell>
          <cell r="L4838">
            <v>148835</v>
          </cell>
          <cell r="M4838">
            <v>13229</v>
          </cell>
          <cell r="N4838">
            <v>683926.05601571908</v>
          </cell>
          <cell r="O4838">
            <v>692380.00232629513</v>
          </cell>
          <cell r="P4838">
            <v>368.79259999999999</v>
          </cell>
        </row>
        <row r="4839">
          <cell r="B4839">
            <v>37616</v>
          </cell>
          <cell r="J4839">
            <v>3809804.3041216834</v>
          </cell>
          <cell r="K4839">
            <v>2.4380000000000002</v>
          </cell>
          <cell r="L4839">
            <v>148835</v>
          </cell>
          <cell r="M4839">
            <v>13229</v>
          </cell>
          <cell r="N4839">
            <v>683926.05601571908</v>
          </cell>
          <cell r="O4839">
            <v>692380.00232629513</v>
          </cell>
          <cell r="P4839">
            <v>368.79259999999999</v>
          </cell>
        </row>
        <row r="4840">
          <cell r="B4840">
            <v>37617</v>
          </cell>
          <cell r="J4840">
            <v>3809804.3041216834</v>
          </cell>
          <cell r="K4840">
            <v>2.4380000000000002</v>
          </cell>
          <cell r="L4840">
            <v>148835</v>
          </cell>
          <cell r="M4840">
            <v>13229</v>
          </cell>
          <cell r="N4840">
            <v>683926.05601571908</v>
          </cell>
          <cell r="O4840">
            <v>692380.00232629513</v>
          </cell>
          <cell r="P4840">
            <v>368.79259999999999</v>
          </cell>
        </row>
        <row r="4841">
          <cell r="B4841">
            <v>37618</v>
          </cell>
          <cell r="J4841">
            <v>3809804.3041216834</v>
          </cell>
          <cell r="K4841">
            <v>2.4380000000000002</v>
          </cell>
          <cell r="L4841">
            <v>148835</v>
          </cell>
          <cell r="M4841">
            <v>13229</v>
          </cell>
          <cell r="N4841">
            <v>683926.05601571908</v>
          </cell>
          <cell r="O4841">
            <v>692380.00232629513</v>
          </cell>
          <cell r="P4841">
            <v>368.79259999999999</v>
          </cell>
        </row>
        <row r="4842">
          <cell r="B4842">
            <v>37619</v>
          </cell>
          <cell r="J4842">
            <v>3809804.3041216834</v>
          </cell>
          <cell r="K4842">
            <v>2.4380000000000002</v>
          </cell>
          <cell r="L4842">
            <v>148835</v>
          </cell>
          <cell r="M4842">
            <v>13229</v>
          </cell>
          <cell r="N4842">
            <v>683926.05601571908</v>
          </cell>
          <cell r="O4842">
            <v>692380.00232629513</v>
          </cell>
          <cell r="P4842">
            <v>368.79259999999999</v>
          </cell>
        </row>
        <row r="4843">
          <cell r="B4843">
            <v>37620</v>
          </cell>
          <cell r="J4843">
            <v>3809804.3041216834</v>
          </cell>
          <cell r="K4843">
            <v>2.4380000000000002</v>
          </cell>
          <cell r="L4843">
            <v>148835</v>
          </cell>
          <cell r="M4843">
            <v>13229</v>
          </cell>
          <cell r="N4843">
            <v>683926.05601571908</v>
          </cell>
          <cell r="O4843">
            <v>692380.00232629513</v>
          </cell>
          <cell r="P4843">
            <v>368.79259999999999</v>
          </cell>
        </row>
        <row r="4844">
          <cell r="B4844">
            <v>37621</v>
          </cell>
          <cell r="J4844">
            <v>3809804.3041216834</v>
          </cell>
          <cell r="K4844">
            <v>2.4380000000000002</v>
          </cell>
          <cell r="L4844">
            <v>148835</v>
          </cell>
          <cell r="M4844">
            <v>13229</v>
          </cell>
          <cell r="N4844">
            <v>683926.05601571908</v>
          </cell>
          <cell r="O4844">
            <v>692380.00232629513</v>
          </cell>
          <cell r="P4844">
            <v>368.79259999999999</v>
          </cell>
        </row>
        <row r="4845">
          <cell r="B4845">
            <v>37622</v>
          </cell>
          <cell r="J4845">
            <v>3809804.3041216834</v>
          </cell>
          <cell r="K4845">
            <v>2.4380000000000002</v>
          </cell>
          <cell r="L4845">
            <v>148835</v>
          </cell>
          <cell r="M4845">
            <v>13229</v>
          </cell>
          <cell r="N4845">
            <v>683926.05601571908</v>
          </cell>
          <cell r="O4845">
            <v>692380.00232629513</v>
          </cell>
          <cell r="P4845">
            <v>368.79259999999999</v>
          </cell>
        </row>
        <row r="4846">
          <cell r="B4846">
            <v>37623</v>
          </cell>
          <cell r="J4846">
            <v>3809804.3041216834</v>
          </cell>
          <cell r="K4846">
            <v>2.4380000000000002</v>
          </cell>
          <cell r="L4846">
            <v>148835</v>
          </cell>
          <cell r="M4846">
            <v>13229</v>
          </cell>
          <cell r="N4846">
            <v>683926.05601571908</v>
          </cell>
          <cell r="O4846">
            <v>692380.00232629513</v>
          </cell>
          <cell r="P4846">
            <v>368.79259999999999</v>
          </cell>
        </row>
        <row r="4847">
          <cell r="B4847">
            <v>37624</v>
          </cell>
          <cell r="J4847">
            <v>3809804.3041216834</v>
          </cell>
          <cell r="K4847">
            <v>2.4380000000000002</v>
          </cell>
          <cell r="L4847">
            <v>148835</v>
          </cell>
          <cell r="M4847">
            <v>13229</v>
          </cell>
          <cell r="N4847">
            <v>683926.05601571908</v>
          </cell>
          <cell r="O4847">
            <v>692380.00232629513</v>
          </cell>
          <cell r="P4847">
            <v>368.79259999999999</v>
          </cell>
        </row>
        <row r="4848">
          <cell r="B4848">
            <v>37625</v>
          </cell>
          <cell r="J4848">
            <v>3809804.3041216834</v>
          </cell>
          <cell r="K4848">
            <v>2.4380000000000002</v>
          </cell>
          <cell r="L4848">
            <v>148835</v>
          </cell>
          <cell r="M4848">
            <v>13229</v>
          </cell>
          <cell r="N4848">
            <v>683926.05601571908</v>
          </cell>
          <cell r="O4848">
            <v>692380.00232629513</v>
          </cell>
          <cell r="P4848">
            <v>368.79259999999999</v>
          </cell>
        </row>
        <row r="4849">
          <cell r="B4849">
            <v>37626</v>
          </cell>
          <cell r="J4849">
            <v>3809804.3041216834</v>
          </cell>
          <cell r="K4849">
            <v>2.4380000000000002</v>
          </cell>
          <cell r="L4849">
            <v>148835</v>
          </cell>
          <cell r="M4849">
            <v>13229</v>
          </cell>
          <cell r="N4849">
            <v>683926.05601571908</v>
          </cell>
          <cell r="O4849">
            <v>692380.00232629513</v>
          </cell>
          <cell r="P4849">
            <v>368.79259999999999</v>
          </cell>
        </row>
        <row r="4850">
          <cell r="B4850">
            <v>37627</v>
          </cell>
          <cell r="J4850">
            <v>3809804.3041216834</v>
          </cell>
          <cell r="K4850">
            <v>2.4380000000000002</v>
          </cell>
          <cell r="L4850">
            <v>148835</v>
          </cell>
          <cell r="M4850">
            <v>13229</v>
          </cell>
          <cell r="N4850">
            <v>683926.05601571908</v>
          </cell>
          <cell r="O4850">
            <v>692380.00232629513</v>
          </cell>
          <cell r="P4850">
            <v>368.79259999999999</v>
          </cell>
        </row>
        <row r="4851">
          <cell r="B4851">
            <v>37628</v>
          </cell>
          <cell r="J4851">
            <v>3809804.3041216834</v>
          </cell>
          <cell r="K4851">
            <v>2.4380000000000002</v>
          </cell>
          <cell r="L4851">
            <v>148835</v>
          </cell>
          <cell r="M4851">
            <v>13229</v>
          </cell>
          <cell r="N4851">
            <v>683926.05601571908</v>
          </cell>
          <cell r="O4851">
            <v>692380.00232629513</v>
          </cell>
          <cell r="P4851">
            <v>368.79259999999999</v>
          </cell>
        </row>
        <row r="4852">
          <cell r="B4852">
            <v>37629</v>
          </cell>
          <cell r="J4852">
            <v>3809804.3041216834</v>
          </cell>
          <cell r="K4852">
            <v>2.4380000000000002</v>
          </cell>
          <cell r="L4852">
            <v>148835</v>
          </cell>
          <cell r="M4852">
            <v>13229</v>
          </cell>
          <cell r="N4852">
            <v>683926.05601571908</v>
          </cell>
          <cell r="O4852">
            <v>692380.00232629513</v>
          </cell>
          <cell r="P4852">
            <v>368.79259999999999</v>
          </cell>
        </row>
        <row r="4853">
          <cell r="B4853">
            <v>37630</v>
          </cell>
          <cell r="J4853">
            <v>3809804.3041216834</v>
          </cell>
          <cell r="K4853">
            <v>2.4380000000000002</v>
          </cell>
          <cell r="L4853">
            <v>148835</v>
          </cell>
          <cell r="M4853">
            <v>13229</v>
          </cell>
          <cell r="N4853">
            <v>683926.05601571908</v>
          </cell>
          <cell r="O4853">
            <v>692380.00232629513</v>
          </cell>
          <cell r="P4853">
            <v>368.79259999999999</v>
          </cell>
        </row>
        <row r="4854">
          <cell r="B4854">
            <v>37631</v>
          </cell>
          <cell r="J4854">
            <v>3809804.3041216834</v>
          </cell>
          <cell r="K4854">
            <v>2.4380000000000002</v>
          </cell>
          <cell r="L4854">
            <v>148835</v>
          </cell>
          <cell r="M4854">
            <v>13229</v>
          </cell>
          <cell r="N4854">
            <v>683926.05601571908</v>
          </cell>
          <cell r="O4854">
            <v>692380.00232629513</v>
          </cell>
          <cell r="P4854">
            <v>368.79259999999999</v>
          </cell>
        </row>
        <row r="4855">
          <cell r="B4855">
            <v>37632</v>
          </cell>
          <cell r="J4855">
            <v>3809804.3041216834</v>
          </cell>
          <cell r="K4855">
            <v>2.4380000000000002</v>
          </cell>
          <cell r="L4855">
            <v>148835</v>
          </cell>
          <cell r="M4855">
            <v>13229</v>
          </cell>
          <cell r="N4855">
            <v>683926.05601571908</v>
          </cell>
          <cell r="O4855">
            <v>692380.00232629513</v>
          </cell>
          <cell r="P4855">
            <v>368.79259999999999</v>
          </cell>
        </row>
        <row r="4856">
          <cell r="B4856">
            <v>37633</v>
          </cell>
          <cell r="J4856">
            <v>3809804.3041216834</v>
          </cell>
          <cell r="K4856">
            <v>2.4380000000000002</v>
          </cell>
          <cell r="L4856">
            <v>148835</v>
          </cell>
          <cell r="M4856">
            <v>13229</v>
          </cell>
          <cell r="N4856">
            <v>683926.05601571908</v>
          </cell>
          <cell r="O4856">
            <v>692380.00232629513</v>
          </cell>
          <cell r="P4856">
            <v>368.79259999999999</v>
          </cell>
        </row>
        <row r="4857">
          <cell r="B4857">
            <v>37634</v>
          </cell>
          <cell r="J4857">
            <v>3809804.3041216834</v>
          </cell>
          <cell r="K4857">
            <v>2.4380000000000002</v>
          </cell>
          <cell r="L4857">
            <v>148835</v>
          </cell>
          <cell r="M4857">
            <v>13229</v>
          </cell>
          <cell r="N4857">
            <v>683926.05601571908</v>
          </cell>
          <cell r="O4857">
            <v>692380.00232629513</v>
          </cell>
          <cell r="P4857">
            <v>368.79259999999999</v>
          </cell>
        </row>
        <row r="4858">
          <cell r="B4858">
            <v>37635</v>
          </cell>
          <cell r="J4858">
            <v>3809804.3041216834</v>
          </cell>
          <cell r="K4858">
            <v>2.4380000000000002</v>
          </cell>
          <cell r="L4858">
            <v>148835</v>
          </cell>
          <cell r="M4858">
            <v>13229</v>
          </cell>
          <cell r="N4858">
            <v>683926.05601571908</v>
          </cell>
          <cell r="O4858">
            <v>692380.00232629513</v>
          </cell>
          <cell r="P4858">
            <v>368.79259999999999</v>
          </cell>
        </row>
        <row r="4859">
          <cell r="B4859">
            <v>37636</v>
          </cell>
          <cell r="J4859">
            <v>3809804.3041216834</v>
          </cell>
          <cell r="K4859">
            <v>2.4380000000000002</v>
          </cell>
          <cell r="L4859">
            <v>148835</v>
          </cell>
          <cell r="M4859">
            <v>13229</v>
          </cell>
          <cell r="N4859">
            <v>683926.05601571908</v>
          </cell>
          <cell r="O4859">
            <v>692380.00232629513</v>
          </cell>
          <cell r="P4859">
            <v>368.79259999999999</v>
          </cell>
        </row>
        <row r="4860">
          <cell r="B4860">
            <v>37637</v>
          </cell>
          <cell r="J4860">
            <v>3809804.3041216834</v>
          </cell>
          <cell r="K4860">
            <v>2.4380000000000002</v>
          </cell>
          <cell r="L4860">
            <v>148835</v>
          </cell>
          <cell r="M4860">
            <v>13229</v>
          </cell>
          <cell r="N4860">
            <v>683926.05601571908</v>
          </cell>
          <cell r="O4860">
            <v>692380.00232629513</v>
          </cell>
          <cell r="P4860">
            <v>368.79259999999999</v>
          </cell>
        </row>
        <row r="4861">
          <cell r="B4861">
            <v>37638</v>
          </cell>
          <cell r="J4861">
            <v>3809804.3041216834</v>
          </cell>
          <cell r="K4861">
            <v>2.4380000000000002</v>
          </cell>
          <cell r="L4861">
            <v>148835</v>
          </cell>
          <cell r="M4861">
            <v>13229</v>
          </cell>
          <cell r="N4861">
            <v>683926.05601571908</v>
          </cell>
          <cell r="O4861">
            <v>692380.00232629513</v>
          </cell>
          <cell r="P4861">
            <v>368.79259999999999</v>
          </cell>
        </row>
        <row r="4862">
          <cell r="B4862">
            <v>37639</v>
          </cell>
          <cell r="J4862">
            <v>3809804.3041216834</v>
          </cell>
          <cell r="K4862">
            <v>2.4380000000000002</v>
          </cell>
          <cell r="L4862">
            <v>148835</v>
          </cell>
          <cell r="M4862">
            <v>13229</v>
          </cell>
          <cell r="N4862">
            <v>683926.05601571908</v>
          </cell>
          <cell r="O4862">
            <v>692380.00232629513</v>
          </cell>
          <cell r="P4862">
            <v>368.79259999999999</v>
          </cell>
        </row>
        <row r="4863">
          <cell r="B4863">
            <v>37640</v>
          </cell>
          <cell r="J4863">
            <v>3809804.3041216834</v>
          </cell>
          <cell r="K4863">
            <v>2.4380000000000002</v>
          </cell>
          <cell r="L4863">
            <v>148835</v>
          </cell>
          <cell r="M4863">
            <v>13229</v>
          </cell>
          <cell r="N4863">
            <v>683926.05601571908</v>
          </cell>
          <cell r="O4863">
            <v>692380.00232629513</v>
          </cell>
          <cell r="P4863">
            <v>368.79259999999999</v>
          </cell>
        </row>
        <row r="4864">
          <cell r="B4864">
            <v>37641</v>
          </cell>
          <cell r="J4864">
            <v>3809804.3041216834</v>
          </cell>
          <cell r="K4864">
            <v>2.4380000000000002</v>
          </cell>
          <cell r="L4864">
            <v>148835</v>
          </cell>
          <cell r="M4864">
            <v>13229</v>
          </cell>
          <cell r="N4864">
            <v>683926.05601571908</v>
          </cell>
          <cell r="O4864">
            <v>692380.00232629513</v>
          </cell>
          <cell r="P4864">
            <v>368.79259999999999</v>
          </cell>
        </row>
        <row r="4865">
          <cell r="B4865">
            <v>37642</v>
          </cell>
          <cell r="J4865">
            <v>3809804.3041216834</v>
          </cell>
          <cell r="K4865">
            <v>2.4380000000000002</v>
          </cell>
          <cell r="L4865">
            <v>148835</v>
          </cell>
          <cell r="M4865">
            <v>13229</v>
          </cell>
          <cell r="N4865">
            <v>683926.05601571908</v>
          </cell>
          <cell r="O4865">
            <v>692380.00232629513</v>
          </cell>
          <cell r="P4865">
            <v>368.79259999999999</v>
          </cell>
        </row>
        <row r="4866">
          <cell r="B4866">
            <v>37643</v>
          </cell>
          <cell r="J4866">
            <v>3809804.3041216834</v>
          </cell>
          <cell r="K4866">
            <v>2.4380000000000002</v>
          </cell>
          <cell r="L4866">
            <v>148835</v>
          </cell>
          <cell r="M4866">
            <v>13229</v>
          </cell>
          <cell r="N4866">
            <v>683926.05601571908</v>
          </cell>
          <cell r="O4866">
            <v>692380.00232629513</v>
          </cell>
          <cell r="P4866">
            <v>368.79259999999999</v>
          </cell>
        </row>
        <row r="4867">
          <cell r="B4867">
            <v>37644</v>
          </cell>
          <cell r="J4867">
            <v>3809804.3041216834</v>
          </cell>
          <cell r="K4867">
            <v>2.4380000000000002</v>
          </cell>
          <cell r="L4867">
            <v>148835</v>
          </cell>
          <cell r="M4867">
            <v>13229</v>
          </cell>
          <cell r="N4867">
            <v>683926.05601571908</v>
          </cell>
          <cell r="O4867">
            <v>692380.00232629513</v>
          </cell>
          <cell r="P4867">
            <v>368.79259999999999</v>
          </cell>
        </row>
        <row r="4868">
          <cell r="B4868">
            <v>37645</v>
          </cell>
          <cell r="J4868">
            <v>3809804.3041216834</v>
          </cell>
          <cell r="K4868">
            <v>2.4380000000000002</v>
          </cell>
          <cell r="L4868">
            <v>148835</v>
          </cell>
          <cell r="M4868">
            <v>13229</v>
          </cell>
          <cell r="N4868">
            <v>683926.05601571908</v>
          </cell>
          <cell r="O4868">
            <v>692380.00232629513</v>
          </cell>
          <cell r="P4868">
            <v>368.79259999999999</v>
          </cell>
        </row>
        <row r="4869">
          <cell r="B4869">
            <v>37646</v>
          </cell>
          <cell r="J4869">
            <v>3809804.3041216834</v>
          </cell>
          <cell r="K4869">
            <v>2.4380000000000002</v>
          </cell>
          <cell r="L4869">
            <v>148835</v>
          </cell>
          <cell r="M4869">
            <v>13229</v>
          </cell>
          <cell r="N4869">
            <v>683926.05601571908</v>
          </cell>
          <cell r="O4869">
            <v>692380.00232629513</v>
          </cell>
          <cell r="P4869">
            <v>368.79259999999999</v>
          </cell>
        </row>
        <row r="4870">
          <cell r="B4870">
            <v>37647</v>
          </cell>
          <cell r="J4870">
            <v>3809804.3041216834</v>
          </cell>
          <cell r="K4870">
            <v>2.4380000000000002</v>
          </cell>
          <cell r="L4870">
            <v>148835</v>
          </cell>
          <cell r="M4870">
            <v>13229</v>
          </cell>
          <cell r="N4870">
            <v>683926.05601571908</v>
          </cell>
          <cell r="O4870">
            <v>692380.00232629513</v>
          </cell>
          <cell r="P4870">
            <v>368.79259999999999</v>
          </cell>
        </row>
        <row r="4871">
          <cell r="B4871">
            <v>37648</v>
          </cell>
          <cell r="J4871">
            <v>3809804.3041216834</v>
          </cell>
          <cell r="K4871">
            <v>2.4380000000000002</v>
          </cell>
          <cell r="L4871">
            <v>148835</v>
          </cell>
          <cell r="M4871">
            <v>13229</v>
          </cell>
          <cell r="N4871">
            <v>683926.05601571908</v>
          </cell>
          <cell r="O4871">
            <v>692380.00232629513</v>
          </cell>
          <cell r="P4871">
            <v>368.79259999999999</v>
          </cell>
        </row>
        <row r="4872">
          <cell r="B4872">
            <v>37649</v>
          </cell>
          <cell r="J4872">
            <v>3809804.3041216834</v>
          </cell>
          <cell r="K4872">
            <v>2.4380000000000002</v>
          </cell>
          <cell r="L4872">
            <v>148835</v>
          </cell>
          <cell r="M4872">
            <v>13229</v>
          </cell>
          <cell r="N4872">
            <v>683926.05601571908</v>
          </cell>
          <cell r="O4872">
            <v>692380.00232629513</v>
          </cell>
          <cell r="P4872">
            <v>368.79259999999999</v>
          </cell>
        </row>
        <row r="4873">
          <cell r="B4873">
            <v>37650</v>
          </cell>
          <cell r="J4873">
            <v>3809804.3041216834</v>
          </cell>
          <cell r="K4873">
            <v>2.4380000000000002</v>
          </cell>
          <cell r="L4873">
            <v>148835</v>
          </cell>
          <cell r="M4873">
            <v>13229</v>
          </cell>
          <cell r="N4873">
            <v>683926.05601571908</v>
          </cell>
          <cell r="O4873">
            <v>692380.00232629513</v>
          </cell>
          <cell r="P4873">
            <v>368.79259999999999</v>
          </cell>
        </row>
        <row r="4874">
          <cell r="B4874">
            <v>37651</v>
          </cell>
          <cell r="J4874">
            <v>3809804.3041216834</v>
          </cell>
          <cell r="K4874">
            <v>2.4380000000000002</v>
          </cell>
          <cell r="L4874">
            <v>148835</v>
          </cell>
          <cell r="M4874">
            <v>13229</v>
          </cell>
          <cell r="N4874">
            <v>683926.05601571908</v>
          </cell>
          <cell r="O4874">
            <v>692380.00232629513</v>
          </cell>
          <cell r="P4874">
            <v>368.79259999999999</v>
          </cell>
        </row>
        <row r="4875">
          <cell r="B4875">
            <v>37652</v>
          </cell>
          <cell r="J4875">
            <v>3809804.3041216834</v>
          </cell>
          <cell r="K4875">
            <v>2.4380000000000002</v>
          </cell>
          <cell r="L4875">
            <v>148835</v>
          </cell>
          <cell r="M4875">
            <v>13229</v>
          </cell>
          <cell r="N4875">
            <v>683926.05601571908</v>
          </cell>
          <cell r="O4875">
            <v>692380.00232629513</v>
          </cell>
          <cell r="P4875">
            <v>368.79259999999999</v>
          </cell>
        </row>
        <row r="4876">
          <cell r="B4876">
            <v>37653</v>
          </cell>
          <cell r="J4876">
            <v>3809804.3041216834</v>
          </cell>
          <cell r="K4876">
            <v>2.4380000000000002</v>
          </cell>
          <cell r="L4876">
            <v>148835</v>
          </cell>
          <cell r="M4876">
            <v>13229</v>
          </cell>
          <cell r="N4876">
            <v>683926.05601571908</v>
          </cell>
          <cell r="O4876">
            <v>692380.00232629513</v>
          </cell>
          <cell r="P4876">
            <v>368.79259999999999</v>
          </cell>
        </row>
        <row r="4877">
          <cell r="B4877">
            <v>37654</v>
          </cell>
          <cell r="J4877">
            <v>3809804.3041216834</v>
          </cell>
          <cell r="K4877">
            <v>2.4380000000000002</v>
          </cell>
          <cell r="L4877">
            <v>148835</v>
          </cell>
          <cell r="M4877">
            <v>13229</v>
          </cell>
          <cell r="N4877">
            <v>683926.05601571908</v>
          </cell>
          <cell r="O4877">
            <v>692380.00232629513</v>
          </cell>
          <cell r="P4877">
            <v>368.79259999999999</v>
          </cell>
        </row>
        <row r="4878">
          <cell r="B4878">
            <v>37655</v>
          </cell>
          <cell r="J4878">
            <v>3809804.3041216834</v>
          </cell>
          <cell r="K4878">
            <v>2.4380000000000002</v>
          </cell>
          <cell r="L4878">
            <v>148835</v>
          </cell>
          <cell r="M4878">
            <v>13229</v>
          </cell>
          <cell r="N4878">
            <v>683926.05601571908</v>
          </cell>
          <cell r="O4878">
            <v>692380.00232629513</v>
          </cell>
          <cell r="P4878">
            <v>368.79259999999999</v>
          </cell>
        </row>
        <row r="4879">
          <cell r="B4879">
            <v>37656</v>
          </cell>
          <cell r="J4879">
            <v>3809804.3041216834</v>
          </cell>
          <cell r="K4879">
            <v>2.4380000000000002</v>
          </cell>
          <cell r="L4879">
            <v>148835</v>
          </cell>
          <cell r="M4879">
            <v>13229</v>
          </cell>
          <cell r="N4879">
            <v>683926.05601571908</v>
          </cell>
          <cell r="O4879">
            <v>692380.00232629513</v>
          </cell>
          <cell r="P4879">
            <v>368.79259999999999</v>
          </cell>
        </row>
        <row r="4880">
          <cell r="B4880">
            <v>37657</v>
          </cell>
          <cell r="J4880">
            <v>3809804.3041216834</v>
          </cell>
          <cell r="K4880">
            <v>2.4380000000000002</v>
          </cell>
          <cell r="L4880">
            <v>148835</v>
          </cell>
          <cell r="M4880">
            <v>13229</v>
          </cell>
          <cell r="N4880">
            <v>683926.05601571908</v>
          </cell>
          <cell r="O4880">
            <v>692380.00232629513</v>
          </cell>
          <cell r="P4880">
            <v>368.79259999999999</v>
          </cell>
        </row>
        <row r="4881">
          <cell r="B4881">
            <v>37658</v>
          </cell>
          <cell r="J4881">
            <v>3809804.3041216834</v>
          </cell>
          <cell r="K4881">
            <v>2.4380000000000002</v>
          </cell>
          <cell r="L4881">
            <v>148835</v>
          </cell>
          <cell r="M4881">
            <v>13229</v>
          </cell>
          <cell r="N4881">
            <v>683926.05601571908</v>
          </cell>
          <cell r="O4881">
            <v>692380.00232629513</v>
          </cell>
          <cell r="P4881">
            <v>368.79259999999999</v>
          </cell>
        </row>
        <row r="4882">
          <cell r="B4882">
            <v>37659</v>
          </cell>
          <cell r="J4882">
            <v>3809804.3041216834</v>
          </cell>
          <cell r="K4882">
            <v>2.4380000000000002</v>
          </cell>
          <cell r="L4882">
            <v>148835</v>
          </cell>
          <cell r="M4882">
            <v>13229</v>
          </cell>
          <cell r="N4882">
            <v>683926.05601571908</v>
          </cell>
          <cell r="O4882">
            <v>692380.00232629513</v>
          </cell>
          <cell r="P4882">
            <v>368.79259999999999</v>
          </cell>
        </row>
        <row r="4883">
          <cell r="B4883">
            <v>37660</v>
          </cell>
          <cell r="J4883">
            <v>3809804.3041216834</v>
          </cell>
          <cell r="K4883">
            <v>2.4380000000000002</v>
          </cell>
          <cell r="L4883">
            <v>148835</v>
          </cell>
          <cell r="M4883">
            <v>13229</v>
          </cell>
          <cell r="N4883">
            <v>683926.05601571908</v>
          </cell>
          <cell r="O4883">
            <v>692380.00232629513</v>
          </cell>
          <cell r="P4883">
            <v>368.79259999999999</v>
          </cell>
        </row>
        <row r="4884">
          <cell r="B4884">
            <v>37661</v>
          </cell>
          <cell r="J4884">
            <v>3809804.3041216834</v>
          </cell>
          <cell r="K4884">
            <v>2.4380000000000002</v>
          </cell>
          <cell r="L4884">
            <v>148835</v>
          </cell>
          <cell r="M4884">
            <v>13229</v>
          </cell>
          <cell r="N4884">
            <v>683926.05601571908</v>
          </cell>
          <cell r="O4884">
            <v>692380.00232629513</v>
          </cell>
          <cell r="P4884">
            <v>368.79259999999999</v>
          </cell>
        </row>
        <row r="4885">
          <cell r="B4885">
            <v>37662</v>
          </cell>
          <cell r="J4885">
            <v>3809804.3041216834</v>
          </cell>
          <cell r="K4885">
            <v>2.4380000000000002</v>
          </cell>
          <cell r="L4885">
            <v>148835</v>
          </cell>
          <cell r="M4885">
            <v>13229</v>
          </cell>
          <cell r="N4885">
            <v>683926.05601571908</v>
          </cell>
          <cell r="O4885">
            <v>692380.00232629513</v>
          </cell>
          <cell r="P4885">
            <v>368.79259999999999</v>
          </cell>
        </row>
        <row r="4886">
          <cell r="B4886">
            <v>37663</v>
          </cell>
          <cell r="J4886">
            <v>3809804.3041216834</v>
          </cell>
          <cell r="K4886">
            <v>2.4380000000000002</v>
          </cell>
          <cell r="L4886">
            <v>148835</v>
          </cell>
          <cell r="M4886">
            <v>13229</v>
          </cell>
          <cell r="N4886">
            <v>683926.05601571908</v>
          </cell>
          <cell r="O4886">
            <v>692380.00232629513</v>
          </cell>
          <cell r="P4886">
            <v>368.79259999999999</v>
          </cell>
        </row>
        <row r="4887">
          <cell r="B4887">
            <v>37664</v>
          </cell>
          <cell r="J4887">
            <v>3809804.3041216834</v>
          </cell>
          <cell r="K4887">
            <v>2.4380000000000002</v>
          </cell>
          <cell r="L4887">
            <v>148835</v>
          </cell>
          <cell r="M4887">
            <v>13229</v>
          </cell>
          <cell r="N4887">
            <v>683926.05601571908</v>
          </cell>
          <cell r="O4887">
            <v>692380.00232629513</v>
          </cell>
          <cell r="P4887">
            <v>368.79259999999999</v>
          </cell>
        </row>
        <row r="4888">
          <cell r="B4888">
            <v>37665</v>
          </cell>
          <cell r="J4888">
            <v>3809804.3041216834</v>
          </cell>
          <cell r="K4888">
            <v>2.4380000000000002</v>
          </cell>
          <cell r="L4888">
            <v>148835</v>
          </cell>
          <cell r="M4888">
            <v>13229</v>
          </cell>
          <cell r="N4888">
            <v>683926.05601571908</v>
          </cell>
          <cell r="O4888">
            <v>692380.00232629513</v>
          </cell>
          <cell r="P4888">
            <v>368.79259999999999</v>
          </cell>
        </row>
        <row r="4889">
          <cell r="B4889">
            <v>37666</v>
          </cell>
          <cell r="J4889">
            <v>3809804.3041216834</v>
          </cell>
          <cell r="K4889">
            <v>2.4380000000000002</v>
          </cell>
          <cell r="L4889">
            <v>148835</v>
          </cell>
          <cell r="M4889">
            <v>13229</v>
          </cell>
          <cell r="N4889">
            <v>683926.05601571908</v>
          </cell>
          <cell r="O4889">
            <v>692380.00232629513</v>
          </cell>
          <cell r="P4889">
            <v>368.79259999999999</v>
          </cell>
        </row>
        <row r="4890">
          <cell r="B4890">
            <v>37667</v>
          </cell>
          <cell r="J4890">
            <v>3809804.3041216834</v>
          </cell>
          <cell r="K4890">
            <v>2.4380000000000002</v>
          </cell>
          <cell r="L4890">
            <v>148835</v>
          </cell>
          <cell r="M4890">
            <v>13229</v>
          </cell>
          <cell r="N4890">
            <v>683926.05601571908</v>
          </cell>
          <cell r="O4890">
            <v>692380.00232629513</v>
          </cell>
          <cell r="P4890">
            <v>368.79259999999999</v>
          </cell>
        </row>
        <row r="4891">
          <cell r="B4891">
            <v>37668</v>
          </cell>
          <cell r="J4891">
            <v>3809804.3041216834</v>
          </cell>
          <cell r="K4891">
            <v>2.4380000000000002</v>
          </cell>
          <cell r="L4891">
            <v>148835</v>
          </cell>
          <cell r="M4891">
            <v>13229</v>
          </cell>
          <cell r="N4891">
            <v>683926.05601571908</v>
          </cell>
          <cell r="O4891">
            <v>692380.00232629513</v>
          </cell>
          <cell r="P4891">
            <v>368.79259999999999</v>
          </cell>
        </row>
        <row r="4892">
          <cell r="B4892">
            <v>37669</v>
          </cell>
          <cell r="J4892">
            <v>3809804.3041216834</v>
          </cell>
          <cell r="K4892">
            <v>2.4380000000000002</v>
          </cell>
          <cell r="L4892">
            <v>148835</v>
          </cell>
          <cell r="M4892">
            <v>13229</v>
          </cell>
          <cell r="N4892">
            <v>683926.05601571908</v>
          </cell>
          <cell r="O4892">
            <v>692380.00232629513</v>
          </cell>
          <cell r="P4892">
            <v>368.79259999999999</v>
          </cell>
        </row>
        <row r="4893">
          <cell r="B4893">
            <v>37670</v>
          </cell>
          <cell r="J4893">
            <v>3809804.3041216834</v>
          </cell>
          <cell r="K4893">
            <v>2.4380000000000002</v>
          </cell>
          <cell r="L4893">
            <v>148835</v>
          </cell>
          <cell r="M4893">
            <v>13229</v>
          </cell>
          <cell r="N4893">
            <v>683926.05601571908</v>
          </cell>
          <cell r="O4893">
            <v>692380.00232629513</v>
          </cell>
          <cell r="P4893">
            <v>368.79259999999999</v>
          </cell>
        </row>
        <row r="4894">
          <cell r="B4894">
            <v>37671</v>
          </cell>
          <cell r="J4894">
            <v>3809804.3041216834</v>
          </cell>
          <cell r="K4894">
            <v>2.4380000000000002</v>
          </cell>
          <cell r="L4894">
            <v>148835</v>
          </cell>
          <cell r="M4894">
            <v>13229</v>
          </cell>
          <cell r="N4894">
            <v>683926.05601571908</v>
          </cell>
          <cell r="O4894">
            <v>692380.00232629513</v>
          </cell>
          <cell r="P4894">
            <v>368.79259999999999</v>
          </cell>
        </row>
        <row r="4895">
          <cell r="B4895">
            <v>37672</v>
          </cell>
          <cell r="J4895">
            <v>3809804.3041216834</v>
          </cell>
          <cell r="K4895">
            <v>2.4380000000000002</v>
          </cell>
          <cell r="L4895">
            <v>148835</v>
          </cell>
          <cell r="M4895">
            <v>13229</v>
          </cell>
          <cell r="N4895">
            <v>683926.05601571908</v>
          </cell>
          <cell r="O4895">
            <v>692380.00232629513</v>
          </cell>
          <cell r="P4895">
            <v>368.79259999999999</v>
          </cell>
        </row>
        <row r="4896">
          <cell r="B4896">
            <v>37673</v>
          </cell>
          <cell r="J4896">
            <v>3809804.3041216834</v>
          </cell>
          <cell r="K4896">
            <v>2.4380000000000002</v>
          </cell>
          <cell r="L4896">
            <v>148835</v>
          </cell>
          <cell r="M4896">
            <v>13229</v>
          </cell>
          <cell r="N4896">
            <v>683926.05601571908</v>
          </cell>
          <cell r="O4896">
            <v>692380.00232629513</v>
          </cell>
          <cell r="P4896">
            <v>368.79259999999999</v>
          </cell>
        </row>
        <row r="4897">
          <cell r="B4897">
            <v>37674</v>
          </cell>
          <cell r="J4897">
            <v>3809804.3041216834</v>
          </cell>
          <cell r="K4897">
            <v>2.4380000000000002</v>
          </cell>
          <cell r="L4897">
            <v>148835</v>
          </cell>
          <cell r="M4897">
            <v>13229</v>
          </cell>
          <cell r="N4897">
            <v>683926.05601571908</v>
          </cell>
          <cell r="O4897">
            <v>692380.00232629513</v>
          </cell>
          <cell r="P4897">
            <v>368.79259999999999</v>
          </cell>
        </row>
        <row r="4898">
          <cell r="B4898">
            <v>37675</v>
          </cell>
          <cell r="J4898">
            <v>3809804.3041216834</v>
          </cell>
          <cell r="K4898">
            <v>2.4380000000000002</v>
          </cell>
          <cell r="L4898">
            <v>148835</v>
          </cell>
          <cell r="M4898">
            <v>13229</v>
          </cell>
          <cell r="N4898">
            <v>683926.05601571908</v>
          </cell>
          <cell r="O4898">
            <v>692380.00232629513</v>
          </cell>
          <cell r="P4898">
            <v>368.79259999999999</v>
          </cell>
        </row>
        <row r="4899">
          <cell r="B4899">
            <v>37676</v>
          </cell>
          <cell r="J4899">
            <v>3809804.3041216834</v>
          </cell>
          <cell r="K4899">
            <v>2.4380000000000002</v>
          </cell>
          <cell r="L4899">
            <v>148835</v>
          </cell>
          <cell r="M4899">
            <v>13229</v>
          </cell>
          <cell r="N4899">
            <v>683926.05601571908</v>
          </cell>
          <cell r="O4899">
            <v>692380.00232629513</v>
          </cell>
          <cell r="P4899">
            <v>368.79259999999999</v>
          </cell>
        </row>
        <row r="4900">
          <cell r="B4900">
            <v>37677</v>
          </cell>
          <cell r="J4900">
            <v>3809804.3041216834</v>
          </cell>
          <cell r="K4900">
            <v>2.4380000000000002</v>
          </cell>
          <cell r="L4900">
            <v>148835</v>
          </cell>
          <cell r="M4900">
            <v>13229</v>
          </cell>
          <cell r="N4900">
            <v>683926.05601571908</v>
          </cell>
          <cell r="O4900">
            <v>692380.00232629513</v>
          </cell>
          <cell r="P4900">
            <v>368.79259999999999</v>
          </cell>
        </row>
        <row r="4901">
          <cell r="B4901">
            <v>37678</v>
          </cell>
          <cell r="J4901">
            <v>3809804.3041216834</v>
          </cell>
          <cell r="K4901">
            <v>2.4380000000000002</v>
          </cell>
          <cell r="L4901">
            <v>148835</v>
          </cell>
          <cell r="M4901">
            <v>13229</v>
          </cell>
          <cell r="N4901">
            <v>683926.05601571908</v>
          </cell>
          <cell r="O4901">
            <v>692380.00232629513</v>
          </cell>
          <cell r="P4901">
            <v>368.79259999999999</v>
          </cell>
        </row>
        <row r="4902">
          <cell r="B4902">
            <v>37679</v>
          </cell>
          <cell r="J4902">
            <v>3809804.3041216834</v>
          </cell>
          <cell r="K4902">
            <v>2.4380000000000002</v>
          </cell>
          <cell r="L4902">
            <v>148835</v>
          </cell>
          <cell r="M4902">
            <v>13229</v>
          </cell>
          <cell r="N4902">
            <v>683926.05601571908</v>
          </cell>
          <cell r="O4902">
            <v>692380.00232629513</v>
          </cell>
          <cell r="P4902">
            <v>368.79259999999999</v>
          </cell>
        </row>
        <row r="4903">
          <cell r="B4903">
            <v>37680</v>
          </cell>
          <cell r="J4903">
            <v>3809804.3041216834</v>
          </cell>
          <cell r="K4903">
            <v>2.4380000000000002</v>
          </cell>
          <cell r="L4903">
            <v>148835</v>
          </cell>
          <cell r="M4903">
            <v>13229</v>
          </cell>
          <cell r="N4903">
            <v>683926.05601571908</v>
          </cell>
          <cell r="O4903">
            <v>692380.00232629513</v>
          </cell>
          <cell r="P4903">
            <v>368.79259999999999</v>
          </cell>
        </row>
        <row r="4904">
          <cell r="B4904">
            <v>37681</v>
          </cell>
          <cell r="J4904">
            <v>3809804.3041216834</v>
          </cell>
          <cell r="K4904">
            <v>2.4380000000000002</v>
          </cell>
          <cell r="L4904">
            <v>148835</v>
          </cell>
          <cell r="M4904">
            <v>13229</v>
          </cell>
          <cell r="N4904">
            <v>683926.05601571908</v>
          </cell>
          <cell r="O4904">
            <v>692380.00232629513</v>
          </cell>
          <cell r="P4904">
            <v>368.79259999999999</v>
          </cell>
        </row>
        <row r="4905">
          <cell r="B4905">
            <v>37682</v>
          </cell>
          <cell r="J4905">
            <v>3809804.3041216834</v>
          </cell>
          <cell r="K4905">
            <v>2.4380000000000002</v>
          </cell>
          <cell r="L4905">
            <v>148835</v>
          </cell>
          <cell r="M4905">
            <v>13229</v>
          </cell>
          <cell r="N4905">
            <v>683926.05601571908</v>
          </cell>
          <cell r="O4905">
            <v>692380.00232629513</v>
          </cell>
          <cell r="P4905">
            <v>368.79259999999999</v>
          </cell>
        </row>
        <row r="4906">
          <cell r="B4906">
            <v>37683</v>
          </cell>
          <cell r="J4906">
            <v>3809804.3041216834</v>
          </cell>
          <cell r="K4906">
            <v>2.4380000000000002</v>
          </cell>
          <cell r="L4906">
            <v>148835</v>
          </cell>
          <cell r="M4906">
            <v>13229</v>
          </cell>
          <cell r="N4906">
            <v>683926.05601571908</v>
          </cell>
          <cell r="O4906">
            <v>692380.00232629513</v>
          </cell>
          <cell r="P4906">
            <v>368.79259999999999</v>
          </cell>
        </row>
        <row r="4907">
          <cell r="B4907">
            <v>37684</v>
          </cell>
          <cell r="J4907">
            <v>3809804.3041216834</v>
          </cell>
          <cell r="K4907">
            <v>2.4380000000000002</v>
          </cell>
          <cell r="L4907">
            <v>148835</v>
          </cell>
          <cell r="M4907">
            <v>13229</v>
          </cell>
          <cell r="N4907">
            <v>683926.05601571908</v>
          </cell>
          <cell r="O4907">
            <v>692380.00232629513</v>
          </cell>
          <cell r="P4907">
            <v>368.79259999999999</v>
          </cell>
        </row>
        <row r="4908">
          <cell r="B4908">
            <v>37685</v>
          </cell>
          <cell r="J4908">
            <v>3809804.3041216834</v>
          </cell>
          <cell r="K4908">
            <v>2.4380000000000002</v>
          </cell>
          <cell r="L4908">
            <v>148835</v>
          </cell>
          <cell r="M4908">
            <v>13229</v>
          </cell>
          <cell r="N4908">
            <v>683926.05601571908</v>
          </cell>
          <cell r="O4908">
            <v>692380.00232629513</v>
          </cell>
          <cell r="P4908">
            <v>368.79259999999999</v>
          </cell>
        </row>
        <row r="4909">
          <cell r="B4909">
            <v>37686</v>
          </cell>
          <cell r="J4909">
            <v>3809804.3041216834</v>
          </cell>
          <cell r="K4909">
            <v>2.4380000000000002</v>
          </cell>
          <cell r="L4909">
            <v>148835</v>
          </cell>
          <cell r="M4909">
            <v>13229</v>
          </cell>
          <cell r="N4909">
            <v>683926.05601571908</v>
          </cell>
          <cell r="O4909">
            <v>692380.00232629513</v>
          </cell>
          <cell r="P4909">
            <v>368.79259999999999</v>
          </cell>
        </row>
        <row r="4910">
          <cell r="B4910">
            <v>37687</v>
          </cell>
          <cell r="J4910">
            <v>3809804.3041216834</v>
          </cell>
          <cell r="K4910">
            <v>2.4380000000000002</v>
          </cell>
          <cell r="L4910">
            <v>148835</v>
          </cell>
          <cell r="M4910">
            <v>13229</v>
          </cell>
          <cell r="N4910">
            <v>683926.05601571908</v>
          </cell>
          <cell r="O4910">
            <v>692380.00232629513</v>
          </cell>
          <cell r="P4910">
            <v>368.79259999999999</v>
          </cell>
        </row>
        <row r="4911">
          <cell r="B4911">
            <v>37688</v>
          </cell>
          <cell r="J4911">
            <v>3809804.3041216834</v>
          </cell>
          <cell r="K4911">
            <v>2.4380000000000002</v>
          </cell>
          <cell r="L4911">
            <v>148835</v>
          </cell>
          <cell r="M4911">
            <v>13229</v>
          </cell>
          <cell r="N4911">
            <v>683926.05601571908</v>
          </cell>
          <cell r="O4911">
            <v>692380.00232629513</v>
          </cell>
          <cell r="P4911">
            <v>368.79259999999999</v>
          </cell>
        </row>
        <row r="4912">
          <cell r="B4912">
            <v>37689</v>
          </cell>
          <cell r="J4912">
            <v>3809804.3041216834</v>
          </cell>
          <cell r="K4912">
            <v>2.4380000000000002</v>
          </cell>
          <cell r="L4912">
            <v>148835</v>
          </cell>
          <cell r="M4912">
            <v>13229</v>
          </cell>
          <cell r="N4912">
            <v>683926.05601571908</v>
          </cell>
          <cell r="O4912">
            <v>692380.00232629513</v>
          </cell>
          <cell r="P4912">
            <v>368.79259999999999</v>
          </cell>
        </row>
        <row r="4913">
          <cell r="B4913">
            <v>37690</v>
          </cell>
          <cell r="J4913">
            <v>3809804.3041216834</v>
          </cell>
          <cell r="K4913">
            <v>2.4380000000000002</v>
          </cell>
          <cell r="L4913">
            <v>148835</v>
          </cell>
          <cell r="M4913">
            <v>13229</v>
          </cell>
          <cell r="N4913">
            <v>683926.05601571908</v>
          </cell>
          <cell r="O4913">
            <v>692380.00232629513</v>
          </cell>
          <cell r="P4913">
            <v>368.79259999999999</v>
          </cell>
        </row>
        <row r="4914">
          <cell r="B4914">
            <v>37691</v>
          </cell>
          <cell r="J4914">
            <v>3809804.3041216834</v>
          </cell>
          <cell r="K4914">
            <v>2.4380000000000002</v>
          </cell>
          <cell r="L4914">
            <v>148835</v>
          </cell>
          <cell r="M4914">
            <v>13229</v>
          </cell>
          <cell r="N4914">
            <v>683926.05601571908</v>
          </cell>
          <cell r="O4914">
            <v>692380.00232629513</v>
          </cell>
          <cell r="P4914">
            <v>368.79259999999999</v>
          </cell>
        </row>
        <row r="4915">
          <cell r="B4915">
            <v>37692</v>
          </cell>
          <cell r="J4915">
            <v>3809804.3041216834</v>
          </cell>
          <cell r="K4915">
            <v>2.4380000000000002</v>
          </cell>
          <cell r="L4915">
            <v>148835</v>
          </cell>
          <cell r="M4915">
            <v>13229</v>
          </cell>
          <cell r="N4915">
            <v>683926.05601571908</v>
          </cell>
          <cell r="O4915">
            <v>692380.00232629513</v>
          </cell>
          <cell r="P4915">
            <v>368.79259999999999</v>
          </cell>
        </row>
        <row r="4916">
          <cell r="B4916">
            <v>37693</v>
          </cell>
          <cell r="J4916">
            <v>3809804.3041216834</v>
          </cell>
          <cell r="K4916">
            <v>2.4380000000000002</v>
          </cell>
          <cell r="L4916">
            <v>148835</v>
          </cell>
          <cell r="M4916">
            <v>13229</v>
          </cell>
          <cell r="N4916">
            <v>683926.05601571908</v>
          </cell>
          <cell r="O4916">
            <v>692380.00232629513</v>
          </cell>
          <cell r="P4916">
            <v>368.79259999999999</v>
          </cell>
        </row>
        <row r="4917">
          <cell r="B4917">
            <v>37694</v>
          </cell>
          <cell r="J4917">
            <v>3809804.3041216834</v>
          </cell>
          <cell r="K4917">
            <v>2.4380000000000002</v>
          </cell>
          <cell r="L4917">
            <v>148835</v>
          </cell>
          <cell r="M4917">
            <v>13229</v>
          </cell>
          <cell r="N4917">
            <v>683926.05601571908</v>
          </cell>
          <cell r="O4917">
            <v>692380.00232629513</v>
          </cell>
          <cell r="P4917">
            <v>368.79259999999999</v>
          </cell>
        </row>
        <row r="4918">
          <cell r="B4918">
            <v>37695</v>
          </cell>
          <cell r="J4918">
            <v>3809804.3041216834</v>
          </cell>
          <cell r="K4918">
            <v>2.4380000000000002</v>
          </cell>
          <cell r="L4918">
            <v>148835</v>
          </cell>
          <cell r="M4918">
            <v>13229</v>
          </cell>
          <cell r="N4918">
            <v>683926.05601571908</v>
          </cell>
          <cell r="O4918">
            <v>692380.00232629513</v>
          </cell>
          <cell r="P4918">
            <v>368.79259999999999</v>
          </cell>
        </row>
        <row r="4919">
          <cell r="B4919">
            <v>37696</v>
          </cell>
          <cell r="J4919">
            <v>3809804.3041216834</v>
          </cell>
          <cell r="K4919">
            <v>2.4380000000000002</v>
          </cell>
          <cell r="L4919">
            <v>148835</v>
          </cell>
          <cell r="M4919">
            <v>13229</v>
          </cell>
          <cell r="N4919">
            <v>683926.05601571908</v>
          </cell>
          <cell r="O4919">
            <v>692380.00232629513</v>
          </cell>
          <cell r="P4919">
            <v>368.79259999999999</v>
          </cell>
        </row>
        <row r="4920">
          <cell r="B4920">
            <v>37697</v>
          </cell>
          <cell r="J4920">
            <v>3809804.3041216834</v>
          </cell>
          <cell r="K4920">
            <v>2.4380000000000002</v>
          </cell>
          <cell r="L4920">
            <v>148835</v>
          </cell>
          <cell r="M4920">
            <v>13229</v>
          </cell>
          <cell r="N4920">
            <v>683926.05601571908</v>
          </cell>
          <cell r="O4920">
            <v>692380.00232629513</v>
          </cell>
          <cell r="P4920">
            <v>368.79259999999999</v>
          </cell>
        </row>
        <row r="4921">
          <cell r="B4921">
            <v>37698</v>
          </cell>
          <cell r="J4921">
            <v>3809804.3041216834</v>
          </cell>
          <cell r="K4921">
            <v>2.4380000000000002</v>
          </cell>
          <cell r="L4921">
            <v>148835</v>
          </cell>
          <cell r="M4921">
            <v>13229</v>
          </cell>
          <cell r="N4921">
            <v>683926.05601571908</v>
          </cell>
          <cell r="O4921">
            <v>692380.00232629513</v>
          </cell>
          <cell r="P4921">
            <v>368.79259999999999</v>
          </cell>
        </row>
        <row r="4922">
          <cell r="B4922">
            <v>37699</v>
          </cell>
          <cell r="J4922">
            <v>3809804.3041216834</v>
          </cell>
          <cell r="K4922">
            <v>2.4380000000000002</v>
          </cell>
          <cell r="L4922">
            <v>148835</v>
          </cell>
          <cell r="M4922">
            <v>13229</v>
          </cell>
          <cell r="N4922">
            <v>683926.05601571908</v>
          </cell>
          <cell r="O4922">
            <v>692380.00232629513</v>
          </cell>
          <cell r="P4922">
            <v>368.79259999999999</v>
          </cell>
        </row>
        <row r="4923">
          <cell r="B4923">
            <v>37700</v>
          </cell>
          <cell r="J4923">
            <v>3809804.3041216834</v>
          </cell>
          <cell r="K4923">
            <v>2.4380000000000002</v>
          </cell>
          <cell r="L4923">
            <v>148835</v>
          </cell>
          <cell r="M4923">
            <v>13229</v>
          </cell>
          <cell r="N4923">
            <v>683926.05601571908</v>
          </cell>
          <cell r="O4923">
            <v>692380.00232629513</v>
          </cell>
          <cell r="P4923">
            <v>368.79259999999999</v>
          </cell>
        </row>
        <row r="4924">
          <cell r="B4924">
            <v>37701</v>
          </cell>
          <cell r="J4924">
            <v>3809804.3041216834</v>
          </cell>
          <cell r="K4924">
            <v>2.4380000000000002</v>
          </cell>
          <cell r="L4924">
            <v>148835</v>
          </cell>
          <cell r="M4924">
            <v>13229</v>
          </cell>
          <cell r="N4924">
            <v>683926.05601571908</v>
          </cell>
          <cell r="O4924">
            <v>692380.00232629513</v>
          </cell>
          <cell r="P4924">
            <v>368.79259999999999</v>
          </cell>
        </row>
        <row r="4925">
          <cell r="B4925">
            <v>37702</v>
          </cell>
          <cell r="J4925">
            <v>3809804.3041216834</v>
          </cell>
          <cell r="K4925">
            <v>2.4380000000000002</v>
          </cell>
          <cell r="L4925">
            <v>148835</v>
          </cell>
          <cell r="M4925">
            <v>13229</v>
          </cell>
          <cell r="N4925">
            <v>683926.05601571908</v>
          </cell>
          <cell r="O4925">
            <v>692380.00232629513</v>
          </cell>
          <cell r="P4925">
            <v>368.79259999999999</v>
          </cell>
        </row>
        <row r="4926">
          <cell r="B4926">
            <v>37703</v>
          </cell>
          <cell r="J4926">
            <v>3809804.3041216834</v>
          </cell>
          <cell r="K4926">
            <v>2.4380000000000002</v>
          </cell>
          <cell r="L4926">
            <v>148835</v>
          </cell>
          <cell r="M4926">
            <v>13229</v>
          </cell>
          <cell r="N4926">
            <v>683926.05601571908</v>
          </cell>
          <cell r="O4926">
            <v>692380.00232629513</v>
          </cell>
          <cell r="P4926">
            <v>368.79259999999999</v>
          </cell>
        </row>
        <row r="4927">
          <cell r="B4927">
            <v>37704</v>
          </cell>
          <cell r="J4927">
            <v>3809804.3041216834</v>
          </cell>
          <cell r="K4927">
            <v>2.4380000000000002</v>
          </cell>
          <cell r="L4927">
            <v>148835</v>
          </cell>
          <cell r="M4927">
            <v>13229</v>
          </cell>
          <cell r="N4927">
            <v>683926.05601571908</v>
          </cell>
          <cell r="O4927">
            <v>692380.00232629513</v>
          </cell>
          <cell r="P4927">
            <v>368.79259999999999</v>
          </cell>
        </row>
        <row r="4928">
          <cell r="B4928">
            <v>37705</v>
          </cell>
          <cell r="J4928">
            <v>3809804.3041216834</v>
          </cell>
          <cell r="K4928">
            <v>2.4380000000000002</v>
          </cell>
          <cell r="L4928">
            <v>148835</v>
          </cell>
          <cell r="M4928">
            <v>13229</v>
          </cell>
          <cell r="N4928">
            <v>683926.05601571908</v>
          </cell>
          <cell r="O4928">
            <v>692380.00232629513</v>
          </cell>
          <cell r="P4928">
            <v>368.79259999999999</v>
          </cell>
        </row>
        <row r="4929">
          <cell r="B4929">
            <v>37706</v>
          </cell>
          <cell r="J4929">
            <v>3809804.3041216834</v>
          </cell>
          <cell r="K4929">
            <v>2.4380000000000002</v>
          </cell>
          <cell r="L4929">
            <v>148835</v>
          </cell>
          <cell r="M4929">
            <v>13229</v>
          </cell>
          <cell r="N4929">
            <v>683926.05601571908</v>
          </cell>
          <cell r="O4929">
            <v>692380.00232629513</v>
          </cell>
          <cell r="P4929">
            <v>368.79259999999999</v>
          </cell>
        </row>
        <row r="4930">
          <cell r="B4930">
            <v>37707</v>
          </cell>
          <cell r="J4930">
            <v>3809804.3041216834</v>
          </cell>
          <cell r="K4930">
            <v>2.4380000000000002</v>
          </cell>
          <cell r="L4930">
            <v>148835</v>
          </cell>
          <cell r="M4930">
            <v>13229</v>
          </cell>
          <cell r="N4930">
            <v>683926.05601571908</v>
          </cell>
          <cell r="O4930">
            <v>692380.00232629513</v>
          </cell>
          <cell r="P4930">
            <v>368.79259999999999</v>
          </cell>
        </row>
        <row r="4931">
          <cell r="B4931">
            <v>37708</v>
          </cell>
          <cell r="J4931">
            <v>3809804.3041216834</v>
          </cell>
          <cell r="K4931">
            <v>2.4380000000000002</v>
          </cell>
          <cell r="L4931">
            <v>148835</v>
          </cell>
          <cell r="M4931">
            <v>13229</v>
          </cell>
          <cell r="N4931">
            <v>683926.05601571908</v>
          </cell>
          <cell r="O4931">
            <v>692380.00232629513</v>
          </cell>
          <cell r="P4931">
            <v>368.79259999999999</v>
          </cell>
        </row>
        <row r="4932">
          <cell r="B4932">
            <v>37709</v>
          </cell>
          <cell r="J4932">
            <v>3809804.3041216834</v>
          </cell>
          <cell r="K4932">
            <v>2.4380000000000002</v>
          </cell>
          <cell r="L4932">
            <v>148835</v>
          </cell>
          <cell r="M4932">
            <v>13229</v>
          </cell>
          <cell r="N4932">
            <v>683926.05601571908</v>
          </cell>
          <cell r="O4932">
            <v>692380.00232629513</v>
          </cell>
          <cell r="P4932">
            <v>368.79259999999999</v>
          </cell>
        </row>
        <row r="4933">
          <cell r="B4933">
            <v>37710</v>
          </cell>
          <cell r="J4933">
            <v>3809804.3041216834</v>
          </cell>
          <cell r="K4933">
            <v>2.4380000000000002</v>
          </cell>
          <cell r="L4933">
            <v>148835</v>
          </cell>
          <cell r="M4933">
            <v>13229</v>
          </cell>
          <cell r="N4933">
            <v>683926.05601571908</v>
          </cell>
          <cell r="O4933">
            <v>692380.00232629513</v>
          </cell>
          <cell r="P4933">
            <v>368.79259999999999</v>
          </cell>
        </row>
        <row r="4934">
          <cell r="B4934">
            <v>37711</v>
          </cell>
          <cell r="J4934">
            <v>3809804.3041216834</v>
          </cell>
          <cell r="K4934">
            <v>2.4380000000000002</v>
          </cell>
          <cell r="L4934">
            <v>148835</v>
          </cell>
          <cell r="M4934">
            <v>13229</v>
          </cell>
          <cell r="N4934">
            <v>683926.05601571908</v>
          </cell>
          <cell r="O4934">
            <v>692380.00232629513</v>
          </cell>
          <cell r="P4934">
            <v>368.79259999999999</v>
          </cell>
        </row>
        <row r="4935">
          <cell r="B4935">
            <v>37712</v>
          </cell>
          <cell r="J4935">
            <v>3809804.3041216834</v>
          </cell>
          <cell r="K4935">
            <v>2.4380000000000002</v>
          </cell>
          <cell r="L4935">
            <v>148835</v>
          </cell>
          <cell r="M4935">
            <v>13229</v>
          </cell>
          <cell r="N4935">
            <v>683926.05601571908</v>
          </cell>
          <cell r="O4935">
            <v>692380.00232629513</v>
          </cell>
          <cell r="P4935">
            <v>368.79259999999999</v>
          </cell>
        </row>
        <row r="4936">
          <cell r="B4936">
            <v>37713</v>
          </cell>
          <cell r="J4936">
            <v>3809804.3041216834</v>
          </cell>
          <cell r="K4936">
            <v>2.4380000000000002</v>
          </cell>
          <cell r="L4936">
            <v>148835</v>
          </cell>
          <cell r="M4936">
            <v>13229</v>
          </cell>
          <cell r="N4936">
            <v>683926.05601571908</v>
          </cell>
          <cell r="O4936">
            <v>692380.00232629513</v>
          </cell>
          <cell r="P4936">
            <v>368.79259999999999</v>
          </cell>
        </row>
        <row r="4937">
          <cell r="B4937">
            <v>37714</v>
          </cell>
          <cell r="J4937">
            <v>3809804.3041216834</v>
          </cell>
          <cell r="K4937">
            <v>2.4380000000000002</v>
          </cell>
          <cell r="L4937">
            <v>148835</v>
          </cell>
          <cell r="M4937">
            <v>13229</v>
          </cell>
          <cell r="N4937">
            <v>683926.05601571908</v>
          </cell>
          <cell r="O4937">
            <v>692380.00232629513</v>
          </cell>
          <cell r="P4937">
            <v>368.79259999999999</v>
          </cell>
        </row>
        <row r="4938">
          <cell r="B4938">
            <v>37715</v>
          </cell>
          <cell r="J4938">
            <v>3809804.3041216834</v>
          </cell>
          <cell r="K4938">
            <v>2.4380000000000002</v>
          </cell>
          <cell r="L4938">
            <v>148835</v>
          </cell>
          <cell r="M4938">
            <v>13229</v>
          </cell>
          <cell r="N4938">
            <v>683926.05601571908</v>
          </cell>
          <cell r="O4938">
            <v>692380.00232629513</v>
          </cell>
          <cell r="P4938">
            <v>368.79259999999999</v>
          </cell>
        </row>
        <row r="4939">
          <cell r="B4939">
            <v>37716</v>
          </cell>
          <cell r="J4939">
            <v>3809804.3041216834</v>
          </cell>
          <cell r="K4939">
            <v>2.4380000000000002</v>
          </cell>
          <cell r="L4939">
            <v>148835</v>
          </cell>
          <cell r="M4939">
            <v>13229</v>
          </cell>
          <cell r="N4939">
            <v>683926.05601571908</v>
          </cell>
          <cell r="O4939">
            <v>692380.00232629513</v>
          </cell>
          <cell r="P4939">
            <v>368.79259999999999</v>
          </cell>
        </row>
        <row r="4940">
          <cell r="B4940">
            <v>37717</v>
          </cell>
          <cell r="J4940">
            <v>3809804.3041216834</v>
          </cell>
          <cell r="K4940">
            <v>2.4380000000000002</v>
          </cell>
          <cell r="L4940">
            <v>148835</v>
          </cell>
          <cell r="M4940">
            <v>13229</v>
          </cell>
          <cell r="N4940">
            <v>683926.05601571908</v>
          </cell>
          <cell r="O4940">
            <v>692380.00232629513</v>
          </cell>
          <cell r="P4940">
            <v>368.79259999999999</v>
          </cell>
        </row>
        <row r="4941">
          <cell r="B4941">
            <v>37718</v>
          </cell>
          <cell r="J4941">
            <v>3809804.3041216834</v>
          </cell>
          <cell r="K4941">
            <v>2.4380000000000002</v>
          </cell>
          <cell r="L4941">
            <v>148835</v>
          </cell>
          <cell r="M4941">
            <v>13229</v>
          </cell>
          <cell r="N4941">
            <v>683926.05601571908</v>
          </cell>
          <cell r="O4941">
            <v>692380.00232629513</v>
          </cell>
          <cell r="P4941">
            <v>368.79259999999999</v>
          </cell>
        </row>
        <row r="4942">
          <cell r="B4942">
            <v>37719</v>
          </cell>
          <cell r="J4942">
            <v>3809804.3041216834</v>
          </cell>
          <cell r="K4942">
            <v>2.4380000000000002</v>
          </cell>
          <cell r="L4942">
            <v>148835</v>
          </cell>
          <cell r="M4942">
            <v>13229</v>
          </cell>
          <cell r="N4942">
            <v>683926.05601571908</v>
          </cell>
          <cell r="O4942">
            <v>692380.00232629513</v>
          </cell>
          <cell r="P4942">
            <v>368.79259999999999</v>
          </cell>
        </row>
        <row r="4943">
          <cell r="B4943">
            <v>37720</v>
          </cell>
          <cell r="J4943">
            <v>3809804.3041216834</v>
          </cell>
          <cell r="K4943">
            <v>2.4380000000000002</v>
          </cell>
          <cell r="L4943">
            <v>148835</v>
          </cell>
          <cell r="M4943">
            <v>13229</v>
          </cell>
          <cell r="N4943">
            <v>683926.05601571908</v>
          </cell>
          <cell r="O4943">
            <v>692380.00232629513</v>
          </cell>
          <cell r="P4943">
            <v>368.79259999999999</v>
          </cell>
        </row>
        <row r="4944">
          <cell r="B4944">
            <v>37721</v>
          </cell>
          <cell r="J4944">
            <v>3809804.3041216834</v>
          </cell>
          <cell r="K4944">
            <v>2.4380000000000002</v>
          </cell>
          <cell r="L4944">
            <v>148835</v>
          </cell>
          <cell r="M4944">
            <v>13229</v>
          </cell>
          <cell r="N4944">
            <v>683926.05601571908</v>
          </cell>
          <cell r="O4944">
            <v>692380.00232629513</v>
          </cell>
          <cell r="P4944">
            <v>368.79259999999999</v>
          </cell>
        </row>
        <row r="4945">
          <cell r="B4945">
            <v>37722</v>
          </cell>
          <cell r="J4945">
            <v>3809804.3041216834</v>
          </cell>
          <cell r="K4945">
            <v>2.4380000000000002</v>
          </cell>
          <cell r="L4945">
            <v>148835</v>
          </cell>
          <cell r="M4945">
            <v>13229</v>
          </cell>
          <cell r="N4945">
            <v>683926.05601571908</v>
          </cell>
          <cell r="O4945">
            <v>692380.00232629513</v>
          </cell>
          <cell r="P4945">
            <v>368.79259999999999</v>
          </cell>
        </row>
        <row r="4946">
          <cell r="B4946">
            <v>37723</v>
          </cell>
          <cell r="J4946">
            <v>3809804.3041216834</v>
          </cell>
          <cell r="K4946">
            <v>2.4380000000000002</v>
          </cell>
          <cell r="L4946">
            <v>148835</v>
          </cell>
          <cell r="M4946">
            <v>13229</v>
          </cell>
          <cell r="N4946">
            <v>683926.05601571908</v>
          </cell>
          <cell r="O4946">
            <v>692380.00232629513</v>
          </cell>
          <cell r="P4946">
            <v>368.79259999999999</v>
          </cell>
        </row>
        <row r="4947">
          <cell r="B4947">
            <v>37724</v>
          </cell>
          <cell r="J4947">
            <v>3809804.3041216834</v>
          </cell>
          <cell r="K4947">
            <v>2.4380000000000002</v>
          </cell>
          <cell r="L4947">
            <v>148835</v>
          </cell>
          <cell r="M4947">
            <v>13229</v>
          </cell>
          <cell r="N4947">
            <v>683926.05601571908</v>
          </cell>
          <cell r="O4947">
            <v>692380.00232629513</v>
          </cell>
          <cell r="P4947">
            <v>368.79259999999999</v>
          </cell>
        </row>
        <row r="4948">
          <cell r="B4948">
            <v>37725</v>
          </cell>
          <cell r="J4948">
            <v>3809804.3041216834</v>
          </cell>
          <cell r="K4948">
            <v>2.4380000000000002</v>
          </cell>
          <cell r="L4948">
            <v>148835</v>
          </cell>
          <cell r="M4948">
            <v>13229</v>
          </cell>
          <cell r="N4948">
            <v>683926.05601571908</v>
          </cell>
          <cell r="O4948">
            <v>692380.00232629513</v>
          </cell>
          <cell r="P4948">
            <v>368.79259999999999</v>
          </cell>
        </row>
        <row r="4949">
          <cell r="B4949">
            <v>37726</v>
          </cell>
          <cell r="J4949">
            <v>3809804.3041216834</v>
          </cell>
          <cell r="K4949">
            <v>2.4380000000000002</v>
          </cell>
          <cell r="L4949">
            <v>148835</v>
          </cell>
          <cell r="M4949">
            <v>13229</v>
          </cell>
          <cell r="N4949">
            <v>683926.05601571908</v>
          </cell>
          <cell r="O4949">
            <v>692380.00232629513</v>
          </cell>
          <cell r="P4949">
            <v>368.79259999999999</v>
          </cell>
        </row>
        <row r="4950">
          <cell r="B4950">
            <v>37727</v>
          </cell>
          <cell r="J4950">
            <v>3809804.3041216834</v>
          </cell>
          <cell r="K4950">
            <v>2.4380000000000002</v>
          </cell>
          <cell r="L4950">
            <v>148835</v>
          </cell>
          <cell r="M4950">
            <v>13229</v>
          </cell>
          <cell r="N4950">
            <v>683926.05601571908</v>
          </cell>
          <cell r="O4950">
            <v>692380.00232629513</v>
          </cell>
          <cell r="P4950">
            <v>368.79259999999999</v>
          </cell>
        </row>
        <row r="4951">
          <cell r="B4951">
            <v>37728</v>
          </cell>
          <cell r="J4951">
            <v>3809804.3041216834</v>
          </cell>
          <cell r="K4951">
            <v>2.4380000000000002</v>
          </cell>
          <cell r="L4951">
            <v>148835</v>
          </cell>
          <cell r="M4951">
            <v>13229</v>
          </cell>
          <cell r="N4951">
            <v>683926.05601571908</v>
          </cell>
          <cell r="O4951">
            <v>692380.00232629513</v>
          </cell>
          <cell r="P4951">
            <v>368.79259999999999</v>
          </cell>
        </row>
        <row r="4952">
          <cell r="B4952">
            <v>37729</v>
          </cell>
          <cell r="J4952">
            <v>3809804.3041216834</v>
          </cell>
          <cell r="K4952">
            <v>2.4380000000000002</v>
          </cell>
          <cell r="L4952">
            <v>148835</v>
          </cell>
          <cell r="M4952">
            <v>13229</v>
          </cell>
          <cell r="N4952">
            <v>683926.05601571908</v>
          </cell>
          <cell r="O4952">
            <v>692380.00232629513</v>
          </cell>
          <cell r="P4952">
            <v>368.79259999999999</v>
          </cell>
        </row>
        <row r="4953">
          <cell r="B4953">
            <v>37730</v>
          </cell>
          <cell r="J4953">
            <v>3809804.3041216834</v>
          </cell>
          <cell r="K4953">
            <v>2.4380000000000002</v>
          </cell>
          <cell r="L4953">
            <v>148835</v>
          </cell>
          <cell r="M4953">
            <v>13229</v>
          </cell>
          <cell r="N4953">
            <v>683926.05601571908</v>
          </cell>
          <cell r="O4953">
            <v>692380.00232629513</v>
          </cell>
          <cell r="P4953">
            <v>368.79259999999999</v>
          </cell>
        </row>
        <row r="4954">
          <cell r="B4954">
            <v>37731</v>
          </cell>
          <cell r="J4954">
            <v>3809804.3041216834</v>
          </cell>
          <cell r="K4954">
            <v>2.4380000000000002</v>
          </cell>
          <cell r="L4954">
            <v>148835</v>
          </cell>
          <cell r="M4954">
            <v>13229</v>
          </cell>
          <cell r="N4954">
            <v>683926.05601571908</v>
          </cell>
          <cell r="O4954">
            <v>692380.00232629513</v>
          </cell>
          <cell r="P4954">
            <v>368.79259999999999</v>
          </cell>
        </row>
        <row r="4955">
          <cell r="B4955">
            <v>37732</v>
          </cell>
          <cell r="J4955">
            <v>3809804.3041216834</v>
          </cell>
          <cell r="K4955">
            <v>2.4380000000000002</v>
          </cell>
          <cell r="L4955">
            <v>148835</v>
          </cell>
          <cell r="M4955">
            <v>13229</v>
          </cell>
          <cell r="N4955">
            <v>683926.05601571908</v>
          </cell>
          <cell r="O4955">
            <v>692380.00232629513</v>
          </cell>
          <cell r="P4955">
            <v>368.79259999999999</v>
          </cell>
        </row>
        <row r="4956">
          <cell r="B4956">
            <v>37733</v>
          </cell>
          <cell r="J4956">
            <v>3809804.3041216834</v>
          </cell>
          <cell r="K4956">
            <v>2.4380000000000002</v>
          </cell>
          <cell r="L4956">
            <v>148835</v>
          </cell>
          <cell r="M4956">
            <v>13229</v>
          </cell>
          <cell r="N4956">
            <v>683926.05601571908</v>
          </cell>
          <cell r="O4956">
            <v>692380.00232629513</v>
          </cell>
          <cell r="P4956">
            <v>368.79259999999999</v>
          </cell>
        </row>
        <row r="4957">
          <cell r="B4957">
            <v>37734</v>
          </cell>
          <cell r="J4957">
            <v>3809804.3041216834</v>
          </cell>
          <cell r="K4957">
            <v>2.4380000000000002</v>
          </cell>
          <cell r="L4957">
            <v>148835</v>
          </cell>
          <cell r="M4957">
            <v>13229</v>
          </cell>
          <cell r="N4957">
            <v>683926.05601571908</v>
          </cell>
          <cell r="O4957">
            <v>692380.00232629513</v>
          </cell>
          <cell r="P4957">
            <v>368.79259999999999</v>
          </cell>
        </row>
        <row r="4958">
          <cell r="B4958">
            <v>37735</v>
          </cell>
          <cell r="J4958">
            <v>3809804.3041216834</v>
          </cell>
          <cell r="K4958">
            <v>2.4380000000000002</v>
          </cell>
          <cell r="L4958">
            <v>148835</v>
          </cell>
          <cell r="M4958">
            <v>13229</v>
          </cell>
          <cell r="N4958">
            <v>683926.05601571908</v>
          </cell>
          <cell r="O4958">
            <v>692380.00232629513</v>
          </cell>
          <cell r="P4958">
            <v>368.79259999999999</v>
          </cell>
        </row>
        <row r="4959">
          <cell r="B4959">
            <v>37736</v>
          </cell>
          <cell r="J4959">
            <v>3809804.3041216834</v>
          </cell>
          <cell r="K4959">
            <v>2.4380000000000002</v>
          </cell>
          <cell r="L4959">
            <v>148835</v>
          </cell>
          <cell r="M4959">
            <v>13229</v>
          </cell>
          <cell r="N4959">
            <v>683926.05601571908</v>
          </cell>
          <cell r="O4959">
            <v>692380.00232629513</v>
          </cell>
          <cell r="P4959">
            <v>368.79259999999999</v>
          </cell>
        </row>
        <row r="4960">
          <cell r="B4960">
            <v>37737</v>
          </cell>
          <cell r="J4960">
            <v>3809804.3041216834</v>
          </cell>
          <cell r="K4960">
            <v>2.4380000000000002</v>
          </cell>
          <cell r="L4960">
            <v>148835</v>
          </cell>
          <cell r="M4960">
            <v>13229</v>
          </cell>
          <cell r="N4960">
            <v>683926.05601571908</v>
          </cell>
          <cell r="O4960">
            <v>692380.00232629513</v>
          </cell>
          <cell r="P4960">
            <v>368.79259999999999</v>
          </cell>
        </row>
        <row r="4961">
          <cell r="B4961">
            <v>37738</v>
          </cell>
          <cell r="J4961">
            <v>3809804.3041216834</v>
          </cell>
          <cell r="K4961">
            <v>2.4380000000000002</v>
          </cell>
          <cell r="L4961">
            <v>148835</v>
          </cell>
          <cell r="M4961">
            <v>13229</v>
          </cell>
          <cell r="N4961">
            <v>683926.05601571908</v>
          </cell>
          <cell r="O4961">
            <v>692380.00232629513</v>
          </cell>
          <cell r="P4961">
            <v>368.79259999999999</v>
          </cell>
        </row>
        <row r="4962">
          <cell r="B4962">
            <v>37739</v>
          </cell>
          <cell r="J4962">
            <v>3809804.3041216834</v>
          </cell>
          <cell r="K4962">
            <v>2.4380000000000002</v>
          </cell>
          <cell r="L4962">
            <v>148835</v>
          </cell>
          <cell r="M4962">
            <v>13229</v>
          </cell>
          <cell r="N4962">
            <v>683926.05601571908</v>
          </cell>
          <cell r="O4962">
            <v>692380.00232629513</v>
          </cell>
          <cell r="P4962">
            <v>368.79259999999999</v>
          </cell>
        </row>
        <row r="4963">
          <cell r="B4963">
            <v>37740</v>
          </cell>
          <cell r="J4963">
            <v>3809804.3041216834</v>
          </cell>
          <cell r="K4963">
            <v>2.4380000000000002</v>
          </cell>
          <cell r="L4963">
            <v>148835</v>
          </cell>
          <cell r="M4963">
            <v>13229</v>
          </cell>
          <cell r="N4963">
            <v>683926.05601571908</v>
          </cell>
          <cell r="O4963">
            <v>692380.00232629513</v>
          </cell>
          <cell r="P4963">
            <v>368.79259999999999</v>
          </cell>
        </row>
        <row r="4964">
          <cell r="B4964">
            <v>37741</v>
          </cell>
          <cell r="J4964">
            <v>3809804.3041216834</v>
          </cell>
          <cell r="K4964">
            <v>2.4380000000000002</v>
          </cell>
          <cell r="L4964">
            <v>148835</v>
          </cell>
          <cell r="M4964">
            <v>13229</v>
          </cell>
          <cell r="N4964">
            <v>683926.05601571908</v>
          </cell>
          <cell r="O4964">
            <v>692380.00232629513</v>
          </cell>
          <cell r="P4964">
            <v>368.79259999999999</v>
          </cell>
        </row>
        <row r="4965">
          <cell r="B4965">
            <v>37742</v>
          </cell>
          <cell r="J4965">
            <v>3809804.3041216834</v>
          </cell>
          <cell r="K4965">
            <v>2.4380000000000002</v>
          </cell>
          <cell r="L4965">
            <v>148835</v>
          </cell>
          <cell r="M4965">
            <v>13229</v>
          </cell>
          <cell r="N4965">
            <v>683926.05601571908</v>
          </cell>
          <cell r="O4965">
            <v>692380.00232629513</v>
          </cell>
          <cell r="P4965">
            <v>368.79259999999999</v>
          </cell>
        </row>
        <row r="4966">
          <cell r="B4966">
            <v>37743</v>
          </cell>
          <cell r="J4966">
            <v>3809804.3041216834</v>
          </cell>
          <cell r="K4966">
            <v>2.4380000000000002</v>
          </cell>
          <cell r="L4966">
            <v>148835</v>
          </cell>
          <cell r="M4966">
            <v>13229</v>
          </cell>
          <cell r="N4966">
            <v>683926.05601571908</v>
          </cell>
          <cell r="O4966">
            <v>692380.00232629513</v>
          </cell>
          <cell r="P4966">
            <v>368.79259999999999</v>
          </cell>
        </row>
        <row r="4967">
          <cell r="B4967">
            <v>37744</v>
          </cell>
          <cell r="J4967">
            <v>3809804.3041216834</v>
          </cell>
          <cell r="K4967">
            <v>2.4380000000000002</v>
          </cell>
          <cell r="L4967">
            <v>148835</v>
          </cell>
          <cell r="M4967">
            <v>13229</v>
          </cell>
          <cell r="N4967">
            <v>683926.05601571908</v>
          </cell>
          <cell r="O4967">
            <v>692380.00232629513</v>
          </cell>
          <cell r="P4967">
            <v>368.79259999999999</v>
          </cell>
        </row>
        <row r="4968">
          <cell r="B4968">
            <v>37745</v>
          </cell>
          <cell r="J4968">
            <v>3809804.3041216834</v>
          </cell>
          <cell r="K4968">
            <v>2.4380000000000002</v>
          </cell>
          <cell r="L4968">
            <v>148835</v>
          </cell>
          <cell r="M4968">
            <v>13229</v>
          </cell>
          <cell r="N4968">
            <v>683926.05601571908</v>
          </cell>
          <cell r="O4968">
            <v>692380.00232629513</v>
          </cell>
          <cell r="P4968">
            <v>368.79259999999999</v>
          </cell>
        </row>
        <row r="4969">
          <cell r="B4969">
            <v>37746</v>
          </cell>
          <cell r="J4969">
            <v>3809804.3041216834</v>
          </cell>
          <cell r="K4969">
            <v>2.4380000000000002</v>
          </cell>
          <cell r="L4969">
            <v>148835</v>
          </cell>
          <cell r="M4969">
            <v>13229</v>
          </cell>
          <cell r="N4969">
            <v>683926.05601571908</v>
          </cell>
          <cell r="O4969">
            <v>692380.00232629513</v>
          </cell>
          <cell r="P4969">
            <v>368.79259999999999</v>
          </cell>
        </row>
        <row r="4970">
          <cell r="B4970">
            <v>37747</v>
          </cell>
          <cell r="J4970">
            <v>3809804.3041216834</v>
          </cell>
          <cell r="K4970">
            <v>2.4380000000000002</v>
          </cell>
          <cell r="L4970">
            <v>148835</v>
          </cell>
          <cell r="M4970">
            <v>13229</v>
          </cell>
          <cell r="N4970">
            <v>683926.05601571908</v>
          </cell>
          <cell r="O4970">
            <v>692380.00232629513</v>
          </cell>
          <cell r="P4970">
            <v>368.79259999999999</v>
          </cell>
        </row>
        <row r="4971">
          <cell r="B4971">
            <v>37748</v>
          </cell>
          <cell r="J4971">
            <v>3809804.3041216834</v>
          </cell>
          <cell r="K4971">
            <v>2.4380000000000002</v>
          </cell>
          <cell r="L4971">
            <v>148835</v>
          </cell>
          <cell r="M4971">
            <v>13229</v>
          </cell>
          <cell r="N4971">
            <v>683926.05601571908</v>
          </cell>
          <cell r="O4971">
            <v>692380.00232629513</v>
          </cell>
          <cell r="P4971">
            <v>368.79259999999999</v>
          </cell>
        </row>
        <row r="4972">
          <cell r="B4972">
            <v>37749</v>
          </cell>
          <cell r="J4972">
            <v>3809804.3041216834</v>
          </cell>
          <cell r="K4972">
            <v>2.4380000000000002</v>
          </cell>
          <cell r="L4972">
            <v>148835</v>
          </cell>
          <cell r="M4972">
            <v>13229</v>
          </cell>
          <cell r="N4972">
            <v>683926.05601571908</v>
          </cell>
          <cell r="O4972">
            <v>692380.00232629513</v>
          </cell>
          <cell r="P4972">
            <v>368.79259999999999</v>
          </cell>
        </row>
        <row r="4973">
          <cell r="B4973">
            <v>37750</v>
          </cell>
          <cell r="J4973">
            <v>3809804.3041216834</v>
          </cell>
          <cell r="K4973">
            <v>2.4380000000000002</v>
          </cell>
          <cell r="L4973">
            <v>148835</v>
          </cell>
          <cell r="M4973">
            <v>13229</v>
          </cell>
          <cell r="N4973">
            <v>683926.05601571908</v>
          </cell>
          <cell r="O4973">
            <v>692380.00232629513</v>
          </cell>
          <cell r="P4973">
            <v>368.79259999999999</v>
          </cell>
        </row>
        <row r="4974">
          <cell r="B4974">
            <v>37751</v>
          </cell>
          <cell r="J4974">
            <v>3809804.3041216834</v>
          </cell>
          <cell r="K4974">
            <v>2.4380000000000002</v>
          </cell>
          <cell r="L4974">
            <v>148835</v>
          </cell>
          <cell r="M4974">
            <v>13229</v>
          </cell>
          <cell r="N4974">
            <v>683926.05601571908</v>
          </cell>
          <cell r="O4974">
            <v>692380.00232629513</v>
          </cell>
          <cell r="P4974">
            <v>368.79259999999999</v>
          </cell>
        </row>
        <row r="4975">
          <cell r="B4975">
            <v>37752</v>
          </cell>
          <cell r="J4975">
            <v>3809804.3041216834</v>
          </cell>
          <cell r="K4975">
            <v>2.4380000000000002</v>
          </cell>
          <cell r="L4975">
            <v>148835</v>
          </cell>
          <cell r="M4975">
            <v>13229</v>
          </cell>
          <cell r="N4975">
            <v>683926.05601571908</v>
          </cell>
          <cell r="O4975">
            <v>692380.00232629513</v>
          </cell>
          <cell r="P4975">
            <v>368.79259999999999</v>
          </cell>
        </row>
        <row r="4976">
          <cell r="B4976">
            <v>37753</v>
          </cell>
          <cell r="J4976">
            <v>3809804.3041216834</v>
          </cell>
          <cell r="K4976">
            <v>2.4380000000000002</v>
          </cell>
          <cell r="L4976">
            <v>148835</v>
          </cell>
          <cell r="M4976">
            <v>13229</v>
          </cell>
          <cell r="N4976">
            <v>683926.05601571908</v>
          </cell>
          <cell r="O4976">
            <v>692380.00232629513</v>
          </cell>
          <cell r="P4976">
            <v>368.79259999999999</v>
          </cell>
        </row>
        <row r="4977">
          <cell r="B4977">
            <v>37754</v>
          </cell>
          <cell r="J4977">
            <v>3809804.3041216834</v>
          </cell>
          <cell r="K4977">
            <v>2.4380000000000002</v>
          </cell>
          <cell r="L4977">
            <v>148835</v>
          </cell>
          <cell r="M4977">
            <v>13229</v>
          </cell>
          <cell r="N4977">
            <v>683926.05601571908</v>
          </cell>
          <cell r="O4977">
            <v>692380.00232629513</v>
          </cell>
          <cell r="P4977">
            <v>368.79259999999999</v>
          </cell>
        </row>
        <row r="4978">
          <cell r="B4978">
            <v>37755</v>
          </cell>
          <cell r="J4978">
            <v>3809804.3041216834</v>
          </cell>
          <cell r="K4978">
            <v>2.4380000000000002</v>
          </cell>
          <cell r="L4978">
            <v>148835</v>
          </cell>
          <cell r="M4978">
            <v>13229</v>
          </cell>
          <cell r="N4978">
            <v>683926.05601571908</v>
          </cell>
          <cell r="O4978">
            <v>692380.00232629513</v>
          </cell>
          <cell r="P4978">
            <v>368.79259999999999</v>
          </cell>
        </row>
        <row r="4979">
          <cell r="B4979">
            <v>37756</v>
          </cell>
          <cell r="J4979">
            <v>3809804.3041216834</v>
          </cell>
          <cell r="K4979">
            <v>2.4380000000000002</v>
          </cell>
          <cell r="L4979">
            <v>148835</v>
          </cell>
          <cell r="M4979">
            <v>13229</v>
          </cell>
          <cell r="N4979">
            <v>683926.05601571908</v>
          </cell>
          <cell r="O4979">
            <v>692380.00232629513</v>
          </cell>
          <cell r="P4979">
            <v>368.79259999999999</v>
          </cell>
        </row>
        <row r="4980">
          <cell r="B4980">
            <v>37757</v>
          </cell>
          <cell r="J4980">
            <v>3809804.3041216834</v>
          </cell>
          <cell r="K4980">
            <v>2.4380000000000002</v>
          </cell>
          <cell r="L4980">
            <v>148835</v>
          </cell>
          <cell r="M4980">
            <v>13229</v>
          </cell>
          <cell r="N4980">
            <v>683926.05601571908</v>
          </cell>
          <cell r="O4980">
            <v>692380.00232629513</v>
          </cell>
          <cell r="P4980">
            <v>368.79259999999999</v>
          </cell>
        </row>
        <row r="4981">
          <cell r="B4981">
            <v>37758</v>
          </cell>
          <cell r="J4981">
            <v>3809804.3041216834</v>
          </cell>
          <cell r="K4981">
            <v>2.4380000000000002</v>
          </cell>
          <cell r="L4981">
            <v>148835</v>
          </cell>
          <cell r="M4981">
            <v>13229</v>
          </cell>
          <cell r="N4981">
            <v>683926.05601571908</v>
          </cell>
          <cell r="O4981">
            <v>692380.00232629513</v>
          </cell>
          <cell r="P4981">
            <v>368.79259999999999</v>
          </cell>
        </row>
        <row r="4982">
          <cell r="B4982">
            <v>37759</v>
          </cell>
          <cell r="J4982">
            <v>3809804.3041216834</v>
          </cell>
          <cell r="K4982">
            <v>2.4380000000000002</v>
          </cell>
          <cell r="L4982">
            <v>148835</v>
          </cell>
          <cell r="M4982">
            <v>13229</v>
          </cell>
          <cell r="N4982">
            <v>683926.05601571908</v>
          </cell>
          <cell r="O4982">
            <v>692380.00232629513</v>
          </cell>
          <cell r="P4982">
            <v>368.79259999999999</v>
          </cell>
        </row>
        <row r="4983">
          <cell r="B4983">
            <v>37760</v>
          </cell>
          <cell r="J4983">
            <v>3809804.3041216834</v>
          </cell>
          <cell r="K4983">
            <v>2.4380000000000002</v>
          </cell>
          <cell r="L4983">
            <v>148835</v>
          </cell>
          <cell r="M4983">
            <v>13229</v>
          </cell>
          <cell r="N4983">
            <v>683926.05601571908</v>
          </cell>
          <cell r="O4983">
            <v>692380.00232629513</v>
          </cell>
          <cell r="P4983">
            <v>368.79259999999999</v>
          </cell>
        </row>
        <row r="4984">
          <cell r="B4984">
            <v>37761</v>
          </cell>
          <cell r="J4984">
            <v>3809804.3041216834</v>
          </cell>
          <cell r="K4984">
            <v>2.4380000000000002</v>
          </cell>
          <cell r="L4984">
            <v>148835</v>
          </cell>
          <cell r="M4984">
            <v>13229</v>
          </cell>
          <cell r="N4984">
            <v>683926.05601571908</v>
          </cell>
          <cell r="O4984">
            <v>692380.00232629513</v>
          </cell>
          <cell r="P4984">
            <v>368.79259999999999</v>
          </cell>
        </row>
        <row r="4985">
          <cell r="B4985">
            <v>37762</v>
          </cell>
          <cell r="J4985">
            <v>3809804.3041216834</v>
          </cell>
          <cell r="K4985">
            <v>2.4380000000000002</v>
          </cell>
          <cell r="L4985">
            <v>148835</v>
          </cell>
          <cell r="M4985">
            <v>13229</v>
          </cell>
          <cell r="N4985">
            <v>683926.05601571908</v>
          </cell>
          <cell r="O4985">
            <v>692380.00232629513</v>
          </cell>
          <cell r="P4985">
            <v>368.79259999999999</v>
          </cell>
        </row>
        <row r="4986">
          <cell r="B4986">
            <v>37763</v>
          </cell>
          <cell r="J4986">
            <v>3809804.3041216834</v>
          </cell>
          <cell r="K4986">
            <v>2.4380000000000002</v>
          </cell>
          <cell r="L4986">
            <v>148835</v>
          </cell>
          <cell r="M4986">
            <v>13229</v>
          </cell>
          <cell r="N4986">
            <v>683926.05601571908</v>
          </cell>
          <cell r="O4986">
            <v>692380.00232629513</v>
          </cell>
          <cell r="P4986">
            <v>368.79259999999999</v>
          </cell>
        </row>
        <row r="4987">
          <cell r="B4987">
            <v>37764</v>
          </cell>
          <cell r="J4987">
            <v>3809804.3041216834</v>
          </cell>
          <cell r="K4987">
            <v>2.4380000000000002</v>
          </cell>
          <cell r="L4987">
            <v>148835</v>
          </cell>
          <cell r="M4987">
            <v>13229</v>
          </cell>
          <cell r="N4987">
            <v>683926.05601571908</v>
          </cell>
          <cell r="O4987">
            <v>692380.00232629513</v>
          </cell>
          <cell r="P4987">
            <v>368.79259999999999</v>
          </cell>
        </row>
        <row r="4988">
          <cell r="B4988">
            <v>37765</v>
          </cell>
          <cell r="J4988">
            <v>3809804.3041216834</v>
          </cell>
          <cell r="K4988">
            <v>2.4380000000000002</v>
          </cell>
          <cell r="L4988">
            <v>148835</v>
          </cell>
          <cell r="M4988">
            <v>13229</v>
          </cell>
          <cell r="N4988">
            <v>683926.05601571908</v>
          </cell>
          <cell r="O4988">
            <v>692380.00232629513</v>
          </cell>
          <cell r="P4988">
            <v>368.79259999999999</v>
          </cell>
        </row>
        <row r="4989">
          <cell r="B4989">
            <v>37766</v>
          </cell>
          <cell r="J4989">
            <v>3809804.3041216834</v>
          </cell>
          <cell r="K4989">
            <v>2.4380000000000002</v>
          </cell>
          <cell r="L4989">
            <v>148835</v>
          </cell>
          <cell r="M4989">
            <v>13229</v>
          </cell>
          <cell r="N4989">
            <v>683926.05601571908</v>
          </cell>
          <cell r="O4989">
            <v>692380.00232629513</v>
          </cell>
          <cell r="P4989">
            <v>368.79259999999999</v>
          </cell>
        </row>
        <row r="4990">
          <cell r="B4990">
            <v>37767</v>
          </cell>
          <cell r="J4990">
            <v>3809804.3041216834</v>
          </cell>
          <cell r="K4990">
            <v>2.4380000000000002</v>
          </cell>
          <cell r="L4990">
            <v>148835</v>
          </cell>
          <cell r="M4990">
            <v>13229</v>
          </cell>
          <cell r="N4990">
            <v>683926.05601571908</v>
          </cell>
          <cell r="O4990">
            <v>692380.00232629513</v>
          </cell>
          <cell r="P4990">
            <v>368.79259999999999</v>
          </cell>
        </row>
        <row r="4991">
          <cell r="B4991">
            <v>37768</v>
          </cell>
          <cell r="J4991">
            <v>3809804.3041216834</v>
          </cell>
          <cell r="K4991">
            <v>2.4380000000000002</v>
          </cell>
          <cell r="L4991">
            <v>148835</v>
          </cell>
          <cell r="M4991">
            <v>13229</v>
          </cell>
          <cell r="N4991">
            <v>683926.05601571908</v>
          </cell>
          <cell r="O4991">
            <v>692380.00232629513</v>
          </cell>
          <cell r="P4991">
            <v>368.79259999999999</v>
          </cell>
        </row>
        <row r="4992">
          <cell r="B4992">
            <v>37769</v>
          </cell>
          <cell r="J4992">
            <v>3809804.3041216834</v>
          </cell>
          <cell r="K4992">
            <v>2.4380000000000002</v>
          </cell>
          <cell r="L4992">
            <v>148835</v>
          </cell>
          <cell r="M4992">
            <v>13229</v>
          </cell>
          <cell r="N4992">
            <v>683926.05601571908</v>
          </cell>
          <cell r="O4992">
            <v>692380.00232629513</v>
          </cell>
          <cell r="P4992">
            <v>368.79259999999999</v>
          </cell>
        </row>
        <row r="4993">
          <cell r="B4993">
            <v>37770</v>
          </cell>
          <cell r="J4993">
            <v>3809804.3041216834</v>
          </cell>
          <cell r="K4993">
            <v>2.4380000000000002</v>
          </cell>
          <cell r="L4993">
            <v>148835</v>
          </cell>
          <cell r="M4993">
            <v>13229</v>
          </cell>
          <cell r="N4993">
            <v>683926.05601571908</v>
          </cell>
          <cell r="O4993">
            <v>692380.00232629513</v>
          </cell>
          <cell r="P4993">
            <v>368.79259999999999</v>
          </cell>
        </row>
        <row r="4994">
          <cell r="B4994">
            <v>37771</v>
          </cell>
          <cell r="J4994">
            <v>3809804.3041216834</v>
          </cell>
          <cell r="K4994">
            <v>2.4380000000000002</v>
          </cell>
          <cell r="L4994">
            <v>148835</v>
          </cell>
          <cell r="M4994">
            <v>13229</v>
          </cell>
          <cell r="N4994">
            <v>683926.05601571908</v>
          </cell>
          <cell r="O4994">
            <v>692380.00232629513</v>
          </cell>
          <cell r="P4994">
            <v>368.79259999999999</v>
          </cell>
        </row>
        <row r="4995">
          <cell r="B4995">
            <v>37772</v>
          </cell>
          <cell r="J4995">
            <v>3809804.3041216834</v>
          </cell>
          <cell r="K4995">
            <v>2.4380000000000002</v>
          </cell>
          <cell r="L4995">
            <v>148835</v>
          </cell>
          <cell r="M4995">
            <v>13229</v>
          </cell>
          <cell r="N4995">
            <v>683926.05601571908</v>
          </cell>
          <cell r="O4995">
            <v>692380.00232629513</v>
          </cell>
          <cell r="P4995">
            <v>368.79259999999999</v>
          </cell>
        </row>
        <row r="4996">
          <cell r="B4996">
            <v>37773</v>
          </cell>
          <cell r="J4996">
            <v>3809804.3041216834</v>
          </cell>
          <cell r="K4996">
            <v>2.4380000000000002</v>
          </cell>
          <cell r="L4996">
            <v>148835</v>
          </cell>
          <cell r="M4996">
            <v>13229</v>
          </cell>
          <cell r="N4996">
            <v>683926.05601571908</v>
          </cell>
          <cell r="O4996">
            <v>692380.00232629513</v>
          </cell>
          <cell r="P4996">
            <v>368.79259999999999</v>
          </cell>
        </row>
        <row r="4997">
          <cell r="B4997">
            <v>37774</v>
          </cell>
          <cell r="J4997">
            <v>3809804.3041216834</v>
          </cell>
          <cell r="K4997">
            <v>2.4380000000000002</v>
          </cell>
          <cell r="L4997">
            <v>148835</v>
          </cell>
          <cell r="M4997">
            <v>13229</v>
          </cell>
          <cell r="N4997">
            <v>683926.05601571908</v>
          </cell>
          <cell r="O4997">
            <v>692380.00232629513</v>
          </cell>
          <cell r="P4997">
            <v>368.79259999999999</v>
          </cell>
        </row>
        <row r="4998">
          <cell r="B4998">
            <v>37775</v>
          </cell>
          <cell r="J4998">
            <v>3809804.3041216834</v>
          </cell>
          <cell r="K4998">
            <v>2.4380000000000002</v>
          </cell>
          <cell r="L4998">
            <v>148835</v>
          </cell>
          <cell r="M4998">
            <v>13229</v>
          </cell>
          <cell r="N4998">
            <v>683926.05601571908</v>
          </cell>
          <cell r="O4998">
            <v>692380.00232629513</v>
          </cell>
          <cell r="P4998">
            <v>368.79259999999999</v>
          </cell>
        </row>
        <row r="4999">
          <cell r="B4999">
            <v>37776</v>
          </cell>
          <cell r="J4999">
            <v>3809804.3041216834</v>
          </cell>
          <cell r="K4999">
            <v>2.4380000000000002</v>
          </cell>
          <cell r="L4999">
            <v>148835</v>
          </cell>
          <cell r="M4999">
            <v>13229</v>
          </cell>
          <cell r="N4999">
            <v>683926.05601571908</v>
          </cell>
          <cell r="O4999">
            <v>692380.00232629513</v>
          </cell>
          <cell r="P4999">
            <v>368.79259999999999</v>
          </cell>
        </row>
        <row r="5000">
          <cell r="B5000">
            <v>37777</v>
          </cell>
          <cell r="J5000">
            <v>3809804.3041216834</v>
          </cell>
          <cell r="K5000">
            <v>2.4380000000000002</v>
          </cell>
          <cell r="L5000">
            <v>148835</v>
          </cell>
          <cell r="M5000">
            <v>13229</v>
          </cell>
          <cell r="N5000">
            <v>683926.05601571908</v>
          </cell>
          <cell r="O5000">
            <v>692380.00232629513</v>
          </cell>
          <cell r="P5000">
            <v>368.79259999999999</v>
          </cell>
        </row>
        <row r="5001">
          <cell r="B5001">
            <v>37778</v>
          </cell>
          <cell r="J5001">
            <v>3809804.3041216834</v>
          </cell>
          <cell r="K5001">
            <v>2.4380000000000002</v>
          </cell>
          <cell r="L5001">
            <v>148835</v>
          </cell>
          <cell r="M5001">
            <v>13229</v>
          </cell>
          <cell r="N5001">
            <v>683926.05601571908</v>
          </cell>
          <cell r="O5001">
            <v>692380.00232629513</v>
          </cell>
          <cell r="P5001">
            <v>368.79259999999999</v>
          </cell>
        </row>
        <row r="5002">
          <cell r="B5002">
            <v>37779</v>
          </cell>
          <cell r="J5002">
            <v>3809804.3041216834</v>
          </cell>
          <cell r="K5002">
            <v>2.4380000000000002</v>
          </cell>
          <cell r="L5002">
            <v>148835</v>
          </cell>
          <cell r="M5002">
            <v>13229</v>
          </cell>
          <cell r="N5002">
            <v>683926.05601571908</v>
          </cell>
          <cell r="O5002">
            <v>692380.00232629513</v>
          </cell>
          <cell r="P5002">
            <v>368.79259999999999</v>
          </cell>
        </row>
        <row r="5003">
          <cell r="B5003">
            <v>37780</v>
          </cell>
          <cell r="J5003">
            <v>3809804.3041216834</v>
          </cell>
          <cell r="K5003">
            <v>2.4380000000000002</v>
          </cell>
          <cell r="L5003">
            <v>148835</v>
          </cell>
          <cell r="M5003">
            <v>13229</v>
          </cell>
          <cell r="N5003">
            <v>683926.05601571908</v>
          </cell>
          <cell r="O5003">
            <v>692380.00232629513</v>
          </cell>
          <cell r="P5003">
            <v>368.79259999999999</v>
          </cell>
        </row>
        <row r="5004">
          <cell r="B5004">
            <v>37781</v>
          </cell>
          <cell r="J5004">
            <v>3809804.3041216834</v>
          </cell>
          <cell r="K5004">
            <v>2.4380000000000002</v>
          </cell>
          <cell r="L5004">
            <v>148835</v>
          </cell>
          <cell r="M5004">
            <v>13229</v>
          </cell>
          <cell r="N5004">
            <v>683926.05601571908</v>
          </cell>
          <cell r="O5004">
            <v>692380.00232629513</v>
          </cell>
          <cell r="P5004">
            <v>368.79259999999999</v>
          </cell>
        </row>
        <row r="5005">
          <cell r="B5005">
            <v>37782</v>
          </cell>
          <cell r="J5005">
            <v>3809804.3041216834</v>
          </cell>
          <cell r="K5005">
            <v>2.4380000000000002</v>
          </cell>
          <cell r="L5005">
            <v>148835</v>
          </cell>
          <cell r="M5005">
            <v>13229</v>
          </cell>
          <cell r="N5005">
            <v>683926.05601571908</v>
          </cell>
          <cell r="O5005">
            <v>692380.00232629513</v>
          </cell>
          <cell r="P5005">
            <v>368.79259999999999</v>
          </cell>
        </row>
        <row r="5006">
          <cell r="B5006">
            <v>37783</v>
          </cell>
          <cell r="J5006">
            <v>3809804.3041216834</v>
          </cell>
          <cell r="K5006">
            <v>2.4380000000000002</v>
          </cell>
          <cell r="L5006">
            <v>148835</v>
          </cell>
          <cell r="M5006">
            <v>13229</v>
          </cell>
          <cell r="N5006">
            <v>683926.05601571908</v>
          </cell>
          <cell r="O5006">
            <v>692380.00232629513</v>
          </cell>
          <cell r="P5006">
            <v>368.79259999999999</v>
          </cell>
        </row>
        <row r="5007">
          <cell r="B5007">
            <v>37784</v>
          </cell>
          <cell r="J5007">
            <v>3809804.3041216834</v>
          </cell>
          <cell r="K5007">
            <v>2.4380000000000002</v>
          </cell>
          <cell r="L5007">
            <v>148835</v>
          </cell>
          <cell r="M5007">
            <v>13229</v>
          </cell>
          <cell r="N5007">
            <v>683926.05601571908</v>
          </cell>
          <cell r="O5007">
            <v>692380.00232629513</v>
          </cell>
          <cell r="P5007">
            <v>368.79259999999999</v>
          </cell>
        </row>
        <row r="5008">
          <cell r="B5008">
            <v>37785</v>
          </cell>
          <cell r="J5008">
            <v>3809804.3041216834</v>
          </cell>
          <cell r="K5008">
            <v>2.4380000000000002</v>
          </cell>
          <cell r="L5008">
            <v>148835</v>
          </cell>
          <cell r="M5008">
            <v>13229</v>
          </cell>
          <cell r="N5008">
            <v>683926.05601571908</v>
          </cell>
          <cell r="O5008">
            <v>692380.00232629513</v>
          </cell>
          <cell r="P5008">
            <v>368.79259999999999</v>
          </cell>
        </row>
        <row r="5009">
          <cell r="B5009">
            <v>37786</v>
          </cell>
          <cell r="J5009">
            <v>3809804.3041216834</v>
          </cell>
          <cell r="K5009">
            <v>2.4380000000000002</v>
          </cell>
          <cell r="L5009">
            <v>148835</v>
          </cell>
          <cell r="M5009">
            <v>13229</v>
          </cell>
          <cell r="N5009">
            <v>683926.05601571908</v>
          </cell>
          <cell r="O5009">
            <v>692380.00232629513</v>
          </cell>
          <cell r="P5009">
            <v>368.79259999999999</v>
          </cell>
        </row>
        <row r="5010">
          <cell r="B5010">
            <v>37787</v>
          </cell>
          <cell r="J5010">
            <v>3809804.3041216834</v>
          </cell>
          <cell r="K5010">
            <v>2.4380000000000002</v>
          </cell>
          <cell r="L5010">
            <v>148835</v>
          </cell>
          <cell r="M5010">
            <v>13229</v>
          </cell>
          <cell r="N5010">
            <v>683926.05601571908</v>
          </cell>
          <cell r="O5010">
            <v>692380.00232629513</v>
          </cell>
          <cell r="P5010">
            <v>368.79259999999999</v>
          </cell>
        </row>
        <row r="5011">
          <cell r="B5011">
            <v>37788</v>
          </cell>
          <cell r="J5011">
            <v>3809804.3041216834</v>
          </cell>
          <cell r="K5011">
            <v>2.4380000000000002</v>
          </cell>
          <cell r="L5011">
            <v>148835</v>
          </cell>
          <cell r="M5011">
            <v>13229</v>
          </cell>
          <cell r="N5011">
            <v>683926.05601571908</v>
          </cell>
          <cell r="O5011">
            <v>692380.00232629513</v>
          </cell>
          <cell r="P5011">
            <v>368.79259999999999</v>
          </cell>
        </row>
        <row r="5012">
          <cell r="B5012">
            <v>37789</v>
          </cell>
          <cell r="J5012">
            <v>3809804.3041216834</v>
          </cell>
          <cell r="K5012">
            <v>2.4380000000000002</v>
          </cell>
          <cell r="L5012">
            <v>148835</v>
          </cell>
          <cell r="M5012">
            <v>13229</v>
          </cell>
          <cell r="N5012">
            <v>683926.05601571908</v>
          </cell>
          <cell r="O5012">
            <v>692380.00232629513</v>
          </cell>
          <cell r="P5012">
            <v>368.79259999999999</v>
          </cell>
        </row>
        <row r="5013">
          <cell r="B5013">
            <v>37790</v>
          </cell>
          <cell r="J5013">
            <v>3809804.3041216834</v>
          </cell>
          <cell r="K5013">
            <v>2.4380000000000002</v>
          </cell>
          <cell r="L5013">
            <v>148835</v>
          </cell>
          <cell r="M5013">
            <v>13229</v>
          </cell>
          <cell r="N5013">
            <v>683926.05601571908</v>
          </cell>
          <cell r="O5013">
            <v>692380.00232629513</v>
          </cell>
          <cell r="P5013">
            <v>368.79259999999999</v>
          </cell>
        </row>
        <row r="5014">
          <cell r="B5014">
            <v>37791</v>
          </cell>
          <cell r="J5014">
            <v>3809804.3041216834</v>
          </cell>
          <cell r="K5014">
            <v>2.4380000000000002</v>
          </cell>
          <cell r="L5014">
            <v>148835</v>
          </cell>
          <cell r="M5014">
            <v>13229</v>
          </cell>
          <cell r="N5014">
            <v>683926.05601571908</v>
          </cell>
          <cell r="O5014">
            <v>692380.00232629513</v>
          </cell>
          <cell r="P5014">
            <v>368.79259999999999</v>
          </cell>
        </row>
        <row r="5015">
          <cell r="B5015">
            <v>37792</v>
          </cell>
          <cell r="J5015">
            <v>3809804.3041216834</v>
          </cell>
          <cell r="K5015">
            <v>2.4380000000000002</v>
          </cell>
          <cell r="L5015">
            <v>148835</v>
          </cell>
          <cell r="M5015">
            <v>13229</v>
          </cell>
          <cell r="N5015">
            <v>683926.05601571908</v>
          </cell>
          <cell r="O5015">
            <v>692380.00232629513</v>
          </cell>
          <cell r="P5015">
            <v>368.79259999999999</v>
          </cell>
        </row>
        <row r="5016">
          <cell r="B5016">
            <v>37793</v>
          </cell>
          <cell r="J5016">
            <v>3809804.3041216834</v>
          </cell>
          <cell r="K5016">
            <v>2.4380000000000002</v>
          </cell>
          <cell r="L5016">
            <v>148835</v>
          </cell>
          <cell r="M5016">
            <v>13229</v>
          </cell>
          <cell r="N5016">
            <v>683926.05601571908</v>
          </cell>
          <cell r="O5016">
            <v>692380.00232629513</v>
          </cell>
          <cell r="P5016">
            <v>368.79259999999999</v>
          </cell>
        </row>
        <row r="5017">
          <cell r="B5017">
            <v>37794</v>
          </cell>
          <cell r="J5017">
            <v>3809804.3041216834</v>
          </cell>
          <cell r="K5017">
            <v>2.4380000000000002</v>
          </cell>
          <cell r="L5017">
            <v>148835</v>
          </cell>
          <cell r="M5017">
            <v>13229</v>
          </cell>
          <cell r="N5017">
            <v>683926.05601571908</v>
          </cell>
          <cell r="O5017">
            <v>692380.00232629513</v>
          </cell>
          <cell r="P5017">
            <v>368.79259999999999</v>
          </cell>
        </row>
        <row r="5018">
          <cell r="B5018">
            <v>37795</v>
          </cell>
          <cell r="J5018">
            <v>3809804.3041216834</v>
          </cell>
          <cell r="K5018">
            <v>2.4380000000000002</v>
          </cell>
          <cell r="L5018">
            <v>148835</v>
          </cell>
          <cell r="M5018">
            <v>13229</v>
          </cell>
          <cell r="N5018">
            <v>683926.05601571908</v>
          </cell>
          <cell r="O5018">
            <v>692380.00232629513</v>
          </cell>
          <cell r="P5018">
            <v>368.79259999999999</v>
          </cell>
        </row>
        <row r="5019">
          <cell r="B5019">
            <v>37796</v>
          </cell>
          <cell r="J5019">
            <v>3809804.3041216834</v>
          </cell>
          <cell r="K5019">
            <v>2.4380000000000002</v>
          </cell>
          <cell r="L5019">
            <v>148835</v>
          </cell>
          <cell r="M5019">
            <v>13229</v>
          </cell>
          <cell r="N5019">
            <v>683926.05601571908</v>
          </cell>
          <cell r="O5019">
            <v>692380.00232629513</v>
          </cell>
          <cell r="P5019">
            <v>368.79259999999999</v>
          </cell>
        </row>
        <row r="5020">
          <cell r="B5020">
            <v>37797</v>
          </cell>
          <cell r="J5020">
            <v>3809804.3041216834</v>
          </cell>
          <cell r="K5020">
            <v>2.4380000000000002</v>
          </cell>
          <cell r="L5020">
            <v>148835</v>
          </cell>
          <cell r="M5020">
            <v>13229</v>
          </cell>
          <cell r="N5020">
            <v>683926.05601571908</v>
          </cell>
          <cell r="O5020">
            <v>692380.00232629513</v>
          </cell>
          <cell r="P5020">
            <v>368.79259999999999</v>
          </cell>
        </row>
        <row r="5021">
          <cell r="B5021">
            <v>37798</v>
          </cell>
          <cell r="J5021">
            <v>3809804.3041216834</v>
          </cell>
          <cell r="K5021">
            <v>2.4380000000000002</v>
          </cell>
          <cell r="L5021">
            <v>148835</v>
          </cell>
          <cell r="M5021">
            <v>13229</v>
          </cell>
          <cell r="N5021">
            <v>683926.05601571908</v>
          </cell>
          <cell r="O5021">
            <v>692380.00232629513</v>
          </cell>
          <cell r="P5021">
            <v>368.79259999999999</v>
          </cell>
        </row>
        <row r="5022">
          <cell r="B5022">
            <v>37799</v>
          </cell>
          <cell r="J5022">
            <v>3809804.3041216834</v>
          </cell>
          <cell r="K5022">
            <v>2.4380000000000002</v>
          </cell>
          <cell r="L5022">
            <v>148835</v>
          </cell>
          <cell r="M5022">
            <v>13229</v>
          </cell>
          <cell r="N5022">
            <v>683926.05601571908</v>
          </cell>
          <cell r="O5022">
            <v>692380.00232629513</v>
          </cell>
          <cell r="P5022">
            <v>368.79259999999999</v>
          </cell>
        </row>
        <row r="5023">
          <cell r="B5023">
            <v>37800</v>
          </cell>
          <cell r="J5023">
            <v>3809804.3041216834</v>
          </cell>
          <cell r="K5023">
            <v>2.4380000000000002</v>
          </cell>
          <cell r="L5023">
            <v>148835</v>
          </cell>
          <cell r="M5023">
            <v>13229</v>
          </cell>
          <cell r="N5023">
            <v>683926.05601571908</v>
          </cell>
          <cell r="O5023">
            <v>692380.00232629513</v>
          </cell>
          <cell r="P5023">
            <v>368.79259999999999</v>
          </cell>
        </row>
        <row r="5024">
          <cell r="B5024">
            <v>37801</v>
          </cell>
          <cell r="J5024">
            <v>3809804.3041216834</v>
          </cell>
          <cell r="K5024">
            <v>2.4380000000000002</v>
          </cell>
          <cell r="L5024">
            <v>148835</v>
          </cell>
          <cell r="M5024">
            <v>13229</v>
          </cell>
          <cell r="N5024">
            <v>683926.05601571908</v>
          </cell>
          <cell r="O5024">
            <v>692380.00232629513</v>
          </cell>
          <cell r="P5024">
            <v>368.79259999999999</v>
          </cell>
        </row>
        <row r="5025">
          <cell r="B5025">
            <v>37802</v>
          </cell>
          <cell r="J5025">
            <v>3809804.3041216834</v>
          </cell>
          <cell r="K5025">
            <v>2.4380000000000002</v>
          </cell>
          <cell r="L5025">
            <v>148835</v>
          </cell>
          <cell r="M5025">
            <v>13229</v>
          </cell>
          <cell r="N5025">
            <v>683926.05601571908</v>
          </cell>
          <cell r="O5025">
            <v>692380.00232629513</v>
          </cell>
          <cell r="P5025">
            <v>368.79259999999999</v>
          </cell>
        </row>
        <row r="5026">
          <cell r="B5026">
            <v>37803</v>
          </cell>
          <cell r="J5026">
            <v>3809804.3041216834</v>
          </cell>
          <cell r="K5026">
            <v>2.4380000000000002</v>
          </cell>
          <cell r="L5026">
            <v>148835</v>
          </cell>
          <cell r="M5026">
            <v>13229</v>
          </cell>
          <cell r="N5026">
            <v>683926.05601571908</v>
          </cell>
          <cell r="O5026">
            <v>692380.00232629513</v>
          </cell>
          <cell r="P5026">
            <v>368.79259999999999</v>
          </cell>
        </row>
        <row r="5027">
          <cell r="B5027">
            <v>37804</v>
          </cell>
          <cell r="J5027">
            <v>3809804.3041216834</v>
          </cell>
          <cell r="K5027">
            <v>2.4380000000000002</v>
          </cell>
          <cell r="L5027">
            <v>148835</v>
          </cell>
          <cell r="M5027">
            <v>13229</v>
          </cell>
          <cell r="N5027">
            <v>683926.05601571908</v>
          </cell>
          <cell r="O5027">
            <v>692380.00232629513</v>
          </cell>
          <cell r="P5027">
            <v>368.79259999999999</v>
          </cell>
        </row>
        <row r="5028">
          <cell r="B5028">
            <v>37805</v>
          </cell>
          <cell r="J5028">
            <v>3809804.3041216834</v>
          </cell>
          <cell r="K5028">
            <v>2.4380000000000002</v>
          </cell>
          <cell r="L5028">
            <v>148835</v>
          </cell>
          <cell r="M5028">
            <v>13229</v>
          </cell>
          <cell r="N5028">
            <v>683926.05601571908</v>
          </cell>
          <cell r="O5028">
            <v>692380.00232629513</v>
          </cell>
          <cell r="P5028">
            <v>368.79259999999999</v>
          </cell>
        </row>
        <row r="5029">
          <cell r="B5029">
            <v>37806</v>
          </cell>
          <cell r="J5029">
            <v>3809804.3041216834</v>
          </cell>
          <cell r="K5029">
            <v>2.4380000000000002</v>
          </cell>
          <cell r="L5029">
            <v>148835</v>
          </cell>
          <cell r="M5029">
            <v>13229</v>
          </cell>
          <cell r="N5029">
            <v>683926.05601571908</v>
          </cell>
          <cell r="O5029">
            <v>692380.00232629513</v>
          </cell>
          <cell r="P5029">
            <v>368.79259999999999</v>
          </cell>
        </row>
        <row r="5030">
          <cell r="B5030">
            <v>37807</v>
          </cell>
          <cell r="J5030">
            <v>3809804.3041216834</v>
          </cell>
          <cell r="K5030">
            <v>2.4380000000000002</v>
          </cell>
          <cell r="L5030">
            <v>148835</v>
          </cell>
          <cell r="M5030">
            <v>13229</v>
          </cell>
          <cell r="N5030">
            <v>683926.05601571908</v>
          </cell>
          <cell r="O5030">
            <v>692380.00232629513</v>
          </cell>
          <cell r="P5030">
            <v>368.79259999999999</v>
          </cell>
        </row>
        <row r="5031">
          <cell r="B5031">
            <v>37808</v>
          </cell>
          <cell r="J5031">
            <v>3809804.3041216834</v>
          </cell>
          <cell r="K5031">
            <v>2.4380000000000002</v>
          </cell>
          <cell r="L5031">
            <v>148835</v>
          </cell>
          <cell r="M5031">
            <v>13229</v>
          </cell>
          <cell r="N5031">
            <v>683926.05601571908</v>
          </cell>
          <cell r="O5031">
            <v>692380.00232629513</v>
          </cell>
          <cell r="P5031">
            <v>368.79259999999999</v>
          </cell>
        </row>
        <row r="5032">
          <cell r="B5032">
            <v>37809</v>
          </cell>
          <cell r="J5032">
            <v>3809804.3041216834</v>
          </cell>
          <cell r="K5032">
            <v>2.4380000000000002</v>
          </cell>
          <cell r="L5032">
            <v>148835</v>
          </cell>
          <cell r="M5032">
            <v>13229</v>
          </cell>
          <cell r="N5032">
            <v>683926.05601571908</v>
          </cell>
          <cell r="O5032">
            <v>692380.00232629513</v>
          </cell>
          <cell r="P5032">
            <v>368.79259999999999</v>
          </cell>
        </row>
        <row r="5033">
          <cell r="B5033">
            <v>37810</v>
          </cell>
          <cell r="J5033">
            <v>3809804.3041216834</v>
          </cell>
          <cell r="K5033">
            <v>2.4380000000000002</v>
          </cell>
          <cell r="L5033">
            <v>148835</v>
          </cell>
          <cell r="M5033">
            <v>13229</v>
          </cell>
          <cell r="N5033">
            <v>683926.05601571908</v>
          </cell>
          <cell r="O5033">
            <v>692380.00232629513</v>
          </cell>
          <cell r="P5033">
            <v>368.79259999999999</v>
          </cell>
        </row>
        <row r="5034">
          <cell r="B5034">
            <v>37811</v>
          </cell>
          <cell r="J5034">
            <v>3809804.3041216834</v>
          </cell>
          <cell r="K5034">
            <v>2.4380000000000002</v>
          </cell>
          <cell r="L5034">
            <v>148835</v>
          </cell>
          <cell r="M5034">
            <v>13229</v>
          </cell>
          <cell r="N5034">
            <v>683926.05601571908</v>
          </cell>
          <cell r="O5034">
            <v>692380.00232629513</v>
          </cell>
          <cell r="P5034">
            <v>368.79259999999999</v>
          </cell>
        </row>
        <row r="5035">
          <cell r="B5035">
            <v>37812</v>
          </cell>
          <cell r="J5035">
            <v>3809804.3041216834</v>
          </cell>
          <cell r="K5035">
            <v>2.4380000000000002</v>
          </cell>
          <cell r="L5035">
            <v>148835</v>
          </cell>
          <cell r="M5035">
            <v>13229</v>
          </cell>
          <cell r="N5035">
            <v>683926.05601571908</v>
          </cell>
          <cell r="O5035">
            <v>692380.00232629513</v>
          </cell>
          <cell r="P5035">
            <v>368.79259999999999</v>
          </cell>
        </row>
        <row r="5036">
          <cell r="B5036">
            <v>37813</v>
          </cell>
          <cell r="J5036">
            <v>3809804.3041216834</v>
          </cell>
          <cell r="K5036">
            <v>2.4380000000000002</v>
          </cell>
          <cell r="L5036">
            <v>148835</v>
          </cell>
          <cell r="M5036">
            <v>13229</v>
          </cell>
          <cell r="N5036">
            <v>683926.05601571908</v>
          </cell>
          <cell r="O5036">
            <v>692380.00232629513</v>
          </cell>
          <cell r="P5036">
            <v>368.79259999999999</v>
          </cell>
        </row>
        <row r="5037">
          <cell r="B5037">
            <v>37814</v>
          </cell>
          <cell r="J5037">
            <v>3809804.3041216834</v>
          </cell>
          <cell r="K5037">
            <v>2.4380000000000002</v>
          </cell>
          <cell r="L5037">
            <v>148835</v>
          </cell>
          <cell r="M5037">
            <v>13229</v>
          </cell>
          <cell r="N5037">
            <v>683926.05601571908</v>
          </cell>
          <cell r="O5037">
            <v>692380.00232629513</v>
          </cell>
          <cell r="P5037">
            <v>368.79259999999999</v>
          </cell>
        </row>
        <row r="5038">
          <cell r="B5038">
            <v>37815</v>
          </cell>
          <cell r="J5038">
            <v>3809804.3041216834</v>
          </cell>
          <cell r="K5038">
            <v>2.4380000000000002</v>
          </cell>
          <cell r="L5038">
            <v>148835</v>
          </cell>
          <cell r="M5038">
            <v>13229</v>
          </cell>
          <cell r="N5038">
            <v>683926.05601571908</v>
          </cell>
          <cell r="O5038">
            <v>692380.00232629513</v>
          </cell>
          <cell r="P5038">
            <v>368.79259999999999</v>
          </cell>
        </row>
        <row r="5039">
          <cell r="B5039">
            <v>37816</v>
          </cell>
          <cell r="J5039">
            <v>3809804.3041216834</v>
          </cell>
          <cell r="K5039">
            <v>2.4380000000000002</v>
          </cell>
          <cell r="L5039">
            <v>148835</v>
          </cell>
          <cell r="M5039">
            <v>13229</v>
          </cell>
          <cell r="N5039">
            <v>683926.05601571908</v>
          </cell>
          <cell r="O5039">
            <v>692380.00232629513</v>
          </cell>
          <cell r="P5039">
            <v>368.79259999999999</v>
          </cell>
        </row>
        <row r="5040">
          <cell r="B5040">
            <v>37817</v>
          </cell>
          <cell r="J5040">
            <v>3809804.3041216834</v>
          </cell>
          <cell r="K5040">
            <v>2.4380000000000002</v>
          </cell>
          <cell r="L5040">
            <v>148835</v>
          </cell>
          <cell r="M5040">
            <v>13229</v>
          </cell>
          <cell r="N5040">
            <v>683926.05601571908</v>
          </cell>
          <cell r="O5040">
            <v>692380.00232629513</v>
          </cell>
          <cell r="P5040">
            <v>368.79259999999999</v>
          </cell>
        </row>
        <row r="5041">
          <cell r="B5041">
            <v>37818</v>
          </cell>
          <cell r="J5041">
            <v>3809804.3041216834</v>
          </cell>
          <cell r="K5041">
            <v>2.4380000000000002</v>
          </cell>
          <cell r="L5041">
            <v>148835</v>
          </cell>
          <cell r="M5041">
            <v>13229</v>
          </cell>
          <cell r="N5041">
            <v>683926.05601571908</v>
          </cell>
          <cell r="O5041">
            <v>692380.00232629513</v>
          </cell>
          <cell r="P5041">
            <v>368.79259999999999</v>
          </cell>
        </row>
        <row r="5042">
          <cell r="B5042">
            <v>37819</v>
          </cell>
          <cell r="J5042">
            <v>3809804.3041216834</v>
          </cell>
          <cell r="K5042">
            <v>2.4380000000000002</v>
          </cell>
          <cell r="L5042">
            <v>148835</v>
          </cell>
          <cell r="M5042">
            <v>13229</v>
          </cell>
          <cell r="N5042">
            <v>683926.05601571908</v>
          </cell>
          <cell r="O5042">
            <v>692380.00232629513</v>
          </cell>
          <cell r="P5042">
            <v>368.79259999999999</v>
          </cell>
        </row>
        <row r="5043">
          <cell r="B5043">
            <v>37820</v>
          </cell>
          <cell r="J5043">
            <v>3809804.3041216834</v>
          </cell>
          <cell r="K5043">
            <v>2.4380000000000002</v>
          </cell>
          <cell r="L5043">
            <v>148835</v>
          </cell>
          <cell r="M5043">
            <v>13229</v>
          </cell>
          <cell r="N5043">
            <v>683926.05601571908</v>
          </cell>
          <cell r="O5043">
            <v>692380.00232629513</v>
          </cell>
          <cell r="P5043">
            <v>368.79259999999999</v>
          </cell>
        </row>
        <row r="5044">
          <cell r="B5044">
            <v>37821</v>
          </cell>
          <cell r="J5044">
            <v>3809804.3041216834</v>
          </cell>
          <cell r="K5044">
            <v>2.4380000000000002</v>
          </cell>
          <cell r="L5044">
            <v>148835</v>
          </cell>
          <cell r="M5044">
            <v>13229</v>
          </cell>
          <cell r="N5044">
            <v>683926.05601571908</v>
          </cell>
          <cell r="O5044">
            <v>692380.00232629513</v>
          </cell>
          <cell r="P5044">
            <v>368.79259999999999</v>
          </cell>
        </row>
        <row r="5045">
          <cell r="B5045">
            <v>37822</v>
          </cell>
          <cell r="J5045">
            <v>3809804.3041216834</v>
          </cell>
          <cell r="K5045">
            <v>2.4380000000000002</v>
          </cell>
          <cell r="L5045">
            <v>148835</v>
          </cell>
          <cell r="M5045">
            <v>13229</v>
          </cell>
          <cell r="N5045">
            <v>683926.05601571908</v>
          </cell>
          <cell r="O5045">
            <v>692380.00232629513</v>
          </cell>
          <cell r="P5045">
            <v>368.79259999999999</v>
          </cell>
        </row>
        <row r="5046">
          <cell r="B5046">
            <v>37823</v>
          </cell>
          <cell r="J5046">
            <v>3809804.3041216834</v>
          </cell>
          <cell r="K5046">
            <v>2.4380000000000002</v>
          </cell>
          <cell r="L5046">
            <v>148835</v>
          </cell>
          <cell r="M5046">
            <v>13229</v>
          </cell>
          <cell r="N5046">
            <v>683926.05601571908</v>
          </cell>
          <cell r="O5046">
            <v>692380.00232629513</v>
          </cell>
          <cell r="P5046">
            <v>368.79259999999999</v>
          </cell>
        </row>
        <row r="5047">
          <cell r="B5047">
            <v>37824</v>
          </cell>
          <cell r="J5047">
            <v>3809804.3041216834</v>
          </cell>
          <cell r="K5047">
            <v>2.4380000000000002</v>
          </cell>
          <cell r="L5047">
            <v>148835</v>
          </cell>
          <cell r="M5047">
            <v>13229</v>
          </cell>
          <cell r="N5047">
            <v>683926.05601571908</v>
          </cell>
          <cell r="O5047">
            <v>692380.00232629513</v>
          </cell>
          <cell r="P5047">
            <v>368.79259999999999</v>
          </cell>
        </row>
        <row r="5048">
          <cell r="B5048">
            <v>37825</v>
          </cell>
          <cell r="J5048">
            <v>3809804.3041216834</v>
          </cell>
          <cell r="K5048">
            <v>2.4380000000000002</v>
          </cell>
          <cell r="L5048">
            <v>148835</v>
          </cell>
          <cell r="M5048">
            <v>13229</v>
          </cell>
          <cell r="N5048">
            <v>683926.05601571908</v>
          </cell>
          <cell r="O5048">
            <v>692380.00232629513</v>
          </cell>
          <cell r="P5048">
            <v>368.79259999999999</v>
          </cell>
        </row>
        <row r="5049">
          <cell r="B5049">
            <v>37826</v>
          </cell>
          <cell r="J5049">
            <v>3809804.3041216834</v>
          </cell>
          <cell r="K5049">
            <v>2.4380000000000002</v>
          </cell>
          <cell r="L5049">
            <v>148835</v>
          </cell>
          <cell r="M5049">
            <v>13229</v>
          </cell>
          <cell r="N5049">
            <v>683926.05601571908</v>
          </cell>
          <cell r="O5049">
            <v>692380.00232629513</v>
          </cell>
          <cell r="P5049">
            <v>368.79259999999999</v>
          </cell>
        </row>
        <row r="5050">
          <cell r="B5050">
            <v>37827</v>
          </cell>
          <cell r="J5050">
            <v>3809804.3041216834</v>
          </cell>
          <cell r="K5050">
            <v>2.4380000000000002</v>
          </cell>
          <cell r="L5050">
            <v>148835</v>
          </cell>
          <cell r="M5050">
            <v>13229</v>
          </cell>
          <cell r="N5050">
            <v>683926.05601571908</v>
          </cell>
          <cell r="O5050">
            <v>692380.00232629513</v>
          </cell>
          <cell r="P5050">
            <v>368.79259999999999</v>
          </cell>
        </row>
        <row r="5051">
          <cell r="B5051">
            <v>37828</v>
          </cell>
          <cell r="J5051">
            <v>3809804.3041216834</v>
          </cell>
          <cell r="K5051">
            <v>2.4380000000000002</v>
          </cell>
          <cell r="L5051">
            <v>148835</v>
          </cell>
          <cell r="M5051">
            <v>13229</v>
          </cell>
          <cell r="N5051">
            <v>683926.05601571908</v>
          </cell>
          <cell r="O5051">
            <v>692380.00232629513</v>
          </cell>
          <cell r="P5051">
            <v>368.79259999999999</v>
          </cell>
        </row>
        <row r="5052">
          <cell r="B5052">
            <v>37829</v>
          </cell>
          <cell r="J5052">
            <v>3809804.3041216834</v>
          </cell>
          <cell r="K5052">
            <v>2.4380000000000002</v>
          </cell>
          <cell r="L5052">
            <v>148835</v>
          </cell>
          <cell r="M5052">
            <v>13229</v>
          </cell>
          <cell r="N5052">
            <v>683926.05601571908</v>
          </cell>
          <cell r="O5052">
            <v>692380.00232629513</v>
          </cell>
          <cell r="P5052">
            <v>368.79259999999999</v>
          </cell>
        </row>
        <row r="5053">
          <cell r="B5053">
            <v>37830</v>
          </cell>
          <cell r="J5053">
            <v>3809804.3041216834</v>
          </cell>
          <cell r="K5053">
            <v>2.4380000000000002</v>
          </cell>
          <cell r="L5053">
            <v>148835</v>
          </cell>
          <cell r="M5053">
            <v>13229</v>
          </cell>
          <cell r="N5053">
            <v>683926.05601571908</v>
          </cell>
          <cell r="O5053">
            <v>692380.00232629513</v>
          </cell>
          <cell r="P5053">
            <v>368.79259999999999</v>
          </cell>
        </row>
        <row r="5054">
          <cell r="B5054">
            <v>37831</v>
          </cell>
          <cell r="J5054">
            <v>3809804.3041216834</v>
          </cell>
          <cell r="K5054">
            <v>2.4380000000000002</v>
          </cell>
          <cell r="L5054">
            <v>148835</v>
          </cell>
          <cell r="M5054">
            <v>13229</v>
          </cell>
          <cell r="N5054">
            <v>683926.05601571908</v>
          </cell>
          <cell r="O5054">
            <v>692380.00232629513</v>
          </cell>
          <cell r="P5054">
            <v>368.79259999999999</v>
          </cell>
        </row>
        <row r="5055">
          <cell r="B5055">
            <v>37832</v>
          </cell>
          <cell r="J5055">
            <v>3809804.3041216834</v>
          </cell>
          <cell r="K5055">
            <v>2.4380000000000002</v>
          </cell>
          <cell r="L5055">
            <v>148835</v>
          </cell>
          <cell r="M5055">
            <v>13229</v>
          </cell>
          <cell r="N5055">
            <v>683926.05601571908</v>
          </cell>
          <cell r="O5055">
            <v>692380.00232629513</v>
          </cell>
          <cell r="P5055">
            <v>368.79259999999999</v>
          </cell>
        </row>
        <row r="5056">
          <cell r="B5056">
            <v>37833</v>
          </cell>
          <cell r="J5056">
            <v>3809804.3041216834</v>
          </cell>
          <cell r="K5056">
            <v>2.4380000000000002</v>
          </cell>
          <cell r="L5056">
            <v>148835</v>
          </cell>
          <cell r="M5056">
            <v>13229</v>
          </cell>
          <cell r="N5056">
            <v>683926.05601571908</v>
          </cell>
          <cell r="O5056">
            <v>692380.00232629513</v>
          </cell>
          <cell r="P5056">
            <v>368.79259999999999</v>
          </cell>
        </row>
        <row r="5057">
          <cell r="B5057">
            <v>37834</v>
          </cell>
          <cell r="J5057">
            <v>3809804.3041216834</v>
          </cell>
          <cell r="K5057">
            <v>2.4380000000000002</v>
          </cell>
          <cell r="L5057">
            <v>148835</v>
          </cell>
          <cell r="M5057">
            <v>13229</v>
          </cell>
          <cell r="N5057">
            <v>683926.05601571908</v>
          </cell>
          <cell r="O5057">
            <v>692380.00232629513</v>
          </cell>
          <cell r="P5057">
            <v>368.79259999999999</v>
          </cell>
        </row>
        <row r="5058">
          <cell r="B5058">
            <v>37835</v>
          </cell>
          <cell r="J5058">
            <v>3809804.3041216834</v>
          </cell>
          <cell r="K5058">
            <v>2.4380000000000002</v>
          </cell>
          <cell r="L5058">
            <v>148835</v>
          </cell>
          <cell r="M5058">
            <v>13229</v>
          </cell>
          <cell r="N5058">
            <v>683926.05601571908</v>
          </cell>
          <cell r="O5058">
            <v>692380.00232629513</v>
          </cell>
          <cell r="P5058">
            <v>368.79259999999999</v>
          </cell>
        </row>
        <row r="5059">
          <cell r="B5059">
            <v>37836</v>
          </cell>
          <cell r="J5059">
            <v>3809804.3041216834</v>
          </cell>
          <cell r="K5059">
            <v>2.4380000000000002</v>
          </cell>
          <cell r="L5059">
            <v>148835</v>
          </cell>
          <cell r="M5059">
            <v>13229</v>
          </cell>
          <cell r="N5059">
            <v>683926.05601571908</v>
          </cell>
          <cell r="O5059">
            <v>692380.00232629513</v>
          </cell>
          <cell r="P5059">
            <v>368.79259999999999</v>
          </cell>
        </row>
        <row r="5060">
          <cell r="B5060">
            <v>37837</v>
          </cell>
          <cell r="J5060">
            <v>3809804.3041216834</v>
          </cell>
          <cell r="K5060">
            <v>2.4380000000000002</v>
          </cell>
          <cell r="L5060">
            <v>148835</v>
          </cell>
          <cell r="M5060">
            <v>13229</v>
          </cell>
          <cell r="N5060">
            <v>683926.05601571908</v>
          </cell>
          <cell r="O5060">
            <v>692380.00232629513</v>
          </cell>
          <cell r="P5060">
            <v>368.79259999999999</v>
          </cell>
        </row>
        <row r="5061">
          <cell r="B5061">
            <v>37838</v>
          </cell>
          <cell r="J5061">
            <v>3809804.3041216834</v>
          </cell>
          <cell r="K5061">
            <v>2.4380000000000002</v>
          </cell>
          <cell r="L5061">
            <v>148835</v>
          </cell>
          <cell r="M5061">
            <v>13229</v>
          </cell>
          <cell r="N5061">
            <v>683926.05601571908</v>
          </cell>
          <cell r="O5061">
            <v>692380.00232629513</v>
          </cell>
          <cell r="P5061">
            <v>368.79259999999999</v>
          </cell>
        </row>
        <row r="5062">
          <cell r="B5062">
            <v>37839</v>
          </cell>
          <cell r="J5062">
            <v>3809804.3041216834</v>
          </cell>
          <cell r="K5062">
            <v>2.4380000000000002</v>
          </cell>
          <cell r="L5062">
            <v>148835</v>
          </cell>
          <cell r="M5062">
            <v>13229</v>
          </cell>
          <cell r="N5062">
            <v>683926.05601571908</v>
          </cell>
          <cell r="O5062">
            <v>692380.00232629513</v>
          </cell>
          <cell r="P5062">
            <v>368.79259999999999</v>
          </cell>
        </row>
        <row r="5063">
          <cell r="B5063">
            <v>37840</v>
          </cell>
          <cell r="J5063">
            <v>3809804.3041216834</v>
          </cell>
          <cell r="K5063">
            <v>2.4380000000000002</v>
          </cell>
          <cell r="L5063">
            <v>148835</v>
          </cell>
          <cell r="M5063">
            <v>13229</v>
          </cell>
          <cell r="N5063">
            <v>683926.05601571908</v>
          </cell>
          <cell r="O5063">
            <v>692380.00232629513</v>
          </cell>
          <cell r="P5063">
            <v>368.79259999999999</v>
          </cell>
        </row>
        <row r="5064">
          <cell r="B5064">
            <v>37841</v>
          </cell>
          <cell r="J5064">
            <v>3809804.3041216834</v>
          </cell>
          <cell r="K5064">
            <v>2.4380000000000002</v>
          </cell>
          <cell r="L5064">
            <v>148835</v>
          </cell>
          <cell r="M5064">
            <v>13229</v>
          </cell>
          <cell r="N5064">
            <v>683926.05601571908</v>
          </cell>
          <cell r="O5064">
            <v>692380.00232629513</v>
          </cell>
          <cell r="P5064">
            <v>368.79259999999999</v>
          </cell>
        </row>
        <row r="5065">
          <cell r="B5065">
            <v>37842</v>
          </cell>
          <cell r="J5065">
            <v>3809804.3041216834</v>
          </cell>
          <cell r="K5065">
            <v>2.4380000000000002</v>
          </cell>
          <cell r="L5065">
            <v>148835</v>
          </cell>
          <cell r="M5065">
            <v>13229</v>
          </cell>
          <cell r="N5065">
            <v>683926.05601571908</v>
          </cell>
          <cell r="O5065">
            <v>692380.00232629513</v>
          </cell>
          <cell r="P5065">
            <v>368.79259999999999</v>
          </cell>
        </row>
        <row r="5066">
          <cell r="B5066">
            <v>37843</v>
          </cell>
          <cell r="J5066">
            <v>3809804.3041216834</v>
          </cell>
          <cell r="K5066">
            <v>2.4380000000000002</v>
          </cell>
          <cell r="L5066">
            <v>148835</v>
          </cell>
          <cell r="M5066">
            <v>13229</v>
          </cell>
          <cell r="N5066">
            <v>683926.05601571908</v>
          </cell>
          <cell r="O5066">
            <v>692380.00232629513</v>
          </cell>
          <cell r="P5066">
            <v>368.79259999999999</v>
          </cell>
        </row>
        <row r="5067">
          <cell r="B5067">
            <v>37844</v>
          </cell>
          <cell r="J5067">
            <v>3809804.3041216834</v>
          </cell>
          <cell r="K5067">
            <v>2.4380000000000002</v>
          </cell>
          <cell r="L5067">
            <v>148835</v>
          </cell>
          <cell r="M5067">
            <v>13229</v>
          </cell>
          <cell r="N5067">
            <v>683926.05601571908</v>
          </cell>
          <cell r="O5067">
            <v>692380.00232629513</v>
          </cell>
          <cell r="P5067">
            <v>368.79259999999999</v>
          </cell>
        </row>
        <row r="5068">
          <cell r="B5068">
            <v>37845</v>
          </cell>
          <cell r="J5068">
            <v>3809804.3041216834</v>
          </cell>
          <cell r="K5068">
            <v>2.4380000000000002</v>
          </cell>
          <cell r="L5068">
            <v>148835</v>
          </cell>
          <cell r="M5068">
            <v>13229</v>
          </cell>
          <cell r="N5068">
            <v>683926.05601571908</v>
          </cell>
          <cell r="O5068">
            <v>692380.00232629513</v>
          </cell>
          <cell r="P5068">
            <v>368.79259999999999</v>
          </cell>
        </row>
        <row r="5069">
          <cell r="B5069">
            <v>37846</v>
          </cell>
          <cell r="J5069">
            <v>3809804.3041216834</v>
          </cell>
          <cell r="K5069">
            <v>2.4380000000000002</v>
          </cell>
          <cell r="L5069">
            <v>148835</v>
          </cell>
          <cell r="M5069">
            <v>13229</v>
          </cell>
          <cell r="N5069">
            <v>683926.05601571908</v>
          </cell>
          <cell r="O5069">
            <v>692380.00232629513</v>
          </cell>
          <cell r="P5069">
            <v>368.79259999999999</v>
          </cell>
        </row>
        <row r="5070">
          <cell r="B5070">
            <v>37847</v>
          </cell>
          <cell r="J5070">
            <v>3809804.3041216834</v>
          </cell>
          <cell r="K5070">
            <v>2.4380000000000002</v>
          </cell>
          <cell r="L5070">
            <v>148835</v>
          </cell>
          <cell r="M5070">
            <v>13229</v>
          </cell>
          <cell r="N5070">
            <v>683926.05601571908</v>
          </cell>
          <cell r="O5070">
            <v>692380.00232629513</v>
          </cell>
          <cell r="P5070">
            <v>368.79259999999999</v>
          </cell>
        </row>
        <row r="5071">
          <cell r="B5071">
            <v>37848</v>
          </cell>
          <cell r="J5071">
            <v>3809804.3041216834</v>
          </cell>
          <cell r="K5071">
            <v>2.4380000000000002</v>
          </cell>
          <cell r="L5071">
            <v>148835</v>
          </cell>
          <cell r="M5071">
            <v>13229</v>
          </cell>
          <cell r="N5071">
            <v>683926.05601571908</v>
          </cell>
          <cell r="O5071">
            <v>692380.00232629513</v>
          </cell>
          <cell r="P5071">
            <v>368.79259999999999</v>
          </cell>
        </row>
        <row r="5072">
          <cell r="B5072">
            <v>37849</v>
          </cell>
          <cell r="J5072">
            <v>3809804.3041216834</v>
          </cell>
          <cell r="K5072">
            <v>2.4380000000000002</v>
          </cell>
          <cell r="L5072">
            <v>148835</v>
          </cell>
          <cell r="M5072">
            <v>13229</v>
          </cell>
          <cell r="N5072">
            <v>683926.05601571908</v>
          </cell>
          <cell r="O5072">
            <v>692380.00232629513</v>
          </cell>
          <cell r="P5072">
            <v>368.79259999999999</v>
          </cell>
        </row>
        <row r="5073">
          <cell r="B5073">
            <v>37850</v>
          </cell>
          <cell r="J5073">
            <v>3809804.3041216834</v>
          </cell>
          <cell r="K5073">
            <v>2.4380000000000002</v>
          </cell>
          <cell r="L5073">
            <v>148835</v>
          </cell>
          <cell r="M5073">
            <v>13229</v>
          </cell>
          <cell r="N5073">
            <v>683926.05601571908</v>
          </cell>
          <cell r="O5073">
            <v>692380.00232629513</v>
          </cell>
          <cell r="P5073">
            <v>368.79259999999999</v>
          </cell>
        </row>
        <row r="5074">
          <cell r="B5074">
            <v>37851</v>
          </cell>
          <cell r="J5074">
            <v>3809804.3041216834</v>
          </cell>
          <cell r="K5074">
            <v>2.4380000000000002</v>
          </cell>
          <cell r="L5074">
            <v>148835</v>
          </cell>
          <cell r="M5074">
            <v>13229</v>
          </cell>
          <cell r="N5074">
            <v>683926.05601571908</v>
          </cell>
          <cell r="O5074">
            <v>692380.00232629513</v>
          </cell>
          <cell r="P5074">
            <v>368.79259999999999</v>
          </cell>
        </row>
        <row r="5075">
          <cell r="B5075">
            <v>37852</v>
          </cell>
          <cell r="J5075">
            <v>3809804.3041216834</v>
          </cell>
          <cell r="K5075">
            <v>2.4380000000000002</v>
          </cell>
          <cell r="L5075">
            <v>148835</v>
          </cell>
          <cell r="M5075">
            <v>13229</v>
          </cell>
          <cell r="N5075">
            <v>683926.05601571908</v>
          </cell>
          <cell r="O5075">
            <v>692380.00232629513</v>
          </cell>
          <cell r="P5075">
            <v>368.79259999999999</v>
          </cell>
        </row>
        <row r="5076">
          <cell r="B5076">
            <v>37853</v>
          </cell>
          <cell r="J5076">
            <v>3809804.3041216834</v>
          </cell>
          <cell r="K5076">
            <v>2.4380000000000002</v>
          </cell>
          <cell r="L5076">
            <v>148835</v>
          </cell>
          <cell r="M5076">
            <v>13229</v>
          </cell>
          <cell r="N5076">
            <v>683926.05601571908</v>
          </cell>
          <cell r="O5076">
            <v>692380.00232629513</v>
          </cell>
          <cell r="P5076">
            <v>368.79259999999999</v>
          </cell>
        </row>
        <row r="5077">
          <cell r="B5077">
            <v>37854</v>
          </cell>
          <cell r="J5077">
            <v>3809804.3041216834</v>
          </cell>
          <cell r="K5077">
            <v>2.4380000000000002</v>
          </cell>
          <cell r="L5077">
            <v>148835</v>
          </cell>
          <cell r="M5077">
            <v>13229</v>
          </cell>
          <cell r="N5077">
            <v>683926.05601571908</v>
          </cell>
          <cell r="O5077">
            <v>692380.00232629513</v>
          </cell>
          <cell r="P5077">
            <v>368.79259999999999</v>
          </cell>
        </row>
        <row r="5078">
          <cell r="B5078">
            <v>37855</v>
          </cell>
          <cell r="J5078">
            <v>3809804.3041216834</v>
          </cell>
          <cell r="K5078">
            <v>2.4380000000000002</v>
          </cell>
          <cell r="L5078">
            <v>148835</v>
          </cell>
          <cell r="M5078">
            <v>13229</v>
          </cell>
          <cell r="N5078">
            <v>683926.05601571908</v>
          </cell>
          <cell r="O5078">
            <v>692380.00232629513</v>
          </cell>
          <cell r="P5078">
            <v>368.79259999999999</v>
          </cell>
        </row>
        <row r="5079">
          <cell r="B5079">
            <v>37856</v>
          </cell>
          <cell r="J5079">
            <v>3809804.3041216834</v>
          </cell>
          <cell r="K5079">
            <v>2.4380000000000002</v>
          </cell>
          <cell r="L5079">
            <v>148835</v>
          </cell>
          <cell r="M5079">
            <v>13229</v>
          </cell>
          <cell r="N5079">
            <v>683926.05601571908</v>
          </cell>
          <cell r="O5079">
            <v>692380.00232629513</v>
          </cell>
          <cell r="P5079">
            <v>368.79259999999999</v>
          </cell>
        </row>
        <row r="5080">
          <cell r="B5080">
            <v>37857</v>
          </cell>
          <cell r="J5080">
            <v>3809804.3041216834</v>
          </cell>
          <cell r="K5080">
            <v>2.4380000000000002</v>
          </cell>
          <cell r="L5080">
            <v>148835</v>
          </cell>
          <cell r="M5080">
            <v>13229</v>
          </cell>
          <cell r="N5080">
            <v>683926.05601571908</v>
          </cell>
          <cell r="O5080">
            <v>692380.00232629513</v>
          </cell>
          <cell r="P5080">
            <v>368.79259999999999</v>
          </cell>
        </row>
        <row r="5081">
          <cell r="B5081">
            <v>37858</v>
          </cell>
          <cell r="J5081">
            <v>3809804.3041216834</v>
          </cell>
          <cell r="K5081">
            <v>2.4380000000000002</v>
          </cell>
          <cell r="L5081">
            <v>148835</v>
          </cell>
          <cell r="M5081">
            <v>13229</v>
          </cell>
          <cell r="N5081">
            <v>683926.05601571908</v>
          </cell>
          <cell r="O5081">
            <v>692380.00232629513</v>
          </cell>
          <cell r="P5081">
            <v>368.79259999999999</v>
          </cell>
        </row>
        <row r="5082">
          <cell r="B5082">
            <v>37859</v>
          </cell>
          <cell r="J5082">
            <v>3809804.3041216834</v>
          </cell>
          <cell r="K5082">
            <v>2.4380000000000002</v>
          </cell>
          <cell r="L5082">
            <v>148835</v>
          </cell>
          <cell r="M5082">
            <v>13229</v>
          </cell>
          <cell r="N5082">
            <v>683926.05601571908</v>
          </cell>
          <cell r="O5082">
            <v>692380.00232629513</v>
          </cell>
          <cell r="P5082">
            <v>368.79259999999999</v>
          </cell>
        </row>
        <row r="5083">
          <cell r="B5083">
            <v>37860</v>
          </cell>
          <cell r="J5083">
            <v>3809804.3041216834</v>
          </cell>
          <cell r="K5083">
            <v>2.4380000000000002</v>
          </cell>
          <cell r="L5083">
            <v>148835</v>
          </cell>
          <cell r="M5083">
            <v>13229</v>
          </cell>
          <cell r="N5083">
            <v>683926.05601571908</v>
          </cell>
          <cell r="O5083">
            <v>692380.00232629513</v>
          </cell>
          <cell r="P5083">
            <v>368.79259999999999</v>
          </cell>
        </row>
        <row r="5084">
          <cell r="B5084">
            <v>37861</v>
          </cell>
          <cell r="J5084">
            <v>3809804.3041216834</v>
          </cell>
          <cell r="K5084">
            <v>2.4380000000000002</v>
          </cell>
          <cell r="L5084">
            <v>148835</v>
          </cell>
          <cell r="M5084">
            <v>13229</v>
          </cell>
          <cell r="N5084">
            <v>683926.05601571908</v>
          </cell>
          <cell r="O5084">
            <v>692380.00232629513</v>
          </cell>
          <cell r="P5084">
            <v>368.79259999999999</v>
          </cell>
        </row>
        <row r="5085">
          <cell r="B5085">
            <v>37862</v>
          </cell>
          <cell r="J5085">
            <v>3809804.3041216834</v>
          </cell>
          <cell r="K5085">
            <v>2.4380000000000002</v>
          </cell>
          <cell r="L5085">
            <v>148835</v>
          </cell>
          <cell r="M5085">
            <v>13229</v>
          </cell>
          <cell r="N5085">
            <v>683926.05601571908</v>
          </cell>
          <cell r="O5085">
            <v>692380.00232629513</v>
          </cell>
          <cell r="P5085">
            <v>368.79259999999999</v>
          </cell>
        </row>
        <row r="5086">
          <cell r="B5086">
            <v>37863</v>
          </cell>
          <cell r="J5086">
            <v>3809804.3041216834</v>
          </cell>
          <cell r="K5086">
            <v>2.4380000000000002</v>
          </cell>
          <cell r="L5086">
            <v>148835</v>
          </cell>
          <cell r="M5086">
            <v>13229</v>
          </cell>
          <cell r="N5086">
            <v>683926.05601571908</v>
          </cell>
          <cell r="O5086">
            <v>692380.00232629513</v>
          </cell>
          <cell r="P5086">
            <v>368.79259999999999</v>
          </cell>
        </row>
        <row r="5087">
          <cell r="B5087">
            <v>37864</v>
          </cell>
          <cell r="J5087">
            <v>3809804.3041216834</v>
          </cell>
          <cell r="K5087">
            <v>2.4380000000000002</v>
          </cell>
          <cell r="L5087">
            <v>148835</v>
          </cell>
          <cell r="M5087">
            <v>13229</v>
          </cell>
          <cell r="N5087">
            <v>683926.05601571908</v>
          </cell>
          <cell r="O5087">
            <v>692380.00232629513</v>
          </cell>
          <cell r="P5087">
            <v>368.79259999999999</v>
          </cell>
        </row>
        <row r="5088">
          <cell r="B5088">
            <v>37865</v>
          </cell>
          <cell r="J5088">
            <v>3809804.3041216834</v>
          </cell>
          <cell r="K5088">
            <v>2.4380000000000002</v>
          </cell>
          <cell r="L5088">
            <v>148835</v>
          </cell>
          <cell r="M5088">
            <v>13229</v>
          </cell>
          <cell r="N5088">
            <v>683926.05601571908</v>
          </cell>
          <cell r="O5088">
            <v>692380.00232629513</v>
          </cell>
          <cell r="P5088">
            <v>368.79259999999999</v>
          </cell>
        </row>
        <row r="5089">
          <cell r="B5089">
            <v>37866</v>
          </cell>
          <cell r="J5089">
            <v>3809804.3041216834</v>
          </cell>
          <cell r="K5089">
            <v>2.4380000000000002</v>
          </cell>
          <cell r="L5089">
            <v>148835</v>
          </cell>
          <cell r="M5089">
            <v>13229</v>
          </cell>
          <cell r="N5089">
            <v>683926.05601571908</v>
          </cell>
          <cell r="O5089">
            <v>692380.00232629513</v>
          </cell>
          <cell r="P5089">
            <v>368.79259999999999</v>
          </cell>
        </row>
        <row r="5090">
          <cell r="B5090">
            <v>37867</v>
          </cell>
          <cell r="J5090">
            <v>3809804.3041216834</v>
          </cell>
          <cell r="K5090">
            <v>2.4380000000000002</v>
          </cell>
          <cell r="L5090">
            <v>148835</v>
          </cell>
          <cell r="M5090">
            <v>13229</v>
          </cell>
          <cell r="N5090">
            <v>683926.05601571908</v>
          </cell>
          <cell r="O5090">
            <v>692380.00232629513</v>
          </cell>
          <cell r="P5090">
            <v>368.79259999999999</v>
          </cell>
        </row>
        <row r="5091">
          <cell r="B5091">
            <v>37868</v>
          </cell>
          <cell r="J5091">
            <v>3809804.3041216834</v>
          </cell>
          <cell r="K5091">
            <v>2.4380000000000002</v>
          </cell>
          <cell r="L5091">
            <v>148835</v>
          </cell>
          <cell r="M5091">
            <v>13229</v>
          </cell>
          <cell r="N5091">
            <v>683926.05601571908</v>
          </cell>
          <cell r="O5091">
            <v>692380.00232629513</v>
          </cell>
          <cell r="P5091">
            <v>368.79259999999999</v>
          </cell>
        </row>
        <row r="5092">
          <cell r="B5092">
            <v>37869</v>
          </cell>
          <cell r="J5092">
            <v>3809804.3041216834</v>
          </cell>
          <cell r="K5092">
            <v>2.4380000000000002</v>
          </cell>
          <cell r="L5092">
            <v>148835</v>
          </cell>
          <cell r="M5092">
            <v>13229</v>
          </cell>
          <cell r="N5092">
            <v>683926.05601571908</v>
          </cell>
          <cell r="O5092">
            <v>692380.00232629513</v>
          </cell>
          <cell r="P5092">
            <v>368.79259999999999</v>
          </cell>
        </row>
        <row r="5093">
          <cell r="B5093">
            <v>37870</v>
          </cell>
          <cell r="J5093">
            <v>3809804.3041216834</v>
          </cell>
          <cell r="K5093">
            <v>2.4380000000000002</v>
          </cell>
          <cell r="L5093">
            <v>148835</v>
          </cell>
          <cell r="M5093">
            <v>13229</v>
          </cell>
          <cell r="N5093">
            <v>683926.05601571908</v>
          </cell>
          <cell r="O5093">
            <v>692380.00232629513</v>
          </cell>
          <cell r="P5093">
            <v>368.79259999999999</v>
          </cell>
        </row>
        <row r="5094">
          <cell r="B5094">
            <v>37871</v>
          </cell>
          <cell r="J5094">
            <v>3809804.3041216834</v>
          </cell>
          <cell r="K5094">
            <v>2.4380000000000002</v>
          </cell>
          <cell r="L5094">
            <v>148835</v>
          </cell>
          <cell r="M5094">
            <v>13229</v>
          </cell>
          <cell r="N5094">
            <v>683926.05601571908</v>
          </cell>
          <cell r="O5094">
            <v>692380.00232629513</v>
          </cell>
          <cell r="P5094">
            <v>368.79259999999999</v>
          </cell>
        </row>
        <row r="5095">
          <cell r="B5095">
            <v>37872</v>
          </cell>
          <cell r="J5095">
            <v>3809804.3041216834</v>
          </cell>
          <cell r="K5095">
            <v>2.4380000000000002</v>
          </cell>
          <cell r="L5095">
            <v>148835</v>
          </cell>
          <cell r="M5095">
            <v>13229</v>
          </cell>
          <cell r="N5095">
            <v>683926.05601571908</v>
          </cell>
          <cell r="O5095">
            <v>692380.00232629513</v>
          </cell>
          <cell r="P5095">
            <v>368.79259999999999</v>
          </cell>
        </row>
        <row r="5096">
          <cell r="B5096">
            <v>37873</v>
          </cell>
          <cell r="J5096">
            <v>3809804.3041216834</v>
          </cell>
          <cell r="K5096">
            <v>2.4380000000000002</v>
          </cell>
          <cell r="L5096">
            <v>148835</v>
          </cell>
          <cell r="M5096">
            <v>13229</v>
          </cell>
          <cell r="N5096">
            <v>683926.05601571908</v>
          </cell>
          <cell r="O5096">
            <v>692380.00232629513</v>
          </cell>
          <cell r="P5096">
            <v>368.79259999999999</v>
          </cell>
        </row>
        <row r="5097">
          <cell r="B5097">
            <v>37874</v>
          </cell>
          <cell r="J5097">
            <v>3809804.3041216834</v>
          </cell>
          <cell r="K5097">
            <v>2.4380000000000002</v>
          </cell>
          <cell r="L5097">
            <v>148835</v>
          </cell>
          <cell r="M5097">
            <v>13229</v>
          </cell>
          <cell r="N5097">
            <v>683926.05601571908</v>
          </cell>
          <cell r="O5097">
            <v>692380.00232629513</v>
          </cell>
          <cell r="P5097">
            <v>368.79259999999999</v>
          </cell>
        </row>
        <row r="5098">
          <cell r="B5098">
            <v>37875</v>
          </cell>
          <cell r="J5098">
            <v>3809804.3041216834</v>
          </cell>
          <cell r="K5098">
            <v>2.4380000000000002</v>
          </cell>
          <cell r="L5098">
            <v>148835</v>
          </cell>
          <cell r="M5098">
            <v>13229</v>
          </cell>
          <cell r="N5098">
            <v>683926.05601571908</v>
          </cell>
          <cell r="O5098">
            <v>692380.00232629513</v>
          </cell>
          <cell r="P5098">
            <v>368.79259999999999</v>
          </cell>
        </row>
        <row r="5099">
          <cell r="B5099">
            <v>37876</v>
          </cell>
          <cell r="J5099">
            <v>3809804.3041216834</v>
          </cell>
          <cell r="K5099">
            <v>2.4380000000000002</v>
          </cell>
          <cell r="L5099">
            <v>148835</v>
          </cell>
          <cell r="M5099">
            <v>13229</v>
          </cell>
          <cell r="N5099">
            <v>683926.05601571908</v>
          </cell>
          <cell r="O5099">
            <v>692380.00232629513</v>
          </cell>
          <cell r="P5099">
            <v>368.79259999999999</v>
          </cell>
        </row>
        <row r="5100">
          <cell r="B5100">
            <v>37877</v>
          </cell>
          <cell r="J5100">
            <v>3809804.3041216834</v>
          </cell>
          <cell r="K5100">
            <v>2.4380000000000002</v>
          </cell>
          <cell r="L5100">
            <v>148835</v>
          </cell>
          <cell r="M5100">
            <v>13229</v>
          </cell>
          <cell r="N5100">
            <v>683926.05601571908</v>
          </cell>
          <cell r="O5100">
            <v>692380.00232629513</v>
          </cell>
          <cell r="P5100">
            <v>368.79259999999999</v>
          </cell>
        </row>
        <row r="5101">
          <cell r="B5101">
            <v>37878</v>
          </cell>
          <cell r="J5101">
            <v>3809804.3041216834</v>
          </cell>
          <cell r="K5101">
            <v>2.4380000000000002</v>
          </cell>
          <cell r="L5101">
            <v>148835</v>
          </cell>
          <cell r="M5101">
            <v>13229</v>
          </cell>
          <cell r="N5101">
            <v>683926.05601571908</v>
          </cell>
          <cell r="O5101">
            <v>692380.00232629513</v>
          </cell>
          <cell r="P5101">
            <v>368.79259999999999</v>
          </cell>
        </row>
        <row r="5102">
          <cell r="B5102">
            <v>37879</v>
          </cell>
          <cell r="J5102">
            <v>3809804.3041216834</v>
          </cell>
          <cell r="K5102">
            <v>2.4380000000000002</v>
          </cell>
          <cell r="L5102">
            <v>148835</v>
          </cell>
          <cell r="M5102">
            <v>13229</v>
          </cell>
          <cell r="N5102">
            <v>683926.05601571908</v>
          </cell>
          <cell r="O5102">
            <v>692380.00232629513</v>
          </cell>
          <cell r="P5102">
            <v>368.79259999999999</v>
          </cell>
        </row>
        <row r="5103">
          <cell r="B5103">
            <v>37880</v>
          </cell>
          <cell r="J5103">
            <v>3809804.3041216834</v>
          </cell>
          <cell r="K5103">
            <v>2.4380000000000002</v>
          </cell>
          <cell r="L5103">
            <v>148835</v>
          </cell>
          <cell r="M5103">
            <v>13229</v>
          </cell>
          <cell r="N5103">
            <v>683926.05601571908</v>
          </cell>
          <cell r="O5103">
            <v>692380.00232629513</v>
          </cell>
          <cell r="P5103">
            <v>368.79259999999999</v>
          </cell>
        </row>
        <row r="5104">
          <cell r="B5104">
            <v>37881</v>
          </cell>
          <cell r="J5104">
            <v>3809804.3041216834</v>
          </cell>
          <cell r="K5104">
            <v>2.4380000000000002</v>
          </cell>
          <cell r="L5104">
            <v>148835</v>
          </cell>
          <cell r="M5104">
            <v>13229</v>
          </cell>
          <cell r="N5104">
            <v>683926.05601571908</v>
          </cell>
          <cell r="O5104">
            <v>692380.00232629513</v>
          </cell>
          <cell r="P5104">
            <v>368.79259999999999</v>
          </cell>
        </row>
        <row r="5105">
          <cell r="B5105">
            <v>37882</v>
          </cell>
          <cell r="J5105">
            <v>3809804.3041216834</v>
          </cell>
          <cell r="K5105">
            <v>2.4380000000000002</v>
          </cell>
          <cell r="L5105">
            <v>148835</v>
          </cell>
          <cell r="M5105">
            <v>13229</v>
          </cell>
          <cell r="N5105">
            <v>683926.05601571908</v>
          </cell>
          <cell r="O5105">
            <v>692380.00232629513</v>
          </cell>
          <cell r="P5105">
            <v>368.79259999999999</v>
          </cell>
        </row>
        <row r="5106">
          <cell r="B5106">
            <v>37883</v>
          </cell>
          <cell r="J5106">
            <v>3809804.3041216834</v>
          </cell>
          <cell r="K5106">
            <v>2.4380000000000002</v>
          </cell>
          <cell r="L5106">
            <v>148835</v>
          </cell>
          <cell r="M5106">
            <v>13229</v>
          </cell>
          <cell r="N5106">
            <v>683926.05601571908</v>
          </cell>
          <cell r="O5106">
            <v>692380.00232629513</v>
          </cell>
          <cell r="P5106">
            <v>368.79259999999999</v>
          </cell>
        </row>
        <row r="5107">
          <cell r="B5107">
            <v>37884</v>
          </cell>
          <cell r="J5107">
            <v>3809804.3041216834</v>
          </cell>
          <cell r="K5107">
            <v>2.4380000000000002</v>
          </cell>
          <cell r="L5107">
            <v>148835</v>
          </cell>
          <cell r="M5107">
            <v>13229</v>
          </cell>
          <cell r="N5107">
            <v>683926.05601571908</v>
          </cell>
          <cell r="O5107">
            <v>692380.00232629513</v>
          </cell>
          <cell r="P5107">
            <v>368.79259999999999</v>
          </cell>
        </row>
        <row r="5108">
          <cell r="B5108">
            <v>37885</v>
          </cell>
          <cell r="J5108">
            <v>3809804.3041216834</v>
          </cell>
          <cell r="K5108">
            <v>2.4380000000000002</v>
          </cell>
          <cell r="L5108">
            <v>148835</v>
          </cell>
          <cell r="M5108">
            <v>13229</v>
          </cell>
          <cell r="N5108">
            <v>683926.05601571908</v>
          </cell>
          <cell r="O5108">
            <v>692380.00232629513</v>
          </cell>
          <cell r="P5108">
            <v>368.79259999999999</v>
          </cell>
        </row>
        <row r="5109">
          <cell r="B5109">
            <v>37886</v>
          </cell>
          <cell r="J5109">
            <v>3809804.3041216834</v>
          </cell>
          <cell r="K5109">
            <v>2.4380000000000002</v>
          </cell>
          <cell r="L5109">
            <v>148835</v>
          </cell>
          <cell r="M5109">
            <v>13229</v>
          </cell>
          <cell r="N5109">
            <v>683926.05601571908</v>
          </cell>
          <cell r="O5109">
            <v>692380.00232629513</v>
          </cell>
          <cell r="P5109">
            <v>368.79259999999999</v>
          </cell>
        </row>
        <row r="5110">
          <cell r="B5110">
            <v>37887</v>
          </cell>
          <cell r="J5110">
            <v>3809804.3041216834</v>
          </cell>
          <cell r="K5110">
            <v>2.4380000000000002</v>
          </cell>
          <cell r="L5110">
            <v>148835</v>
          </cell>
          <cell r="M5110">
            <v>13229</v>
          </cell>
          <cell r="N5110">
            <v>683926.05601571908</v>
          </cell>
          <cell r="O5110">
            <v>692380.00232629513</v>
          </cell>
          <cell r="P5110">
            <v>368.79259999999999</v>
          </cell>
        </row>
        <row r="5111">
          <cell r="B5111">
            <v>37888</v>
          </cell>
          <cell r="J5111">
            <v>3809804.3041216834</v>
          </cell>
          <cell r="K5111">
            <v>2.4380000000000002</v>
          </cell>
          <cell r="L5111">
            <v>148835</v>
          </cell>
          <cell r="M5111">
            <v>13229</v>
          </cell>
          <cell r="N5111">
            <v>683926.05601571908</v>
          </cell>
          <cell r="O5111">
            <v>692380.00232629513</v>
          </cell>
          <cell r="P5111">
            <v>368.79259999999999</v>
          </cell>
        </row>
        <row r="5112">
          <cell r="B5112">
            <v>37889</v>
          </cell>
          <cell r="J5112">
            <v>3809804.3041216834</v>
          </cell>
          <cell r="K5112">
            <v>2.4380000000000002</v>
          </cell>
          <cell r="L5112">
            <v>148835</v>
          </cell>
          <cell r="M5112">
            <v>13229</v>
          </cell>
          <cell r="N5112">
            <v>683926.05601571908</v>
          </cell>
          <cell r="O5112">
            <v>692380.00232629513</v>
          </cell>
          <cell r="P5112">
            <v>368.79259999999999</v>
          </cell>
        </row>
        <row r="5113">
          <cell r="B5113">
            <v>37890</v>
          </cell>
          <cell r="J5113">
            <v>3809804.3041216834</v>
          </cell>
          <cell r="K5113">
            <v>2.4380000000000002</v>
          </cell>
          <cell r="L5113">
            <v>148835</v>
          </cell>
          <cell r="M5113">
            <v>13229</v>
          </cell>
          <cell r="N5113">
            <v>683926.05601571908</v>
          </cell>
          <cell r="O5113">
            <v>692380.00232629513</v>
          </cell>
          <cell r="P5113">
            <v>368.79259999999999</v>
          </cell>
        </row>
        <row r="5114">
          <cell r="B5114">
            <v>37891</v>
          </cell>
          <cell r="J5114">
            <v>3809804.3041216834</v>
          </cell>
          <cell r="K5114">
            <v>2.4380000000000002</v>
          </cell>
          <cell r="L5114">
            <v>148835</v>
          </cell>
          <cell r="M5114">
            <v>13229</v>
          </cell>
          <cell r="N5114">
            <v>683926.05601571908</v>
          </cell>
          <cell r="O5114">
            <v>692380.00232629513</v>
          </cell>
          <cell r="P5114">
            <v>368.79259999999999</v>
          </cell>
        </row>
        <row r="5115">
          <cell r="B5115">
            <v>37892</v>
          </cell>
          <cell r="J5115">
            <v>3809804.3041216834</v>
          </cell>
          <cell r="K5115">
            <v>2.4380000000000002</v>
          </cell>
          <cell r="L5115">
            <v>148835</v>
          </cell>
          <cell r="M5115">
            <v>13229</v>
          </cell>
          <cell r="N5115">
            <v>683926.05601571908</v>
          </cell>
          <cell r="O5115">
            <v>692380.00232629513</v>
          </cell>
          <cell r="P5115">
            <v>368.79259999999999</v>
          </cell>
        </row>
        <row r="5116">
          <cell r="B5116">
            <v>37893</v>
          </cell>
          <cell r="J5116">
            <v>3809804.3041216834</v>
          </cell>
          <cell r="K5116">
            <v>2.4380000000000002</v>
          </cell>
          <cell r="L5116">
            <v>148835</v>
          </cell>
          <cell r="M5116">
            <v>13229</v>
          </cell>
          <cell r="N5116">
            <v>683926.05601571908</v>
          </cell>
          <cell r="O5116">
            <v>692380.00232629513</v>
          </cell>
          <cell r="P5116">
            <v>368.79259999999999</v>
          </cell>
        </row>
        <row r="5117">
          <cell r="B5117">
            <v>37894</v>
          </cell>
          <cell r="J5117">
            <v>3809804.3041216834</v>
          </cell>
          <cell r="K5117">
            <v>2.4380000000000002</v>
          </cell>
          <cell r="L5117">
            <v>148835</v>
          </cell>
          <cell r="M5117">
            <v>13229</v>
          </cell>
          <cell r="N5117">
            <v>683926.05601571908</v>
          </cell>
          <cell r="O5117">
            <v>692380.00232629513</v>
          </cell>
          <cell r="P5117">
            <v>368.79259999999999</v>
          </cell>
        </row>
        <row r="5118">
          <cell r="B5118">
            <v>37895</v>
          </cell>
          <cell r="J5118">
            <v>3809804.3041216834</v>
          </cell>
          <cell r="K5118">
            <v>2.4380000000000002</v>
          </cell>
          <cell r="L5118">
            <v>148835</v>
          </cell>
          <cell r="M5118">
            <v>13229</v>
          </cell>
          <cell r="N5118">
            <v>683926.05601571908</v>
          </cell>
          <cell r="O5118">
            <v>692380.00232629513</v>
          </cell>
          <cell r="P5118">
            <v>368.79259999999999</v>
          </cell>
        </row>
        <row r="5119">
          <cell r="B5119">
            <v>37896</v>
          </cell>
          <cell r="J5119">
            <v>3809804.3041216834</v>
          </cell>
          <cell r="K5119">
            <v>2.4380000000000002</v>
          </cell>
          <cell r="L5119">
            <v>148835</v>
          </cell>
          <cell r="M5119">
            <v>13229</v>
          </cell>
          <cell r="N5119">
            <v>683926.05601571908</v>
          </cell>
          <cell r="O5119">
            <v>692380.00232629513</v>
          </cell>
          <cell r="P5119">
            <v>368.79259999999999</v>
          </cell>
        </row>
        <row r="5120">
          <cell r="B5120">
            <v>37897</v>
          </cell>
          <cell r="J5120">
            <v>3809804.3041216834</v>
          </cell>
          <cell r="K5120">
            <v>2.4380000000000002</v>
          </cell>
          <cell r="L5120">
            <v>148835</v>
          </cell>
          <cell r="M5120">
            <v>13229</v>
          </cell>
          <cell r="N5120">
            <v>683926.05601571908</v>
          </cell>
          <cell r="O5120">
            <v>692380.00232629513</v>
          </cell>
          <cell r="P5120">
            <v>368.79259999999999</v>
          </cell>
        </row>
        <row r="5121">
          <cell r="B5121">
            <v>37898</v>
          </cell>
          <cell r="J5121">
            <v>3809804.3041216834</v>
          </cell>
          <cell r="K5121">
            <v>2.4380000000000002</v>
          </cell>
          <cell r="L5121">
            <v>148835</v>
          </cell>
          <cell r="M5121">
            <v>13229</v>
          </cell>
          <cell r="N5121">
            <v>683926.05601571908</v>
          </cell>
          <cell r="O5121">
            <v>692380.00232629513</v>
          </cell>
          <cell r="P5121">
            <v>368.79259999999999</v>
          </cell>
        </row>
        <row r="5122">
          <cell r="B5122">
            <v>37899</v>
          </cell>
          <cell r="J5122">
            <v>3809804.3041216834</v>
          </cell>
          <cell r="K5122">
            <v>2.4380000000000002</v>
          </cell>
          <cell r="L5122">
            <v>148835</v>
          </cell>
          <cell r="M5122">
            <v>13229</v>
          </cell>
          <cell r="N5122">
            <v>683926.05601571908</v>
          </cell>
          <cell r="O5122">
            <v>692380.00232629513</v>
          </cell>
          <cell r="P5122">
            <v>368.79259999999999</v>
          </cell>
        </row>
        <row r="5123">
          <cell r="B5123">
            <v>37900</v>
          </cell>
          <cell r="J5123">
            <v>3809804.3041216834</v>
          </cell>
          <cell r="K5123">
            <v>2.4380000000000002</v>
          </cell>
          <cell r="L5123">
            <v>148835</v>
          </cell>
          <cell r="M5123">
            <v>13229</v>
          </cell>
          <cell r="N5123">
            <v>683926.05601571908</v>
          </cell>
          <cell r="O5123">
            <v>692380.00232629513</v>
          </cell>
          <cell r="P5123">
            <v>368.79259999999999</v>
          </cell>
        </row>
        <row r="5124">
          <cell r="B5124">
            <v>37901</v>
          </cell>
          <cell r="J5124">
            <v>3809804.3041216834</v>
          </cell>
          <cell r="K5124">
            <v>2.4380000000000002</v>
          </cell>
          <cell r="L5124">
            <v>148835</v>
          </cell>
          <cell r="M5124">
            <v>13229</v>
          </cell>
          <cell r="N5124">
            <v>683926.05601571908</v>
          </cell>
          <cell r="O5124">
            <v>692380.00232629513</v>
          </cell>
          <cell r="P5124">
            <v>368.79259999999999</v>
          </cell>
        </row>
        <row r="5125">
          <cell r="B5125">
            <v>37902</v>
          </cell>
          <cell r="J5125">
            <v>3809804.3041216834</v>
          </cell>
          <cell r="K5125">
            <v>2.4380000000000002</v>
          </cell>
          <cell r="L5125">
            <v>148835</v>
          </cell>
          <cell r="M5125">
            <v>13229</v>
          </cell>
          <cell r="N5125">
            <v>683926.05601571908</v>
          </cell>
          <cell r="O5125">
            <v>692380.00232629513</v>
          </cell>
          <cell r="P5125">
            <v>368.79259999999999</v>
          </cell>
        </row>
        <row r="5126">
          <cell r="B5126">
            <v>37903</v>
          </cell>
          <cell r="J5126">
            <v>3809804.3041216834</v>
          </cell>
          <cell r="K5126">
            <v>2.4380000000000002</v>
          </cell>
          <cell r="L5126">
            <v>148835</v>
          </cell>
          <cell r="M5126">
            <v>13229</v>
          </cell>
          <cell r="N5126">
            <v>683926.05601571908</v>
          </cell>
          <cell r="O5126">
            <v>692380.00232629513</v>
          </cell>
          <cell r="P5126">
            <v>368.79259999999999</v>
          </cell>
        </row>
        <row r="5127">
          <cell r="B5127">
            <v>37904</v>
          </cell>
          <cell r="J5127">
            <v>3809804.3041216834</v>
          </cell>
          <cell r="K5127">
            <v>2.4380000000000002</v>
          </cell>
          <cell r="L5127">
            <v>148835</v>
          </cell>
          <cell r="M5127">
            <v>13229</v>
          </cell>
          <cell r="N5127">
            <v>683926.05601571908</v>
          </cell>
          <cell r="O5127">
            <v>692380.00232629513</v>
          </cell>
          <cell r="P5127">
            <v>368.79259999999999</v>
          </cell>
        </row>
        <row r="5128">
          <cell r="B5128">
            <v>37905</v>
          </cell>
          <cell r="J5128">
            <v>3809804.3041216834</v>
          </cell>
          <cell r="K5128">
            <v>2.4380000000000002</v>
          </cell>
          <cell r="L5128">
            <v>148835</v>
          </cell>
          <cell r="M5128">
            <v>13229</v>
          </cell>
          <cell r="N5128">
            <v>683926.05601571908</v>
          </cell>
          <cell r="O5128">
            <v>692380.00232629513</v>
          </cell>
          <cell r="P5128">
            <v>368.79259999999999</v>
          </cell>
        </row>
        <row r="5129">
          <cell r="B5129">
            <v>37906</v>
          </cell>
          <cell r="J5129">
            <v>3809804.3041216834</v>
          </cell>
          <cell r="K5129">
            <v>2.4380000000000002</v>
          </cell>
          <cell r="L5129">
            <v>148835</v>
          </cell>
          <cell r="M5129">
            <v>13229</v>
          </cell>
          <cell r="N5129">
            <v>683926.05601571908</v>
          </cell>
          <cell r="O5129">
            <v>692380.00232629513</v>
          </cell>
          <cell r="P5129">
            <v>368.79259999999999</v>
          </cell>
        </row>
        <row r="5130">
          <cell r="B5130">
            <v>37907</v>
          </cell>
          <cell r="J5130">
            <v>3809804.3041216834</v>
          </cell>
          <cell r="K5130">
            <v>2.4380000000000002</v>
          </cell>
          <cell r="L5130">
            <v>148835</v>
          </cell>
          <cell r="M5130">
            <v>13229</v>
          </cell>
          <cell r="N5130">
            <v>683926.05601571908</v>
          </cell>
          <cell r="O5130">
            <v>692380.00232629513</v>
          </cell>
          <cell r="P5130">
            <v>368.79259999999999</v>
          </cell>
        </row>
        <row r="5131">
          <cell r="B5131">
            <v>37908</v>
          </cell>
          <cell r="J5131">
            <v>3809804.3041216834</v>
          </cell>
          <cell r="K5131">
            <v>2.4380000000000002</v>
          </cell>
          <cell r="L5131">
            <v>148835</v>
          </cell>
          <cell r="M5131">
            <v>13229</v>
          </cell>
          <cell r="N5131">
            <v>683926.05601571908</v>
          </cell>
          <cell r="O5131">
            <v>692380.00232629513</v>
          </cell>
          <cell r="P5131">
            <v>368.79259999999999</v>
          </cell>
        </row>
        <row r="5132">
          <cell r="B5132">
            <v>37909</v>
          </cell>
          <cell r="J5132">
            <v>3809804.3041216834</v>
          </cell>
          <cell r="K5132">
            <v>2.4380000000000002</v>
          </cell>
          <cell r="L5132">
            <v>148835</v>
          </cell>
          <cell r="M5132">
            <v>13229</v>
          </cell>
          <cell r="N5132">
            <v>683926.05601571908</v>
          </cell>
          <cell r="O5132">
            <v>692380.00232629513</v>
          </cell>
          <cell r="P5132">
            <v>368.79259999999999</v>
          </cell>
        </row>
        <row r="5133">
          <cell r="B5133">
            <v>37910</v>
          </cell>
          <cell r="J5133">
            <v>3809804.3041216834</v>
          </cell>
          <cell r="K5133">
            <v>2.4380000000000002</v>
          </cell>
          <cell r="L5133">
            <v>148835</v>
          </cell>
          <cell r="M5133">
            <v>13229</v>
          </cell>
          <cell r="N5133">
            <v>683926.05601571908</v>
          </cell>
          <cell r="O5133">
            <v>692380.00232629513</v>
          </cell>
          <cell r="P5133">
            <v>368.79259999999999</v>
          </cell>
        </row>
        <row r="5134">
          <cell r="B5134">
            <v>37911</v>
          </cell>
          <cell r="J5134">
            <v>3809804.3041216834</v>
          </cell>
          <cell r="K5134">
            <v>2.4380000000000002</v>
          </cell>
          <cell r="L5134">
            <v>148835</v>
          </cell>
          <cell r="M5134">
            <v>13229</v>
          </cell>
          <cell r="N5134">
            <v>683926.05601571908</v>
          </cell>
          <cell r="O5134">
            <v>692380.00232629513</v>
          </cell>
          <cell r="P5134">
            <v>368.79259999999999</v>
          </cell>
        </row>
        <row r="5135">
          <cell r="B5135">
            <v>37912</v>
          </cell>
          <cell r="J5135">
            <v>3809804.3041216834</v>
          </cell>
          <cell r="K5135">
            <v>2.4380000000000002</v>
          </cell>
          <cell r="L5135">
            <v>148835</v>
          </cell>
          <cell r="M5135">
            <v>13229</v>
          </cell>
          <cell r="N5135">
            <v>683926.05601571908</v>
          </cell>
          <cell r="O5135">
            <v>692380.00232629513</v>
          </cell>
          <cell r="P5135">
            <v>368.79259999999999</v>
          </cell>
        </row>
        <row r="5136">
          <cell r="B5136">
            <v>37913</v>
          </cell>
          <cell r="J5136">
            <v>3809804.3041216834</v>
          </cell>
          <cell r="K5136">
            <v>2.4380000000000002</v>
          </cell>
          <cell r="L5136">
            <v>148835</v>
          </cell>
          <cell r="M5136">
            <v>13229</v>
          </cell>
          <cell r="N5136">
            <v>683926.05601571908</v>
          </cell>
          <cell r="O5136">
            <v>692380.00232629513</v>
          </cell>
          <cell r="P5136">
            <v>368.79259999999999</v>
          </cell>
        </row>
        <row r="5137">
          <cell r="B5137">
            <v>37914</v>
          </cell>
          <cell r="J5137">
            <v>3809804.3041216834</v>
          </cell>
          <cell r="K5137">
            <v>2.4380000000000002</v>
          </cell>
          <cell r="L5137">
            <v>148835</v>
          </cell>
          <cell r="M5137">
            <v>13229</v>
          </cell>
          <cell r="N5137">
            <v>683926.05601571908</v>
          </cell>
          <cell r="O5137">
            <v>692380.00232629513</v>
          </cell>
          <cell r="P5137">
            <v>368.79259999999999</v>
          </cell>
        </row>
        <row r="5138">
          <cell r="B5138">
            <v>37915</v>
          </cell>
          <cell r="J5138">
            <v>3809804.3041216834</v>
          </cell>
          <cell r="K5138">
            <v>2.4380000000000002</v>
          </cell>
          <cell r="L5138">
            <v>148835</v>
          </cell>
          <cell r="M5138">
            <v>13229</v>
          </cell>
          <cell r="N5138">
            <v>683926.05601571908</v>
          </cell>
          <cell r="O5138">
            <v>692380.00232629513</v>
          </cell>
          <cell r="P5138">
            <v>368.79259999999999</v>
          </cell>
        </row>
        <row r="5139">
          <cell r="B5139">
            <v>37916</v>
          </cell>
          <cell r="J5139">
            <v>3809804.3041216834</v>
          </cell>
          <cell r="K5139">
            <v>2.4380000000000002</v>
          </cell>
          <cell r="L5139">
            <v>148835</v>
          </cell>
          <cell r="M5139">
            <v>13229</v>
          </cell>
          <cell r="N5139">
            <v>683926.05601571908</v>
          </cell>
          <cell r="O5139">
            <v>692380.00232629513</v>
          </cell>
          <cell r="P5139">
            <v>368.79259999999999</v>
          </cell>
        </row>
        <row r="5140">
          <cell r="B5140">
            <v>37917</v>
          </cell>
          <cell r="J5140">
            <v>3809804.3041216834</v>
          </cell>
          <cell r="K5140">
            <v>2.4380000000000002</v>
          </cell>
          <cell r="L5140">
            <v>148835</v>
          </cell>
          <cell r="M5140">
            <v>13229</v>
          </cell>
          <cell r="N5140">
            <v>683926.05601571908</v>
          </cell>
          <cell r="O5140">
            <v>692380.00232629513</v>
          </cell>
          <cell r="P5140">
            <v>368.79259999999999</v>
          </cell>
        </row>
        <row r="5141">
          <cell r="B5141">
            <v>37918</v>
          </cell>
          <cell r="J5141">
            <v>3809804.3041216834</v>
          </cell>
          <cell r="K5141">
            <v>2.4380000000000002</v>
          </cell>
          <cell r="L5141">
            <v>148835</v>
          </cell>
          <cell r="M5141">
            <v>13229</v>
          </cell>
          <cell r="N5141">
            <v>683926.05601571908</v>
          </cell>
          <cell r="O5141">
            <v>692380.00232629513</v>
          </cell>
          <cell r="P5141">
            <v>368.79259999999999</v>
          </cell>
        </row>
        <row r="5142">
          <cell r="B5142">
            <v>37919</v>
          </cell>
          <cell r="J5142">
            <v>3809804.3041216834</v>
          </cell>
          <cell r="K5142">
            <v>2.4380000000000002</v>
          </cell>
          <cell r="L5142">
            <v>148835</v>
          </cell>
          <cell r="M5142">
            <v>13229</v>
          </cell>
          <cell r="N5142">
            <v>683926.05601571908</v>
          </cell>
          <cell r="O5142">
            <v>692380.00232629513</v>
          </cell>
          <cell r="P5142">
            <v>368.79259999999999</v>
          </cell>
        </row>
        <row r="5143">
          <cell r="B5143">
            <v>37920</v>
          </cell>
          <cell r="J5143">
            <v>3809804.3041216834</v>
          </cell>
          <cell r="K5143">
            <v>2.4380000000000002</v>
          </cell>
          <cell r="L5143">
            <v>148835</v>
          </cell>
          <cell r="M5143">
            <v>13229</v>
          </cell>
          <cell r="N5143">
            <v>683926.05601571908</v>
          </cell>
          <cell r="O5143">
            <v>692380.00232629513</v>
          </cell>
          <cell r="P5143">
            <v>368.79259999999999</v>
          </cell>
        </row>
        <row r="5144">
          <cell r="B5144">
            <v>37921</v>
          </cell>
          <cell r="J5144">
            <v>3809804.3041216834</v>
          </cell>
          <cell r="K5144">
            <v>2.4380000000000002</v>
          </cell>
          <cell r="L5144">
            <v>148835</v>
          </cell>
          <cell r="M5144">
            <v>13229</v>
          </cell>
          <cell r="N5144">
            <v>683926.05601571908</v>
          </cell>
          <cell r="O5144">
            <v>692380.00232629513</v>
          </cell>
          <cell r="P5144">
            <v>368.79259999999999</v>
          </cell>
        </row>
        <row r="5145">
          <cell r="B5145">
            <v>37922</v>
          </cell>
          <cell r="J5145">
            <v>3809804.3041216834</v>
          </cell>
          <cell r="K5145">
            <v>2.4380000000000002</v>
          </cell>
          <cell r="L5145">
            <v>148835</v>
          </cell>
          <cell r="M5145">
            <v>13229</v>
          </cell>
          <cell r="N5145">
            <v>683926.05601571908</v>
          </cell>
          <cell r="O5145">
            <v>692380.00232629513</v>
          </cell>
          <cell r="P5145">
            <v>368.79259999999999</v>
          </cell>
        </row>
        <row r="5146">
          <cell r="B5146">
            <v>37923</v>
          </cell>
          <cell r="J5146">
            <v>3809804.3041216834</v>
          </cell>
          <cell r="K5146">
            <v>2.4380000000000002</v>
          </cell>
          <cell r="L5146">
            <v>148835</v>
          </cell>
          <cell r="M5146">
            <v>13229</v>
          </cell>
          <cell r="N5146">
            <v>683926.05601571908</v>
          </cell>
          <cell r="O5146">
            <v>692380.00232629513</v>
          </cell>
          <cell r="P5146">
            <v>368.79259999999999</v>
          </cell>
        </row>
        <row r="5147">
          <cell r="B5147">
            <v>37924</v>
          </cell>
          <cell r="J5147">
            <v>3809804.3041216834</v>
          </cell>
          <cell r="K5147">
            <v>2.4380000000000002</v>
          </cell>
          <cell r="L5147">
            <v>148835</v>
          </cell>
          <cell r="M5147">
            <v>13229</v>
          </cell>
          <cell r="N5147">
            <v>683926.05601571908</v>
          </cell>
          <cell r="O5147">
            <v>692380.00232629513</v>
          </cell>
          <cell r="P5147">
            <v>368.79259999999999</v>
          </cell>
        </row>
        <row r="5148">
          <cell r="B5148">
            <v>37925</v>
          </cell>
          <cell r="J5148">
            <v>3809804.3041216834</v>
          </cell>
          <cell r="K5148">
            <v>2.4380000000000002</v>
          </cell>
          <cell r="L5148">
            <v>148835</v>
          </cell>
          <cell r="M5148">
            <v>13229</v>
          </cell>
          <cell r="N5148">
            <v>683926.05601571908</v>
          </cell>
          <cell r="O5148">
            <v>692380.00232629513</v>
          </cell>
          <cell r="P5148">
            <v>368.79259999999999</v>
          </cell>
        </row>
        <row r="5149">
          <cell r="B5149">
            <v>37926</v>
          </cell>
          <cell r="J5149">
            <v>3809804.3041216834</v>
          </cell>
          <cell r="K5149">
            <v>2.4380000000000002</v>
          </cell>
          <cell r="L5149">
            <v>148835</v>
          </cell>
          <cell r="M5149">
            <v>13229</v>
          </cell>
          <cell r="N5149">
            <v>683926.05601571908</v>
          </cell>
          <cell r="O5149">
            <v>692380.00232629513</v>
          </cell>
          <cell r="P5149">
            <v>368.79259999999999</v>
          </cell>
        </row>
        <row r="5150">
          <cell r="B5150">
            <v>37927</v>
          </cell>
          <cell r="J5150">
            <v>3809804.3041216834</v>
          </cell>
          <cell r="K5150">
            <v>2.4380000000000002</v>
          </cell>
          <cell r="L5150">
            <v>148835</v>
          </cell>
          <cell r="M5150">
            <v>13229</v>
          </cell>
          <cell r="N5150">
            <v>683926.05601571908</v>
          </cell>
          <cell r="O5150">
            <v>692380.00232629513</v>
          </cell>
          <cell r="P5150">
            <v>368.79259999999999</v>
          </cell>
        </row>
        <row r="5151">
          <cell r="B5151">
            <v>37928</v>
          </cell>
          <cell r="J5151">
            <v>3809804.3041216834</v>
          </cell>
          <cell r="K5151">
            <v>2.4380000000000002</v>
          </cell>
          <cell r="L5151">
            <v>148835</v>
          </cell>
          <cell r="M5151">
            <v>13229</v>
          </cell>
          <cell r="N5151">
            <v>683926.05601571908</v>
          </cell>
          <cell r="O5151">
            <v>692380.00232629513</v>
          </cell>
          <cell r="P5151">
            <v>368.79259999999999</v>
          </cell>
        </row>
        <row r="5152">
          <cell r="B5152">
            <v>37929</v>
          </cell>
          <cell r="J5152">
            <v>3809804.3041216834</v>
          </cell>
          <cell r="K5152">
            <v>2.4380000000000002</v>
          </cell>
          <cell r="L5152">
            <v>148835</v>
          </cell>
          <cell r="M5152">
            <v>13229</v>
          </cell>
          <cell r="N5152">
            <v>683926.05601571908</v>
          </cell>
          <cell r="O5152">
            <v>692380.00232629513</v>
          </cell>
          <cell r="P5152">
            <v>368.79259999999999</v>
          </cell>
        </row>
        <row r="5153">
          <cell r="B5153">
            <v>37930</v>
          </cell>
          <cell r="J5153">
            <v>3809804.3041216834</v>
          </cell>
          <cell r="K5153">
            <v>2.4380000000000002</v>
          </cell>
          <cell r="L5153">
            <v>148835</v>
          </cell>
          <cell r="M5153">
            <v>13229</v>
          </cell>
          <cell r="N5153">
            <v>683926.05601571908</v>
          </cell>
          <cell r="O5153">
            <v>692380.00232629513</v>
          </cell>
          <cell r="P5153">
            <v>368.79259999999999</v>
          </cell>
        </row>
        <row r="5154">
          <cell r="B5154">
            <v>37931</v>
          </cell>
          <cell r="J5154">
            <v>3809804.3041216834</v>
          </cell>
          <cell r="K5154">
            <v>2.4380000000000002</v>
          </cell>
          <cell r="L5154">
            <v>148835</v>
          </cell>
          <cell r="M5154">
            <v>13229</v>
          </cell>
          <cell r="N5154">
            <v>683926.05601571908</v>
          </cell>
          <cell r="O5154">
            <v>692380.00232629513</v>
          </cell>
          <cell r="P5154">
            <v>368.79259999999999</v>
          </cell>
        </row>
        <row r="5155">
          <cell r="B5155">
            <v>37932</v>
          </cell>
          <cell r="J5155">
            <v>3809804.3041216834</v>
          </cell>
          <cell r="K5155">
            <v>2.4380000000000002</v>
          </cell>
          <cell r="L5155">
            <v>148835</v>
          </cell>
          <cell r="M5155">
            <v>13229</v>
          </cell>
          <cell r="N5155">
            <v>683926.05601571908</v>
          </cell>
          <cell r="O5155">
            <v>692380.00232629513</v>
          </cell>
          <cell r="P5155">
            <v>368.79259999999999</v>
          </cell>
        </row>
        <row r="5156">
          <cell r="B5156">
            <v>37933</v>
          </cell>
          <cell r="J5156">
            <v>3809804.3041216834</v>
          </cell>
          <cell r="K5156">
            <v>2.4380000000000002</v>
          </cell>
          <cell r="L5156">
            <v>148835</v>
          </cell>
          <cell r="M5156">
            <v>13229</v>
          </cell>
          <cell r="N5156">
            <v>683926.05601571908</v>
          </cell>
          <cell r="O5156">
            <v>692380.00232629513</v>
          </cell>
          <cell r="P5156">
            <v>368.79259999999999</v>
          </cell>
        </row>
        <row r="5157">
          <cell r="B5157">
            <v>37934</v>
          </cell>
          <cell r="J5157">
            <v>3809804.3041216834</v>
          </cell>
          <cell r="K5157">
            <v>2.4380000000000002</v>
          </cell>
          <cell r="L5157">
            <v>148835</v>
          </cell>
          <cell r="M5157">
            <v>13229</v>
          </cell>
          <cell r="N5157">
            <v>683926.05601571908</v>
          </cell>
          <cell r="O5157">
            <v>692380.00232629513</v>
          </cell>
          <cell r="P5157">
            <v>368.79259999999999</v>
          </cell>
        </row>
        <row r="5158">
          <cell r="B5158">
            <v>37935</v>
          </cell>
          <cell r="J5158">
            <v>3809804.3041216834</v>
          </cell>
          <cell r="K5158">
            <v>2.4380000000000002</v>
          </cell>
          <cell r="L5158">
            <v>148835</v>
          </cell>
          <cell r="M5158">
            <v>13229</v>
          </cell>
          <cell r="N5158">
            <v>683926.05601571908</v>
          </cell>
          <cell r="O5158">
            <v>692380.00232629513</v>
          </cell>
          <cell r="P5158">
            <v>368.79259999999999</v>
          </cell>
        </row>
        <row r="5159">
          <cell r="B5159">
            <v>37936</v>
          </cell>
          <cell r="J5159">
            <v>3809804.3041216834</v>
          </cell>
          <cell r="K5159">
            <v>2.4380000000000002</v>
          </cell>
          <cell r="L5159">
            <v>148835</v>
          </cell>
          <cell r="M5159">
            <v>13229</v>
          </cell>
          <cell r="N5159">
            <v>683926.05601571908</v>
          </cell>
          <cell r="O5159">
            <v>692380.00232629513</v>
          </cell>
          <cell r="P5159">
            <v>368.79259999999999</v>
          </cell>
        </row>
        <row r="5160">
          <cell r="B5160">
            <v>37937</v>
          </cell>
          <cell r="J5160">
            <v>3809804.3041216834</v>
          </cell>
          <cell r="K5160">
            <v>2.4380000000000002</v>
          </cell>
          <cell r="L5160">
            <v>148835</v>
          </cell>
          <cell r="M5160">
            <v>13229</v>
          </cell>
          <cell r="N5160">
            <v>683926.05601571908</v>
          </cell>
          <cell r="O5160">
            <v>692380.00232629513</v>
          </cell>
          <cell r="P5160">
            <v>368.79259999999999</v>
          </cell>
        </row>
        <row r="5161">
          <cell r="B5161">
            <v>37938</v>
          </cell>
          <cell r="J5161">
            <v>3809804.3041216834</v>
          </cell>
          <cell r="K5161">
            <v>2.4380000000000002</v>
          </cell>
          <cell r="L5161">
            <v>148835</v>
          </cell>
          <cell r="M5161">
            <v>13229</v>
          </cell>
          <cell r="N5161">
            <v>683926.05601571908</v>
          </cell>
          <cell r="O5161">
            <v>692380.00232629513</v>
          </cell>
          <cell r="P5161">
            <v>368.79259999999999</v>
          </cell>
        </row>
        <row r="5162">
          <cell r="B5162">
            <v>37939</v>
          </cell>
          <cell r="J5162">
            <v>3809804.3041216834</v>
          </cell>
          <cell r="K5162">
            <v>2.4380000000000002</v>
          </cell>
          <cell r="L5162">
            <v>148835</v>
          </cell>
          <cell r="M5162">
            <v>13229</v>
          </cell>
          <cell r="N5162">
            <v>683926.05601571908</v>
          </cell>
          <cell r="O5162">
            <v>692380.00232629513</v>
          </cell>
          <cell r="P5162">
            <v>368.79259999999999</v>
          </cell>
        </row>
        <row r="5163">
          <cell r="B5163">
            <v>37940</v>
          </cell>
          <cell r="J5163">
            <v>3809804.3041216834</v>
          </cell>
          <cell r="K5163">
            <v>2.4380000000000002</v>
          </cell>
          <cell r="L5163">
            <v>148835</v>
          </cell>
          <cell r="M5163">
            <v>13229</v>
          </cell>
          <cell r="N5163">
            <v>683926.05601571908</v>
          </cell>
          <cell r="O5163">
            <v>692380.00232629513</v>
          </cell>
          <cell r="P5163">
            <v>368.79259999999999</v>
          </cell>
        </row>
        <row r="5164">
          <cell r="B5164">
            <v>37941</v>
          </cell>
          <cell r="J5164">
            <v>3809804.3041216834</v>
          </cell>
          <cell r="K5164">
            <v>2.4380000000000002</v>
          </cell>
          <cell r="L5164">
            <v>148835</v>
          </cell>
          <cell r="M5164">
            <v>13229</v>
          </cell>
          <cell r="N5164">
            <v>683926.05601571908</v>
          </cell>
          <cell r="O5164">
            <v>692380.00232629513</v>
          </cell>
          <cell r="P5164">
            <v>368.79259999999999</v>
          </cell>
        </row>
        <row r="5165">
          <cell r="B5165">
            <v>37942</v>
          </cell>
          <cell r="J5165">
            <v>3809804.3041216834</v>
          </cell>
          <cell r="K5165">
            <v>2.4380000000000002</v>
          </cell>
          <cell r="L5165">
            <v>148835</v>
          </cell>
          <cell r="M5165">
            <v>13229</v>
          </cell>
          <cell r="N5165">
            <v>683926.05601571908</v>
          </cell>
          <cell r="O5165">
            <v>692380.00232629513</v>
          </cell>
          <cell r="P5165">
            <v>368.79259999999999</v>
          </cell>
        </row>
        <row r="5166">
          <cell r="B5166">
            <v>37943</v>
          </cell>
          <cell r="J5166">
            <v>3809804.3041216834</v>
          </cell>
          <cell r="K5166">
            <v>2.4380000000000002</v>
          </cell>
          <cell r="L5166">
            <v>148835</v>
          </cell>
          <cell r="M5166">
            <v>13229</v>
          </cell>
          <cell r="N5166">
            <v>683926.05601571908</v>
          </cell>
          <cell r="O5166">
            <v>692380.00232629513</v>
          </cell>
          <cell r="P5166">
            <v>368.79259999999999</v>
          </cell>
        </row>
        <row r="5167">
          <cell r="B5167">
            <v>37944</v>
          </cell>
          <cell r="J5167">
            <v>3809804.3041216834</v>
          </cell>
          <cell r="K5167">
            <v>2.4380000000000002</v>
          </cell>
          <cell r="L5167">
            <v>148835</v>
          </cell>
          <cell r="M5167">
            <v>13229</v>
          </cell>
          <cell r="N5167">
            <v>683926.05601571908</v>
          </cell>
          <cell r="O5167">
            <v>692380.00232629513</v>
          </cell>
          <cell r="P5167">
            <v>368.79259999999999</v>
          </cell>
        </row>
        <row r="5168">
          <cell r="B5168">
            <v>37945</v>
          </cell>
          <cell r="J5168">
            <v>3809804.3041216834</v>
          </cell>
          <cell r="K5168">
            <v>2.4380000000000002</v>
          </cell>
          <cell r="L5168">
            <v>148835</v>
          </cell>
          <cell r="M5168">
            <v>13229</v>
          </cell>
          <cell r="N5168">
            <v>683926.05601571908</v>
          </cell>
          <cell r="O5168">
            <v>692380.00232629513</v>
          </cell>
          <cell r="P5168">
            <v>368.79259999999999</v>
          </cell>
        </row>
        <row r="5169">
          <cell r="B5169">
            <v>37946</v>
          </cell>
          <cell r="J5169">
            <v>3809804.3041216834</v>
          </cell>
          <cell r="K5169">
            <v>2.4380000000000002</v>
          </cell>
          <cell r="L5169">
            <v>148835</v>
          </cell>
          <cell r="M5169">
            <v>13229</v>
          </cell>
          <cell r="N5169">
            <v>683926.05601571908</v>
          </cell>
          <cell r="O5169">
            <v>692380.00232629513</v>
          </cell>
          <cell r="P5169">
            <v>368.79259999999999</v>
          </cell>
        </row>
        <row r="5170">
          <cell r="B5170">
            <v>37947</v>
          </cell>
          <cell r="J5170">
            <v>3809804.3041216834</v>
          </cell>
          <cell r="K5170">
            <v>2.4380000000000002</v>
          </cell>
          <cell r="L5170">
            <v>148835</v>
          </cell>
          <cell r="M5170">
            <v>13229</v>
          </cell>
          <cell r="N5170">
            <v>683926.05601571908</v>
          </cell>
          <cell r="O5170">
            <v>692380.00232629513</v>
          </cell>
          <cell r="P5170">
            <v>368.79259999999999</v>
          </cell>
        </row>
        <row r="5171">
          <cell r="B5171">
            <v>37948</v>
          </cell>
          <cell r="J5171">
            <v>3809804.3041216834</v>
          </cell>
          <cell r="K5171">
            <v>2.4380000000000002</v>
          </cell>
          <cell r="L5171">
            <v>148835</v>
          </cell>
          <cell r="M5171">
            <v>13229</v>
          </cell>
          <cell r="N5171">
            <v>683926.05601571908</v>
          </cell>
          <cell r="O5171">
            <v>692380.00232629513</v>
          </cell>
          <cell r="P5171">
            <v>368.79259999999999</v>
          </cell>
        </row>
        <row r="5172">
          <cell r="B5172">
            <v>37949</v>
          </cell>
          <cell r="J5172">
            <v>3809804.3041216834</v>
          </cell>
          <cell r="K5172">
            <v>2.4380000000000002</v>
          </cell>
          <cell r="L5172">
            <v>148835</v>
          </cell>
          <cell r="M5172">
            <v>13229</v>
          </cell>
          <cell r="N5172">
            <v>683926.05601571908</v>
          </cell>
          <cell r="O5172">
            <v>692380.00232629513</v>
          </cell>
          <cell r="P5172">
            <v>368.79259999999999</v>
          </cell>
        </row>
        <row r="5173">
          <cell r="B5173">
            <v>37950</v>
          </cell>
          <cell r="J5173">
            <v>3809804.3041216834</v>
          </cell>
          <cell r="K5173">
            <v>2.4380000000000002</v>
          </cell>
          <cell r="L5173">
            <v>148835</v>
          </cell>
          <cell r="M5173">
            <v>13229</v>
          </cell>
          <cell r="N5173">
            <v>683926.05601571908</v>
          </cell>
          <cell r="O5173">
            <v>692380.00232629513</v>
          </cell>
          <cell r="P5173">
            <v>368.79259999999999</v>
          </cell>
        </row>
        <row r="5174">
          <cell r="B5174">
            <v>37951</v>
          </cell>
          <cell r="J5174">
            <v>3809804.3041216834</v>
          </cell>
          <cell r="K5174">
            <v>2.4380000000000002</v>
          </cell>
          <cell r="L5174">
            <v>148835</v>
          </cell>
          <cell r="M5174">
            <v>13229</v>
          </cell>
          <cell r="N5174">
            <v>683926.05601571908</v>
          </cell>
          <cell r="O5174">
            <v>692380.00232629513</v>
          </cell>
          <cell r="P5174">
            <v>368.79259999999999</v>
          </cell>
        </row>
        <row r="5175">
          <cell r="B5175">
            <v>37952</v>
          </cell>
          <cell r="J5175">
            <v>3809804.3041216834</v>
          </cell>
          <cell r="K5175">
            <v>2.4380000000000002</v>
          </cell>
          <cell r="L5175">
            <v>148835</v>
          </cell>
          <cell r="M5175">
            <v>13229</v>
          </cell>
          <cell r="N5175">
            <v>683926.05601571908</v>
          </cell>
          <cell r="O5175">
            <v>692380.00232629513</v>
          </cell>
          <cell r="P5175">
            <v>368.79259999999999</v>
          </cell>
        </row>
        <row r="5176">
          <cell r="B5176">
            <v>37953</v>
          </cell>
          <cell r="J5176">
            <v>3809804.3041216834</v>
          </cell>
          <cell r="K5176">
            <v>2.4380000000000002</v>
          </cell>
          <cell r="L5176">
            <v>148835</v>
          </cell>
          <cell r="M5176">
            <v>13229</v>
          </cell>
          <cell r="N5176">
            <v>683926.05601571908</v>
          </cell>
          <cell r="O5176">
            <v>692380.00232629513</v>
          </cell>
          <cell r="P5176">
            <v>368.79259999999999</v>
          </cell>
        </row>
        <row r="5177">
          <cell r="B5177">
            <v>37954</v>
          </cell>
          <cell r="J5177">
            <v>3809804.3041216834</v>
          </cell>
          <cell r="K5177">
            <v>2.4380000000000002</v>
          </cell>
          <cell r="L5177">
            <v>148835</v>
          </cell>
          <cell r="M5177">
            <v>13229</v>
          </cell>
          <cell r="N5177">
            <v>683926.05601571908</v>
          </cell>
          <cell r="O5177">
            <v>692380.00232629513</v>
          </cell>
          <cell r="P5177">
            <v>368.79259999999999</v>
          </cell>
        </row>
        <row r="5178">
          <cell r="B5178">
            <v>37955</v>
          </cell>
          <cell r="J5178">
            <v>3809804.3041216834</v>
          </cell>
          <cell r="K5178">
            <v>2.4380000000000002</v>
          </cell>
          <cell r="L5178">
            <v>148835</v>
          </cell>
          <cell r="M5178">
            <v>13229</v>
          </cell>
          <cell r="N5178">
            <v>683926.05601571908</v>
          </cell>
          <cell r="O5178">
            <v>692380.00232629513</v>
          </cell>
          <cell r="P5178">
            <v>368.79259999999999</v>
          </cell>
        </row>
        <row r="5179">
          <cell r="B5179">
            <v>37956</v>
          </cell>
          <cell r="J5179">
            <v>3809804.3041216834</v>
          </cell>
          <cell r="K5179">
            <v>2.4380000000000002</v>
          </cell>
          <cell r="L5179">
            <v>148835</v>
          </cell>
          <cell r="M5179">
            <v>13229</v>
          </cell>
          <cell r="N5179">
            <v>683926.05601571908</v>
          </cell>
          <cell r="O5179">
            <v>692380.00232629513</v>
          </cell>
          <cell r="P5179">
            <v>368.79259999999999</v>
          </cell>
        </row>
        <row r="5180">
          <cell r="B5180">
            <v>37957</v>
          </cell>
          <cell r="J5180">
            <v>3809804.3041216834</v>
          </cell>
          <cell r="K5180">
            <v>2.4380000000000002</v>
          </cell>
          <cell r="L5180">
            <v>148835</v>
          </cell>
          <cell r="M5180">
            <v>13229</v>
          </cell>
          <cell r="N5180">
            <v>683926.05601571908</v>
          </cell>
          <cell r="O5180">
            <v>692380.00232629513</v>
          </cell>
          <cell r="P5180">
            <v>368.79259999999999</v>
          </cell>
        </row>
        <row r="5181">
          <cell r="B5181">
            <v>37958</v>
          </cell>
          <cell r="J5181">
            <v>3809804.3041216834</v>
          </cell>
          <cell r="K5181">
            <v>2.4380000000000002</v>
          </cell>
          <cell r="L5181">
            <v>148835</v>
          </cell>
          <cell r="M5181">
            <v>13229</v>
          </cell>
          <cell r="N5181">
            <v>683926.05601571908</v>
          </cell>
          <cell r="O5181">
            <v>692380.00232629513</v>
          </cell>
          <cell r="P5181">
            <v>368.79259999999999</v>
          </cell>
        </row>
        <row r="5182">
          <cell r="B5182">
            <v>37959</v>
          </cell>
          <cell r="J5182">
            <v>3809804.3041216834</v>
          </cell>
          <cell r="K5182">
            <v>2.4380000000000002</v>
          </cell>
          <cell r="L5182">
            <v>148835</v>
          </cell>
          <cell r="M5182">
            <v>13229</v>
          </cell>
          <cell r="N5182">
            <v>683926.05601571908</v>
          </cell>
          <cell r="O5182">
            <v>692380.00232629513</v>
          </cell>
          <cell r="P5182">
            <v>368.79259999999999</v>
          </cell>
        </row>
        <row r="5183">
          <cell r="B5183">
            <v>37960</v>
          </cell>
          <cell r="J5183">
            <v>3809804.3041216834</v>
          </cell>
          <cell r="K5183">
            <v>2.4380000000000002</v>
          </cell>
          <cell r="L5183">
            <v>148835</v>
          </cell>
          <cell r="M5183">
            <v>13229</v>
          </cell>
          <cell r="N5183">
            <v>683926.05601571908</v>
          </cell>
          <cell r="O5183">
            <v>692380.00232629513</v>
          </cell>
          <cell r="P5183">
            <v>368.79259999999999</v>
          </cell>
        </row>
        <row r="5184">
          <cell r="B5184">
            <v>37961</v>
          </cell>
          <cell r="J5184">
            <v>3809804.3041216834</v>
          </cell>
          <cell r="K5184">
            <v>2.4380000000000002</v>
          </cell>
          <cell r="L5184">
            <v>148835</v>
          </cell>
          <cell r="M5184">
            <v>13229</v>
          </cell>
          <cell r="N5184">
            <v>683926.05601571908</v>
          </cell>
          <cell r="O5184">
            <v>692380.00232629513</v>
          </cell>
          <cell r="P5184">
            <v>368.79259999999999</v>
          </cell>
        </row>
        <row r="5185">
          <cell r="B5185">
            <v>37962</v>
          </cell>
          <cell r="J5185">
            <v>3809804.3041216834</v>
          </cell>
          <cell r="K5185">
            <v>2.4380000000000002</v>
          </cell>
          <cell r="L5185">
            <v>148835</v>
          </cell>
          <cell r="M5185">
            <v>13229</v>
          </cell>
          <cell r="N5185">
            <v>683926.05601571908</v>
          </cell>
          <cell r="O5185">
            <v>692380.00232629513</v>
          </cell>
          <cell r="P5185">
            <v>368.79259999999999</v>
          </cell>
        </row>
        <row r="5186">
          <cell r="B5186">
            <v>37963</v>
          </cell>
          <cell r="J5186">
            <v>3809804.3041216834</v>
          </cell>
          <cell r="K5186">
            <v>2.4380000000000002</v>
          </cell>
          <cell r="L5186">
            <v>148835</v>
          </cell>
          <cell r="M5186">
            <v>13229</v>
          </cell>
          <cell r="N5186">
            <v>683926.05601571908</v>
          </cell>
          <cell r="O5186">
            <v>692380.00232629513</v>
          </cell>
          <cell r="P5186">
            <v>368.79259999999999</v>
          </cell>
        </row>
        <row r="5187">
          <cell r="B5187">
            <v>37964</v>
          </cell>
          <cell r="J5187">
            <v>3809804.3041216834</v>
          </cell>
          <cell r="K5187">
            <v>2.4380000000000002</v>
          </cell>
          <cell r="L5187">
            <v>148835</v>
          </cell>
          <cell r="M5187">
            <v>13229</v>
          </cell>
          <cell r="N5187">
            <v>683926.05601571908</v>
          </cell>
          <cell r="O5187">
            <v>692380.00232629513</v>
          </cell>
          <cell r="P5187">
            <v>368.79259999999999</v>
          </cell>
        </row>
        <row r="5188">
          <cell r="B5188">
            <v>37965</v>
          </cell>
          <cell r="J5188">
            <v>3809804.3041216834</v>
          </cell>
          <cell r="K5188">
            <v>2.4380000000000002</v>
          </cell>
          <cell r="L5188">
            <v>148835</v>
          </cell>
          <cell r="M5188">
            <v>13229</v>
          </cell>
          <cell r="N5188">
            <v>683926.05601571908</v>
          </cell>
          <cell r="O5188">
            <v>692380.00232629513</v>
          </cell>
          <cell r="P5188">
            <v>368.79259999999999</v>
          </cell>
        </row>
        <row r="5189">
          <cell r="B5189">
            <v>37966</v>
          </cell>
          <cell r="J5189">
            <v>3809804.3041216834</v>
          </cell>
          <cell r="K5189">
            <v>2.4380000000000002</v>
          </cell>
          <cell r="L5189">
            <v>148835</v>
          </cell>
          <cell r="M5189">
            <v>13229</v>
          </cell>
          <cell r="N5189">
            <v>683926.05601571908</v>
          </cell>
          <cell r="O5189">
            <v>692380.00232629513</v>
          </cell>
          <cell r="P5189">
            <v>368.79259999999999</v>
          </cell>
        </row>
        <row r="5190">
          <cell r="B5190">
            <v>37967</v>
          </cell>
          <cell r="J5190">
            <v>3809804.3041216834</v>
          </cell>
          <cell r="K5190">
            <v>2.4380000000000002</v>
          </cell>
          <cell r="L5190">
            <v>148835</v>
          </cell>
          <cell r="M5190">
            <v>13229</v>
          </cell>
          <cell r="N5190">
            <v>683926.05601571908</v>
          </cell>
          <cell r="O5190">
            <v>692380.00232629513</v>
          </cell>
          <cell r="P5190">
            <v>368.79259999999999</v>
          </cell>
        </row>
        <row r="5191">
          <cell r="B5191">
            <v>37968</v>
          </cell>
          <cell r="J5191">
            <v>3809804.3041216834</v>
          </cell>
          <cell r="K5191">
            <v>2.4380000000000002</v>
          </cell>
          <cell r="L5191">
            <v>148835</v>
          </cell>
          <cell r="M5191">
            <v>13229</v>
          </cell>
          <cell r="N5191">
            <v>683926.05601571908</v>
          </cell>
          <cell r="O5191">
            <v>692380.00232629513</v>
          </cell>
          <cell r="P5191">
            <v>368.79259999999999</v>
          </cell>
        </row>
        <row r="5192">
          <cell r="B5192">
            <v>37969</v>
          </cell>
          <cell r="J5192">
            <v>3809804.3041216834</v>
          </cell>
          <cell r="K5192">
            <v>2.4380000000000002</v>
          </cell>
          <cell r="L5192">
            <v>148835</v>
          </cell>
          <cell r="M5192">
            <v>13229</v>
          </cell>
          <cell r="N5192">
            <v>683926.05601571908</v>
          </cell>
          <cell r="O5192">
            <v>692380.00232629513</v>
          </cell>
          <cell r="P5192">
            <v>368.79259999999999</v>
          </cell>
        </row>
        <row r="5193">
          <cell r="B5193">
            <v>37970</v>
          </cell>
          <cell r="J5193">
            <v>3809804.3041216834</v>
          </cell>
          <cell r="K5193">
            <v>2.4380000000000002</v>
          </cell>
          <cell r="L5193">
            <v>148835</v>
          </cell>
          <cell r="M5193">
            <v>13229</v>
          </cell>
          <cell r="N5193">
            <v>683926.05601571908</v>
          </cell>
          <cell r="O5193">
            <v>692380.00232629513</v>
          </cell>
          <cell r="P5193">
            <v>368.79259999999999</v>
          </cell>
        </row>
        <row r="5194">
          <cell r="B5194">
            <v>37971</v>
          </cell>
          <cell r="J5194">
            <v>3809804.3041216834</v>
          </cell>
          <cell r="K5194">
            <v>2.4380000000000002</v>
          </cell>
          <cell r="L5194">
            <v>148835</v>
          </cell>
          <cell r="M5194">
            <v>13229</v>
          </cell>
          <cell r="N5194">
            <v>683926.05601571908</v>
          </cell>
          <cell r="O5194">
            <v>692380.00232629513</v>
          </cell>
          <cell r="P5194">
            <v>368.79259999999999</v>
          </cell>
        </row>
        <row r="5195">
          <cell r="B5195">
            <v>37972</v>
          </cell>
          <cell r="J5195">
            <v>3809804.3041216834</v>
          </cell>
          <cell r="K5195">
            <v>2.4380000000000002</v>
          </cell>
          <cell r="L5195">
            <v>148835</v>
          </cell>
          <cell r="M5195">
            <v>13229</v>
          </cell>
          <cell r="N5195">
            <v>683926.05601571908</v>
          </cell>
          <cell r="O5195">
            <v>692380.00232629513</v>
          </cell>
          <cell r="P5195">
            <v>368.79259999999999</v>
          </cell>
        </row>
        <row r="5196">
          <cell r="B5196">
            <v>37973</v>
          </cell>
          <cell r="J5196">
            <v>3809804.3041216834</v>
          </cell>
          <cell r="K5196">
            <v>2.4380000000000002</v>
          </cell>
          <cell r="L5196">
            <v>148835</v>
          </cell>
          <cell r="M5196">
            <v>13229</v>
          </cell>
          <cell r="N5196">
            <v>683926.05601571908</v>
          </cell>
          <cell r="O5196">
            <v>692380.00232629513</v>
          </cell>
          <cell r="P5196">
            <v>368.79259999999999</v>
          </cell>
        </row>
        <row r="5197">
          <cell r="B5197">
            <v>37974</v>
          </cell>
          <cell r="J5197">
            <v>3809804.3041216834</v>
          </cell>
          <cell r="K5197">
            <v>2.4380000000000002</v>
          </cell>
          <cell r="L5197">
            <v>148835</v>
          </cell>
          <cell r="M5197">
            <v>13229</v>
          </cell>
          <cell r="N5197">
            <v>683926.05601571908</v>
          </cell>
          <cell r="O5197">
            <v>692380.00232629513</v>
          </cell>
          <cell r="P5197">
            <v>368.79259999999999</v>
          </cell>
        </row>
        <row r="5198">
          <cell r="B5198">
            <v>37975</v>
          </cell>
          <cell r="J5198">
            <v>3809804.3041216834</v>
          </cell>
          <cell r="K5198">
            <v>2.4380000000000002</v>
          </cell>
          <cell r="L5198">
            <v>148835</v>
          </cell>
          <cell r="M5198">
            <v>13229</v>
          </cell>
          <cell r="N5198">
            <v>683926.05601571908</v>
          </cell>
          <cell r="O5198">
            <v>692380.00232629513</v>
          </cell>
          <cell r="P5198">
            <v>368.79259999999999</v>
          </cell>
        </row>
        <row r="5199">
          <cell r="B5199">
            <v>37976</v>
          </cell>
          <cell r="J5199">
            <v>3809804.3041216834</v>
          </cell>
          <cell r="K5199">
            <v>2.4380000000000002</v>
          </cell>
          <cell r="L5199">
            <v>148835</v>
          </cell>
          <cell r="M5199">
            <v>13229</v>
          </cell>
          <cell r="N5199">
            <v>683926.05601571908</v>
          </cell>
          <cell r="O5199">
            <v>692380.00232629513</v>
          </cell>
          <cell r="P5199">
            <v>368.79259999999999</v>
          </cell>
        </row>
        <row r="5200">
          <cell r="B5200">
            <v>37977</v>
          </cell>
          <cell r="J5200">
            <v>3809804.3041216834</v>
          </cell>
          <cell r="K5200">
            <v>2.4380000000000002</v>
          </cell>
          <cell r="L5200">
            <v>148835</v>
          </cell>
          <cell r="M5200">
            <v>13229</v>
          </cell>
          <cell r="N5200">
            <v>683926.05601571908</v>
          </cell>
          <cell r="O5200">
            <v>692380.00232629513</v>
          </cell>
          <cell r="P5200">
            <v>368.79259999999999</v>
          </cell>
        </row>
        <row r="5201">
          <cell r="B5201">
            <v>37978</v>
          </cell>
          <cell r="J5201">
            <v>3809804.3041216834</v>
          </cell>
          <cell r="K5201">
            <v>2.4380000000000002</v>
          </cell>
          <cell r="L5201">
            <v>148835</v>
          </cell>
          <cell r="M5201">
            <v>13229</v>
          </cell>
          <cell r="N5201">
            <v>683926.05601571908</v>
          </cell>
          <cell r="O5201">
            <v>692380.00232629513</v>
          </cell>
          <cell r="P5201">
            <v>368.79259999999999</v>
          </cell>
        </row>
        <row r="5202">
          <cell r="B5202">
            <v>37979</v>
          </cell>
          <cell r="J5202">
            <v>3809804.3041216834</v>
          </cell>
          <cell r="K5202">
            <v>2.4380000000000002</v>
          </cell>
          <cell r="L5202">
            <v>148835</v>
          </cell>
          <cell r="M5202">
            <v>13229</v>
          </cell>
          <cell r="N5202">
            <v>683926.05601571908</v>
          </cell>
          <cell r="O5202">
            <v>692380.00232629513</v>
          </cell>
          <cell r="P5202">
            <v>368.79259999999999</v>
          </cell>
        </row>
        <row r="5203">
          <cell r="B5203">
            <v>37980</v>
          </cell>
          <cell r="J5203">
            <v>3809804.3041216834</v>
          </cell>
          <cell r="K5203">
            <v>2.4380000000000002</v>
          </cell>
          <cell r="L5203">
            <v>148835</v>
          </cell>
          <cell r="M5203">
            <v>13229</v>
          </cell>
          <cell r="N5203">
            <v>683926.05601571908</v>
          </cell>
          <cell r="O5203">
            <v>692380.00232629513</v>
          </cell>
          <cell r="P5203">
            <v>368.79259999999999</v>
          </cell>
        </row>
        <row r="5204">
          <cell r="B5204">
            <v>37981</v>
          </cell>
          <cell r="J5204">
            <v>3809804.3041216834</v>
          </cell>
          <cell r="K5204">
            <v>2.4380000000000002</v>
          </cell>
          <cell r="L5204">
            <v>148835</v>
          </cell>
          <cell r="M5204">
            <v>13229</v>
          </cell>
          <cell r="N5204">
            <v>683926.05601571908</v>
          </cell>
          <cell r="O5204">
            <v>692380.00232629513</v>
          </cell>
          <cell r="P5204">
            <v>368.79259999999999</v>
          </cell>
        </row>
        <row r="5205">
          <cell r="B5205">
            <v>37982</v>
          </cell>
          <cell r="J5205">
            <v>3809804.3041216834</v>
          </cell>
          <cell r="K5205">
            <v>2.4380000000000002</v>
          </cell>
          <cell r="L5205">
            <v>148835</v>
          </cell>
          <cell r="M5205">
            <v>13229</v>
          </cell>
          <cell r="N5205">
            <v>683926.05601571908</v>
          </cell>
          <cell r="O5205">
            <v>692380.00232629513</v>
          </cell>
          <cell r="P5205">
            <v>368.79259999999999</v>
          </cell>
        </row>
        <row r="5206">
          <cell r="B5206">
            <v>37983</v>
          </cell>
          <cell r="J5206">
            <v>3809804.3041216834</v>
          </cell>
          <cell r="K5206">
            <v>2.4380000000000002</v>
          </cell>
          <cell r="L5206">
            <v>148835</v>
          </cell>
          <cell r="M5206">
            <v>13229</v>
          </cell>
          <cell r="N5206">
            <v>683926.05601571908</v>
          </cell>
          <cell r="O5206">
            <v>692380.00232629513</v>
          </cell>
          <cell r="P5206">
            <v>368.79259999999999</v>
          </cell>
        </row>
        <row r="5207">
          <cell r="B5207">
            <v>37984</v>
          </cell>
          <cell r="J5207">
            <v>3809804.3041216834</v>
          </cell>
          <cell r="K5207">
            <v>2.4380000000000002</v>
          </cell>
          <cell r="L5207">
            <v>148835</v>
          </cell>
          <cell r="M5207">
            <v>13229</v>
          </cell>
          <cell r="N5207">
            <v>683926.05601571908</v>
          </cell>
          <cell r="O5207">
            <v>692380.00232629513</v>
          </cell>
          <cell r="P5207">
            <v>368.79259999999999</v>
          </cell>
        </row>
        <row r="5208">
          <cell r="B5208">
            <v>37985</v>
          </cell>
          <cell r="J5208">
            <v>3809804.3041216834</v>
          </cell>
          <cell r="K5208">
            <v>2.4380000000000002</v>
          </cell>
          <cell r="L5208">
            <v>148835</v>
          </cell>
          <cell r="M5208">
            <v>13229</v>
          </cell>
          <cell r="N5208">
            <v>683926.05601571908</v>
          </cell>
          <cell r="O5208">
            <v>692380.00232629513</v>
          </cell>
          <cell r="P5208">
            <v>368.79259999999999</v>
          </cell>
        </row>
        <row r="5209">
          <cell r="B5209">
            <v>37986</v>
          </cell>
          <cell r="J5209">
            <v>3809804.3041216834</v>
          </cell>
          <cell r="K5209">
            <v>2.4380000000000002</v>
          </cell>
          <cell r="L5209">
            <v>148835</v>
          </cell>
          <cell r="M5209">
            <v>13229</v>
          </cell>
          <cell r="N5209">
            <v>683926.05601571908</v>
          </cell>
          <cell r="O5209">
            <v>692380.00232629513</v>
          </cell>
          <cell r="P5209">
            <v>368.79259999999999</v>
          </cell>
        </row>
        <row r="5210">
          <cell r="B5210">
            <v>37987</v>
          </cell>
          <cell r="J5210">
            <v>3809804.3041216834</v>
          </cell>
          <cell r="K5210">
            <v>2.4380000000000002</v>
          </cell>
          <cell r="L5210">
            <v>148835</v>
          </cell>
          <cell r="M5210">
            <v>13229</v>
          </cell>
          <cell r="N5210">
            <v>683926.05601571908</v>
          </cell>
          <cell r="O5210">
            <v>692380.00232629513</v>
          </cell>
          <cell r="P5210">
            <v>368.79259999999999</v>
          </cell>
        </row>
        <row r="5211">
          <cell r="B5211">
            <v>37988</v>
          </cell>
          <cell r="J5211">
            <v>3809804.3041216834</v>
          </cell>
          <cell r="K5211">
            <v>2.4380000000000002</v>
          </cell>
          <cell r="L5211">
            <v>148835</v>
          </cell>
          <cell r="M5211">
            <v>13229</v>
          </cell>
          <cell r="N5211">
            <v>683926.05601571908</v>
          </cell>
          <cell r="O5211">
            <v>692380.00232629513</v>
          </cell>
          <cell r="P5211">
            <v>368.79259999999999</v>
          </cell>
        </row>
        <row r="5212">
          <cell r="B5212">
            <v>37989</v>
          </cell>
          <cell r="J5212">
            <v>3809804.3041216834</v>
          </cell>
          <cell r="K5212">
            <v>2.4380000000000002</v>
          </cell>
          <cell r="L5212">
            <v>148835</v>
          </cell>
          <cell r="M5212">
            <v>13229</v>
          </cell>
          <cell r="N5212">
            <v>683926.05601571908</v>
          </cell>
          <cell r="O5212">
            <v>692380.00232629513</v>
          </cell>
          <cell r="P5212">
            <v>368.79259999999999</v>
          </cell>
        </row>
        <row r="5213">
          <cell r="B5213">
            <v>37990</v>
          </cell>
          <cell r="J5213">
            <v>3809804.3041216834</v>
          </cell>
          <cell r="K5213">
            <v>2.4380000000000002</v>
          </cell>
          <cell r="L5213">
            <v>148835</v>
          </cell>
          <cell r="M5213">
            <v>13229</v>
          </cell>
          <cell r="N5213">
            <v>683926.05601571908</v>
          </cell>
          <cell r="O5213">
            <v>692380.00232629513</v>
          </cell>
          <cell r="P5213">
            <v>368.79259999999999</v>
          </cell>
        </row>
        <row r="5214">
          <cell r="B5214">
            <v>37991</v>
          </cell>
          <cell r="J5214">
            <v>3809804.3041216834</v>
          </cell>
          <cell r="K5214">
            <v>2.4380000000000002</v>
          </cell>
          <cell r="L5214">
            <v>148835</v>
          </cell>
          <cell r="M5214">
            <v>13229</v>
          </cell>
          <cell r="N5214">
            <v>683926.05601571908</v>
          </cell>
          <cell r="O5214">
            <v>692380.00232629513</v>
          </cell>
          <cell r="P5214">
            <v>368.79259999999999</v>
          </cell>
        </row>
        <row r="5215">
          <cell r="B5215">
            <v>37992</v>
          </cell>
          <cell r="J5215">
            <v>3809804.3041216834</v>
          </cell>
          <cell r="K5215">
            <v>2.4380000000000002</v>
          </cell>
          <cell r="L5215">
            <v>148835</v>
          </cell>
          <cell r="M5215">
            <v>13229</v>
          </cell>
          <cell r="N5215">
            <v>683926.05601571908</v>
          </cell>
          <cell r="O5215">
            <v>692380.00232629513</v>
          </cell>
          <cell r="P5215">
            <v>368.79259999999999</v>
          </cell>
        </row>
        <row r="5216">
          <cell r="B5216">
            <v>37993</v>
          </cell>
          <cell r="J5216">
            <v>3809804.3041216834</v>
          </cell>
          <cell r="K5216">
            <v>2.4380000000000002</v>
          </cell>
          <cell r="L5216">
            <v>148835</v>
          </cell>
          <cell r="M5216">
            <v>13229</v>
          </cell>
          <cell r="N5216">
            <v>683926.05601571908</v>
          </cell>
          <cell r="O5216">
            <v>692380.00232629513</v>
          </cell>
          <cell r="P5216">
            <v>368.79259999999999</v>
          </cell>
        </row>
        <row r="5217">
          <cell r="B5217">
            <v>37994</v>
          </cell>
          <cell r="J5217">
            <v>3809804.3041216834</v>
          </cell>
          <cell r="K5217">
            <v>2.4380000000000002</v>
          </cell>
          <cell r="L5217">
            <v>148835</v>
          </cell>
          <cell r="M5217">
            <v>13229</v>
          </cell>
          <cell r="N5217">
            <v>683926.05601571908</v>
          </cell>
          <cell r="O5217">
            <v>692380.00232629513</v>
          </cell>
          <cell r="P5217">
            <v>368.79259999999999</v>
          </cell>
        </row>
        <row r="5218">
          <cell r="B5218">
            <v>37995</v>
          </cell>
          <cell r="J5218">
            <v>3809804.3041216834</v>
          </cell>
          <cell r="K5218">
            <v>2.4380000000000002</v>
          </cell>
          <cell r="L5218">
            <v>148835</v>
          </cell>
          <cell r="M5218">
            <v>13229</v>
          </cell>
          <cell r="N5218">
            <v>683926.05601571908</v>
          </cell>
          <cell r="O5218">
            <v>692380.00232629513</v>
          </cell>
          <cell r="P5218">
            <v>368.79259999999999</v>
          </cell>
        </row>
        <row r="5219">
          <cell r="B5219">
            <v>37996</v>
          </cell>
          <cell r="J5219">
            <v>3809804.3041216834</v>
          </cell>
          <cell r="K5219">
            <v>2.4380000000000002</v>
          </cell>
          <cell r="L5219">
            <v>148835</v>
          </cell>
          <cell r="M5219">
            <v>13229</v>
          </cell>
          <cell r="N5219">
            <v>683926.05601571908</v>
          </cell>
          <cell r="O5219">
            <v>692380.00232629513</v>
          </cell>
          <cell r="P5219">
            <v>368.79259999999999</v>
          </cell>
        </row>
        <row r="5220">
          <cell r="B5220">
            <v>37997</v>
          </cell>
          <cell r="J5220">
            <v>3809804.3041216834</v>
          </cell>
          <cell r="K5220">
            <v>2.4380000000000002</v>
          </cell>
          <cell r="L5220">
            <v>148835</v>
          </cell>
          <cell r="M5220">
            <v>13229</v>
          </cell>
          <cell r="N5220">
            <v>683926.05601571908</v>
          </cell>
          <cell r="O5220">
            <v>692380.00232629513</v>
          </cell>
          <cell r="P5220">
            <v>368.79259999999999</v>
          </cell>
        </row>
        <row r="5221">
          <cell r="B5221">
            <v>37998</v>
          </cell>
          <cell r="J5221">
            <v>3809804.3041216834</v>
          </cell>
          <cell r="K5221">
            <v>2.4380000000000002</v>
          </cell>
          <cell r="L5221">
            <v>148835</v>
          </cell>
          <cell r="M5221">
            <v>13229</v>
          </cell>
          <cell r="N5221">
            <v>683926.05601571908</v>
          </cell>
          <cell r="O5221">
            <v>692380.00232629513</v>
          </cell>
          <cell r="P5221">
            <v>368.79259999999999</v>
          </cell>
        </row>
        <row r="5222">
          <cell r="B5222">
            <v>37999</v>
          </cell>
          <cell r="J5222">
            <v>3809804.3041216834</v>
          </cell>
          <cell r="K5222">
            <v>2.4380000000000002</v>
          </cell>
          <cell r="L5222">
            <v>148835</v>
          </cell>
          <cell r="M5222">
            <v>13229</v>
          </cell>
          <cell r="N5222">
            <v>683926.05601571908</v>
          </cell>
          <cell r="O5222">
            <v>692380.00232629513</v>
          </cell>
          <cell r="P5222">
            <v>368.79259999999999</v>
          </cell>
        </row>
        <row r="5223">
          <cell r="B5223">
            <v>38000</v>
          </cell>
          <cell r="J5223">
            <v>3809804.3041216834</v>
          </cell>
          <cell r="K5223">
            <v>2.4380000000000002</v>
          </cell>
          <cell r="L5223">
            <v>148835</v>
          </cell>
          <cell r="M5223">
            <v>13229</v>
          </cell>
          <cell r="N5223">
            <v>683926.05601571908</v>
          </cell>
          <cell r="O5223">
            <v>692380.00232629513</v>
          </cell>
          <cell r="P5223">
            <v>368.79259999999999</v>
          </cell>
        </row>
        <row r="5224">
          <cell r="B5224">
            <v>38001</v>
          </cell>
          <cell r="J5224">
            <v>3809804.3041216834</v>
          </cell>
          <cell r="K5224">
            <v>2.4380000000000002</v>
          </cell>
          <cell r="L5224">
            <v>148835</v>
          </cell>
          <cell r="M5224">
            <v>13229</v>
          </cell>
          <cell r="N5224">
            <v>683926.05601571908</v>
          </cell>
          <cell r="O5224">
            <v>692380.00232629513</v>
          </cell>
          <cell r="P5224">
            <v>368.79259999999999</v>
          </cell>
        </row>
        <row r="5225">
          <cell r="B5225">
            <v>38002</v>
          </cell>
          <cell r="J5225">
            <v>3809804.3041216834</v>
          </cell>
          <cell r="K5225">
            <v>2.4380000000000002</v>
          </cell>
          <cell r="L5225">
            <v>148835</v>
          </cell>
          <cell r="M5225">
            <v>13229</v>
          </cell>
          <cell r="N5225">
            <v>683926.05601571908</v>
          </cell>
          <cell r="O5225">
            <v>692380.00232629513</v>
          </cell>
          <cell r="P5225">
            <v>368.79259999999999</v>
          </cell>
        </row>
        <row r="5226">
          <cell r="B5226">
            <v>38003</v>
          </cell>
          <cell r="J5226">
            <v>3809804.3041216834</v>
          </cell>
          <cell r="K5226">
            <v>2.4380000000000002</v>
          </cell>
          <cell r="L5226">
            <v>148835</v>
          </cell>
          <cell r="M5226">
            <v>13229</v>
          </cell>
          <cell r="N5226">
            <v>683926.05601571908</v>
          </cell>
          <cell r="O5226">
            <v>692380.00232629513</v>
          </cell>
          <cell r="P5226">
            <v>368.79259999999999</v>
          </cell>
        </row>
        <row r="5227">
          <cell r="B5227">
            <v>38004</v>
          </cell>
          <cell r="J5227">
            <v>3809804.3041216834</v>
          </cell>
          <cell r="K5227">
            <v>2.4380000000000002</v>
          </cell>
          <cell r="L5227">
            <v>148835</v>
          </cell>
          <cell r="M5227">
            <v>13229</v>
          </cell>
          <cell r="N5227">
            <v>683926.05601571908</v>
          </cell>
          <cell r="O5227">
            <v>692380.00232629513</v>
          </cell>
          <cell r="P5227">
            <v>368.79259999999999</v>
          </cell>
        </row>
        <row r="5228">
          <cell r="B5228">
            <v>38005</v>
          </cell>
          <cell r="J5228">
            <v>3809804.3041216834</v>
          </cell>
          <cell r="K5228">
            <v>2.4380000000000002</v>
          </cell>
          <cell r="L5228">
            <v>148835</v>
          </cell>
          <cell r="M5228">
            <v>13229</v>
          </cell>
          <cell r="N5228">
            <v>683926.05601571908</v>
          </cell>
          <cell r="O5228">
            <v>692380.00232629513</v>
          </cell>
          <cell r="P5228">
            <v>368.79259999999999</v>
          </cell>
        </row>
        <row r="5229">
          <cell r="B5229">
            <v>38006</v>
          </cell>
          <cell r="J5229">
            <v>3809804.3041216834</v>
          </cell>
          <cell r="K5229">
            <v>2.4380000000000002</v>
          </cell>
          <cell r="L5229">
            <v>148835</v>
          </cell>
          <cell r="M5229">
            <v>13229</v>
          </cell>
          <cell r="N5229">
            <v>683926.05601571908</v>
          </cell>
          <cell r="O5229">
            <v>692380.00232629513</v>
          </cell>
          <cell r="P5229">
            <v>368.79259999999999</v>
          </cell>
        </row>
        <row r="5230">
          <cell r="B5230">
            <v>38007</v>
          </cell>
          <cell r="J5230">
            <v>3809804.3041216834</v>
          </cell>
          <cell r="K5230">
            <v>2.4380000000000002</v>
          </cell>
          <cell r="L5230">
            <v>148835</v>
          </cell>
          <cell r="M5230">
            <v>13229</v>
          </cell>
          <cell r="N5230">
            <v>683926.05601571908</v>
          </cell>
          <cell r="O5230">
            <v>692380.00232629513</v>
          </cell>
          <cell r="P5230">
            <v>368.79259999999999</v>
          </cell>
        </row>
        <row r="5231">
          <cell r="B5231">
            <v>38008</v>
          </cell>
          <cell r="J5231">
            <v>3809804.3041216834</v>
          </cell>
          <cell r="K5231">
            <v>2.4380000000000002</v>
          </cell>
          <cell r="L5231">
            <v>148835</v>
          </cell>
          <cell r="M5231">
            <v>13229</v>
          </cell>
          <cell r="N5231">
            <v>683926.05601571908</v>
          </cell>
          <cell r="O5231">
            <v>692380.00232629513</v>
          </cell>
          <cell r="P5231">
            <v>368.79259999999999</v>
          </cell>
        </row>
        <row r="5232">
          <cell r="B5232">
            <v>38009</v>
          </cell>
          <cell r="J5232">
            <v>3809804.3041216834</v>
          </cell>
          <cell r="K5232">
            <v>2.4380000000000002</v>
          </cell>
          <cell r="L5232">
            <v>148835</v>
          </cell>
          <cell r="M5232">
            <v>13229</v>
          </cell>
          <cell r="N5232">
            <v>683926.05601571908</v>
          </cell>
          <cell r="O5232">
            <v>692380.00232629513</v>
          </cell>
          <cell r="P5232">
            <v>368.79259999999999</v>
          </cell>
        </row>
        <row r="5233">
          <cell r="B5233">
            <v>38010</v>
          </cell>
          <cell r="J5233">
            <v>3809804.3041216834</v>
          </cell>
          <cell r="K5233">
            <v>2.4380000000000002</v>
          </cell>
          <cell r="L5233">
            <v>148835</v>
          </cell>
          <cell r="M5233">
            <v>13229</v>
          </cell>
          <cell r="N5233">
            <v>683926.05601571908</v>
          </cell>
          <cell r="O5233">
            <v>692380.00232629513</v>
          </cell>
          <cell r="P5233">
            <v>368.79259999999999</v>
          </cell>
        </row>
        <row r="5234">
          <cell r="B5234">
            <v>38011</v>
          </cell>
          <cell r="J5234">
            <v>3809804.3041216834</v>
          </cell>
          <cell r="K5234">
            <v>2.4380000000000002</v>
          </cell>
          <cell r="L5234">
            <v>148835</v>
          </cell>
          <cell r="M5234">
            <v>13229</v>
          </cell>
          <cell r="N5234">
            <v>683926.05601571908</v>
          </cell>
          <cell r="O5234">
            <v>692380.00232629513</v>
          </cell>
          <cell r="P5234">
            <v>368.79259999999999</v>
          </cell>
        </row>
        <row r="5235">
          <cell r="B5235">
            <v>38012</v>
          </cell>
          <cell r="J5235">
            <v>3809804.3041216834</v>
          </cell>
          <cell r="K5235">
            <v>2.4380000000000002</v>
          </cell>
          <cell r="L5235">
            <v>148835</v>
          </cell>
          <cell r="M5235">
            <v>13229</v>
          </cell>
          <cell r="N5235">
            <v>683926.05601571908</v>
          </cell>
          <cell r="O5235">
            <v>692380.00232629513</v>
          </cell>
          <cell r="P5235">
            <v>368.79259999999999</v>
          </cell>
        </row>
        <row r="5236">
          <cell r="B5236">
            <v>38013</v>
          </cell>
          <cell r="J5236">
            <v>3809804.3041216834</v>
          </cell>
          <cell r="K5236">
            <v>2.4380000000000002</v>
          </cell>
          <cell r="L5236">
            <v>148835</v>
          </cell>
          <cell r="M5236">
            <v>13229</v>
          </cell>
          <cell r="N5236">
            <v>683926.05601571908</v>
          </cell>
          <cell r="O5236">
            <v>692380.00232629513</v>
          </cell>
          <cell r="P5236">
            <v>368.79259999999999</v>
          </cell>
        </row>
        <row r="5237">
          <cell r="B5237">
            <v>38014</v>
          </cell>
          <cell r="J5237">
            <v>3809804.3041216834</v>
          </cell>
          <cell r="K5237">
            <v>2.4380000000000002</v>
          </cell>
          <cell r="L5237">
            <v>148835</v>
          </cell>
          <cell r="M5237">
            <v>13229</v>
          </cell>
          <cell r="N5237">
            <v>683926.05601571908</v>
          </cell>
          <cell r="O5237">
            <v>692380.00232629513</v>
          </cell>
          <cell r="P5237">
            <v>368.79259999999999</v>
          </cell>
        </row>
        <row r="5238">
          <cell r="B5238">
            <v>38015</v>
          </cell>
          <cell r="J5238">
            <v>3809804.3041216834</v>
          </cell>
          <cell r="K5238">
            <v>2.4380000000000002</v>
          </cell>
          <cell r="L5238">
            <v>148835</v>
          </cell>
          <cell r="M5238">
            <v>13229</v>
          </cell>
          <cell r="N5238">
            <v>683926.05601571908</v>
          </cell>
          <cell r="O5238">
            <v>692380.00232629513</v>
          </cell>
          <cell r="P5238">
            <v>368.79259999999999</v>
          </cell>
        </row>
        <row r="5239">
          <cell r="B5239">
            <v>38016</v>
          </cell>
          <cell r="J5239">
            <v>3809804.3041216834</v>
          </cell>
          <cell r="K5239">
            <v>2.4380000000000002</v>
          </cell>
          <cell r="L5239">
            <v>148835</v>
          </cell>
          <cell r="M5239">
            <v>13229</v>
          </cell>
          <cell r="N5239">
            <v>683926.05601571908</v>
          </cell>
          <cell r="O5239">
            <v>692380.00232629513</v>
          </cell>
          <cell r="P5239">
            <v>368.79259999999999</v>
          </cell>
        </row>
        <row r="5240">
          <cell r="B5240">
            <v>38017</v>
          </cell>
          <cell r="J5240">
            <v>3809804.3041216834</v>
          </cell>
          <cell r="K5240">
            <v>2.4380000000000002</v>
          </cell>
          <cell r="L5240">
            <v>148835</v>
          </cell>
          <cell r="M5240">
            <v>13229</v>
          </cell>
          <cell r="N5240">
            <v>683926.05601571908</v>
          </cell>
          <cell r="O5240">
            <v>692380.00232629513</v>
          </cell>
          <cell r="P5240">
            <v>368.79259999999999</v>
          </cell>
        </row>
        <row r="5241">
          <cell r="B5241">
            <v>38018</v>
          </cell>
          <cell r="J5241">
            <v>3809804.3041216834</v>
          </cell>
          <cell r="K5241">
            <v>2.4380000000000002</v>
          </cell>
          <cell r="L5241">
            <v>148835</v>
          </cell>
          <cell r="M5241">
            <v>13229</v>
          </cell>
          <cell r="N5241">
            <v>683926.05601571908</v>
          </cell>
          <cell r="O5241">
            <v>692380.00232629513</v>
          </cell>
          <cell r="P5241">
            <v>368.79259999999999</v>
          </cell>
        </row>
        <row r="5242">
          <cell r="B5242">
            <v>38019</v>
          </cell>
          <cell r="J5242">
            <v>3809804.3041216834</v>
          </cell>
          <cell r="K5242">
            <v>2.4380000000000002</v>
          </cell>
          <cell r="L5242">
            <v>148835</v>
          </cell>
          <cell r="M5242">
            <v>13229</v>
          </cell>
          <cell r="N5242">
            <v>683926.05601571908</v>
          </cell>
          <cell r="O5242">
            <v>692380.00232629513</v>
          </cell>
          <cell r="P5242">
            <v>368.79259999999999</v>
          </cell>
        </row>
        <row r="5243">
          <cell r="B5243">
            <v>38020</v>
          </cell>
          <cell r="J5243">
            <v>3809804.3041216834</v>
          </cell>
          <cell r="K5243">
            <v>2.4380000000000002</v>
          </cell>
          <cell r="L5243">
            <v>148835</v>
          </cell>
          <cell r="M5243">
            <v>13229</v>
          </cell>
          <cell r="N5243">
            <v>683926.05601571908</v>
          </cell>
          <cell r="O5243">
            <v>692380.00232629513</v>
          </cell>
          <cell r="P5243">
            <v>368.79259999999999</v>
          </cell>
        </row>
        <row r="5244">
          <cell r="B5244">
            <v>38021</v>
          </cell>
          <cell r="J5244">
            <v>3809804.3041216834</v>
          </cell>
          <cell r="K5244">
            <v>2.4380000000000002</v>
          </cell>
          <cell r="L5244">
            <v>148835</v>
          </cell>
          <cell r="M5244">
            <v>13229</v>
          </cell>
          <cell r="N5244">
            <v>683926.05601571908</v>
          </cell>
          <cell r="O5244">
            <v>692380.00232629513</v>
          </cell>
          <cell r="P5244">
            <v>368.79259999999999</v>
          </cell>
        </row>
        <row r="5245">
          <cell r="B5245">
            <v>38022</v>
          </cell>
          <cell r="J5245">
            <v>3809804.3041216834</v>
          </cell>
          <cell r="K5245">
            <v>2.4380000000000002</v>
          </cell>
          <cell r="L5245">
            <v>148835</v>
          </cell>
          <cell r="M5245">
            <v>13229</v>
          </cell>
          <cell r="N5245">
            <v>683926.05601571908</v>
          </cell>
          <cell r="O5245">
            <v>692380.00232629513</v>
          </cell>
          <cell r="P5245">
            <v>368.79259999999999</v>
          </cell>
        </row>
        <row r="5246">
          <cell r="B5246">
            <v>38023</v>
          </cell>
          <cell r="J5246">
            <v>3809804.3041216834</v>
          </cell>
          <cell r="K5246">
            <v>2.4380000000000002</v>
          </cell>
          <cell r="L5246">
            <v>148835</v>
          </cell>
          <cell r="M5246">
            <v>13229</v>
          </cell>
          <cell r="N5246">
            <v>683926.05601571908</v>
          </cell>
          <cell r="O5246">
            <v>692380.00232629513</v>
          </cell>
          <cell r="P5246">
            <v>368.79259999999999</v>
          </cell>
        </row>
        <row r="5247">
          <cell r="B5247">
            <v>38024</v>
          </cell>
          <cell r="J5247">
            <v>3809804.3041216834</v>
          </cell>
          <cell r="K5247">
            <v>2.4380000000000002</v>
          </cell>
          <cell r="L5247">
            <v>148835</v>
          </cell>
          <cell r="M5247">
            <v>13229</v>
          </cell>
          <cell r="N5247">
            <v>683926.05601571908</v>
          </cell>
          <cell r="O5247">
            <v>692380.00232629513</v>
          </cell>
          <cell r="P5247">
            <v>368.79259999999999</v>
          </cell>
        </row>
        <row r="5248">
          <cell r="B5248">
            <v>38025</v>
          </cell>
          <cell r="J5248">
            <v>3809804.3041216834</v>
          </cell>
          <cell r="K5248">
            <v>2.4380000000000002</v>
          </cell>
          <cell r="L5248">
            <v>148835</v>
          </cell>
          <cell r="M5248">
            <v>13229</v>
          </cell>
          <cell r="N5248">
            <v>683926.05601571908</v>
          </cell>
          <cell r="O5248">
            <v>692380.00232629513</v>
          </cell>
          <cell r="P5248">
            <v>368.79259999999999</v>
          </cell>
        </row>
        <row r="5249">
          <cell r="B5249">
            <v>38026</v>
          </cell>
          <cell r="J5249">
            <v>3809804.3041216834</v>
          </cell>
          <cell r="K5249">
            <v>2.4380000000000002</v>
          </cell>
          <cell r="L5249">
            <v>148835</v>
          </cell>
          <cell r="M5249">
            <v>13229</v>
          </cell>
          <cell r="N5249">
            <v>683926.05601571908</v>
          </cell>
          <cell r="O5249">
            <v>692380.00232629513</v>
          </cell>
          <cell r="P5249">
            <v>368.79259999999999</v>
          </cell>
        </row>
        <row r="5250">
          <cell r="B5250">
            <v>38027</v>
          </cell>
          <cell r="J5250">
            <v>3809804.3041216834</v>
          </cell>
          <cell r="K5250">
            <v>2.4380000000000002</v>
          </cell>
          <cell r="L5250">
            <v>148835</v>
          </cell>
          <cell r="M5250">
            <v>13229</v>
          </cell>
          <cell r="N5250">
            <v>683926.05601571908</v>
          </cell>
          <cell r="O5250">
            <v>692380.00232629513</v>
          </cell>
          <cell r="P5250">
            <v>368.79259999999999</v>
          </cell>
        </row>
        <row r="5251">
          <cell r="B5251">
            <v>38028</v>
          </cell>
          <cell r="J5251">
            <v>3809804.3041216834</v>
          </cell>
          <cell r="K5251">
            <v>2.4380000000000002</v>
          </cell>
          <cell r="L5251">
            <v>148835</v>
          </cell>
          <cell r="M5251">
            <v>13229</v>
          </cell>
          <cell r="N5251">
            <v>683926.05601571908</v>
          </cell>
          <cell r="O5251">
            <v>692380.00232629513</v>
          </cell>
          <cell r="P5251">
            <v>368.79259999999999</v>
          </cell>
        </row>
        <row r="5252">
          <cell r="B5252">
            <v>38029</v>
          </cell>
          <cell r="J5252">
            <v>3809804.3041216834</v>
          </cell>
          <cell r="K5252">
            <v>2.4380000000000002</v>
          </cell>
          <cell r="L5252">
            <v>148835</v>
          </cell>
          <cell r="M5252">
            <v>13229</v>
          </cell>
          <cell r="N5252">
            <v>683926.05601571908</v>
          </cell>
          <cell r="O5252">
            <v>692380.00232629513</v>
          </cell>
          <cell r="P5252">
            <v>368.79259999999999</v>
          </cell>
        </row>
        <row r="5253">
          <cell r="B5253">
            <v>38030</v>
          </cell>
          <cell r="J5253">
            <v>3809804.3041216834</v>
          </cell>
          <cell r="K5253">
            <v>2.4380000000000002</v>
          </cell>
          <cell r="L5253">
            <v>148835</v>
          </cell>
          <cell r="M5253">
            <v>13229</v>
          </cell>
          <cell r="N5253">
            <v>683926.05601571908</v>
          </cell>
          <cell r="O5253">
            <v>692380.00232629513</v>
          </cell>
          <cell r="P5253">
            <v>368.79259999999999</v>
          </cell>
        </row>
        <row r="5254">
          <cell r="B5254">
            <v>38031</v>
          </cell>
          <cell r="J5254">
            <v>3809804.3041216834</v>
          </cell>
          <cell r="K5254">
            <v>2.4380000000000002</v>
          </cell>
          <cell r="L5254">
            <v>148835</v>
          </cell>
          <cell r="M5254">
            <v>13229</v>
          </cell>
          <cell r="N5254">
            <v>683926.05601571908</v>
          </cell>
          <cell r="O5254">
            <v>692380.00232629513</v>
          </cell>
          <cell r="P5254">
            <v>368.79259999999999</v>
          </cell>
        </row>
        <row r="5255">
          <cell r="B5255">
            <v>38032</v>
          </cell>
          <cell r="J5255">
            <v>3809804.3041216834</v>
          </cell>
          <cell r="K5255">
            <v>2.4380000000000002</v>
          </cell>
          <cell r="L5255">
            <v>148835</v>
          </cell>
          <cell r="M5255">
            <v>13229</v>
          </cell>
          <cell r="N5255">
            <v>683926.05601571908</v>
          </cell>
          <cell r="O5255">
            <v>692380.00232629513</v>
          </cell>
          <cell r="P5255">
            <v>368.79259999999999</v>
          </cell>
        </row>
        <row r="5256">
          <cell r="B5256">
            <v>38033</v>
          </cell>
          <cell r="J5256">
            <v>3809804.3041216834</v>
          </cell>
          <cell r="K5256">
            <v>2.4380000000000002</v>
          </cell>
          <cell r="L5256">
            <v>148835</v>
          </cell>
          <cell r="M5256">
            <v>13229</v>
          </cell>
          <cell r="N5256">
            <v>683926.05601571908</v>
          </cell>
          <cell r="O5256">
            <v>692380.00232629513</v>
          </cell>
          <cell r="P5256">
            <v>368.79259999999999</v>
          </cell>
        </row>
        <row r="5257">
          <cell r="B5257">
            <v>38034</v>
          </cell>
          <cell r="J5257">
            <v>3809804.3041216834</v>
          </cell>
          <cell r="K5257">
            <v>2.4380000000000002</v>
          </cell>
          <cell r="L5257">
            <v>148835</v>
          </cell>
          <cell r="M5257">
            <v>13229</v>
          </cell>
          <cell r="N5257">
            <v>683926.05601571908</v>
          </cell>
          <cell r="O5257">
            <v>692380.00232629513</v>
          </cell>
          <cell r="P5257">
            <v>368.79259999999999</v>
          </cell>
        </row>
        <row r="5258">
          <cell r="B5258">
            <v>38035</v>
          </cell>
          <cell r="J5258">
            <v>3809804.3041216834</v>
          </cell>
          <cell r="K5258">
            <v>2.4380000000000002</v>
          </cell>
          <cell r="L5258">
            <v>148835</v>
          </cell>
          <cell r="M5258">
            <v>13229</v>
          </cell>
          <cell r="N5258">
            <v>683926.05601571908</v>
          </cell>
          <cell r="O5258">
            <v>692380.00232629513</v>
          </cell>
          <cell r="P5258">
            <v>368.79259999999999</v>
          </cell>
        </row>
        <row r="5259">
          <cell r="B5259">
            <v>38036</v>
          </cell>
          <cell r="J5259">
            <v>3809804.3041216834</v>
          </cell>
          <cell r="K5259">
            <v>2.4380000000000002</v>
          </cell>
          <cell r="L5259">
            <v>148835</v>
          </cell>
          <cell r="M5259">
            <v>13229</v>
          </cell>
          <cell r="N5259">
            <v>683926.05601571908</v>
          </cell>
          <cell r="O5259">
            <v>692380.00232629513</v>
          </cell>
          <cell r="P5259">
            <v>368.79259999999999</v>
          </cell>
        </row>
        <row r="5260">
          <cell r="B5260">
            <v>38037</v>
          </cell>
          <cell r="J5260">
            <v>3809804.3041216834</v>
          </cell>
          <cell r="K5260">
            <v>2.4380000000000002</v>
          </cell>
          <cell r="L5260">
            <v>148835</v>
          </cell>
          <cell r="M5260">
            <v>13229</v>
          </cell>
          <cell r="N5260">
            <v>683926.05601571908</v>
          </cell>
          <cell r="O5260">
            <v>692380.00232629513</v>
          </cell>
          <cell r="P5260">
            <v>368.79259999999999</v>
          </cell>
        </row>
        <row r="5261">
          <cell r="B5261">
            <v>38038</v>
          </cell>
          <cell r="J5261">
            <v>3809804.3041216834</v>
          </cell>
          <cell r="K5261">
            <v>2.4380000000000002</v>
          </cell>
          <cell r="L5261">
            <v>148835</v>
          </cell>
          <cell r="M5261">
            <v>13229</v>
          </cell>
          <cell r="N5261">
            <v>683926.05601571908</v>
          </cell>
          <cell r="O5261">
            <v>692380.00232629513</v>
          </cell>
          <cell r="P5261">
            <v>368.79259999999999</v>
          </cell>
        </row>
        <row r="5262">
          <cell r="B5262">
            <v>38039</v>
          </cell>
          <cell r="J5262">
            <v>3809804.3041216834</v>
          </cell>
          <cell r="K5262">
            <v>2.4380000000000002</v>
          </cell>
          <cell r="L5262">
            <v>148835</v>
          </cell>
          <cell r="M5262">
            <v>13229</v>
          </cell>
          <cell r="N5262">
            <v>683926.05601571908</v>
          </cell>
          <cell r="O5262">
            <v>692380.00232629513</v>
          </cell>
          <cell r="P5262">
            <v>368.79259999999999</v>
          </cell>
        </row>
        <row r="5263">
          <cell r="B5263">
            <v>38040</v>
          </cell>
          <cell r="J5263">
            <v>3809804.3041216834</v>
          </cell>
          <cell r="K5263">
            <v>2.4380000000000002</v>
          </cell>
          <cell r="L5263">
            <v>148835</v>
          </cell>
          <cell r="M5263">
            <v>13229</v>
          </cell>
          <cell r="N5263">
            <v>683926.05601571908</v>
          </cell>
          <cell r="O5263">
            <v>692380.00232629513</v>
          </cell>
          <cell r="P5263">
            <v>368.79259999999999</v>
          </cell>
        </row>
        <row r="5264">
          <cell r="B5264">
            <v>38041</v>
          </cell>
          <cell r="J5264">
            <v>3809804.3041216834</v>
          </cell>
          <cell r="K5264">
            <v>2.4380000000000002</v>
          </cell>
          <cell r="L5264">
            <v>148835</v>
          </cell>
          <cell r="M5264">
            <v>13229</v>
          </cell>
          <cell r="N5264">
            <v>683926.05601571908</v>
          </cell>
          <cell r="O5264">
            <v>692380.00232629513</v>
          </cell>
          <cell r="P5264">
            <v>368.79259999999999</v>
          </cell>
        </row>
        <row r="5265">
          <cell r="B5265">
            <v>38042</v>
          </cell>
          <cell r="J5265">
            <v>3809804.3041216834</v>
          </cell>
          <cell r="K5265">
            <v>2.4380000000000002</v>
          </cell>
          <cell r="L5265">
            <v>148835</v>
          </cell>
          <cell r="M5265">
            <v>13229</v>
          </cell>
          <cell r="N5265">
            <v>683926.05601571908</v>
          </cell>
          <cell r="O5265">
            <v>692380.00232629513</v>
          </cell>
          <cell r="P5265">
            <v>368.79259999999999</v>
          </cell>
        </row>
        <row r="5266">
          <cell r="B5266">
            <v>38043</v>
          </cell>
          <cell r="J5266">
            <v>3809804.3041216834</v>
          </cell>
          <cell r="K5266">
            <v>2.4380000000000002</v>
          </cell>
          <cell r="L5266">
            <v>148835</v>
          </cell>
          <cell r="M5266">
            <v>13229</v>
          </cell>
          <cell r="N5266">
            <v>683926.05601571908</v>
          </cell>
          <cell r="O5266">
            <v>692380.00232629513</v>
          </cell>
          <cell r="P5266">
            <v>368.79259999999999</v>
          </cell>
        </row>
        <row r="5267">
          <cell r="B5267">
            <v>38044</v>
          </cell>
          <cell r="J5267">
            <v>3809804.3041216834</v>
          </cell>
          <cell r="K5267">
            <v>2.4380000000000002</v>
          </cell>
          <cell r="L5267">
            <v>148835</v>
          </cell>
          <cell r="M5267">
            <v>13229</v>
          </cell>
          <cell r="N5267">
            <v>683926.05601571908</v>
          </cell>
          <cell r="O5267">
            <v>692380.00232629513</v>
          </cell>
          <cell r="P5267">
            <v>368.79259999999999</v>
          </cell>
        </row>
        <row r="5268">
          <cell r="B5268">
            <v>38045</v>
          </cell>
          <cell r="J5268">
            <v>3809804.3041216834</v>
          </cell>
          <cell r="K5268">
            <v>2.4380000000000002</v>
          </cell>
          <cell r="L5268">
            <v>148835</v>
          </cell>
          <cell r="M5268">
            <v>13229</v>
          </cell>
          <cell r="N5268">
            <v>683926.05601571908</v>
          </cell>
          <cell r="O5268">
            <v>692380.00232629513</v>
          </cell>
          <cell r="P5268">
            <v>368.79259999999999</v>
          </cell>
        </row>
        <row r="5269">
          <cell r="B5269">
            <v>38046</v>
          </cell>
          <cell r="J5269">
            <v>3809804.3041216834</v>
          </cell>
          <cell r="K5269">
            <v>2.4380000000000002</v>
          </cell>
          <cell r="L5269">
            <v>148835</v>
          </cell>
          <cell r="M5269">
            <v>13229</v>
          </cell>
          <cell r="N5269">
            <v>683926.05601571908</v>
          </cell>
          <cell r="O5269">
            <v>692380.00232629513</v>
          </cell>
          <cell r="P5269">
            <v>368.79259999999999</v>
          </cell>
        </row>
        <row r="5270">
          <cell r="B5270">
            <v>38047</v>
          </cell>
          <cell r="J5270">
            <v>3809804.3041216834</v>
          </cell>
          <cell r="K5270">
            <v>2.4380000000000002</v>
          </cell>
          <cell r="L5270">
            <v>148835</v>
          </cell>
          <cell r="M5270">
            <v>13229</v>
          </cell>
          <cell r="N5270">
            <v>683926.05601571908</v>
          </cell>
          <cell r="O5270">
            <v>692380.00232629513</v>
          </cell>
          <cell r="P5270">
            <v>368.79259999999999</v>
          </cell>
        </row>
        <row r="5271">
          <cell r="B5271">
            <v>38048</v>
          </cell>
          <cell r="J5271">
            <v>3809804.3041216834</v>
          </cell>
          <cell r="K5271">
            <v>2.4380000000000002</v>
          </cell>
          <cell r="L5271">
            <v>148835</v>
          </cell>
          <cell r="M5271">
            <v>13229</v>
          </cell>
          <cell r="N5271">
            <v>683926.05601571908</v>
          </cell>
          <cell r="O5271">
            <v>692380.00232629513</v>
          </cell>
          <cell r="P5271">
            <v>368.79259999999999</v>
          </cell>
        </row>
        <row r="5272">
          <cell r="B5272">
            <v>38049</v>
          </cell>
          <cell r="J5272">
            <v>3809804.3041216834</v>
          </cell>
          <cell r="K5272">
            <v>2.4380000000000002</v>
          </cell>
          <cell r="L5272">
            <v>148835</v>
          </cell>
          <cell r="M5272">
            <v>13229</v>
          </cell>
          <cell r="N5272">
            <v>683926.05601571908</v>
          </cell>
          <cell r="O5272">
            <v>692380.00232629513</v>
          </cell>
          <cell r="P5272">
            <v>368.79259999999999</v>
          </cell>
        </row>
        <row r="5273">
          <cell r="B5273">
            <v>38050</v>
          </cell>
          <cell r="J5273">
            <v>3809804.3041216834</v>
          </cell>
          <cell r="K5273">
            <v>2.4380000000000002</v>
          </cell>
          <cell r="L5273">
            <v>148835</v>
          </cell>
          <cell r="M5273">
            <v>13229</v>
          </cell>
          <cell r="N5273">
            <v>683926.05601571908</v>
          </cell>
          <cell r="O5273">
            <v>692380.00232629513</v>
          </cell>
          <cell r="P5273">
            <v>368.79259999999999</v>
          </cell>
        </row>
        <row r="5274">
          <cell r="B5274">
            <v>38051</v>
          </cell>
          <cell r="J5274">
            <v>3809804.3041216834</v>
          </cell>
          <cell r="K5274">
            <v>2.4380000000000002</v>
          </cell>
          <cell r="L5274">
            <v>148835</v>
          </cell>
          <cell r="M5274">
            <v>13229</v>
          </cell>
          <cell r="N5274">
            <v>683926.05601571908</v>
          </cell>
          <cell r="O5274">
            <v>692380.00232629513</v>
          </cell>
          <cell r="P5274">
            <v>368.79259999999999</v>
          </cell>
        </row>
        <row r="5275">
          <cell r="B5275">
            <v>38052</v>
          </cell>
          <cell r="J5275">
            <v>3809804.3041216834</v>
          </cell>
          <cell r="K5275">
            <v>2.4380000000000002</v>
          </cell>
          <cell r="L5275">
            <v>148835</v>
          </cell>
          <cell r="M5275">
            <v>13229</v>
          </cell>
          <cell r="N5275">
            <v>683926.05601571908</v>
          </cell>
          <cell r="O5275">
            <v>692380.00232629513</v>
          </cell>
          <cell r="P5275">
            <v>368.79259999999999</v>
          </cell>
        </row>
        <row r="5276">
          <cell r="B5276">
            <v>38053</v>
          </cell>
          <cell r="J5276">
            <v>3809804.3041216834</v>
          </cell>
          <cell r="K5276">
            <v>2.4380000000000002</v>
          </cell>
          <cell r="L5276">
            <v>148835</v>
          </cell>
          <cell r="M5276">
            <v>13229</v>
          </cell>
          <cell r="N5276">
            <v>683926.05601571908</v>
          </cell>
          <cell r="O5276">
            <v>692380.00232629513</v>
          </cell>
          <cell r="P5276">
            <v>368.79259999999999</v>
          </cell>
        </row>
        <row r="5277">
          <cell r="B5277">
            <v>38054</v>
          </cell>
          <cell r="J5277">
            <v>3809804.3041216834</v>
          </cell>
          <cell r="K5277">
            <v>2.4380000000000002</v>
          </cell>
          <cell r="L5277">
            <v>148835</v>
          </cell>
          <cell r="M5277">
            <v>13229</v>
          </cell>
          <cell r="N5277">
            <v>683926.05601571908</v>
          </cell>
          <cell r="O5277">
            <v>692380.00232629513</v>
          </cell>
          <cell r="P5277">
            <v>368.79259999999999</v>
          </cell>
        </row>
        <row r="5278">
          <cell r="B5278">
            <v>38055</v>
          </cell>
          <cell r="J5278">
            <v>3809804.3041216834</v>
          </cell>
          <cell r="K5278">
            <v>2.4380000000000002</v>
          </cell>
          <cell r="L5278">
            <v>148835</v>
          </cell>
          <cell r="M5278">
            <v>13229</v>
          </cell>
          <cell r="N5278">
            <v>683926.05601571908</v>
          </cell>
          <cell r="O5278">
            <v>692380.00232629513</v>
          </cell>
          <cell r="P5278">
            <v>368.79259999999999</v>
          </cell>
        </row>
        <row r="5279">
          <cell r="B5279">
            <v>38056</v>
          </cell>
          <cell r="J5279">
            <v>3809804.3041216834</v>
          </cell>
          <cell r="K5279">
            <v>2.4380000000000002</v>
          </cell>
          <cell r="L5279">
            <v>148835</v>
          </cell>
          <cell r="M5279">
            <v>13229</v>
          </cell>
          <cell r="N5279">
            <v>683926.05601571908</v>
          </cell>
          <cell r="O5279">
            <v>692380.00232629513</v>
          </cell>
          <cell r="P5279">
            <v>368.79259999999999</v>
          </cell>
        </row>
        <row r="5280">
          <cell r="B5280">
            <v>38057</v>
          </cell>
          <cell r="J5280">
            <v>3809804.3041216834</v>
          </cell>
          <cell r="K5280">
            <v>2.4380000000000002</v>
          </cell>
          <cell r="L5280">
            <v>148835</v>
          </cell>
          <cell r="M5280">
            <v>13229</v>
          </cell>
          <cell r="N5280">
            <v>683926.05601571908</v>
          </cell>
          <cell r="O5280">
            <v>692380.00232629513</v>
          </cell>
          <cell r="P5280">
            <v>368.79259999999999</v>
          </cell>
        </row>
        <row r="5281">
          <cell r="B5281">
            <v>38058</v>
          </cell>
          <cell r="J5281">
            <v>3809804.3041216834</v>
          </cell>
          <cell r="K5281">
            <v>2.4380000000000002</v>
          </cell>
          <cell r="L5281">
            <v>148835</v>
          </cell>
          <cell r="M5281">
            <v>13229</v>
          </cell>
          <cell r="N5281">
            <v>683926.05601571908</v>
          </cell>
          <cell r="O5281">
            <v>692380.00232629513</v>
          </cell>
          <cell r="P5281">
            <v>368.79259999999999</v>
          </cell>
        </row>
        <row r="5282">
          <cell r="B5282">
            <v>38059</v>
          </cell>
          <cell r="J5282">
            <v>3809804.3041216834</v>
          </cell>
          <cell r="K5282">
            <v>2.4380000000000002</v>
          </cell>
          <cell r="L5282">
            <v>148835</v>
          </cell>
          <cell r="M5282">
            <v>13229</v>
          </cell>
          <cell r="N5282">
            <v>683926.05601571908</v>
          </cell>
          <cell r="O5282">
            <v>692380.00232629513</v>
          </cell>
          <cell r="P5282">
            <v>368.79259999999999</v>
          </cell>
        </row>
        <row r="5283">
          <cell r="B5283">
            <v>38060</v>
          </cell>
          <cell r="J5283">
            <v>3809804.3041216834</v>
          </cell>
          <cell r="K5283">
            <v>2.4380000000000002</v>
          </cell>
          <cell r="L5283">
            <v>148835</v>
          </cell>
          <cell r="M5283">
            <v>13229</v>
          </cell>
          <cell r="N5283">
            <v>683926.05601571908</v>
          </cell>
          <cell r="O5283">
            <v>692380.00232629513</v>
          </cell>
          <cell r="P5283">
            <v>368.79259999999999</v>
          </cell>
        </row>
        <row r="5284">
          <cell r="B5284">
            <v>38061</v>
          </cell>
          <cell r="J5284">
            <v>3809804.3041216834</v>
          </cell>
          <cell r="K5284">
            <v>2.4380000000000002</v>
          </cell>
          <cell r="L5284">
            <v>148835</v>
          </cell>
          <cell r="M5284">
            <v>13229</v>
          </cell>
          <cell r="N5284">
            <v>683926.05601571908</v>
          </cell>
          <cell r="O5284">
            <v>692380.00232629513</v>
          </cell>
          <cell r="P5284">
            <v>368.79259999999999</v>
          </cell>
        </row>
        <row r="5285">
          <cell r="B5285">
            <v>38062</v>
          </cell>
          <cell r="J5285">
            <v>3809804.3041216834</v>
          </cell>
          <cell r="K5285">
            <v>2.4380000000000002</v>
          </cell>
          <cell r="L5285">
            <v>148835</v>
          </cell>
          <cell r="M5285">
            <v>13229</v>
          </cell>
          <cell r="N5285">
            <v>683926.05601571908</v>
          </cell>
          <cell r="O5285">
            <v>692380.00232629513</v>
          </cell>
          <cell r="P5285">
            <v>368.79259999999999</v>
          </cell>
        </row>
        <row r="5286">
          <cell r="B5286">
            <v>38063</v>
          </cell>
          <cell r="J5286">
            <v>3809804.3041216834</v>
          </cell>
          <cell r="K5286">
            <v>2.4380000000000002</v>
          </cell>
          <cell r="L5286">
            <v>148835</v>
          </cell>
          <cell r="M5286">
            <v>13229</v>
          </cell>
          <cell r="N5286">
            <v>683926.05601571908</v>
          </cell>
          <cell r="O5286">
            <v>692380.00232629513</v>
          </cell>
          <cell r="P5286">
            <v>368.79259999999999</v>
          </cell>
        </row>
        <row r="5287">
          <cell r="B5287">
            <v>38064</v>
          </cell>
          <cell r="J5287">
            <v>3809804.3041216834</v>
          </cell>
          <cell r="K5287">
            <v>2.4380000000000002</v>
          </cell>
          <cell r="L5287">
            <v>148835</v>
          </cell>
          <cell r="M5287">
            <v>13229</v>
          </cell>
          <cell r="N5287">
            <v>683926.05601571908</v>
          </cell>
          <cell r="O5287">
            <v>692380.00232629513</v>
          </cell>
          <cell r="P5287">
            <v>368.79259999999999</v>
          </cell>
        </row>
        <row r="5288">
          <cell r="B5288">
            <v>38065</v>
          </cell>
          <cell r="J5288">
            <v>3809804.3041216834</v>
          </cell>
          <cell r="K5288">
            <v>2.4380000000000002</v>
          </cell>
          <cell r="L5288">
            <v>148835</v>
          </cell>
          <cell r="M5288">
            <v>13229</v>
          </cell>
          <cell r="N5288">
            <v>683926.05601571908</v>
          </cell>
          <cell r="O5288">
            <v>692380.00232629513</v>
          </cell>
          <cell r="P5288">
            <v>368.79259999999999</v>
          </cell>
        </row>
        <row r="5289">
          <cell r="B5289">
            <v>38066</v>
          </cell>
          <cell r="J5289">
            <v>3809804.3041216834</v>
          </cell>
          <cell r="K5289">
            <v>2.4380000000000002</v>
          </cell>
          <cell r="L5289">
            <v>148835</v>
          </cell>
          <cell r="M5289">
            <v>13229</v>
          </cell>
          <cell r="N5289">
            <v>683926.05601571908</v>
          </cell>
          <cell r="O5289">
            <v>692380.00232629513</v>
          </cell>
          <cell r="P5289">
            <v>368.79259999999999</v>
          </cell>
        </row>
        <row r="5290">
          <cell r="B5290">
            <v>38067</v>
          </cell>
          <cell r="J5290">
            <v>3809804.3041216834</v>
          </cell>
          <cell r="K5290">
            <v>2.4380000000000002</v>
          </cell>
          <cell r="L5290">
            <v>148835</v>
          </cell>
          <cell r="M5290">
            <v>13229</v>
          </cell>
          <cell r="N5290">
            <v>683926.05601571908</v>
          </cell>
          <cell r="O5290">
            <v>692380.00232629513</v>
          </cell>
          <cell r="P5290">
            <v>368.79259999999999</v>
          </cell>
        </row>
        <row r="5291">
          <cell r="B5291">
            <v>38068</v>
          </cell>
          <cell r="J5291">
            <v>3809804.3041216834</v>
          </cell>
          <cell r="K5291">
            <v>2.4380000000000002</v>
          </cell>
          <cell r="L5291">
            <v>148835</v>
          </cell>
          <cell r="M5291">
            <v>13229</v>
          </cell>
          <cell r="N5291">
            <v>683926.05601571908</v>
          </cell>
          <cell r="O5291">
            <v>692380.00232629513</v>
          </cell>
          <cell r="P5291">
            <v>368.79259999999999</v>
          </cell>
        </row>
        <row r="5292">
          <cell r="B5292">
            <v>38069</v>
          </cell>
          <cell r="J5292">
            <v>3809804.3041216834</v>
          </cell>
          <cell r="K5292">
            <v>2.4380000000000002</v>
          </cell>
          <cell r="L5292">
            <v>148835</v>
          </cell>
          <cell r="M5292">
            <v>13229</v>
          </cell>
          <cell r="N5292">
            <v>683926.05601571908</v>
          </cell>
          <cell r="O5292">
            <v>692380.00232629513</v>
          </cell>
          <cell r="P5292">
            <v>368.79259999999999</v>
          </cell>
        </row>
        <row r="5293">
          <cell r="B5293">
            <v>38070</v>
          </cell>
          <cell r="J5293">
            <v>3809804.3041216834</v>
          </cell>
          <cell r="K5293">
            <v>2.4380000000000002</v>
          </cell>
          <cell r="L5293">
            <v>148835</v>
          </cell>
          <cell r="M5293">
            <v>13229</v>
          </cell>
          <cell r="N5293">
            <v>683926.05601571908</v>
          </cell>
          <cell r="O5293">
            <v>692380.00232629513</v>
          </cell>
          <cell r="P5293">
            <v>368.79259999999999</v>
          </cell>
        </row>
        <row r="5294">
          <cell r="B5294">
            <v>38071</v>
          </cell>
          <cell r="J5294">
            <v>3809804.3041216834</v>
          </cell>
          <cell r="K5294">
            <v>2.4380000000000002</v>
          </cell>
          <cell r="L5294">
            <v>148835</v>
          </cell>
          <cell r="M5294">
            <v>13229</v>
          </cell>
          <cell r="N5294">
            <v>683926.05601571908</v>
          </cell>
          <cell r="O5294">
            <v>692380.00232629513</v>
          </cell>
          <cell r="P5294">
            <v>368.79259999999999</v>
          </cell>
        </row>
        <row r="5295">
          <cell r="B5295">
            <v>38072</v>
          </cell>
          <cell r="J5295">
            <v>3809804.3041216834</v>
          </cell>
          <cell r="K5295">
            <v>2.4380000000000002</v>
          </cell>
          <cell r="L5295">
            <v>148835</v>
          </cell>
          <cell r="M5295">
            <v>13229</v>
          </cell>
          <cell r="N5295">
            <v>683926.05601571908</v>
          </cell>
          <cell r="O5295">
            <v>692380.00232629513</v>
          </cell>
          <cell r="P5295">
            <v>368.79259999999999</v>
          </cell>
        </row>
        <row r="5296">
          <cell r="B5296">
            <v>38073</v>
          </cell>
          <cell r="J5296">
            <v>3809804.3041216834</v>
          </cell>
          <cell r="K5296">
            <v>2.4380000000000002</v>
          </cell>
          <cell r="L5296">
            <v>148835</v>
          </cell>
          <cell r="M5296">
            <v>13229</v>
          </cell>
          <cell r="N5296">
            <v>683926.05601571908</v>
          </cell>
          <cell r="O5296">
            <v>692380.00232629513</v>
          </cell>
          <cell r="P5296">
            <v>368.79259999999999</v>
          </cell>
        </row>
        <row r="5297">
          <cell r="B5297">
            <v>38074</v>
          </cell>
          <cell r="J5297">
            <v>3809804.3041216834</v>
          </cell>
          <cell r="K5297">
            <v>2.4380000000000002</v>
          </cell>
          <cell r="L5297">
            <v>148835</v>
          </cell>
          <cell r="M5297">
            <v>13229</v>
          </cell>
          <cell r="N5297">
            <v>683926.05601571908</v>
          </cell>
          <cell r="O5297">
            <v>692380.00232629513</v>
          </cell>
          <cell r="P5297">
            <v>368.79259999999999</v>
          </cell>
        </row>
        <row r="5298">
          <cell r="B5298">
            <v>38075</v>
          </cell>
          <cell r="J5298">
            <v>3809804.3041216834</v>
          </cell>
          <cell r="K5298">
            <v>2.4380000000000002</v>
          </cell>
          <cell r="L5298">
            <v>148835</v>
          </cell>
          <cell r="M5298">
            <v>13229</v>
          </cell>
          <cell r="N5298">
            <v>683926.05601571908</v>
          </cell>
          <cell r="O5298">
            <v>692380.00232629513</v>
          </cell>
          <cell r="P5298">
            <v>368.79259999999999</v>
          </cell>
        </row>
        <row r="5299">
          <cell r="B5299">
            <v>38076</v>
          </cell>
          <cell r="J5299">
            <v>3809804.3041216834</v>
          </cell>
          <cell r="K5299">
            <v>2.4380000000000002</v>
          </cell>
          <cell r="L5299">
            <v>148835</v>
          </cell>
          <cell r="M5299">
            <v>13229</v>
          </cell>
          <cell r="N5299">
            <v>683926.05601571908</v>
          </cell>
          <cell r="O5299">
            <v>692380.00232629513</v>
          </cell>
          <cell r="P5299">
            <v>368.79259999999999</v>
          </cell>
        </row>
        <row r="5300">
          <cell r="B5300">
            <v>38077</v>
          </cell>
          <cell r="J5300">
            <v>3809804.3041216834</v>
          </cell>
          <cell r="K5300">
            <v>2.4380000000000002</v>
          </cell>
          <cell r="L5300">
            <v>148835</v>
          </cell>
          <cell r="M5300">
            <v>13229</v>
          </cell>
          <cell r="N5300">
            <v>683926.05601571908</v>
          </cell>
          <cell r="O5300">
            <v>692380.00232629513</v>
          </cell>
          <cell r="P5300">
            <v>368.79259999999999</v>
          </cell>
        </row>
        <row r="5301">
          <cell r="B5301">
            <v>38078</v>
          </cell>
          <cell r="J5301">
            <v>3809804.3041216834</v>
          </cell>
          <cell r="K5301">
            <v>2.4380000000000002</v>
          </cell>
          <cell r="L5301">
            <v>148835</v>
          </cell>
          <cell r="M5301">
            <v>13229</v>
          </cell>
          <cell r="N5301">
            <v>683926.05601571908</v>
          </cell>
          <cell r="O5301">
            <v>692380.00232629513</v>
          </cell>
          <cell r="P5301">
            <v>368.79259999999999</v>
          </cell>
        </row>
        <row r="5302">
          <cell r="B5302">
            <v>38079</v>
          </cell>
          <cell r="J5302">
            <v>3809804.3041216834</v>
          </cell>
          <cell r="K5302">
            <v>2.4380000000000002</v>
          </cell>
          <cell r="L5302">
            <v>148835</v>
          </cell>
          <cell r="M5302">
            <v>13229</v>
          </cell>
          <cell r="N5302">
            <v>683926.05601571908</v>
          </cell>
          <cell r="O5302">
            <v>692380.00232629513</v>
          </cell>
          <cell r="P5302">
            <v>368.79259999999999</v>
          </cell>
        </row>
        <row r="5303">
          <cell r="B5303">
            <v>38080</v>
          </cell>
          <cell r="J5303">
            <v>3809804.3041216834</v>
          </cell>
          <cell r="K5303">
            <v>2.4380000000000002</v>
          </cell>
          <cell r="L5303">
            <v>148835</v>
          </cell>
          <cell r="M5303">
            <v>13229</v>
          </cell>
          <cell r="N5303">
            <v>683926.05601571908</v>
          </cell>
          <cell r="O5303">
            <v>692380.00232629513</v>
          </cell>
          <cell r="P5303">
            <v>368.79259999999999</v>
          </cell>
        </row>
        <row r="5304">
          <cell r="B5304">
            <v>38081</v>
          </cell>
          <cell r="J5304">
            <v>3809804.3041216834</v>
          </cell>
          <cell r="K5304">
            <v>2.4380000000000002</v>
          </cell>
          <cell r="L5304">
            <v>148835</v>
          </cell>
          <cell r="M5304">
            <v>13229</v>
          </cell>
          <cell r="N5304">
            <v>683926.05601571908</v>
          </cell>
          <cell r="O5304">
            <v>692380.00232629513</v>
          </cell>
          <cell r="P5304">
            <v>368.79259999999999</v>
          </cell>
        </row>
        <row r="5305">
          <cell r="B5305">
            <v>38082</v>
          </cell>
          <cell r="J5305">
            <v>3809804.3041216834</v>
          </cell>
          <cell r="K5305">
            <v>2.4380000000000002</v>
          </cell>
          <cell r="L5305">
            <v>148835</v>
          </cell>
          <cell r="M5305">
            <v>13229</v>
          </cell>
          <cell r="N5305">
            <v>683926.05601571908</v>
          </cell>
          <cell r="O5305">
            <v>692380.00232629513</v>
          </cell>
          <cell r="P5305">
            <v>368.79259999999999</v>
          </cell>
        </row>
        <row r="5306">
          <cell r="B5306">
            <v>38083</v>
          </cell>
          <cell r="J5306">
            <v>3809804.3041216834</v>
          </cell>
          <cell r="K5306">
            <v>2.4380000000000002</v>
          </cell>
          <cell r="L5306">
            <v>148835</v>
          </cell>
          <cell r="M5306">
            <v>13229</v>
          </cell>
          <cell r="N5306">
            <v>683926.05601571908</v>
          </cell>
          <cell r="O5306">
            <v>692380.00232629513</v>
          </cell>
          <cell r="P5306">
            <v>368.79259999999999</v>
          </cell>
        </row>
        <row r="5307">
          <cell r="B5307">
            <v>38084</v>
          </cell>
          <cell r="J5307">
            <v>3809804.3041216834</v>
          </cell>
          <cell r="K5307">
            <v>2.4380000000000002</v>
          </cell>
          <cell r="L5307">
            <v>148835</v>
          </cell>
          <cell r="M5307">
            <v>13229</v>
          </cell>
          <cell r="N5307">
            <v>683926.05601571908</v>
          </cell>
          <cell r="O5307">
            <v>692380.00232629513</v>
          </cell>
          <cell r="P5307">
            <v>368.79259999999999</v>
          </cell>
        </row>
        <row r="5308">
          <cell r="B5308">
            <v>38085</v>
          </cell>
          <cell r="J5308">
            <v>3809804.3041216834</v>
          </cell>
          <cell r="K5308">
            <v>2.4380000000000002</v>
          </cell>
          <cell r="L5308">
            <v>148835</v>
          </cell>
          <cell r="M5308">
            <v>13229</v>
          </cell>
          <cell r="N5308">
            <v>683926.05601571908</v>
          </cell>
          <cell r="O5308">
            <v>692380.00232629513</v>
          </cell>
          <cell r="P5308">
            <v>368.79259999999999</v>
          </cell>
        </row>
        <row r="5309">
          <cell r="B5309">
            <v>38086</v>
          </cell>
          <cell r="J5309">
            <v>3809804.3041216834</v>
          </cell>
          <cell r="K5309">
            <v>2.4380000000000002</v>
          </cell>
          <cell r="L5309">
            <v>148835</v>
          </cell>
          <cell r="M5309">
            <v>13229</v>
          </cell>
          <cell r="N5309">
            <v>683926.05601571908</v>
          </cell>
          <cell r="O5309">
            <v>692380.00232629513</v>
          </cell>
          <cell r="P5309">
            <v>368.79259999999999</v>
          </cell>
        </row>
        <row r="5310">
          <cell r="B5310">
            <v>38087</v>
          </cell>
          <cell r="J5310">
            <v>3809804.3041216834</v>
          </cell>
          <cell r="K5310">
            <v>2.4380000000000002</v>
          </cell>
          <cell r="L5310">
            <v>148835</v>
          </cell>
          <cell r="M5310">
            <v>13229</v>
          </cell>
          <cell r="N5310">
            <v>683926.05601571908</v>
          </cell>
          <cell r="O5310">
            <v>692380.00232629513</v>
          </cell>
          <cell r="P5310">
            <v>368.79259999999999</v>
          </cell>
        </row>
        <row r="5311">
          <cell r="B5311">
            <v>38088</v>
          </cell>
          <cell r="J5311">
            <v>3809804.3041216834</v>
          </cell>
          <cell r="K5311">
            <v>2.4380000000000002</v>
          </cell>
          <cell r="L5311">
            <v>148835</v>
          </cell>
          <cell r="M5311">
            <v>13229</v>
          </cell>
          <cell r="N5311">
            <v>683926.05601571908</v>
          </cell>
          <cell r="O5311">
            <v>692380.00232629513</v>
          </cell>
          <cell r="P5311">
            <v>368.79259999999999</v>
          </cell>
        </row>
        <row r="5312">
          <cell r="B5312">
            <v>38089</v>
          </cell>
          <cell r="J5312">
            <v>3809804.3041216834</v>
          </cell>
          <cell r="K5312">
            <v>2.4380000000000002</v>
          </cell>
          <cell r="L5312">
            <v>148835</v>
          </cell>
          <cell r="M5312">
            <v>13229</v>
          </cell>
          <cell r="N5312">
            <v>683926.05601571908</v>
          </cell>
          <cell r="O5312">
            <v>692380.00232629513</v>
          </cell>
          <cell r="P5312">
            <v>368.79259999999999</v>
          </cell>
        </row>
        <row r="5313">
          <cell r="B5313">
            <v>38090</v>
          </cell>
          <cell r="J5313">
            <v>3809804.3041216834</v>
          </cell>
          <cell r="K5313">
            <v>2.4380000000000002</v>
          </cell>
          <cell r="L5313">
            <v>148835</v>
          </cell>
          <cell r="M5313">
            <v>13229</v>
          </cell>
          <cell r="N5313">
            <v>683926.05601571908</v>
          </cell>
          <cell r="O5313">
            <v>692380.00232629513</v>
          </cell>
          <cell r="P5313">
            <v>368.79259999999999</v>
          </cell>
        </row>
        <row r="5314">
          <cell r="B5314">
            <v>38091</v>
          </cell>
          <cell r="J5314">
            <v>3809804.3041216834</v>
          </cell>
          <cell r="K5314">
            <v>2.4380000000000002</v>
          </cell>
          <cell r="L5314">
            <v>148835</v>
          </cell>
          <cell r="M5314">
            <v>13229</v>
          </cell>
          <cell r="N5314">
            <v>683926.05601571908</v>
          </cell>
          <cell r="O5314">
            <v>692380.00232629513</v>
          </cell>
          <cell r="P5314">
            <v>368.79259999999999</v>
          </cell>
        </row>
        <row r="5315">
          <cell r="B5315">
            <v>38092</v>
          </cell>
          <cell r="J5315">
            <v>3809804.3041216834</v>
          </cell>
          <cell r="K5315">
            <v>2.4380000000000002</v>
          </cell>
          <cell r="L5315">
            <v>148835</v>
          </cell>
          <cell r="M5315">
            <v>13229</v>
          </cell>
          <cell r="N5315">
            <v>683926.05601571908</v>
          </cell>
          <cell r="O5315">
            <v>692380.00232629513</v>
          </cell>
          <cell r="P5315">
            <v>368.79259999999999</v>
          </cell>
        </row>
        <row r="5316">
          <cell r="B5316">
            <v>38093</v>
          </cell>
          <cell r="J5316">
            <v>3809804.3041216834</v>
          </cell>
          <cell r="K5316">
            <v>2.4380000000000002</v>
          </cell>
          <cell r="L5316">
            <v>148835</v>
          </cell>
          <cell r="M5316">
            <v>13229</v>
          </cell>
          <cell r="N5316">
            <v>683926.05601571908</v>
          </cell>
          <cell r="O5316">
            <v>692380.00232629513</v>
          </cell>
          <cell r="P5316">
            <v>368.79259999999999</v>
          </cell>
        </row>
        <row r="5317">
          <cell r="B5317">
            <v>38094</v>
          </cell>
          <cell r="J5317">
            <v>3809804.3041216834</v>
          </cell>
          <cell r="K5317">
            <v>2.4380000000000002</v>
          </cell>
          <cell r="L5317">
            <v>148835</v>
          </cell>
          <cell r="M5317">
            <v>13229</v>
          </cell>
          <cell r="N5317">
            <v>683926.05601571908</v>
          </cell>
          <cell r="O5317">
            <v>692380.00232629513</v>
          </cell>
          <cell r="P5317">
            <v>368.79259999999999</v>
          </cell>
        </row>
        <row r="5318">
          <cell r="B5318">
            <v>38095</v>
          </cell>
          <cell r="J5318">
            <v>3809804.3041216834</v>
          </cell>
          <cell r="K5318">
            <v>2.4380000000000002</v>
          </cell>
          <cell r="L5318">
            <v>148835</v>
          </cell>
          <cell r="M5318">
            <v>13229</v>
          </cell>
          <cell r="N5318">
            <v>683926.05601571908</v>
          </cell>
          <cell r="O5318">
            <v>692380.00232629513</v>
          </cell>
          <cell r="P5318">
            <v>368.79259999999999</v>
          </cell>
        </row>
        <row r="5319">
          <cell r="B5319">
            <v>38096</v>
          </cell>
          <cell r="J5319">
            <v>3809804.3041216834</v>
          </cell>
          <cell r="K5319">
            <v>2.4380000000000002</v>
          </cell>
          <cell r="L5319">
            <v>148835</v>
          </cell>
          <cell r="M5319">
            <v>13229</v>
          </cell>
          <cell r="N5319">
            <v>683926.05601571908</v>
          </cell>
          <cell r="O5319">
            <v>692380.00232629513</v>
          </cell>
          <cell r="P5319">
            <v>368.79259999999999</v>
          </cell>
        </row>
        <row r="5320">
          <cell r="B5320">
            <v>38097</v>
          </cell>
          <cell r="J5320">
            <v>3809804.3041216834</v>
          </cell>
          <cell r="K5320">
            <v>2.4380000000000002</v>
          </cell>
          <cell r="L5320">
            <v>148835</v>
          </cell>
          <cell r="M5320">
            <v>13229</v>
          </cell>
          <cell r="N5320">
            <v>683926.05601571908</v>
          </cell>
          <cell r="O5320">
            <v>692380.00232629513</v>
          </cell>
          <cell r="P5320">
            <v>368.79259999999999</v>
          </cell>
        </row>
        <row r="5321">
          <cell r="B5321">
            <v>38098</v>
          </cell>
          <cell r="J5321">
            <v>3809804.3041216834</v>
          </cell>
          <cell r="K5321">
            <v>2.4380000000000002</v>
          </cell>
          <cell r="L5321">
            <v>148835</v>
          </cell>
          <cell r="M5321">
            <v>13229</v>
          </cell>
          <cell r="N5321">
            <v>683926.05601571908</v>
          </cell>
          <cell r="O5321">
            <v>692380.00232629513</v>
          </cell>
          <cell r="P5321">
            <v>368.79259999999999</v>
          </cell>
        </row>
        <row r="5322">
          <cell r="B5322">
            <v>38099</v>
          </cell>
          <cell r="J5322">
            <v>3809804.3041216834</v>
          </cell>
          <cell r="K5322">
            <v>2.4380000000000002</v>
          </cell>
          <cell r="L5322">
            <v>148835</v>
          </cell>
          <cell r="M5322">
            <v>13229</v>
          </cell>
          <cell r="N5322">
            <v>683926.05601571908</v>
          </cell>
          <cell r="O5322">
            <v>692380.00232629513</v>
          </cell>
          <cell r="P5322">
            <v>368.79259999999999</v>
          </cell>
        </row>
        <row r="5323">
          <cell r="B5323">
            <v>38100</v>
          </cell>
          <cell r="J5323">
            <v>3809804.3041216834</v>
          </cell>
          <cell r="K5323">
            <v>2.4380000000000002</v>
          </cell>
          <cell r="L5323">
            <v>148835</v>
          </cell>
          <cell r="M5323">
            <v>13229</v>
          </cell>
          <cell r="N5323">
            <v>683926.05601571908</v>
          </cell>
          <cell r="O5323">
            <v>692380.00232629513</v>
          </cell>
          <cell r="P5323">
            <v>368.79259999999999</v>
          </cell>
        </row>
        <row r="5324">
          <cell r="B5324">
            <v>38101</v>
          </cell>
          <cell r="J5324">
            <v>3809804.3041216834</v>
          </cell>
          <cell r="K5324">
            <v>2.4380000000000002</v>
          </cell>
          <cell r="L5324">
            <v>148835</v>
          </cell>
          <cell r="M5324">
            <v>13229</v>
          </cell>
          <cell r="N5324">
            <v>683926.05601571908</v>
          </cell>
          <cell r="O5324">
            <v>692380.00232629513</v>
          </cell>
          <cell r="P5324">
            <v>368.79259999999999</v>
          </cell>
        </row>
        <row r="5325">
          <cell r="B5325">
            <v>38102</v>
          </cell>
          <cell r="J5325">
            <v>3809804.3041216834</v>
          </cell>
          <cell r="K5325">
            <v>2.4380000000000002</v>
          </cell>
          <cell r="L5325">
            <v>148835</v>
          </cell>
          <cell r="M5325">
            <v>13229</v>
          </cell>
          <cell r="N5325">
            <v>683926.05601571908</v>
          </cell>
          <cell r="O5325">
            <v>692380.00232629513</v>
          </cell>
          <cell r="P5325">
            <v>368.79259999999999</v>
          </cell>
        </row>
        <row r="5326">
          <cell r="B5326">
            <v>38103</v>
          </cell>
          <cell r="J5326">
            <v>3809804.3041216834</v>
          </cell>
          <cell r="K5326">
            <v>2.4380000000000002</v>
          </cell>
          <cell r="L5326">
            <v>148835</v>
          </cell>
          <cell r="M5326">
            <v>13229</v>
          </cell>
          <cell r="N5326">
            <v>683926.05601571908</v>
          </cell>
          <cell r="O5326">
            <v>692380.00232629513</v>
          </cell>
          <cell r="P5326">
            <v>368.79259999999999</v>
          </cell>
        </row>
        <row r="5327">
          <cell r="B5327">
            <v>38104</v>
          </cell>
          <cell r="J5327">
            <v>3809804.3041216834</v>
          </cell>
          <cell r="K5327">
            <v>2.4380000000000002</v>
          </cell>
          <cell r="L5327">
            <v>148835</v>
          </cell>
          <cell r="M5327">
            <v>13229</v>
          </cell>
          <cell r="N5327">
            <v>683926.05601571908</v>
          </cell>
          <cell r="O5327">
            <v>692380.00232629513</v>
          </cell>
          <cell r="P5327">
            <v>368.79259999999999</v>
          </cell>
        </row>
        <row r="5328">
          <cell r="B5328">
            <v>38105</v>
          </cell>
          <cell r="J5328">
            <v>3809804.3041216834</v>
          </cell>
          <cell r="K5328">
            <v>2.4380000000000002</v>
          </cell>
          <cell r="L5328">
            <v>148835</v>
          </cell>
          <cell r="M5328">
            <v>13229</v>
          </cell>
          <cell r="N5328">
            <v>683926.05601571908</v>
          </cell>
          <cell r="O5328">
            <v>692380.00232629513</v>
          </cell>
          <cell r="P5328">
            <v>368.79259999999999</v>
          </cell>
        </row>
        <row r="5329">
          <cell r="B5329">
            <v>38106</v>
          </cell>
          <cell r="J5329">
            <v>3809804.3041216834</v>
          </cell>
          <cell r="K5329">
            <v>2.4380000000000002</v>
          </cell>
          <cell r="L5329">
            <v>148835</v>
          </cell>
          <cell r="M5329">
            <v>13229</v>
          </cell>
          <cell r="N5329">
            <v>683926.05601571908</v>
          </cell>
          <cell r="O5329">
            <v>692380.00232629513</v>
          </cell>
          <cell r="P5329">
            <v>368.79259999999999</v>
          </cell>
        </row>
        <row r="5330">
          <cell r="B5330">
            <v>38107</v>
          </cell>
          <cell r="J5330">
            <v>3809804.3041216834</v>
          </cell>
          <cell r="K5330">
            <v>2.4380000000000002</v>
          </cell>
          <cell r="L5330">
            <v>148835</v>
          </cell>
          <cell r="M5330">
            <v>13229</v>
          </cell>
          <cell r="N5330">
            <v>683926.05601571908</v>
          </cell>
          <cell r="O5330">
            <v>692380.00232629513</v>
          </cell>
          <cell r="P5330">
            <v>368.79259999999999</v>
          </cell>
        </row>
        <row r="5331">
          <cell r="B5331">
            <v>38108</v>
          </cell>
          <cell r="J5331">
            <v>3809804.3041216834</v>
          </cell>
          <cell r="K5331">
            <v>2.4380000000000002</v>
          </cell>
          <cell r="L5331">
            <v>148835</v>
          </cell>
          <cell r="M5331">
            <v>13229</v>
          </cell>
          <cell r="N5331">
            <v>683926.05601571908</v>
          </cell>
          <cell r="O5331">
            <v>692380.00232629513</v>
          </cell>
          <cell r="P5331">
            <v>368.79259999999999</v>
          </cell>
        </row>
        <row r="5332">
          <cell r="B5332">
            <v>38109</v>
          </cell>
          <cell r="J5332">
            <v>3809804.3041216834</v>
          </cell>
          <cell r="K5332">
            <v>2.4380000000000002</v>
          </cell>
          <cell r="L5332">
            <v>148835</v>
          </cell>
          <cell r="M5332">
            <v>13229</v>
          </cell>
          <cell r="N5332">
            <v>683926.05601571908</v>
          </cell>
          <cell r="O5332">
            <v>692380.00232629513</v>
          </cell>
          <cell r="P5332">
            <v>368.79259999999999</v>
          </cell>
        </row>
        <row r="5333">
          <cell r="B5333">
            <v>38110</v>
          </cell>
          <cell r="J5333">
            <v>3809804.3041216834</v>
          </cell>
          <cell r="K5333">
            <v>2.4380000000000002</v>
          </cell>
          <cell r="L5333">
            <v>148835</v>
          </cell>
          <cell r="M5333">
            <v>13229</v>
          </cell>
          <cell r="N5333">
            <v>683926.05601571908</v>
          </cell>
          <cell r="O5333">
            <v>692380.00232629513</v>
          </cell>
          <cell r="P5333">
            <v>368.79259999999999</v>
          </cell>
        </row>
        <row r="5334">
          <cell r="B5334">
            <v>38111</v>
          </cell>
          <cell r="J5334">
            <v>3809804.3041216834</v>
          </cell>
          <cell r="K5334">
            <v>2.4380000000000002</v>
          </cell>
          <cell r="L5334">
            <v>148835</v>
          </cell>
          <cell r="M5334">
            <v>13229</v>
          </cell>
          <cell r="N5334">
            <v>683926.05601571908</v>
          </cell>
          <cell r="O5334">
            <v>692380.00232629513</v>
          </cell>
          <cell r="P5334">
            <v>368.79259999999999</v>
          </cell>
        </row>
        <row r="5335">
          <cell r="B5335">
            <v>38112</v>
          </cell>
          <cell r="J5335">
            <v>3809804.3041216834</v>
          </cell>
          <cell r="K5335">
            <v>2.4380000000000002</v>
          </cell>
          <cell r="L5335">
            <v>148835</v>
          </cell>
          <cell r="M5335">
            <v>13229</v>
          </cell>
          <cell r="N5335">
            <v>683926.05601571908</v>
          </cell>
          <cell r="O5335">
            <v>692380.00232629513</v>
          </cell>
          <cell r="P5335">
            <v>368.79259999999999</v>
          </cell>
        </row>
        <row r="5336">
          <cell r="B5336">
            <v>38113</v>
          </cell>
          <cell r="J5336">
            <v>3809804.3041216834</v>
          </cell>
          <cell r="K5336">
            <v>2.4380000000000002</v>
          </cell>
          <cell r="L5336">
            <v>148835</v>
          </cell>
          <cell r="M5336">
            <v>13229</v>
          </cell>
          <cell r="N5336">
            <v>683926.05601571908</v>
          </cell>
          <cell r="O5336">
            <v>692380.00232629513</v>
          </cell>
          <cell r="P5336">
            <v>368.79259999999999</v>
          </cell>
        </row>
        <row r="5337">
          <cell r="B5337">
            <v>38114</v>
          </cell>
          <cell r="J5337">
            <v>3809804.3041216834</v>
          </cell>
          <cell r="K5337">
            <v>2.4380000000000002</v>
          </cell>
          <cell r="L5337">
            <v>148835</v>
          </cell>
          <cell r="M5337">
            <v>13229</v>
          </cell>
          <cell r="N5337">
            <v>683926.05601571908</v>
          </cell>
          <cell r="O5337">
            <v>692380.00232629513</v>
          </cell>
          <cell r="P5337">
            <v>368.79259999999999</v>
          </cell>
        </row>
        <row r="5338">
          <cell r="B5338">
            <v>38115</v>
          </cell>
          <cell r="J5338">
            <v>3809804.3041216834</v>
          </cell>
          <cell r="K5338">
            <v>2.4380000000000002</v>
          </cell>
          <cell r="L5338">
            <v>148835</v>
          </cell>
          <cell r="M5338">
            <v>13229</v>
          </cell>
          <cell r="N5338">
            <v>683926.05601571908</v>
          </cell>
          <cell r="O5338">
            <v>692380.00232629513</v>
          </cell>
          <cell r="P5338">
            <v>368.79259999999999</v>
          </cell>
        </row>
        <row r="5339">
          <cell r="B5339">
            <v>38116</v>
          </cell>
          <cell r="J5339">
            <v>3809804.3041216834</v>
          </cell>
          <cell r="K5339">
            <v>2.4380000000000002</v>
          </cell>
          <cell r="L5339">
            <v>148835</v>
          </cell>
          <cell r="M5339">
            <v>13229</v>
          </cell>
          <cell r="N5339">
            <v>683926.05601571908</v>
          </cell>
          <cell r="O5339">
            <v>692380.00232629513</v>
          </cell>
          <cell r="P5339">
            <v>368.79259999999999</v>
          </cell>
        </row>
        <row r="5340">
          <cell r="B5340">
            <v>38117</v>
          </cell>
          <cell r="J5340">
            <v>3809804.3041216834</v>
          </cell>
          <cell r="K5340">
            <v>2.4380000000000002</v>
          </cell>
          <cell r="L5340">
            <v>148835</v>
          </cell>
          <cell r="M5340">
            <v>13229</v>
          </cell>
          <cell r="N5340">
            <v>683926.05601571908</v>
          </cell>
          <cell r="O5340">
            <v>692380.00232629513</v>
          </cell>
          <cell r="P5340">
            <v>368.79259999999999</v>
          </cell>
        </row>
        <row r="5341">
          <cell r="B5341">
            <v>38118</v>
          </cell>
          <cell r="J5341">
            <v>3809804.3041216834</v>
          </cell>
          <cell r="K5341">
            <v>2.4380000000000002</v>
          </cell>
          <cell r="L5341">
            <v>148835</v>
          </cell>
          <cell r="M5341">
            <v>13229</v>
          </cell>
          <cell r="N5341">
            <v>683926.05601571908</v>
          </cell>
          <cell r="O5341">
            <v>692380.00232629513</v>
          </cell>
          <cell r="P5341">
            <v>368.79259999999999</v>
          </cell>
        </row>
        <row r="5342">
          <cell r="B5342">
            <v>38119</v>
          </cell>
          <cell r="J5342">
            <v>3809804.3041216834</v>
          </cell>
          <cell r="K5342">
            <v>2.4380000000000002</v>
          </cell>
          <cell r="L5342">
            <v>148835</v>
          </cell>
          <cell r="M5342">
            <v>13229</v>
          </cell>
          <cell r="N5342">
            <v>683926.05601571908</v>
          </cell>
          <cell r="O5342">
            <v>692380.00232629513</v>
          </cell>
          <cell r="P5342">
            <v>368.79259999999999</v>
          </cell>
        </row>
        <row r="5343">
          <cell r="B5343">
            <v>38120</v>
          </cell>
          <cell r="J5343">
            <v>3809804.3041216834</v>
          </cell>
          <cell r="K5343">
            <v>2.4380000000000002</v>
          </cell>
          <cell r="L5343">
            <v>148835</v>
          </cell>
          <cell r="M5343">
            <v>13229</v>
          </cell>
          <cell r="N5343">
            <v>683926.05601571908</v>
          </cell>
          <cell r="O5343">
            <v>692380.00232629513</v>
          </cell>
          <cell r="P5343">
            <v>368.79259999999999</v>
          </cell>
        </row>
        <row r="5344">
          <cell r="B5344">
            <v>38121</v>
          </cell>
          <cell r="J5344">
            <v>3809804.3041216834</v>
          </cell>
          <cell r="K5344">
            <v>2.4380000000000002</v>
          </cell>
          <cell r="L5344">
            <v>148835</v>
          </cell>
          <cell r="M5344">
            <v>13229</v>
          </cell>
          <cell r="N5344">
            <v>683926.05601571908</v>
          </cell>
          <cell r="O5344">
            <v>692380.00232629513</v>
          </cell>
          <cell r="P5344">
            <v>368.79259999999999</v>
          </cell>
        </row>
        <row r="5345">
          <cell r="B5345">
            <v>38122</v>
          </cell>
          <cell r="J5345">
            <v>3809804.3041216834</v>
          </cell>
          <cell r="K5345">
            <v>2.4380000000000002</v>
          </cell>
          <cell r="L5345">
            <v>148835</v>
          </cell>
          <cell r="M5345">
            <v>13229</v>
          </cell>
          <cell r="N5345">
            <v>683926.05601571908</v>
          </cell>
          <cell r="O5345">
            <v>692380.00232629513</v>
          </cell>
          <cell r="P5345">
            <v>368.79259999999999</v>
          </cell>
        </row>
        <row r="5346">
          <cell r="B5346">
            <v>38123</v>
          </cell>
          <cell r="J5346">
            <v>3809804.3041216834</v>
          </cell>
          <cell r="K5346">
            <v>2.4380000000000002</v>
          </cell>
          <cell r="L5346">
            <v>148835</v>
          </cell>
          <cell r="M5346">
            <v>13229</v>
          </cell>
          <cell r="N5346">
            <v>683926.05601571908</v>
          </cell>
          <cell r="O5346">
            <v>692380.00232629513</v>
          </cell>
          <cell r="P5346">
            <v>368.79259999999999</v>
          </cell>
        </row>
        <row r="5347">
          <cell r="B5347">
            <v>38124</v>
          </cell>
          <cell r="J5347">
            <v>3809804.3041216834</v>
          </cell>
          <cell r="K5347">
            <v>2.4380000000000002</v>
          </cell>
          <cell r="L5347">
            <v>148835</v>
          </cell>
          <cell r="M5347">
            <v>13229</v>
          </cell>
          <cell r="N5347">
            <v>683926.05601571908</v>
          </cell>
          <cell r="O5347">
            <v>692380.00232629513</v>
          </cell>
          <cell r="P5347">
            <v>368.79259999999999</v>
          </cell>
        </row>
        <row r="5348">
          <cell r="B5348">
            <v>38125</v>
          </cell>
          <cell r="J5348">
            <v>3809804.3041216834</v>
          </cell>
          <cell r="K5348">
            <v>2.4380000000000002</v>
          </cell>
          <cell r="L5348">
            <v>148835</v>
          </cell>
          <cell r="M5348">
            <v>13229</v>
          </cell>
          <cell r="N5348">
            <v>683926.05601571908</v>
          </cell>
          <cell r="O5348">
            <v>692380.00232629513</v>
          </cell>
          <cell r="P5348">
            <v>368.79259999999999</v>
          </cell>
        </row>
        <row r="5349">
          <cell r="B5349">
            <v>38126</v>
          </cell>
          <cell r="J5349">
            <v>3809804.3041216834</v>
          </cell>
          <cell r="K5349">
            <v>2.4380000000000002</v>
          </cell>
          <cell r="L5349">
            <v>148835</v>
          </cell>
          <cell r="M5349">
            <v>13229</v>
          </cell>
          <cell r="N5349">
            <v>683926.05601571908</v>
          </cell>
          <cell r="O5349">
            <v>692380.00232629513</v>
          </cell>
          <cell r="P5349">
            <v>368.79259999999999</v>
          </cell>
        </row>
        <row r="5350">
          <cell r="B5350">
            <v>38127</v>
          </cell>
          <cell r="J5350">
            <v>3809804.3041216834</v>
          </cell>
          <cell r="K5350">
            <v>2.4380000000000002</v>
          </cell>
          <cell r="L5350">
            <v>148835</v>
          </cell>
          <cell r="M5350">
            <v>13229</v>
          </cell>
          <cell r="N5350">
            <v>683926.05601571908</v>
          </cell>
          <cell r="O5350">
            <v>692380.00232629513</v>
          </cell>
          <cell r="P5350">
            <v>368.79259999999999</v>
          </cell>
        </row>
        <row r="5351">
          <cell r="B5351">
            <v>38128</v>
          </cell>
          <cell r="J5351">
            <v>3809804.3041216834</v>
          </cell>
          <cell r="K5351">
            <v>2.4380000000000002</v>
          </cell>
          <cell r="L5351">
            <v>148835</v>
          </cell>
          <cell r="M5351">
            <v>13229</v>
          </cell>
          <cell r="N5351">
            <v>683926.05601571908</v>
          </cell>
          <cell r="O5351">
            <v>692380.00232629513</v>
          </cell>
          <cell r="P5351">
            <v>368.79259999999999</v>
          </cell>
        </row>
        <row r="5352">
          <cell r="B5352">
            <v>38129</v>
          </cell>
          <cell r="J5352">
            <v>3809804.3041216834</v>
          </cell>
          <cell r="K5352">
            <v>2.4380000000000002</v>
          </cell>
          <cell r="L5352">
            <v>148835</v>
          </cell>
          <cell r="M5352">
            <v>13229</v>
          </cell>
          <cell r="N5352">
            <v>683926.05601571908</v>
          </cell>
          <cell r="O5352">
            <v>692380.00232629513</v>
          </cell>
          <cell r="P5352">
            <v>368.79259999999999</v>
          </cell>
        </row>
        <row r="5353">
          <cell r="B5353">
            <v>38130</v>
          </cell>
          <cell r="J5353">
            <v>3809804.3041216834</v>
          </cell>
          <cell r="K5353">
            <v>2.4380000000000002</v>
          </cell>
          <cell r="L5353">
            <v>148835</v>
          </cell>
          <cell r="M5353">
            <v>13229</v>
          </cell>
          <cell r="N5353">
            <v>683926.05601571908</v>
          </cell>
          <cell r="O5353">
            <v>692380.00232629513</v>
          </cell>
          <cell r="P5353">
            <v>368.79259999999999</v>
          </cell>
        </row>
        <row r="5354">
          <cell r="B5354">
            <v>38131</v>
          </cell>
          <cell r="J5354">
            <v>3809804.3041216834</v>
          </cell>
          <cell r="K5354">
            <v>2.4380000000000002</v>
          </cell>
          <cell r="L5354">
            <v>148835</v>
          </cell>
          <cell r="M5354">
            <v>13229</v>
          </cell>
          <cell r="N5354">
            <v>683926.05601571908</v>
          </cell>
          <cell r="O5354">
            <v>692380.00232629513</v>
          </cell>
          <cell r="P5354">
            <v>368.79259999999999</v>
          </cell>
        </row>
        <row r="5355">
          <cell r="B5355">
            <v>38132</v>
          </cell>
          <cell r="J5355">
            <v>3809804.3041216834</v>
          </cell>
          <cell r="K5355">
            <v>2.4380000000000002</v>
          </cell>
          <cell r="L5355">
            <v>148835</v>
          </cell>
          <cell r="M5355">
            <v>13229</v>
          </cell>
          <cell r="N5355">
            <v>683926.05601571908</v>
          </cell>
          <cell r="O5355">
            <v>692380.00232629513</v>
          </cell>
          <cell r="P5355">
            <v>368.79259999999999</v>
          </cell>
        </row>
        <row r="5356">
          <cell r="B5356">
            <v>38133</v>
          </cell>
          <cell r="J5356">
            <v>3809804.3041216834</v>
          </cell>
          <cell r="K5356">
            <v>2.4380000000000002</v>
          </cell>
          <cell r="L5356">
            <v>148835</v>
          </cell>
          <cell r="M5356">
            <v>13229</v>
          </cell>
          <cell r="N5356">
            <v>683926.05601571908</v>
          </cell>
          <cell r="O5356">
            <v>692380.00232629513</v>
          </cell>
          <cell r="P5356">
            <v>368.79259999999999</v>
          </cell>
        </row>
        <row r="5357">
          <cell r="B5357">
            <v>38134</v>
          </cell>
          <cell r="J5357">
            <v>3809804.3041216834</v>
          </cell>
          <cell r="K5357">
            <v>2.4380000000000002</v>
          </cell>
          <cell r="L5357">
            <v>148835</v>
          </cell>
          <cell r="M5357">
            <v>13229</v>
          </cell>
          <cell r="N5357">
            <v>683926.05601571908</v>
          </cell>
          <cell r="O5357">
            <v>692380.00232629513</v>
          </cell>
          <cell r="P5357">
            <v>368.79259999999999</v>
          </cell>
        </row>
        <row r="5358">
          <cell r="B5358">
            <v>38135</v>
          </cell>
          <cell r="J5358">
            <v>3809804.3041216834</v>
          </cell>
          <cell r="K5358">
            <v>2.4380000000000002</v>
          </cell>
          <cell r="L5358">
            <v>148835</v>
          </cell>
          <cell r="M5358">
            <v>13229</v>
          </cell>
          <cell r="N5358">
            <v>683926.05601571908</v>
          </cell>
          <cell r="O5358">
            <v>692380.00232629513</v>
          </cell>
          <cell r="P5358">
            <v>368.79259999999999</v>
          </cell>
        </row>
        <row r="5359">
          <cell r="B5359">
            <v>38136</v>
          </cell>
          <cell r="J5359">
            <v>3809804.3041216834</v>
          </cell>
          <cell r="K5359">
            <v>2.4380000000000002</v>
          </cell>
          <cell r="L5359">
            <v>148835</v>
          </cell>
          <cell r="M5359">
            <v>13229</v>
          </cell>
          <cell r="N5359">
            <v>683926.05601571908</v>
          </cell>
          <cell r="O5359">
            <v>692380.00232629513</v>
          </cell>
          <cell r="P5359">
            <v>368.79259999999999</v>
          </cell>
        </row>
        <row r="5360">
          <cell r="B5360">
            <v>38137</v>
          </cell>
          <cell r="J5360">
            <v>3809804.3041216834</v>
          </cell>
          <cell r="K5360">
            <v>2.4380000000000002</v>
          </cell>
          <cell r="L5360">
            <v>148835</v>
          </cell>
          <cell r="M5360">
            <v>13229</v>
          </cell>
          <cell r="N5360">
            <v>683926.05601571908</v>
          </cell>
          <cell r="O5360">
            <v>692380.00232629513</v>
          </cell>
          <cell r="P5360">
            <v>368.79259999999999</v>
          </cell>
        </row>
        <row r="5361">
          <cell r="B5361">
            <v>38138</v>
          </cell>
          <cell r="J5361">
            <v>3809804.3041216834</v>
          </cell>
          <cell r="K5361">
            <v>2.4380000000000002</v>
          </cell>
          <cell r="L5361">
            <v>148835</v>
          </cell>
          <cell r="M5361">
            <v>13229</v>
          </cell>
          <cell r="N5361">
            <v>683926.05601571908</v>
          </cell>
          <cell r="O5361">
            <v>692380.00232629513</v>
          </cell>
          <cell r="P5361">
            <v>368.79259999999999</v>
          </cell>
        </row>
        <row r="5362">
          <cell r="B5362">
            <v>38139</v>
          </cell>
          <cell r="J5362">
            <v>3809804.3041216834</v>
          </cell>
          <cell r="K5362">
            <v>2.4380000000000002</v>
          </cell>
          <cell r="L5362">
            <v>148835</v>
          </cell>
          <cell r="M5362">
            <v>13229</v>
          </cell>
          <cell r="N5362">
            <v>683926.05601571908</v>
          </cell>
          <cell r="O5362">
            <v>692380.00232629513</v>
          </cell>
          <cell r="P5362">
            <v>368.79259999999999</v>
          </cell>
        </row>
        <row r="5363">
          <cell r="B5363">
            <v>38140</v>
          </cell>
          <cell r="J5363">
            <v>3809804.3041216834</v>
          </cell>
          <cell r="K5363">
            <v>2.4380000000000002</v>
          </cell>
          <cell r="L5363">
            <v>148835</v>
          </cell>
          <cell r="M5363">
            <v>13229</v>
          </cell>
          <cell r="N5363">
            <v>683926.05601571908</v>
          </cell>
          <cell r="O5363">
            <v>692380.00232629513</v>
          </cell>
          <cell r="P5363">
            <v>368.79259999999999</v>
          </cell>
        </row>
        <row r="5364">
          <cell r="B5364">
            <v>38141</v>
          </cell>
          <cell r="J5364">
            <v>3809804.3041216834</v>
          </cell>
          <cell r="K5364">
            <v>2.4380000000000002</v>
          </cell>
          <cell r="L5364">
            <v>148835</v>
          </cell>
          <cell r="M5364">
            <v>13229</v>
          </cell>
          <cell r="N5364">
            <v>683926.05601571908</v>
          </cell>
          <cell r="O5364">
            <v>692380.00232629513</v>
          </cell>
          <cell r="P5364">
            <v>368.79259999999999</v>
          </cell>
        </row>
        <row r="5365">
          <cell r="B5365">
            <v>38142</v>
          </cell>
          <cell r="J5365">
            <v>3809804.3041216834</v>
          </cell>
          <cell r="K5365">
            <v>2.4380000000000002</v>
          </cell>
          <cell r="L5365">
            <v>148835</v>
          </cell>
          <cell r="M5365">
            <v>13229</v>
          </cell>
          <cell r="N5365">
            <v>683926.05601571908</v>
          </cell>
          <cell r="O5365">
            <v>692380.00232629513</v>
          </cell>
          <cell r="P5365">
            <v>368.79259999999999</v>
          </cell>
        </row>
        <row r="5366">
          <cell r="B5366">
            <v>38143</v>
          </cell>
          <cell r="J5366">
            <v>3809804.3041216834</v>
          </cell>
          <cell r="K5366">
            <v>2.4380000000000002</v>
          </cell>
          <cell r="L5366">
            <v>148835</v>
          </cell>
          <cell r="M5366">
            <v>13229</v>
          </cell>
          <cell r="N5366">
            <v>683926.05601571908</v>
          </cell>
          <cell r="O5366">
            <v>692380.00232629513</v>
          </cell>
          <cell r="P5366">
            <v>368.79259999999999</v>
          </cell>
        </row>
        <row r="5367">
          <cell r="B5367">
            <v>38144</v>
          </cell>
          <cell r="J5367">
            <v>3809804.3041216834</v>
          </cell>
          <cell r="K5367">
            <v>2.4380000000000002</v>
          </cell>
          <cell r="L5367">
            <v>148835</v>
          </cell>
          <cell r="M5367">
            <v>13229</v>
          </cell>
          <cell r="N5367">
            <v>683926.05601571908</v>
          </cell>
          <cell r="O5367">
            <v>692380.00232629513</v>
          </cell>
          <cell r="P5367">
            <v>368.79259999999999</v>
          </cell>
        </row>
        <row r="5368">
          <cell r="B5368">
            <v>38145</v>
          </cell>
          <cell r="J5368">
            <v>3809804.3041216834</v>
          </cell>
          <cell r="K5368">
            <v>2.4380000000000002</v>
          </cell>
          <cell r="L5368">
            <v>148835</v>
          </cell>
          <cell r="M5368">
            <v>13229</v>
          </cell>
          <cell r="N5368">
            <v>683926.05601571908</v>
          </cell>
          <cell r="O5368">
            <v>692380.00232629513</v>
          </cell>
          <cell r="P5368">
            <v>368.79259999999999</v>
          </cell>
        </row>
        <row r="5369">
          <cell r="B5369">
            <v>38146</v>
          </cell>
          <cell r="J5369">
            <v>3809804.3041216834</v>
          </cell>
          <cell r="K5369">
            <v>2.4380000000000002</v>
          </cell>
          <cell r="L5369">
            <v>148835</v>
          </cell>
          <cell r="M5369">
            <v>13229</v>
          </cell>
          <cell r="N5369">
            <v>683926.05601571908</v>
          </cell>
          <cell r="O5369">
            <v>692380.00232629513</v>
          </cell>
          <cell r="P5369">
            <v>368.79259999999999</v>
          </cell>
        </row>
        <row r="5370">
          <cell r="B5370">
            <v>38147</v>
          </cell>
          <cell r="J5370">
            <v>3809804.3041216834</v>
          </cell>
          <cell r="K5370">
            <v>2.4380000000000002</v>
          </cell>
          <cell r="L5370">
            <v>148835</v>
          </cell>
          <cell r="M5370">
            <v>13229</v>
          </cell>
          <cell r="N5370">
            <v>683926.05601571908</v>
          </cell>
          <cell r="O5370">
            <v>692380.00232629513</v>
          </cell>
          <cell r="P5370">
            <v>368.79259999999999</v>
          </cell>
        </row>
        <row r="5371">
          <cell r="B5371">
            <v>38148</v>
          </cell>
          <cell r="J5371">
            <v>3809804.3041216834</v>
          </cell>
          <cell r="K5371">
            <v>2.4380000000000002</v>
          </cell>
          <cell r="L5371">
            <v>148835</v>
          </cell>
          <cell r="M5371">
            <v>13229</v>
          </cell>
          <cell r="N5371">
            <v>683926.05601571908</v>
          </cell>
          <cell r="O5371">
            <v>692380.00232629513</v>
          </cell>
          <cell r="P5371">
            <v>368.79259999999999</v>
          </cell>
        </row>
        <row r="5372">
          <cell r="B5372">
            <v>38149</v>
          </cell>
          <cell r="J5372">
            <v>3809804.3041216834</v>
          </cell>
          <cell r="K5372">
            <v>2.4380000000000002</v>
          </cell>
          <cell r="L5372">
            <v>148835</v>
          </cell>
          <cell r="M5372">
            <v>13229</v>
          </cell>
          <cell r="N5372">
            <v>683926.05601571908</v>
          </cell>
          <cell r="O5372">
            <v>692380.00232629513</v>
          </cell>
          <cell r="P5372">
            <v>368.79259999999999</v>
          </cell>
        </row>
        <row r="5373">
          <cell r="B5373">
            <v>38150</v>
          </cell>
          <cell r="J5373">
            <v>3809804.3041216834</v>
          </cell>
          <cell r="K5373">
            <v>2.4380000000000002</v>
          </cell>
          <cell r="L5373">
            <v>148835</v>
          </cell>
          <cell r="M5373">
            <v>13229</v>
          </cell>
          <cell r="N5373">
            <v>683926.05601571908</v>
          </cell>
          <cell r="O5373">
            <v>692380.00232629513</v>
          </cell>
          <cell r="P5373">
            <v>368.79259999999999</v>
          </cell>
        </row>
        <row r="5374">
          <cell r="B5374">
            <v>38151</v>
          </cell>
          <cell r="J5374">
            <v>3809804.3041216834</v>
          </cell>
          <cell r="K5374">
            <v>2.4380000000000002</v>
          </cell>
          <cell r="L5374">
            <v>148835</v>
          </cell>
          <cell r="M5374">
            <v>13229</v>
          </cell>
          <cell r="N5374">
            <v>683926.05601571908</v>
          </cell>
          <cell r="O5374">
            <v>692380.00232629513</v>
          </cell>
          <cell r="P5374">
            <v>368.79259999999999</v>
          </cell>
        </row>
        <row r="5375">
          <cell r="B5375">
            <v>38152</v>
          </cell>
          <cell r="J5375">
            <v>3809804.3041216834</v>
          </cell>
          <cell r="K5375">
            <v>2.4380000000000002</v>
          </cell>
          <cell r="L5375">
            <v>148835</v>
          </cell>
          <cell r="M5375">
            <v>13229</v>
          </cell>
          <cell r="N5375">
            <v>683926.05601571908</v>
          </cell>
          <cell r="O5375">
            <v>692380.00232629513</v>
          </cell>
          <cell r="P5375">
            <v>368.79259999999999</v>
          </cell>
        </row>
        <row r="5376">
          <cell r="B5376">
            <v>38153</v>
          </cell>
          <cell r="J5376">
            <v>3809804.3041216834</v>
          </cell>
          <cell r="K5376">
            <v>2.4380000000000002</v>
          </cell>
          <cell r="L5376">
            <v>148835</v>
          </cell>
          <cell r="M5376">
            <v>13229</v>
          </cell>
          <cell r="N5376">
            <v>683926.05601571908</v>
          </cell>
          <cell r="O5376">
            <v>692380.00232629513</v>
          </cell>
          <cell r="P5376">
            <v>368.79259999999999</v>
          </cell>
        </row>
        <row r="5377">
          <cell r="B5377">
            <v>38154</v>
          </cell>
          <cell r="J5377">
            <v>3809804.3041216834</v>
          </cell>
          <cell r="K5377">
            <v>2.4380000000000002</v>
          </cell>
          <cell r="L5377">
            <v>148835</v>
          </cell>
          <cell r="M5377">
            <v>13229</v>
          </cell>
          <cell r="N5377">
            <v>683926.05601571908</v>
          </cell>
          <cell r="O5377">
            <v>692380.00232629513</v>
          </cell>
          <cell r="P5377">
            <v>368.79259999999999</v>
          </cell>
        </row>
        <row r="5378">
          <cell r="B5378">
            <v>38155</v>
          </cell>
          <cell r="J5378">
            <v>3809804.3041216834</v>
          </cell>
          <cell r="K5378">
            <v>2.4380000000000002</v>
          </cell>
          <cell r="L5378">
            <v>148835</v>
          </cell>
          <cell r="M5378">
            <v>13229</v>
          </cell>
          <cell r="N5378">
            <v>683926.05601571908</v>
          </cell>
          <cell r="O5378">
            <v>692380.00232629513</v>
          </cell>
          <cell r="P5378">
            <v>368.79259999999999</v>
          </cell>
        </row>
        <row r="5379">
          <cell r="B5379">
            <v>38156</v>
          </cell>
          <cell r="J5379">
            <v>3809804.3041216834</v>
          </cell>
          <cell r="K5379">
            <v>2.4380000000000002</v>
          </cell>
          <cell r="L5379">
            <v>148835</v>
          </cell>
          <cell r="M5379">
            <v>13229</v>
          </cell>
          <cell r="N5379">
            <v>683926.05601571908</v>
          </cell>
          <cell r="O5379">
            <v>692380.00232629513</v>
          </cell>
          <cell r="P5379">
            <v>368.79259999999999</v>
          </cell>
        </row>
        <row r="5380">
          <cell r="B5380">
            <v>38157</v>
          </cell>
          <cell r="J5380">
            <v>3809804.3041216834</v>
          </cell>
          <cell r="K5380">
            <v>2.4380000000000002</v>
          </cell>
          <cell r="L5380">
            <v>148835</v>
          </cell>
          <cell r="M5380">
            <v>13229</v>
          </cell>
          <cell r="N5380">
            <v>683926.05601571908</v>
          </cell>
          <cell r="O5380">
            <v>692380.00232629513</v>
          </cell>
          <cell r="P5380">
            <v>368.79259999999999</v>
          </cell>
        </row>
        <row r="5381">
          <cell r="B5381">
            <v>38158</v>
          </cell>
          <cell r="J5381">
            <v>3809804.3041216834</v>
          </cell>
          <cell r="K5381">
            <v>2.4380000000000002</v>
          </cell>
          <cell r="L5381">
            <v>148835</v>
          </cell>
          <cell r="M5381">
            <v>13229</v>
          </cell>
          <cell r="N5381">
            <v>683926.05601571908</v>
          </cell>
          <cell r="O5381">
            <v>692380.00232629513</v>
          </cell>
          <cell r="P5381">
            <v>368.79259999999999</v>
          </cell>
        </row>
        <row r="5382">
          <cell r="B5382">
            <v>38159</v>
          </cell>
          <cell r="J5382">
            <v>3809804.3041216834</v>
          </cell>
          <cell r="K5382">
            <v>2.4380000000000002</v>
          </cell>
          <cell r="L5382">
            <v>148835</v>
          </cell>
          <cell r="M5382">
            <v>13229</v>
          </cell>
          <cell r="N5382">
            <v>683926.05601571908</v>
          </cell>
          <cell r="O5382">
            <v>692380.00232629513</v>
          </cell>
          <cell r="P5382">
            <v>368.79259999999999</v>
          </cell>
        </row>
        <row r="5383">
          <cell r="B5383">
            <v>38160</v>
          </cell>
          <cell r="J5383">
            <v>3809804.3041216834</v>
          </cell>
          <cell r="K5383">
            <v>2.4380000000000002</v>
          </cell>
          <cell r="L5383">
            <v>148835</v>
          </cell>
          <cell r="M5383">
            <v>13229</v>
          </cell>
          <cell r="N5383">
            <v>683926.05601571908</v>
          </cell>
          <cell r="O5383">
            <v>692380.00232629513</v>
          </cell>
          <cell r="P5383">
            <v>368.79259999999999</v>
          </cell>
        </row>
        <row r="5384">
          <cell r="B5384">
            <v>38161</v>
          </cell>
          <cell r="J5384">
            <v>3809804.3041216834</v>
          </cell>
          <cell r="K5384">
            <v>2.4380000000000002</v>
          </cell>
          <cell r="L5384">
            <v>148835</v>
          </cell>
          <cell r="M5384">
            <v>13229</v>
          </cell>
          <cell r="N5384">
            <v>683926.05601571908</v>
          </cell>
          <cell r="O5384">
            <v>692380.00232629513</v>
          </cell>
          <cell r="P5384">
            <v>368.79259999999999</v>
          </cell>
        </row>
        <row r="5385">
          <cell r="B5385">
            <v>38162</v>
          </cell>
          <cell r="J5385">
            <v>3809804.3041216834</v>
          </cell>
          <cell r="K5385">
            <v>2.4380000000000002</v>
          </cell>
          <cell r="L5385">
            <v>148835</v>
          </cell>
          <cell r="M5385">
            <v>13229</v>
          </cell>
          <cell r="N5385">
            <v>683926.05601571908</v>
          </cell>
          <cell r="O5385">
            <v>692380.00232629513</v>
          </cell>
          <cell r="P5385">
            <v>368.79259999999999</v>
          </cell>
        </row>
        <row r="5386">
          <cell r="B5386">
            <v>38163</v>
          </cell>
          <cell r="J5386">
            <v>3809804.3041216834</v>
          </cell>
          <cell r="K5386">
            <v>2.4380000000000002</v>
          </cell>
          <cell r="L5386">
            <v>148835</v>
          </cell>
          <cell r="M5386">
            <v>13229</v>
          </cell>
          <cell r="N5386">
            <v>683926.05601571908</v>
          </cell>
          <cell r="O5386">
            <v>692380.00232629513</v>
          </cell>
          <cell r="P5386">
            <v>368.79259999999999</v>
          </cell>
        </row>
        <row r="5387">
          <cell r="B5387">
            <v>38164</v>
          </cell>
          <cell r="J5387">
            <v>3809804.3041216834</v>
          </cell>
          <cell r="K5387">
            <v>2.4380000000000002</v>
          </cell>
          <cell r="L5387">
            <v>148835</v>
          </cell>
          <cell r="M5387">
            <v>13229</v>
          </cell>
          <cell r="N5387">
            <v>683926.05601571908</v>
          </cell>
          <cell r="O5387">
            <v>692380.00232629513</v>
          </cell>
          <cell r="P5387">
            <v>368.79259999999999</v>
          </cell>
        </row>
        <row r="5388">
          <cell r="B5388">
            <v>38165</v>
          </cell>
          <cell r="J5388">
            <v>3809804.3041216834</v>
          </cell>
          <cell r="K5388">
            <v>2.4380000000000002</v>
          </cell>
          <cell r="L5388">
            <v>148835</v>
          </cell>
          <cell r="M5388">
            <v>13229</v>
          </cell>
          <cell r="N5388">
            <v>683926.05601571908</v>
          </cell>
          <cell r="O5388">
            <v>692380.00232629513</v>
          </cell>
          <cell r="P5388">
            <v>368.79259999999999</v>
          </cell>
        </row>
        <row r="5389">
          <cell r="B5389">
            <v>38166</v>
          </cell>
          <cell r="J5389">
            <v>3809804.3041216834</v>
          </cell>
          <cell r="K5389">
            <v>2.4380000000000002</v>
          </cell>
          <cell r="L5389">
            <v>148835</v>
          </cell>
          <cell r="M5389">
            <v>13229</v>
          </cell>
          <cell r="N5389">
            <v>683926.05601571908</v>
          </cell>
          <cell r="O5389">
            <v>692380.00232629513</v>
          </cell>
          <cell r="P5389">
            <v>368.79259999999999</v>
          </cell>
        </row>
        <row r="5390">
          <cell r="B5390">
            <v>38167</v>
          </cell>
          <cell r="J5390">
            <v>3809804.3041216834</v>
          </cell>
          <cell r="K5390">
            <v>2.4380000000000002</v>
          </cell>
          <cell r="L5390">
            <v>148835</v>
          </cell>
          <cell r="M5390">
            <v>13229</v>
          </cell>
          <cell r="N5390">
            <v>683926.05601571908</v>
          </cell>
          <cell r="O5390">
            <v>692380.00232629513</v>
          </cell>
          <cell r="P5390">
            <v>368.79259999999999</v>
          </cell>
        </row>
        <row r="5391">
          <cell r="B5391">
            <v>38168</v>
          </cell>
          <cell r="J5391">
            <v>3809804.3041216834</v>
          </cell>
          <cell r="K5391">
            <v>2.4380000000000002</v>
          </cell>
          <cell r="L5391">
            <v>148835</v>
          </cell>
          <cell r="M5391">
            <v>13229</v>
          </cell>
          <cell r="N5391">
            <v>683926.05601571908</v>
          </cell>
          <cell r="O5391">
            <v>692380.00232629513</v>
          </cell>
          <cell r="P5391">
            <v>368.79259999999999</v>
          </cell>
        </row>
        <row r="5392">
          <cell r="B5392">
            <v>38169</v>
          </cell>
          <cell r="J5392">
            <v>3809804.3041216834</v>
          </cell>
          <cell r="K5392">
            <v>2.4380000000000002</v>
          </cell>
          <cell r="L5392">
            <v>148835</v>
          </cell>
          <cell r="M5392">
            <v>13229</v>
          </cell>
          <cell r="N5392">
            <v>683926.05601571908</v>
          </cell>
          <cell r="O5392">
            <v>692380.00232629513</v>
          </cell>
          <cell r="P5392">
            <v>368.79259999999999</v>
          </cell>
        </row>
        <row r="5393">
          <cell r="B5393">
            <v>38170</v>
          </cell>
          <cell r="J5393">
            <v>3809804.3041216834</v>
          </cell>
          <cell r="K5393">
            <v>2.4380000000000002</v>
          </cell>
          <cell r="L5393">
            <v>148835</v>
          </cell>
          <cell r="M5393">
            <v>13229</v>
          </cell>
          <cell r="N5393">
            <v>683926.05601571908</v>
          </cell>
          <cell r="O5393">
            <v>692380.00232629513</v>
          </cell>
          <cell r="P5393">
            <v>368.79259999999999</v>
          </cell>
        </row>
        <row r="5394">
          <cell r="B5394">
            <v>38171</v>
          </cell>
          <cell r="J5394">
            <v>3809804.3041216834</v>
          </cell>
          <cell r="K5394">
            <v>2.4380000000000002</v>
          </cell>
          <cell r="L5394">
            <v>148835</v>
          </cell>
          <cell r="M5394">
            <v>13229</v>
          </cell>
          <cell r="N5394">
            <v>683926.05601571908</v>
          </cell>
          <cell r="O5394">
            <v>692380.00232629513</v>
          </cell>
          <cell r="P5394">
            <v>368.79259999999999</v>
          </cell>
        </row>
        <row r="5395">
          <cell r="B5395">
            <v>38172</v>
          </cell>
          <cell r="J5395">
            <v>3809804.3041216834</v>
          </cell>
          <cell r="K5395">
            <v>2.4380000000000002</v>
          </cell>
          <cell r="L5395">
            <v>148835</v>
          </cell>
          <cell r="M5395">
            <v>13229</v>
          </cell>
          <cell r="N5395">
            <v>683926.05601571908</v>
          </cell>
          <cell r="O5395">
            <v>692380.00232629513</v>
          </cell>
          <cell r="P5395">
            <v>368.79259999999999</v>
          </cell>
        </row>
        <row r="5396">
          <cell r="B5396">
            <v>38173</v>
          </cell>
          <cell r="J5396">
            <v>3809804.3041216834</v>
          </cell>
          <cell r="K5396">
            <v>2.4380000000000002</v>
          </cell>
          <cell r="L5396">
            <v>148835</v>
          </cell>
          <cell r="M5396">
            <v>13229</v>
          </cell>
          <cell r="N5396">
            <v>683926.05601571908</v>
          </cell>
          <cell r="O5396">
            <v>692380.00232629513</v>
          </cell>
          <cell r="P5396">
            <v>368.79259999999999</v>
          </cell>
        </row>
        <row r="5397">
          <cell r="B5397">
            <v>38174</v>
          </cell>
          <cell r="J5397">
            <v>3809804.3041216834</v>
          </cell>
          <cell r="K5397">
            <v>2.4380000000000002</v>
          </cell>
          <cell r="L5397">
            <v>148835</v>
          </cell>
          <cell r="M5397">
            <v>13229</v>
          </cell>
          <cell r="N5397">
            <v>683926.05601571908</v>
          </cell>
          <cell r="O5397">
            <v>692380.00232629513</v>
          </cell>
          <cell r="P5397">
            <v>368.79259999999999</v>
          </cell>
        </row>
        <row r="5398">
          <cell r="B5398">
            <v>38175</v>
          </cell>
          <cell r="J5398">
            <v>3809804.3041216834</v>
          </cell>
          <cell r="K5398">
            <v>2.4380000000000002</v>
          </cell>
          <cell r="L5398">
            <v>148835</v>
          </cell>
          <cell r="M5398">
            <v>13229</v>
          </cell>
          <cell r="N5398">
            <v>683926.05601571908</v>
          </cell>
          <cell r="O5398">
            <v>692380.00232629513</v>
          </cell>
          <cell r="P5398">
            <v>368.79259999999999</v>
          </cell>
        </row>
        <row r="5399">
          <cell r="B5399">
            <v>38176</v>
          </cell>
          <cell r="J5399">
            <v>3809804.3041216834</v>
          </cell>
          <cell r="K5399">
            <v>2.4380000000000002</v>
          </cell>
          <cell r="L5399">
            <v>148835</v>
          </cell>
          <cell r="M5399">
            <v>13229</v>
          </cell>
          <cell r="N5399">
            <v>683926.05601571908</v>
          </cell>
          <cell r="O5399">
            <v>692380.00232629513</v>
          </cell>
          <cell r="P5399">
            <v>368.79259999999999</v>
          </cell>
        </row>
        <row r="5400">
          <cell r="B5400">
            <v>38177</v>
          </cell>
          <cell r="J5400">
            <v>3809804.3041216834</v>
          </cell>
          <cell r="K5400">
            <v>2.4380000000000002</v>
          </cell>
          <cell r="L5400">
            <v>148835</v>
          </cell>
          <cell r="M5400">
            <v>13229</v>
          </cell>
          <cell r="N5400">
            <v>683926.05601571908</v>
          </cell>
          <cell r="O5400">
            <v>692380.00232629513</v>
          </cell>
          <cell r="P5400">
            <v>368.79259999999999</v>
          </cell>
        </row>
        <row r="5401">
          <cell r="B5401">
            <v>38178</v>
          </cell>
          <cell r="J5401">
            <v>3809804.3041216834</v>
          </cell>
          <cell r="K5401">
            <v>2.4380000000000002</v>
          </cell>
          <cell r="L5401">
            <v>148835</v>
          </cell>
          <cell r="M5401">
            <v>13229</v>
          </cell>
          <cell r="N5401">
            <v>683926.05601571908</v>
          </cell>
          <cell r="O5401">
            <v>692380.00232629513</v>
          </cell>
          <cell r="P5401">
            <v>368.79259999999999</v>
          </cell>
        </row>
        <row r="5402">
          <cell r="B5402">
            <v>38179</v>
          </cell>
          <cell r="J5402">
            <v>3809804.3041216834</v>
          </cell>
          <cell r="K5402">
            <v>2.4380000000000002</v>
          </cell>
          <cell r="L5402">
            <v>148835</v>
          </cell>
          <cell r="M5402">
            <v>13229</v>
          </cell>
          <cell r="N5402">
            <v>683926.05601571908</v>
          </cell>
          <cell r="O5402">
            <v>692380.00232629513</v>
          </cell>
          <cell r="P5402">
            <v>368.79259999999999</v>
          </cell>
        </row>
        <row r="5403">
          <cell r="B5403">
            <v>38180</v>
          </cell>
          <cell r="J5403">
            <v>3809804.3041216834</v>
          </cell>
          <cell r="K5403">
            <v>2.4380000000000002</v>
          </cell>
          <cell r="L5403">
            <v>148835</v>
          </cell>
          <cell r="M5403">
            <v>13229</v>
          </cell>
          <cell r="N5403">
            <v>683926.05601571908</v>
          </cell>
          <cell r="O5403">
            <v>692380.00232629513</v>
          </cell>
          <cell r="P5403">
            <v>368.79259999999999</v>
          </cell>
        </row>
        <row r="5404">
          <cell r="B5404">
            <v>38181</v>
          </cell>
          <cell r="J5404">
            <v>3809804.3041216834</v>
          </cell>
          <cell r="K5404">
            <v>2.4380000000000002</v>
          </cell>
          <cell r="L5404">
            <v>148835</v>
          </cell>
          <cell r="M5404">
            <v>13229</v>
          </cell>
          <cell r="N5404">
            <v>683926.05601571908</v>
          </cell>
          <cell r="O5404">
            <v>692380.00232629513</v>
          </cell>
          <cell r="P5404">
            <v>368.79259999999999</v>
          </cell>
        </row>
        <row r="5405">
          <cell r="B5405">
            <v>38182</v>
          </cell>
          <cell r="J5405">
            <v>3809804.3041216834</v>
          </cell>
          <cell r="K5405">
            <v>2.4380000000000002</v>
          </cell>
          <cell r="L5405">
            <v>148835</v>
          </cell>
          <cell r="M5405">
            <v>13229</v>
          </cell>
          <cell r="N5405">
            <v>683926.05601571908</v>
          </cell>
          <cell r="O5405">
            <v>692380.00232629513</v>
          </cell>
          <cell r="P5405">
            <v>368.79259999999999</v>
          </cell>
        </row>
        <row r="5406">
          <cell r="B5406">
            <v>38183</v>
          </cell>
          <cell r="J5406">
            <v>3809804.3041216834</v>
          </cell>
          <cell r="K5406">
            <v>2.4380000000000002</v>
          </cell>
          <cell r="L5406">
            <v>148835</v>
          </cell>
          <cell r="M5406">
            <v>13229</v>
          </cell>
          <cell r="N5406">
            <v>683926.05601571908</v>
          </cell>
          <cell r="O5406">
            <v>692380.00232629513</v>
          </cell>
          <cell r="P5406">
            <v>368.79259999999999</v>
          </cell>
        </row>
        <row r="5407">
          <cell r="B5407">
            <v>38184</v>
          </cell>
          <cell r="J5407">
            <v>3809804.3041216834</v>
          </cell>
          <cell r="K5407">
            <v>2.4380000000000002</v>
          </cell>
          <cell r="L5407">
            <v>148835</v>
          </cell>
          <cell r="M5407">
            <v>13229</v>
          </cell>
          <cell r="N5407">
            <v>683926.05601571908</v>
          </cell>
          <cell r="O5407">
            <v>692380.00232629513</v>
          </cell>
          <cell r="P5407">
            <v>368.79259999999999</v>
          </cell>
        </row>
        <row r="5408">
          <cell r="B5408">
            <v>38185</v>
          </cell>
          <cell r="J5408">
            <v>3809804.3041216834</v>
          </cell>
          <cell r="K5408">
            <v>2.4380000000000002</v>
          </cell>
          <cell r="L5408">
            <v>148835</v>
          </cell>
          <cell r="M5408">
            <v>13229</v>
          </cell>
          <cell r="N5408">
            <v>683926.05601571908</v>
          </cell>
          <cell r="O5408">
            <v>692380.00232629513</v>
          </cell>
          <cell r="P5408">
            <v>368.79259999999999</v>
          </cell>
        </row>
        <row r="5409">
          <cell r="B5409">
            <v>38186</v>
          </cell>
          <cell r="J5409">
            <v>3809804.3041216834</v>
          </cell>
          <cell r="K5409">
            <v>2.4380000000000002</v>
          </cell>
          <cell r="L5409">
            <v>148835</v>
          </cell>
          <cell r="M5409">
            <v>13229</v>
          </cell>
          <cell r="N5409">
            <v>683926.05601571908</v>
          </cell>
          <cell r="O5409">
            <v>692380.00232629513</v>
          </cell>
          <cell r="P5409">
            <v>368.79259999999999</v>
          </cell>
        </row>
        <row r="5410">
          <cell r="B5410">
            <v>38187</v>
          </cell>
          <cell r="J5410">
            <v>3809804.3041216834</v>
          </cell>
          <cell r="K5410">
            <v>2.4380000000000002</v>
          </cell>
          <cell r="L5410">
            <v>148835</v>
          </cell>
          <cell r="M5410">
            <v>13229</v>
          </cell>
          <cell r="N5410">
            <v>683926.05601571908</v>
          </cell>
          <cell r="O5410">
            <v>692380.00232629513</v>
          </cell>
          <cell r="P5410">
            <v>368.79259999999999</v>
          </cell>
        </row>
        <row r="5411">
          <cell r="B5411">
            <v>38188</v>
          </cell>
          <cell r="J5411">
            <v>3809804.3041216834</v>
          </cell>
          <cell r="K5411">
            <v>2.4380000000000002</v>
          </cell>
          <cell r="L5411">
            <v>148835</v>
          </cell>
          <cell r="M5411">
            <v>13229</v>
          </cell>
          <cell r="N5411">
            <v>683926.05601571908</v>
          </cell>
          <cell r="O5411">
            <v>692380.00232629513</v>
          </cell>
          <cell r="P5411">
            <v>368.79259999999999</v>
          </cell>
        </row>
        <row r="5412">
          <cell r="B5412">
            <v>38189</v>
          </cell>
          <cell r="J5412">
            <v>3809804.3041216834</v>
          </cell>
          <cell r="K5412">
            <v>2.4380000000000002</v>
          </cell>
          <cell r="L5412">
            <v>148835</v>
          </cell>
          <cell r="M5412">
            <v>13229</v>
          </cell>
          <cell r="N5412">
            <v>683926.05601571908</v>
          </cell>
          <cell r="O5412">
            <v>692380.00232629513</v>
          </cell>
          <cell r="P5412">
            <v>368.79259999999999</v>
          </cell>
        </row>
        <row r="5413">
          <cell r="B5413">
            <v>38190</v>
          </cell>
          <cell r="J5413">
            <v>3809804.3041216834</v>
          </cell>
          <cell r="K5413">
            <v>2.4380000000000002</v>
          </cell>
          <cell r="L5413">
            <v>148835</v>
          </cell>
          <cell r="M5413">
            <v>13229</v>
          </cell>
          <cell r="N5413">
            <v>683926.05601571908</v>
          </cell>
          <cell r="O5413">
            <v>692380.00232629513</v>
          </cell>
          <cell r="P5413">
            <v>368.79259999999999</v>
          </cell>
        </row>
        <row r="5414">
          <cell r="B5414">
            <v>38191</v>
          </cell>
          <cell r="J5414">
            <v>3809804.3041216834</v>
          </cell>
          <cell r="K5414">
            <v>2.4380000000000002</v>
          </cell>
          <cell r="L5414">
            <v>148835</v>
          </cell>
          <cell r="M5414">
            <v>13229</v>
          </cell>
          <cell r="N5414">
            <v>683926.05601571908</v>
          </cell>
          <cell r="O5414">
            <v>692380.00232629513</v>
          </cell>
          <cell r="P5414">
            <v>368.79259999999999</v>
          </cell>
        </row>
        <row r="5415">
          <cell r="B5415">
            <v>38192</v>
          </cell>
          <cell r="J5415">
            <v>3809804.3041216834</v>
          </cell>
          <cell r="K5415">
            <v>2.4380000000000002</v>
          </cell>
          <cell r="L5415">
            <v>148835</v>
          </cell>
          <cell r="M5415">
            <v>13229</v>
          </cell>
          <cell r="N5415">
            <v>683926.05601571908</v>
          </cell>
          <cell r="O5415">
            <v>692380.00232629513</v>
          </cell>
          <cell r="P5415">
            <v>368.79259999999999</v>
          </cell>
        </row>
        <row r="5416">
          <cell r="B5416">
            <v>38193</v>
          </cell>
          <cell r="J5416">
            <v>3809804.3041216834</v>
          </cell>
          <cell r="K5416">
            <v>2.4380000000000002</v>
          </cell>
          <cell r="L5416">
            <v>148835</v>
          </cell>
          <cell r="M5416">
            <v>13229</v>
          </cell>
          <cell r="N5416">
            <v>683926.05601571908</v>
          </cell>
          <cell r="O5416">
            <v>692380.00232629513</v>
          </cell>
          <cell r="P5416">
            <v>368.79259999999999</v>
          </cell>
        </row>
        <row r="5417">
          <cell r="B5417">
            <v>38194</v>
          </cell>
          <cell r="J5417">
            <v>3809804.3041216834</v>
          </cell>
          <cell r="K5417">
            <v>2.4380000000000002</v>
          </cell>
          <cell r="L5417">
            <v>148835</v>
          </cell>
          <cell r="M5417">
            <v>13229</v>
          </cell>
          <cell r="N5417">
            <v>683926.05601571908</v>
          </cell>
          <cell r="O5417">
            <v>692380.00232629513</v>
          </cell>
          <cell r="P5417">
            <v>368.79259999999999</v>
          </cell>
        </row>
        <row r="5418">
          <cell r="B5418">
            <v>38195</v>
          </cell>
          <cell r="J5418">
            <v>3809804.3041216834</v>
          </cell>
          <cell r="K5418">
            <v>2.4380000000000002</v>
          </cell>
          <cell r="L5418">
            <v>148835</v>
          </cell>
          <cell r="M5418">
            <v>13229</v>
          </cell>
          <cell r="N5418">
            <v>683926.05601571908</v>
          </cell>
          <cell r="O5418">
            <v>692380.00232629513</v>
          </cell>
          <cell r="P5418">
            <v>368.79259999999999</v>
          </cell>
        </row>
        <row r="5419">
          <cell r="B5419">
            <v>38196</v>
          </cell>
          <cell r="J5419">
            <v>3809804.3041216834</v>
          </cell>
          <cell r="K5419">
            <v>2.4380000000000002</v>
          </cell>
          <cell r="L5419">
            <v>148835</v>
          </cell>
          <cell r="M5419">
            <v>13229</v>
          </cell>
          <cell r="N5419">
            <v>683926.05601571908</v>
          </cell>
          <cell r="O5419">
            <v>692380.00232629513</v>
          </cell>
          <cell r="P5419">
            <v>368.79259999999999</v>
          </cell>
        </row>
        <row r="5420">
          <cell r="B5420">
            <v>38197</v>
          </cell>
          <cell r="J5420">
            <v>3809804.3041216834</v>
          </cell>
          <cell r="K5420">
            <v>2.4380000000000002</v>
          </cell>
          <cell r="L5420">
            <v>148835</v>
          </cell>
          <cell r="M5420">
            <v>13229</v>
          </cell>
          <cell r="N5420">
            <v>683926.05601571908</v>
          </cell>
          <cell r="O5420">
            <v>692380.00232629513</v>
          </cell>
          <cell r="P5420">
            <v>368.79259999999999</v>
          </cell>
        </row>
        <row r="5421">
          <cell r="B5421">
            <v>38198</v>
          </cell>
          <cell r="J5421">
            <v>3809804.3041216834</v>
          </cell>
          <cell r="K5421">
            <v>2.4380000000000002</v>
          </cell>
          <cell r="L5421">
            <v>148835</v>
          </cell>
          <cell r="M5421">
            <v>13229</v>
          </cell>
          <cell r="N5421">
            <v>683926.05601571908</v>
          </cell>
          <cell r="O5421">
            <v>692380.00232629513</v>
          </cell>
          <cell r="P5421">
            <v>368.79259999999999</v>
          </cell>
        </row>
        <row r="5422">
          <cell r="B5422">
            <v>38199</v>
          </cell>
          <cell r="J5422">
            <v>3809804.3041216834</v>
          </cell>
          <cell r="K5422">
            <v>2.4380000000000002</v>
          </cell>
          <cell r="L5422">
            <v>148835</v>
          </cell>
          <cell r="M5422">
            <v>13229</v>
          </cell>
          <cell r="N5422">
            <v>683926.05601571908</v>
          </cell>
          <cell r="O5422">
            <v>692380.00232629513</v>
          </cell>
          <cell r="P5422">
            <v>368.79259999999999</v>
          </cell>
        </row>
        <row r="5423">
          <cell r="B5423">
            <v>38200</v>
          </cell>
          <cell r="J5423">
            <v>3809804.3041216834</v>
          </cell>
          <cell r="K5423">
            <v>2.4380000000000002</v>
          </cell>
          <cell r="L5423">
            <v>148835</v>
          </cell>
          <cell r="M5423">
            <v>13229</v>
          </cell>
          <cell r="N5423">
            <v>683926.05601571908</v>
          </cell>
          <cell r="O5423">
            <v>692380.00232629513</v>
          </cell>
          <cell r="P5423">
            <v>368.79259999999999</v>
          </cell>
        </row>
        <row r="5424">
          <cell r="B5424">
            <v>38201</v>
          </cell>
          <cell r="J5424">
            <v>3809804.3041216834</v>
          </cell>
          <cell r="K5424">
            <v>2.4380000000000002</v>
          </cell>
          <cell r="L5424">
            <v>148835</v>
          </cell>
          <cell r="M5424">
            <v>13229</v>
          </cell>
          <cell r="N5424">
            <v>683926.05601571908</v>
          </cell>
          <cell r="O5424">
            <v>692380.00232629513</v>
          </cell>
          <cell r="P5424">
            <v>368.79259999999999</v>
          </cell>
        </row>
        <row r="5425">
          <cell r="B5425">
            <v>38202</v>
          </cell>
          <cell r="J5425">
            <v>3809804.3041216834</v>
          </cell>
          <cell r="K5425">
            <v>2.4380000000000002</v>
          </cell>
          <cell r="L5425">
            <v>148835</v>
          </cell>
          <cell r="M5425">
            <v>13229</v>
          </cell>
          <cell r="N5425">
            <v>683926.05601571908</v>
          </cell>
          <cell r="O5425">
            <v>692380.00232629513</v>
          </cell>
          <cell r="P5425">
            <v>368.79259999999999</v>
          </cell>
        </row>
        <row r="5426">
          <cell r="B5426">
            <v>38203</v>
          </cell>
          <cell r="J5426">
            <v>3809804.3041216834</v>
          </cell>
          <cell r="K5426">
            <v>2.4380000000000002</v>
          </cell>
          <cell r="L5426">
            <v>148835</v>
          </cell>
          <cell r="M5426">
            <v>13229</v>
          </cell>
          <cell r="N5426">
            <v>683926.05601571908</v>
          </cell>
          <cell r="O5426">
            <v>692380.00232629513</v>
          </cell>
          <cell r="P5426">
            <v>368.79259999999999</v>
          </cell>
        </row>
        <row r="5427">
          <cell r="B5427">
            <v>38204</v>
          </cell>
          <cell r="J5427">
            <v>3809804.3041216834</v>
          </cell>
          <cell r="K5427">
            <v>2.4380000000000002</v>
          </cell>
          <cell r="L5427">
            <v>148835</v>
          </cell>
          <cell r="M5427">
            <v>13229</v>
          </cell>
          <cell r="N5427">
            <v>683926.05601571908</v>
          </cell>
          <cell r="O5427">
            <v>692380.00232629513</v>
          </cell>
          <cell r="P5427">
            <v>368.79259999999999</v>
          </cell>
        </row>
        <row r="5428">
          <cell r="B5428">
            <v>38205</v>
          </cell>
          <cell r="J5428">
            <v>3809804.3041216834</v>
          </cell>
          <cell r="K5428">
            <v>2.4380000000000002</v>
          </cell>
          <cell r="L5428">
            <v>148835</v>
          </cell>
          <cell r="M5428">
            <v>13229</v>
          </cell>
          <cell r="N5428">
            <v>683926.05601571908</v>
          </cell>
          <cell r="O5428">
            <v>692380.00232629513</v>
          </cell>
          <cell r="P5428">
            <v>368.79259999999999</v>
          </cell>
        </row>
        <row r="5429">
          <cell r="B5429">
            <v>38206</v>
          </cell>
          <cell r="J5429">
            <v>3809804.3041216834</v>
          </cell>
          <cell r="K5429">
            <v>2.4380000000000002</v>
          </cell>
          <cell r="L5429">
            <v>148835</v>
          </cell>
          <cell r="M5429">
            <v>13229</v>
          </cell>
          <cell r="N5429">
            <v>683926.05601571908</v>
          </cell>
          <cell r="O5429">
            <v>692380.00232629513</v>
          </cell>
          <cell r="P5429">
            <v>368.79259999999999</v>
          </cell>
        </row>
        <row r="5430">
          <cell r="B5430">
            <v>38207</v>
          </cell>
          <cell r="J5430">
            <v>3809804.3041216834</v>
          </cell>
          <cell r="K5430">
            <v>2.4380000000000002</v>
          </cell>
          <cell r="L5430">
            <v>148835</v>
          </cell>
          <cell r="M5430">
            <v>13229</v>
          </cell>
          <cell r="N5430">
            <v>683926.05601571908</v>
          </cell>
          <cell r="O5430">
            <v>692380.00232629513</v>
          </cell>
          <cell r="P5430">
            <v>368.79259999999999</v>
          </cell>
        </row>
        <row r="5431">
          <cell r="B5431">
            <v>38208</v>
          </cell>
          <cell r="J5431">
            <v>3809804.3041216834</v>
          </cell>
          <cell r="K5431">
            <v>2.4380000000000002</v>
          </cell>
          <cell r="L5431">
            <v>148835</v>
          </cell>
          <cell r="M5431">
            <v>13229</v>
          </cell>
          <cell r="N5431">
            <v>683926.05601571908</v>
          </cell>
          <cell r="O5431">
            <v>692380.00232629513</v>
          </cell>
          <cell r="P5431">
            <v>368.79259999999999</v>
          </cell>
        </row>
        <row r="5432">
          <cell r="B5432">
            <v>38209</v>
          </cell>
          <cell r="J5432">
            <v>3809804.3041216834</v>
          </cell>
          <cell r="K5432">
            <v>2.4380000000000002</v>
          </cell>
          <cell r="L5432">
            <v>148835</v>
          </cell>
          <cell r="M5432">
            <v>13229</v>
          </cell>
          <cell r="N5432">
            <v>683926.05601571908</v>
          </cell>
          <cell r="O5432">
            <v>692380.00232629513</v>
          </cell>
          <cell r="P5432">
            <v>368.79259999999999</v>
          </cell>
        </row>
        <row r="5433">
          <cell r="B5433">
            <v>38210</v>
          </cell>
          <cell r="J5433">
            <v>3809804.3041216834</v>
          </cell>
          <cell r="K5433">
            <v>2.4380000000000002</v>
          </cell>
          <cell r="L5433">
            <v>148835</v>
          </cell>
          <cell r="M5433">
            <v>13229</v>
          </cell>
          <cell r="N5433">
            <v>683926.05601571908</v>
          </cell>
          <cell r="O5433">
            <v>692380.00232629513</v>
          </cell>
          <cell r="P5433">
            <v>368.79259999999999</v>
          </cell>
        </row>
        <row r="5434">
          <cell r="B5434">
            <v>38211</v>
          </cell>
          <cell r="J5434">
            <v>3809804.3041216834</v>
          </cell>
          <cell r="K5434">
            <v>2.4380000000000002</v>
          </cell>
          <cell r="L5434">
            <v>148835</v>
          </cell>
          <cell r="M5434">
            <v>13229</v>
          </cell>
          <cell r="N5434">
            <v>683926.05601571908</v>
          </cell>
          <cell r="O5434">
            <v>692380.00232629513</v>
          </cell>
          <cell r="P5434">
            <v>368.79259999999999</v>
          </cell>
        </row>
        <row r="5435">
          <cell r="B5435">
            <v>38212</v>
          </cell>
          <cell r="J5435">
            <v>3809804.3041216834</v>
          </cell>
          <cell r="K5435">
            <v>2.4380000000000002</v>
          </cell>
          <cell r="L5435">
            <v>148835</v>
          </cell>
          <cell r="M5435">
            <v>13229</v>
          </cell>
          <cell r="N5435">
            <v>683926.05601571908</v>
          </cell>
          <cell r="O5435">
            <v>692380.00232629513</v>
          </cell>
          <cell r="P5435">
            <v>368.79259999999999</v>
          </cell>
        </row>
        <row r="5436">
          <cell r="B5436">
            <v>38213</v>
          </cell>
          <cell r="J5436">
            <v>3809804.3041216834</v>
          </cell>
          <cell r="K5436">
            <v>2.4380000000000002</v>
          </cell>
          <cell r="L5436">
            <v>148835</v>
          </cell>
          <cell r="M5436">
            <v>13229</v>
          </cell>
          <cell r="N5436">
            <v>683926.05601571908</v>
          </cell>
          <cell r="O5436">
            <v>692380.00232629513</v>
          </cell>
          <cell r="P5436">
            <v>368.79259999999999</v>
          </cell>
        </row>
        <row r="5437">
          <cell r="B5437">
            <v>38214</v>
          </cell>
          <cell r="J5437">
            <v>3809804.3041216834</v>
          </cell>
          <cell r="K5437">
            <v>2.4380000000000002</v>
          </cell>
          <cell r="L5437">
            <v>148835</v>
          </cell>
          <cell r="M5437">
            <v>13229</v>
          </cell>
          <cell r="N5437">
            <v>683926.05601571908</v>
          </cell>
          <cell r="O5437">
            <v>692380.00232629513</v>
          </cell>
          <cell r="P5437">
            <v>368.79259999999999</v>
          </cell>
        </row>
        <row r="5438">
          <cell r="B5438">
            <v>38215</v>
          </cell>
          <cell r="J5438">
            <v>3809804.3041216834</v>
          </cell>
          <cell r="K5438">
            <v>2.4380000000000002</v>
          </cell>
          <cell r="L5438">
            <v>148835</v>
          </cell>
          <cell r="M5438">
            <v>13229</v>
          </cell>
          <cell r="N5438">
            <v>683926.05601571908</v>
          </cell>
          <cell r="O5438">
            <v>692380.00232629513</v>
          </cell>
          <cell r="P5438">
            <v>368.79259999999999</v>
          </cell>
        </row>
        <row r="5439">
          <cell r="B5439">
            <v>38216</v>
          </cell>
          <cell r="J5439">
            <v>3809804.3041216834</v>
          </cell>
          <cell r="K5439">
            <v>2.4380000000000002</v>
          </cell>
          <cell r="L5439">
            <v>148835</v>
          </cell>
          <cell r="M5439">
            <v>13229</v>
          </cell>
          <cell r="N5439">
            <v>683926.05601571908</v>
          </cell>
          <cell r="O5439">
            <v>692380.00232629513</v>
          </cell>
          <cell r="P5439">
            <v>368.79259999999999</v>
          </cell>
        </row>
        <row r="5440">
          <cell r="B5440">
            <v>38217</v>
          </cell>
          <cell r="J5440">
            <v>3809804.3041216834</v>
          </cell>
          <cell r="K5440">
            <v>2.4380000000000002</v>
          </cell>
          <cell r="L5440">
            <v>148835</v>
          </cell>
          <cell r="M5440">
            <v>13229</v>
          </cell>
          <cell r="N5440">
            <v>683926.05601571908</v>
          </cell>
          <cell r="O5440">
            <v>692380.00232629513</v>
          </cell>
          <cell r="P5440">
            <v>368.79259999999999</v>
          </cell>
        </row>
        <row r="5441">
          <cell r="B5441">
            <v>38218</v>
          </cell>
          <cell r="J5441">
            <v>3809804.3041216834</v>
          </cell>
          <cell r="K5441">
            <v>2.4380000000000002</v>
          </cell>
          <cell r="L5441">
            <v>148835</v>
          </cell>
          <cell r="M5441">
            <v>13229</v>
          </cell>
          <cell r="N5441">
            <v>683926.05601571908</v>
          </cell>
          <cell r="O5441">
            <v>692380.00232629513</v>
          </cell>
          <cell r="P5441">
            <v>368.79259999999999</v>
          </cell>
        </row>
        <row r="5442">
          <cell r="B5442">
            <v>38219</v>
          </cell>
          <cell r="J5442">
            <v>3809804.3041216834</v>
          </cell>
          <cell r="K5442">
            <v>2.4380000000000002</v>
          </cell>
          <cell r="L5442">
            <v>148835</v>
          </cell>
          <cell r="M5442">
            <v>13229</v>
          </cell>
          <cell r="N5442">
            <v>683926.05601571908</v>
          </cell>
          <cell r="O5442">
            <v>692380.00232629513</v>
          </cell>
          <cell r="P5442">
            <v>368.79259999999999</v>
          </cell>
        </row>
        <row r="5443">
          <cell r="B5443">
            <v>38220</v>
          </cell>
          <cell r="J5443">
            <v>3809804.3041216834</v>
          </cell>
          <cell r="K5443">
            <v>2.4380000000000002</v>
          </cell>
          <cell r="L5443">
            <v>148835</v>
          </cell>
          <cell r="M5443">
            <v>13229</v>
          </cell>
          <cell r="N5443">
            <v>683926.05601571908</v>
          </cell>
          <cell r="O5443">
            <v>692380.00232629513</v>
          </cell>
          <cell r="P5443">
            <v>368.79259999999999</v>
          </cell>
        </row>
        <row r="5444">
          <cell r="B5444">
            <v>38221</v>
          </cell>
          <cell r="J5444">
            <v>3809804.3041216834</v>
          </cell>
          <cell r="K5444">
            <v>2.4380000000000002</v>
          </cell>
          <cell r="L5444">
            <v>148835</v>
          </cell>
          <cell r="M5444">
            <v>13229</v>
          </cell>
          <cell r="N5444">
            <v>683926.05601571908</v>
          </cell>
          <cell r="O5444">
            <v>692380.00232629513</v>
          </cell>
          <cell r="P5444">
            <v>368.79259999999999</v>
          </cell>
        </row>
        <row r="5445">
          <cell r="B5445">
            <v>38222</v>
          </cell>
          <cell r="J5445">
            <v>3809804.3041216834</v>
          </cell>
          <cell r="K5445">
            <v>2.4380000000000002</v>
          </cell>
          <cell r="L5445">
            <v>148835</v>
          </cell>
          <cell r="M5445">
            <v>13229</v>
          </cell>
          <cell r="N5445">
            <v>683926.05601571908</v>
          </cell>
          <cell r="O5445">
            <v>692380.00232629513</v>
          </cell>
          <cell r="P5445">
            <v>368.79259999999999</v>
          </cell>
        </row>
        <row r="5446">
          <cell r="B5446">
            <v>38223</v>
          </cell>
          <cell r="J5446">
            <v>3809804.3041216834</v>
          </cell>
          <cell r="K5446">
            <v>2.4380000000000002</v>
          </cell>
          <cell r="L5446">
            <v>148835</v>
          </cell>
          <cell r="M5446">
            <v>13229</v>
          </cell>
          <cell r="N5446">
            <v>683926.05601571908</v>
          </cell>
          <cell r="O5446">
            <v>692380.00232629513</v>
          </cell>
          <cell r="P5446">
            <v>368.79259999999999</v>
          </cell>
        </row>
        <row r="5447">
          <cell r="B5447">
            <v>38224</v>
          </cell>
          <cell r="J5447">
            <v>3809804.3041216834</v>
          </cell>
          <cell r="K5447">
            <v>2.4380000000000002</v>
          </cell>
          <cell r="L5447">
            <v>148835</v>
          </cell>
          <cell r="M5447">
            <v>13229</v>
          </cell>
          <cell r="N5447">
            <v>683926.05601571908</v>
          </cell>
          <cell r="O5447">
            <v>692380.00232629513</v>
          </cell>
          <cell r="P5447">
            <v>368.79259999999999</v>
          </cell>
        </row>
        <row r="5448">
          <cell r="B5448">
            <v>38225</v>
          </cell>
          <cell r="J5448">
            <v>3809804.3041216834</v>
          </cell>
          <cell r="K5448">
            <v>2.4380000000000002</v>
          </cell>
          <cell r="L5448">
            <v>148835</v>
          </cell>
          <cell r="M5448">
            <v>13229</v>
          </cell>
          <cell r="N5448">
            <v>683926.05601571908</v>
          </cell>
          <cell r="O5448">
            <v>692380.00232629513</v>
          </cell>
          <cell r="P5448">
            <v>368.79259999999999</v>
          </cell>
        </row>
        <row r="5449">
          <cell r="B5449">
            <v>38226</v>
          </cell>
          <cell r="J5449">
            <v>3809804.3041216834</v>
          </cell>
          <cell r="K5449">
            <v>2.4380000000000002</v>
          </cell>
          <cell r="L5449">
            <v>148835</v>
          </cell>
          <cell r="M5449">
            <v>13229</v>
          </cell>
          <cell r="N5449">
            <v>683926.05601571908</v>
          </cell>
          <cell r="O5449">
            <v>692380.00232629513</v>
          </cell>
          <cell r="P5449">
            <v>368.79259999999999</v>
          </cell>
        </row>
        <row r="5450">
          <cell r="B5450">
            <v>38227</v>
          </cell>
          <cell r="J5450">
            <v>3809804.3041216834</v>
          </cell>
          <cell r="K5450">
            <v>2.4380000000000002</v>
          </cell>
          <cell r="L5450">
            <v>148835</v>
          </cell>
          <cell r="M5450">
            <v>13229</v>
          </cell>
          <cell r="N5450">
            <v>683926.05601571908</v>
          </cell>
          <cell r="O5450">
            <v>692380.00232629513</v>
          </cell>
          <cell r="P5450">
            <v>368.79259999999999</v>
          </cell>
        </row>
        <row r="5451">
          <cell r="B5451">
            <v>38228</v>
          </cell>
          <cell r="J5451">
            <v>3809804.3041216834</v>
          </cell>
          <cell r="K5451">
            <v>2.4380000000000002</v>
          </cell>
          <cell r="L5451">
            <v>148835</v>
          </cell>
          <cell r="M5451">
            <v>13229</v>
          </cell>
          <cell r="N5451">
            <v>683926.05601571908</v>
          </cell>
          <cell r="O5451">
            <v>692380.00232629513</v>
          </cell>
          <cell r="P5451">
            <v>368.79259999999999</v>
          </cell>
        </row>
        <row r="5452">
          <cell r="B5452">
            <v>38229</v>
          </cell>
          <cell r="J5452">
            <v>3809804.3041216834</v>
          </cell>
          <cell r="K5452">
            <v>2.4380000000000002</v>
          </cell>
          <cell r="L5452">
            <v>148835</v>
          </cell>
          <cell r="M5452">
            <v>13229</v>
          </cell>
          <cell r="N5452">
            <v>683926.05601571908</v>
          </cell>
          <cell r="O5452">
            <v>692380.00232629513</v>
          </cell>
          <cell r="P5452">
            <v>368.79259999999999</v>
          </cell>
        </row>
        <row r="5453">
          <cell r="B5453">
            <v>38230</v>
          </cell>
          <cell r="J5453">
            <v>3809804.3041216834</v>
          </cell>
          <cell r="K5453">
            <v>2.4380000000000002</v>
          </cell>
          <cell r="L5453">
            <v>148835</v>
          </cell>
          <cell r="M5453">
            <v>13229</v>
          </cell>
          <cell r="N5453">
            <v>683926.05601571908</v>
          </cell>
          <cell r="O5453">
            <v>692380.00232629513</v>
          </cell>
          <cell r="P5453">
            <v>368.79259999999999</v>
          </cell>
        </row>
        <row r="5454">
          <cell r="B5454">
            <v>38231</v>
          </cell>
          <cell r="J5454">
            <v>3809804.3041216834</v>
          </cell>
          <cell r="K5454">
            <v>2.4380000000000002</v>
          </cell>
          <cell r="L5454">
            <v>148835</v>
          </cell>
          <cell r="M5454">
            <v>13229</v>
          </cell>
          <cell r="N5454">
            <v>683926.05601571908</v>
          </cell>
          <cell r="O5454">
            <v>692380.00232629513</v>
          </cell>
          <cell r="P5454">
            <v>368.79259999999999</v>
          </cell>
        </row>
        <row r="5455">
          <cell r="B5455">
            <v>38232</v>
          </cell>
          <cell r="J5455">
            <v>3809804.3041216834</v>
          </cell>
          <cell r="K5455">
            <v>2.4380000000000002</v>
          </cell>
          <cell r="L5455">
            <v>148835</v>
          </cell>
          <cell r="M5455">
            <v>13229</v>
          </cell>
          <cell r="N5455">
            <v>683926.05601571908</v>
          </cell>
          <cell r="O5455">
            <v>692380.00232629513</v>
          </cell>
          <cell r="P5455">
            <v>368.79259999999999</v>
          </cell>
        </row>
        <row r="5456">
          <cell r="B5456">
            <v>38233</v>
          </cell>
          <cell r="J5456">
            <v>3809804.3041216834</v>
          </cell>
          <cell r="K5456">
            <v>2.4380000000000002</v>
          </cell>
          <cell r="L5456">
            <v>148835</v>
          </cell>
          <cell r="M5456">
            <v>13229</v>
          </cell>
          <cell r="N5456">
            <v>683926.05601571908</v>
          </cell>
          <cell r="O5456">
            <v>692380.00232629513</v>
          </cell>
          <cell r="P5456">
            <v>368.79259999999999</v>
          </cell>
        </row>
        <row r="5457">
          <cell r="B5457">
            <v>38234</v>
          </cell>
          <cell r="J5457">
            <v>3809804.3041216834</v>
          </cell>
          <cell r="K5457">
            <v>2.4380000000000002</v>
          </cell>
          <cell r="L5457">
            <v>148835</v>
          </cell>
          <cell r="M5457">
            <v>13229</v>
          </cell>
          <cell r="N5457">
            <v>683926.05601571908</v>
          </cell>
          <cell r="O5457">
            <v>692380.00232629513</v>
          </cell>
          <cell r="P5457">
            <v>368.79259999999999</v>
          </cell>
        </row>
        <row r="5458">
          <cell r="B5458">
            <v>38235</v>
          </cell>
          <cell r="J5458">
            <v>3809804.3041216834</v>
          </cell>
          <cell r="K5458">
            <v>2.4380000000000002</v>
          </cell>
          <cell r="L5458">
            <v>148835</v>
          </cell>
          <cell r="M5458">
            <v>13229</v>
          </cell>
          <cell r="N5458">
            <v>683926.05601571908</v>
          </cell>
          <cell r="O5458">
            <v>692380.00232629513</v>
          </cell>
          <cell r="P5458">
            <v>368.79259999999999</v>
          </cell>
        </row>
        <row r="5459">
          <cell r="B5459">
            <v>38236</v>
          </cell>
          <cell r="J5459">
            <v>3809804.3041216834</v>
          </cell>
          <cell r="K5459">
            <v>2.4380000000000002</v>
          </cell>
          <cell r="L5459">
            <v>148835</v>
          </cell>
          <cell r="M5459">
            <v>13229</v>
          </cell>
          <cell r="N5459">
            <v>683926.05601571908</v>
          </cell>
          <cell r="O5459">
            <v>692380.00232629513</v>
          </cell>
          <cell r="P5459">
            <v>368.79259999999999</v>
          </cell>
        </row>
        <row r="5460">
          <cell r="B5460">
            <v>38237</v>
          </cell>
          <cell r="J5460">
            <v>3809804.3041216834</v>
          </cell>
          <cell r="K5460">
            <v>2.4380000000000002</v>
          </cell>
          <cell r="L5460">
            <v>148835</v>
          </cell>
          <cell r="M5460">
            <v>13229</v>
          </cell>
          <cell r="N5460">
            <v>683926.05601571908</v>
          </cell>
          <cell r="O5460">
            <v>692380.00232629513</v>
          </cell>
          <cell r="P5460">
            <v>368.79259999999999</v>
          </cell>
        </row>
        <row r="5461">
          <cell r="B5461">
            <v>38238</v>
          </cell>
          <cell r="J5461">
            <v>3809804.3041216834</v>
          </cell>
          <cell r="K5461">
            <v>2.4380000000000002</v>
          </cell>
          <cell r="L5461">
            <v>148835</v>
          </cell>
          <cell r="M5461">
            <v>13229</v>
          </cell>
          <cell r="N5461">
            <v>683926.05601571908</v>
          </cell>
          <cell r="O5461">
            <v>692380.00232629513</v>
          </cell>
          <cell r="P5461">
            <v>368.79259999999999</v>
          </cell>
        </row>
        <row r="5462">
          <cell r="B5462">
            <v>38239</v>
          </cell>
          <cell r="J5462">
            <v>3809804.3041216834</v>
          </cell>
          <cell r="K5462">
            <v>2.4380000000000002</v>
          </cell>
          <cell r="L5462">
            <v>148835</v>
          </cell>
          <cell r="M5462">
            <v>13229</v>
          </cell>
          <cell r="N5462">
            <v>683926.05601571908</v>
          </cell>
          <cell r="O5462">
            <v>692380.00232629513</v>
          </cell>
          <cell r="P5462">
            <v>368.79259999999999</v>
          </cell>
        </row>
        <row r="5463">
          <cell r="B5463">
            <v>38240</v>
          </cell>
          <cell r="J5463">
            <v>3809804.3041216834</v>
          </cell>
          <cell r="K5463">
            <v>2.4380000000000002</v>
          </cell>
          <cell r="L5463">
            <v>148835</v>
          </cell>
          <cell r="M5463">
            <v>13229</v>
          </cell>
          <cell r="N5463">
            <v>683926.05601571908</v>
          </cell>
          <cell r="O5463">
            <v>692380.00232629513</v>
          </cell>
          <cell r="P5463">
            <v>368.79259999999999</v>
          </cell>
        </row>
        <row r="5464">
          <cell r="B5464">
            <v>38241</v>
          </cell>
          <cell r="J5464">
            <v>3809804.3041216834</v>
          </cell>
          <cell r="K5464">
            <v>2.4380000000000002</v>
          </cell>
          <cell r="L5464">
            <v>148835</v>
          </cell>
          <cell r="M5464">
            <v>13229</v>
          </cell>
          <cell r="N5464">
            <v>683926.05601571908</v>
          </cell>
          <cell r="O5464">
            <v>692380.00232629513</v>
          </cell>
          <cell r="P5464">
            <v>368.79259999999999</v>
          </cell>
        </row>
        <row r="5465">
          <cell r="B5465">
            <v>38242</v>
          </cell>
          <cell r="J5465">
            <v>3809804.3041216834</v>
          </cell>
          <cell r="K5465">
            <v>2.4380000000000002</v>
          </cell>
          <cell r="L5465">
            <v>148835</v>
          </cell>
          <cell r="M5465">
            <v>13229</v>
          </cell>
          <cell r="N5465">
            <v>683926.05601571908</v>
          </cell>
          <cell r="O5465">
            <v>692380.00232629513</v>
          </cell>
          <cell r="P5465">
            <v>368.79259999999999</v>
          </cell>
        </row>
        <row r="5466">
          <cell r="B5466">
            <v>38243</v>
          </cell>
          <cell r="J5466">
            <v>3809804.3041216834</v>
          </cell>
          <cell r="K5466">
            <v>2.4380000000000002</v>
          </cell>
          <cell r="L5466">
            <v>148835</v>
          </cell>
          <cell r="M5466">
            <v>13229</v>
          </cell>
          <cell r="N5466">
            <v>683926.05601571908</v>
          </cell>
          <cell r="O5466">
            <v>692380.00232629513</v>
          </cell>
          <cell r="P5466">
            <v>368.79259999999999</v>
          </cell>
        </row>
        <row r="5467">
          <cell r="B5467">
            <v>38244</v>
          </cell>
          <cell r="J5467">
            <v>3809804.3041216834</v>
          </cell>
          <cell r="K5467">
            <v>2.4380000000000002</v>
          </cell>
          <cell r="L5467">
            <v>148835</v>
          </cell>
          <cell r="M5467">
            <v>13229</v>
          </cell>
          <cell r="N5467">
            <v>683926.05601571908</v>
          </cell>
          <cell r="O5467">
            <v>692380.00232629513</v>
          </cell>
          <cell r="P5467">
            <v>368.79259999999999</v>
          </cell>
        </row>
        <row r="5468">
          <cell r="B5468">
            <v>38245</v>
          </cell>
          <cell r="J5468">
            <v>3809804.3041216834</v>
          </cell>
          <cell r="K5468">
            <v>2.4380000000000002</v>
          </cell>
          <cell r="L5468">
            <v>148835</v>
          </cell>
          <cell r="M5468">
            <v>13229</v>
          </cell>
          <cell r="N5468">
            <v>683926.05601571908</v>
          </cell>
          <cell r="O5468">
            <v>692380.00232629513</v>
          </cell>
          <cell r="P5468">
            <v>368.79259999999999</v>
          </cell>
        </row>
        <row r="5469">
          <cell r="B5469">
            <v>38246</v>
          </cell>
          <cell r="J5469">
            <v>3809804.3041216834</v>
          </cell>
          <cell r="K5469">
            <v>2.4380000000000002</v>
          </cell>
          <cell r="L5469">
            <v>148835</v>
          </cell>
          <cell r="M5469">
            <v>13229</v>
          </cell>
          <cell r="N5469">
            <v>683926.05601571908</v>
          </cell>
          <cell r="O5469">
            <v>692380.00232629513</v>
          </cell>
          <cell r="P5469">
            <v>368.79259999999999</v>
          </cell>
        </row>
        <row r="5470">
          <cell r="B5470">
            <v>38247</v>
          </cell>
          <cell r="J5470">
            <v>3809804.3041216834</v>
          </cell>
          <cell r="K5470">
            <v>2.4380000000000002</v>
          </cell>
          <cell r="L5470">
            <v>148835</v>
          </cell>
          <cell r="M5470">
            <v>13229</v>
          </cell>
          <cell r="N5470">
            <v>683926.05601571908</v>
          </cell>
          <cell r="O5470">
            <v>692380.00232629513</v>
          </cell>
          <cell r="P5470">
            <v>368.79259999999999</v>
          </cell>
        </row>
        <row r="5471">
          <cell r="B5471">
            <v>38248</v>
          </cell>
          <cell r="J5471">
            <v>3809804.3041216834</v>
          </cell>
          <cell r="K5471">
            <v>2.4380000000000002</v>
          </cell>
          <cell r="L5471">
            <v>148835</v>
          </cell>
          <cell r="M5471">
            <v>13229</v>
          </cell>
          <cell r="N5471">
            <v>683926.05601571908</v>
          </cell>
          <cell r="O5471">
            <v>692380.00232629513</v>
          </cell>
          <cell r="P5471">
            <v>368.79259999999999</v>
          </cell>
        </row>
        <row r="5472">
          <cell r="B5472">
            <v>38249</v>
          </cell>
          <cell r="J5472">
            <v>3809804.3041216834</v>
          </cell>
          <cell r="K5472">
            <v>2.4380000000000002</v>
          </cell>
          <cell r="L5472">
            <v>148835</v>
          </cell>
          <cell r="M5472">
            <v>13229</v>
          </cell>
          <cell r="N5472">
            <v>683926.05601571908</v>
          </cell>
          <cell r="O5472">
            <v>692380.00232629513</v>
          </cell>
          <cell r="P5472">
            <v>368.79259999999999</v>
          </cell>
        </row>
        <row r="5473">
          <cell r="B5473">
            <v>38250</v>
          </cell>
          <cell r="J5473">
            <v>3809804.3041216834</v>
          </cell>
          <cell r="K5473">
            <v>2.4380000000000002</v>
          </cell>
          <cell r="L5473">
            <v>148835</v>
          </cell>
          <cell r="M5473">
            <v>13229</v>
          </cell>
          <cell r="N5473">
            <v>683926.05601571908</v>
          </cell>
          <cell r="O5473">
            <v>692380.00232629513</v>
          </cell>
          <cell r="P5473">
            <v>368.79259999999999</v>
          </cell>
        </row>
        <row r="5474">
          <cell r="B5474">
            <v>38251</v>
          </cell>
          <cell r="J5474">
            <v>3809804.3041216834</v>
          </cell>
          <cell r="K5474">
            <v>2.4380000000000002</v>
          </cell>
          <cell r="L5474">
            <v>148835</v>
          </cell>
          <cell r="M5474">
            <v>13229</v>
          </cell>
          <cell r="N5474">
            <v>683926.05601571908</v>
          </cell>
          <cell r="O5474">
            <v>692380.00232629513</v>
          </cell>
          <cell r="P5474">
            <v>368.79259999999999</v>
          </cell>
        </row>
        <row r="5475">
          <cell r="B5475">
            <v>38252</v>
          </cell>
          <cell r="J5475">
            <v>3809804.3041216834</v>
          </cell>
          <cell r="K5475">
            <v>2.4380000000000002</v>
          </cell>
          <cell r="L5475">
            <v>148835</v>
          </cell>
          <cell r="M5475">
            <v>13229</v>
          </cell>
          <cell r="N5475">
            <v>683926.05601571908</v>
          </cell>
          <cell r="O5475">
            <v>692380.00232629513</v>
          </cell>
          <cell r="P5475">
            <v>368.79259999999999</v>
          </cell>
        </row>
        <row r="5476">
          <cell r="B5476">
            <v>38253</v>
          </cell>
          <cell r="J5476">
            <v>3809804.3041216834</v>
          </cell>
          <cell r="K5476">
            <v>2.4380000000000002</v>
          </cell>
          <cell r="L5476">
            <v>148835</v>
          </cell>
          <cell r="M5476">
            <v>13229</v>
          </cell>
          <cell r="N5476">
            <v>683926.05601571908</v>
          </cell>
          <cell r="O5476">
            <v>692380.00232629513</v>
          </cell>
          <cell r="P5476">
            <v>368.79259999999999</v>
          </cell>
        </row>
        <row r="5477">
          <cell r="B5477">
            <v>38254</v>
          </cell>
          <cell r="J5477">
            <v>3809804.3041216834</v>
          </cell>
          <cell r="K5477">
            <v>2.4380000000000002</v>
          </cell>
          <cell r="L5477">
            <v>148835</v>
          </cell>
          <cell r="M5477">
            <v>13229</v>
          </cell>
          <cell r="N5477">
            <v>683926.05601571908</v>
          </cell>
          <cell r="O5477">
            <v>692380.00232629513</v>
          </cell>
          <cell r="P5477">
            <v>368.79259999999999</v>
          </cell>
        </row>
        <row r="5478">
          <cell r="B5478">
            <v>38255</v>
          </cell>
          <cell r="J5478">
            <v>3809804.3041216834</v>
          </cell>
          <cell r="K5478">
            <v>2.4380000000000002</v>
          </cell>
          <cell r="L5478">
            <v>148835</v>
          </cell>
          <cell r="M5478">
            <v>13229</v>
          </cell>
          <cell r="N5478">
            <v>683926.05601571908</v>
          </cell>
          <cell r="O5478">
            <v>692380.00232629513</v>
          </cell>
          <cell r="P5478">
            <v>368.79259999999999</v>
          </cell>
        </row>
        <row r="5479">
          <cell r="B5479">
            <v>38256</v>
          </cell>
          <cell r="J5479">
            <v>3809804.3041216834</v>
          </cell>
          <cell r="K5479">
            <v>2.4380000000000002</v>
          </cell>
          <cell r="L5479">
            <v>148835</v>
          </cell>
          <cell r="M5479">
            <v>13229</v>
          </cell>
          <cell r="N5479">
            <v>683926.05601571908</v>
          </cell>
          <cell r="O5479">
            <v>692380.00232629513</v>
          </cell>
          <cell r="P5479">
            <v>368.79259999999999</v>
          </cell>
        </row>
        <row r="5480">
          <cell r="B5480">
            <v>38257</v>
          </cell>
          <cell r="J5480">
            <v>3809804.3041216834</v>
          </cell>
          <cell r="K5480">
            <v>2.4380000000000002</v>
          </cell>
          <cell r="L5480">
            <v>148835</v>
          </cell>
          <cell r="M5480">
            <v>13229</v>
          </cell>
          <cell r="N5480">
            <v>683926.05601571908</v>
          </cell>
          <cell r="O5480">
            <v>692380.00232629513</v>
          </cell>
          <cell r="P5480">
            <v>368.79259999999999</v>
          </cell>
        </row>
        <row r="5481">
          <cell r="B5481">
            <v>38258</v>
          </cell>
          <cell r="J5481">
            <v>3809804.3041216834</v>
          </cell>
          <cell r="K5481">
            <v>2.4380000000000002</v>
          </cell>
          <cell r="L5481">
            <v>148835</v>
          </cell>
          <cell r="M5481">
            <v>13229</v>
          </cell>
          <cell r="N5481">
            <v>683926.05601571908</v>
          </cell>
          <cell r="O5481">
            <v>692380.00232629513</v>
          </cell>
          <cell r="P5481">
            <v>368.79259999999999</v>
          </cell>
        </row>
        <row r="5482">
          <cell r="B5482">
            <v>38259</v>
          </cell>
          <cell r="J5482">
            <v>3809804.3041216834</v>
          </cell>
          <cell r="K5482">
            <v>2.4380000000000002</v>
          </cell>
          <cell r="L5482">
            <v>148835</v>
          </cell>
          <cell r="M5482">
            <v>13229</v>
          </cell>
          <cell r="N5482">
            <v>683926.05601571908</v>
          </cell>
          <cell r="O5482">
            <v>692380.00232629513</v>
          </cell>
          <cell r="P5482">
            <v>368.79259999999999</v>
          </cell>
        </row>
        <row r="5483">
          <cell r="B5483">
            <v>38260</v>
          </cell>
          <cell r="J5483">
            <v>3809804.3041216834</v>
          </cell>
          <cell r="K5483">
            <v>2.4380000000000002</v>
          </cell>
          <cell r="L5483">
            <v>148835</v>
          </cell>
          <cell r="M5483">
            <v>13229</v>
          </cell>
          <cell r="N5483">
            <v>683926.05601571908</v>
          </cell>
          <cell r="O5483">
            <v>692380.00232629513</v>
          </cell>
          <cell r="P5483">
            <v>368.79259999999999</v>
          </cell>
        </row>
        <row r="5484">
          <cell r="B5484">
            <v>38261</v>
          </cell>
          <cell r="J5484">
            <v>3809804.3041216834</v>
          </cell>
          <cell r="K5484">
            <v>2.4380000000000002</v>
          </cell>
          <cell r="L5484">
            <v>148835</v>
          </cell>
          <cell r="M5484">
            <v>13229</v>
          </cell>
          <cell r="N5484">
            <v>683926.05601571908</v>
          </cell>
          <cell r="O5484">
            <v>692380.00232629513</v>
          </cell>
          <cell r="P5484">
            <v>368.79259999999999</v>
          </cell>
        </row>
        <row r="5485">
          <cell r="B5485">
            <v>38262</v>
          </cell>
          <cell r="J5485">
            <v>3809804.3041216834</v>
          </cell>
          <cell r="K5485">
            <v>2.4380000000000002</v>
          </cell>
          <cell r="L5485">
            <v>148835</v>
          </cell>
          <cell r="M5485">
            <v>13229</v>
          </cell>
          <cell r="N5485">
            <v>683926.05601571908</v>
          </cell>
          <cell r="O5485">
            <v>692380.00232629513</v>
          </cell>
          <cell r="P5485">
            <v>368.79259999999999</v>
          </cell>
        </row>
        <row r="5486">
          <cell r="B5486">
            <v>38263</v>
          </cell>
          <cell r="J5486">
            <v>3809804.3041216834</v>
          </cell>
          <cell r="K5486">
            <v>2.4380000000000002</v>
          </cell>
          <cell r="L5486">
            <v>148835</v>
          </cell>
          <cell r="M5486">
            <v>13229</v>
          </cell>
          <cell r="N5486">
            <v>683926.05601571908</v>
          </cell>
          <cell r="O5486">
            <v>692380.00232629513</v>
          </cell>
          <cell r="P5486">
            <v>368.79259999999999</v>
          </cell>
        </row>
        <row r="5487">
          <cell r="B5487">
            <v>38264</v>
          </cell>
          <cell r="J5487">
            <v>3809804.3041216834</v>
          </cell>
          <cell r="K5487">
            <v>2.4380000000000002</v>
          </cell>
          <cell r="L5487">
            <v>148835</v>
          </cell>
          <cell r="M5487">
            <v>13229</v>
          </cell>
          <cell r="N5487">
            <v>683926.05601571908</v>
          </cell>
          <cell r="O5487">
            <v>692380.00232629513</v>
          </cell>
          <cell r="P5487">
            <v>368.79259999999999</v>
          </cell>
        </row>
        <row r="5488">
          <cell r="B5488">
            <v>38265</v>
          </cell>
          <cell r="J5488">
            <v>3809804.3041216834</v>
          </cell>
          <cell r="K5488">
            <v>2.4380000000000002</v>
          </cell>
          <cell r="L5488">
            <v>148835</v>
          </cell>
          <cell r="M5488">
            <v>13229</v>
          </cell>
          <cell r="N5488">
            <v>683926.05601571908</v>
          </cell>
          <cell r="O5488">
            <v>692380.00232629513</v>
          </cell>
          <cell r="P5488">
            <v>368.79259999999999</v>
          </cell>
        </row>
        <row r="5489">
          <cell r="B5489">
            <v>38266</v>
          </cell>
          <cell r="J5489">
            <v>3809804.3041216834</v>
          </cell>
          <cell r="K5489">
            <v>2.4380000000000002</v>
          </cell>
          <cell r="L5489">
            <v>148835</v>
          </cell>
          <cell r="M5489">
            <v>13229</v>
          </cell>
          <cell r="N5489">
            <v>683926.05601571908</v>
          </cell>
          <cell r="O5489">
            <v>692380.00232629513</v>
          </cell>
          <cell r="P5489">
            <v>368.79259999999999</v>
          </cell>
        </row>
        <row r="5490">
          <cell r="B5490">
            <v>38267</v>
          </cell>
          <cell r="J5490">
            <v>3809804.3041216834</v>
          </cell>
          <cell r="K5490">
            <v>2.4380000000000002</v>
          </cell>
          <cell r="L5490">
            <v>148835</v>
          </cell>
          <cell r="M5490">
            <v>13229</v>
          </cell>
          <cell r="N5490">
            <v>683926.05601571908</v>
          </cell>
          <cell r="O5490">
            <v>692380.00232629513</v>
          </cell>
          <cell r="P5490">
            <v>368.79259999999999</v>
          </cell>
        </row>
        <row r="5491">
          <cell r="B5491">
            <v>38268</v>
          </cell>
          <cell r="J5491">
            <v>3809804.3041216834</v>
          </cell>
          <cell r="K5491">
            <v>2.4380000000000002</v>
          </cell>
          <cell r="L5491">
            <v>148835</v>
          </cell>
          <cell r="M5491">
            <v>13229</v>
          </cell>
          <cell r="N5491">
            <v>683926.05601571908</v>
          </cell>
          <cell r="O5491">
            <v>692380.00232629513</v>
          </cell>
          <cell r="P5491">
            <v>368.79259999999999</v>
          </cell>
        </row>
        <row r="5492">
          <cell r="B5492">
            <v>38269</v>
          </cell>
          <cell r="J5492">
            <v>3809804.3041216834</v>
          </cell>
          <cell r="K5492">
            <v>2.4380000000000002</v>
          </cell>
          <cell r="L5492">
            <v>148835</v>
          </cell>
          <cell r="M5492">
            <v>13229</v>
          </cell>
          <cell r="N5492">
            <v>683926.05601571908</v>
          </cell>
          <cell r="O5492">
            <v>692380.00232629513</v>
          </cell>
          <cell r="P5492">
            <v>368.79259999999999</v>
          </cell>
        </row>
        <row r="5493">
          <cell r="B5493">
            <v>38270</v>
          </cell>
          <cell r="J5493">
            <v>3809804.3041216834</v>
          </cell>
          <cell r="K5493">
            <v>2.4380000000000002</v>
          </cell>
          <cell r="L5493">
            <v>148835</v>
          </cell>
          <cell r="M5493">
            <v>13229</v>
          </cell>
          <cell r="N5493">
            <v>683926.05601571908</v>
          </cell>
          <cell r="O5493">
            <v>692380.00232629513</v>
          </cell>
          <cell r="P5493">
            <v>368.79259999999999</v>
          </cell>
        </row>
        <row r="5494">
          <cell r="B5494">
            <v>38271</v>
          </cell>
          <cell r="J5494">
            <v>3809804.3041216834</v>
          </cell>
          <cell r="K5494">
            <v>2.4380000000000002</v>
          </cell>
          <cell r="L5494">
            <v>148835</v>
          </cell>
          <cell r="M5494">
            <v>13229</v>
          </cell>
          <cell r="N5494">
            <v>683926.05601571908</v>
          </cell>
          <cell r="O5494">
            <v>692380.00232629513</v>
          </cell>
          <cell r="P5494">
            <v>368.79259999999999</v>
          </cell>
        </row>
        <row r="5495">
          <cell r="B5495">
            <v>38272</v>
          </cell>
          <cell r="J5495">
            <v>3809804.3041216834</v>
          </cell>
          <cell r="K5495">
            <v>2.4380000000000002</v>
          </cell>
          <cell r="L5495">
            <v>148835</v>
          </cell>
          <cell r="M5495">
            <v>13229</v>
          </cell>
          <cell r="N5495">
            <v>683926.05601571908</v>
          </cell>
          <cell r="O5495">
            <v>692380.00232629513</v>
          </cell>
          <cell r="P5495">
            <v>368.79259999999999</v>
          </cell>
        </row>
        <row r="5496">
          <cell r="B5496">
            <v>38273</v>
          </cell>
          <cell r="J5496">
            <v>3809804.3041216834</v>
          </cell>
          <cell r="K5496">
            <v>2.4380000000000002</v>
          </cell>
          <cell r="L5496">
            <v>148835</v>
          </cell>
          <cell r="M5496">
            <v>13229</v>
          </cell>
          <cell r="N5496">
            <v>683926.05601571908</v>
          </cell>
          <cell r="O5496">
            <v>692380.00232629513</v>
          </cell>
          <cell r="P5496">
            <v>368.79259999999999</v>
          </cell>
        </row>
        <row r="5497">
          <cell r="B5497">
            <v>38274</v>
          </cell>
          <cell r="J5497">
            <v>3809804.3041216834</v>
          </cell>
          <cell r="K5497">
            <v>2.4380000000000002</v>
          </cell>
          <cell r="L5497">
            <v>148835</v>
          </cell>
          <cell r="M5497">
            <v>13229</v>
          </cell>
          <cell r="N5497">
            <v>683926.05601571908</v>
          </cell>
          <cell r="O5497">
            <v>692380.00232629513</v>
          </cell>
          <cell r="P5497">
            <v>368.79259999999999</v>
          </cell>
        </row>
        <row r="5498">
          <cell r="B5498">
            <v>38275</v>
          </cell>
          <cell r="J5498">
            <v>3809804.3041216834</v>
          </cell>
          <cell r="K5498">
            <v>2.4380000000000002</v>
          </cell>
          <cell r="L5498">
            <v>148835</v>
          </cell>
          <cell r="M5498">
            <v>13229</v>
          </cell>
          <cell r="N5498">
            <v>683926.05601571908</v>
          </cell>
          <cell r="O5498">
            <v>692380.00232629513</v>
          </cell>
          <cell r="P5498">
            <v>368.79259999999999</v>
          </cell>
        </row>
        <row r="5499">
          <cell r="B5499">
            <v>38276</v>
          </cell>
          <cell r="J5499">
            <v>3809804.3041216834</v>
          </cell>
          <cell r="K5499">
            <v>2.4380000000000002</v>
          </cell>
          <cell r="L5499">
            <v>148835</v>
          </cell>
          <cell r="M5499">
            <v>13229</v>
          </cell>
          <cell r="N5499">
            <v>683926.05601571908</v>
          </cell>
          <cell r="O5499">
            <v>692380.00232629513</v>
          </cell>
          <cell r="P5499">
            <v>368.79259999999999</v>
          </cell>
        </row>
        <row r="5500">
          <cell r="B5500">
            <v>38277</v>
          </cell>
          <cell r="J5500">
            <v>3809804.3041216834</v>
          </cell>
          <cell r="K5500">
            <v>2.4380000000000002</v>
          </cell>
          <cell r="L5500">
            <v>148835</v>
          </cell>
          <cell r="M5500">
            <v>13229</v>
          </cell>
          <cell r="N5500">
            <v>683926.05601571908</v>
          </cell>
          <cell r="O5500">
            <v>692380.00232629513</v>
          </cell>
          <cell r="P5500">
            <v>368.79259999999999</v>
          </cell>
        </row>
        <row r="5501">
          <cell r="B5501">
            <v>38278</v>
          </cell>
          <cell r="J5501">
            <v>3809804.3041216834</v>
          </cell>
          <cell r="K5501">
            <v>2.4380000000000002</v>
          </cell>
          <cell r="L5501">
            <v>148835</v>
          </cell>
          <cell r="M5501">
            <v>13229</v>
          </cell>
          <cell r="N5501">
            <v>683926.05601571908</v>
          </cell>
          <cell r="O5501">
            <v>692380.00232629513</v>
          </cell>
          <cell r="P5501">
            <v>368.79259999999999</v>
          </cell>
        </row>
        <row r="5502">
          <cell r="B5502">
            <v>38279</v>
          </cell>
          <cell r="J5502">
            <v>3809804.3041216834</v>
          </cell>
          <cell r="K5502">
            <v>2.4380000000000002</v>
          </cell>
          <cell r="L5502">
            <v>148835</v>
          </cell>
          <cell r="M5502">
            <v>13229</v>
          </cell>
          <cell r="N5502">
            <v>683926.05601571908</v>
          </cell>
          <cell r="O5502">
            <v>692380.00232629513</v>
          </cell>
          <cell r="P5502">
            <v>368.79259999999999</v>
          </cell>
        </row>
        <row r="5503">
          <cell r="B5503">
            <v>38280</v>
          </cell>
          <cell r="J5503">
            <v>3809804.3041216834</v>
          </cell>
          <cell r="K5503">
            <v>2.4380000000000002</v>
          </cell>
          <cell r="L5503">
            <v>148835</v>
          </cell>
          <cell r="M5503">
            <v>13229</v>
          </cell>
          <cell r="N5503">
            <v>683926.05601571908</v>
          </cell>
          <cell r="O5503">
            <v>692380.00232629513</v>
          </cell>
          <cell r="P5503">
            <v>368.79259999999999</v>
          </cell>
        </row>
        <row r="5504">
          <cell r="B5504">
            <v>38281</v>
          </cell>
          <cell r="J5504">
            <v>3809804.3041216834</v>
          </cell>
          <cell r="K5504">
            <v>2.4380000000000002</v>
          </cell>
          <cell r="L5504">
            <v>148835</v>
          </cell>
          <cell r="M5504">
            <v>13229</v>
          </cell>
          <cell r="N5504">
            <v>683926.05601571908</v>
          </cell>
          <cell r="O5504">
            <v>692380.00232629513</v>
          </cell>
          <cell r="P5504">
            <v>368.79259999999999</v>
          </cell>
        </row>
        <row r="5505">
          <cell r="B5505">
            <v>38282</v>
          </cell>
          <cell r="J5505">
            <v>3809804.3041216834</v>
          </cell>
          <cell r="K5505">
            <v>2.4380000000000002</v>
          </cell>
          <cell r="L5505">
            <v>148835</v>
          </cell>
          <cell r="M5505">
            <v>13229</v>
          </cell>
          <cell r="N5505">
            <v>683926.05601571908</v>
          </cell>
          <cell r="O5505">
            <v>692380.00232629513</v>
          </cell>
          <cell r="P5505">
            <v>368.79259999999999</v>
          </cell>
        </row>
        <row r="5506">
          <cell r="B5506">
            <v>38283</v>
          </cell>
          <cell r="J5506">
            <v>3809804.3041216834</v>
          </cell>
          <cell r="K5506">
            <v>2.4380000000000002</v>
          </cell>
          <cell r="L5506">
            <v>148835</v>
          </cell>
          <cell r="M5506">
            <v>13229</v>
          </cell>
          <cell r="N5506">
            <v>683926.05601571908</v>
          </cell>
          <cell r="O5506">
            <v>692380.00232629513</v>
          </cell>
          <cell r="P5506">
            <v>368.79259999999999</v>
          </cell>
        </row>
        <row r="5507">
          <cell r="B5507">
            <v>38284</v>
          </cell>
          <cell r="J5507">
            <v>3809804.3041216834</v>
          </cell>
          <cell r="K5507">
            <v>2.4380000000000002</v>
          </cell>
          <cell r="L5507">
            <v>148835</v>
          </cell>
          <cell r="M5507">
            <v>13229</v>
          </cell>
          <cell r="N5507">
            <v>683926.05601571908</v>
          </cell>
          <cell r="O5507">
            <v>692380.00232629513</v>
          </cell>
          <cell r="P5507">
            <v>368.79259999999999</v>
          </cell>
        </row>
        <row r="5508">
          <cell r="B5508">
            <v>38285</v>
          </cell>
          <cell r="J5508">
            <v>3809804.3041216834</v>
          </cell>
          <cell r="K5508">
            <v>2.4380000000000002</v>
          </cell>
          <cell r="L5508">
            <v>148835</v>
          </cell>
          <cell r="M5508">
            <v>13229</v>
          </cell>
          <cell r="N5508">
            <v>683926.05601571908</v>
          </cell>
          <cell r="O5508">
            <v>692380.00232629513</v>
          </cell>
          <cell r="P5508">
            <v>368.79259999999999</v>
          </cell>
        </row>
        <row r="5509">
          <cell r="B5509">
            <v>38286</v>
          </cell>
          <cell r="J5509">
            <v>3809804.3041216834</v>
          </cell>
          <cell r="K5509">
            <v>2.4380000000000002</v>
          </cell>
          <cell r="L5509">
            <v>148835</v>
          </cell>
          <cell r="M5509">
            <v>13229</v>
          </cell>
          <cell r="N5509">
            <v>683926.05601571908</v>
          </cell>
          <cell r="O5509">
            <v>692380.00232629513</v>
          </cell>
          <cell r="P5509">
            <v>368.79259999999999</v>
          </cell>
        </row>
        <row r="5510">
          <cell r="B5510">
            <v>38287</v>
          </cell>
          <cell r="J5510">
            <v>3809804.3041216834</v>
          </cell>
          <cell r="K5510">
            <v>2.4380000000000002</v>
          </cell>
          <cell r="L5510">
            <v>148835</v>
          </cell>
          <cell r="M5510">
            <v>13229</v>
          </cell>
          <cell r="N5510">
            <v>683926.05601571908</v>
          </cell>
          <cell r="O5510">
            <v>692380.00232629513</v>
          </cell>
          <cell r="P5510">
            <v>368.79259999999999</v>
          </cell>
        </row>
        <row r="5511">
          <cell r="B5511">
            <v>38288</v>
          </cell>
          <cell r="J5511">
            <v>3809804.3041216834</v>
          </cell>
          <cell r="K5511">
            <v>2.4380000000000002</v>
          </cell>
          <cell r="L5511">
            <v>148835</v>
          </cell>
          <cell r="M5511">
            <v>13229</v>
          </cell>
          <cell r="N5511">
            <v>683926.05601571908</v>
          </cell>
          <cell r="O5511">
            <v>692380.00232629513</v>
          </cell>
          <cell r="P5511">
            <v>368.79259999999999</v>
          </cell>
        </row>
        <row r="5512">
          <cell r="B5512">
            <v>38289</v>
          </cell>
          <cell r="J5512">
            <v>3809804.3041216834</v>
          </cell>
          <cell r="K5512">
            <v>2.4380000000000002</v>
          </cell>
          <cell r="L5512">
            <v>148835</v>
          </cell>
          <cell r="M5512">
            <v>13229</v>
          </cell>
          <cell r="N5512">
            <v>683926.05601571908</v>
          </cell>
          <cell r="O5512">
            <v>692380.00232629513</v>
          </cell>
          <cell r="P5512">
            <v>368.79259999999999</v>
          </cell>
        </row>
        <row r="5513">
          <cell r="B5513">
            <v>38290</v>
          </cell>
          <cell r="J5513">
            <v>3809804.3041216834</v>
          </cell>
          <cell r="K5513">
            <v>2.4380000000000002</v>
          </cell>
          <cell r="L5513">
            <v>148835</v>
          </cell>
          <cell r="M5513">
            <v>13229</v>
          </cell>
          <cell r="N5513">
            <v>683926.05601571908</v>
          </cell>
          <cell r="O5513">
            <v>692380.00232629513</v>
          </cell>
          <cell r="P5513">
            <v>368.79259999999999</v>
          </cell>
        </row>
        <row r="5514">
          <cell r="B5514">
            <v>38291</v>
          </cell>
          <cell r="J5514">
            <v>3809804.3041216834</v>
          </cell>
          <cell r="K5514">
            <v>2.4380000000000002</v>
          </cell>
          <cell r="L5514">
            <v>148835</v>
          </cell>
          <cell r="M5514">
            <v>13229</v>
          </cell>
          <cell r="N5514">
            <v>683926.05601571908</v>
          </cell>
          <cell r="O5514">
            <v>692380.00232629513</v>
          </cell>
          <cell r="P5514">
            <v>368.79259999999999</v>
          </cell>
        </row>
        <row r="5515">
          <cell r="B5515">
            <v>38292</v>
          </cell>
          <cell r="J5515">
            <v>3809804.3041216834</v>
          </cell>
          <cell r="K5515">
            <v>2.4380000000000002</v>
          </cell>
          <cell r="L5515">
            <v>148835</v>
          </cell>
          <cell r="M5515">
            <v>13229</v>
          </cell>
          <cell r="N5515">
            <v>683926.05601571908</v>
          </cell>
          <cell r="O5515">
            <v>692380.00232629513</v>
          </cell>
          <cell r="P5515">
            <v>368.79259999999999</v>
          </cell>
        </row>
        <row r="5516">
          <cell r="B5516">
            <v>38293</v>
          </cell>
          <cell r="J5516">
            <v>3809804.3041216834</v>
          </cell>
          <cell r="K5516">
            <v>2.4380000000000002</v>
          </cell>
          <cell r="L5516">
            <v>148835</v>
          </cell>
          <cell r="M5516">
            <v>13229</v>
          </cell>
          <cell r="N5516">
            <v>683926.05601571908</v>
          </cell>
          <cell r="O5516">
            <v>692380.00232629513</v>
          </cell>
          <cell r="P5516">
            <v>368.79259999999999</v>
          </cell>
        </row>
        <row r="5517">
          <cell r="B5517">
            <v>38294</v>
          </cell>
          <cell r="J5517">
            <v>3809804.3041216834</v>
          </cell>
          <cell r="K5517">
            <v>2.4380000000000002</v>
          </cell>
          <cell r="L5517">
            <v>148835</v>
          </cell>
          <cell r="M5517">
            <v>13229</v>
          </cell>
          <cell r="N5517">
            <v>683926.05601571908</v>
          </cell>
          <cell r="O5517">
            <v>692380.00232629513</v>
          </cell>
          <cell r="P5517">
            <v>368.79259999999999</v>
          </cell>
        </row>
        <row r="5518">
          <cell r="B5518">
            <v>38295</v>
          </cell>
          <cell r="J5518">
            <v>3809804.3041216834</v>
          </cell>
          <cell r="K5518">
            <v>2.4380000000000002</v>
          </cell>
          <cell r="L5518">
            <v>148835</v>
          </cell>
          <cell r="M5518">
            <v>13229</v>
          </cell>
          <cell r="N5518">
            <v>683926.05601571908</v>
          </cell>
          <cell r="O5518">
            <v>692380.00232629513</v>
          </cell>
          <cell r="P5518">
            <v>368.79259999999999</v>
          </cell>
        </row>
        <row r="5519">
          <cell r="B5519">
            <v>38296</v>
          </cell>
          <cell r="J5519">
            <v>3809804.3041216834</v>
          </cell>
          <cell r="K5519">
            <v>2.4380000000000002</v>
          </cell>
          <cell r="L5519">
            <v>148835</v>
          </cell>
          <cell r="M5519">
            <v>13229</v>
          </cell>
          <cell r="N5519">
            <v>683926.05601571908</v>
          </cell>
          <cell r="O5519">
            <v>692380.00232629513</v>
          </cell>
          <cell r="P5519">
            <v>368.79259999999999</v>
          </cell>
        </row>
        <row r="5520">
          <cell r="B5520">
            <v>38297</v>
          </cell>
          <cell r="J5520">
            <v>3809804.3041216834</v>
          </cell>
          <cell r="K5520">
            <v>2.4380000000000002</v>
          </cell>
          <cell r="L5520">
            <v>148835</v>
          </cell>
          <cell r="M5520">
            <v>13229</v>
          </cell>
          <cell r="N5520">
            <v>683926.05601571908</v>
          </cell>
          <cell r="O5520">
            <v>692380.00232629513</v>
          </cell>
          <cell r="P5520">
            <v>368.79259999999999</v>
          </cell>
        </row>
        <row r="5521">
          <cell r="B5521">
            <v>38298</v>
          </cell>
          <cell r="J5521">
            <v>3809804.3041216834</v>
          </cell>
          <cell r="K5521">
            <v>2.4380000000000002</v>
          </cell>
          <cell r="L5521">
            <v>148835</v>
          </cell>
          <cell r="M5521">
            <v>13229</v>
          </cell>
          <cell r="N5521">
            <v>683926.05601571908</v>
          </cell>
          <cell r="O5521">
            <v>692380.00232629513</v>
          </cell>
          <cell r="P5521">
            <v>368.79259999999999</v>
          </cell>
        </row>
        <row r="5522">
          <cell r="B5522">
            <v>38299</v>
          </cell>
          <cell r="J5522">
            <v>3809804.3041216834</v>
          </cell>
          <cell r="K5522">
            <v>2.4380000000000002</v>
          </cell>
          <cell r="L5522">
            <v>148835</v>
          </cell>
          <cell r="M5522">
            <v>13229</v>
          </cell>
          <cell r="N5522">
            <v>683926.05601571908</v>
          </cell>
          <cell r="O5522">
            <v>692380.00232629513</v>
          </cell>
          <cell r="P5522">
            <v>368.79259999999999</v>
          </cell>
        </row>
        <row r="5523">
          <cell r="B5523">
            <v>38300</v>
          </cell>
          <cell r="J5523">
            <v>3809804.3041216834</v>
          </cell>
          <cell r="K5523">
            <v>2.4380000000000002</v>
          </cell>
          <cell r="L5523">
            <v>148835</v>
          </cell>
          <cell r="M5523">
            <v>13229</v>
          </cell>
          <cell r="N5523">
            <v>683926.05601571908</v>
          </cell>
          <cell r="O5523">
            <v>692380.00232629513</v>
          </cell>
          <cell r="P5523">
            <v>368.79259999999999</v>
          </cell>
        </row>
        <row r="5524">
          <cell r="B5524">
            <v>38301</v>
          </cell>
          <cell r="J5524">
            <v>3809804.3041216834</v>
          </cell>
          <cell r="K5524">
            <v>2.4380000000000002</v>
          </cell>
          <cell r="L5524">
            <v>148835</v>
          </cell>
          <cell r="M5524">
            <v>13229</v>
          </cell>
          <cell r="N5524">
            <v>683926.05601571908</v>
          </cell>
          <cell r="O5524">
            <v>692380.00232629513</v>
          </cell>
          <cell r="P5524">
            <v>368.79259999999999</v>
          </cell>
        </row>
        <row r="5525">
          <cell r="B5525">
            <v>38302</v>
          </cell>
          <cell r="J5525">
            <v>3809804.3041216834</v>
          </cell>
          <cell r="K5525">
            <v>2.4380000000000002</v>
          </cell>
          <cell r="L5525">
            <v>148835</v>
          </cell>
          <cell r="M5525">
            <v>13229</v>
          </cell>
          <cell r="N5525">
            <v>683926.05601571908</v>
          </cell>
          <cell r="O5525">
            <v>692380.00232629513</v>
          </cell>
          <cell r="P5525">
            <v>368.79259999999999</v>
          </cell>
        </row>
        <row r="5526">
          <cell r="B5526">
            <v>38303</v>
          </cell>
          <cell r="J5526">
            <v>3809804.3041216834</v>
          </cell>
          <cell r="K5526">
            <v>2.4380000000000002</v>
          </cell>
          <cell r="L5526">
            <v>148835</v>
          </cell>
          <cell r="M5526">
            <v>13229</v>
          </cell>
          <cell r="N5526">
            <v>683926.05601571908</v>
          </cell>
          <cell r="O5526">
            <v>692380.00232629513</v>
          </cell>
          <cell r="P5526">
            <v>368.79259999999999</v>
          </cell>
        </row>
        <row r="5527">
          <cell r="B5527">
            <v>38304</v>
          </cell>
          <cell r="J5527">
            <v>3809804.3041216834</v>
          </cell>
          <cell r="K5527">
            <v>2.4380000000000002</v>
          </cell>
          <cell r="L5527">
            <v>148835</v>
          </cell>
          <cell r="M5527">
            <v>13229</v>
          </cell>
          <cell r="N5527">
            <v>683926.05601571908</v>
          </cell>
          <cell r="O5527">
            <v>692380.00232629513</v>
          </cell>
          <cell r="P5527">
            <v>368.79259999999999</v>
          </cell>
        </row>
        <row r="5528">
          <cell r="B5528">
            <v>38305</v>
          </cell>
          <cell r="J5528">
            <v>3809804.3041216834</v>
          </cell>
          <cell r="K5528">
            <v>2.4380000000000002</v>
          </cell>
          <cell r="L5528">
            <v>148835</v>
          </cell>
          <cell r="M5528">
            <v>13229</v>
          </cell>
          <cell r="N5528">
            <v>683926.05601571908</v>
          </cell>
          <cell r="O5528">
            <v>692380.00232629513</v>
          </cell>
          <cell r="P5528">
            <v>368.79259999999999</v>
          </cell>
        </row>
        <row r="5529">
          <cell r="B5529">
            <v>38306</v>
          </cell>
          <cell r="J5529">
            <v>3809804.3041216834</v>
          </cell>
          <cell r="K5529">
            <v>2.4380000000000002</v>
          </cell>
          <cell r="L5529">
            <v>148835</v>
          </cell>
          <cell r="M5529">
            <v>13229</v>
          </cell>
          <cell r="N5529">
            <v>683926.05601571908</v>
          </cell>
          <cell r="O5529">
            <v>692380.00232629513</v>
          </cell>
          <cell r="P5529">
            <v>368.79259999999999</v>
          </cell>
        </row>
        <row r="5530">
          <cell r="B5530">
            <v>38307</v>
          </cell>
          <cell r="J5530">
            <v>3809804.3041216834</v>
          </cell>
          <cell r="K5530">
            <v>2.4380000000000002</v>
          </cell>
          <cell r="L5530">
            <v>148835</v>
          </cell>
          <cell r="M5530">
            <v>13229</v>
          </cell>
          <cell r="N5530">
            <v>683926.05601571908</v>
          </cell>
          <cell r="O5530">
            <v>692380.00232629513</v>
          </cell>
          <cell r="P5530">
            <v>368.79259999999999</v>
          </cell>
        </row>
        <row r="5531">
          <cell r="B5531">
            <v>38308</v>
          </cell>
          <cell r="J5531">
            <v>3809804.3041216834</v>
          </cell>
          <cell r="K5531">
            <v>2.4380000000000002</v>
          </cell>
          <cell r="L5531">
            <v>148835</v>
          </cell>
          <cell r="M5531">
            <v>13229</v>
          </cell>
          <cell r="N5531">
            <v>683926.05601571908</v>
          </cell>
          <cell r="O5531">
            <v>692380.00232629513</v>
          </cell>
          <cell r="P5531">
            <v>368.79259999999999</v>
          </cell>
        </row>
        <row r="5532">
          <cell r="B5532">
            <v>38309</v>
          </cell>
          <cell r="J5532">
            <v>3809804.3041216834</v>
          </cell>
          <cell r="K5532">
            <v>2.4380000000000002</v>
          </cell>
          <cell r="L5532">
            <v>148835</v>
          </cell>
          <cell r="M5532">
            <v>13229</v>
          </cell>
          <cell r="N5532">
            <v>683926.05601571908</v>
          </cell>
          <cell r="O5532">
            <v>692380.00232629513</v>
          </cell>
          <cell r="P5532">
            <v>368.79259999999999</v>
          </cell>
        </row>
        <row r="5533">
          <cell r="B5533">
            <v>38310</v>
          </cell>
          <cell r="J5533">
            <v>3809804.3041216834</v>
          </cell>
          <cell r="K5533">
            <v>2.4380000000000002</v>
          </cell>
          <cell r="L5533">
            <v>148835</v>
          </cell>
          <cell r="M5533">
            <v>13229</v>
          </cell>
          <cell r="N5533">
            <v>683926.05601571908</v>
          </cell>
          <cell r="O5533">
            <v>692380.00232629513</v>
          </cell>
          <cell r="P5533">
            <v>368.79259999999999</v>
          </cell>
        </row>
        <row r="5534">
          <cell r="B5534">
            <v>38311</v>
          </cell>
          <cell r="J5534">
            <v>3809804.3041216834</v>
          </cell>
          <cell r="K5534">
            <v>2.4380000000000002</v>
          </cell>
          <cell r="L5534">
            <v>148835</v>
          </cell>
          <cell r="M5534">
            <v>13229</v>
          </cell>
          <cell r="N5534">
            <v>683926.05601571908</v>
          </cell>
          <cell r="O5534">
            <v>692380.00232629513</v>
          </cell>
          <cell r="P5534">
            <v>368.79259999999999</v>
          </cell>
        </row>
        <row r="5535">
          <cell r="B5535">
            <v>38312</v>
          </cell>
          <cell r="J5535">
            <v>3809804.3041216834</v>
          </cell>
          <cell r="K5535">
            <v>2.4380000000000002</v>
          </cell>
          <cell r="L5535">
            <v>148835</v>
          </cell>
          <cell r="M5535">
            <v>13229</v>
          </cell>
          <cell r="N5535">
            <v>683926.05601571908</v>
          </cell>
          <cell r="O5535">
            <v>692380.00232629513</v>
          </cell>
          <cell r="P5535">
            <v>368.79259999999999</v>
          </cell>
        </row>
        <row r="5536">
          <cell r="B5536">
            <v>38313</v>
          </cell>
          <cell r="J5536">
            <v>3809804.3041216834</v>
          </cell>
          <cell r="K5536">
            <v>2.4380000000000002</v>
          </cell>
          <cell r="L5536">
            <v>148835</v>
          </cell>
          <cell r="M5536">
            <v>13229</v>
          </cell>
          <cell r="N5536">
            <v>683926.05601571908</v>
          </cell>
          <cell r="O5536">
            <v>692380.00232629513</v>
          </cell>
          <cell r="P5536">
            <v>368.79259999999999</v>
          </cell>
        </row>
        <row r="5537">
          <cell r="B5537">
            <v>38314</v>
          </cell>
          <cell r="J5537">
            <v>3809804.3041216834</v>
          </cell>
          <cell r="K5537">
            <v>2.4380000000000002</v>
          </cell>
          <cell r="L5537">
            <v>148835</v>
          </cell>
          <cell r="M5537">
            <v>13229</v>
          </cell>
          <cell r="N5537">
            <v>683926.05601571908</v>
          </cell>
          <cell r="O5537">
            <v>692380.00232629513</v>
          </cell>
          <cell r="P5537">
            <v>368.79259999999999</v>
          </cell>
        </row>
        <row r="5538">
          <cell r="B5538">
            <v>38315</v>
          </cell>
          <cell r="J5538">
            <v>3809804.3041216834</v>
          </cell>
          <cell r="K5538">
            <v>2.4380000000000002</v>
          </cell>
          <cell r="L5538">
            <v>148835</v>
          </cell>
          <cell r="M5538">
            <v>13229</v>
          </cell>
          <cell r="N5538">
            <v>683926.05601571908</v>
          </cell>
          <cell r="O5538">
            <v>692380.00232629513</v>
          </cell>
          <cell r="P5538">
            <v>368.79259999999999</v>
          </cell>
        </row>
        <row r="5539">
          <cell r="B5539">
            <v>38316</v>
          </cell>
          <cell r="J5539">
            <v>3809804.3041216834</v>
          </cell>
          <cell r="K5539">
            <v>2.4380000000000002</v>
          </cell>
          <cell r="L5539">
            <v>148835</v>
          </cell>
          <cell r="M5539">
            <v>13229</v>
          </cell>
          <cell r="N5539">
            <v>683926.05601571908</v>
          </cell>
          <cell r="O5539">
            <v>692380.00232629513</v>
          </cell>
          <cell r="P5539">
            <v>368.79259999999999</v>
          </cell>
        </row>
        <row r="5540">
          <cell r="B5540">
            <v>38317</v>
          </cell>
          <cell r="J5540">
            <v>3809804.3041216834</v>
          </cell>
          <cell r="K5540">
            <v>2.4380000000000002</v>
          </cell>
          <cell r="L5540">
            <v>148835</v>
          </cell>
          <cell r="M5540">
            <v>13229</v>
          </cell>
          <cell r="N5540">
            <v>683926.05601571908</v>
          </cell>
          <cell r="O5540">
            <v>692380.00232629513</v>
          </cell>
          <cell r="P5540">
            <v>368.79259999999999</v>
          </cell>
        </row>
        <row r="5541">
          <cell r="B5541">
            <v>38318</v>
          </cell>
          <cell r="J5541">
            <v>3809804.3041216834</v>
          </cell>
          <cell r="K5541">
            <v>2.4380000000000002</v>
          </cell>
          <cell r="L5541">
            <v>148835</v>
          </cell>
          <cell r="M5541">
            <v>13229</v>
          </cell>
          <cell r="N5541">
            <v>683926.05601571908</v>
          </cell>
          <cell r="O5541">
            <v>692380.00232629513</v>
          </cell>
          <cell r="P5541">
            <v>368.79259999999999</v>
          </cell>
        </row>
        <row r="5542">
          <cell r="B5542">
            <v>38319</v>
          </cell>
          <cell r="J5542">
            <v>3809804.3041216834</v>
          </cell>
          <cell r="K5542">
            <v>2.4380000000000002</v>
          </cell>
          <cell r="L5542">
            <v>148835</v>
          </cell>
          <cell r="M5542">
            <v>13229</v>
          </cell>
          <cell r="N5542">
            <v>683926.05601571908</v>
          </cell>
          <cell r="O5542">
            <v>692380.00232629513</v>
          </cell>
          <cell r="P5542">
            <v>368.79259999999999</v>
          </cell>
        </row>
        <row r="5543">
          <cell r="B5543">
            <v>38320</v>
          </cell>
          <cell r="J5543">
            <v>3809804.3041216834</v>
          </cell>
          <cell r="K5543">
            <v>2.4380000000000002</v>
          </cell>
          <cell r="L5543">
            <v>148835</v>
          </cell>
          <cell r="M5543">
            <v>13229</v>
          </cell>
          <cell r="N5543">
            <v>683926.05601571908</v>
          </cell>
          <cell r="O5543">
            <v>692380.00232629513</v>
          </cell>
          <cell r="P5543">
            <v>368.79259999999999</v>
          </cell>
        </row>
        <row r="5544">
          <cell r="B5544">
            <v>38321</v>
          </cell>
          <cell r="J5544">
            <v>3809804.3041216834</v>
          </cell>
          <cell r="K5544">
            <v>2.4380000000000002</v>
          </cell>
          <cell r="L5544">
            <v>148835</v>
          </cell>
          <cell r="M5544">
            <v>13229</v>
          </cell>
          <cell r="N5544">
            <v>683926.05601571908</v>
          </cell>
          <cell r="O5544">
            <v>692380.00232629513</v>
          </cell>
          <cell r="P5544">
            <v>368.79259999999999</v>
          </cell>
        </row>
        <row r="5545">
          <cell r="B5545">
            <v>38322</v>
          </cell>
          <cell r="J5545">
            <v>3809804.3041216834</v>
          </cell>
          <cell r="K5545">
            <v>2.4380000000000002</v>
          </cell>
          <cell r="L5545">
            <v>148835</v>
          </cell>
          <cell r="M5545">
            <v>13229</v>
          </cell>
          <cell r="N5545">
            <v>683926.05601571908</v>
          </cell>
          <cell r="O5545">
            <v>692380.00232629513</v>
          </cell>
          <cell r="P5545">
            <v>368.79259999999999</v>
          </cell>
        </row>
        <row r="5546">
          <cell r="B5546">
            <v>38323</v>
          </cell>
          <cell r="J5546">
            <v>3809804.3041216834</v>
          </cell>
          <cell r="K5546">
            <v>2.4380000000000002</v>
          </cell>
          <cell r="L5546">
            <v>148835</v>
          </cell>
          <cell r="M5546">
            <v>13229</v>
          </cell>
          <cell r="N5546">
            <v>683926.05601571908</v>
          </cell>
          <cell r="O5546">
            <v>692380.00232629513</v>
          </cell>
          <cell r="P5546">
            <v>368.79259999999999</v>
          </cell>
        </row>
        <row r="5547">
          <cell r="B5547">
            <v>38324</v>
          </cell>
          <cell r="J5547">
            <v>3809804.3041216834</v>
          </cell>
          <cell r="K5547">
            <v>2.4380000000000002</v>
          </cell>
          <cell r="L5547">
            <v>148835</v>
          </cell>
          <cell r="M5547">
            <v>13229</v>
          </cell>
          <cell r="N5547">
            <v>683926.05601571908</v>
          </cell>
          <cell r="O5547">
            <v>692380.00232629513</v>
          </cell>
          <cell r="P5547">
            <v>368.79259999999999</v>
          </cell>
        </row>
        <row r="5548">
          <cell r="B5548">
            <v>38325</v>
          </cell>
          <cell r="J5548">
            <v>3809804.3041216834</v>
          </cell>
          <cell r="K5548">
            <v>2.4380000000000002</v>
          </cell>
          <cell r="L5548">
            <v>148835</v>
          </cell>
          <cell r="M5548">
            <v>13229</v>
          </cell>
          <cell r="N5548">
            <v>683926.05601571908</v>
          </cell>
          <cell r="O5548">
            <v>692380.00232629513</v>
          </cell>
          <cell r="P5548">
            <v>368.79259999999999</v>
          </cell>
        </row>
        <row r="5549">
          <cell r="B5549">
            <v>38326</v>
          </cell>
          <cell r="J5549">
            <v>3809804.3041216834</v>
          </cell>
          <cell r="K5549">
            <v>2.4380000000000002</v>
          </cell>
          <cell r="L5549">
            <v>148835</v>
          </cell>
          <cell r="M5549">
            <v>13229</v>
          </cell>
          <cell r="N5549">
            <v>683926.05601571908</v>
          </cell>
          <cell r="O5549">
            <v>692380.00232629513</v>
          </cell>
          <cell r="P5549">
            <v>368.79259999999999</v>
          </cell>
        </row>
        <row r="5550">
          <cell r="B5550">
            <v>38327</v>
          </cell>
          <cell r="J5550">
            <v>3809804.3041216834</v>
          </cell>
          <cell r="K5550">
            <v>2.4380000000000002</v>
          </cell>
          <cell r="L5550">
            <v>148835</v>
          </cell>
          <cell r="M5550">
            <v>13229</v>
          </cell>
          <cell r="N5550">
            <v>683926.05601571908</v>
          </cell>
          <cell r="O5550">
            <v>692380.00232629513</v>
          </cell>
          <cell r="P5550">
            <v>368.79259999999999</v>
          </cell>
        </row>
        <row r="5551">
          <cell r="B5551">
            <v>38328</v>
          </cell>
          <cell r="J5551">
            <v>3809804.3041216834</v>
          </cell>
          <cell r="K5551">
            <v>2.4380000000000002</v>
          </cell>
          <cell r="L5551">
            <v>148835</v>
          </cell>
          <cell r="M5551">
            <v>13229</v>
          </cell>
          <cell r="N5551">
            <v>683926.05601571908</v>
          </cell>
          <cell r="O5551">
            <v>692380.00232629513</v>
          </cell>
          <cell r="P5551">
            <v>368.79259999999999</v>
          </cell>
        </row>
        <row r="5552">
          <cell r="B5552">
            <v>38329</v>
          </cell>
          <cell r="J5552">
            <v>3809804.3041216834</v>
          </cell>
          <cell r="K5552">
            <v>2.4380000000000002</v>
          </cell>
          <cell r="L5552">
            <v>148835</v>
          </cell>
          <cell r="M5552">
            <v>13229</v>
          </cell>
          <cell r="N5552">
            <v>683926.05601571908</v>
          </cell>
          <cell r="O5552">
            <v>692380.00232629513</v>
          </cell>
          <cell r="P5552">
            <v>368.79259999999999</v>
          </cell>
        </row>
        <row r="5553">
          <cell r="B5553">
            <v>38330</v>
          </cell>
          <cell r="J5553">
            <v>3809804.3041216834</v>
          </cell>
          <cell r="K5553">
            <v>2.4380000000000002</v>
          </cell>
          <cell r="L5553">
            <v>148835</v>
          </cell>
          <cell r="M5553">
            <v>13229</v>
          </cell>
          <cell r="N5553">
            <v>683926.05601571908</v>
          </cell>
          <cell r="O5553">
            <v>692380.00232629513</v>
          </cell>
          <cell r="P5553">
            <v>368.79259999999999</v>
          </cell>
        </row>
        <row r="5554">
          <cell r="B5554">
            <v>38331</v>
          </cell>
          <cell r="J5554">
            <v>3809804.3041216834</v>
          </cell>
          <cell r="K5554">
            <v>2.4380000000000002</v>
          </cell>
          <cell r="L5554">
            <v>148835</v>
          </cell>
          <cell r="M5554">
            <v>13229</v>
          </cell>
          <cell r="N5554">
            <v>683926.05601571908</v>
          </cell>
          <cell r="O5554">
            <v>692380.00232629513</v>
          </cell>
          <cell r="P5554">
            <v>368.79259999999999</v>
          </cell>
        </row>
        <row r="5555">
          <cell r="B5555">
            <v>38332</v>
          </cell>
          <cell r="J5555">
            <v>3809804.3041216834</v>
          </cell>
          <cell r="K5555">
            <v>2.4380000000000002</v>
          </cell>
          <cell r="L5555">
            <v>148835</v>
          </cell>
          <cell r="M5555">
            <v>13229</v>
          </cell>
          <cell r="N5555">
            <v>683926.05601571908</v>
          </cell>
          <cell r="O5555">
            <v>692380.00232629513</v>
          </cell>
          <cell r="P5555">
            <v>368.79259999999999</v>
          </cell>
        </row>
        <row r="5556">
          <cell r="B5556">
            <v>38333</v>
          </cell>
          <cell r="J5556">
            <v>3809804.3041216834</v>
          </cell>
          <cell r="K5556">
            <v>2.4380000000000002</v>
          </cell>
          <cell r="L5556">
            <v>148835</v>
          </cell>
          <cell r="M5556">
            <v>13229</v>
          </cell>
          <cell r="N5556">
            <v>683926.05601571908</v>
          </cell>
          <cell r="O5556">
            <v>692380.00232629513</v>
          </cell>
          <cell r="P5556">
            <v>368.79259999999999</v>
          </cell>
        </row>
        <row r="5557">
          <cell r="B5557">
            <v>38334</v>
          </cell>
          <cell r="J5557">
            <v>3809804.3041216834</v>
          </cell>
          <cell r="K5557">
            <v>2.4380000000000002</v>
          </cell>
          <cell r="L5557">
            <v>148835</v>
          </cell>
          <cell r="M5557">
            <v>13229</v>
          </cell>
          <cell r="N5557">
            <v>683926.05601571908</v>
          </cell>
          <cell r="O5557">
            <v>692380.00232629513</v>
          </cell>
          <cell r="P5557">
            <v>368.79259999999999</v>
          </cell>
        </row>
        <row r="5558">
          <cell r="B5558">
            <v>38335</v>
          </cell>
          <cell r="J5558">
            <v>3809804.3041216834</v>
          </cell>
          <cell r="K5558">
            <v>2.4380000000000002</v>
          </cell>
          <cell r="L5558">
            <v>148835</v>
          </cell>
          <cell r="M5558">
            <v>13229</v>
          </cell>
          <cell r="N5558">
            <v>683926.05601571908</v>
          </cell>
          <cell r="O5558">
            <v>692380.00232629513</v>
          </cell>
          <cell r="P5558">
            <v>368.79259999999999</v>
          </cell>
        </row>
        <row r="5559">
          <cell r="B5559">
            <v>38336</v>
          </cell>
          <cell r="J5559">
            <v>3809804.3041216834</v>
          </cell>
          <cell r="K5559">
            <v>2.4380000000000002</v>
          </cell>
          <cell r="L5559">
            <v>148835</v>
          </cell>
          <cell r="M5559">
            <v>13229</v>
          </cell>
          <cell r="N5559">
            <v>683926.05601571908</v>
          </cell>
          <cell r="O5559">
            <v>692380.00232629513</v>
          </cell>
          <cell r="P5559">
            <v>368.79259999999999</v>
          </cell>
        </row>
        <row r="5560">
          <cell r="B5560">
            <v>38337</v>
          </cell>
          <cell r="J5560">
            <v>3809804.3041216834</v>
          </cell>
          <cell r="K5560">
            <v>2.4380000000000002</v>
          </cell>
          <cell r="L5560">
            <v>148835</v>
          </cell>
          <cell r="M5560">
            <v>13229</v>
          </cell>
          <cell r="N5560">
            <v>683926.05601571908</v>
          </cell>
          <cell r="O5560">
            <v>692380.00232629513</v>
          </cell>
          <cell r="P5560">
            <v>368.79259999999999</v>
          </cell>
        </row>
        <row r="5561">
          <cell r="B5561">
            <v>38338</v>
          </cell>
          <cell r="J5561">
            <v>3809804.3041216834</v>
          </cell>
          <cell r="K5561">
            <v>2.4380000000000002</v>
          </cell>
          <cell r="L5561">
            <v>148835</v>
          </cell>
          <cell r="M5561">
            <v>13229</v>
          </cell>
          <cell r="N5561">
            <v>683926.05601571908</v>
          </cell>
          <cell r="O5561">
            <v>692380.00232629513</v>
          </cell>
          <cell r="P5561">
            <v>368.79259999999999</v>
          </cell>
        </row>
        <row r="5562">
          <cell r="B5562">
            <v>38339</v>
          </cell>
          <cell r="J5562">
            <v>3809804.3041216834</v>
          </cell>
          <cell r="K5562">
            <v>2.4380000000000002</v>
          </cell>
          <cell r="L5562">
            <v>148835</v>
          </cell>
          <cell r="M5562">
            <v>13229</v>
          </cell>
          <cell r="N5562">
            <v>683926.05601571908</v>
          </cell>
          <cell r="O5562">
            <v>692380.00232629513</v>
          </cell>
          <cell r="P5562">
            <v>368.79259999999999</v>
          </cell>
        </row>
        <row r="5563">
          <cell r="B5563">
            <v>38340</v>
          </cell>
          <cell r="J5563">
            <v>3809804.3041216834</v>
          </cell>
          <cell r="K5563">
            <v>2.4380000000000002</v>
          </cell>
          <cell r="L5563">
            <v>148835</v>
          </cell>
          <cell r="M5563">
            <v>13229</v>
          </cell>
          <cell r="N5563">
            <v>683926.05601571908</v>
          </cell>
          <cell r="O5563">
            <v>692380.00232629513</v>
          </cell>
          <cell r="P5563">
            <v>368.79259999999999</v>
          </cell>
        </row>
        <row r="5564">
          <cell r="B5564">
            <v>38341</v>
          </cell>
          <cell r="J5564">
            <v>3809804.3041216834</v>
          </cell>
          <cell r="K5564">
            <v>2.4380000000000002</v>
          </cell>
          <cell r="L5564">
            <v>148835</v>
          </cell>
          <cell r="M5564">
            <v>13229</v>
          </cell>
          <cell r="N5564">
            <v>683926.05601571908</v>
          </cell>
          <cell r="O5564">
            <v>692380.00232629513</v>
          </cell>
          <cell r="P5564">
            <v>368.79259999999999</v>
          </cell>
        </row>
        <row r="5565">
          <cell r="B5565">
            <v>38342</v>
          </cell>
          <cell r="J5565">
            <v>3809804.3041216834</v>
          </cell>
          <cell r="K5565">
            <v>2.4380000000000002</v>
          </cell>
          <cell r="L5565">
            <v>148835</v>
          </cell>
          <cell r="M5565">
            <v>13229</v>
          </cell>
          <cell r="N5565">
            <v>683926.05601571908</v>
          </cell>
          <cell r="O5565">
            <v>692380.00232629513</v>
          </cell>
          <cell r="P5565">
            <v>368.79259999999999</v>
          </cell>
        </row>
        <row r="5566">
          <cell r="B5566">
            <v>38343</v>
          </cell>
          <cell r="J5566">
            <v>3809804.3041216834</v>
          </cell>
          <cell r="K5566">
            <v>2.4380000000000002</v>
          </cell>
          <cell r="L5566">
            <v>148835</v>
          </cell>
          <cell r="M5566">
            <v>13229</v>
          </cell>
          <cell r="N5566">
            <v>683926.05601571908</v>
          </cell>
          <cell r="O5566">
            <v>692380.00232629513</v>
          </cell>
          <cell r="P5566">
            <v>368.79259999999999</v>
          </cell>
        </row>
        <row r="5567">
          <cell r="B5567">
            <v>38344</v>
          </cell>
          <cell r="J5567">
            <v>3809804.3041216834</v>
          </cell>
          <cell r="K5567">
            <v>2.4380000000000002</v>
          </cell>
          <cell r="L5567">
            <v>148835</v>
          </cell>
          <cell r="M5567">
            <v>13229</v>
          </cell>
          <cell r="N5567">
            <v>683926.05601571908</v>
          </cell>
          <cell r="O5567">
            <v>692380.00232629513</v>
          </cell>
          <cell r="P5567">
            <v>368.79259999999999</v>
          </cell>
        </row>
        <row r="5568">
          <cell r="B5568">
            <v>38345</v>
          </cell>
          <cell r="J5568">
            <v>3809804.3041216834</v>
          </cell>
          <cell r="K5568">
            <v>2.4380000000000002</v>
          </cell>
          <cell r="L5568">
            <v>148835</v>
          </cell>
          <cell r="M5568">
            <v>13229</v>
          </cell>
          <cell r="N5568">
            <v>683926.05601571908</v>
          </cell>
          <cell r="O5568">
            <v>692380.00232629513</v>
          </cell>
          <cell r="P5568">
            <v>368.79259999999999</v>
          </cell>
        </row>
        <row r="5569">
          <cell r="B5569">
            <v>38346</v>
          </cell>
          <cell r="J5569">
            <v>3809804.3041216834</v>
          </cell>
          <cell r="K5569">
            <v>2.4380000000000002</v>
          </cell>
          <cell r="L5569">
            <v>148835</v>
          </cell>
          <cell r="M5569">
            <v>13229</v>
          </cell>
          <cell r="N5569">
            <v>683926.05601571908</v>
          </cell>
          <cell r="O5569">
            <v>692380.00232629513</v>
          </cell>
          <cell r="P5569">
            <v>368.79259999999999</v>
          </cell>
        </row>
        <row r="5570">
          <cell r="B5570">
            <v>38347</v>
          </cell>
          <cell r="J5570">
            <v>3809804.3041216834</v>
          </cell>
          <cell r="K5570">
            <v>2.4380000000000002</v>
          </cell>
          <cell r="L5570">
            <v>148835</v>
          </cell>
          <cell r="M5570">
            <v>13229</v>
          </cell>
          <cell r="N5570">
            <v>683926.05601571908</v>
          </cell>
          <cell r="O5570">
            <v>692380.00232629513</v>
          </cell>
          <cell r="P5570">
            <v>368.79259999999999</v>
          </cell>
        </row>
        <row r="5571">
          <cell r="B5571">
            <v>38348</v>
          </cell>
          <cell r="J5571">
            <v>3809804.3041216834</v>
          </cell>
          <cell r="K5571">
            <v>2.4380000000000002</v>
          </cell>
          <cell r="L5571">
            <v>148835</v>
          </cell>
          <cell r="M5571">
            <v>13229</v>
          </cell>
          <cell r="N5571">
            <v>683926.05601571908</v>
          </cell>
          <cell r="O5571">
            <v>692380.00232629513</v>
          </cell>
          <cell r="P5571">
            <v>368.79259999999999</v>
          </cell>
        </row>
        <row r="5572">
          <cell r="B5572">
            <v>38349</v>
          </cell>
          <cell r="J5572">
            <v>3809804.3041216834</v>
          </cell>
          <cell r="K5572">
            <v>2.4380000000000002</v>
          </cell>
          <cell r="L5572">
            <v>148835</v>
          </cell>
          <cell r="M5572">
            <v>13229</v>
          </cell>
          <cell r="N5572">
            <v>683926.05601571908</v>
          </cell>
          <cell r="O5572">
            <v>692380.00232629513</v>
          </cell>
          <cell r="P5572">
            <v>368.79259999999999</v>
          </cell>
        </row>
        <row r="5573">
          <cell r="B5573">
            <v>38350</v>
          </cell>
          <cell r="J5573">
            <v>3809804.3041216834</v>
          </cell>
          <cell r="K5573">
            <v>2.4380000000000002</v>
          </cell>
          <cell r="L5573">
            <v>148835</v>
          </cell>
          <cell r="M5573">
            <v>13229</v>
          </cell>
          <cell r="N5573">
            <v>683926.05601571908</v>
          </cell>
          <cell r="O5573">
            <v>692380.00232629513</v>
          </cell>
          <cell r="P5573">
            <v>368.79259999999999</v>
          </cell>
        </row>
        <row r="5574">
          <cell r="B5574">
            <v>38351</v>
          </cell>
          <cell r="J5574">
            <v>3809804.3041216834</v>
          </cell>
          <cell r="K5574">
            <v>2.4380000000000002</v>
          </cell>
          <cell r="L5574">
            <v>148835</v>
          </cell>
          <cell r="M5574">
            <v>13229</v>
          </cell>
          <cell r="N5574">
            <v>683926.05601571908</v>
          </cell>
          <cell r="O5574">
            <v>692380.00232629513</v>
          </cell>
          <cell r="P5574">
            <v>368.79259999999999</v>
          </cell>
        </row>
        <row r="5575">
          <cell r="B5575">
            <v>38352</v>
          </cell>
          <cell r="J5575">
            <v>3809804.3041216834</v>
          </cell>
          <cell r="K5575">
            <v>2.4380000000000002</v>
          </cell>
          <cell r="L5575">
            <v>148835</v>
          </cell>
          <cell r="M5575">
            <v>13229</v>
          </cell>
          <cell r="N5575">
            <v>683926.05601571908</v>
          </cell>
          <cell r="O5575">
            <v>692380.00232629513</v>
          </cell>
          <cell r="P5575">
            <v>368.79259999999999</v>
          </cell>
        </row>
        <row r="5576">
          <cell r="B5576">
            <v>38353</v>
          </cell>
          <cell r="J5576">
            <v>3809804.3041216834</v>
          </cell>
          <cell r="K5576">
            <v>2.4380000000000002</v>
          </cell>
          <cell r="L5576">
            <v>148835</v>
          </cell>
          <cell r="M5576">
            <v>13229</v>
          </cell>
          <cell r="N5576">
            <v>683926.05601571908</v>
          </cell>
          <cell r="O5576">
            <v>692380.00232629513</v>
          </cell>
          <cell r="P5576">
            <v>368.79259999999999</v>
          </cell>
        </row>
        <row r="5577">
          <cell r="B5577">
            <v>38354</v>
          </cell>
          <cell r="J5577">
            <v>3809804.3041216834</v>
          </cell>
          <cell r="K5577">
            <v>2.4380000000000002</v>
          </cell>
          <cell r="L5577">
            <v>148835</v>
          </cell>
          <cell r="M5577">
            <v>13229</v>
          </cell>
          <cell r="N5577">
            <v>683926.05601571908</v>
          </cell>
          <cell r="O5577">
            <v>692380.00232629513</v>
          </cell>
          <cell r="P5577">
            <v>368.79259999999999</v>
          </cell>
        </row>
        <row r="5578">
          <cell r="B5578">
            <v>38355</v>
          </cell>
          <cell r="J5578">
            <v>3809804.3041216834</v>
          </cell>
          <cell r="K5578">
            <v>2.4380000000000002</v>
          </cell>
          <cell r="L5578">
            <v>148835</v>
          </cell>
          <cell r="M5578">
            <v>13229</v>
          </cell>
          <cell r="N5578">
            <v>683926.05601571908</v>
          </cell>
          <cell r="O5578">
            <v>692380.00232629513</v>
          </cell>
          <cell r="P5578">
            <v>368.79259999999999</v>
          </cell>
        </row>
        <row r="5579">
          <cell r="B5579">
            <v>38356</v>
          </cell>
          <cell r="J5579">
            <v>3809804.3041216834</v>
          </cell>
          <cell r="K5579">
            <v>2.4380000000000002</v>
          </cell>
          <cell r="L5579">
            <v>148835</v>
          </cell>
          <cell r="M5579">
            <v>13229</v>
          </cell>
          <cell r="N5579">
            <v>683926.05601571908</v>
          </cell>
          <cell r="O5579">
            <v>692380.00232629513</v>
          </cell>
          <cell r="P5579">
            <v>368.79259999999999</v>
          </cell>
        </row>
        <row r="5580">
          <cell r="B5580">
            <v>38357</v>
          </cell>
          <cell r="J5580">
            <v>3809804.3041216834</v>
          </cell>
          <cell r="K5580">
            <v>2.4380000000000002</v>
          </cell>
          <cell r="L5580">
            <v>148835</v>
          </cell>
          <cell r="M5580">
            <v>13229</v>
          </cell>
          <cell r="N5580">
            <v>683926.05601571908</v>
          </cell>
          <cell r="O5580">
            <v>692380.00232629513</v>
          </cell>
          <cell r="P5580">
            <v>368.79259999999999</v>
          </cell>
        </row>
        <row r="5581">
          <cell r="B5581">
            <v>38358</v>
          </cell>
          <cell r="J5581">
            <v>3809804.3041216834</v>
          </cell>
          <cell r="K5581">
            <v>2.4380000000000002</v>
          </cell>
          <cell r="L5581">
            <v>148835</v>
          </cell>
          <cell r="M5581">
            <v>13229</v>
          </cell>
          <cell r="N5581">
            <v>683926.05601571908</v>
          </cell>
          <cell r="O5581">
            <v>692380.00232629513</v>
          </cell>
          <cell r="P5581">
            <v>368.79259999999999</v>
          </cell>
        </row>
        <row r="5582">
          <cell r="B5582">
            <v>38359</v>
          </cell>
          <cell r="J5582">
            <v>3809804.3041216834</v>
          </cell>
          <cell r="K5582">
            <v>2.4380000000000002</v>
          </cell>
          <cell r="L5582">
            <v>148835</v>
          </cell>
          <cell r="M5582">
            <v>13229</v>
          </cell>
          <cell r="N5582">
            <v>683926.05601571908</v>
          </cell>
          <cell r="O5582">
            <v>692380.00232629513</v>
          </cell>
          <cell r="P5582">
            <v>368.79259999999999</v>
          </cell>
        </row>
        <row r="5583">
          <cell r="B5583">
            <v>38360</v>
          </cell>
          <cell r="J5583">
            <v>3809804.3041216834</v>
          </cell>
          <cell r="K5583">
            <v>2.4380000000000002</v>
          </cell>
          <cell r="L5583">
            <v>148835</v>
          </cell>
          <cell r="M5583">
            <v>13229</v>
          </cell>
          <cell r="N5583">
            <v>683926.05601571908</v>
          </cell>
          <cell r="O5583">
            <v>692380.00232629513</v>
          </cell>
          <cell r="P5583">
            <v>368.79259999999999</v>
          </cell>
        </row>
        <row r="5584">
          <cell r="B5584">
            <v>38361</v>
          </cell>
          <cell r="J5584">
            <v>3809804.3041216834</v>
          </cell>
          <cell r="K5584">
            <v>2.4380000000000002</v>
          </cell>
          <cell r="L5584">
            <v>148835</v>
          </cell>
          <cell r="M5584">
            <v>13229</v>
          </cell>
          <cell r="N5584">
            <v>683926.05601571908</v>
          </cell>
          <cell r="O5584">
            <v>692380.00232629513</v>
          </cell>
          <cell r="P5584">
            <v>368.79259999999999</v>
          </cell>
        </row>
        <row r="5585">
          <cell r="B5585">
            <v>38362</v>
          </cell>
          <cell r="J5585">
            <v>3809804.3041216834</v>
          </cell>
          <cell r="K5585">
            <v>2.4380000000000002</v>
          </cell>
          <cell r="L5585">
            <v>148835</v>
          </cell>
          <cell r="M5585">
            <v>13229</v>
          </cell>
          <cell r="N5585">
            <v>683926.05601571908</v>
          </cell>
          <cell r="O5585">
            <v>692380.00232629513</v>
          </cell>
          <cell r="P5585">
            <v>368.79259999999999</v>
          </cell>
        </row>
        <row r="5586">
          <cell r="B5586">
            <v>38363</v>
          </cell>
          <cell r="J5586">
            <v>3809804.3041216834</v>
          </cell>
          <cell r="K5586">
            <v>2.4380000000000002</v>
          </cell>
          <cell r="L5586">
            <v>148835</v>
          </cell>
          <cell r="M5586">
            <v>13229</v>
          </cell>
          <cell r="N5586">
            <v>683926.05601571908</v>
          </cell>
          <cell r="O5586">
            <v>692380.00232629513</v>
          </cell>
          <cell r="P5586">
            <v>368.79259999999999</v>
          </cell>
        </row>
        <row r="5587">
          <cell r="B5587">
            <v>38364</v>
          </cell>
          <cell r="J5587">
            <v>3809804.3041216834</v>
          </cell>
          <cell r="K5587">
            <v>2.4380000000000002</v>
          </cell>
          <cell r="L5587">
            <v>148835</v>
          </cell>
          <cell r="M5587">
            <v>13229</v>
          </cell>
          <cell r="N5587">
            <v>683926.05601571908</v>
          </cell>
          <cell r="O5587">
            <v>692380.00232629513</v>
          </cell>
          <cell r="P5587">
            <v>368.79259999999999</v>
          </cell>
        </row>
        <row r="5588">
          <cell r="B5588">
            <v>38365</v>
          </cell>
          <cell r="J5588">
            <v>3809804.3041216834</v>
          </cell>
          <cell r="K5588">
            <v>2.4380000000000002</v>
          </cell>
          <cell r="L5588">
            <v>148835</v>
          </cell>
          <cell r="M5588">
            <v>13229</v>
          </cell>
          <cell r="N5588">
            <v>683926.05601571908</v>
          </cell>
          <cell r="O5588">
            <v>692380.00232629513</v>
          </cell>
          <cell r="P5588">
            <v>368.79259999999999</v>
          </cell>
        </row>
        <row r="5589">
          <cell r="B5589">
            <v>38366</v>
          </cell>
          <cell r="J5589">
            <v>3809804.3041216834</v>
          </cell>
          <cell r="K5589">
            <v>2.4380000000000002</v>
          </cell>
          <cell r="L5589">
            <v>148835</v>
          </cell>
          <cell r="M5589">
            <v>13229</v>
          </cell>
          <cell r="N5589">
            <v>683926.05601571908</v>
          </cell>
          <cell r="O5589">
            <v>692380.00232629513</v>
          </cell>
          <cell r="P5589">
            <v>368.79259999999999</v>
          </cell>
        </row>
        <row r="5590">
          <cell r="B5590">
            <v>38367</v>
          </cell>
          <cell r="J5590">
            <v>3809804.3041216834</v>
          </cell>
          <cell r="K5590">
            <v>2.4380000000000002</v>
          </cell>
          <cell r="L5590">
            <v>148835</v>
          </cell>
          <cell r="M5590">
            <v>13229</v>
          </cell>
          <cell r="N5590">
            <v>683926.05601571908</v>
          </cell>
          <cell r="O5590">
            <v>692380.00232629513</v>
          </cell>
          <cell r="P5590">
            <v>368.79259999999999</v>
          </cell>
        </row>
        <row r="5591">
          <cell r="B5591">
            <v>38368</v>
          </cell>
          <cell r="J5591">
            <v>3809804.3041216834</v>
          </cell>
          <cell r="K5591">
            <v>2.4380000000000002</v>
          </cell>
          <cell r="L5591">
            <v>148835</v>
          </cell>
          <cell r="M5591">
            <v>13229</v>
          </cell>
          <cell r="N5591">
            <v>683926.05601571908</v>
          </cell>
          <cell r="O5591">
            <v>692380.00232629513</v>
          </cell>
          <cell r="P5591">
            <v>368.79259999999999</v>
          </cell>
        </row>
        <row r="5592">
          <cell r="B5592">
            <v>38369</v>
          </cell>
          <cell r="J5592">
            <v>3809804.3041216834</v>
          </cell>
          <cell r="K5592">
            <v>2.4380000000000002</v>
          </cell>
          <cell r="L5592">
            <v>148835</v>
          </cell>
          <cell r="M5592">
            <v>13229</v>
          </cell>
          <cell r="N5592">
            <v>683926.05601571908</v>
          </cell>
          <cell r="O5592">
            <v>692380.00232629513</v>
          </cell>
          <cell r="P5592">
            <v>368.79259999999999</v>
          </cell>
        </row>
        <row r="5593">
          <cell r="B5593">
            <v>38370</v>
          </cell>
          <cell r="J5593">
            <v>3809804.3041216834</v>
          </cell>
          <cell r="K5593">
            <v>2.4380000000000002</v>
          </cell>
          <cell r="L5593">
            <v>148835</v>
          </cell>
          <cell r="M5593">
            <v>13229</v>
          </cell>
          <cell r="N5593">
            <v>683926.05601571908</v>
          </cell>
          <cell r="O5593">
            <v>692380.00232629513</v>
          </cell>
          <cell r="P5593">
            <v>368.79259999999999</v>
          </cell>
        </row>
        <row r="5594">
          <cell r="B5594">
            <v>38371</v>
          </cell>
          <cell r="J5594">
            <v>3809804.3041216834</v>
          </cell>
          <cell r="K5594">
            <v>2.4380000000000002</v>
          </cell>
          <cell r="L5594">
            <v>148835</v>
          </cell>
          <cell r="M5594">
            <v>13229</v>
          </cell>
          <cell r="N5594">
            <v>683926.05601571908</v>
          </cell>
          <cell r="O5594">
            <v>692380.00232629513</v>
          </cell>
          <cell r="P5594">
            <v>368.79259999999999</v>
          </cell>
        </row>
        <row r="5595">
          <cell r="B5595">
            <v>38372</v>
          </cell>
          <cell r="J5595">
            <v>3809804.3041216834</v>
          </cell>
          <cell r="K5595">
            <v>2.4380000000000002</v>
          </cell>
          <cell r="L5595">
            <v>148835</v>
          </cell>
          <cell r="M5595">
            <v>13229</v>
          </cell>
          <cell r="N5595">
            <v>683926.05601571908</v>
          </cell>
          <cell r="O5595">
            <v>692380.00232629513</v>
          </cell>
          <cell r="P5595">
            <v>368.79259999999999</v>
          </cell>
        </row>
        <row r="5596">
          <cell r="B5596">
            <v>38373</v>
          </cell>
          <cell r="J5596">
            <v>3809804.3041216834</v>
          </cell>
          <cell r="K5596">
            <v>2.4380000000000002</v>
          </cell>
          <cell r="L5596">
            <v>148835</v>
          </cell>
          <cell r="M5596">
            <v>13229</v>
          </cell>
          <cell r="N5596">
            <v>683926.05601571908</v>
          </cell>
          <cell r="O5596">
            <v>692380.00232629513</v>
          </cell>
          <cell r="P5596">
            <v>368.79259999999999</v>
          </cell>
        </row>
        <row r="5597">
          <cell r="B5597">
            <v>38374</v>
          </cell>
          <cell r="J5597">
            <v>3809804.3041216834</v>
          </cell>
          <cell r="K5597">
            <v>2.4380000000000002</v>
          </cell>
          <cell r="L5597">
            <v>148835</v>
          </cell>
          <cell r="M5597">
            <v>13229</v>
          </cell>
          <cell r="N5597">
            <v>683926.05601571908</v>
          </cell>
          <cell r="O5597">
            <v>692380.00232629513</v>
          </cell>
          <cell r="P5597">
            <v>368.79259999999999</v>
          </cell>
        </row>
        <row r="5598">
          <cell r="B5598">
            <v>38375</v>
          </cell>
          <cell r="J5598">
            <v>3809804.3041216834</v>
          </cell>
          <cell r="K5598">
            <v>2.4380000000000002</v>
          </cell>
          <cell r="L5598">
            <v>148835</v>
          </cell>
          <cell r="M5598">
            <v>13229</v>
          </cell>
          <cell r="N5598">
            <v>683926.05601571908</v>
          </cell>
          <cell r="O5598">
            <v>692380.00232629513</v>
          </cell>
          <cell r="P5598">
            <v>368.79259999999999</v>
          </cell>
        </row>
        <row r="5599">
          <cell r="B5599">
            <v>38376</v>
          </cell>
          <cell r="J5599">
            <v>3809804.3041216834</v>
          </cell>
          <cell r="K5599">
            <v>2.4380000000000002</v>
          </cell>
          <cell r="L5599">
            <v>148835</v>
          </cell>
          <cell r="M5599">
            <v>13229</v>
          </cell>
          <cell r="N5599">
            <v>683926.05601571908</v>
          </cell>
          <cell r="O5599">
            <v>692380.00232629513</v>
          </cell>
          <cell r="P5599">
            <v>368.79259999999999</v>
          </cell>
        </row>
        <row r="5600">
          <cell r="B5600">
            <v>38377</v>
          </cell>
          <cell r="J5600">
            <v>3809804.3041216834</v>
          </cell>
          <cell r="K5600">
            <v>2.4380000000000002</v>
          </cell>
          <cell r="L5600">
            <v>148835</v>
          </cell>
          <cell r="M5600">
            <v>13229</v>
          </cell>
          <cell r="N5600">
            <v>683926.05601571908</v>
          </cell>
          <cell r="O5600">
            <v>692380.00232629513</v>
          </cell>
          <cell r="P5600">
            <v>368.79259999999999</v>
          </cell>
        </row>
        <row r="5601">
          <cell r="B5601">
            <v>38378</v>
          </cell>
          <cell r="J5601">
            <v>3809804.3041216834</v>
          </cell>
          <cell r="K5601">
            <v>2.4380000000000002</v>
          </cell>
          <cell r="L5601">
            <v>148835</v>
          </cell>
          <cell r="M5601">
            <v>13229</v>
          </cell>
          <cell r="N5601">
            <v>683926.05601571908</v>
          </cell>
          <cell r="O5601">
            <v>692380.00232629513</v>
          </cell>
          <cell r="P5601">
            <v>368.79259999999999</v>
          </cell>
        </row>
        <row r="5602">
          <cell r="B5602">
            <v>38379</v>
          </cell>
          <cell r="J5602">
            <v>3809804.3041216834</v>
          </cell>
          <cell r="K5602">
            <v>2.4380000000000002</v>
          </cell>
          <cell r="L5602">
            <v>148835</v>
          </cell>
          <cell r="M5602">
            <v>13229</v>
          </cell>
          <cell r="N5602">
            <v>683926.05601571908</v>
          </cell>
          <cell r="O5602">
            <v>692380.00232629513</v>
          </cell>
          <cell r="P5602">
            <v>368.79259999999999</v>
          </cell>
        </row>
        <row r="5603">
          <cell r="B5603">
            <v>38380</v>
          </cell>
          <cell r="J5603">
            <v>3809804.3041216834</v>
          </cell>
          <cell r="K5603">
            <v>2.4380000000000002</v>
          </cell>
          <cell r="L5603">
            <v>148835</v>
          </cell>
          <cell r="M5603">
            <v>13229</v>
          </cell>
          <cell r="N5603">
            <v>683926.05601571908</v>
          </cell>
          <cell r="O5603">
            <v>692380.00232629513</v>
          </cell>
          <cell r="P5603">
            <v>368.79259999999999</v>
          </cell>
        </row>
        <row r="5604">
          <cell r="B5604">
            <v>38381</v>
          </cell>
          <cell r="J5604">
            <v>3809804.3041216834</v>
          </cell>
          <cell r="K5604">
            <v>2.4380000000000002</v>
          </cell>
          <cell r="L5604">
            <v>148835</v>
          </cell>
          <cell r="M5604">
            <v>13229</v>
          </cell>
          <cell r="N5604">
            <v>683926.05601571908</v>
          </cell>
          <cell r="O5604">
            <v>692380.00232629513</v>
          </cell>
          <cell r="P5604">
            <v>368.79259999999999</v>
          </cell>
        </row>
        <row r="5605">
          <cell r="B5605">
            <v>38382</v>
          </cell>
          <cell r="J5605">
            <v>3809804.3041216834</v>
          </cell>
          <cell r="K5605">
            <v>2.4380000000000002</v>
          </cell>
          <cell r="L5605">
            <v>148835</v>
          </cell>
          <cell r="M5605">
            <v>13229</v>
          </cell>
          <cell r="N5605">
            <v>683926.05601571908</v>
          </cell>
          <cell r="O5605">
            <v>692380.00232629513</v>
          </cell>
          <cell r="P5605">
            <v>368.79259999999999</v>
          </cell>
        </row>
        <row r="5606">
          <cell r="B5606">
            <v>38383</v>
          </cell>
          <cell r="J5606">
            <v>3809804.3041216834</v>
          </cell>
          <cell r="K5606">
            <v>2.4380000000000002</v>
          </cell>
          <cell r="L5606">
            <v>148835</v>
          </cell>
          <cell r="M5606">
            <v>13229</v>
          </cell>
          <cell r="N5606">
            <v>683926.05601571908</v>
          </cell>
          <cell r="O5606">
            <v>692380.00232629513</v>
          </cell>
          <cell r="P5606">
            <v>368.79259999999999</v>
          </cell>
        </row>
        <row r="5607">
          <cell r="B5607">
            <v>38384</v>
          </cell>
          <cell r="J5607">
            <v>3809804.3041216834</v>
          </cell>
          <cell r="K5607">
            <v>2.4380000000000002</v>
          </cell>
          <cell r="L5607">
            <v>148835</v>
          </cell>
          <cell r="M5607">
            <v>13229</v>
          </cell>
          <cell r="N5607">
            <v>683926.05601571908</v>
          </cell>
          <cell r="O5607">
            <v>692380.00232629513</v>
          </cell>
          <cell r="P5607">
            <v>368.79259999999999</v>
          </cell>
        </row>
        <row r="5608">
          <cell r="B5608">
            <v>38385</v>
          </cell>
          <cell r="J5608">
            <v>3809804.3041216834</v>
          </cell>
          <cell r="K5608">
            <v>2.4380000000000002</v>
          </cell>
          <cell r="L5608">
            <v>148835</v>
          </cell>
          <cell r="M5608">
            <v>13229</v>
          </cell>
          <cell r="N5608">
            <v>683926.05601571908</v>
          </cell>
          <cell r="O5608">
            <v>692380.00232629513</v>
          </cell>
          <cell r="P5608">
            <v>368.79259999999999</v>
          </cell>
        </row>
        <row r="5609">
          <cell r="B5609">
            <v>38386</v>
          </cell>
          <cell r="J5609">
            <v>3809804.3041216834</v>
          </cell>
          <cell r="K5609">
            <v>2.4380000000000002</v>
          </cell>
          <cell r="L5609">
            <v>148835</v>
          </cell>
          <cell r="M5609">
            <v>13229</v>
          </cell>
          <cell r="N5609">
            <v>683926.05601571908</v>
          </cell>
          <cell r="O5609">
            <v>692380.00232629513</v>
          </cell>
          <cell r="P5609">
            <v>368.79259999999999</v>
          </cell>
        </row>
        <row r="5610">
          <cell r="B5610">
            <v>38387</v>
          </cell>
          <cell r="J5610">
            <v>3809804.3041216834</v>
          </cell>
          <cell r="K5610">
            <v>2.4380000000000002</v>
          </cell>
          <cell r="L5610">
            <v>148835</v>
          </cell>
          <cell r="M5610">
            <v>13229</v>
          </cell>
          <cell r="N5610">
            <v>683926.05601571908</v>
          </cell>
          <cell r="O5610">
            <v>692380.00232629513</v>
          </cell>
          <cell r="P5610">
            <v>368.79259999999999</v>
          </cell>
        </row>
        <row r="5611">
          <cell r="B5611">
            <v>38388</v>
          </cell>
          <cell r="J5611">
            <v>3809804.3041216834</v>
          </cell>
          <cell r="K5611">
            <v>2.4380000000000002</v>
          </cell>
          <cell r="L5611">
            <v>148835</v>
          </cell>
          <cell r="M5611">
            <v>13229</v>
          </cell>
          <cell r="N5611">
            <v>683926.05601571908</v>
          </cell>
          <cell r="O5611">
            <v>692380.00232629513</v>
          </cell>
          <cell r="P5611">
            <v>368.79259999999999</v>
          </cell>
        </row>
        <row r="5612">
          <cell r="B5612">
            <v>38389</v>
          </cell>
          <cell r="J5612">
            <v>3809804.3041216834</v>
          </cell>
          <cell r="K5612">
            <v>2.4380000000000002</v>
          </cell>
          <cell r="L5612">
            <v>148835</v>
          </cell>
          <cell r="M5612">
            <v>13229</v>
          </cell>
          <cell r="N5612">
            <v>683926.05601571908</v>
          </cell>
          <cell r="O5612">
            <v>692380.00232629513</v>
          </cell>
          <cell r="P5612">
            <v>368.79259999999999</v>
          </cell>
        </row>
        <row r="5613">
          <cell r="B5613">
            <v>38390</v>
          </cell>
          <cell r="J5613">
            <v>3809804.3041216834</v>
          </cell>
          <cell r="K5613">
            <v>2.4380000000000002</v>
          </cell>
          <cell r="L5613">
            <v>148835</v>
          </cell>
          <cell r="M5613">
            <v>13229</v>
          </cell>
          <cell r="N5613">
            <v>683926.05601571908</v>
          </cell>
          <cell r="O5613">
            <v>692380.00232629513</v>
          </cell>
          <cell r="P5613">
            <v>368.79259999999999</v>
          </cell>
        </row>
        <row r="5614">
          <cell r="B5614">
            <v>38391</v>
          </cell>
          <cell r="J5614">
            <v>3809804.3041216834</v>
          </cell>
          <cell r="K5614">
            <v>2.4380000000000002</v>
          </cell>
          <cell r="L5614">
            <v>148835</v>
          </cell>
          <cell r="M5614">
            <v>13229</v>
          </cell>
          <cell r="N5614">
            <v>683926.05601571908</v>
          </cell>
          <cell r="O5614">
            <v>692380.00232629513</v>
          </cell>
          <cell r="P5614">
            <v>368.79259999999999</v>
          </cell>
        </row>
        <row r="5615">
          <cell r="B5615">
            <v>38392</v>
          </cell>
          <cell r="J5615">
            <v>3809804.3041216834</v>
          </cell>
          <cell r="K5615">
            <v>2.4380000000000002</v>
          </cell>
          <cell r="L5615">
            <v>148835</v>
          </cell>
          <cell r="M5615">
            <v>13229</v>
          </cell>
          <cell r="N5615">
            <v>683926.05601571908</v>
          </cell>
          <cell r="O5615">
            <v>692380.00232629513</v>
          </cell>
          <cell r="P5615">
            <v>368.79259999999999</v>
          </cell>
        </row>
        <row r="5616">
          <cell r="B5616">
            <v>38393</v>
          </cell>
          <cell r="J5616">
            <v>3809804.3041216834</v>
          </cell>
          <cell r="K5616">
            <v>2.4380000000000002</v>
          </cell>
          <cell r="L5616">
            <v>148835</v>
          </cell>
          <cell r="M5616">
            <v>13229</v>
          </cell>
          <cell r="N5616">
            <v>683926.05601571908</v>
          </cell>
          <cell r="O5616">
            <v>692380.00232629513</v>
          </cell>
          <cell r="P5616">
            <v>368.79259999999999</v>
          </cell>
        </row>
        <row r="5617">
          <cell r="B5617">
            <v>38394</v>
          </cell>
          <cell r="J5617">
            <v>3809804.3041216834</v>
          </cell>
          <cell r="K5617">
            <v>2.4380000000000002</v>
          </cell>
          <cell r="L5617">
            <v>148835</v>
          </cell>
          <cell r="M5617">
            <v>13229</v>
          </cell>
          <cell r="N5617">
            <v>683926.05601571908</v>
          </cell>
          <cell r="O5617">
            <v>692380.00232629513</v>
          </cell>
          <cell r="P5617">
            <v>368.79259999999999</v>
          </cell>
        </row>
        <row r="5618">
          <cell r="B5618">
            <v>38395</v>
          </cell>
          <cell r="J5618">
            <v>3809804.3041216834</v>
          </cell>
          <cell r="K5618">
            <v>2.4380000000000002</v>
          </cell>
          <cell r="L5618">
            <v>148835</v>
          </cell>
          <cell r="M5618">
            <v>13229</v>
          </cell>
          <cell r="N5618">
            <v>683926.05601571908</v>
          </cell>
          <cell r="O5618">
            <v>692380.00232629513</v>
          </cell>
          <cell r="P5618">
            <v>368.79259999999999</v>
          </cell>
        </row>
        <row r="5619">
          <cell r="B5619">
            <v>38396</v>
          </cell>
          <cell r="J5619">
            <v>3809804.3041216834</v>
          </cell>
          <cell r="K5619">
            <v>2.4380000000000002</v>
          </cell>
          <cell r="L5619">
            <v>148835</v>
          </cell>
          <cell r="M5619">
            <v>13229</v>
          </cell>
          <cell r="N5619">
            <v>683926.05601571908</v>
          </cell>
          <cell r="O5619">
            <v>692380.00232629513</v>
          </cell>
          <cell r="P5619">
            <v>368.79259999999999</v>
          </cell>
        </row>
        <row r="5620">
          <cell r="B5620">
            <v>38397</v>
          </cell>
          <cell r="J5620">
            <v>3809804.3041216834</v>
          </cell>
          <cell r="K5620">
            <v>2.4380000000000002</v>
          </cell>
          <cell r="L5620">
            <v>148835</v>
          </cell>
          <cell r="M5620">
            <v>13229</v>
          </cell>
          <cell r="N5620">
            <v>683926.05601571908</v>
          </cell>
          <cell r="O5620">
            <v>692380.00232629513</v>
          </cell>
          <cell r="P5620">
            <v>368.79259999999999</v>
          </cell>
        </row>
        <row r="5621">
          <cell r="B5621">
            <v>38398</v>
          </cell>
          <cell r="J5621">
            <v>3809804.3041216834</v>
          </cell>
          <cell r="K5621">
            <v>2.4380000000000002</v>
          </cell>
          <cell r="L5621">
            <v>148835</v>
          </cell>
          <cell r="M5621">
            <v>13229</v>
          </cell>
          <cell r="N5621">
            <v>683926.05601571908</v>
          </cell>
          <cell r="O5621">
            <v>692380.00232629513</v>
          </cell>
          <cell r="P5621">
            <v>368.79259999999999</v>
          </cell>
        </row>
        <row r="5622">
          <cell r="B5622">
            <v>38399</v>
          </cell>
          <cell r="J5622">
            <v>3809804.3041216834</v>
          </cell>
          <cell r="K5622">
            <v>2.4380000000000002</v>
          </cell>
          <cell r="L5622">
            <v>148835</v>
          </cell>
          <cell r="M5622">
            <v>13229</v>
          </cell>
          <cell r="N5622">
            <v>683926.05601571908</v>
          </cell>
          <cell r="O5622">
            <v>692380.00232629513</v>
          </cell>
          <cell r="P5622">
            <v>368.79259999999999</v>
          </cell>
        </row>
        <row r="5623">
          <cell r="B5623">
            <v>38400</v>
          </cell>
          <cell r="J5623">
            <v>3809804.3041216834</v>
          </cell>
          <cell r="K5623">
            <v>2.4380000000000002</v>
          </cell>
          <cell r="L5623">
            <v>148835</v>
          </cell>
          <cell r="M5623">
            <v>13229</v>
          </cell>
          <cell r="N5623">
            <v>683926.05601571908</v>
          </cell>
          <cell r="O5623">
            <v>692380.00232629513</v>
          </cell>
          <cell r="P5623">
            <v>368.79259999999999</v>
          </cell>
        </row>
        <row r="5624">
          <cell r="B5624">
            <v>38401</v>
          </cell>
          <cell r="J5624">
            <v>3809804.3041216834</v>
          </cell>
          <cell r="K5624">
            <v>2.4380000000000002</v>
          </cell>
          <cell r="L5624">
            <v>148835</v>
          </cell>
          <cell r="M5624">
            <v>13229</v>
          </cell>
          <cell r="N5624">
            <v>683926.05601571908</v>
          </cell>
          <cell r="O5624">
            <v>692380.00232629513</v>
          </cell>
          <cell r="P5624">
            <v>368.79259999999999</v>
          </cell>
        </row>
        <row r="5625">
          <cell r="B5625">
            <v>38402</v>
          </cell>
          <cell r="J5625">
            <v>3809804.3041216834</v>
          </cell>
          <cell r="K5625">
            <v>2.4380000000000002</v>
          </cell>
          <cell r="L5625">
            <v>148835</v>
          </cell>
          <cell r="M5625">
            <v>13229</v>
          </cell>
          <cell r="N5625">
            <v>683926.05601571908</v>
          </cell>
          <cell r="O5625">
            <v>692380.00232629513</v>
          </cell>
          <cell r="P5625">
            <v>368.79259999999999</v>
          </cell>
        </row>
        <row r="5626">
          <cell r="B5626">
            <v>38403</v>
          </cell>
          <cell r="J5626">
            <v>3809804.3041216834</v>
          </cell>
          <cell r="K5626">
            <v>2.4380000000000002</v>
          </cell>
          <cell r="L5626">
            <v>148835</v>
          </cell>
          <cell r="M5626">
            <v>13229</v>
          </cell>
          <cell r="N5626">
            <v>683926.05601571908</v>
          </cell>
          <cell r="O5626">
            <v>692380.00232629513</v>
          </cell>
          <cell r="P5626">
            <v>368.79259999999999</v>
          </cell>
        </row>
        <row r="5627">
          <cell r="B5627">
            <v>38404</v>
          </cell>
          <cell r="J5627">
            <v>3809804.3041216834</v>
          </cell>
          <cell r="K5627">
            <v>2.4380000000000002</v>
          </cell>
          <cell r="L5627">
            <v>148835</v>
          </cell>
          <cell r="M5627">
            <v>13229</v>
          </cell>
          <cell r="N5627">
            <v>683926.05601571908</v>
          </cell>
          <cell r="O5627">
            <v>692380.00232629513</v>
          </cell>
          <cell r="P5627">
            <v>368.79259999999999</v>
          </cell>
        </row>
        <row r="5628">
          <cell r="B5628">
            <v>38405</v>
          </cell>
          <cell r="J5628">
            <v>3809804.3041216834</v>
          </cell>
          <cell r="K5628">
            <v>2.4380000000000002</v>
          </cell>
          <cell r="L5628">
            <v>148835</v>
          </cell>
          <cell r="M5628">
            <v>13229</v>
          </cell>
          <cell r="N5628">
            <v>683926.05601571908</v>
          </cell>
          <cell r="O5628">
            <v>692380.00232629513</v>
          </cell>
          <cell r="P5628">
            <v>368.79259999999999</v>
          </cell>
        </row>
        <row r="5629">
          <cell r="B5629">
            <v>38406</v>
          </cell>
          <cell r="J5629">
            <v>3809804.3041216834</v>
          </cell>
          <cell r="K5629">
            <v>2.4380000000000002</v>
          </cell>
          <cell r="L5629">
            <v>148835</v>
          </cell>
          <cell r="M5629">
            <v>13229</v>
          </cell>
          <cell r="N5629">
            <v>683926.05601571908</v>
          </cell>
          <cell r="O5629">
            <v>692380.00232629513</v>
          </cell>
          <cell r="P5629">
            <v>368.79259999999999</v>
          </cell>
        </row>
        <row r="5630">
          <cell r="B5630">
            <v>38407</v>
          </cell>
          <cell r="J5630">
            <v>3809804.3041216834</v>
          </cell>
          <cell r="K5630">
            <v>2.4380000000000002</v>
          </cell>
          <cell r="L5630">
            <v>148835</v>
          </cell>
          <cell r="M5630">
            <v>13229</v>
          </cell>
          <cell r="N5630">
            <v>683926.05601571908</v>
          </cell>
          <cell r="O5630">
            <v>692380.00232629513</v>
          </cell>
          <cell r="P5630">
            <v>368.79259999999999</v>
          </cell>
        </row>
        <row r="5631">
          <cell r="B5631">
            <v>38408</v>
          </cell>
          <cell r="J5631">
            <v>3809804.3041216834</v>
          </cell>
          <cell r="K5631">
            <v>2.4380000000000002</v>
          </cell>
          <cell r="L5631">
            <v>148835</v>
          </cell>
          <cell r="M5631">
            <v>13229</v>
          </cell>
          <cell r="N5631">
            <v>683926.05601571908</v>
          </cell>
          <cell r="O5631">
            <v>692380.00232629513</v>
          </cell>
          <cell r="P5631">
            <v>368.79259999999999</v>
          </cell>
        </row>
        <row r="5632">
          <cell r="B5632">
            <v>38409</v>
          </cell>
          <cell r="J5632">
            <v>3809804.3041216834</v>
          </cell>
          <cell r="K5632">
            <v>2.4380000000000002</v>
          </cell>
          <cell r="L5632">
            <v>148835</v>
          </cell>
          <cell r="M5632">
            <v>13229</v>
          </cell>
          <cell r="N5632">
            <v>683926.05601571908</v>
          </cell>
          <cell r="O5632">
            <v>692380.00232629513</v>
          </cell>
          <cell r="P5632">
            <v>368.79259999999999</v>
          </cell>
        </row>
        <row r="5633">
          <cell r="B5633">
            <v>38410</v>
          </cell>
          <cell r="J5633">
            <v>3809804.3041216834</v>
          </cell>
          <cell r="K5633">
            <v>2.4380000000000002</v>
          </cell>
          <cell r="L5633">
            <v>148835</v>
          </cell>
          <cell r="M5633">
            <v>13229</v>
          </cell>
          <cell r="N5633">
            <v>683926.05601571908</v>
          </cell>
          <cell r="O5633">
            <v>692380.00232629513</v>
          </cell>
          <cell r="P5633">
            <v>368.79259999999999</v>
          </cell>
        </row>
        <row r="5634">
          <cell r="B5634">
            <v>38411</v>
          </cell>
          <cell r="J5634">
            <v>3809804.3041216834</v>
          </cell>
          <cell r="K5634">
            <v>2.4380000000000002</v>
          </cell>
          <cell r="L5634">
            <v>148835</v>
          </cell>
          <cell r="M5634">
            <v>13229</v>
          </cell>
          <cell r="N5634">
            <v>683926.05601571908</v>
          </cell>
          <cell r="O5634">
            <v>692380.00232629513</v>
          </cell>
          <cell r="P5634">
            <v>368.79259999999999</v>
          </cell>
        </row>
        <row r="5635">
          <cell r="B5635">
            <v>38412</v>
          </cell>
          <cell r="J5635">
            <v>3809804.3041216834</v>
          </cell>
          <cell r="K5635">
            <v>2.4380000000000002</v>
          </cell>
          <cell r="L5635">
            <v>148835</v>
          </cell>
          <cell r="M5635">
            <v>13229</v>
          </cell>
          <cell r="N5635">
            <v>683926.05601571908</v>
          </cell>
          <cell r="O5635">
            <v>692380.00232629513</v>
          </cell>
          <cell r="P5635">
            <v>368.79259999999999</v>
          </cell>
        </row>
        <row r="5636">
          <cell r="B5636">
            <v>38413</v>
          </cell>
          <cell r="J5636">
            <v>3809804.3041216834</v>
          </cell>
          <cell r="K5636">
            <v>2.4380000000000002</v>
          </cell>
          <cell r="L5636">
            <v>148835</v>
          </cell>
          <cell r="M5636">
            <v>13229</v>
          </cell>
          <cell r="N5636">
            <v>683926.05601571908</v>
          </cell>
          <cell r="O5636">
            <v>692380.00232629513</v>
          </cell>
          <cell r="P5636">
            <v>368.79259999999999</v>
          </cell>
        </row>
        <row r="5637">
          <cell r="B5637">
            <v>38414</v>
          </cell>
          <cell r="J5637">
            <v>3809804.3041216834</v>
          </cell>
          <cell r="K5637">
            <v>2.4380000000000002</v>
          </cell>
          <cell r="L5637">
            <v>148835</v>
          </cell>
          <cell r="M5637">
            <v>13229</v>
          </cell>
          <cell r="N5637">
            <v>683926.05601571908</v>
          </cell>
          <cell r="O5637">
            <v>692380.00232629513</v>
          </cell>
          <cell r="P5637">
            <v>368.79259999999999</v>
          </cell>
        </row>
        <row r="5638">
          <cell r="B5638">
            <v>38415</v>
          </cell>
          <cell r="J5638">
            <v>3809804.3041216834</v>
          </cell>
          <cell r="K5638">
            <v>2.4380000000000002</v>
          </cell>
          <cell r="L5638">
            <v>148835</v>
          </cell>
          <cell r="M5638">
            <v>13229</v>
          </cell>
          <cell r="N5638">
            <v>683926.05601571908</v>
          </cell>
          <cell r="O5638">
            <v>692380.00232629513</v>
          </cell>
          <cell r="P5638">
            <v>368.79259999999999</v>
          </cell>
        </row>
        <row r="5639">
          <cell r="B5639">
            <v>38416</v>
          </cell>
          <cell r="J5639">
            <v>3809804.3041216834</v>
          </cell>
          <cell r="K5639">
            <v>2.4380000000000002</v>
          </cell>
          <cell r="L5639">
            <v>148835</v>
          </cell>
          <cell r="M5639">
            <v>13229</v>
          </cell>
          <cell r="N5639">
            <v>683926.05601571908</v>
          </cell>
          <cell r="O5639">
            <v>692380.00232629513</v>
          </cell>
          <cell r="P5639">
            <v>368.79259999999999</v>
          </cell>
        </row>
        <row r="5640">
          <cell r="B5640">
            <v>38417</v>
          </cell>
          <cell r="J5640">
            <v>3809804.3041216834</v>
          </cell>
          <cell r="K5640">
            <v>2.4380000000000002</v>
          </cell>
          <cell r="L5640">
            <v>148835</v>
          </cell>
          <cell r="M5640">
            <v>13229</v>
          </cell>
          <cell r="N5640">
            <v>683926.05601571908</v>
          </cell>
          <cell r="O5640">
            <v>692380.00232629513</v>
          </cell>
          <cell r="P5640">
            <v>368.79259999999999</v>
          </cell>
        </row>
        <row r="5641">
          <cell r="B5641">
            <v>38418</v>
          </cell>
          <cell r="J5641">
            <v>3809804.3041216834</v>
          </cell>
          <cell r="K5641">
            <v>2.4380000000000002</v>
          </cell>
          <cell r="L5641">
            <v>148835</v>
          </cell>
          <cell r="M5641">
            <v>13229</v>
          </cell>
          <cell r="N5641">
            <v>683926.05601571908</v>
          </cell>
          <cell r="O5641">
            <v>692380.00232629513</v>
          </cell>
          <cell r="P5641">
            <v>368.79259999999999</v>
          </cell>
        </row>
        <row r="5642">
          <cell r="B5642">
            <v>38419</v>
          </cell>
          <cell r="J5642">
            <v>3809804.3041216834</v>
          </cell>
          <cell r="K5642">
            <v>2.4380000000000002</v>
          </cell>
          <cell r="L5642">
            <v>148835</v>
          </cell>
          <cell r="M5642">
            <v>13229</v>
          </cell>
          <cell r="N5642">
            <v>683926.05601571908</v>
          </cell>
          <cell r="O5642">
            <v>692380.00232629513</v>
          </cell>
          <cell r="P5642">
            <v>368.79259999999999</v>
          </cell>
        </row>
        <row r="5643">
          <cell r="B5643">
            <v>38420</v>
          </cell>
          <cell r="J5643">
            <v>3809804.3041216834</v>
          </cell>
          <cell r="K5643">
            <v>2.4380000000000002</v>
          </cell>
          <cell r="L5643">
            <v>148835</v>
          </cell>
          <cell r="M5643">
            <v>13229</v>
          </cell>
          <cell r="N5643">
            <v>683926.05601571908</v>
          </cell>
          <cell r="O5643">
            <v>692380.00232629513</v>
          </cell>
          <cell r="P5643">
            <v>368.79259999999999</v>
          </cell>
        </row>
        <row r="5644">
          <cell r="B5644">
            <v>38421</v>
          </cell>
          <cell r="J5644">
            <v>3809804.3041216834</v>
          </cell>
          <cell r="K5644">
            <v>2.4380000000000002</v>
          </cell>
          <cell r="L5644">
            <v>148835</v>
          </cell>
          <cell r="M5644">
            <v>13229</v>
          </cell>
          <cell r="N5644">
            <v>683926.05601571908</v>
          </cell>
          <cell r="O5644">
            <v>692380.00232629513</v>
          </cell>
          <cell r="P5644">
            <v>368.79259999999999</v>
          </cell>
        </row>
        <row r="5645">
          <cell r="B5645">
            <v>38422</v>
          </cell>
          <cell r="J5645">
            <v>3809804.3041216834</v>
          </cell>
          <cell r="K5645">
            <v>2.4380000000000002</v>
          </cell>
          <cell r="L5645">
            <v>148835</v>
          </cell>
          <cell r="M5645">
            <v>13229</v>
          </cell>
          <cell r="N5645">
            <v>683926.05601571908</v>
          </cell>
          <cell r="O5645">
            <v>692380.00232629513</v>
          </cell>
          <cell r="P5645">
            <v>368.79259999999999</v>
          </cell>
        </row>
        <row r="5646">
          <cell r="B5646">
            <v>38423</v>
          </cell>
          <cell r="J5646">
            <v>3809804.3041216834</v>
          </cell>
          <cell r="K5646">
            <v>2.4380000000000002</v>
          </cell>
          <cell r="L5646">
            <v>148835</v>
          </cell>
          <cell r="M5646">
            <v>13229</v>
          </cell>
          <cell r="N5646">
            <v>683926.05601571908</v>
          </cell>
          <cell r="O5646">
            <v>692380.00232629513</v>
          </cell>
          <cell r="P5646">
            <v>368.79259999999999</v>
          </cell>
        </row>
        <row r="5647">
          <cell r="B5647">
            <v>38424</v>
          </cell>
          <cell r="J5647">
            <v>3809804.3041216834</v>
          </cell>
          <cell r="K5647">
            <v>2.4380000000000002</v>
          </cell>
          <cell r="L5647">
            <v>148835</v>
          </cell>
          <cell r="M5647">
            <v>13229</v>
          </cell>
          <cell r="N5647">
            <v>683926.05601571908</v>
          </cell>
          <cell r="O5647">
            <v>692380.00232629513</v>
          </cell>
          <cell r="P5647">
            <v>368.79259999999999</v>
          </cell>
        </row>
        <row r="5648">
          <cell r="B5648">
            <v>38425</v>
          </cell>
          <cell r="J5648">
            <v>3809804.3041216834</v>
          </cell>
          <cell r="K5648">
            <v>2.4380000000000002</v>
          </cell>
          <cell r="L5648">
            <v>148835</v>
          </cell>
          <cell r="M5648">
            <v>13229</v>
          </cell>
          <cell r="N5648">
            <v>683926.05601571908</v>
          </cell>
          <cell r="O5648">
            <v>692380.00232629513</v>
          </cell>
          <cell r="P5648">
            <v>368.79259999999999</v>
          </cell>
        </row>
        <row r="5649">
          <cell r="B5649">
            <v>38426</v>
          </cell>
          <cell r="J5649">
            <v>3809804.3041216834</v>
          </cell>
          <cell r="K5649">
            <v>2.4380000000000002</v>
          </cell>
          <cell r="L5649">
            <v>148835</v>
          </cell>
          <cell r="M5649">
            <v>13229</v>
          </cell>
          <cell r="N5649">
            <v>683926.05601571908</v>
          </cell>
          <cell r="O5649">
            <v>692380.00232629513</v>
          </cell>
          <cell r="P5649">
            <v>368.79259999999999</v>
          </cell>
        </row>
        <row r="5650">
          <cell r="B5650">
            <v>38427</v>
          </cell>
          <cell r="J5650">
            <v>3809804.3041216834</v>
          </cell>
          <cell r="K5650">
            <v>2.4380000000000002</v>
          </cell>
          <cell r="L5650">
            <v>148835</v>
          </cell>
          <cell r="M5650">
            <v>13229</v>
          </cell>
          <cell r="N5650">
            <v>683926.05601571908</v>
          </cell>
          <cell r="O5650">
            <v>692380.00232629513</v>
          </cell>
          <cell r="P5650">
            <v>368.79259999999999</v>
          </cell>
        </row>
        <row r="5651">
          <cell r="B5651">
            <v>38428</v>
          </cell>
          <cell r="J5651">
            <v>3809804.3041216834</v>
          </cell>
          <cell r="K5651">
            <v>2.4380000000000002</v>
          </cell>
          <cell r="L5651">
            <v>148835</v>
          </cell>
          <cell r="M5651">
            <v>13229</v>
          </cell>
          <cell r="N5651">
            <v>683926.05601571908</v>
          </cell>
          <cell r="O5651">
            <v>692380.00232629513</v>
          </cell>
          <cell r="P5651">
            <v>368.79259999999999</v>
          </cell>
        </row>
        <row r="5652">
          <cell r="B5652">
            <v>38429</v>
          </cell>
          <cell r="J5652">
            <v>3809804.3041216834</v>
          </cell>
          <cell r="K5652">
            <v>2.4380000000000002</v>
          </cell>
          <cell r="L5652">
            <v>148835</v>
          </cell>
          <cell r="M5652">
            <v>13229</v>
          </cell>
          <cell r="N5652">
            <v>683926.05601571908</v>
          </cell>
          <cell r="O5652">
            <v>692380.00232629513</v>
          </cell>
          <cell r="P5652">
            <v>368.79259999999999</v>
          </cell>
        </row>
        <row r="5653">
          <cell r="B5653">
            <v>38430</v>
          </cell>
          <cell r="J5653">
            <v>3809804.3041216834</v>
          </cell>
          <cell r="K5653">
            <v>2.4380000000000002</v>
          </cell>
          <cell r="L5653">
            <v>148835</v>
          </cell>
          <cell r="M5653">
            <v>13229</v>
          </cell>
          <cell r="N5653">
            <v>683926.05601571908</v>
          </cell>
          <cell r="O5653">
            <v>692380.00232629513</v>
          </cell>
          <cell r="P5653">
            <v>368.79259999999999</v>
          </cell>
        </row>
        <row r="5654">
          <cell r="B5654">
            <v>38431</v>
          </cell>
          <cell r="J5654">
            <v>3809804.3041216834</v>
          </cell>
          <cell r="K5654">
            <v>2.4380000000000002</v>
          </cell>
          <cell r="L5654">
            <v>148835</v>
          </cell>
          <cell r="M5654">
            <v>13229</v>
          </cell>
          <cell r="N5654">
            <v>683926.05601571908</v>
          </cell>
          <cell r="O5654">
            <v>692380.00232629513</v>
          </cell>
          <cell r="P5654">
            <v>368.79259999999999</v>
          </cell>
        </row>
        <row r="5655">
          <cell r="B5655">
            <v>38432</v>
          </cell>
          <cell r="J5655">
            <v>3809804.3041216834</v>
          </cell>
          <cell r="K5655">
            <v>2.4380000000000002</v>
          </cell>
          <cell r="L5655">
            <v>148835</v>
          </cell>
          <cell r="M5655">
            <v>13229</v>
          </cell>
          <cell r="N5655">
            <v>683926.05601571908</v>
          </cell>
          <cell r="O5655">
            <v>692380.00232629513</v>
          </cell>
          <cell r="P5655">
            <v>368.79259999999999</v>
          </cell>
        </row>
        <row r="5656">
          <cell r="B5656">
            <v>38433</v>
          </cell>
          <cell r="J5656">
            <v>3809804.3041216834</v>
          </cell>
          <cell r="K5656">
            <v>2.4380000000000002</v>
          </cell>
          <cell r="L5656">
            <v>148835</v>
          </cell>
          <cell r="M5656">
            <v>13229</v>
          </cell>
          <cell r="N5656">
            <v>683926.05601571908</v>
          </cell>
          <cell r="O5656">
            <v>692380.00232629513</v>
          </cell>
          <cell r="P5656">
            <v>368.79259999999999</v>
          </cell>
        </row>
        <row r="5657">
          <cell r="B5657">
            <v>38434</v>
          </cell>
          <cell r="J5657">
            <v>3809804.3041216834</v>
          </cell>
          <cell r="K5657">
            <v>2.4380000000000002</v>
          </cell>
          <cell r="L5657">
            <v>148835</v>
          </cell>
          <cell r="M5657">
            <v>13229</v>
          </cell>
          <cell r="N5657">
            <v>683926.05601571908</v>
          </cell>
          <cell r="O5657">
            <v>692380.00232629513</v>
          </cell>
          <cell r="P5657">
            <v>368.79259999999999</v>
          </cell>
        </row>
        <row r="5658">
          <cell r="B5658">
            <v>38435</v>
          </cell>
          <cell r="J5658">
            <v>3809804.3041216834</v>
          </cell>
          <cell r="K5658">
            <v>2.4380000000000002</v>
          </cell>
          <cell r="L5658">
            <v>148835</v>
          </cell>
          <cell r="M5658">
            <v>13229</v>
          </cell>
          <cell r="N5658">
            <v>683926.05601571908</v>
          </cell>
          <cell r="O5658">
            <v>692380.00232629513</v>
          </cell>
          <cell r="P5658">
            <v>368.79259999999999</v>
          </cell>
        </row>
        <row r="5659">
          <cell r="B5659">
            <v>38436</v>
          </cell>
          <cell r="J5659">
            <v>3809804.3041216834</v>
          </cell>
          <cell r="K5659">
            <v>2.4380000000000002</v>
          </cell>
          <cell r="L5659">
            <v>148835</v>
          </cell>
          <cell r="M5659">
            <v>13229</v>
          </cell>
          <cell r="N5659">
            <v>683926.05601571908</v>
          </cell>
          <cell r="O5659">
            <v>692380.00232629513</v>
          </cell>
          <cell r="P5659">
            <v>368.79259999999999</v>
          </cell>
        </row>
        <row r="5660">
          <cell r="B5660">
            <v>38437</v>
          </cell>
          <cell r="J5660">
            <v>3809804.3041216834</v>
          </cell>
          <cell r="K5660">
            <v>2.4380000000000002</v>
          </cell>
          <cell r="L5660">
            <v>148835</v>
          </cell>
          <cell r="M5660">
            <v>13229</v>
          </cell>
          <cell r="N5660">
            <v>683926.05601571908</v>
          </cell>
          <cell r="O5660">
            <v>692380.00232629513</v>
          </cell>
          <cell r="P5660">
            <v>368.79259999999999</v>
          </cell>
        </row>
        <row r="5661">
          <cell r="B5661">
            <v>38438</v>
          </cell>
          <cell r="J5661">
            <v>3809804.3041216834</v>
          </cell>
          <cell r="K5661">
            <v>2.4380000000000002</v>
          </cell>
          <cell r="L5661">
            <v>148835</v>
          </cell>
          <cell r="M5661">
            <v>13229</v>
          </cell>
          <cell r="N5661">
            <v>683926.05601571908</v>
          </cell>
          <cell r="O5661">
            <v>692380.00232629513</v>
          </cell>
          <cell r="P5661">
            <v>368.79259999999999</v>
          </cell>
        </row>
        <row r="5662">
          <cell r="B5662">
            <v>38439</v>
          </cell>
          <cell r="J5662">
            <v>3809804.3041216834</v>
          </cell>
          <cell r="K5662">
            <v>2.4380000000000002</v>
          </cell>
          <cell r="L5662">
            <v>148835</v>
          </cell>
          <cell r="M5662">
            <v>13229</v>
          </cell>
          <cell r="N5662">
            <v>683926.05601571908</v>
          </cell>
          <cell r="O5662">
            <v>692380.00232629513</v>
          </cell>
          <cell r="P5662">
            <v>368.79259999999999</v>
          </cell>
        </row>
        <row r="5663">
          <cell r="B5663">
            <v>38440</v>
          </cell>
          <cell r="J5663">
            <v>3809804.3041216834</v>
          </cell>
          <cell r="K5663">
            <v>2.4380000000000002</v>
          </cell>
          <cell r="L5663">
            <v>148835</v>
          </cell>
          <cell r="M5663">
            <v>13229</v>
          </cell>
          <cell r="N5663">
            <v>683926.05601571908</v>
          </cell>
          <cell r="O5663">
            <v>692380.00232629513</v>
          </cell>
          <cell r="P5663">
            <v>368.79259999999999</v>
          </cell>
        </row>
        <row r="5664">
          <cell r="B5664">
            <v>38441</v>
          </cell>
          <cell r="J5664">
            <v>3809804.3041216834</v>
          </cell>
          <cell r="K5664">
            <v>2.4380000000000002</v>
          </cell>
          <cell r="L5664">
            <v>148835</v>
          </cell>
          <cell r="M5664">
            <v>13229</v>
          </cell>
          <cell r="N5664">
            <v>683926.05601571908</v>
          </cell>
          <cell r="O5664">
            <v>692380.00232629513</v>
          </cell>
          <cell r="P5664">
            <v>368.79259999999999</v>
          </cell>
        </row>
        <row r="5665">
          <cell r="B5665">
            <v>38442</v>
          </cell>
          <cell r="J5665">
            <v>3809804.3041216834</v>
          </cell>
          <cell r="K5665">
            <v>2.4380000000000002</v>
          </cell>
          <cell r="L5665">
            <v>148835</v>
          </cell>
          <cell r="M5665">
            <v>13229</v>
          </cell>
          <cell r="N5665">
            <v>683926.05601571908</v>
          </cell>
          <cell r="O5665">
            <v>692380.00232629513</v>
          </cell>
          <cell r="P5665">
            <v>368.79259999999999</v>
          </cell>
        </row>
        <row r="5666">
          <cell r="B5666">
            <v>38443</v>
          </cell>
          <cell r="J5666">
            <v>3809804.3041216834</v>
          </cell>
          <cell r="K5666">
            <v>2.4380000000000002</v>
          </cell>
          <cell r="L5666">
            <v>148835</v>
          </cell>
          <cell r="M5666">
            <v>13229</v>
          </cell>
          <cell r="N5666">
            <v>683926.05601571908</v>
          </cell>
          <cell r="O5666">
            <v>692380.00232629513</v>
          </cell>
          <cell r="P5666">
            <v>368.79259999999999</v>
          </cell>
        </row>
        <row r="5667">
          <cell r="B5667">
            <v>38444</v>
          </cell>
          <cell r="J5667">
            <v>3809804.3041216834</v>
          </cell>
          <cell r="K5667">
            <v>2.4380000000000002</v>
          </cell>
          <cell r="L5667">
            <v>148835</v>
          </cell>
          <cell r="M5667">
            <v>13229</v>
          </cell>
          <cell r="N5667">
            <v>683926.05601571908</v>
          </cell>
          <cell r="O5667">
            <v>692380.00232629513</v>
          </cell>
          <cell r="P5667">
            <v>368.79259999999999</v>
          </cell>
        </row>
        <row r="5668">
          <cell r="B5668">
            <v>38445</v>
          </cell>
          <cell r="J5668">
            <v>3809804.3041216834</v>
          </cell>
          <cell r="K5668">
            <v>2.4380000000000002</v>
          </cell>
          <cell r="L5668">
            <v>148835</v>
          </cell>
          <cell r="M5668">
            <v>13229</v>
          </cell>
          <cell r="N5668">
            <v>683926.05601571908</v>
          </cell>
          <cell r="O5668">
            <v>692380.00232629513</v>
          </cell>
          <cell r="P5668">
            <v>368.79259999999999</v>
          </cell>
        </row>
        <row r="5669">
          <cell r="B5669">
            <v>38446</v>
          </cell>
          <cell r="J5669">
            <v>3809804.3041216834</v>
          </cell>
          <cell r="K5669">
            <v>2.4380000000000002</v>
          </cell>
          <cell r="L5669">
            <v>148835</v>
          </cell>
          <cell r="M5669">
            <v>13229</v>
          </cell>
          <cell r="N5669">
            <v>683926.05601571908</v>
          </cell>
          <cell r="O5669">
            <v>692380.00232629513</v>
          </cell>
          <cell r="P5669">
            <v>368.79259999999999</v>
          </cell>
        </row>
        <row r="5670">
          <cell r="B5670">
            <v>38447</v>
          </cell>
          <cell r="J5670">
            <v>3809804.3041216834</v>
          </cell>
          <cell r="K5670">
            <v>2.4380000000000002</v>
          </cell>
          <cell r="L5670">
            <v>148835</v>
          </cell>
          <cell r="M5670">
            <v>13229</v>
          </cell>
          <cell r="N5670">
            <v>683926.05601571908</v>
          </cell>
          <cell r="O5670">
            <v>692380.00232629513</v>
          </cell>
          <cell r="P5670">
            <v>368.79259999999999</v>
          </cell>
        </row>
        <row r="5671">
          <cell r="B5671">
            <v>38448</v>
          </cell>
          <cell r="J5671">
            <v>3809804.3041216834</v>
          </cell>
          <cell r="K5671">
            <v>2.4380000000000002</v>
          </cell>
          <cell r="L5671">
            <v>148835</v>
          </cell>
          <cell r="M5671">
            <v>13229</v>
          </cell>
          <cell r="N5671">
            <v>683926.05601571908</v>
          </cell>
          <cell r="O5671">
            <v>692380.00232629513</v>
          </cell>
          <cell r="P5671">
            <v>368.79259999999999</v>
          </cell>
        </row>
        <row r="5672">
          <cell r="B5672">
            <v>38449</v>
          </cell>
          <cell r="J5672">
            <v>3809804.3041216834</v>
          </cell>
          <cell r="K5672">
            <v>2.4380000000000002</v>
          </cell>
          <cell r="L5672">
            <v>148835</v>
          </cell>
          <cell r="M5672">
            <v>13229</v>
          </cell>
          <cell r="N5672">
            <v>683926.05601571908</v>
          </cell>
          <cell r="O5672">
            <v>692380.00232629513</v>
          </cell>
          <cell r="P5672">
            <v>368.79259999999999</v>
          </cell>
        </row>
        <row r="5673">
          <cell r="B5673">
            <v>38450</v>
          </cell>
          <cell r="J5673">
            <v>3809804.3041216834</v>
          </cell>
          <cell r="K5673">
            <v>2.4380000000000002</v>
          </cell>
          <cell r="L5673">
            <v>148835</v>
          </cell>
          <cell r="M5673">
            <v>13229</v>
          </cell>
          <cell r="N5673">
            <v>683926.05601571908</v>
          </cell>
          <cell r="O5673">
            <v>692380.00232629513</v>
          </cell>
          <cell r="P5673">
            <v>368.79259999999999</v>
          </cell>
        </row>
        <row r="5674">
          <cell r="B5674">
            <v>38451</v>
          </cell>
          <cell r="J5674">
            <v>3809804.3041216834</v>
          </cell>
          <cell r="K5674">
            <v>2.4380000000000002</v>
          </cell>
          <cell r="L5674">
            <v>148835</v>
          </cell>
          <cell r="M5674">
            <v>13229</v>
          </cell>
          <cell r="N5674">
            <v>683926.05601571908</v>
          </cell>
          <cell r="O5674">
            <v>692380.00232629513</v>
          </cell>
          <cell r="P5674">
            <v>368.79259999999999</v>
          </cell>
        </row>
        <row r="5675">
          <cell r="B5675">
            <v>38452</v>
          </cell>
          <cell r="J5675">
            <v>3809804.3041216834</v>
          </cell>
          <cell r="K5675">
            <v>2.4380000000000002</v>
          </cell>
          <cell r="L5675">
            <v>148835</v>
          </cell>
          <cell r="M5675">
            <v>13229</v>
          </cell>
          <cell r="N5675">
            <v>683926.05601571908</v>
          </cell>
          <cell r="O5675">
            <v>692380.00232629513</v>
          </cell>
          <cell r="P5675">
            <v>368.79259999999999</v>
          </cell>
        </row>
        <row r="5676">
          <cell r="B5676">
            <v>38453</v>
          </cell>
          <cell r="J5676">
            <v>3809804.3041216834</v>
          </cell>
          <cell r="K5676">
            <v>2.4380000000000002</v>
          </cell>
          <cell r="L5676">
            <v>148835</v>
          </cell>
          <cell r="M5676">
            <v>13229</v>
          </cell>
          <cell r="N5676">
            <v>683926.05601571908</v>
          </cell>
          <cell r="O5676">
            <v>692380.00232629513</v>
          </cell>
          <cell r="P5676">
            <v>368.79259999999999</v>
          </cell>
        </row>
        <row r="5677">
          <cell r="B5677">
            <v>38454</v>
          </cell>
          <cell r="J5677">
            <v>3809804.3041216834</v>
          </cell>
          <cell r="K5677">
            <v>2.4380000000000002</v>
          </cell>
          <cell r="L5677">
            <v>148835</v>
          </cell>
          <cell r="M5677">
            <v>13229</v>
          </cell>
          <cell r="N5677">
            <v>683926.05601571908</v>
          </cell>
          <cell r="O5677">
            <v>692380.00232629513</v>
          </cell>
          <cell r="P5677">
            <v>368.79259999999999</v>
          </cell>
        </row>
        <row r="5678">
          <cell r="B5678">
            <v>38455</v>
          </cell>
          <cell r="J5678">
            <v>3809804.3041216834</v>
          </cell>
          <cell r="K5678">
            <v>2.4380000000000002</v>
          </cell>
          <cell r="L5678">
            <v>148835</v>
          </cell>
          <cell r="M5678">
            <v>13229</v>
          </cell>
          <cell r="N5678">
            <v>683926.05601571908</v>
          </cell>
          <cell r="O5678">
            <v>692380.00232629513</v>
          </cell>
          <cell r="P5678">
            <v>368.79259999999999</v>
          </cell>
        </row>
        <row r="5679">
          <cell r="B5679">
            <v>38456</v>
          </cell>
          <cell r="J5679">
            <v>3809804.3041216834</v>
          </cell>
          <cell r="K5679">
            <v>2.4380000000000002</v>
          </cell>
          <cell r="L5679">
            <v>148835</v>
          </cell>
          <cell r="M5679">
            <v>13229</v>
          </cell>
          <cell r="N5679">
            <v>683926.05601571908</v>
          </cell>
          <cell r="O5679">
            <v>692380.00232629513</v>
          </cell>
          <cell r="P5679">
            <v>368.79259999999999</v>
          </cell>
        </row>
        <row r="5680">
          <cell r="B5680">
            <v>38457</v>
          </cell>
          <cell r="J5680">
            <v>3809804.3041216834</v>
          </cell>
          <cell r="K5680">
            <v>2.4380000000000002</v>
          </cell>
          <cell r="L5680">
            <v>148835</v>
          </cell>
          <cell r="M5680">
            <v>13229</v>
          </cell>
          <cell r="N5680">
            <v>683926.05601571908</v>
          </cell>
          <cell r="O5680">
            <v>692380.00232629513</v>
          </cell>
          <cell r="P5680">
            <v>368.79259999999999</v>
          </cell>
        </row>
        <row r="5681">
          <cell r="B5681">
            <v>38458</v>
          </cell>
          <cell r="J5681">
            <v>3809804.3041216834</v>
          </cell>
          <cell r="K5681">
            <v>2.4380000000000002</v>
          </cell>
          <cell r="L5681">
            <v>148835</v>
          </cell>
          <cell r="M5681">
            <v>13229</v>
          </cell>
          <cell r="N5681">
            <v>683926.05601571908</v>
          </cell>
          <cell r="O5681">
            <v>692380.00232629513</v>
          </cell>
          <cell r="P5681">
            <v>368.79259999999999</v>
          </cell>
        </row>
        <row r="5682">
          <cell r="B5682">
            <v>38459</v>
          </cell>
          <cell r="J5682">
            <v>3809804.3041216834</v>
          </cell>
          <cell r="K5682">
            <v>2.4380000000000002</v>
          </cell>
          <cell r="L5682">
            <v>148835</v>
          </cell>
          <cell r="M5682">
            <v>13229</v>
          </cell>
          <cell r="N5682">
            <v>683926.05601571908</v>
          </cell>
          <cell r="O5682">
            <v>692380.00232629513</v>
          </cell>
          <cell r="P5682">
            <v>368.79259999999999</v>
          </cell>
        </row>
        <row r="5683">
          <cell r="B5683">
            <v>38460</v>
          </cell>
          <cell r="J5683">
            <v>3809804.3041216834</v>
          </cell>
          <cell r="K5683">
            <v>2.4380000000000002</v>
          </cell>
          <cell r="L5683">
            <v>148835</v>
          </cell>
          <cell r="M5683">
            <v>13229</v>
          </cell>
          <cell r="N5683">
            <v>683926.05601571908</v>
          </cell>
          <cell r="O5683">
            <v>692380.00232629513</v>
          </cell>
          <cell r="P5683">
            <v>368.79259999999999</v>
          </cell>
        </row>
        <row r="5684">
          <cell r="B5684">
            <v>38461</v>
          </cell>
          <cell r="J5684">
            <v>3809804.3041216834</v>
          </cell>
          <cell r="K5684">
            <v>2.4380000000000002</v>
          </cell>
          <cell r="L5684">
            <v>148835</v>
          </cell>
          <cell r="M5684">
            <v>13229</v>
          </cell>
          <cell r="N5684">
            <v>683926.05601571908</v>
          </cell>
          <cell r="O5684">
            <v>692380.00232629513</v>
          </cell>
          <cell r="P5684">
            <v>368.79259999999999</v>
          </cell>
        </row>
        <row r="5685">
          <cell r="B5685">
            <v>38462</v>
          </cell>
          <cell r="J5685">
            <v>3809804.3041216834</v>
          </cell>
          <cell r="K5685">
            <v>2.4380000000000002</v>
          </cell>
          <cell r="L5685">
            <v>148835</v>
          </cell>
          <cell r="M5685">
            <v>13229</v>
          </cell>
          <cell r="N5685">
            <v>683926.05601571908</v>
          </cell>
          <cell r="O5685">
            <v>692380.00232629513</v>
          </cell>
          <cell r="P5685">
            <v>368.79259999999999</v>
          </cell>
        </row>
        <row r="5686">
          <cell r="B5686">
            <v>38463</v>
          </cell>
          <cell r="J5686">
            <v>3809804.3041216834</v>
          </cell>
          <cell r="K5686">
            <v>2.4380000000000002</v>
          </cell>
          <cell r="L5686">
            <v>148835</v>
          </cell>
          <cell r="M5686">
            <v>13229</v>
          </cell>
          <cell r="N5686">
            <v>683926.05601571908</v>
          </cell>
          <cell r="O5686">
            <v>692380.00232629513</v>
          </cell>
          <cell r="P5686">
            <v>368.79259999999999</v>
          </cell>
        </row>
        <row r="5687">
          <cell r="B5687">
            <v>38464</v>
          </cell>
          <cell r="J5687">
            <v>3809804.3041216834</v>
          </cell>
          <cell r="K5687">
            <v>2.4380000000000002</v>
          </cell>
          <cell r="L5687">
            <v>148835</v>
          </cell>
          <cell r="M5687">
            <v>13229</v>
          </cell>
          <cell r="N5687">
            <v>683926.05601571908</v>
          </cell>
          <cell r="O5687">
            <v>692380.00232629513</v>
          </cell>
          <cell r="P5687">
            <v>368.79259999999999</v>
          </cell>
        </row>
        <row r="5688">
          <cell r="B5688">
            <v>38465</v>
          </cell>
          <cell r="J5688">
            <v>3809804.3041216834</v>
          </cell>
          <cell r="K5688">
            <v>2.4380000000000002</v>
          </cell>
          <cell r="L5688">
            <v>148835</v>
          </cell>
          <cell r="M5688">
            <v>13229</v>
          </cell>
          <cell r="N5688">
            <v>683926.05601571908</v>
          </cell>
          <cell r="O5688">
            <v>692380.00232629513</v>
          </cell>
          <cell r="P5688">
            <v>368.79259999999999</v>
          </cell>
        </row>
        <row r="5689">
          <cell r="B5689">
            <v>38466</v>
          </cell>
          <cell r="J5689">
            <v>3809804.3041216834</v>
          </cell>
          <cell r="K5689">
            <v>2.4380000000000002</v>
          </cell>
          <cell r="L5689">
            <v>148835</v>
          </cell>
          <cell r="M5689">
            <v>13229</v>
          </cell>
          <cell r="N5689">
            <v>683926.05601571908</v>
          </cell>
          <cell r="O5689">
            <v>692380.00232629513</v>
          </cell>
          <cell r="P5689">
            <v>368.79259999999999</v>
          </cell>
        </row>
        <row r="5690">
          <cell r="B5690">
            <v>38467</v>
          </cell>
          <cell r="J5690">
            <v>3809804.3041216834</v>
          </cell>
          <cell r="K5690">
            <v>2.4380000000000002</v>
          </cell>
          <cell r="L5690">
            <v>148835</v>
          </cell>
          <cell r="M5690">
            <v>13229</v>
          </cell>
          <cell r="N5690">
            <v>683926.05601571908</v>
          </cell>
          <cell r="O5690">
            <v>692380.00232629513</v>
          </cell>
          <cell r="P5690">
            <v>368.79259999999999</v>
          </cell>
        </row>
        <row r="5691">
          <cell r="B5691">
            <v>38468</v>
          </cell>
          <cell r="J5691">
            <v>3809804.3041216834</v>
          </cell>
          <cell r="K5691">
            <v>2.4380000000000002</v>
          </cell>
          <cell r="L5691">
            <v>148835</v>
          </cell>
          <cell r="M5691">
            <v>13229</v>
          </cell>
          <cell r="N5691">
            <v>683926.05601571908</v>
          </cell>
          <cell r="O5691">
            <v>692380.00232629513</v>
          </cell>
          <cell r="P5691">
            <v>368.79259999999999</v>
          </cell>
        </row>
        <row r="5692">
          <cell r="B5692">
            <v>38469</v>
          </cell>
          <cell r="J5692">
            <v>3809804.3041216834</v>
          </cell>
          <cell r="K5692">
            <v>2.4380000000000002</v>
          </cell>
          <cell r="L5692">
            <v>148835</v>
          </cell>
          <cell r="M5692">
            <v>13229</v>
          </cell>
          <cell r="N5692">
            <v>683926.05601571908</v>
          </cell>
          <cell r="O5692">
            <v>692380.00232629513</v>
          </cell>
          <cell r="P5692">
            <v>368.79259999999999</v>
          </cell>
        </row>
        <row r="5693">
          <cell r="B5693">
            <v>38470</v>
          </cell>
          <cell r="J5693">
            <v>3809804.3041216834</v>
          </cell>
          <cell r="K5693">
            <v>2.4380000000000002</v>
          </cell>
          <cell r="L5693">
            <v>148835</v>
          </cell>
          <cell r="M5693">
            <v>13229</v>
          </cell>
          <cell r="N5693">
            <v>683926.05601571908</v>
          </cell>
          <cell r="O5693">
            <v>692380.00232629513</v>
          </cell>
          <cell r="P5693">
            <v>368.79259999999999</v>
          </cell>
        </row>
        <row r="5694">
          <cell r="B5694">
            <v>38471</v>
          </cell>
          <cell r="J5694">
            <v>3809804.3041216834</v>
          </cell>
          <cell r="K5694">
            <v>2.4380000000000002</v>
          </cell>
          <cell r="L5694">
            <v>148835</v>
          </cell>
          <cell r="M5694">
            <v>13229</v>
          </cell>
          <cell r="N5694">
            <v>683926.05601571908</v>
          </cell>
          <cell r="O5694">
            <v>692380.00232629513</v>
          </cell>
          <cell r="P5694">
            <v>368.79259999999999</v>
          </cell>
        </row>
        <row r="5695">
          <cell r="B5695">
            <v>38472</v>
          </cell>
          <cell r="J5695">
            <v>3809804.3041216834</v>
          </cell>
          <cell r="K5695">
            <v>2.4380000000000002</v>
          </cell>
          <cell r="L5695">
            <v>148835</v>
          </cell>
          <cell r="M5695">
            <v>13229</v>
          </cell>
          <cell r="N5695">
            <v>683926.05601571908</v>
          </cell>
          <cell r="O5695">
            <v>692380.00232629513</v>
          </cell>
          <cell r="P5695">
            <v>368.79259999999999</v>
          </cell>
        </row>
        <row r="5696">
          <cell r="B5696">
            <v>38473</v>
          </cell>
          <cell r="J5696">
            <v>3809804.3041216834</v>
          </cell>
          <cell r="K5696">
            <v>2.4380000000000002</v>
          </cell>
          <cell r="L5696">
            <v>148835</v>
          </cell>
          <cell r="M5696">
            <v>13229</v>
          </cell>
          <cell r="N5696">
            <v>683926.05601571908</v>
          </cell>
          <cell r="O5696">
            <v>692380.00232629513</v>
          </cell>
          <cell r="P5696">
            <v>368.79259999999999</v>
          </cell>
        </row>
        <row r="5697">
          <cell r="B5697">
            <v>38474</v>
          </cell>
          <cell r="J5697">
            <v>3809804.3041216834</v>
          </cell>
          <cell r="K5697">
            <v>2.4380000000000002</v>
          </cell>
          <cell r="L5697">
            <v>148835</v>
          </cell>
          <cell r="M5697">
            <v>13229</v>
          </cell>
          <cell r="N5697">
            <v>683926.05601571908</v>
          </cell>
          <cell r="O5697">
            <v>692380.00232629513</v>
          </cell>
          <cell r="P5697">
            <v>368.79259999999999</v>
          </cell>
        </row>
        <row r="5698">
          <cell r="B5698">
            <v>38475</v>
          </cell>
          <cell r="J5698">
            <v>3809804.3041216834</v>
          </cell>
          <cell r="K5698">
            <v>2.4380000000000002</v>
          </cell>
          <cell r="L5698">
            <v>148835</v>
          </cell>
          <cell r="M5698">
            <v>13229</v>
          </cell>
          <cell r="N5698">
            <v>683926.05601571908</v>
          </cell>
          <cell r="O5698">
            <v>692380.00232629513</v>
          </cell>
          <cell r="P5698">
            <v>368.79259999999999</v>
          </cell>
        </row>
        <row r="5699">
          <cell r="B5699">
            <v>38476</v>
          </cell>
          <cell r="J5699">
            <v>3809804.3041216834</v>
          </cell>
          <cell r="K5699">
            <v>2.4380000000000002</v>
          </cell>
          <cell r="L5699">
            <v>148835</v>
          </cell>
          <cell r="M5699">
            <v>13229</v>
          </cell>
          <cell r="N5699">
            <v>683926.05601571908</v>
          </cell>
          <cell r="O5699">
            <v>692380.00232629513</v>
          </cell>
          <cell r="P5699">
            <v>368.79259999999999</v>
          </cell>
        </row>
        <row r="5700">
          <cell r="B5700">
            <v>38477</v>
          </cell>
          <cell r="J5700">
            <v>3809804.3041216834</v>
          </cell>
          <cell r="K5700">
            <v>2.4380000000000002</v>
          </cell>
          <cell r="L5700">
            <v>148835</v>
          </cell>
          <cell r="M5700">
            <v>13229</v>
          </cell>
          <cell r="N5700">
            <v>683926.05601571908</v>
          </cell>
          <cell r="O5700">
            <v>692380.00232629513</v>
          </cell>
          <cell r="P5700">
            <v>368.79259999999999</v>
          </cell>
        </row>
        <row r="5701">
          <cell r="B5701">
            <v>38478</v>
          </cell>
          <cell r="J5701">
            <v>3809804.3041216834</v>
          </cell>
          <cell r="K5701">
            <v>2.4380000000000002</v>
          </cell>
          <cell r="L5701">
            <v>148835</v>
          </cell>
          <cell r="M5701">
            <v>13229</v>
          </cell>
          <cell r="N5701">
            <v>683926.05601571908</v>
          </cell>
          <cell r="O5701">
            <v>692380.00232629513</v>
          </cell>
          <cell r="P5701">
            <v>368.79259999999999</v>
          </cell>
        </row>
        <row r="5702">
          <cell r="B5702">
            <v>38479</v>
          </cell>
          <cell r="J5702">
            <v>3809804.3041216834</v>
          </cell>
          <cell r="K5702">
            <v>2.4380000000000002</v>
          </cell>
          <cell r="L5702">
            <v>148835</v>
          </cell>
          <cell r="M5702">
            <v>13229</v>
          </cell>
          <cell r="N5702">
            <v>683926.05601571908</v>
          </cell>
          <cell r="O5702">
            <v>692380.00232629513</v>
          </cell>
          <cell r="P5702">
            <v>368.79259999999999</v>
          </cell>
        </row>
        <row r="5703">
          <cell r="B5703">
            <v>38480</v>
          </cell>
          <cell r="J5703">
            <v>3809804.3041216834</v>
          </cell>
          <cell r="K5703">
            <v>2.4380000000000002</v>
          </cell>
          <cell r="L5703">
            <v>148835</v>
          </cell>
          <cell r="M5703">
            <v>13229</v>
          </cell>
          <cell r="N5703">
            <v>683926.05601571908</v>
          </cell>
          <cell r="O5703">
            <v>692380.00232629513</v>
          </cell>
          <cell r="P5703">
            <v>368.79259999999999</v>
          </cell>
        </row>
        <row r="5704">
          <cell r="B5704">
            <v>38481</v>
          </cell>
          <cell r="J5704">
            <v>3809804.3041216834</v>
          </cell>
          <cell r="K5704">
            <v>2.4380000000000002</v>
          </cell>
          <cell r="L5704">
            <v>148835</v>
          </cell>
          <cell r="M5704">
            <v>13229</v>
          </cell>
          <cell r="N5704">
            <v>683926.05601571908</v>
          </cell>
          <cell r="O5704">
            <v>692380.00232629513</v>
          </cell>
          <cell r="P5704">
            <v>368.79259999999999</v>
          </cell>
        </row>
        <row r="5705">
          <cell r="B5705">
            <v>38482</v>
          </cell>
          <cell r="J5705">
            <v>3809804.3041216834</v>
          </cell>
          <cell r="K5705">
            <v>2.4380000000000002</v>
          </cell>
          <cell r="L5705">
            <v>148835</v>
          </cell>
          <cell r="M5705">
            <v>13229</v>
          </cell>
          <cell r="N5705">
            <v>683926.05601571908</v>
          </cell>
          <cell r="O5705">
            <v>692380.00232629513</v>
          </cell>
          <cell r="P5705">
            <v>368.79259999999999</v>
          </cell>
        </row>
        <row r="5706">
          <cell r="B5706">
            <v>38483</v>
          </cell>
          <cell r="J5706">
            <v>3809804.3041216834</v>
          </cell>
          <cell r="K5706">
            <v>2.4380000000000002</v>
          </cell>
          <cell r="L5706">
            <v>148835</v>
          </cell>
          <cell r="M5706">
            <v>13229</v>
          </cell>
          <cell r="N5706">
            <v>683926.05601571908</v>
          </cell>
          <cell r="O5706">
            <v>692380.00232629513</v>
          </cell>
          <cell r="P5706">
            <v>368.79259999999999</v>
          </cell>
        </row>
        <row r="5707">
          <cell r="B5707">
            <v>38484</v>
          </cell>
          <cell r="J5707">
            <v>3809804.3041216834</v>
          </cell>
          <cell r="K5707">
            <v>2.4380000000000002</v>
          </cell>
          <cell r="L5707">
            <v>148835</v>
          </cell>
          <cell r="M5707">
            <v>13229</v>
          </cell>
          <cell r="N5707">
            <v>683926.05601571908</v>
          </cell>
          <cell r="O5707">
            <v>692380.00232629513</v>
          </cell>
          <cell r="P5707">
            <v>368.79259999999999</v>
          </cell>
        </row>
        <row r="5708">
          <cell r="B5708">
            <v>38485</v>
          </cell>
          <cell r="J5708">
            <v>3809804.3041216834</v>
          </cell>
          <cell r="K5708">
            <v>2.4380000000000002</v>
          </cell>
          <cell r="L5708">
            <v>148835</v>
          </cell>
          <cell r="M5708">
            <v>13229</v>
          </cell>
          <cell r="N5708">
            <v>683926.05601571908</v>
          </cell>
          <cell r="O5708">
            <v>692380.00232629513</v>
          </cell>
          <cell r="P5708">
            <v>368.79259999999999</v>
          </cell>
        </row>
        <row r="5709">
          <cell r="B5709">
            <v>38486</v>
          </cell>
          <cell r="J5709">
            <v>3809804.3041216834</v>
          </cell>
          <cell r="K5709">
            <v>2.4380000000000002</v>
          </cell>
          <cell r="L5709">
            <v>148835</v>
          </cell>
          <cell r="M5709">
            <v>13229</v>
          </cell>
          <cell r="N5709">
            <v>683926.05601571908</v>
          </cell>
          <cell r="O5709">
            <v>692380.00232629513</v>
          </cell>
          <cell r="P5709">
            <v>368.79259999999999</v>
          </cell>
        </row>
        <row r="5710">
          <cell r="B5710">
            <v>38487</v>
          </cell>
          <cell r="J5710">
            <v>3809804.3041216834</v>
          </cell>
          <cell r="K5710">
            <v>2.4380000000000002</v>
          </cell>
          <cell r="L5710">
            <v>148835</v>
          </cell>
          <cell r="M5710">
            <v>13229</v>
          </cell>
          <cell r="N5710">
            <v>683926.05601571908</v>
          </cell>
          <cell r="O5710">
            <v>692380.00232629513</v>
          </cell>
          <cell r="P5710">
            <v>368.79259999999999</v>
          </cell>
        </row>
        <row r="5711">
          <cell r="B5711">
            <v>38488</v>
          </cell>
          <cell r="J5711">
            <v>3809804.3041216834</v>
          </cell>
          <cell r="K5711">
            <v>2.4380000000000002</v>
          </cell>
          <cell r="L5711">
            <v>148835</v>
          </cell>
          <cell r="M5711">
            <v>13229</v>
          </cell>
          <cell r="N5711">
            <v>683926.05601571908</v>
          </cell>
          <cell r="O5711">
            <v>692380.00232629513</v>
          </cell>
          <cell r="P5711">
            <v>368.79259999999999</v>
          </cell>
        </row>
        <row r="5712">
          <cell r="B5712">
            <v>38489</v>
          </cell>
          <cell r="J5712">
            <v>3809804.3041216834</v>
          </cell>
          <cell r="K5712">
            <v>2.4380000000000002</v>
          </cell>
          <cell r="L5712">
            <v>148835</v>
          </cell>
          <cell r="M5712">
            <v>13229</v>
          </cell>
          <cell r="N5712">
            <v>683926.05601571908</v>
          </cell>
          <cell r="O5712">
            <v>692380.00232629513</v>
          </cell>
          <cell r="P5712">
            <v>368.79259999999999</v>
          </cell>
        </row>
        <row r="5713">
          <cell r="B5713">
            <v>38490</v>
          </cell>
          <cell r="J5713">
            <v>3809804.3041216834</v>
          </cell>
          <cell r="K5713">
            <v>2.4380000000000002</v>
          </cell>
          <cell r="L5713">
            <v>148835</v>
          </cell>
          <cell r="M5713">
            <v>13229</v>
          </cell>
          <cell r="N5713">
            <v>683926.05601571908</v>
          </cell>
          <cell r="O5713">
            <v>692380.00232629513</v>
          </cell>
          <cell r="P5713">
            <v>368.79259999999999</v>
          </cell>
        </row>
        <row r="5714">
          <cell r="B5714">
            <v>38491</v>
          </cell>
          <cell r="J5714">
            <v>3809804.3041216834</v>
          </cell>
          <cell r="K5714">
            <v>2.4380000000000002</v>
          </cell>
          <cell r="L5714">
            <v>148835</v>
          </cell>
          <cell r="M5714">
            <v>13229</v>
          </cell>
          <cell r="N5714">
            <v>683926.05601571908</v>
          </cell>
          <cell r="O5714">
            <v>692380.00232629513</v>
          </cell>
          <cell r="P5714">
            <v>368.79259999999999</v>
          </cell>
        </row>
        <row r="5715">
          <cell r="B5715">
            <v>38492</v>
          </cell>
          <cell r="J5715">
            <v>3809804.3041216834</v>
          </cell>
          <cell r="K5715">
            <v>2.4380000000000002</v>
          </cell>
          <cell r="L5715">
            <v>148835</v>
          </cell>
          <cell r="M5715">
            <v>13229</v>
          </cell>
          <cell r="N5715">
            <v>683926.05601571908</v>
          </cell>
          <cell r="O5715">
            <v>692380.00232629513</v>
          </cell>
          <cell r="P5715">
            <v>368.79259999999999</v>
          </cell>
        </row>
        <row r="5716">
          <cell r="B5716">
            <v>38493</v>
          </cell>
          <cell r="J5716">
            <v>3809804.3041216834</v>
          </cell>
          <cell r="K5716">
            <v>2.4380000000000002</v>
          </cell>
          <cell r="L5716">
            <v>148835</v>
          </cell>
          <cell r="M5716">
            <v>13229</v>
          </cell>
          <cell r="N5716">
            <v>683926.05601571908</v>
          </cell>
          <cell r="O5716">
            <v>692380.00232629513</v>
          </cell>
          <cell r="P5716">
            <v>368.79259999999999</v>
          </cell>
        </row>
        <row r="5717">
          <cell r="B5717">
            <v>38494</v>
          </cell>
          <cell r="J5717">
            <v>3809804.3041216834</v>
          </cell>
          <cell r="K5717">
            <v>2.4380000000000002</v>
          </cell>
          <cell r="L5717">
            <v>148835</v>
          </cell>
          <cell r="M5717">
            <v>13229</v>
          </cell>
          <cell r="N5717">
            <v>683926.05601571908</v>
          </cell>
          <cell r="O5717">
            <v>692380.00232629513</v>
          </cell>
          <cell r="P5717">
            <v>368.79259999999999</v>
          </cell>
        </row>
        <row r="5718">
          <cell r="B5718">
            <v>38495</v>
          </cell>
          <cell r="J5718">
            <v>3809804.3041216834</v>
          </cell>
          <cell r="K5718">
            <v>2.4380000000000002</v>
          </cell>
          <cell r="L5718">
            <v>148835</v>
          </cell>
          <cell r="M5718">
            <v>13229</v>
          </cell>
          <cell r="N5718">
            <v>683926.05601571908</v>
          </cell>
          <cell r="O5718">
            <v>692380.00232629513</v>
          </cell>
          <cell r="P5718">
            <v>368.79259999999999</v>
          </cell>
        </row>
        <row r="5719">
          <cell r="B5719">
            <v>38496</v>
          </cell>
          <cell r="J5719">
            <v>3809804.3041216834</v>
          </cell>
          <cell r="K5719">
            <v>2.4380000000000002</v>
          </cell>
          <cell r="L5719">
            <v>148835</v>
          </cell>
          <cell r="M5719">
            <v>13229</v>
          </cell>
          <cell r="N5719">
            <v>683926.05601571908</v>
          </cell>
          <cell r="O5719">
            <v>692380.00232629513</v>
          </cell>
          <cell r="P5719">
            <v>368.79259999999999</v>
          </cell>
        </row>
        <row r="5720">
          <cell r="B5720">
            <v>38497</v>
          </cell>
          <cell r="J5720">
            <v>3809804.3041216834</v>
          </cell>
          <cell r="K5720">
            <v>2.4380000000000002</v>
          </cell>
          <cell r="L5720">
            <v>148835</v>
          </cell>
          <cell r="M5720">
            <v>13229</v>
          </cell>
          <cell r="N5720">
            <v>683926.05601571908</v>
          </cell>
          <cell r="O5720">
            <v>692380.00232629513</v>
          </cell>
          <cell r="P5720">
            <v>368.79259999999999</v>
          </cell>
        </row>
        <row r="5721">
          <cell r="B5721">
            <v>38498</v>
          </cell>
          <cell r="J5721">
            <v>3809804.3041216834</v>
          </cell>
          <cell r="K5721">
            <v>2.4380000000000002</v>
          </cell>
          <cell r="L5721">
            <v>148835</v>
          </cell>
          <cell r="M5721">
            <v>13229</v>
          </cell>
          <cell r="N5721">
            <v>683926.05601571908</v>
          </cell>
          <cell r="O5721">
            <v>692380.00232629513</v>
          </cell>
          <cell r="P5721">
            <v>368.79259999999999</v>
          </cell>
        </row>
        <row r="5722">
          <cell r="B5722">
            <v>38499</v>
          </cell>
          <cell r="J5722">
            <v>3809804.3041216834</v>
          </cell>
          <cell r="K5722">
            <v>2.4380000000000002</v>
          </cell>
          <cell r="L5722">
            <v>148835</v>
          </cell>
          <cell r="M5722">
            <v>13229</v>
          </cell>
          <cell r="N5722">
            <v>683926.05601571908</v>
          </cell>
          <cell r="O5722">
            <v>692380.00232629513</v>
          </cell>
          <cell r="P5722">
            <v>368.79259999999999</v>
          </cell>
        </row>
        <row r="5723">
          <cell r="B5723">
            <v>38500</v>
          </cell>
          <cell r="J5723">
            <v>3809804.3041216834</v>
          </cell>
          <cell r="K5723">
            <v>2.4380000000000002</v>
          </cell>
          <cell r="L5723">
            <v>148835</v>
          </cell>
          <cell r="M5723">
            <v>13229</v>
          </cell>
          <cell r="N5723">
            <v>683926.05601571908</v>
          </cell>
          <cell r="O5723">
            <v>692380.00232629513</v>
          </cell>
          <cell r="P5723">
            <v>368.79259999999999</v>
          </cell>
        </row>
        <row r="5724">
          <cell r="B5724">
            <v>38501</v>
          </cell>
          <cell r="J5724">
            <v>3809804.3041216834</v>
          </cell>
          <cell r="K5724">
            <v>2.4380000000000002</v>
          </cell>
          <cell r="L5724">
            <v>148835</v>
          </cell>
          <cell r="M5724">
            <v>13229</v>
          </cell>
          <cell r="N5724">
            <v>683926.05601571908</v>
          </cell>
          <cell r="O5724">
            <v>692380.00232629513</v>
          </cell>
          <cell r="P5724">
            <v>368.79259999999999</v>
          </cell>
        </row>
        <row r="5725">
          <cell r="B5725">
            <v>38502</v>
          </cell>
          <cell r="J5725">
            <v>3809804.3041216834</v>
          </cell>
          <cell r="K5725">
            <v>2.4380000000000002</v>
          </cell>
          <cell r="L5725">
            <v>148835</v>
          </cell>
          <cell r="M5725">
            <v>13229</v>
          </cell>
          <cell r="N5725">
            <v>683926.05601571908</v>
          </cell>
          <cell r="O5725">
            <v>692380.00232629513</v>
          </cell>
          <cell r="P5725">
            <v>368.79259999999999</v>
          </cell>
        </row>
        <row r="5726">
          <cell r="B5726">
            <v>38503</v>
          </cell>
          <cell r="J5726">
            <v>3809804.3041216834</v>
          </cell>
          <cell r="K5726">
            <v>2.4380000000000002</v>
          </cell>
          <cell r="L5726">
            <v>148835</v>
          </cell>
          <cell r="M5726">
            <v>13229</v>
          </cell>
          <cell r="N5726">
            <v>683926.05601571908</v>
          </cell>
          <cell r="O5726">
            <v>692380.00232629513</v>
          </cell>
          <cell r="P5726">
            <v>368.79259999999999</v>
          </cell>
        </row>
        <row r="5727">
          <cell r="B5727">
            <v>38504</v>
          </cell>
          <cell r="J5727">
            <v>3809804.3041216834</v>
          </cell>
          <cell r="K5727">
            <v>2.4380000000000002</v>
          </cell>
          <cell r="L5727">
            <v>148835</v>
          </cell>
          <cell r="M5727">
            <v>13229</v>
          </cell>
          <cell r="N5727">
            <v>683926.05601571908</v>
          </cell>
          <cell r="O5727">
            <v>692380.00232629513</v>
          </cell>
          <cell r="P5727">
            <v>368.79259999999999</v>
          </cell>
        </row>
        <row r="5728">
          <cell r="B5728">
            <v>38505</v>
          </cell>
          <cell r="J5728">
            <v>3809804.3041216834</v>
          </cell>
          <cell r="K5728">
            <v>2.4380000000000002</v>
          </cell>
          <cell r="L5728">
            <v>148835</v>
          </cell>
          <cell r="M5728">
            <v>13229</v>
          </cell>
          <cell r="N5728">
            <v>683926.05601571908</v>
          </cell>
          <cell r="O5728">
            <v>692380.00232629513</v>
          </cell>
          <cell r="P5728">
            <v>368.79259999999999</v>
          </cell>
        </row>
        <row r="5729">
          <cell r="B5729">
            <v>38506</v>
          </cell>
          <cell r="J5729">
            <v>3809804.3041216834</v>
          </cell>
          <cell r="K5729">
            <v>2.4380000000000002</v>
          </cell>
          <cell r="L5729">
            <v>148835</v>
          </cell>
          <cell r="M5729">
            <v>13229</v>
          </cell>
          <cell r="N5729">
            <v>683926.05601571908</v>
          </cell>
          <cell r="O5729">
            <v>692380.00232629513</v>
          </cell>
          <cell r="P5729">
            <v>368.79259999999999</v>
          </cell>
        </row>
        <row r="5730">
          <cell r="B5730">
            <v>38507</v>
          </cell>
          <cell r="J5730">
            <v>3809804.3041216834</v>
          </cell>
          <cell r="K5730">
            <v>2.4380000000000002</v>
          </cell>
          <cell r="L5730">
            <v>148835</v>
          </cell>
          <cell r="M5730">
            <v>13229</v>
          </cell>
          <cell r="N5730">
            <v>683926.05601571908</v>
          </cell>
          <cell r="O5730">
            <v>692380.00232629513</v>
          </cell>
          <cell r="P5730">
            <v>368.79259999999999</v>
          </cell>
        </row>
        <row r="5731">
          <cell r="B5731">
            <v>38508</v>
          </cell>
          <cell r="J5731">
            <v>3809804.3041216834</v>
          </cell>
          <cell r="K5731">
            <v>2.4380000000000002</v>
          </cell>
          <cell r="L5731">
            <v>148835</v>
          </cell>
          <cell r="M5731">
            <v>13229</v>
          </cell>
          <cell r="N5731">
            <v>683926.05601571908</v>
          </cell>
          <cell r="O5731">
            <v>692380.00232629513</v>
          </cell>
          <cell r="P5731">
            <v>368.79259999999999</v>
          </cell>
        </row>
        <row r="5732">
          <cell r="B5732">
            <v>38509</v>
          </cell>
          <cell r="J5732">
            <v>3809804.3041216834</v>
          </cell>
          <cell r="K5732">
            <v>2.4380000000000002</v>
          </cell>
          <cell r="L5732">
            <v>148835</v>
          </cell>
          <cell r="M5732">
            <v>13229</v>
          </cell>
          <cell r="N5732">
            <v>683926.05601571908</v>
          </cell>
          <cell r="O5732">
            <v>692380.00232629513</v>
          </cell>
          <cell r="P5732">
            <v>368.79259999999999</v>
          </cell>
        </row>
        <row r="5733">
          <cell r="B5733">
            <v>38510</v>
          </cell>
          <cell r="J5733">
            <v>3809804.3041216834</v>
          </cell>
          <cell r="K5733">
            <v>2.4380000000000002</v>
          </cell>
          <cell r="L5733">
            <v>148835</v>
          </cell>
          <cell r="M5733">
            <v>13229</v>
          </cell>
          <cell r="N5733">
            <v>683926.05601571908</v>
          </cell>
          <cell r="O5733">
            <v>692380.00232629513</v>
          </cell>
          <cell r="P5733">
            <v>368.79259999999999</v>
          </cell>
        </row>
        <row r="5734">
          <cell r="B5734">
            <v>38511</v>
          </cell>
          <cell r="J5734">
            <v>3809804.3041216834</v>
          </cell>
          <cell r="K5734">
            <v>2.4380000000000002</v>
          </cell>
          <cell r="L5734">
            <v>148835</v>
          </cell>
          <cell r="M5734">
            <v>13229</v>
          </cell>
          <cell r="N5734">
            <v>683926.05601571908</v>
          </cell>
          <cell r="O5734">
            <v>692380.00232629513</v>
          </cell>
          <cell r="P5734">
            <v>368.79259999999999</v>
          </cell>
        </row>
        <row r="5735">
          <cell r="B5735">
            <v>38512</v>
          </cell>
          <cell r="J5735">
            <v>3809804.3041216834</v>
          </cell>
          <cell r="K5735">
            <v>2.4380000000000002</v>
          </cell>
          <cell r="L5735">
            <v>148835</v>
          </cell>
          <cell r="M5735">
            <v>13229</v>
          </cell>
          <cell r="N5735">
            <v>683926.05601571908</v>
          </cell>
          <cell r="O5735">
            <v>692380.00232629513</v>
          </cell>
          <cell r="P5735">
            <v>368.79259999999999</v>
          </cell>
        </row>
        <row r="5736">
          <cell r="B5736">
            <v>38513</v>
          </cell>
          <cell r="J5736">
            <v>3809804.3041216834</v>
          </cell>
          <cell r="K5736">
            <v>2.4380000000000002</v>
          </cell>
          <cell r="L5736">
            <v>148835</v>
          </cell>
          <cell r="M5736">
            <v>13229</v>
          </cell>
          <cell r="N5736">
            <v>683926.05601571908</v>
          </cell>
          <cell r="O5736">
            <v>692380.00232629513</v>
          </cell>
          <cell r="P5736">
            <v>368.79259999999999</v>
          </cell>
        </row>
        <row r="5737">
          <cell r="B5737">
            <v>38514</v>
          </cell>
          <cell r="J5737">
            <v>3809804.3041216834</v>
          </cell>
          <cell r="K5737">
            <v>2.4380000000000002</v>
          </cell>
          <cell r="L5737">
            <v>148835</v>
          </cell>
          <cell r="M5737">
            <v>13229</v>
          </cell>
          <cell r="N5737">
            <v>683926.05601571908</v>
          </cell>
          <cell r="O5737">
            <v>692380.00232629513</v>
          </cell>
          <cell r="P5737">
            <v>368.79259999999999</v>
          </cell>
        </row>
        <row r="5738">
          <cell r="B5738">
            <v>38515</v>
          </cell>
          <cell r="J5738">
            <v>3809804.3041216834</v>
          </cell>
          <cell r="K5738">
            <v>2.4380000000000002</v>
          </cell>
          <cell r="L5738">
            <v>148835</v>
          </cell>
          <cell r="M5738">
            <v>13229</v>
          </cell>
          <cell r="N5738">
            <v>683926.05601571908</v>
          </cell>
          <cell r="O5738">
            <v>692380.00232629513</v>
          </cell>
          <cell r="P5738">
            <v>368.79259999999999</v>
          </cell>
        </row>
        <row r="5739">
          <cell r="B5739">
            <v>38516</v>
          </cell>
          <cell r="J5739">
            <v>3809804.3041216834</v>
          </cell>
          <cell r="K5739">
            <v>2.4380000000000002</v>
          </cell>
          <cell r="L5739">
            <v>148835</v>
          </cell>
          <cell r="M5739">
            <v>13229</v>
          </cell>
          <cell r="N5739">
            <v>683926.05601571908</v>
          </cell>
          <cell r="O5739">
            <v>692380.00232629513</v>
          </cell>
          <cell r="P5739">
            <v>368.79259999999999</v>
          </cell>
        </row>
        <row r="5740">
          <cell r="B5740">
            <v>38517</v>
          </cell>
          <cell r="J5740">
            <v>3809804.3041216834</v>
          </cell>
          <cell r="K5740">
            <v>2.4380000000000002</v>
          </cell>
          <cell r="L5740">
            <v>148835</v>
          </cell>
          <cell r="M5740">
            <v>13229</v>
          </cell>
          <cell r="N5740">
            <v>683926.05601571908</v>
          </cell>
          <cell r="O5740">
            <v>692380.00232629513</v>
          </cell>
          <cell r="P5740">
            <v>368.79259999999999</v>
          </cell>
        </row>
        <row r="5741">
          <cell r="B5741">
            <v>38518</v>
          </cell>
          <cell r="J5741">
            <v>3809804.3041216834</v>
          </cell>
          <cell r="K5741">
            <v>2.4380000000000002</v>
          </cell>
          <cell r="L5741">
            <v>148835</v>
          </cell>
          <cell r="M5741">
            <v>13229</v>
          </cell>
          <cell r="N5741">
            <v>683926.05601571908</v>
          </cell>
          <cell r="O5741">
            <v>692380.00232629513</v>
          </cell>
          <cell r="P5741">
            <v>368.79259999999999</v>
          </cell>
        </row>
        <row r="5742">
          <cell r="B5742">
            <v>38519</v>
          </cell>
          <cell r="J5742">
            <v>3809804.3041216834</v>
          </cell>
          <cell r="K5742">
            <v>2.4380000000000002</v>
          </cell>
          <cell r="L5742">
            <v>148835</v>
          </cell>
          <cell r="M5742">
            <v>13229</v>
          </cell>
          <cell r="N5742">
            <v>683926.05601571908</v>
          </cell>
          <cell r="O5742">
            <v>692380.00232629513</v>
          </cell>
          <cell r="P5742">
            <v>368.79259999999999</v>
          </cell>
        </row>
        <row r="5743">
          <cell r="B5743">
            <v>38520</v>
          </cell>
          <cell r="J5743">
            <v>3809804.3041216834</v>
          </cell>
          <cell r="K5743">
            <v>2.4380000000000002</v>
          </cell>
          <cell r="L5743">
            <v>148835</v>
          </cell>
          <cell r="M5743">
            <v>13229</v>
          </cell>
          <cell r="N5743">
            <v>683926.05601571908</v>
          </cell>
          <cell r="O5743">
            <v>692380.00232629513</v>
          </cell>
          <cell r="P5743">
            <v>368.79259999999999</v>
          </cell>
        </row>
        <row r="5744">
          <cell r="B5744">
            <v>38521</v>
          </cell>
          <cell r="J5744">
            <v>3809804.3041216834</v>
          </cell>
          <cell r="K5744">
            <v>2.4380000000000002</v>
          </cell>
          <cell r="L5744">
            <v>148835</v>
          </cell>
          <cell r="M5744">
            <v>13229</v>
          </cell>
          <cell r="N5744">
            <v>683926.05601571908</v>
          </cell>
          <cell r="O5744">
            <v>692380.00232629513</v>
          </cell>
          <cell r="P5744">
            <v>368.79259999999999</v>
          </cell>
        </row>
        <row r="5745">
          <cell r="B5745">
            <v>38522</v>
          </cell>
          <cell r="J5745">
            <v>3809804.3041216834</v>
          </cell>
          <cell r="K5745">
            <v>2.4380000000000002</v>
          </cell>
          <cell r="L5745">
            <v>148835</v>
          </cell>
          <cell r="M5745">
            <v>13229</v>
          </cell>
          <cell r="N5745">
            <v>683926.05601571908</v>
          </cell>
          <cell r="O5745">
            <v>692380.00232629513</v>
          </cell>
          <cell r="P5745">
            <v>368.79259999999999</v>
          </cell>
        </row>
        <row r="5746">
          <cell r="B5746">
            <v>38523</v>
          </cell>
          <cell r="J5746">
            <v>3809804.3041216834</v>
          </cell>
          <cell r="K5746">
            <v>2.4380000000000002</v>
          </cell>
          <cell r="L5746">
            <v>148835</v>
          </cell>
          <cell r="M5746">
            <v>13229</v>
          </cell>
          <cell r="N5746">
            <v>683926.05601571908</v>
          </cell>
          <cell r="O5746">
            <v>692380.00232629513</v>
          </cell>
          <cell r="P5746">
            <v>368.79259999999999</v>
          </cell>
        </row>
        <row r="5747">
          <cell r="B5747">
            <v>38524</v>
          </cell>
          <cell r="J5747">
            <v>3809804.3041216834</v>
          </cell>
          <cell r="K5747">
            <v>2.4380000000000002</v>
          </cell>
          <cell r="L5747">
            <v>148835</v>
          </cell>
          <cell r="M5747">
            <v>13229</v>
          </cell>
          <cell r="N5747">
            <v>683926.05601571908</v>
          </cell>
          <cell r="O5747">
            <v>692380.00232629513</v>
          </cell>
          <cell r="P5747">
            <v>368.79259999999999</v>
          </cell>
        </row>
        <row r="5748">
          <cell r="B5748">
            <v>38525</v>
          </cell>
          <cell r="J5748">
            <v>3809804.3041216834</v>
          </cell>
          <cell r="K5748">
            <v>2.4380000000000002</v>
          </cell>
          <cell r="L5748">
            <v>148835</v>
          </cell>
          <cell r="M5748">
            <v>13229</v>
          </cell>
          <cell r="N5748">
            <v>683926.05601571908</v>
          </cell>
          <cell r="O5748">
            <v>692380.00232629513</v>
          </cell>
          <cell r="P5748">
            <v>368.79259999999999</v>
          </cell>
        </row>
        <row r="5749">
          <cell r="B5749">
            <v>38526</v>
          </cell>
          <cell r="J5749">
            <v>3809804.3041216834</v>
          </cell>
          <cell r="K5749">
            <v>2.4380000000000002</v>
          </cell>
          <cell r="L5749">
            <v>148835</v>
          </cell>
          <cell r="M5749">
            <v>13229</v>
          </cell>
          <cell r="N5749">
            <v>683926.05601571908</v>
          </cell>
          <cell r="O5749">
            <v>692380.00232629513</v>
          </cell>
          <cell r="P5749">
            <v>368.79259999999999</v>
          </cell>
        </row>
        <row r="5750">
          <cell r="B5750">
            <v>38527</v>
          </cell>
          <cell r="J5750">
            <v>3809804.3041216834</v>
          </cell>
          <cell r="K5750">
            <v>2.4380000000000002</v>
          </cell>
          <cell r="L5750">
            <v>148835</v>
          </cell>
          <cell r="M5750">
            <v>13229</v>
          </cell>
          <cell r="N5750">
            <v>683926.05601571908</v>
          </cell>
          <cell r="O5750">
            <v>692380.00232629513</v>
          </cell>
          <cell r="P5750">
            <v>368.79259999999999</v>
          </cell>
        </row>
        <row r="5751">
          <cell r="B5751">
            <v>38528</v>
          </cell>
          <cell r="J5751">
            <v>3809804.3041216834</v>
          </cell>
          <cell r="K5751">
            <v>2.4380000000000002</v>
          </cell>
          <cell r="L5751">
            <v>148835</v>
          </cell>
          <cell r="M5751">
            <v>13229</v>
          </cell>
          <cell r="N5751">
            <v>683926.05601571908</v>
          </cell>
          <cell r="O5751">
            <v>692380.00232629513</v>
          </cell>
          <cell r="P5751">
            <v>368.79259999999999</v>
          </cell>
        </row>
        <row r="5752">
          <cell r="B5752">
            <v>38529</v>
          </cell>
          <cell r="J5752">
            <v>3809804.3041216834</v>
          </cell>
          <cell r="K5752">
            <v>2.4380000000000002</v>
          </cell>
          <cell r="L5752">
            <v>148835</v>
          </cell>
          <cell r="M5752">
            <v>13229</v>
          </cell>
          <cell r="N5752">
            <v>683926.05601571908</v>
          </cell>
          <cell r="O5752">
            <v>692380.00232629513</v>
          </cell>
          <cell r="P5752">
            <v>368.79259999999999</v>
          </cell>
        </row>
        <row r="5753">
          <cell r="B5753">
            <v>38530</v>
          </cell>
          <cell r="J5753">
            <v>3809804.3041216834</v>
          </cell>
          <cell r="K5753">
            <v>2.4380000000000002</v>
          </cell>
          <cell r="L5753">
            <v>148835</v>
          </cell>
          <cell r="M5753">
            <v>13229</v>
          </cell>
          <cell r="N5753">
            <v>683926.05601571908</v>
          </cell>
          <cell r="O5753">
            <v>692380.00232629513</v>
          </cell>
          <cell r="P5753">
            <v>368.79259999999999</v>
          </cell>
        </row>
        <row r="5754">
          <cell r="B5754">
            <v>38531</v>
          </cell>
          <cell r="J5754">
            <v>3809804.3041216834</v>
          </cell>
          <cell r="K5754">
            <v>2.4380000000000002</v>
          </cell>
          <cell r="L5754">
            <v>148835</v>
          </cell>
          <cell r="M5754">
            <v>13229</v>
          </cell>
          <cell r="N5754">
            <v>683926.05601571908</v>
          </cell>
          <cell r="O5754">
            <v>692380.00232629513</v>
          </cell>
          <cell r="P5754">
            <v>368.79259999999999</v>
          </cell>
        </row>
        <row r="5755">
          <cell r="B5755">
            <v>38532</v>
          </cell>
          <cell r="J5755">
            <v>3809804.3041216834</v>
          </cell>
          <cell r="K5755">
            <v>2.4380000000000002</v>
          </cell>
          <cell r="L5755">
            <v>148835</v>
          </cell>
          <cell r="M5755">
            <v>13229</v>
          </cell>
          <cell r="N5755">
            <v>683926.05601571908</v>
          </cell>
          <cell r="O5755">
            <v>692380.00232629513</v>
          </cell>
          <cell r="P5755">
            <v>368.79259999999999</v>
          </cell>
        </row>
        <row r="5756">
          <cell r="B5756">
            <v>38533</v>
          </cell>
          <cell r="J5756">
            <v>3809804.3041216834</v>
          </cell>
          <cell r="K5756">
            <v>2.4380000000000002</v>
          </cell>
          <cell r="L5756">
            <v>148835</v>
          </cell>
          <cell r="M5756">
            <v>13229</v>
          </cell>
          <cell r="N5756">
            <v>683926.05601571908</v>
          </cell>
          <cell r="O5756">
            <v>692380.00232629513</v>
          </cell>
          <cell r="P5756">
            <v>368.79259999999999</v>
          </cell>
        </row>
        <row r="5757">
          <cell r="B5757">
            <v>38534</v>
          </cell>
          <cell r="J5757">
            <v>3809804.3041216834</v>
          </cell>
          <cell r="K5757">
            <v>2.4380000000000002</v>
          </cell>
          <cell r="L5757">
            <v>148835</v>
          </cell>
          <cell r="M5757">
            <v>13229</v>
          </cell>
          <cell r="N5757">
            <v>683926.05601571908</v>
          </cell>
          <cell r="O5757">
            <v>692380.00232629513</v>
          </cell>
          <cell r="P5757">
            <v>368.79259999999999</v>
          </cell>
        </row>
        <row r="5758">
          <cell r="B5758">
            <v>38535</v>
          </cell>
          <cell r="J5758">
            <v>3809804.3041216834</v>
          </cell>
          <cell r="K5758">
            <v>2.4380000000000002</v>
          </cell>
          <cell r="L5758">
            <v>148835</v>
          </cell>
          <cell r="M5758">
            <v>13229</v>
          </cell>
          <cell r="N5758">
            <v>683926.05601571908</v>
          </cell>
          <cell r="O5758">
            <v>692380.00232629513</v>
          </cell>
          <cell r="P5758">
            <v>368.79259999999999</v>
          </cell>
        </row>
        <row r="5759">
          <cell r="B5759">
            <v>38536</v>
          </cell>
          <cell r="J5759">
            <v>3809804.3041216834</v>
          </cell>
          <cell r="K5759">
            <v>2.4380000000000002</v>
          </cell>
          <cell r="L5759">
            <v>148835</v>
          </cell>
          <cell r="M5759">
            <v>13229</v>
          </cell>
          <cell r="N5759">
            <v>683926.05601571908</v>
          </cell>
          <cell r="O5759">
            <v>692380.00232629513</v>
          </cell>
          <cell r="P5759">
            <v>368.79259999999999</v>
          </cell>
        </row>
        <row r="5760">
          <cell r="B5760">
            <v>38537</v>
          </cell>
          <cell r="J5760">
            <v>3809804.3041216834</v>
          </cell>
          <cell r="K5760">
            <v>2.4380000000000002</v>
          </cell>
          <cell r="L5760">
            <v>148835</v>
          </cell>
          <cell r="M5760">
            <v>13229</v>
          </cell>
          <cell r="N5760">
            <v>683926.05601571908</v>
          </cell>
          <cell r="O5760">
            <v>692380.00232629513</v>
          </cell>
          <cell r="P5760">
            <v>368.79259999999999</v>
          </cell>
        </row>
        <row r="5761">
          <cell r="B5761">
            <v>38538</v>
          </cell>
          <cell r="J5761">
            <v>3809804.3041216834</v>
          </cell>
          <cell r="K5761">
            <v>2.4380000000000002</v>
          </cell>
          <cell r="L5761">
            <v>148835</v>
          </cell>
          <cell r="M5761">
            <v>13229</v>
          </cell>
          <cell r="N5761">
            <v>683926.05601571908</v>
          </cell>
          <cell r="O5761">
            <v>692380.00232629513</v>
          </cell>
          <cell r="P5761">
            <v>368.79259999999999</v>
          </cell>
        </row>
        <row r="5762">
          <cell r="B5762">
            <v>38539</v>
          </cell>
          <cell r="J5762">
            <v>3809804.3041216834</v>
          </cell>
          <cell r="K5762">
            <v>2.4380000000000002</v>
          </cell>
          <cell r="L5762">
            <v>148835</v>
          </cell>
          <cell r="M5762">
            <v>13229</v>
          </cell>
          <cell r="N5762">
            <v>683926.05601571908</v>
          </cell>
          <cell r="O5762">
            <v>692380.00232629513</v>
          </cell>
          <cell r="P5762">
            <v>368.79259999999999</v>
          </cell>
        </row>
        <row r="5763">
          <cell r="B5763">
            <v>38540</v>
          </cell>
          <cell r="J5763">
            <v>3809804.3041216834</v>
          </cell>
          <cell r="K5763">
            <v>2.4380000000000002</v>
          </cell>
          <cell r="L5763">
            <v>148835</v>
          </cell>
          <cell r="M5763">
            <v>13229</v>
          </cell>
          <cell r="N5763">
            <v>683926.05601571908</v>
          </cell>
          <cell r="O5763">
            <v>692380.00232629513</v>
          </cell>
          <cell r="P5763">
            <v>368.79259999999999</v>
          </cell>
        </row>
        <row r="5764">
          <cell r="B5764">
            <v>38541</v>
          </cell>
          <cell r="J5764">
            <v>3809804.3041216834</v>
          </cell>
          <cell r="K5764">
            <v>2.4380000000000002</v>
          </cell>
          <cell r="L5764">
            <v>148835</v>
          </cell>
          <cell r="M5764">
            <v>13229</v>
          </cell>
          <cell r="N5764">
            <v>683926.05601571908</v>
          </cell>
          <cell r="O5764">
            <v>692380.00232629513</v>
          </cell>
          <cell r="P5764">
            <v>368.79259999999999</v>
          </cell>
        </row>
        <row r="5765">
          <cell r="B5765">
            <v>38542</v>
          </cell>
          <cell r="J5765">
            <v>3809804.3041216834</v>
          </cell>
          <cell r="K5765">
            <v>2.4380000000000002</v>
          </cell>
          <cell r="L5765">
            <v>148835</v>
          </cell>
          <cell r="M5765">
            <v>13229</v>
          </cell>
          <cell r="N5765">
            <v>683926.05601571908</v>
          </cell>
          <cell r="O5765">
            <v>692380.00232629513</v>
          </cell>
          <cell r="P5765">
            <v>368.79259999999999</v>
          </cell>
        </row>
        <row r="5766">
          <cell r="B5766">
            <v>38543</v>
          </cell>
          <cell r="J5766">
            <v>3809804.3041216834</v>
          </cell>
          <cell r="K5766">
            <v>2.4380000000000002</v>
          </cell>
          <cell r="L5766">
            <v>148835</v>
          </cell>
          <cell r="M5766">
            <v>13229</v>
          </cell>
          <cell r="N5766">
            <v>683926.05601571908</v>
          </cell>
          <cell r="O5766">
            <v>692380.00232629513</v>
          </cell>
          <cell r="P5766">
            <v>368.79259999999999</v>
          </cell>
        </row>
        <row r="5767">
          <cell r="B5767">
            <v>38544</v>
          </cell>
          <cell r="J5767">
            <v>3809804.3041216834</v>
          </cell>
          <cell r="K5767">
            <v>2.4380000000000002</v>
          </cell>
          <cell r="L5767">
            <v>148835</v>
          </cell>
          <cell r="M5767">
            <v>13229</v>
          </cell>
          <cell r="N5767">
            <v>683926.05601571908</v>
          </cell>
          <cell r="O5767">
            <v>692380.00232629513</v>
          </cell>
          <cell r="P5767">
            <v>368.79259999999999</v>
          </cell>
        </row>
        <row r="5768">
          <cell r="B5768">
            <v>38545</v>
          </cell>
          <cell r="J5768">
            <v>3809804.3041216834</v>
          </cell>
          <cell r="K5768">
            <v>2.4380000000000002</v>
          </cell>
          <cell r="L5768">
            <v>148835</v>
          </cell>
          <cell r="M5768">
            <v>13229</v>
          </cell>
          <cell r="N5768">
            <v>683926.05601571908</v>
          </cell>
          <cell r="O5768">
            <v>692380.00232629513</v>
          </cell>
          <cell r="P5768">
            <v>368.79259999999999</v>
          </cell>
        </row>
        <row r="5769">
          <cell r="B5769">
            <v>38546</v>
          </cell>
          <cell r="J5769">
            <v>3809804.3041216834</v>
          </cell>
          <cell r="K5769">
            <v>2.4380000000000002</v>
          </cell>
          <cell r="L5769">
            <v>148835</v>
          </cell>
          <cell r="M5769">
            <v>13229</v>
          </cell>
          <cell r="N5769">
            <v>683926.05601571908</v>
          </cell>
          <cell r="O5769">
            <v>692380.00232629513</v>
          </cell>
          <cell r="P5769">
            <v>368.79259999999999</v>
          </cell>
        </row>
        <row r="5770">
          <cell r="B5770">
            <v>38547</v>
          </cell>
          <cell r="J5770">
            <v>3809804.3041216834</v>
          </cell>
          <cell r="K5770">
            <v>2.4380000000000002</v>
          </cell>
          <cell r="L5770">
            <v>148835</v>
          </cell>
          <cell r="M5770">
            <v>13229</v>
          </cell>
          <cell r="N5770">
            <v>683926.05601571908</v>
          </cell>
          <cell r="O5770">
            <v>692380.00232629513</v>
          </cell>
          <cell r="P5770">
            <v>368.79259999999999</v>
          </cell>
        </row>
        <row r="5771">
          <cell r="B5771">
            <v>38548</v>
          </cell>
          <cell r="J5771">
            <v>3809804.3041216834</v>
          </cell>
          <cell r="K5771">
            <v>2.4380000000000002</v>
          </cell>
          <cell r="L5771">
            <v>148835</v>
          </cell>
          <cell r="M5771">
            <v>13229</v>
          </cell>
          <cell r="N5771">
            <v>683926.05601571908</v>
          </cell>
          <cell r="O5771">
            <v>692380.00232629513</v>
          </cell>
          <cell r="P5771">
            <v>368.79259999999999</v>
          </cell>
        </row>
        <row r="5772">
          <cell r="B5772">
            <v>38549</v>
          </cell>
          <cell r="J5772">
            <v>3809804.3041216834</v>
          </cell>
          <cell r="K5772">
            <v>2.4380000000000002</v>
          </cell>
          <cell r="L5772">
            <v>148835</v>
          </cell>
          <cell r="M5772">
            <v>13229</v>
          </cell>
          <cell r="N5772">
            <v>683926.05601571908</v>
          </cell>
          <cell r="O5772">
            <v>692380.00232629513</v>
          </cell>
          <cell r="P5772">
            <v>368.79259999999999</v>
          </cell>
        </row>
        <row r="5773">
          <cell r="B5773">
            <v>38550</v>
          </cell>
          <cell r="J5773">
            <v>3809804.3041216834</v>
          </cell>
          <cell r="K5773">
            <v>2.4380000000000002</v>
          </cell>
          <cell r="L5773">
            <v>148835</v>
          </cell>
          <cell r="M5773">
            <v>13229</v>
          </cell>
          <cell r="N5773">
            <v>683926.05601571908</v>
          </cell>
          <cell r="O5773">
            <v>692380.00232629513</v>
          </cell>
          <cell r="P5773">
            <v>368.79259999999999</v>
          </cell>
        </row>
        <row r="5774">
          <cell r="B5774">
            <v>38551</v>
          </cell>
          <cell r="J5774">
            <v>3809804.3041216834</v>
          </cell>
          <cell r="K5774">
            <v>2.4380000000000002</v>
          </cell>
          <cell r="L5774">
            <v>148835</v>
          </cell>
          <cell r="M5774">
            <v>13229</v>
          </cell>
          <cell r="N5774">
            <v>683926.05601571908</v>
          </cell>
          <cell r="O5774">
            <v>692380.00232629513</v>
          </cell>
          <cell r="P5774">
            <v>368.79259999999999</v>
          </cell>
        </row>
        <row r="5775">
          <cell r="B5775">
            <v>38552</v>
          </cell>
          <cell r="J5775">
            <v>3809804.3041216834</v>
          </cell>
          <cell r="K5775">
            <v>2.4380000000000002</v>
          </cell>
          <cell r="L5775">
            <v>148835</v>
          </cell>
          <cell r="M5775">
            <v>13229</v>
          </cell>
          <cell r="N5775">
            <v>683926.05601571908</v>
          </cell>
          <cell r="O5775">
            <v>692380.00232629513</v>
          </cell>
          <cell r="P5775">
            <v>368.79259999999999</v>
          </cell>
        </row>
        <row r="5776">
          <cell r="B5776">
            <v>38553</v>
          </cell>
          <cell r="J5776">
            <v>3809804.3041216834</v>
          </cell>
          <cell r="K5776">
            <v>2.4380000000000002</v>
          </cell>
          <cell r="L5776">
            <v>148835</v>
          </cell>
          <cell r="M5776">
            <v>13229</v>
          </cell>
          <cell r="N5776">
            <v>683926.05601571908</v>
          </cell>
          <cell r="O5776">
            <v>692380.00232629513</v>
          </cell>
          <cell r="P5776">
            <v>368.79259999999999</v>
          </cell>
        </row>
        <row r="5777">
          <cell r="B5777">
            <v>38554</v>
          </cell>
          <cell r="J5777">
            <v>3809804.3041216834</v>
          </cell>
          <cell r="K5777">
            <v>2.4380000000000002</v>
          </cell>
          <cell r="L5777">
            <v>148835</v>
          </cell>
          <cell r="M5777">
            <v>13229</v>
          </cell>
          <cell r="N5777">
            <v>683926.05601571908</v>
          </cell>
          <cell r="O5777">
            <v>692380.00232629513</v>
          </cell>
          <cell r="P5777">
            <v>368.79259999999999</v>
          </cell>
        </row>
        <row r="5778">
          <cell r="B5778">
            <v>38555</v>
          </cell>
          <cell r="J5778">
            <v>3809804.3041216834</v>
          </cell>
          <cell r="K5778">
            <v>2.4380000000000002</v>
          </cell>
          <cell r="L5778">
            <v>148835</v>
          </cell>
          <cell r="M5778">
            <v>13229</v>
          </cell>
          <cell r="N5778">
            <v>683926.05601571908</v>
          </cell>
          <cell r="O5778">
            <v>692380.00232629513</v>
          </cell>
          <cell r="P5778">
            <v>368.79259999999999</v>
          </cell>
        </row>
        <row r="5779">
          <cell r="B5779">
            <v>38556</v>
          </cell>
          <cell r="J5779">
            <v>3809804.3041216834</v>
          </cell>
          <cell r="K5779">
            <v>2.4380000000000002</v>
          </cell>
          <cell r="L5779">
            <v>148835</v>
          </cell>
          <cell r="M5779">
            <v>13229</v>
          </cell>
          <cell r="N5779">
            <v>683926.05601571908</v>
          </cell>
          <cell r="O5779">
            <v>692380.00232629513</v>
          </cell>
          <cell r="P5779">
            <v>368.79259999999999</v>
          </cell>
        </row>
        <row r="5780">
          <cell r="B5780">
            <v>38557</v>
          </cell>
          <cell r="J5780">
            <v>3809804.3041216834</v>
          </cell>
          <cell r="K5780">
            <v>2.4380000000000002</v>
          </cell>
          <cell r="L5780">
            <v>148835</v>
          </cell>
          <cell r="M5780">
            <v>13229</v>
          </cell>
          <cell r="N5780">
            <v>683926.05601571908</v>
          </cell>
          <cell r="O5780">
            <v>692380.00232629513</v>
          </cell>
          <cell r="P5780">
            <v>368.79259999999999</v>
          </cell>
        </row>
        <row r="5781">
          <cell r="B5781">
            <v>38558</v>
          </cell>
          <cell r="J5781">
            <v>3809804.3041216834</v>
          </cell>
          <cell r="K5781">
            <v>2.4380000000000002</v>
          </cell>
          <cell r="L5781">
            <v>148835</v>
          </cell>
          <cell r="M5781">
            <v>13229</v>
          </cell>
          <cell r="N5781">
            <v>683926.05601571908</v>
          </cell>
          <cell r="O5781">
            <v>692380.00232629513</v>
          </cell>
          <cell r="P5781">
            <v>368.79259999999999</v>
          </cell>
        </row>
        <row r="5782">
          <cell r="B5782">
            <v>38559</v>
          </cell>
          <cell r="J5782">
            <v>3809804.3041216834</v>
          </cell>
          <cell r="K5782">
            <v>2.4380000000000002</v>
          </cell>
          <cell r="L5782">
            <v>148835</v>
          </cell>
          <cell r="M5782">
            <v>13229</v>
          </cell>
          <cell r="N5782">
            <v>683926.05601571908</v>
          </cell>
          <cell r="O5782">
            <v>692380.00232629513</v>
          </cell>
          <cell r="P5782">
            <v>368.79259999999999</v>
          </cell>
        </row>
        <row r="5783">
          <cell r="B5783">
            <v>38560</v>
          </cell>
          <cell r="J5783">
            <v>3809804.3041216834</v>
          </cell>
          <cell r="K5783">
            <v>2.4380000000000002</v>
          </cell>
          <cell r="L5783">
            <v>148835</v>
          </cell>
          <cell r="M5783">
            <v>13229</v>
          </cell>
          <cell r="N5783">
            <v>683926.05601571908</v>
          </cell>
          <cell r="O5783">
            <v>692380.00232629513</v>
          </cell>
          <cell r="P5783">
            <v>368.79259999999999</v>
          </cell>
        </row>
        <row r="5784">
          <cell r="B5784">
            <v>38561</v>
          </cell>
          <cell r="J5784">
            <v>3809804.3041216834</v>
          </cell>
          <cell r="K5784">
            <v>2.4380000000000002</v>
          </cell>
          <cell r="L5784">
            <v>148835</v>
          </cell>
          <cell r="M5784">
            <v>13229</v>
          </cell>
          <cell r="N5784">
            <v>683926.05601571908</v>
          </cell>
          <cell r="O5784">
            <v>692380.00232629513</v>
          </cell>
          <cell r="P5784">
            <v>368.79259999999999</v>
          </cell>
        </row>
        <row r="5785">
          <cell r="B5785">
            <v>38562</v>
          </cell>
          <cell r="J5785">
            <v>3809804.3041216834</v>
          </cell>
          <cell r="K5785">
            <v>2.4380000000000002</v>
          </cell>
          <cell r="L5785">
            <v>148835</v>
          </cell>
          <cell r="M5785">
            <v>13229</v>
          </cell>
          <cell r="N5785">
            <v>683926.05601571908</v>
          </cell>
          <cell r="O5785">
            <v>692380.00232629513</v>
          </cell>
          <cell r="P5785">
            <v>368.79259999999999</v>
          </cell>
        </row>
        <row r="5786">
          <cell r="B5786">
            <v>38563</v>
          </cell>
          <cell r="J5786">
            <v>3809804.3041216834</v>
          </cell>
          <cell r="K5786">
            <v>2.4380000000000002</v>
          </cell>
          <cell r="L5786">
            <v>148835</v>
          </cell>
          <cell r="M5786">
            <v>13229</v>
          </cell>
          <cell r="N5786">
            <v>683926.05601571908</v>
          </cell>
          <cell r="O5786">
            <v>692380.00232629513</v>
          </cell>
          <cell r="P5786">
            <v>368.79259999999999</v>
          </cell>
        </row>
        <row r="5787">
          <cell r="B5787">
            <v>38564</v>
          </cell>
          <cell r="J5787">
            <v>3809804.3041216834</v>
          </cell>
          <cell r="K5787">
            <v>2.4380000000000002</v>
          </cell>
          <cell r="L5787">
            <v>148835</v>
          </cell>
          <cell r="M5787">
            <v>13229</v>
          </cell>
          <cell r="N5787">
            <v>683926.05601571908</v>
          </cell>
          <cell r="O5787">
            <v>692380.00232629513</v>
          </cell>
          <cell r="P5787">
            <v>368.79259999999999</v>
          </cell>
        </row>
        <row r="5788">
          <cell r="B5788">
            <v>38565</v>
          </cell>
          <cell r="J5788">
            <v>3809804.3041216834</v>
          </cell>
          <cell r="K5788">
            <v>2.4380000000000002</v>
          </cell>
          <cell r="L5788">
            <v>148835</v>
          </cell>
          <cell r="M5788">
            <v>13229</v>
          </cell>
          <cell r="N5788">
            <v>683926.05601571908</v>
          </cell>
          <cell r="O5788">
            <v>692380.00232629513</v>
          </cell>
          <cell r="P5788">
            <v>368.79259999999999</v>
          </cell>
        </row>
        <row r="5789">
          <cell r="B5789">
            <v>38566</v>
          </cell>
          <cell r="J5789">
            <v>3809804.3041216834</v>
          </cell>
          <cell r="K5789">
            <v>2.4380000000000002</v>
          </cell>
          <cell r="L5789">
            <v>148835</v>
          </cell>
          <cell r="M5789">
            <v>13229</v>
          </cell>
          <cell r="N5789">
            <v>683926.05601571908</v>
          </cell>
          <cell r="O5789">
            <v>692380.00232629513</v>
          </cell>
          <cell r="P5789">
            <v>368.79259999999999</v>
          </cell>
        </row>
        <row r="5790">
          <cell r="B5790">
            <v>38567</v>
          </cell>
          <cell r="J5790">
            <v>3809804.3041216834</v>
          </cell>
          <cell r="K5790">
            <v>2.4380000000000002</v>
          </cell>
          <cell r="L5790">
            <v>148835</v>
          </cell>
          <cell r="M5790">
            <v>13229</v>
          </cell>
          <cell r="N5790">
            <v>683926.05601571908</v>
          </cell>
          <cell r="O5790">
            <v>692380.00232629513</v>
          </cell>
          <cell r="P5790">
            <v>368.79259999999999</v>
          </cell>
        </row>
        <row r="5791">
          <cell r="B5791">
            <v>38568</v>
          </cell>
          <cell r="J5791">
            <v>3809804.3041216834</v>
          </cell>
          <cell r="K5791">
            <v>2.4380000000000002</v>
          </cell>
          <cell r="L5791">
            <v>148835</v>
          </cell>
          <cell r="M5791">
            <v>13229</v>
          </cell>
          <cell r="N5791">
            <v>683926.05601571908</v>
          </cell>
          <cell r="O5791">
            <v>692380.00232629513</v>
          </cell>
          <cell r="P5791">
            <v>368.79259999999999</v>
          </cell>
        </row>
        <row r="5792">
          <cell r="B5792">
            <v>38569</v>
          </cell>
          <cell r="J5792">
            <v>3809804.3041216834</v>
          </cell>
          <cell r="K5792">
            <v>2.4380000000000002</v>
          </cell>
          <cell r="L5792">
            <v>148835</v>
          </cell>
          <cell r="M5792">
            <v>13229</v>
          </cell>
          <cell r="N5792">
            <v>683926.05601571908</v>
          </cell>
          <cell r="O5792">
            <v>692380.00232629513</v>
          </cell>
          <cell r="P5792">
            <v>368.79259999999999</v>
          </cell>
        </row>
        <row r="5793">
          <cell r="B5793">
            <v>38570</v>
          </cell>
          <cell r="J5793">
            <v>3809804.3041216834</v>
          </cell>
          <cell r="K5793">
            <v>2.4380000000000002</v>
          </cell>
          <cell r="L5793">
            <v>148835</v>
          </cell>
          <cell r="M5793">
            <v>13229</v>
          </cell>
          <cell r="N5793">
            <v>683926.05601571908</v>
          </cell>
          <cell r="O5793">
            <v>692380.00232629513</v>
          </cell>
          <cell r="P5793">
            <v>368.79259999999999</v>
          </cell>
        </row>
        <row r="5794">
          <cell r="B5794">
            <v>38571</v>
          </cell>
          <cell r="J5794">
            <v>3809804.3041216834</v>
          </cell>
          <cell r="K5794">
            <v>2.4380000000000002</v>
          </cell>
          <cell r="L5794">
            <v>148835</v>
          </cell>
          <cell r="M5794">
            <v>13229</v>
          </cell>
          <cell r="N5794">
            <v>683926.05601571908</v>
          </cell>
          <cell r="O5794">
            <v>692380.00232629513</v>
          </cell>
          <cell r="P5794">
            <v>368.79259999999999</v>
          </cell>
        </row>
        <row r="5795">
          <cell r="B5795">
            <v>38572</v>
          </cell>
          <cell r="J5795">
            <v>3809804.3041216834</v>
          </cell>
          <cell r="K5795">
            <v>2.4380000000000002</v>
          </cell>
          <cell r="L5795">
            <v>148835</v>
          </cell>
          <cell r="M5795">
            <v>13229</v>
          </cell>
          <cell r="N5795">
            <v>683926.05601571908</v>
          </cell>
          <cell r="O5795">
            <v>692380.00232629513</v>
          </cell>
          <cell r="P5795">
            <v>368.79259999999999</v>
          </cell>
        </row>
        <row r="5796">
          <cell r="B5796">
            <v>38573</v>
          </cell>
          <cell r="J5796">
            <v>3809804.3041216834</v>
          </cell>
          <cell r="K5796">
            <v>2.4380000000000002</v>
          </cell>
          <cell r="L5796">
            <v>148835</v>
          </cell>
          <cell r="M5796">
            <v>13229</v>
          </cell>
          <cell r="N5796">
            <v>683926.05601571908</v>
          </cell>
          <cell r="O5796">
            <v>692380.00232629513</v>
          </cell>
          <cell r="P5796">
            <v>368.79259999999999</v>
          </cell>
        </row>
        <row r="5797">
          <cell r="B5797">
            <v>38574</v>
          </cell>
          <cell r="J5797">
            <v>3809804.3041216834</v>
          </cell>
          <cell r="K5797">
            <v>2.4380000000000002</v>
          </cell>
          <cell r="L5797">
            <v>148835</v>
          </cell>
          <cell r="M5797">
            <v>13229</v>
          </cell>
          <cell r="N5797">
            <v>683926.05601571908</v>
          </cell>
          <cell r="O5797">
            <v>692380.00232629513</v>
          </cell>
          <cell r="P5797">
            <v>368.79259999999999</v>
          </cell>
        </row>
        <row r="5798">
          <cell r="B5798">
            <v>38575</v>
          </cell>
          <cell r="J5798">
            <v>3809804.3041216834</v>
          </cell>
          <cell r="K5798">
            <v>2.4380000000000002</v>
          </cell>
          <cell r="L5798">
            <v>148835</v>
          </cell>
          <cell r="M5798">
            <v>13229</v>
          </cell>
          <cell r="N5798">
            <v>683926.05601571908</v>
          </cell>
          <cell r="O5798">
            <v>692380.00232629513</v>
          </cell>
          <cell r="P5798">
            <v>368.79259999999999</v>
          </cell>
        </row>
        <row r="5799">
          <cell r="B5799">
            <v>38576</v>
          </cell>
          <cell r="J5799">
            <v>3809804.3041216834</v>
          </cell>
          <cell r="K5799">
            <v>2.4380000000000002</v>
          </cell>
          <cell r="L5799">
            <v>148835</v>
          </cell>
          <cell r="M5799">
            <v>13229</v>
          </cell>
          <cell r="N5799">
            <v>683926.05601571908</v>
          </cell>
          <cell r="O5799">
            <v>692380.00232629513</v>
          </cell>
          <cell r="P5799">
            <v>368.79259999999999</v>
          </cell>
        </row>
        <row r="5800">
          <cell r="B5800">
            <v>38577</v>
          </cell>
          <cell r="J5800">
            <v>3809804.3041216834</v>
          </cell>
          <cell r="K5800">
            <v>2.4380000000000002</v>
          </cell>
          <cell r="L5800">
            <v>148835</v>
          </cell>
          <cell r="M5800">
            <v>13229</v>
          </cell>
          <cell r="N5800">
            <v>683926.05601571908</v>
          </cell>
          <cell r="O5800">
            <v>692380.00232629513</v>
          </cell>
          <cell r="P5800">
            <v>368.79259999999999</v>
          </cell>
        </row>
        <row r="5801">
          <cell r="B5801">
            <v>38578</v>
          </cell>
          <cell r="J5801">
            <v>3809804.3041216834</v>
          </cell>
          <cell r="K5801">
            <v>2.4380000000000002</v>
          </cell>
          <cell r="L5801">
            <v>148835</v>
          </cell>
          <cell r="M5801">
            <v>13229</v>
          </cell>
          <cell r="N5801">
            <v>683926.05601571908</v>
          </cell>
          <cell r="O5801">
            <v>692380.00232629513</v>
          </cell>
          <cell r="P5801">
            <v>368.79259999999999</v>
          </cell>
        </row>
        <row r="5802">
          <cell r="B5802">
            <v>38579</v>
          </cell>
          <cell r="J5802">
            <v>3809804.3041216834</v>
          </cell>
          <cell r="K5802">
            <v>2.4380000000000002</v>
          </cell>
          <cell r="L5802">
            <v>148835</v>
          </cell>
          <cell r="M5802">
            <v>13229</v>
          </cell>
          <cell r="N5802">
            <v>683926.05601571908</v>
          </cell>
          <cell r="O5802">
            <v>692380.00232629513</v>
          </cell>
          <cell r="P5802">
            <v>368.79259999999999</v>
          </cell>
        </row>
        <row r="5803">
          <cell r="B5803">
            <v>38580</v>
          </cell>
          <cell r="J5803">
            <v>3809804.3041216834</v>
          </cell>
          <cell r="K5803">
            <v>2.4380000000000002</v>
          </cell>
          <cell r="L5803">
            <v>148835</v>
          </cell>
          <cell r="M5803">
            <v>13229</v>
          </cell>
          <cell r="N5803">
            <v>683926.05601571908</v>
          </cell>
          <cell r="O5803">
            <v>692380.00232629513</v>
          </cell>
          <cell r="P5803">
            <v>368.79259999999999</v>
          </cell>
        </row>
        <row r="5804">
          <cell r="B5804">
            <v>38581</v>
          </cell>
          <cell r="J5804">
            <v>3809804.3041216834</v>
          </cell>
          <cell r="K5804">
            <v>2.4380000000000002</v>
          </cell>
          <cell r="L5804">
            <v>148835</v>
          </cell>
          <cell r="M5804">
            <v>13229</v>
          </cell>
          <cell r="N5804">
            <v>683926.05601571908</v>
          </cell>
          <cell r="O5804">
            <v>692380.00232629513</v>
          </cell>
          <cell r="P5804">
            <v>368.79259999999999</v>
          </cell>
        </row>
        <row r="5805">
          <cell r="B5805">
            <v>38582</v>
          </cell>
          <cell r="J5805">
            <v>3809804.3041216834</v>
          </cell>
          <cell r="K5805">
            <v>2.4380000000000002</v>
          </cell>
          <cell r="L5805">
            <v>148835</v>
          </cell>
          <cell r="M5805">
            <v>13229</v>
          </cell>
          <cell r="N5805">
            <v>683926.05601571908</v>
          </cell>
          <cell r="O5805">
            <v>692380.00232629513</v>
          </cell>
          <cell r="P5805">
            <v>368.79259999999999</v>
          </cell>
        </row>
        <row r="5806">
          <cell r="B5806">
            <v>38583</v>
          </cell>
          <cell r="J5806">
            <v>3809804.3041216834</v>
          </cell>
          <cell r="K5806">
            <v>2.4380000000000002</v>
          </cell>
          <cell r="L5806">
            <v>148835</v>
          </cell>
          <cell r="M5806">
            <v>13229</v>
          </cell>
          <cell r="N5806">
            <v>683926.05601571908</v>
          </cell>
          <cell r="O5806">
            <v>692380.00232629513</v>
          </cell>
          <cell r="P5806">
            <v>368.79259999999999</v>
          </cell>
        </row>
        <row r="5807">
          <cell r="B5807">
            <v>38584</v>
          </cell>
          <cell r="J5807">
            <v>3809804.3041216834</v>
          </cell>
          <cell r="K5807">
            <v>2.4380000000000002</v>
          </cell>
          <cell r="L5807">
            <v>148835</v>
          </cell>
          <cell r="M5807">
            <v>13229</v>
          </cell>
          <cell r="N5807">
            <v>683926.05601571908</v>
          </cell>
          <cell r="O5807">
            <v>692380.00232629513</v>
          </cell>
          <cell r="P5807">
            <v>368.79259999999999</v>
          </cell>
        </row>
        <row r="5808">
          <cell r="B5808">
            <v>38585</v>
          </cell>
          <cell r="J5808">
            <v>3809804.3041216834</v>
          </cell>
          <cell r="K5808">
            <v>2.4380000000000002</v>
          </cell>
          <cell r="L5808">
            <v>148835</v>
          </cell>
          <cell r="M5808">
            <v>13229</v>
          </cell>
          <cell r="N5808">
            <v>683926.05601571908</v>
          </cell>
          <cell r="O5808">
            <v>692380.00232629513</v>
          </cell>
          <cell r="P5808">
            <v>368.79259999999999</v>
          </cell>
        </row>
        <row r="5809">
          <cell r="B5809">
            <v>38586</v>
          </cell>
          <cell r="J5809">
            <v>3809804.3041216834</v>
          </cell>
          <cell r="K5809">
            <v>2.4380000000000002</v>
          </cell>
          <cell r="L5809">
            <v>148835</v>
          </cell>
          <cell r="M5809">
            <v>13229</v>
          </cell>
          <cell r="N5809">
            <v>683926.05601571908</v>
          </cell>
          <cell r="O5809">
            <v>692380.00232629513</v>
          </cell>
          <cell r="P5809">
            <v>368.79259999999999</v>
          </cell>
        </row>
        <row r="5810">
          <cell r="B5810">
            <v>38587</v>
          </cell>
          <cell r="J5810">
            <v>3809804.3041216834</v>
          </cell>
          <cell r="K5810">
            <v>2.4380000000000002</v>
          </cell>
          <cell r="L5810">
            <v>148835</v>
          </cell>
          <cell r="M5810">
            <v>13229</v>
          </cell>
          <cell r="N5810">
            <v>683926.05601571908</v>
          </cell>
          <cell r="O5810">
            <v>692380.00232629513</v>
          </cell>
          <cell r="P5810">
            <v>368.79259999999999</v>
          </cell>
        </row>
        <row r="5811">
          <cell r="B5811">
            <v>38588</v>
          </cell>
          <cell r="J5811">
            <v>3809804.3041216834</v>
          </cell>
          <cell r="K5811">
            <v>2.4380000000000002</v>
          </cell>
          <cell r="L5811">
            <v>148835</v>
          </cell>
          <cell r="M5811">
            <v>13229</v>
          </cell>
          <cell r="N5811">
            <v>683926.05601571908</v>
          </cell>
          <cell r="O5811">
            <v>692380.00232629513</v>
          </cell>
          <cell r="P5811">
            <v>368.79259999999999</v>
          </cell>
        </row>
        <row r="5812">
          <cell r="B5812">
            <v>38589</v>
          </cell>
          <cell r="J5812">
            <v>3809804.3041216834</v>
          </cell>
          <cell r="K5812">
            <v>2.4380000000000002</v>
          </cell>
          <cell r="L5812">
            <v>148835</v>
          </cell>
          <cell r="M5812">
            <v>13229</v>
          </cell>
          <cell r="N5812">
            <v>683926.05601571908</v>
          </cell>
          <cell r="O5812">
            <v>692380.00232629513</v>
          </cell>
          <cell r="P5812">
            <v>368.79259999999999</v>
          </cell>
        </row>
        <row r="5813">
          <cell r="B5813">
            <v>38590</v>
          </cell>
          <cell r="J5813">
            <v>3809804.3041216834</v>
          </cell>
          <cell r="K5813">
            <v>2.4380000000000002</v>
          </cell>
          <cell r="L5813">
            <v>148835</v>
          </cell>
          <cell r="M5813">
            <v>13229</v>
          </cell>
          <cell r="N5813">
            <v>683926.05601571908</v>
          </cell>
          <cell r="O5813">
            <v>692380.00232629513</v>
          </cell>
          <cell r="P5813">
            <v>368.79259999999999</v>
          </cell>
        </row>
        <row r="5814">
          <cell r="B5814">
            <v>38591</v>
          </cell>
          <cell r="J5814">
            <v>3809804.3041216834</v>
          </cell>
          <cell r="K5814">
            <v>2.4380000000000002</v>
          </cell>
          <cell r="L5814">
            <v>148835</v>
          </cell>
          <cell r="M5814">
            <v>13229</v>
          </cell>
          <cell r="N5814">
            <v>683926.05601571908</v>
          </cell>
          <cell r="O5814">
            <v>692380.00232629513</v>
          </cell>
          <cell r="P5814">
            <v>368.79259999999999</v>
          </cell>
        </row>
        <row r="5815">
          <cell r="B5815">
            <v>38592</v>
          </cell>
          <cell r="J5815">
            <v>3809804.3041216834</v>
          </cell>
          <cell r="K5815">
            <v>2.4380000000000002</v>
          </cell>
          <cell r="L5815">
            <v>148835</v>
          </cell>
          <cell r="M5815">
            <v>13229</v>
          </cell>
          <cell r="N5815">
            <v>683926.05601571908</v>
          </cell>
          <cell r="O5815">
            <v>692380.00232629513</v>
          </cell>
          <cell r="P5815">
            <v>368.79259999999999</v>
          </cell>
        </row>
        <row r="5816">
          <cell r="B5816">
            <v>38593</v>
          </cell>
          <cell r="J5816">
            <v>3809804.3041216834</v>
          </cell>
          <cell r="K5816">
            <v>2.4380000000000002</v>
          </cell>
          <cell r="L5816">
            <v>148835</v>
          </cell>
          <cell r="M5816">
            <v>13229</v>
          </cell>
          <cell r="N5816">
            <v>683926.05601571908</v>
          </cell>
          <cell r="O5816">
            <v>692380.00232629513</v>
          </cell>
          <cell r="P5816">
            <v>368.79259999999999</v>
          </cell>
        </row>
        <row r="5817">
          <cell r="B5817">
            <v>38594</v>
          </cell>
          <cell r="J5817">
            <v>3809804.3041216834</v>
          </cell>
          <cell r="K5817">
            <v>2.4380000000000002</v>
          </cell>
          <cell r="L5817">
            <v>148835</v>
          </cell>
          <cell r="M5817">
            <v>13229</v>
          </cell>
          <cell r="N5817">
            <v>683926.05601571908</v>
          </cell>
          <cell r="O5817">
            <v>692380.00232629513</v>
          </cell>
          <cell r="P5817">
            <v>368.79259999999999</v>
          </cell>
        </row>
        <row r="5818">
          <cell r="B5818">
            <v>38595</v>
          </cell>
          <cell r="J5818">
            <v>3809804.3041216834</v>
          </cell>
          <cell r="K5818">
            <v>2.4380000000000002</v>
          </cell>
          <cell r="L5818">
            <v>148835</v>
          </cell>
          <cell r="M5818">
            <v>13229</v>
          </cell>
          <cell r="N5818">
            <v>683926.05601571908</v>
          </cell>
          <cell r="O5818">
            <v>692380.00232629513</v>
          </cell>
          <cell r="P5818">
            <v>368.79259999999999</v>
          </cell>
        </row>
        <row r="5819">
          <cell r="B5819">
            <v>38596</v>
          </cell>
          <cell r="J5819">
            <v>3809804.3041216834</v>
          </cell>
          <cell r="K5819">
            <v>2.4380000000000002</v>
          </cell>
          <cell r="L5819">
            <v>148835</v>
          </cell>
          <cell r="M5819">
            <v>13229</v>
          </cell>
          <cell r="N5819">
            <v>683926.05601571908</v>
          </cell>
          <cell r="O5819">
            <v>692380.00232629513</v>
          </cell>
          <cell r="P5819">
            <v>368.79259999999999</v>
          </cell>
        </row>
        <row r="5820">
          <cell r="B5820">
            <v>38597</v>
          </cell>
          <cell r="J5820">
            <v>3809804.3041216834</v>
          </cell>
          <cell r="K5820">
            <v>2.4380000000000002</v>
          </cell>
          <cell r="L5820">
            <v>148835</v>
          </cell>
          <cell r="M5820">
            <v>13229</v>
          </cell>
          <cell r="N5820">
            <v>683926.05601571908</v>
          </cell>
          <cell r="O5820">
            <v>692380.00232629513</v>
          </cell>
          <cell r="P5820">
            <v>368.79259999999999</v>
          </cell>
        </row>
        <row r="5821">
          <cell r="B5821">
            <v>38598</v>
          </cell>
          <cell r="J5821">
            <v>3809804.3041216834</v>
          </cell>
          <cell r="K5821">
            <v>2.4380000000000002</v>
          </cell>
          <cell r="L5821">
            <v>148835</v>
          </cell>
          <cell r="M5821">
            <v>13229</v>
          </cell>
          <cell r="N5821">
            <v>683926.05601571908</v>
          </cell>
          <cell r="O5821">
            <v>692380.00232629513</v>
          </cell>
          <cell r="P5821">
            <v>368.79259999999999</v>
          </cell>
        </row>
        <row r="5822">
          <cell r="B5822">
            <v>38599</v>
          </cell>
          <cell r="J5822">
            <v>3809804.3041216834</v>
          </cell>
          <cell r="K5822">
            <v>2.4380000000000002</v>
          </cell>
          <cell r="L5822">
            <v>148835</v>
          </cell>
          <cell r="M5822">
            <v>13229</v>
          </cell>
          <cell r="N5822">
            <v>683926.05601571908</v>
          </cell>
          <cell r="O5822">
            <v>692380.00232629513</v>
          </cell>
          <cell r="P5822">
            <v>368.79259999999999</v>
          </cell>
        </row>
        <row r="5823">
          <cell r="B5823">
            <v>38600</v>
          </cell>
          <cell r="J5823">
            <v>3809804.3041216834</v>
          </cell>
          <cell r="K5823">
            <v>2.4380000000000002</v>
          </cell>
          <cell r="L5823">
            <v>148835</v>
          </cell>
          <cell r="M5823">
            <v>13229</v>
          </cell>
          <cell r="N5823">
            <v>683926.05601571908</v>
          </cell>
          <cell r="O5823">
            <v>692380.00232629513</v>
          </cell>
          <cell r="P5823">
            <v>368.79259999999999</v>
          </cell>
        </row>
        <row r="5824">
          <cell r="B5824">
            <v>38601</v>
          </cell>
          <cell r="J5824">
            <v>3809804.3041216834</v>
          </cell>
          <cell r="K5824">
            <v>2.4380000000000002</v>
          </cell>
          <cell r="L5824">
            <v>148835</v>
          </cell>
          <cell r="M5824">
            <v>13229</v>
          </cell>
          <cell r="N5824">
            <v>683926.05601571908</v>
          </cell>
          <cell r="O5824">
            <v>692380.00232629513</v>
          </cell>
          <cell r="P5824">
            <v>368.79259999999999</v>
          </cell>
        </row>
        <row r="5825">
          <cell r="B5825">
            <v>38602</v>
          </cell>
          <cell r="J5825">
            <v>3809804.3041216834</v>
          </cell>
          <cell r="K5825">
            <v>2.4380000000000002</v>
          </cell>
          <cell r="L5825">
            <v>148835</v>
          </cell>
          <cell r="M5825">
            <v>13229</v>
          </cell>
          <cell r="N5825">
            <v>683926.05601571908</v>
          </cell>
          <cell r="O5825">
            <v>692380.00232629513</v>
          </cell>
          <cell r="P5825">
            <v>368.79259999999999</v>
          </cell>
        </row>
        <row r="5826">
          <cell r="B5826">
            <v>38603</v>
          </cell>
          <cell r="J5826">
            <v>3809804.3041216834</v>
          </cell>
          <cell r="K5826">
            <v>2.4380000000000002</v>
          </cell>
          <cell r="L5826">
            <v>148835</v>
          </cell>
          <cell r="M5826">
            <v>13229</v>
          </cell>
          <cell r="N5826">
            <v>683926.05601571908</v>
          </cell>
          <cell r="O5826">
            <v>692380.00232629513</v>
          </cell>
          <cell r="P5826">
            <v>368.79259999999999</v>
          </cell>
        </row>
        <row r="5827">
          <cell r="B5827">
            <v>38604</v>
          </cell>
          <cell r="J5827">
            <v>3809804.3041216834</v>
          </cell>
          <cell r="K5827">
            <v>2.4380000000000002</v>
          </cell>
          <cell r="L5827">
            <v>148835</v>
          </cell>
          <cell r="M5827">
            <v>13229</v>
          </cell>
          <cell r="N5827">
            <v>683926.05601571908</v>
          </cell>
          <cell r="O5827">
            <v>692380.00232629513</v>
          </cell>
          <cell r="P5827">
            <v>368.79259999999999</v>
          </cell>
        </row>
        <row r="5828">
          <cell r="B5828">
            <v>38605</v>
          </cell>
          <cell r="J5828">
            <v>3809804.3041216834</v>
          </cell>
          <cell r="K5828">
            <v>2.4380000000000002</v>
          </cell>
          <cell r="L5828">
            <v>148835</v>
          </cell>
          <cell r="M5828">
            <v>13229</v>
          </cell>
          <cell r="N5828">
            <v>683926.05601571908</v>
          </cell>
          <cell r="O5828">
            <v>692380.00232629513</v>
          </cell>
          <cell r="P5828">
            <v>368.79259999999999</v>
          </cell>
        </row>
        <row r="5829">
          <cell r="B5829">
            <v>38606</v>
          </cell>
          <cell r="J5829">
            <v>3809804.3041216834</v>
          </cell>
          <cell r="K5829">
            <v>2.4380000000000002</v>
          </cell>
          <cell r="L5829">
            <v>148835</v>
          </cell>
          <cell r="M5829">
            <v>13229</v>
          </cell>
          <cell r="N5829">
            <v>683926.05601571908</v>
          </cell>
          <cell r="O5829">
            <v>692380.00232629513</v>
          </cell>
          <cell r="P5829">
            <v>368.79259999999999</v>
          </cell>
        </row>
        <row r="5830">
          <cell r="B5830">
            <v>38607</v>
          </cell>
          <cell r="J5830">
            <v>3809804.3041216834</v>
          </cell>
          <cell r="K5830">
            <v>2.4380000000000002</v>
          </cell>
          <cell r="L5830">
            <v>148835</v>
          </cell>
          <cell r="M5830">
            <v>13229</v>
          </cell>
          <cell r="N5830">
            <v>683926.05601571908</v>
          </cell>
          <cell r="O5830">
            <v>692380.00232629513</v>
          </cell>
          <cell r="P5830">
            <v>368.79259999999999</v>
          </cell>
        </row>
        <row r="5831">
          <cell r="B5831">
            <v>38608</v>
          </cell>
          <cell r="J5831">
            <v>3809804.3041216834</v>
          </cell>
          <cell r="K5831">
            <v>2.4380000000000002</v>
          </cell>
          <cell r="L5831">
            <v>148835</v>
          </cell>
          <cell r="M5831">
            <v>13229</v>
          </cell>
          <cell r="N5831">
            <v>683926.05601571908</v>
          </cell>
          <cell r="O5831">
            <v>692380.00232629513</v>
          </cell>
          <cell r="P5831">
            <v>368.79259999999999</v>
          </cell>
        </row>
        <row r="5832">
          <cell r="B5832">
            <v>38609</v>
          </cell>
          <cell r="J5832">
            <v>3809804.3041216834</v>
          </cell>
          <cell r="K5832">
            <v>2.4380000000000002</v>
          </cell>
          <cell r="L5832">
            <v>148835</v>
          </cell>
          <cell r="M5832">
            <v>13229</v>
          </cell>
          <cell r="N5832">
            <v>683926.05601571908</v>
          </cell>
          <cell r="O5832">
            <v>692380.00232629513</v>
          </cell>
          <cell r="P5832">
            <v>368.79259999999999</v>
          </cell>
        </row>
        <row r="5833">
          <cell r="B5833">
            <v>38610</v>
          </cell>
          <cell r="J5833">
            <v>3809804.3041216834</v>
          </cell>
          <cell r="K5833">
            <v>2.4380000000000002</v>
          </cell>
          <cell r="L5833">
            <v>148835</v>
          </cell>
          <cell r="M5833">
            <v>13229</v>
          </cell>
          <cell r="N5833">
            <v>683926.05601571908</v>
          </cell>
          <cell r="O5833">
            <v>692380.00232629513</v>
          </cell>
          <cell r="P5833">
            <v>368.79259999999999</v>
          </cell>
        </row>
        <row r="5834">
          <cell r="B5834">
            <v>38611</v>
          </cell>
          <cell r="J5834">
            <v>3809804.3041216834</v>
          </cell>
          <cell r="K5834">
            <v>2.4380000000000002</v>
          </cell>
          <cell r="L5834">
            <v>148835</v>
          </cell>
          <cell r="M5834">
            <v>13229</v>
          </cell>
          <cell r="N5834">
            <v>683926.05601571908</v>
          </cell>
          <cell r="O5834">
            <v>692380.00232629513</v>
          </cell>
          <cell r="P5834">
            <v>368.79259999999999</v>
          </cell>
        </row>
        <row r="5835">
          <cell r="B5835">
            <v>38612</v>
          </cell>
          <cell r="J5835">
            <v>3809804.3041216834</v>
          </cell>
          <cell r="K5835">
            <v>2.4380000000000002</v>
          </cell>
          <cell r="L5835">
            <v>148835</v>
          </cell>
          <cell r="M5835">
            <v>13229</v>
          </cell>
          <cell r="N5835">
            <v>683926.05601571908</v>
          </cell>
          <cell r="O5835">
            <v>692380.00232629513</v>
          </cell>
          <cell r="P5835">
            <v>368.79259999999999</v>
          </cell>
        </row>
        <row r="5836">
          <cell r="B5836">
            <v>38613</v>
          </cell>
          <cell r="J5836">
            <v>3809804.3041216834</v>
          </cell>
          <cell r="K5836">
            <v>2.4380000000000002</v>
          </cell>
          <cell r="L5836">
            <v>148835</v>
          </cell>
          <cell r="M5836">
            <v>13229</v>
          </cell>
          <cell r="N5836">
            <v>683926.05601571908</v>
          </cell>
          <cell r="O5836">
            <v>692380.00232629513</v>
          </cell>
          <cell r="P5836">
            <v>368.79259999999999</v>
          </cell>
        </row>
        <row r="5837">
          <cell r="B5837">
            <v>38614</v>
          </cell>
          <cell r="J5837">
            <v>3809804.3041216834</v>
          </cell>
          <cell r="K5837">
            <v>2.4380000000000002</v>
          </cell>
          <cell r="L5837">
            <v>148835</v>
          </cell>
          <cell r="M5837">
            <v>13229</v>
          </cell>
          <cell r="N5837">
            <v>683926.05601571908</v>
          </cell>
          <cell r="O5837">
            <v>692380.00232629513</v>
          </cell>
          <cell r="P5837">
            <v>368.79259999999999</v>
          </cell>
        </row>
        <row r="5838">
          <cell r="B5838">
            <v>38615</v>
          </cell>
          <cell r="J5838">
            <v>3809804.3041216834</v>
          </cell>
          <cell r="K5838">
            <v>2.4380000000000002</v>
          </cell>
          <cell r="L5838">
            <v>148835</v>
          </cell>
          <cell r="M5838">
            <v>13229</v>
          </cell>
          <cell r="N5838">
            <v>683926.05601571908</v>
          </cell>
          <cell r="O5838">
            <v>692380.00232629513</v>
          </cell>
          <cell r="P5838">
            <v>368.79259999999999</v>
          </cell>
        </row>
        <row r="5839">
          <cell r="B5839">
            <v>38616</v>
          </cell>
          <cell r="J5839">
            <v>3809804.3041216834</v>
          </cell>
          <cell r="K5839">
            <v>2.4380000000000002</v>
          </cell>
          <cell r="L5839">
            <v>148835</v>
          </cell>
          <cell r="M5839">
            <v>13229</v>
          </cell>
          <cell r="N5839">
            <v>683926.05601571908</v>
          </cell>
          <cell r="O5839">
            <v>692380.00232629513</v>
          </cell>
          <cell r="P5839">
            <v>368.79259999999999</v>
          </cell>
        </row>
        <row r="5840">
          <cell r="B5840">
            <v>38617</v>
          </cell>
          <cell r="J5840">
            <v>3809804.3041216834</v>
          </cell>
          <cell r="K5840">
            <v>2.4380000000000002</v>
          </cell>
          <cell r="L5840">
            <v>148835</v>
          </cell>
          <cell r="M5840">
            <v>13229</v>
          </cell>
          <cell r="N5840">
            <v>683926.05601571908</v>
          </cell>
          <cell r="O5840">
            <v>692380.00232629513</v>
          </cell>
          <cell r="P5840">
            <v>368.79259999999999</v>
          </cell>
        </row>
        <row r="5841">
          <cell r="B5841">
            <v>38618</v>
          </cell>
          <cell r="J5841">
            <v>3809804.3041216834</v>
          </cell>
          <cell r="K5841">
            <v>2.4380000000000002</v>
          </cell>
          <cell r="L5841">
            <v>148835</v>
          </cell>
          <cell r="M5841">
            <v>13229</v>
          </cell>
          <cell r="N5841">
            <v>683926.05601571908</v>
          </cell>
          <cell r="O5841">
            <v>692380.00232629513</v>
          </cell>
          <cell r="P5841">
            <v>368.79259999999999</v>
          </cell>
        </row>
        <row r="5842">
          <cell r="B5842">
            <v>38619</v>
          </cell>
          <cell r="J5842">
            <v>3809804.3041216834</v>
          </cell>
          <cell r="K5842">
            <v>2.4380000000000002</v>
          </cell>
          <cell r="L5842">
            <v>148835</v>
          </cell>
          <cell r="M5842">
            <v>13229</v>
          </cell>
          <cell r="N5842">
            <v>683926.05601571908</v>
          </cell>
          <cell r="O5842">
            <v>692380.00232629513</v>
          </cell>
          <cell r="P5842">
            <v>368.79259999999999</v>
          </cell>
        </row>
        <row r="5843">
          <cell r="B5843">
            <v>38620</v>
          </cell>
          <cell r="J5843">
            <v>3809804.3041216834</v>
          </cell>
          <cell r="K5843">
            <v>2.4380000000000002</v>
          </cell>
          <cell r="L5843">
            <v>148835</v>
          </cell>
          <cell r="M5843">
            <v>13229</v>
          </cell>
          <cell r="N5843">
            <v>683926.05601571908</v>
          </cell>
          <cell r="O5843">
            <v>692380.00232629513</v>
          </cell>
          <cell r="P5843">
            <v>368.79259999999999</v>
          </cell>
        </row>
        <row r="5844">
          <cell r="B5844">
            <v>38621</v>
          </cell>
          <cell r="J5844">
            <v>3809804.3041216834</v>
          </cell>
          <cell r="K5844">
            <v>2.4380000000000002</v>
          </cell>
          <cell r="L5844">
            <v>148835</v>
          </cell>
          <cell r="M5844">
            <v>13229</v>
          </cell>
          <cell r="N5844">
            <v>683926.05601571908</v>
          </cell>
          <cell r="O5844">
            <v>692380.00232629513</v>
          </cell>
          <cell r="P5844">
            <v>368.79259999999999</v>
          </cell>
        </row>
        <row r="5845">
          <cell r="B5845">
            <v>38622</v>
          </cell>
          <cell r="J5845">
            <v>3809804.3041216834</v>
          </cell>
          <cell r="K5845">
            <v>2.4380000000000002</v>
          </cell>
          <cell r="L5845">
            <v>148835</v>
          </cell>
          <cell r="M5845">
            <v>13229</v>
          </cell>
          <cell r="N5845">
            <v>683926.05601571908</v>
          </cell>
          <cell r="O5845">
            <v>692380.00232629513</v>
          </cell>
          <cell r="P5845">
            <v>368.79259999999999</v>
          </cell>
        </row>
        <row r="5846">
          <cell r="B5846">
            <v>38623</v>
          </cell>
          <cell r="J5846">
            <v>3809804.3041216834</v>
          </cell>
          <cell r="K5846">
            <v>2.4380000000000002</v>
          </cell>
          <cell r="L5846">
            <v>148835</v>
          </cell>
          <cell r="M5846">
            <v>13229</v>
          </cell>
          <cell r="N5846">
            <v>683926.05601571908</v>
          </cell>
          <cell r="O5846">
            <v>692380.00232629513</v>
          </cell>
          <cell r="P5846">
            <v>368.79259999999999</v>
          </cell>
        </row>
        <row r="5847">
          <cell r="B5847">
            <v>38624</v>
          </cell>
          <cell r="J5847">
            <v>3809804.3041216834</v>
          </cell>
          <cell r="K5847">
            <v>2.4380000000000002</v>
          </cell>
          <cell r="L5847">
            <v>148835</v>
          </cell>
          <cell r="M5847">
            <v>13229</v>
          </cell>
          <cell r="N5847">
            <v>683926.05601571908</v>
          </cell>
          <cell r="O5847">
            <v>692380.00232629513</v>
          </cell>
          <cell r="P5847">
            <v>368.79259999999999</v>
          </cell>
        </row>
        <row r="5848">
          <cell r="B5848">
            <v>38625</v>
          </cell>
          <cell r="J5848">
            <v>3809804.3041216834</v>
          </cell>
          <cell r="K5848">
            <v>2.4380000000000002</v>
          </cell>
          <cell r="L5848">
            <v>148835</v>
          </cell>
          <cell r="M5848">
            <v>13229</v>
          </cell>
          <cell r="N5848">
            <v>683926.05601571908</v>
          </cell>
          <cell r="O5848">
            <v>692380.00232629513</v>
          </cell>
          <cell r="P5848">
            <v>368.79259999999999</v>
          </cell>
        </row>
        <row r="5849">
          <cell r="B5849">
            <v>38626</v>
          </cell>
          <cell r="J5849">
            <v>3809804.3041216834</v>
          </cell>
          <cell r="K5849">
            <v>2.4380000000000002</v>
          </cell>
          <cell r="L5849">
            <v>148835</v>
          </cell>
          <cell r="M5849">
            <v>13229</v>
          </cell>
          <cell r="N5849">
            <v>683926.05601571908</v>
          </cell>
          <cell r="O5849">
            <v>692380.00232629513</v>
          </cell>
          <cell r="P5849">
            <v>368.79259999999999</v>
          </cell>
        </row>
        <row r="5850">
          <cell r="B5850">
            <v>38627</v>
          </cell>
          <cell r="J5850">
            <v>3809804.3041216834</v>
          </cell>
          <cell r="K5850">
            <v>2.4380000000000002</v>
          </cell>
          <cell r="L5850">
            <v>148835</v>
          </cell>
          <cell r="M5850">
            <v>13229</v>
          </cell>
          <cell r="N5850">
            <v>683926.05601571908</v>
          </cell>
          <cell r="O5850">
            <v>692380.00232629513</v>
          </cell>
          <cell r="P5850">
            <v>368.79259999999999</v>
          </cell>
        </row>
        <row r="5851">
          <cell r="B5851">
            <v>38628</v>
          </cell>
          <cell r="J5851">
            <v>3809804.3041216834</v>
          </cell>
          <cell r="K5851">
            <v>2.4380000000000002</v>
          </cell>
          <cell r="L5851">
            <v>148835</v>
          </cell>
          <cell r="M5851">
            <v>13229</v>
          </cell>
          <cell r="N5851">
            <v>683926.05601571908</v>
          </cell>
          <cell r="O5851">
            <v>692380.00232629513</v>
          </cell>
          <cell r="P5851">
            <v>368.79259999999999</v>
          </cell>
        </row>
        <row r="5852">
          <cell r="B5852">
            <v>38629</v>
          </cell>
          <cell r="J5852">
            <v>3809804.3041216834</v>
          </cell>
          <cell r="K5852">
            <v>2.4380000000000002</v>
          </cell>
          <cell r="L5852">
            <v>148835</v>
          </cell>
          <cell r="M5852">
            <v>13229</v>
          </cell>
          <cell r="N5852">
            <v>683926.05601571908</v>
          </cell>
          <cell r="O5852">
            <v>692380.00232629513</v>
          </cell>
          <cell r="P5852">
            <v>368.79259999999999</v>
          </cell>
        </row>
        <row r="5853">
          <cell r="B5853">
            <v>38630</v>
          </cell>
          <cell r="J5853">
            <v>3809804.3041216834</v>
          </cell>
          <cell r="K5853">
            <v>2.4380000000000002</v>
          </cell>
          <cell r="L5853">
            <v>148835</v>
          </cell>
          <cell r="M5853">
            <v>13229</v>
          </cell>
          <cell r="N5853">
            <v>683926.05601571908</v>
          </cell>
          <cell r="O5853">
            <v>692380.00232629513</v>
          </cell>
          <cell r="P5853">
            <v>368.79259999999999</v>
          </cell>
        </row>
        <row r="5854">
          <cell r="B5854">
            <v>38631</v>
          </cell>
          <cell r="J5854">
            <v>3809804.3041216834</v>
          </cell>
          <cell r="K5854">
            <v>2.4380000000000002</v>
          </cell>
          <cell r="L5854">
            <v>148835</v>
          </cell>
          <cell r="M5854">
            <v>13229</v>
          </cell>
          <cell r="N5854">
            <v>683926.05601571908</v>
          </cell>
          <cell r="O5854">
            <v>692380.00232629513</v>
          </cell>
          <cell r="P5854">
            <v>368.79259999999999</v>
          </cell>
        </row>
        <row r="5855">
          <cell r="B5855">
            <v>38632</v>
          </cell>
          <cell r="J5855">
            <v>3809804.3041216834</v>
          </cell>
          <cell r="K5855">
            <v>2.4380000000000002</v>
          </cell>
          <cell r="L5855">
            <v>148835</v>
          </cell>
          <cell r="M5855">
            <v>13229</v>
          </cell>
          <cell r="N5855">
            <v>683926.05601571908</v>
          </cell>
          <cell r="O5855">
            <v>692380.00232629513</v>
          </cell>
          <cell r="P5855">
            <v>368.79259999999999</v>
          </cell>
        </row>
        <row r="5856">
          <cell r="B5856">
            <v>38633</v>
          </cell>
          <cell r="J5856">
            <v>3809804.3041216834</v>
          </cell>
          <cell r="K5856">
            <v>2.4380000000000002</v>
          </cell>
          <cell r="L5856">
            <v>148835</v>
          </cell>
          <cell r="M5856">
            <v>13229</v>
          </cell>
          <cell r="N5856">
            <v>683926.05601571908</v>
          </cell>
          <cell r="O5856">
            <v>692380.00232629513</v>
          </cell>
          <cell r="P5856">
            <v>368.79259999999999</v>
          </cell>
        </row>
        <row r="5857">
          <cell r="B5857">
            <v>38634</v>
          </cell>
          <cell r="J5857">
            <v>3809804.3041216834</v>
          </cell>
          <cell r="K5857">
            <v>2.4380000000000002</v>
          </cell>
          <cell r="L5857">
            <v>148835</v>
          </cell>
          <cell r="M5857">
            <v>13229</v>
          </cell>
          <cell r="N5857">
            <v>683926.05601571908</v>
          </cell>
          <cell r="O5857">
            <v>692380.00232629513</v>
          </cell>
          <cell r="P5857">
            <v>368.79259999999999</v>
          </cell>
        </row>
        <row r="5858">
          <cell r="B5858">
            <v>38635</v>
          </cell>
          <cell r="J5858">
            <v>3809804.3041216834</v>
          </cell>
          <cell r="K5858">
            <v>2.4380000000000002</v>
          </cell>
          <cell r="L5858">
            <v>148835</v>
          </cell>
          <cell r="M5858">
            <v>13229</v>
          </cell>
          <cell r="N5858">
            <v>683926.05601571908</v>
          </cell>
          <cell r="O5858">
            <v>692380.00232629513</v>
          </cell>
          <cell r="P5858">
            <v>368.79259999999999</v>
          </cell>
        </row>
        <row r="5859">
          <cell r="B5859">
            <v>38636</v>
          </cell>
          <cell r="J5859">
            <v>3809804.3041216834</v>
          </cell>
          <cell r="K5859">
            <v>2.4380000000000002</v>
          </cell>
          <cell r="L5859">
            <v>148835</v>
          </cell>
          <cell r="M5859">
            <v>13229</v>
          </cell>
          <cell r="N5859">
            <v>683926.05601571908</v>
          </cell>
          <cell r="O5859">
            <v>692380.00232629513</v>
          </cell>
          <cell r="P5859">
            <v>368.79259999999999</v>
          </cell>
        </row>
        <row r="5860">
          <cell r="B5860">
            <v>38637</v>
          </cell>
          <cell r="J5860">
            <v>3809804.3041216834</v>
          </cell>
          <cell r="K5860">
            <v>2.4380000000000002</v>
          </cell>
          <cell r="L5860">
            <v>148835</v>
          </cell>
          <cell r="M5860">
            <v>13229</v>
          </cell>
          <cell r="N5860">
            <v>683926.05601571908</v>
          </cell>
          <cell r="O5860">
            <v>692380.00232629513</v>
          </cell>
          <cell r="P5860">
            <v>368.79259999999999</v>
          </cell>
        </row>
        <row r="5861">
          <cell r="B5861">
            <v>38638</v>
          </cell>
          <cell r="J5861">
            <v>3809804.3041216834</v>
          </cell>
          <cell r="K5861">
            <v>2.4380000000000002</v>
          </cell>
          <cell r="L5861">
            <v>148835</v>
          </cell>
          <cell r="M5861">
            <v>13229</v>
          </cell>
          <cell r="N5861">
            <v>683926.05601571908</v>
          </cell>
          <cell r="O5861">
            <v>692380.00232629513</v>
          </cell>
          <cell r="P5861">
            <v>368.79259999999999</v>
          </cell>
        </row>
        <row r="5862">
          <cell r="B5862">
            <v>38639</v>
          </cell>
          <cell r="J5862">
            <v>3809804.3041216834</v>
          </cell>
          <cell r="K5862">
            <v>2.4380000000000002</v>
          </cell>
          <cell r="L5862">
            <v>148835</v>
          </cell>
          <cell r="M5862">
            <v>13229</v>
          </cell>
          <cell r="N5862">
            <v>683926.05601571908</v>
          </cell>
          <cell r="O5862">
            <v>692380.00232629513</v>
          </cell>
          <cell r="P5862">
            <v>368.79259999999999</v>
          </cell>
        </row>
        <row r="5863">
          <cell r="B5863">
            <v>38640</v>
          </cell>
          <cell r="J5863">
            <v>3809804.3041216834</v>
          </cell>
          <cell r="K5863">
            <v>2.4380000000000002</v>
          </cell>
          <cell r="L5863">
            <v>148835</v>
          </cell>
          <cell r="M5863">
            <v>13229</v>
          </cell>
          <cell r="N5863">
            <v>683926.05601571908</v>
          </cell>
          <cell r="O5863">
            <v>692380.00232629513</v>
          </cell>
          <cell r="P5863">
            <v>368.79259999999999</v>
          </cell>
        </row>
        <row r="5864">
          <cell r="B5864">
            <v>38641</v>
          </cell>
          <cell r="J5864">
            <v>3809804.3041216834</v>
          </cell>
          <cell r="K5864">
            <v>2.4380000000000002</v>
          </cell>
          <cell r="L5864">
            <v>148835</v>
          </cell>
          <cell r="M5864">
            <v>13229</v>
          </cell>
          <cell r="N5864">
            <v>683926.05601571908</v>
          </cell>
          <cell r="O5864">
            <v>692380.00232629513</v>
          </cell>
          <cell r="P5864">
            <v>368.79259999999999</v>
          </cell>
        </row>
        <row r="5865">
          <cell r="B5865">
            <v>38642</v>
          </cell>
          <cell r="J5865">
            <v>3809804.3041216834</v>
          </cell>
          <cell r="K5865">
            <v>2.4380000000000002</v>
          </cell>
          <cell r="L5865">
            <v>148835</v>
          </cell>
          <cell r="M5865">
            <v>13229</v>
          </cell>
          <cell r="N5865">
            <v>683926.05601571908</v>
          </cell>
          <cell r="O5865">
            <v>692380.00232629513</v>
          </cell>
          <cell r="P5865">
            <v>368.79259999999999</v>
          </cell>
        </row>
        <row r="5866">
          <cell r="B5866">
            <v>38643</v>
          </cell>
          <cell r="J5866">
            <v>3809804.3041216834</v>
          </cell>
          <cell r="K5866">
            <v>2.4380000000000002</v>
          </cell>
          <cell r="L5866">
            <v>148835</v>
          </cell>
          <cell r="M5866">
            <v>13229</v>
          </cell>
          <cell r="N5866">
            <v>683926.05601571908</v>
          </cell>
          <cell r="O5866">
            <v>692380.00232629513</v>
          </cell>
          <cell r="P5866">
            <v>368.79259999999999</v>
          </cell>
        </row>
        <row r="5867">
          <cell r="B5867">
            <v>38644</v>
          </cell>
          <cell r="J5867">
            <v>3809804.3041216834</v>
          </cell>
          <cell r="K5867">
            <v>2.4380000000000002</v>
          </cell>
          <cell r="L5867">
            <v>148835</v>
          </cell>
          <cell r="M5867">
            <v>13229</v>
          </cell>
          <cell r="N5867">
            <v>683926.05601571908</v>
          </cell>
          <cell r="O5867">
            <v>692380.00232629513</v>
          </cell>
          <cell r="P5867">
            <v>368.79259999999999</v>
          </cell>
        </row>
        <row r="5868">
          <cell r="B5868">
            <v>38645</v>
          </cell>
          <cell r="J5868">
            <v>3809804.3041216834</v>
          </cell>
          <cell r="K5868">
            <v>2.4380000000000002</v>
          </cell>
          <cell r="L5868">
            <v>148835</v>
          </cell>
          <cell r="M5868">
            <v>13229</v>
          </cell>
          <cell r="N5868">
            <v>683926.05601571908</v>
          </cell>
          <cell r="O5868">
            <v>692380.00232629513</v>
          </cell>
          <cell r="P5868">
            <v>368.79259999999999</v>
          </cell>
        </row>
        <row r="5869">
          <cell r="B5869">
            <v>38646</v>
          </cell>
          <cell r="J5869">
            <v>3809804.3041216834</v>
          </cell>
          <cell r="K5869">
            <v>2.4380000000000002</v>
          </cell>
          <cell r="L5869">
            <v>148835</v>
          </cell>
          <cell r="M5869">
            <v>13229</v>
          </cell>
          <cell r="N5869">
            <v>683926.05601571908</v>
          </cell>
          <cell r="O5869">
            <v>692380.00232629513</v>
          </cell>
          <cell r="P5869">
            <v>368.79259999999999</v>
          </cell>
        </row>
        <row r="5870">
          <cell r="B5870">
            <v>38647</v>
          </cell>
          <cell r="J5870">
            <v>3809804.3041216834</v>
          </cell>
          <cell r="K5870">
            <v>2.4380000000000002</v>
          </cell>
          <cell r="L5870">
            <v>148835</v>
          </cell>
          <cell r="M5870">
            <v>13229</v>
          </cell>
          <cell r="N5870">
            <v>683926.05601571908</v>
          </cell>
          <cell r="O5870">
            <v>692380.00232629513</v>
          </cell>
          <cell r="P5870">
            <v>368.79259999999999</v>
          </cell>
        </row>
        <row r="5871">
          <cell r="B5871">
            <v>38648</v>
          </cell>
          <cell r="J5871">
            <v>3809804.3041216834</v>
          </cell>
          <cell r="K5871">
            <v>2.4380000000000002</v>
          </cell>
          <cell r="L5871">
            <v>148835</v>
          </cell>
          <cell r="M5871">
            <v>13229</v>
          </cell>
          <cell r="N5871">
            <v>683926.05601571908</v>
          </cell>
          <cell r="O5871">
            <v>692380.00232629513</v>
          </cell>
          <cell r="P5871">
            <v>368.79259999999999</v>
          </cell>
        </row>
        <row r="5872">
          <cell r="B5872">
            <v>38649</v>
          </cell>
          <cell r="J5872">
            <v>3809804.3041216834</v>
          </cell>
          <cell r="K5872">
            <v>2.4380000000000002</v>
          </cell>
          <cell r="L5872">
            <v>148835</v>
          </cell>
          <cell r="M5872">
            <v>13229</v>
          </cell>
          <cell r="N5872">
            <v>683926.05601571908</v>
          </cell>
          <cell r="O5872">
            <v>692380.00232629513</v>
          </cell>
          <cell r="P5872">
            <v>368.79259999999999</v>
          </cell>
        </row>
        <row r="5873">
          <cell r="B5873">
            <v>38650</v>
          </cell>
          <cell r="J5873">
            <v>3809804.3041216834</v>
          </cell>
          <cell r="K5873">
            <v>2.4380000000000002</v>
          </cell>
          <cell r="L5873">
            <v>148835</v>
          </cell>
          <cell r="M5873">
            <v>13229</v>
          </cell>
          <cell r="N5873">
            <v>683926.05601571908</v>
          </cell>
          <cell r="O5873">
            <v>692380.00232629513</v>
          </cell>
          <cell r="P5873">
            <v>368.79259999999999</v>
          </cell>
        </row>
        <row r="5874">
          <cell r="B5874">
            <v>38651</v>
          </cell>
          <cell r="J5874">
            <v>3809804.3041216834</v>
          </cell>
          <cell r="K5874">
            <v>2.4380000000000002</v>
          </cell>
          <cell r="L5874">
            <v>148835</v>
          </cell>
          <cell r="M5874">
            <v>13229</v>
          </cell>
          <cell r="N5874">
            <v>683926.05601571908</v>
          </cell>
          <cell r="O5874">
            <v>692380.00232629513</v>
          </cell>
          <cell r="P5874">
            <v>368.79259999999999</v>
          </cell>
        </row>
        <row r="5875">
          <cell r="B5875">
            <v>38652</v>
          </cell>
          <cell r="J5875">
            <v>3809804.3041216834</v>
          </cell>
          <cell r="K5875">
            <v>2.4380000000000002</v>
          </cell>
          <cell r="L5875">
            <v>148835</v>
          </cell>
          <cell r="M5875">
            <v>13229</v>
          </cell>
          <cell r="N5875">
            <v>683926.05601571908</v>
          </cell>
          <cell r="O5875">
            <v>692380.00232629513</v>
          </cell>
          <cell r="P5875">
            <v>368.79259999999999</v>
          </cell>
        </row>
        <row r="5876">
          <cell r="B5876">
            <v>38653</v>
          </cell>
          <cell r="J5876">
            <v>3809804.3041216834</v>
          </cell>
          <cell r="K5876">
            <v>2.4380000000000002</v>
          </cell>
          <cell r="L5876">
            <v>148835</v>
          </cell>
          <cell r="M5876">
            <v>13229</v>
          </cell>
          <cell r="N5876">
            <v>683926.05601571908</v>
          </cell>
          <cell r="O5876">
            <v>692380.00232629513</v>
          </cell>
          <cell r="P5876">
            <v>368.79259999999999</v>
          </cell>
        </row>
        <row r="5877">
          <cell r="B5877">
            <v>38654</v>
          </cell>
          <cell r="J5877">
            <v>3809804.3041216834</v>
          </cell>
          <cell r="K5877">
            <v>2.4380000000000002</v>
          </cell>
          <cell r="L5877">
            <v>148835</v>
          </cell>
          <cell r="M5877">
            <v>13229</v>
          </cell>
          <cell r="N5877">
            <v>683926.05601571908</v>
          </cell>
          <cell r="O5877">
            <v>692380.00232629513</v>
          </cell>
          <cell r="P5877">
            <v>368.79259999999999</v>
          </cell>
        </row>
        <row r="5878">
          <cell r="B5878">
            <v>38655</v>
          </cell>
          <cell r="J5878">
            <v>3809804.3041216834</v>
          </cell>
          <cell r="K5878">
            <v>2.4380000000000002</v>
          </cell>
          <cell r="L5878">
            <v>148835</v>
          </cell>
          <cell r="M5878">
            <v>13229</v>
          </cell>
          <cell r="N5878">
            <v>683926.05601571908</v>
          </cell>
          <cell r="O5878">
            <v>692380.00232629513</v>
          </cell>
          <cell r="P5878">
            <v>368.79259999999999</v>
          </cell>
        </row>
        <row r="5879">
          <cell r="B5879">
            <v>38656</v>
          </cell>
          <cell r="J5879">
            <v>3809804.3041216834</v>
          </cell>
          <cell r="K5879">
            <v>2.4380000000000002</v>
          </cell>
          <cell r="L5879">
            <v>148835</v>
          </cell>
          <cell r="M5879">
            <v>13229</v>
          </cell>
          <cell r="N5879">
            <v>683926.05601571908</v>
          </cell>
          <cell r="O5879">
            <v>692380.00232629513</v>
          </cell>
          <cell r="P5879">
            <v>368.79259999999999</v>
          </cell>
        </row>
        <row r="5880">
          <cell r="B5880">
            <v>38657</v>
          </cell>
          <cell r="J5880">
            <v>3809804.3041216834</v>
          </cell>
          <cell r="K5880">
            <v>2.4380000000000002</v>
          </cell>
          <cell r="L5880">
            <v>148835</v>
          </cell>
          <cell r="M5880">
            <v>13229</v>
          </cell>
          <cell r="N5880">
            <v>683926.05601571908</v>
          </cell>
          <cell r="O5880">
            <v>692380.00232629513</v>
          </cell>
          <cell r="P5880">
            <v>368.79259999999999</v>
          </cell>
        </row>
        <row r="5881">
          <cell r="B5881">
            <v>38658</v>
          </cell>
          <cell r="J5881">
            <v>3809804.3041216834</v>
          </cell>
          <cell r="K5881">
            <v>2.4380000000000002</v>
          </cell>
          <cell r="L5881">
            <v>148835</v>
          </cell>
          <cell r="M5881">
            <v>13229</v>
          </cell>
          <cell r="N5881">
            <v>683926.05601571908</v>
          </cell>
          <cell r="O5881">
            <v>692380.00232629513</v>
          </cell>
          <cell r="P5881">
            <v>368.79259999999999</v>
          </cell>
        </row>
        <row r="5882">
          <cell r="B5882">
            <v>38659</v>
          </cell>
          <cell r="J5882">
            <v>3809804.3041216834</v>
          </cell>
          <cell r="K5882">
            <v>2.4380000000000002</v>
          </cell>
          <cell r="L5882">
            <v>148835</v>
          </cell>
          <cell r="M5882">
            <v>13229</v>
          </cell>
          <cell r="N5882">
            <v>683926.05601571908</v>
          </cell>
          <cell r="O5882">
            <v>692380.00232629513</v>
          </cell>
          <cell r="P5882">
            <v>368.79259999999999</v>
          </cell>
        </row>
        <row r="5883">
          <cell r="B5883">
            <v>38660</v>
          </cell>
          <cell r="J5883">
            <v>3809804.3041216834</v>
          </cell>
          <cell r="K5883">
            <v>2.4380000000000002</v>
          </cell>
          <cell r="L5883">
            <v>148835</v>
          </cell>
          <cell r="M5883">
            <v>13229</v>
          </cell>
          <cell r="N5883">
            <v>683926.05601571908</v>
          </cell>
          <cell r="O5883">
            <v>692380.00232629513</v>
          </cell>
          <cell r="P5883">
            <v>368.79259999999999</v>
          </cell>
        </row>
        <row r="5884">
          <cell r="B5884">
            <v>38661</v>
          </cell>
          <cell r="J5884">
            <v>3809804.3041216834</v>
          </cell>
          <cell r="K5884">
            <v>2.4380000000000002</v>
          </cell>
          <cell r="L5884">
            <v>148835</v>
          </cell>
          <cell r="M5884">
            <v>13229</v>
          </cell>
          <cell r="N5884">
            <v>683926.05601571908</v>
          </cell>
          <cell r="O5884">
            <v>692380.00232629513</v>
          </cell>
          <cell r="P5884">
            <v>368.79259999999999</v>
          </cell>
        </row>
        <row r="5885">
          <cell r="B5885">
            <v>38662</v>
          </cell>
          <cell r="J5885">
            <v>3809804.3041216834</v>
          </cell>
          <cell r="K5885">
            <v>2.4380000000000002</v>
          </cell>
          <cell r="L5885">
            <v>148835</v>
          </cell>
          <cell r="M5885">
            <v>13229</v>
          </cell>
          <cell r="N5885">
            <v>683926.05601571908</v>
          </cell>
          <cell r="O5885">
            <v>692380.00232629513</v>
          </cell>
          <cell r="P5885">
            <v>368.79259999999999</v>
          </cell>
        </row>
        <row r="5886">
          <cell r="B5886">
            <v>38663</v>
          </cell>
          <cell r="J5886">
            <v>3809804.3041216834</v>
          </cell>
          <cell r="K5886">
            <v>2.4380000000000002</v>
          </cell>
          <cell r="L5886">
            <v>148835</v>
          </cell>
          <cell r="M5886">
            <v>13229</v>
          </cell>
          <cell r="N5886">
            <v>683926.05601571908</v>
          </cell>
          <cell r="O5886">
            <v>692380.00232629513</v>
          </cell>
          <cell r="P5886">
            <v>368.79259999999999</v>
          </cell>
        </row>
        <row r="5887">
          <cell r="B5887">
            <v>38664</v>
          </cell>
          <cell r="J5887">
            <v>3809804.3041216834</v>
          </cell>
          <cell r="K5887">
            <v>2.4380000000000002</v>
          </cell>
          <cell r="L5887">
            <v>148835</v>
          </cell>
          <cell r="M5887">
            <v>13229</v>
          </cell>
          <cell r="N5887">
            <v>683926.05601571908</v>
          </cell>
          <cell r="O5887">
            <v>692380.00232629513</v>
          </cell>
          <cell r="P5887">
            <v>368.79259999999999</v>
          </cell>
        </row>
        <row r="5888">
          <cell r="B5888">
            <v>38665</v>
          </cell>
          <cell r="J5888">
            <v>3809804.3041216834</v>
          </cell>
          <cell r="K5888">
            <v>2.4380000000000002</v>
          </cell>
          <cell r="L5888">
            <v>148835</v>
          </cell>
          <cell r="M5888">
            <v>13229</v>
          </cell>
          <cell r="N5888">
            <v>683926.05601571908</v>
          </cell>
          <cell r="O5888">
            <v>692380.00232629513</v>
          </cell>
          <cell r="P5888">
            <v>368.79259999999999</v>
          </cell>
        </row>
        <row r="5889">
          <cell r="B5889">
            <v>38666</v>
          </cell>
          <cell r="J5889">
            <v>3809804.3041216834</v>
          </cell>
          <cell r="K5889">
            <v>2.4380000000000002</v>
          </cell>
          <cell r="L5889">
            <v>148835</v>
          </cell>
          <cell r="M5889">
            <v>13229</v>
          </cell>
          <cell r="N5889">
            <v>683926.05601571908</v>
          </cell>
          <cell r="O5889">
            <v>692380.00232629513</v>
          </cell>
          <cell r="P5889">
            <v>368.79259999999999</v>
          </cell>
        </row>
        <row r="5890">
          <cell r="B5890">
            <v>38667</v>
          </cell>
          <cell r="J5890">
            <v>3809804.3041216834</v>
          </cell>
          <cell r="K5890">
            <v>2.4380000000000002</v>
          </cell>
          <cell r="L5890">
            <v>148835</v>
          </cell>
          <cell r="M5890">
            <v>13229</v>
          </cell>
          <cell r="N5890">
            <v>683926.05601571908</v>
          </cell>
          <cell r="O5890">
            <v>692380.00232629513</v>
          </cell>
          <cell r="P5890">
            <v>368.79259999999999</v>
          </cell>
        </row>
        <row r="5891">
          <cell r="B5891">
            <v>38668</v>
          </cell>
          <cell r="J5891">
            <v>3809804.3041216834</v>
          </cell>
          <cell r="K5891">
            <v>2.4380000000000002</v>
          </cell>
          <cell r="L5891">
            <v>148835</v>
          </cell>
          <cell r="M5891">
            <v>13229</v>
          </cell>
          <cell r="N5891">
            <v>683926.05601571908</v>
          </cell>
          <cell r="O5891">
            <v>692380.00232629513</v>
          </cell>
          <cell r="P5891">
            <v>368.79259999999999</v>
          </cell>
        </row>
        <row r="5892">
          <cell r="B5892">
            <v>38669</v>
          </cell>
          <cell r="J5892">
            <v>3809804.3041216834</v>
          </cell>
          <cell r="K5892">
            <v>2.4380000000000002</v>
          </cell>
          <cell r="L5892">
            <v>148835</v>
          </cell>
          <cell r="M5892">
            <v>13229</v>
          </cell>
          <cell r="N5892">
            <v>683926.05601571908</v>
          </cell>
          <cell r="O5892">
            <v>692380.00232629513</v>
          </cell>
          <cell r="P5892">
            <v>368.79259999999999</v>
          </cell>
        </row>
        <row r="5893">
          <cell r="B5893">
            <v>38670</v>
          </cell>
          <cell r="J5893">
            <v>3809804.3041216834</v>
          </cell>
          <cell r="K5893">
            <v>2.4380000000000002</v>
          </cell>
          <cell r="L5893">
            <v>148835</v>
          </cell>
          <cell r="M5893">
            <v>13229</v>
          </cell>
          <cell r="N5893">
            <v>683926.05601571908</v>
          </cell>
          <cell r="O5893">
            <v>692380.00232629513</v>
          </cell>
          <cell r="P5893">
            <v>368.79259999999999</v>
          </cell>
        </row>
        <row r="5894">
          <cell r="B5894">
            <v>38671</v>
          </cell>
          <cell r="J5894">
            <v>3809804.3041216834</v>
          </cell>
          <cell r="K5894">
            <v>2.4380000000000002</v>
          </cell>
          <cell r="L5894">
            <v>148835</v>
          </cell>
          <cell r="M5894">
            <v>13229</v>
          </cell>
          <cell r="N5894">
            <v>683926.05601571908</v>
          </cell>
          <cell r="O5894">
            <v>692380.00232629513</v>
          </cell>
          <cell r="P5894">
            <v>368.79259999999999</v>
          </cell>
        </row>
        <row r="5895">
          <cell r="B5895">
            <v>38672</v>
          </cell>
          <cell r="J5895">
            <v>3809804.3041216834</v>
          </cell>
          <cell r="K5895">
            <v>2.4380000000000002</v>
          </cell>
          <cell r="L5895">
            <v>148835</v>
          </cell>
          <cell r="M5895">
            <v>13229</v>
          </cell>
          <cell r="N5895">
            <v>683926.05601571908</v>
          </cell>
          <cell r="O5895">
            <v>692380.00232629513</v>
          </cell>
          <cell r="P5895">
            <v>368.79259999999999</v>
          </cell>
        </row>
        <row r="5896">
          <cell r="B5896">
            <v>38673</v>
          </cell>
          <cell r="J5896">
            <v>3809804.3041216834</v>
          </cell>
          <cell r="K5896">
            <v>2.4380000000000002</v>
          </cell>
          <cell r="L5896">
            <v>148835</v>
          </cell>
          <cell r="M5896">
            <v>13229</v>
          </cell>
          <cell r="N5896">
            <v>683926.05601571908</v>
          </cell>
          <cell r="O5896">
            <v>692380.00232629513</v>
          </cell>
          <cell r="P5896">
            <v>368.79259999999999</v>
          </cell>
        </row>
        <row r="5897">
          <cell r="B5897">
            <v>38674</v>
          </cell>
          <cell r="J5897">
            <v>3809804.3041216834</v>
          </cell>
          <cell r="K5897">
            <v>2.4380000000000002</v>
          </cell>
          <cell r="L5897">
            <v>148835</v>
          </cell>
          <cell r="M5897">
            <v>13229</v>
          </cell>
          <cell r="N5897">
            <v>683926.05601571908</v>
          </cell>
          <cell r="O5897">
            <v>692380.00232629513</v>
          </cell>
          <cell r="P5897">
            <v>368.79259999999999</v>
          </cell>
        </row>
        <row r="5898">
          <cell r="B5898">
            <v>38675</v>
          </cell>
          <cell r="J5898">
            <v>3809804.3041216834</v>
          </cell>
          <cell r="K5898">
            <v>2.4380000000000002</v>
          </cell>
          <cell r="L5898">
            <v>148835</v>
          </cell>
          <cell r="M5898">
            <v>13229</v>
          </cell>
          <cell r="N5898">
            <v>683926.05601571908</v>
          </cell>
          <cell r="O5898">
            <v>692380.00232629513</v>
          </cell>
          <cell r="P5898">
            <v>368.79259999999999</v>
          </cell>
        </row>
        <row r="5899">
          <cell r="B5899">
            <v>38676</v>
          </cell>
          <cell r="J5899">
            <v>3809804.3041216834</v>
          </cell>
          <cell r="K5899">
            <v>2.4380000000000002</v>
          </cell>
          <cell r="L5899">
            <v>148835</v>
          </cell>
          <cell r="M5899">
            <v>13229</v>
          </cell>
          <cell r="N5899">
            <v>683926.05601571908</v>
          </cell>
          <cell r="O5899">
            <v>692380.00232629513</v>
          </cell>
          <cell r="P5899">
            <v>368.79259999999999</v>
          </cell>
        </row>
        <row r="5900">
          <cell r="B5900">
            <v>38677</v>
          </cell>
          <cell r="J5900">
            <v>3809804.3041216834</v>
          </cell>
          <cell r="K5900">
            <v>2.4380000000000002</v>
          </cell>
          <cell r="L5900">
            <v>148835</v>
          </cell>
          <cell r="M5900">
            <v>13229</v>
          </cell>
          <cell r="N5900">
            <v>683926.05601571908</v>
          </cell>
          <cell r="O5900">
            <v>692380.00232629513</v>
          </cell>
          <cell r="P5900">
            <v>368.79259999999999</v>
          </cell>
        </row>
        <row r="5901">
          <cell r="B5901">
            <v>38678</v>
          </cell>
          <cell r="J5901">
            <v>3809804.3041216834</v>
          </cell>
          <cell r="K5901">
            <v>2.4380000000000002</v>
          </cell>
          <cell r="L5901">
            <v>148835</v>
          </cell>
          <cell r="M5901">
            <v>13229</v>
          </cell>
          <cell r="N5901">
            <v>683926.05601571908</v>
          </cell>
          <cell r="O5901">
            <v>692380.00232629513</v>
          </cell>
          <cell r="P5901">
            <v>368.79259999999999</v>
          </cell>
        </row>
        <row r="5902">
          <cell r="B5902">
            <v>38679</v>
          </cell>
          <cell r="J5902">
            <v>3809804.3041216834</v>
          </cell>
          <cell r="K5902">
            <v>2.4380000000000002</v>
          </cell>
          <cell r="L5902">
            <v>148835</v>
          </cell>
          <cell r="M5902">
            <v>13229</v>
          </cell>
          <cell r="N5902">
            <v>683926.05601571908</v>
          </cell>
          <cell r="O5902">
            <v>692380.00232629513</v>
          </cell>
          <cell r="P5902">
            <v>368.79259999999999</v>
          </cell>
        </row>
        <row r="5903">
          <cell r="B5903">
            <v>38680</v>
          </cell>
          <cell r="J5903">
            <v>3809804.3041216834</v>
          </cell>
          <cell r="K5903">
            <v>2.4380000000000002</v>
          </cell>
          <cell r="L5903">
            <v>148835</v>
          </cell>
          <cell r="M5903">
            <v>13229</v>
          </cell>
          <cell r="N5903">
            <v>683926.05601571908</v>
          </cell>
          <cell r="O5903">
            <v>692380.00232629513</v>
          </cell>
          <cell r="P5903">
            <v>368.79259999999999</v>
          </cell>
        </row>
        <row r="5904">
          <cell r="B5904">
            <v>38681</v>
          </cell>
          <cell r="J5904">
            <v>3809804.3041216834</v>
          </cell>
          <cell r="K5904">
            <v>2.4380000000000002</v>
          </cell>
          <cell r="L5904">
            <v>148835</v>
          </cell>
          <cell r="M5904">
            <v>13229</v>
          </cell>
          <cell r="N5904">
            <v>683926.05601571908</v>
          </cell>
          <cell r="O5904">
            <v>692380.00232629513</v>
          </cell>
          <cell r="P5904">
            <v>368.79259999999999</v>
          </cell>
        </row>
        <row r="5905">
          <cell r="B5905">
            <v>38682</v>
          </cell>
          <cell r="J5905">
            <v>3809804.3041216834</v>
          </cell>
          <cell r="K5905">
            <v>2.4380000000000002</v>
          </cell>
          <cell r="L5905">
            <v>148835</v>
          </cell>
          <cell r="M5905">
            <v>13229</v>
          </cell>
          <cell r="N5905">
            <v>683926.05601571908</v>
          </cell>
          <cell r="O5905">
            <v>692380.00232629513</v>
          </cell>
          <cell r="P5905">
            <v>368.79259999999999</v>
          </cell>
        </row>
        <row r="5906">
          <cell r="B5906">
            <v>38683</v>
          </cell>
          <cell r="J5906">
            <v>3809804.3041216834</v>
          </cell>
          <cell r="K5906">
            <v>2.4380000000000002</v>
          </cell>
          <cell r="L5906">
            <v>148835</v>
          </cell>
          <cell r="M5906">
            <v>13229</v>
          </cell>
          <cell r="N5906">
            <v>683926.05601571908</v>
          </cell>
          <cell r="O5906">
            <v>692380.00232629513</v>
          </cell>
          <cell r="P5906">
            <v>368.79259999999999</v>
          </cell>
        </row>
        <row r="5907">
          <cell r="B5907">
            <v>38684</v>
          </cell>
          <cell r="J5907">
            <v>3809804.3041216834</v>
          </cell>
          <cell r="K5907">
            <v>2.4380000000000002</v>
          </cell>
          <cell r="L5907">
            <v>148835</v>
          </cell>
          <cell r="M5907">
            <v>13229</v>
          </cell>
          <cell r="N5907">
            <v>683926.05601571908</v>
          </cell>
          <cell r="O5907">
            <v>692380.00232629513</v>
          </cell>
          <cell r="P5907">
            <v>368.79259999999999</v>
          </cell>
        </row>
        <row r="5908">
          <cell r="B5908">
            <v>38685</v>
          </cell>
          <cell r="J5908">
            <v>3809804.3041216834</v>
          </cell>
          <cell r="K5908">
            <v>2.4380000000000002</v>
          </cell>
          <cell r="L5908">
            <v>148835</v>
          </cell>
          <cell r="M5908">
            <v>13229</v>
          </cell>
          <cell r="N5908">
            <v>683926.05601571908</v>
          </cell>
          <cell r="O5908">
            <v>692380.00232629513</v>
          </cell>
          <cell r="P5908">
            <v>368.79259999999999</v>
          </cell>
        </row>
        <row r="5909">
          <cell r="B5909">
            <v>38686</v>
          </cell>
          <cell r="J5909">
            <v>3809804.3041216834</v>
          </cell>
          <cell r="K5909">
            <v>2.4380000000000002</v>
          </cell>
          <cell r="L5909">
            <v>148835</v>
          </cell>
          <cell r="M5909">
            <v>13229</v>
          </cell>
          <cell r="N5909">
            <v>683926.05601571908</v>
          </cell>
          <cell r="O5909">
            <v>692380.00232629513</v>
          </cell>
          <cell r="P5909">
            <v>368.79259999999999</v>
          </cell>
        </row>
        <row r="5910">
          <cell r="B5910">
            <v>38687</v>
          </cell>
          <cell r="J5910">
            <v>3809804.3041216834</v>
          </cell>
          <cell r="K5910">
            <v>2.4380000000000002</v>
          </cell>
          <cell r="L5910">
            <v>148835</v>
          </cell>
          <cell r="M5910">
            <v>13229</v>
          </cell>
          <cell r="N5910">
            <v>683926.05601571908</v>
          </cell>
          <cell r="O5910">
            <v>692380.00232629513</v>
          </cell>
          <cell r="P5910">
            <v>368.79259999999999</v>
          </cell>
        </row>
        <row r="5911">
          <cell r="B5911">
            <v>38688</v>
          </cell>
          <cell r="J5911">
            <v>3809804.3041216834</v>
          </cell>
          <cell r="K5911">
            <v>2.4380000000000002</v>
          </cell>
          <cell r="L5911">
            <v>148835</v>
          </cell>
          <cell r="M5911">
            <v>13229</v>
          </cell>
          <cell r="N5911">
            <v>683926.05601571908</v>
          </cell>
          <cell r="O5911">
            <v>692380.00232629513</v>
          </cell>
          <cell r="P5911">
            <v>368.79259999999999</v>
          </cell>
        </row>
        <row r="5912">
          <cell r="B5912">
            <v>38689</v>
          </cell>
          <cell r="J5912">
            <v>3809804.3041216834</v>
          </cell>
          <cell r="K5912">
            <v>2.4380000000000002</v>
          </cell>
          <cell r="L5912">
            <v>148835</v>
          </cell>
          <cell r="M5912">
            <v>13229</v>
          </cell>
          <cell r="N5912">
            <v>683926.05601571908</v>
          </cell>
          <cell r="O5912">
            <v>692380.00232629513</v>
          </cell>
          <cell r="P5912">
            <v>368.79259999999999</v>
          </cell>
        </row>
        <row r="5913">
          <cell r="B5913">
            <v>38690</v>
          </cell>
          <cell r="J5913">
            <v>3809804.3041216834</v>
          </cell>
          <cell r="K5913">
            <v>2.4380000000000002</v>
          </cell>
          <cell r="L5913">
            <v>148835</v>
          </cell>
          <cell r="M5913">
            <v>13229</v>
          </cell>
          <cell r="N5913">
            <v>683926.05601571908</v>
          </cell>
          <cell r="O5913">
            <v>692380.00232629513</v>
          </cell>
          <cell r="P5913">
            <v>368.79259999999999</v>
          </cell>
        </row>
        <row r="5914">
          <cell r="B5914">
            <v>38691</v>
          </cell>
          <cell r="J5914">
            <v>3809804.3041216834</v>
          </cell>
          <cell r="K5914">
            <v>2.4380000000000002</v>
          </cell>
          <cell r="L5914">
            <v>148835</v>
          </cell>
          <cell r="M5914">
            <v>13229</v>
          </cell>
          <cell r="N5914">
            <v>683926.05601571908</v>
          </cell>
          <cell r="O5914">
            <v>692380.00232629513</v>
          </cell>
          <cell r="P5914">
            <v>368.79259999999999</v>
          </cell>
        </row>
        <row r="5915">
          <cell r="B5915">
            <v>38692</v>
          </cell>
          <cell r="J5915">
            <v>3809804.3041216834</v>
          </cell>
          <cell r="K5915">
            <v>2.4380000000000002</v>
          </cell>
          <cell r="L5915">
            <v>148835</v>
          </cell>
          <cell r="M5915">
            <v>13229</v>
          </cell>
          <cell r="N5915">
            <v>683926.05601571908</v>
          </cell>
          <cell r="O5915">
            <v>692380.00232629513</v>
          </cell>
          <cell r="P5915">
            <v>368.79259999999999</v>
          </cell>
        </row>
        <row r="5916">
          <cell r="B5916">
            <v>38693</v>
          </cell>
          <cell r="J5916">
            <v>3809804.3041216834</v>
          </cell>
          <cell r="K5916">
            <v>2.4380000000000002</v>
          </cell>
          <cell r="L5916">
            <v>148835</v>
          </cell>
          <cell r="M5916">
            <v>13229</v>
          </cell>
          <cell r="N5916">
            <v>683926.05601571908</v>
          </cell>
          <cell r="O5916">
            <v>692380.00232629513</v>
          </cell>
          <cell r="P5916">
            <v>368.79259999999999</v>
          </cell>
        </row>
        <row r="5917">
          <cell r="B5917">
            <v>38694</v>
          </cell>
          <cell r="J5917">
            <v>3809804.3041216834</v>
          </cell>
          <cell r="K5917">
            <v>2.4380000000000002</v>
          </cell>
          <cell r="L5917">
            <v>148835</v>
          </cell>
          <cell r="M5917">
            <v>13229</v>
          </cell>
          <cell r="N5917">
            <v>683926.05601571908</v>
          </cell>
          <cell r="O5917">
            <v>692380.00232629513</v>
          </cell>
          <cell r="P5917">
            <v>368.79259999999999</v>
          </cell>
        </row>
        <row r="5918">
          <cell r="B5918">
            <v>38695</v>
          </cell>
          <cell r="J5918">
            <v>3809804.3041216834</v>
          </cell>
          <cell r="K5918">
            <v>2.4380000000000002</v>
          </cell>
          <cell r="L5918">
            <v>148835</v>
          </cell>
          <cell r="M5918">
            <v>13229</v>
          </cell>
          <cell r="N5918">
            <v>683926.05601571908</v>
          </cell>
          <cell r="O5918">
            <v>692380.00232629513</v>
          </cell>
          <cell r="P5918">
            <v>368.79259999999999</v>
          </cell>
        </row>
        <row r="5919">
          <cell r="B5919">
            <v>38696</v>
          </cell>
          <cell r="J5919">
            <v>3809804.3041216834</v>
          </cell>
          <cell r="K5919">
            <v>2.4380000000000002</v>
          </cell>
          <cell r="L5919">
            <v>148835</v>
          </cell>
          <cell r="M5919">
            <v>13229</v>
          </cell>
          <cell r="N5919">
            <v>683926.05601571908</v>
          </cell>
          <cell r="O5919">
            <v>692380.00232629513</v>
          </cell>
          <cell r="P5919">
            <v>368.79259999999999</v>
          </cell>
        </row>
        <row r="5920">
          <cell r="B5920">
            <v>38697</v>
          </cell>
          <cell r="J5920">
            <v>3809804.3041216834</v>
          </cell>
          <cell r="K5920">
            <v>2.4380000000000002</v>
          </cell>
          <cell r="L5920">
            <v>148835</v>
          </cell>
          <cell r="M5920">
            <v>13229</v>
          </cell>
          <cell r="N5920">
            <v>683926.05601571908</v>
          </cell>
          <cell r="O5920">
            <v>692380.00232629513</v>
          </cell>
          <cell r="P5920">
            <v>368.79259999999999</v>
          </cell>
        </row>
        <row r="5921">
          <cell r="B5921">
            <v>38698</v>
          </cell>
          <cell r="J5921">
            <v>3809804.3041216834</v>
          </cell>
          <cell r="K5921">
            <v>2.4380000000000002</v>
          </cell>
          <cell r="L5921">
            <v>148835</v>
          </cell>
          <cell r="M5921">
            <v>13229</v>
          </cell>
          <cell r="N5921">
            <v>683926.05601571908</v>
          </cell>
          <cell r="O5921">
            <v>692380.00232629513</v>
          </cell>
          <cell r="P5921">
            <v>368.79259999999999</v>
          </cell>
        </row>
        <row r="5922">
          <cell r="B5922">
            <v>38699</v>
          </cell>
          <cell r="J5922">
            <v>3809804.3041216834</v>
          </cell>
          <cell r="K5922">
            <v>2.4380000000000002</v>
          </cell>
          <cell r="L5922">
            <v>148835</v>
          </cell>
          <cell r="M5922">
            <v>13229</v>
          </cell>
          <cell r="N5922">
            <v>683926.05601571908</v>
          </cell>
          <cell r="O5922">
            <v>692380.00232629513</v>
          </cell>
          <cell r="P5922">
            <v>368.79259999999999</v>
          </cell>
        </row>
        <row r="5923">
          <cell r="B5923">
            <v>38700</v>
          </cell>
          <cell r="J5923">
            <v>3809804.3041216834</v>
          </cell>
          <cell r="K5923">
            <v>2.4380000000000002</v>
          </cell>
          <cell r="L5923">
            <v>148835</v>
          </cell>
          <cell r="M5923">
            <v>13229</v>
          </cell>
          <cell r="N5923">
            <v>683926.05601571908</v>
          </cell>
          <cell r="O5923">
            <v>692380.00232629513</v>
          </cell>
          <cell r="P5923">
            <v>368.79259999999999</v>
          </cell>
        </row>
        <row r="5924">
          <cell r="B5924">
            <v>38701</v>
          </cell>
          <cell r="J5924">
            <v>3809804.3041216834</v>
          </cell>
          <cell r="K5924">
            <v>2.4380000000000002</v>
          </cell>
          <cell r="L5924">
            <v>148835</v>
          </cell>
          <cell r="M5924">
            <v>13229</v>
          </cell>
          <cell r="N5924">
            <v>683926.05601571908</v>
          </cell>
          <cell r="O5924">
            <v>692380.00232629513</v>
          </cell>
          <cell r="P5924">
            <v>368.79259999999999</v>
          </cell>
        </row>
        <row r="5925">
          <cell r="B5925">
            <v>38702</v>
          </cell>
          <cell r="J5925">
            <v>3809804.3041216834</v>
          </cell>
          <cell r="K5925">
            <v>2.4380000000000002</v>
          </cell>
          <cell r="L5925">
            <v>148835</v>
          </cell>
          <cell r="M5925">
            <v>13229</v>
          </cell>
          <cell r="N5925">
            <v>683926.05601571908</v>
          </cell>
          <cell r="O5925">
            <v>692380.00232629513</v>
          </cell>
          <cell r="P5925">
            <v>368.79259999999999</v>
          </cell>
        </row>
        <row r="5926">
          <cell r="B5926">
            <v>38703</v>
          </cell>
          <cell r="J5926">
            <v>3809804.3041216834</v>
          </cell>
          <cell r="K5926">
            <v>2.4380000000000002</v>
          </cell>
          <cell r="L5926">
            <v>148835</v>
          </cell>
          <cell r="M5926">
            <v>13229</v>
          </cell>
          <cell r="N5926">
            <v>683926.05601571908</v>
          </cell>
          <cell r="O5926">
            <v>692380.00232629513</v>
          </cell>
          <cell r="P5926">
            <v>368.79259999999999</v>
          </cell>
        </row>
        <row r="5927">
          <cell r="B5927">
            <v>38704</v>
          </cell>
          <cell r="J5927">
            <v>3809804.3041216834</v>
          </cell>
          <cell r="K5927">
            <v>2.4380000000000002</v>
          </cell>
          <cell r="L5927">
            <v>148835</v>
          </cell>
          <cell r="M5927">
            <v>13229</v>
          </cell>
          <cell r="N5927">
            <v>683926.05601571908</v>
          </cell>
          <cell r="O5927">
            <v>692380.00232629513</v>
          </cell>
          <cell r="P5927">
            <v>368.79259999999999</v>
          </cell>
        </row>
        <row r="5928">
          <cell r="B5928">
            <v>38705</v>
          </cell>
          <cell r="J5928">
            <v>3809804.3041216834</v>
          </cell>
          <cell r="K5928">
            <v>2.4380000000000002</v>
          </cell>
          <cell r="L5928">
            <v>148835</v>
          </cell>
          <cell r="M5928">
            <v>13229</v>
          </cell>
          <cell r="N5928">
            <v>683926.05601571908</v>
          </cell>
          <cell r="O5928">
            <v>692380.00232629513</v>
          </cell>
          <cell r="P5928">
            <v>368.79259999999999</v>
          </cell>
        </row>
        <row r="5929">
          <cell r="B5929">
            <v>38706</v>
          </cell>
          <cell r="J5929">
            <v>3809804.3041216834</v>
          </cell>
          <cell r="K5929">
            <v>2.4380000000000002</v>
          </cell>
          <cell r="L5929">
            <v>148835</v>
          </cell>
          <cell r="M5929">
            <v>13229</v>
          </cell>
          <cell r="N5929">
            <v>683926.05601571908</v>
          </cell>
          <cell r="O5929">
            <v>692380.00232629513</v>
          </cell>
          <cell r="P5929">
            <v>368.79259999999999</v>
          </cell>
        </row>
        <row r="5930">
          <cell r="B5930">
            <v>38707</v>
          </cell>
          <cell r="J5930">
            <v>3809804.3041216834</v>
          </cell>
          <cell r="K5930">
            <v>2.4380000000000002</v>
          </cell>
          <cell r="L5930">
            <v>148835</v>
          </cell>
          <cell r="M5930">
            <v>13229</v>
          </cell>
          <cell r="N5930">
            <v>683926.05601571908</v>
          </cell>
          <cell r="O5930">
            <v>692380.00232629513</v>
          </cell>
          <cell r="P5930">
            <v>368.79259999999999</v>
          </cell>
        </row>
        <row r="5931">
          <cell r="B5931">
            <v>38708</v>
          </cell>
          <cell r="J5931">
            <v>3809804.3041216834</v>
          </cell>
          <cell r="K5931">
            <v>2.4380000000000002</v>
          </cell>
          <cell r="L5931">
            <v>148835</v>
          </cell>
          <cell r="M5931">
            <v>13229</v>
          </cell>
          <cell r="N5931">
            <v>683926.05601571908</v>
          </cell>
          <cell r="O5931">
            <v>692380.00232629513</v>
          </cell>
          <cell r="P5931">
            <v>368.79259999999999</v>
          </cell>
        </row>
        <row r="5932">
          <cell r="B5932">
            <v>38709</v>
          </cell>
          <cell r="J5932">
            <v>3809804.3041216834</v>
          </cell>
          <cell r="K5932">
            <v>2.4380000000000002</v>
          </cell>
          <cell r="L5932">
            <v>148835</v>
          </cell>
          <cell r="M5932">
            <v>13229</v>
          </cell>
          <cell r="N5932">
            <v>683926.05601571908</v>
          </cell>
          <cell r="O5932">
            <v>692380.00232629513</v>
          </cell>
          <cell r="P5932">
            <v>368.79259999999999</v>
          </cell>
        </row>
        <row r="5933">
          <cell r="B5933">
            <v>38710</v>
          </cell>
          <cell r="J5933">
            <v>3809804.3041216834</v>
          </cell>
          <cell r="K5933">
            <v>2.4380000000000002</v>
          </cell>
          <cell r="L5933">
            <v>148835</v>
          </cell>
          <cell r="M5933">
            <v>13229</v>
          </cell>
          <cell r="N5933">
            <v>683926.05601571908</v>
          </cell>
          <cell r="O5933">
            <v>692380.00232629513</v>
          </cell>
          <cell r="P5933">
            <v>368.79259999999999</v>
          </cell>
        </row>
        <row r="5934">
          <cell r="B5934">
            <v>38711</v>
          </cell>
          <cell r="J5934">
            <v>3809804.3041216834</v>
          </cell>
          <cell r="K5934">
            <v>2.4380000000000002</v>
          </cell>
          <cell r="L5934">
            <v>148835</v>
          </cell>
          <cell r="M5934">
            <v>13229</v>
          </cell>
          <cell r="N5934">
            <v>683926.05601571908</v>
          </cell>
          <cell r="O5934">
            <v>692380.00232629513</v>
          </cell>
          <cell r="P5934">
            <v>368.79259999999999</v>
          </cell>
        </row>
        <row r="5935">
          <cell r="B5935">
            <v>38712</v>
          </cell>
          <cell r="J5935">
            <v>3809804.3041216834</v>
          </cell>
          <cell r="K5935">
            <v>2.4380000000000002</v>
          </cell>
          <cell r="L5935">
            <v>148835</v>
          </cell>
          <cell r="M5935">
            <v>13229</v>
          </cell>
          <cell r="N5935">
            <v>683926.05601571908</v>
          </cell>
          <cell r="O5935">
            <v>692380.00232629513</v>
          </cell>
          <cell r="P5935">
            <v>368.79259999999999</v>
          </cell>
        </row>
        <row r="5936">
          <cell r="B5936">
            <v>38713</v>
          </cell>
          <cell r="J5936">
            <v>3809804.3041216834</v>
          </cell>
          <cell r="K5936">
            <v>2.4380000000000002</v>
          </cell>
          <cell r="L5936">
            <v>148835</v>
          </cell>
          <cell r="M5936">
            <v>13229</v>
          </cell>
          <cell r="N5936">
            <v>683926.05601571908</v>
          </cell>
          <cell r="O5936">
            <v>692380.00232629513</v>
          </cell>
          <cell r="P5936">
            <v>368.79259999999999</v>
          </cell>
        </row>
        <row r="5937">
          <cell r="B5937">
            <v>38714</v>
          </cell>
          <cell r="J5937">
            <v>3809804.3041216834</v>
          </cell>
          <cell r="K5937">
            <v>2.4380000000000002</v>
          </cell>
          <cell r="L5937">
            <v>148835</v>
          </cell>
          <cell r="M5937">
            <v>13229</v>
          </cell>
          <cell r="N5937">
            <v>683926.05601571908</v>
          </cell>
          <cell r="O5937">
            <v>692380.00232629513</v>
          </cell>
          <cell r="P5937">
            <v>368.79259999999999</v>
          </cell>
        </row>
        <row r="5938">
          <cell r="B5938">
            <v>38715</v>
          </cell>
          <cell r="J5938">
            <v>3809804.3041216834</v>
          </cell>
          <cell r="K5938">
            <v>2.4380000000000002</v>
          </cell>
          <cell r="L5938">
            <v>148835</v>
          </cell>
          <cell r="M5938">
            <v>13229</v>
          </cell>
          <cell r="N5938">
            <v>683926.05601571908</v>
          </cell>
          <cell r="O5938">
            <v>692380.00232629513</v>
          </cell>
          <cell r="P5938">
            <v>368.79259999999999</v>
          </cell>
        </row>
        <row r="5939">
          <cell r="B5939">
            <v>38716</v>
          </cell>
          <cell r="J5939">
            <v>3809804.3041216834</v>
          </cell>
          <cell r="K5939">
            <v>2.4380000000000002</v>
          </cell>
          <cell r="L5939">
            <v>148835</v>
          </cell>
          <cell r="M5939">
            <v>13229</v>
          </cell>
          <cell r="N5939">
            <v>683926.05601571908</v>
          </cell>
          <cell r="O5939">
            <v>692380.00232629513</v>
          </cell>
          <cell r="P5939">
            <v>368.79259999999999</v>
          </cell>
        </row>
        <row r="5940">
          <cell r="B5940">
            <v>38717</v>
          </cell>
          <cell r="J5940">
            <v>3809804.3041216834</v>
          </cell>
          <cell r="K5940">
            <v>2.4380000000000002</v>
          </cell>
          <cell r="L5940">
            <v>148835</v>
          </cell>
          <cell r="M5940">
            <v>13229</v>
          </cell>
          <cell r="N5940">
            <v>683926.05601571908</v>
          </cell>
          <cell r="O5940">
            <v>692380.00232629513</v>
          </cell>
          <cell r="P5940">
            <v>368.79259999999999</v>
          </cell>
        </row>
        <row r="5941">
          <cell r="B5941">
            <v>38718</v>
          </cell>
          <cell r="J5941">
            <v>3809804.3041216834</v>
          </cell>
          <cell r="K5941">
            <v>2.4380000000000002</v>
          </cell>
          <cell r="L5941">
            <v>148835</v>
          </cell>
          <cell r="M5941">
            <v>13229</v>
          </cell>
          <cell r="N5941">
            <v>683926.05601571908</v>
          </cell>
          <cell r="O5941">
            <v>692380.00232629513</v>
          </cell>
          <cell r="P5941">
            <v>368.79259999999999</v>
          </cell>
        </row>
        <row r="5942">
          <cell r="B5942">
            <v>38719</v>
          </cell>
          <cell r="J5942">
            <v>3809804.3041216834</v>
          </cell>
          <cell r="K5942">
            <v>2.4380000000000002</v>
          </cell>
          <cell r="L5942">
            <v>148835</v>
          </cell>
          <cell r="M5942">
            <v>13229</v>
          </cell>
          <cell r="N5942">
            <v>683926.05601571908</v>
          </cell>
          <cell r="O5942">
            <v>692380.00232629513</v>
          </cell>
          <cell r="P5942">
            <v>368.79259999999999</v>
          </cell>
        </row>
        <row r="5943">
          <cell r="B5943">
            <v>38720</v>
          </cell>
          <cell r="J5943">
            <v>3809804.3041216834</v>
          </cell>
          <cell r="K5943">
            <v>2.4380000000000002</v>
          </cell>
          <cell r="L5943">
            <v>148835</v>
          </cell>
          <cell r="M5943">
            <v>13229</v>
          </cell>
          <cell r="N5943">
            <v>683926.05601571908</v>
          </cell>
          <cell r="O5943">
            <v>692380.00232629513</v>
          </cell>
          <cell r="P5943">
            <v>368.79259999999999</v>
          </cell>
        </row>
        <row r="5944">
          <cell r="B5944">
            <v>38721</v>
          </cell>
          <cell r="J5944">
            <v>3809804.3041216834</v>
          </cell>
          <cell r="K5944">
            <v>2.4380000000000002</v>
          </cell>
          <cell r="L5944">
            <v>148835</v>
          </cell>
          <cell r="M5944">
            <v>13229</v>
          </cell>
          <cell r="N5944">
            <v>683926.05601571908</v>
          </cell>
          <cell r="O5944">
            <v>692380.00232629513</v>
          </cell>
          <cell r="P5944">
            <v>368.79259999999999</v>
          </cell>
        </row>
        <row r="5945">
          <cell r="B5945">
            <v>38722</v>
          </cell>
          <cell r="J5945">
            <v>3809804.3041216834</v>
          </cell>
          <cell r="K5945">
            <v>2.4380000000000002</v>
          </cell>
          <cell r="L5945">
            <v>148835</v>
          </cell>
          <cell r="M5945">
            <v>13229</v>
          </cell>
          <cell r="N5945">
            <v>683926.05601571908</v>
          </cell>
          <cell r="O5945">
            <v>692380.00232629513</v>
          </cell>
          <cell r="P5945">
            <v>368.79259999999999</v>
          </cell>
        </row>
        <row r="5946">
          <cell r="B5946">
            <v>38723</v>
          </cell>
          <cell r="J5946">
            <v>3809804.3041216834</v>
          </cell>
          <cell r="K5946">
            <v>2.4380000000000002</v>
          </cell>
          <cell r="L5946">
            <v>148835</v>
          </cell>
          <cell r="M5946">
            <v>13229</v>
          </cell>
          <cell r="N5946">
            <v>683926.05601571908</v>
          </cell>
          <cell r="O5946">
            <v>692380.00232629513</v>
          </cell>
          <cell r="P5946">
            <v>368.79259999999999</v>
          </cell>
        </row>
        <row r="5947">
          <cell r="B5947">
            <v>38724</v>
          </cell>
          <cell r="J5947">
            <v>3809804.3041216834</v>
          </cell>
          <cell r="K5947">
            <v>2.4380000000000002</v>
          </cell>
          <cell r="L5947">
            <v>148835</v>
          </cell>
          <cell r="M5947">
            <v>13229</v>
          </cell>
          <cell r="N5947">
            <v>683926.05601571908</v>
          </cell>
          <cell r="O5947">
            <v>692380.00232629513</v>
          </cell>
          <cell r="P5947">
            <v>368.79259999999999</v>
          </cell>
        </row>
        <row r="5948">
          <cell r="B5948">
            <v>38725</v>
          </cell>
          <cell r="J5948">
            <v>3809804.3041216834</v>
          </cell>
          <cell r="K5948">
            <v>2.4380000000000002</v>
          </cell>
          <cell r="L5948">
            <v>148835</v>
          </cell>
          <cell r="M5948">
            <v>13229</v>
          </cell>
          <cell r="N5948">
            <v>683926.05601571908</v>
          </cell>
          <cell r="O5948">
            <v>692380.00232629513</v>
          </cell>
          <cell r="P5948">
            <v>368.79259999999999</v>
          </cell>
        </row>
        <row r="5949">
          <cell r="B5949">
            <v>38726</v>
          </cell>
          <cell r="J5949">
            <v>3809804.3041216834</v>
          </cell>
          <cell r="K5949">
            <v>2.4380000000000002</v>
          </cell>
          <cell r="L5949">
            <v>148835</v>
          </cell>
          <cell r="M5949">
            <v>13229</v>
          </cell>
          <cell r="N5949">
            <v>683926.05601571908</v>
          </cell>
          <cell r="O5949">
            <v>692380.00232629513</v>
          </cell>
          <cell r="P5949">
            <v>368.79259999999999</v>
          </cell>
        </row>
        <row r="5950">
          <cell r="B5950">
            <v>38727</v>
          </cell>
          <cell r="J5950">
            <v>3809804.3041216834</v>
          </cell>
          <cell r="K5950">
            <v>2.4380000000000002</v>
          </cell>
          <cell r="L5950">
            <v>148835</v>
          </cell>
          <cell r="M5950">
            <v>13229</v>
          </cell>
          <cell r="N5950">
            <v>683926.05601571908</v>
          </cell>
          <cell r="O5950">
            <v>692380.00232629513</v>
          </cell>
          <cell r="P5950">
            <v>368.79259999999999</v>
          </cell>
        </row>
        <row r="5951">
          <cell r="B5951">
            <v>38728</v>
          </cell>
          <cell r="J5951">
            <v>3809804.3041216834</v>
          </cell>
          <cell r="K5951">
            <v>2.4380000000000002</v>
          </cell>
          <cell r="L5951">
            <v>148835</v>
          </cell>
          <cell r="M5951">
            <v>13229</v>
          </cell>
          <cell r="N5951">
            <v>683926.05601571908</v>
          </cell>
          <cell r="O5951">
            <v>692380.00232629513</v>
          </cell>
          <cell r="P5951">
            <v>368.79259999999999</v>
          </cell>
        </row>
        <row r="5952">
          <cell r="B5952">
            <v>38729</v>
          </cell>
          <cell r="J5952">
            <v>3809804.3041216834</v>
          </cell>
          <cell r="K5952">
            <v>2.4380000000000002</v>
          </cell>
          <cell r="L5952">
            <v>148835</v>
          </cell>
          <cell r="M5952">
            <v>13229</v>
          </cell>
          <cell r="N5952">
            <v>683926.05601571908</v>
          </cell>
          <cell r="O5952">
            <v>692380.00232629513</v>
          </cell>
          <cell r="P5952">
            <v>368.79259999999999</v>
          </cell>
        </row>
        <row r="5953">
          <cell r="B5953">
            <v>38730</v>
          </cell>
          <cell r="J5953">
            <v>3809804.3041216834</v>
          </cell>
          <cell r="K5953">
            <v>2.4380000000000002</v>
          </cell>
          <cell r="L5953">
            <v>148835</v>
          </cell>
          <cell r="M5953">
            <v>13229</v>
          </cell>
          <cell r="N5953">
            <v>683926.05601571908</v>
          </cell>
          <cell r="O5953">
            <v>692380.00232629513</v>
          </cell>
          <cell r="P5953">
            <v>368.79259999999999</v>
          </cell>
        </row>
        <row r="5954">
          <cell r="B5954">
            <v>38731</v>
          </cell>
          <cell r="J5954">
            <v>3809804.3041216834</v>
          </cell>
          <cell r="K5954">
            <v>2.4380000000000002</v>
          </cell>
          <cell r="L5954">
            <v>148835</v>
          </cell>
          <cell r="M5954">
            <v>13229</v>
          </cell>
          <cell r="N5954">
            <v>683926.05601571908</v>
          </cell>
          <cell r="O5954">
            <v>692380.00232629513</v>
          </cell>
          <cell r="P5954">
            <v>368.79259999999999</v>
          </cell>
        </row>
        <row r="5955">
          <cell r="B5955">
            <v>38732</v>
          </cell>
          <cell r="J5955">
            <v>3809804.3041216834</v>
          </cell>
          <cell r="K5955">
            <v>2.4380000000000002</v>
          </cell>
          <cell r="L5955">
            <v>148835</v>
          </cell>
          <cell r="M5955">
            <v>13229</v>
          </cell>
          <cell r="N5955">
            <v>683926.05601571908</v>
          </cell>
          <cell r="O5955">
            <v>692380.00232629513</v>
          </cell>
          <cell r="P5955">
            <v>368.79259999999999</v>
          </cell>
        </row>
        <row r="5956">
          <cell r="B5956">
            <v>38733</v>
          </cell>
          <cell r="J5956">
            <v>3809804.3041216834</v>
          </cell>
          <cell r="K5956">
            <v>2.4380000000000002</v>
          </cell>
          <cell r="L5956">
            <v>148835</v>
          </cell>
          <cell r="M5956">
            <v>13229</v>
          </cell>
          <cell r="N5956">
            <v>683926.05601571908</v>
          </cell>
          <cell r="O5956">
            <v>692380.00232629513</v>
          </cell>
          <cell r="P5956">
            <v>368.79259999999999</v>
          </cell>
        </row>
        <row r="5957">
          <cell r="B5957">
            <v>38734</v>
          </cell>
          <cell r="J5957">
            <v>3809804.3041216834</v>
          </cell>
          <cell r="K5957">
            <v>2.4380000000000002</v>
          </cell>
          <cell r="L5957">
            <v>148835</v>
          </cell>
          <cell r="M5957">
            <v>13229</v>
          </cell>
          <cell r="N5957">
            <v>683926.05601571908</v>
          </cell>
          <cell r="O5957">
            <v>692380.00232629513</v>
          </cell>
          <cell r="P5957">
            <v>368.79259999999999</v>
          </cell>
        </row>
        <row r="5958">
          <cell r="B5958">
            <v>38735</v>
          </cell>
          <cell r="J5958">
            <v>3809804.3041216834</v>
          </cell>
          <cell r="K5958">
            <v>2.4380000000000002</v>
          </cell>
          <cell r="L5958">
            <v>148835</v>
          </cell>
          <cell r="M5958">
            <v>13229</v>
          </cell>
          <cell r="N5958">
            <v>683926.05601571908</v>
          </cell>
          <cell r="O5958">
            <v>692380.00232629513</v>
          </cell>
          <cell r="P5958">
            <v>368.79259999999999</v>
          </cell>
        </row>
        <row r="5959">
          <cell r="B5959">
            <v>38736</v>
          </cell>
          <cell r="J5959">
            <v>3809804.3041216834</v>
          </cell>
          <cell r="K5959">
            <v>2.4380000000000002</v>
          </cell>
          <cell r="L5959">
            <v>148835</v>
          </cell>
          <cell r="M5959">
            <v>13229</v>
          </cell>
          <cell r="N5959">
            <v>683926.05601571908</v>
          </cell>
          <cell r="O5959">
            <v>692380.00232629513</v>
          </cell>
          <cell r="P5959">
            <v>368.79259999999999</v>
          </cell>
        </row>
        <row r="5960">
          <cell r="B5960">
            <v>38737</v>
          </cell>
          <cell r="J5960">
            <v>3809804.3041216834</v>
          </cell>
          <cell r="K5960">
            <v>2.4380000000000002</v>
          </cell>
          <cell r="L5960">
            <v>148835</v>
          </cell>
          <cell r="M5960">
            <v>13229</v>
          </cell>
          <cell r="N5960">
            <v>683926.05601571908</v>
          </cell>
          <cell r="O5960">
            <v>692380.00232629513</v>
          </cell>
          <cell r="P5960">
            <v>368.79259999999999</v>
          </cell>
        </row>
        <row r="5961">
          <cell r="B5961">
            <v>38738</v>
          </cell>
          <cell r="J5961">
            <v>3809804.3041216834</v>
          </cell>
          <cell r="K5961">
            <v>2.4380000000000002</v>
          </cell>
          <cell r="L5961">
            <v>148835</v>
          </cell>
          <cell r="M5961">
            <v>13229</v>
          </cell>
          <cell r="N5961">
            <v>683926.05601571908</v>
          </cell>
          <cell r="O5961">
            <v>692380.00232629513</v>
          </cell>
          <cell r="P5961">
            <v>368.79259999999999</v>
          </cell>
        </row>
        <row r="5962">
          <cell r="B5962">
            <v>38739</v>
          </cell>
          <cell r="J5962">
            <v>3809804.3041216834</v>
          </cell>
          <cell r="K5962">
            <v>2.4380000000000002</v>
          </cell>
          <cell r="L5962">
            <v>148835</v>
          </cell>
          <cell r="M5962">
            <v>13229</v>
          </cell>
          <cell r="N5962">
            <v>683926.05601571908</v>
          </cell>
          <cell r="O5962">
            <v>692380.00232629513</v>
          </cell>
          <cell r="P5962">
            <v>368.79259999999999</v>
          </cell>
        </row>
        <row r="5963">
          <cell r="B5963">
            <v>38740</v>
          </cell>
          <cell r="J5963">
            <v>3809804.3041216834</v>
          </cell>
          <cell r="K5963">
            <v>2.4380000000000002</v>
          </cell>
          <cell r="L5963">
            <v>148835</v>
          </cell>
          <cell r="M5963">
            <v>13229</v>
          </cell>
          <cell r="N5963">
            <v>683926.05601571908</v>
          </cell>
          <cell r="O5963">
            <v>692380.00232629513</v>
          </cell>
          <cell r="P5963">
            <v>368.79259999999999</v>
          </cell>
        </row>
        <row r="5964">
          <cell r="B5964">
            <v>38741</v>
          </cell>
          <cell r="J5964">
            <v>3809804.3041216834</v>
          </cell>
          <cell r="K5964">
            <v>2.4380000000000002</v>
          </cell>
          <cell r="L5964">
            <v>148835</v>
          </cell>
          <cell r="M5964">
            <v>13229</v>
          </cell>
          <cell r="N5964">
            <v>683926.05601571908</v>
          </cell>
          <cell r="O5964">
            <v>692380.00232629513</v>
          </cell>
          <cell r="P5964">
            <v>368.79259999999999</v>
          </cell>
        </row>
        <row r="5965">
          <cell r="B5965">
            <v>38742</v>
          </cell>
          <cell r="J5965">
            <v>3809804.3041216834</v>
          </cell>
          <cell r="K5965">
            <v>2.4380000000000002</v>
          </cell>
          <cell r="L5965">
            <v>148835</v>
          </cell>
          <cell r="M5965">
            <v>13229</v>
          </cell>
          <cell r="N5965">
            <v>683926.05601571908</v>
          </cell>
          <cell r="O5965">
            <v>692380.00232629513</v>
          </cell>
          <cell r="P5965">
            <v>368.79259999999999</v>
          </cell>
        </row>
        <row r="5966">
          <cell r="B5966">
            <v>38743</v>
          </cell>
          <cell r="J5966">
            <v>3809804.3041216834</v>
          </cell>
          <cell r="K5966">
            <v>2.4380000000000002</v>
          </cell>
          <cell r="L5966">
            <v>148835</v>
          </cell>
          <cell r="M5966">
            <v>13229</v>
          </cell>
          <cell r="N5966">
            <v>683926.05601571908</v>
          </cell>
          <cell r="O5966">
            <v>692380.00232629513</v>
          </cell>
          <cell r="P5966">
            <v>368.79259999999999</v>
          </cell>
        </row>
        <row r="5967">
          <cell r="B5967">
            <v>38744</v>
          </cell>
          <cell r="J5967">
            <v>3809804.3041216834</v>
          </cell>
          <cell r="K5967">
            <v>2.4380000000000002</v>
          </cell>
          <cell r="L5967">
            <v>148835</v>
          </cell>
          <cell r="M5967">
            <v>13229</v>
          </cell>
          <cell r="N5967">
            <v>683926.05601571908</v>
          </cell>
          <cell r="O5967">
            <v>692380.00232629513</v>
          </cell>
          <cell r="P5967">
            <v>368.79259999999999</v>
          </cell>
        </row>
        <row r="5968">
          <cell r="B5968">
            <v>38745</v>
          </cell>
          <cell r="J5968">
            <v>3809804.3041216834</v>
          </cell>
          <cell r="K5968">
            <v>2.4380000000000002</v>
          </cell>
          <cell r="L5968">
            <v>148835</v>
          </cell>
          <cell r="M5968">
            <v>13229</v>
          </cell>
          <cell r="N5968">
            <v>683926.05601571908</v>
          </cell>
          <cell r="O5968">
            <v>692380.00232629513</v>
          </cell>
          <cell r="P5968">
            <v>368.79259999999999</v>
          </cell>
        </row>
        <row r="5969">
          <cell r="B5969">
            <v>38746</v>
          </cell>
          <cell r="J5969">
            <v>3809804.3041216834</v>
          </cell>
          <cell r="K5969">
            <v>2.4380000000000002</v>
          </cell>
          <cell r="L5969">
            <v>148835</v>
          </cell>
          <cell r="M5969">
            <v>13229</v>
          </cell>
          <cell r="N5969">
            <v>683926.05601571908</v>
          </cell>
          <cell r="O5969">
            <v>692380.00232629513</v>
          </cell>
          <cell r="P5969">
            <v>368.79259999999999</v>
          </cell>
        </row>
        <row r="5970">
          <cell r="B5970">
            <v>38747</v>
          </cell>
          <cell r="J5970">
            <v>3809804.3041216834</v>
          </cell>
          <cell r="K5970">
            <v>2.4380000000000002</v>
          </cell>
          <cell r="L5970">
            <v>148835</v>
          </cell>
          <cell r="M5970">
            <v>13229</v>
          </cell>
          <cell r="N5970">
            <v>683926.05601571908</v>
          </cell>
          <cell r="O5970">
            <v>692380.00232629513</v>
          </cell>
          <cell r="P5970">
            <v>368.79259999999999</v>
          </cell>
        </row>
        <row r="5971">
          <cell r="B5971">
            <v>38748</v>
          </cell>
          <cell r="J5971">
            <v>3809804.3041216834</v>
          </cell>
          <cell r="K5971">
            <v>2.4380000000000002</v>
          </cell>
          <cell r="L5971">
            <v>148835</v>
          </cell>
          <cell r="M5971">
            <v>13229</v>
          </cell>
          <cell r="N5971">
            <v>683926.05601571908</v>
          </cell>
          <cell r="O5971">
            <v>692380.00232629513</v>
          </cell>
          <cell r="P5971">
            <v>368.79259999999999</v>
          </cell>
        </row>
        <row r="5972">
          <cell r="B5972">
            <v>38749</v>
          </cell>
          <cell r="J5972">
            <v>3809804.3041216834</v>
          </cell>
          <cell r="K5972">
            <v>2.4380000000000002</v>
          </cell>
          <cell r="L5972">
            <v>148835</v>
          </cell>
          <cell r="M5972">
            <v>13229</v>
          </cell>
          <cell r="N5972">
            <v>683926.05601571908</v>
          </cell>
          <cell r="O5972">
            <v>692380.00232629513</v>
          </cell>
          <cell r="P5972">
            <v>368.79259999999999</v>
          </cell>
        </row>
        <row r="5973">
          <cell r="B5973">
            <v>38750</v>
          </cell>
          <cell r="J5973">
            <v>3809804.3041216834</v>
          </cell>
          <cell r="K5973">
            <v>2.4380000000000002</v>
          </cell>
          <cell r="L5973">
            <v>148835</v>
          </cell>
          <cell r="M5973">
            <v>13229</v>
          </cell>
          <cell r="N5973">
            <v>683926.05601571908</v>
          </cell>
          <cell r="O5973">
            <v>692380.00232629513</v>
          </cell>
          <cell r="P5973">
            <v>368.79259999999999</v>
          </cell>
        </row>
        <row r="5974">
          <cell r="B5974">
            <v>38751</v>
          </cell>
          <cell r="J5974">
            <v>3809804.3041216834</v>
          </cell>
          <cell r="K5974">
            <v>2.4380000000000002</v>
          </cell>
          <cell r="L5974">
            <v>148835</v>
          </cell>
          <cell r="M5974">
            <v>13229</v>
          </cell>
          <cell r="N5974">
            <v>683926.05601571908</v>
          </cell>
          <cell r="O5974">
            <v>692380.00232629513</v>
          </cell>
          <cell r="P5974">
            <v>368.79259999999999</v>
          </cell>
        </row>
        <row r="5975">
          <cell r="B5975">
            <v>38752</v>
          </cell>
          <cell r="J5975">
            <v>3809804.3041216834</v>
          </cell>
          <cell r="K5975">
            <v>2.4380000000000002</v>
          </cell>
          <cell r="L5975">
            <v>148835</v>
          </cell>
          <cell r="M5975">
            <v>13229</v>
          </cell>
          <cell r="N5975">
            <v>683926.05601571908</v>
          </cell>
          <cell r="O5975">
            <v>692380.00232629513</v>
          </cell>
          <cell r="P5975">
            <v>368.79259999999999</v>
          </cell>
        </row>
        <row r="5976">
          <cell r="B5976">
            <v>38753</v>
          </cell>
          <cell r="J5976">
            <v>3809804.3041216834</v>
          </cell>
          <cell r="K5976">
            <v>2.4380000000000002</v>
          </cell>
          <cell r="L5976">
            <v>148835</v>
          </cell>
          <cell r="M5976">
            <v>13229</v>
          </cell>
          <cell r="N5976">
            <v>683926.05601571908</v>
          </cell>
          <cell r="O5976">
            <v>692380.00232629513</v>
          </cell>
          <cell r="P5976">
            <v>368.79259999999999</v>
          </cell>
        </row>
        <row r="5977">
          <cell r="B5977">
            <v>38754</v>
          </cell>
          <cell r="J5977">
            <v>3809804.3041216834</v>
          </cell>
          <cell r="K5977">
            <v>2.4380000000000002</v>
          </cell>
          <cell r="L5977">
            <v>148835</v>
          </cell>
          <cell r="M5977">
            <v>13229</v>
          </cell>
          <cell r="N5977">
            <v>683926.05601571908</v>
          </cell>
          <cell r="O5977">
            <v>692380.00232629513</v>
          </cell>
          <cell r="P5977">
            <v>368.79259999999999</v>
          </cell>
        </row>
        <row r="5978">
          <cell r="B5978">
            <v>38755</v>
          </cell>
          <cell r="J5978">
            <v>3809804.3041216834</v>
          </cell>
          <cell r="K5978">
            <v>2.4380000000000002</v>
          </cell>
          <cell r="L5978">
            <v>148835</v>
          </cell>
          <cell r="M5978">
            <v>13229</v>
          </cell>
          <cell r="N5978">
            <v>683926.05601571908</v>
          </cell>
          <cell r="O5978">
            <v>692380.00232629513</v>
          </cell>
          <cell r="P5978">
            <v>368.79259999999999</v>
          </cell>
        </row>
        <row r="5979">
          <cell r="B5979">
            <v>38756</v>
          </cell>
          <cell r="J5979">
            <v>3809804.3041216834</v>
          </cell>
          <cell r="K5979">
            <v>2.4380000000000002</v>
          </cell>
          <cell r="L5979">
            <v>148835</v>
          </cell>
          <cell r="M5979">
            <v>13229</v>
          </cell>
          <cell r="N5979">
            <v>683926.05601571908</v>
          </cell>
          <cell r="O5979">
            <v>692380.00232629513</v>
          </cell>
          <cell r="P5979">
            <v>368.79259999999999</v>
          </cell>
        </row>
        <row r="5980">
          <cell r="B5980">
            <v>38757</v>
          </cell>
          <cell r="J5980">
            <v>3809804.3041216834</v>
          </cell>
          <cell r="K5980">
            <v>2.4380000000000002</v>
          </cell>
          <cell r="L5980">
            <v>148835</v>
          </cell>
          <cell r="M5980">
            <v>13229</v>
          </cell>
          <cell r="N5980">
            <v>683926.05601571908</v>
          </cell>
          <cell r="O5980">
            <v>692380.00232629513</v>
          </cell>
          <cell r="P5980">
            <v>368.79259999999999</v>
          </cell>
        </row>
        <row r="5981">
          <cell r="B5981">
            <v>38758</v>
          </cell>
          <cell r="J5981">
            <v>3809804.3041216834</v>
          </cell>
          <cell r="K5981">
            <v>2.4380000000000002</v>
          </cell>
          <cell r="L5981">
            <v>148835</v>
          </cell>
          <cell r="M5981">
            <v>13229</v>
          </cell>
          <cell r="N5981">
            <v>683926.05601571908</v>
          </cell>
          <cell r="O5981">
            <v>692380.00232629513</v>
          </cell>
          <cell r="P5981">
            <v>368.79259999999999</v>
          </cell>
        </row>
        <row r="5982">
          <cell r="B5982">
            <v>38759</v>
          </cell>
          <cell r="J5982">
            <v>3809804.3041216834</v>
          </cell>
          <cell r="K5982">
            <v>2.4380000000000002</v>
          </cell>
          <cell r="L5982">
            <v>148835</v>
          </cell>
          <cell r="M5982">
            <v>13229</v>
          </cell>
          <cell r="N5982">
            <v>683926.05601571908</v>
          </cell>
          <cell r="O5982">
            <v>692380.00232629513</v>
          </cell>
          <cell r="P5982">
            <v>368.79259999999999</v>
          </cell>
        </row>
        <row r="5983">
          <cell r="B5983">
            <v>38760</v>
          </cell>
          <cell r="J5983">
            <v>3809804.3041216834</v>
          </cell>
          <cell r="K5983">
            <v>2.4380000000000002</v>
          </cell>
          <cell r="L5983">
            <v>148835</v>
          </cell>
          <cell r="M5983">
            <v>13229</v>
          </cell>
          <cell r="N5983">
            <v>683926.05601571908</v>
          </cell>
          <cell r="O5983">
            <v>692380.00232629513</v>
          </cell>
          <cell r="P5983">
            <v>368.79259999999999</v>
          </cell>
        </row>
        <row r="5984">
          <cell r="B5984">
            <v>38761</v>
          </cell>
          <cell r="J5984">
            <v>3809804.3041216834</v>
          </cell>
          <cell r="K5984">
            <v>2.4380000000000002</v>
          </cell>
          <cell r="L5984">
            <v>148835</v>
          </cell>
          <cell r="M5984">
            <v>13229</v>
          </cell>
          <cell r="N5984">
            <v>683926.05601571908</v>
          </cell>
          <cell r="O5984">
            <v>692380.00232629513</v>
          </cell>
          <cell r="P5984">
            <v>368.79259999999999</v>
          </cell>
        </row>
        <row r="5985">
          <cell r="B5985">
            <v>38762</v>
          </cell>
          <cell r="J5985">
            <v>3809804.3041216834</v>
          </cell>
          <cell r="K5985">
            <v>2.4380000000000002</v>
          </cell>
          <cell r="L5985">
            <v>148835</v>
          </cell>
          <cell r="M5985">
            <v>13229</v>
          </cell>
          <cell r="N5985">
            <v>683926.05601571908</v>
          </cell>
          <cell r="O5985">
            <v>692380.00232629513</v>
          </cell>
          <cell r="P5985">
            <v>368.79259999999999</v>
          </cell>
        </row>
        <row r="5986">
          <cell r="B5986">
            <v>38763</v>
          </cell>
          <cell r="J5986">
            <v>3809804.3041216834</v>
          </cell>
          <cell r="K5986">
            <v>2.4380000000000002</v>
          </cell>
          <cell r="L5986">
            <v>148835</v>
          </cell>
          <cell r="M5986">
            <v>13229</v>
          </cell>
          <cell r="N5986">
            <v>683926.05601571908</v>
          </cell>
          <cell r="O5986">
            <v>692380.00232629513</v>
          </cell>
          <cell r="P5986">
            <v>368.79259999999999</v>
          </cell>
        </row>
        <row r="5987">
          <cell r="B5987">
            <v>38764</v>
          </cell>
          <cell r="J5987">
            <v>3809804.3041216834</v>
          </cell>
          <cell r="K5987">
            <v>2.4380000000000002</v>
          </cell>
          <cell r="L5987">
            <v>148835</v>
          </cell>
          <cell r="M5987">
            <v>13229</v>
          </cell>
          <cell r="N5987">
            <v>683926.05601571908</v>
          </cell>
          <cell r="O5987">
            <v>692380.00232629513</v>
          </cell>
          <cell r="P5987">
            <v>368.79259999999999</v>
          </cell>
        </row>
        <row r="5988">
          <cell r="B5988">
            <v>38765</v>
          </cell>
          <cell r="J5988">
            <v>3809804.3041216834</v>
          </cell>
          <cell r="K5988">
            <v>2.4380000000000002</v>
          </cell>
          <cell r="L5988">
            <v>148835</v>
          </cell>
          <cell r="M5988">
            <v>13229</v>
          </cell>
          <cell r="N5988">
            <v>683926.05601571908</v>
          </cell>
          <cell r="O5988">
            <v>692380.00232629513</v>
          </cell>
          <cell r="P5988">
            <v>368.79259999999999</v>
          </cell>
        </row>
        <row r="5989">
          <cell r="B5989">
            <v>38766</v>
          </cell>
          <cell r="J5989">
            <v>3809804.3041216834</v>
          </cell>
          <cell r="K5989">
            <v>2.4380000000000002</v>
          </cell>
          <cell r="L5989">
            <v>148835</v>
          </cell>
          <cell r="M5989">
            <v>13229</v>
          </cell>
          <cell r="N5989">
            <v>683926.05601571908</v>
          </cell>
          <cell r="O5989">
            <v>692380.00232629513</v>
          </cell>
          <cell r="P5989">
            <v>368.79259999999999</v>
          </cell>
        </row>
        <row r="5990">
          <cell r="B5990">
            <v>38767</v>
          </cell>
          <cell r="J5990">
            <v>3809804.3041216834</v>
          </cell>
          <cell r="K5990">
            <v>2.4380000000000002</v>
          </cell>
          <cell r="L5990">
            <v>148835</v>
          </cell>
          <cell r="M5990">
            <v>13229</v>
          </cell>
          <cell r="N5990">
            <v>683926.05601571908</v>
          </cell>
          <cell r="O5990">
            <v>692380.00232629513</v>
          </cell>
          <cell r="P5990">
            <v>368.79259999999999</v>
          </cell>
        </row>
        <row r="5991">
          <cell r="B5991">
            <v>38768</v>
          </cell>
          <cell r="J5991">
            <v>3809804.3041216834</v>
          </cell>
          <cell r="K5991">
            <v>2.4380000000000002</v>
          </cell>
          <cell r="L5991">
            <v>148835</v>
          </cell>
          <cell r="M5991">
            <v>13229</v>
          </cell>
          <cell r="N5991">
            <v>683926.05601571908</v>
          </cell>
          <cell r="O5991">
            <v>692380.00232629513</v>
          </cell>
          <cell r="P5991">
            <v>368.79259999999999</v>
          </cell>
        </row>
        <row r="5992">
          <cell r="B5992">
            <v>38769</v>
          </cell>
          <cell r="J5992">
            <v>3809804.3041216834</v>
          </cell>
          <cell r="K5992">
            <v>2.4380000000000002</v>
          </cell>
          <cell r="L5992">
            <v>148835</v>
          </cell>
          <cell r="M5992">
            <v>13229</v>
          </cell>
          <cell r="N5992">
            <v>683926.05601571908</v>
          </cell>
          <cell r="O5992">
            <v>692380.00232629513</v>
          </cell>
          <cell r="P5992">
            <v>368.79259999999999</v>
          </cell>
        </row>
        <row r="5993">
          <cell r="B5993">
            <v>38770</v>
          </cell>
          <cell r="J5993">
            <v>3809804.3041216834</v>
          </cell>
          <cell r="K5993">
            <v>2.4380000000000002</v>
          </cell>
          <cell r="L5993">
            <v>148835</v>
          </cell>
          <cell r="M5993">
            <v>13229</v>
          </cell>
          <cell r="N5993">
            <v>683926.05601571908</v>
          </cell>
          <cell r="O5993">
            <v>692380.00232629513</v>
          </cell>
          <cell r="P5993">
            <v>368.79259999999999</v>
          </cell>
        </row>
        <row r="5994">
          <cell r="B5994">
            <v>38771</v>
          </cell>
          <cell r="J5994">
            <v>3809804.3041216834</v>
          </cell>
          <cell r="K5994">
            <v>2.4380000000000002</v>
          </cell>
          <cell r="L5994">
            <v>148835</v>
          </cell>
          <cell r="M5994">
            <v>13229</v>
          </cell>
          <cell r="N5994">
            <v>683926.05601571908</v>
          </cell>
          <cell r="O5994">
            <v>692380.00232629513</v>
          </cell>
          <cell r="P5994">
            <v>368.79259999999999</v>
          </cell>
        </row>
        <row r="5995">
          <cell r="B5995">
            <v>38772</v>
          </cell>
          <cell r="J5995">
            <v>3809804.3041216834</v>
          </cell>
          <cell r="K5995">
            <v>2.4380000000000002</v>
          </cell>
          <cell r="L5995">
            <v>148835</v>
          </cell>
          <cell r="M5995">
            <v>13229</v>
          </cell>
          <cell r="N5995">
            <v>683926.05601571908</v>
          </cell>
          <cell r="O5995">
            <v>692380.00232629513</v>
          </cell>
          <cell r="P5995">
            <v>368.79259999999999</v>
          </cell>
        </row>
        <row r="5996">
          <cell r="B5996">
            <v>38773</v>
          </cell>
          <cell r="J5996">
            <v>3809804.3041216834</v>
          </cell>
          <cell r="K5996">
            <v>2.4380000000000002</v>
          </cell>
          <cell r="L5996">
            <v>148835</v>
          </cell>
          <cell r="M5996">
            <v>13229</v>
          </cell>
          <cell r="N5996">
            <v>683926.05601571908</v>
          </cell>
          <cell r="O5996">
            <v>692380.00232629513</v>
          </cell>
          <cell r="P5996">
            <v>368.79259999999999</v>
          </cell>
        </row>
        <row r="5997">
          <cell r="B5997">
            <v>38774</v>
          </cell>
          <cell r="J5997">
            <v>3809804.3041216834</v>
          </cell>
          <cell r="K5997">
            <v>2.4380000000000002</v>
          </cell>
          <cell r="L5997">
            <v>148835</v>
          </cell>
          <cell r="M5997">
            <v>13229</v>
          </cell>
          <cell r="N5997">
            <v>683926.05601571908</v>
          </cell>
          <cell r="O5997">
            <v>692380.00232629513</v>
          </cell>
          <cell r="P5997">
            <v>368.79259999999999</v>
          </cell>
        </row>
        <row r="5998">
          <cell r="B5998">
            <v>38775</v>
          </cell>
          <cell r="J5998">
            <v>3809804.3041216834</v>
          </cell>
          <cell r="K5998">
            <v>2.4380000000000002</v>
          </cell>
          <cell r="L5998">
            <v>148835</v>
          </cell>
          <cell r="M5998">
            <v>13229</v>
          </cell>
          <cell r="N5998">
            <v>683926.05601571908</v>
          </cell>
          <cell r="O5998">
            <v>692380.00232629513</v>
          </cell>
          <cell r="P5998">
            <v>368.79259999999999</v>
          </cell>
        </row>
        <row r="5999">
          <cell r="B5999">
            <v>38776</v>
          </cell>
          <cell r="J5999">
            <v>3809804.3041216834</v>
          </cell>
          <cell r="K5999">
            <v>2.4380000000000002</v>
          </cell>
          <cell r="L5999">
            <v>148835</v>
          </cell>
          <cell r="M5999">
            <v>13229</v>
          </cell>
          <cell r="N5999">
            <v>683926.05601571908</v>
          </cell>
          <cell r="O5999">
            <v>692380.00232629513</v>
          </cell>
          <cell r="P5999">
            <v>368.79259999999999</v>
          </cell>
        </row>
        <row r="6000">
          <cell r="B6000">
            <v>38777</v>
          </cell>
          <cell r="J6000">
            <v>3809804.3041216834</v>
          </cell>
          <cell r="K6000">
            <v>2.4380000000000002</v>
          </cell>
          <cell r="L6000">
            <v>148835</v>
          </cell>
          <cell r="M6000">
            <v>13229</v>
          </cell>
          <cell r="N6000">
            <v>683926.05601571908</v>
          </cell>
          <cell r="O6000">
            <v>692380.00232629513</v>
          </cell>
          <cell r="P6000">
            <v>368.79259999999999</v>
          </cell>
        </row>
        <row r="6001">
          <cell r="B6001">
            <v>38778</v>
          </cell>
          <cell r="J6001">
            <v>3809804.3041216834</v>
          </cell>
          <cell r="K6001">
            <v>2.4380000000000002</v>
          </cell>
          <cell r="L6001">
            <v>148835</v>
          </cell>
          <cell r="M6001">
            <v>13229</v>
          </cell>
          <cell r="N6001">
            <v>683926.05601571908</v>
          </cell>
          <cell r="O6001">
            <v>692380.00232629513</v>
          </cell>
          <cell r="P6001">
            <v>368.79259999999999</v>
          </cell>
        </row>
        <row r="6002">
          <cell r="B6002">
            <v>38779</v>
          </cell>
          <cell r="J6002">
            <v>3809804.3041216834</v>
          </cell>
          <cell r="K6002">
            <v>2.4380000000000002</v>
          </cell>
          <cell r="L6002">
            <v>148835</v>
          </cell>
          <cell r="M6002">
            <v>13229</v>
          </cell>
          <cell r="N6002">
            <v>683926.05601571908</v>
          </cell>
          <cell r="O6002">
            <v>692380.00232629513</v>
          </cell>
          <cell r="P6002">
            <v>368.79259999999999</v>
          </cell>
        </row>
        <row r="6003">
          <cell r="B6003">
            <v>38780</v>
          </cell>
          <cell r="J6003">
            <v>3809804.3041216834</v>
          </cell>
          <cell r="K6003">
            <v>2.4380000000000002</v>
          </cell>
          <cell r="L6003">
            <v>148835</v>
          </cell>
          <cell r="M6003">
            <v>13229</v>
          </cell>
          <cell r="N6003">
            <v>683926.05601571908</v>
          </cell>
          <cell r="O6003">
            <v>692380.00232629513</v>
          </cell>
          <cell r="P6003">
            <v>368.79259999999999</v>
          </cell>
        </row>
        <row r="6004">
          <cell r="B6004">
            <v>38781</v>
          </cell>
          <cell r="J6004">
            <v>3809804.3041216834</v>
          </cell>
          <cell r="K6004">
            <v>2.4380000000000002</v>
          </cell>
          <cell r="L6004">
            <v>148835</v>
          </cell>
          <cell r="M6004">
            <v>13229</v>
          </cell>
          <cell r="N6004">
            <v>683926.05601571908</v>
          </cell>
          <cell r="O6004">
            <v>692380.00232629513</v>
          </cell>
          <cell r="P6004">
            <v>368.79259999999999</v>
          </cell>
        </row>
        <row r="6005">
          <cell r="B6005">
            <v>38782</v>
          </cell>
          <cell r="J6005">
            <v>3809804.3041216834</v>
          </cell>
          <cell r="K6005">
            <v>2.4380000000000002</v>
          </cell>
          <cell r="L6005">
            <v>148835</v>
          </cell>
          <cell r="M6005">
            <v>13229</v>
          </cell>
          <cell r="N6005">
            <v>683926.05601571908</v>
          </cell>
          <cell r="O6005">
            <v>692380.00232629513</v>
          </cell>
          <cell r="P6005">
            <v>368.79259999999999</v>
          </cell>
        </row>
        <row r="6006">
          <cell r="B6006">
            <v>38783</v>
          </cell>
          <cell r="J6006">
            <v>3809804.3041216834</v>
          </cell>
          <cell r="K6006">
            <v>2.4380000000000002</v>
          </cell>
          <cell r="L6006">
            <v>148835</v>
          </cell>
          <cell r="M6006">
            <v>13229</v>
          </cell>
          <cell r="N6006">
            <v>683926.05601571908</v>
          </cell>
          <cell r="O6006">
            <v>692380.00232629513</v>
          </cell>
          <cell r="P6006">
            <v>368.79259999999999</v>
          </cell>
        </row>
        <row r="6007">
          <cell r="B6007">
            <v>38784</v>
          </cell>
          <cell r="J6007">
            <v>3809804.3041216834</v>
          </cell>
          <cell r="K6007">
            <v>2.4380000000000002</v>
          </cell>
          <cell r="L6007">
            <v>148835</v>
          </cell>
          <cell r="M6007">
            <v>13229</v>
          </cell>
          <cell r="N6007">
            <v>683926.05601571908</v>
          </cell>
          <cell r="O6007">
            <v>692380.00232629513</v>
          </cell>
          <cell r="P6007">
            <v>368.79259999999999</v>
          </cell>
        </row>
        <row r="6008">
          <cell r="B6008">
            <v>38785</v>
          </cell>
          <cell r="J6008">
            <v>3809804.3041216834</v>
          </cell>
          <cell r="K6008">
            <v>2.4380000000000002</v>
          </cell>
          <cell r="L6008">
            <v>148835</v>
          </cell>
          <cell r="M6008">
            <v>13229</v>
          </cell>
          <cell r="N6008">
            <v>683926.05601571908</v>
          </cell>
          <cell r="O6008">
            <v>692380.00232629513</v>
          </cell>
          <cell r="P6008">
            <v>368.79259999999999</v>
          </cell>
        </row>
        <row r="6009">
          <cell r="B6009">
            <v>38786</v>
          </cell>
          <cell r="J6009">
            <v>3809804.3041216834</v>
          </cell>
          <cell r="K6009">
            <v>2.4380000000000002</v>
          </cell>
          <cell r="L6009">
            <v>148835</v>
          </cell>
          <cell r="M6009">
            <v>13229</v>
          </cell>
          <cell r="N6009">
            <v>683926.05601571908</v>
          </cell>
          <cell r="O6009">
            <v>692380.00232629513</v>
          </cell>
          <cell r="P6009">
            <v>368.79259999999999</v>
          </cell>
        </row>
        <row r="6010">
          <cell r="B6010">
            <v>38787</v>
          </cell>
          <cell r="J6010">
            <v>3809804.3041216834</v>
          </cell>
          <cell r="K6010">
            <v>2.4380000000000002</v>
          </cell>
          <cell r="L6010">
            <v>148835</v>
          </cell>
          <cell r="M6010">
            <v>13229</v>
          </cell>
          <cell r="N6010">
            <v>683926.05601571908</v>
          </cell>
          <cell r="O6010">
            <v>692380.00232629513</v>
          </cell>
          <cell r="P6010">
            <v>368.79259999999999</v>
          </cell>
        </row>
        <row r="6011">
          <cell r="B6011">
            <v>38788</v>
          </cell>
          <cell r="J6011">
            <v>3809804.3041216834</v>
          </cell>
          <cell r="K6011">
            <v>2.4380000000000002</v>
          </cell>
          <cell r="L6011">
            <v>148835</v>
          </cell>
          <cell r="M6011">
            <v>13229</v>
          </cell>
          <cell r="N6011">
            <v>683926.05601571908</v>
          </cell>
          <cell r="O6011">
            <v>692380.00232629513</v>
          </cell>
          <cell r="P6011">
            <v>368.79259999999999</v>
          </cell>
        </row>
        <row r="6012">
          <cell r="B6012">
            <v>38789</v>
          </cell>
          <cell r="J6012">
            <v>3809804.3041216834</v>
          </cell>
          <cell r="K6012">
            <v>2.4380000000000002</v>
          </cell>
          <cell r="L6012">
            <v>148835</v>
          </cell>
          <cell r="M6012">
            <v>13229</v>
          </cell>
          <cell r="N6012">
            <v>683926.05601571908</v>
          </cell>
          <cell r="O6012">
            <v>692380.00232629513</v>
          </cell>
          <cell r="P6012">
            <v>368.79259999999999</v>
          </cell>
        </row>
        <row r="6013">
          <cell r="B6013">
            <v>38790</v>
          </cell>
          <cell r="J6013">
            <v>3809804.3041216834</v>
          </cell>
          <cell r="K6013">
            <v>2.4380000000000002</v>
          </cell>
          <cell r="L6013">
            <v>148835</v>
          </cell>
          <cell r="M6013">
            <v>13229</v>
          </cell>
          <cell r="N6013">
            <v>683926.05601571908</v>
          </cell>
          <cell r="O6013">
            <v>692380.00232629513</v>
          </cell>
          <cell r="P6013">
            <v>368.79259999999999</v>
          </cell>
        </row>
        <row r="6014">
          <cell r="B6014">
            <v>38791</v>
          </cell>
          <cell r="J6014">
            <v>3809804.3041216834</v>
          </cell>
          <cell r="K6014">
            <v>2.4380000000000002</v>
          </cell>
          <cell r="L6014">
            <v>148835</v>
          </cell>
          <cell r="M6014">
            <v>13229</v>
          </cell>
          <cell r="N6014">
            <v>683926.05601571908</v>
          </cell>
          <cell r="O6014">
            <v>692380.00232629513</v>
          </cell>
          <cell r="P6014">
            <v>368.79259999999999</v>
          </cell>
        </row>
        <row r="6015">
          <cell r="B6015">
            <v>38792</v>
          </cell>
          <cell r="J6015">
            <v>3809804.3041216834</v>
          </cell>
          <cell r="K6015">
            <v>2.4380000000000002</v>
          </cell>
          <cell r="L6015">
            <v>148835</v>
          </cell>
          <cell r="M6015">
            <v>13229</v>
          </cell>
          <cell r="N6015">
            <v>683926.05601571908</v>
          </cell>
          <cell r="O6015">
            <v>692380.00232629513</v>
          </cell>
          <cell r="P6015">
            <v>368.79259999999999</v>
          </cell>
        </row>
        <row r="6016">
          <cell r="B6016">
            <v>38793</v>
          </cell>
          <cell r="J6016">
            <v>3809804.3041216834</v>
          </cell>
          <cell r="K6016">
            <v>2.4380000000000002</v>
          </cell>
          <cell r="L6016">
            <v>148835</v>
          </cell>
          <cell r="M6016">
            <v>13229</v>
          </cell>
          <cell r="N6016">
            <v>683926.05601571908</v>
          </cell>
          <cell r="O6016">
            <v>692380.00232629513</v>
          </cell>
          <cell r="P6016">
            <v>368.79259999999999</v>
          </cell>
        </row>
        <row r="6017">
          <cell r="B6017">
            <v>38794</v>
          </cell>
          <cell r="J6017">
            <v>3809804.3041216834</v>
          </cell>
          <cell r="K6017">
            <v>2.4380000000000002</v>
          </cell>
          <cell r="L6017">
            <v>148835</v>
          </cell>
          <cell r="M6017">
            <v>13229</v>
          </cell>
          <cell r="N6017">
            <v>683926.05601571908</v>
          </cell>
          <cell r="O6017">
            <v>692380.00232629513</v>
          </cell>
          <cell r="P6017">
            <v>368.79259999999999</v>
          </cell>
        </row>
        <row r="6018">
          <cell r="B6018">
            <v>38795</v>
          </cell>
          <cell r="J6018">
            <v>3809804.3041216834</v>
          </cell>
          <cell r="K6018">
            <v>2.4380000000000002</v>
          </cell>
          <cell r="L6018">
            <v>148835</v>
          </cell>
          <cell r="M6018">
            <v>13229</v>
          </cell>
          <cell r="N6018">
            <v>683926.05601571908</v>
          </cell>
          <cell r="O6018">
            <v>692380.00232629513</v>
          </cell>
          <cell r="P6018">
            <v>368.79259999999999</v>
          </cell>
        </row>
        <row r="6019">
          <cell r="B6019">
            <v>38796</v>
          </cell>
          <cell r="J6019">
            <v>3809804.3041216834</v>
          </cell>
          <cell r="K6019">
            <v>2.4380000000000002</v>
          </cell>
          <cell r="L6019">
            <v>148835</v>
          </cell>
          <cell r="M6019">
            <v>13229</v>
          </cell>
          <cell r="N6019">
            <v>683926.05601571908</v>
          </cell>
          <cell r="O6019">
            <v>692380.00232629513</v>
          </cell>
          <cell r="P6019">
            <v>368.79259999999999</v>
          </cell>
        </row>
        <row r="6020">
          <cell r="B6020">
            <v>38797</v>
          </cell>
          <cell r="J6020">
            <v>3809804.3041216834</v>
          </cell>
          <cell r="K6020">
            <v>2.4380000000000002</v>
          </cell>
          <cell r="L6020">
            <v>148835</v>
          </cell>
          <cell r="M6020">
            <v>13229</v>
          </cell>
          <cell r="N6020">
            <v>683926.05601571908</v>
          </cell>
          <cell r="O6020">
            <v>692380.00232629513</v>
          </cell>
          <cell r="P6020">
            <v>368.79259999999999</v>
          </cell>
        </row>
        <row r="6021">
          <cell r="B6021">
            <v>38798</v>
          </cell>
          <cell r="J6021">
            <v>3809804.3041216834</v>
          </cell>
          <cell r="K6021">
            <v>2.4380000000000002</v>
          </cell>
          <cell r="L6021">
            <v>148835</v>
          </cell>
          <cell r="M6021">
            <v>13229</v>
          </cell>
          <cell r="N6021">
            <v>683926.05601571908</v>
          </cell>
          <cell r="O6021">
            <v>692380.00232629513</v>
          </cell>
          <cell r="P6021">
            <v>368.79259999999999</v>
          </cell>
        </row>
        <row r="6022">
          <cell r="B6022">
            <v>38799</v>
          </cell>
          <cell r="J6022">
            <v>3809804.3041216834</v>
          </cell>
          <cell r="K6022">
            <v>2.4380000000000002</v>
          </cell>
          <cell r="L6022">
            <v>148835</v>
          </cell>
          <cell r="M6022">
            <v>13229</v>
          </cell>
          <cell r="N6022">
            <v>683926.05601571908</v>
          </cell>
          <cell r="O6022">
            <v>692380.00232629513</v>
          </cell>
          <cell r="P6022">
            <v>368.79259999999999</v>
          </cell>
        </row>
        <row r="6023">
          <cell r="B6023">
            <v>38800</v>
          </cell>
          <cell r="J6023">
            <v>3809804.3041216834</v>
          </cell>
          <cell r="K6023">
            <v>2.4380000000000002</v>
          </cell>
          <cell r="L6023">
            <v>148835</v>
          </cell>
          <cell r="M6023">
            <v>13229</v>
          </cell>
          <cell r="N6023">
            <v>683926.05601571908</v>
          </cell>
          <cell r="O6023">
            <v>692380.00232629513</v>
          </cell>
          <cell r="P6023">
            <v>368.79259999999999</v>
          </cell>
        </row>
        <row r="6024">
          <cell r="B6024">
            <v>38801</v>
          </cell>
          <cell r="J6024">
            <v>3809804.3041216834</v>
          </cell>
          <cell r="K6024">
            <v>2.4380000000000002</v>
          </cell>
          <cell r="L6024">
            <v>148835</v>
          </cell>
          <cell r="M6024">
            <v>13229</v>
          </cell>
          <cell r="N6024">
            <v>683926.05601571908</v>
          </cell>
          <cell r="O6024">
            <v>692380.00232629513</v>
          </cell>
          <cell r="P6024">
            <v>368.79259999999999</v>
          </cell>
        </row>
        <row r="6025">
          <cell r="B6025">
            <v>38802</v>
          </cell>
          <cell r="J6025">
            <v>3809804.3041216834</v>
          </cell>
          <cell r="K6025">
            <v>2.4380000000000002</v>
          </cell>
          <cell r="L6025">
            <v>148835</v>
          </cell>
          <cell r="M6025">
            <v>13229</v>
          </cell>
          <cell r="N6025">
            <v>683926.05601571908</v>
          </cell>
          <cell r="O6025">
            <v>692380.00232629513</v>
          </cell>
          <cell r="P6025">
            <v>368.79259999999999</v>
          </cell>
        </row>
        <row r="6026">
          <cell r="B6026">
            <v>38803</v>
          </cell>
          <cell r="J6026">
            <v>3809804.3041216834</v>
          </cell>
          <cell r="K6026">
            <v>2.4380000000000002</v>
          </cell>
          <cell r="L6026">
            <v>148835</v>
          </cell>
          <cell r="M6026">
            <v>13229</v>
          </cell>
          <cell r="N6026">
            <v>683926.05601571908</v>
          </cell>
          <cell r="O6026">
            <v>692380.00232629513</v>
          </cell>
          <cell r="P6026">
            <v>368.79259999999999</v>
          </cell>
        </row>
        <row r="6027">
          <cell r="B6027">
            <v>38804</v>
          </cell>
          <cell r="J6027">
            <v>3809804.3041216834</v>
          </cell>
          <cell r="K6027">
            <v>2.4380000000000002</v>
          </cell>
          <cell r="L6027">
            <v>148835</v>
          </cell>
          <cell r="M6027">
            <v>13229</v>
          </cell>
          <cell r="N6027">
            <v>683926.05601571908</v>
          </cell>
          <cell r="O6027">
            <v>692380.00232629513</v>
          </cell>
          <cell r="P6027">
            <v>368.79259999999999</v>
          </cell>
        </row>
        <row r="6028">
          <cell r="B6028">
            <v>38805</v>
          </cell>
          <cell r="J6028">
            <v>3809804.3041216834</v>
          </cell>
          <cell r="K6028">
            <v>2.4380000000000002</v>
          </cell>
          <cell r="L6028">
            <v>148835</v>
          </cell>
          <cell r="M6028">
            <v>13229</v>
          </cell>
          <cell r="N6028">
            <v>683926.05601571908</v>
          </cell>
          <cell r="O6028">
            <v>692380.00232629513</v>
          </cell>
          <cell r="P6028">
            <v>368.79259999999999</v>
          </cell>
        </row>
        <row r="6029">
          <cell r="B6029">
            <v>38806</v>
          </cell>
          <cell r="J6029">
            <v>3809804.3041216834</v>
          </cell>
          <cell r="K6029">
            <v>2.4380000000000002</v>
          </cell>
          <cell r="L6029">
            <v>148835</v>
          </cell>
          <cell r="M6029">
            <v>13229</v>
          </cell>
          <cell r="N6029">
            <v>683926.05601571908</v>
          </cell>
          <cell r="O6029">
            <v>692380.00232629513</v>
          </cell>
          <cell r="P6029">
            <v>368.79259999999999</v>
          </cell>
        </row>
        <row r="6030">
          <cell r="B6030">
            <v>38807</v>
          </cell>
          <cell r="J6030">
            <v>3809804.3041216834</v>
          </cell>
          <cell r="K6030">
            <v>2.4380000000000002</v>
          </cell>
          <cell r="L6030">
            <v>148835</v>
          </cell>
          <cell r="M6030">
            <v>13229</v>
          </cell>
          <cell r="N6030">
            <v>683926.05601571908</v>
          </cell>
          <cell r="O6030">
            <v>692380.00232629513</v>
          </cell>
          <cell r="P6030">
            <v>368.79259999999999</v>
          </cell>
        </row>
        <row r="6031">
          <cell r="B6031">
            <v>38808</v>
          </cell>
          <cell r="J6031">
            <v>3809804.3041216834</v>
          </cell>
          <cell r="K6031">
            <v>2.4380000000000002</v>
          </cell>
          <cell r="L6031">
            <v>148835</v>
          </cell>
          <cell r="M6031">
            <v>13229</v>
          </cell>
          <cell r="N6031">
            <v>683926.05601571908</v>
          </cell>
          <cell r="O6031">
            <v>692380.00232629513</v>
          </cell>
          <cell r="P6031">
            <v>368.79259999999999</v>
          </cell>
        </row>
        <row r="6032">
          <cell r="B6032">
            <v>38809</v>
          </cell>
          <cell r="J6032">
            <v>3809804.3041216834</v>
          </cell>
          <cell r="K6032">
            <v>2.4380000000000002</v>
          </cell>
          <cell r="L6032">
            <v>148835</v>
          </cell>
          <cell r="M6032">
            <v>13229</v>
          </cell>
          <cell r="N6032">
            <v>683926.05601571908</v>
          </cell>
          <cell r="O6032">
            <v>692380.00232629513</v>
          </cell>
          <cell r="P6032">
            <v>368.79259999999999</v>
          </cell>
        </row>
        <row r="6033">
          <cell r="B6033">
            <v>38810</v>
          </cell>
          <cell r="J6033">
            <v>3809804.3041216834</v>
          </cell>
          <cell r="K6033">
            <v>2.4380000000000002</v>
          </cell>
          <cell r="L6033">
            <v>148835</v>
          </cell>
          <cell r="M6033">
            <v>13229</v>
          </cell>
          <cell r="N6033">
            <v>683926.05601571908</v>
          </cell>
          <cell r="O6033">
            <v>692380.00232629513</v>
          </cell>
          <cell r="P6033">
            <v>368.79259999999999</v>
          </cell>
        </row>
        <row r="6034">
          <cell r="B6034">
            <v>38811</v>
          </cell>
          <cell r="J6034">
            <v>3809804.3041216834</v>
          </cell>
          <cell r="K6034">
            <v>2.4380000000000002</v>
          </cell>
          <cell r="L6034">
            <v>148835</v>
          </cell>
          <cell r="M6034">
            <v>13229</v>
          </cell>
          <cell r="N6034">
            <v>683926.05601571908</v>
          </cell>
          <cell r="O6034">
            <v>692380.00232629513</v>
          </cell>
          <cell r="P6034">
            <v>368.79259999999999</v>
          </cell>
        </row>
        <row r="6035">
          <cell r="B6035">
            <v>38812</v>
          </cell>
          <cell r="J6035">
            <v>3809804.3041216834</v>
          </cell>
          <cell r="K6035">
            <v>2.4380000000000002</v>
          </cell>
          <cell r="L6035">
            <v>148835</v>
          </cell>
          <cell r="M6035">
            <v>13229</v>
          </cell>
          <cell r="N6035">
            <v>683926.05601571908</v>
          </cell>
          <cell r="O6035">
            <v>692380.00232629513</v>
          </cell>
          <cell r="P6035">
            <v>368.79259999999999</v>
          </cell>
        </row>
        <row r="6036">
          <cell r="B6036">
            <v>38813</v>
          </cell>
          <cell r="J6036">
            <v>3809804.3041216834</v>
          </cell>
          <cell r="K6036">
            <v>2.4380000000000002</v>
          </cell>
          <cell r="L6036">
            <v>148835</v>
          </cell>
          <cell r="M6036">
            <v>13229</v>
          </cell>
          <cell r="N6036">
            <v>683926.05601571908</v>
          </cell>
          <cell r="O6036">
            <v>692380.00232629513</v>
          </cell>
          <cell r="P6036">
            <v>368.79259999999999</v>
          </cell>
        </row>
        <row r="6037">
          <cell r="B6037">
            <v>38814</v>
          </cell>
          <cell r="J6037">
            <v>3809804.3041216834</v>
          </cell>
          <cell r="K6037">
            <v>2.4380000000000002</v>
          </cell>
          <cell r="L6037">
            <v>148835</v>
          </cell>
          <cell r="M6037">
            <v>13229</v>
          </cell>
          <cell r="N6037">
            <v>683926.05601571908</v>
          </cell>
          <cell r="O6037">
            <v>692380.00232629513</v>
          </cell>
          <cell r="P6037">
            <v>368.79259999999999</v>
          </cell>
        </row>
        <row r="6038">
          <cell r="B6038">
            <v>38815</v>
          </cell>
          <cell r="J6038">
            <v>3809804.3041216834</v>
          </cell>
          <cell r="K6038">
            <v>2.4380000000000002</v>
          </cell>
          <cell r="L6038">
            <v>148835</v>
          </cell>
          <cell r="M6038">
            <v>13229</v>
          </cell>
          <cell r="N6038">
            <v>683926.05601571908</v>
          </cell>
          <cell r="O6038">
            <v>692380.00232629513</v>
          </cell>
          <cell r="P6038">
            <v>368.79259999999999</v>
          </cell>
        </row>
        <row r="6039">
          <cell r="B6039">
            <v>38816</v>
          </cell>
          <cell r="J6039">
            <v>3809804.3041216834</v>
          </cell>
          <cell r="K6039">
            <v>2.4380000000000002</v>
          </cell>
          <cell r="L6039">
            <v>148835</v>
          </cell>
          <cell r="M6039">
            <v>13229</v>
          </cell>
          <cell r="N6039">
            <v>683926.05601571908</v>
          </cell>
          <cell r="O6039">
            <v>692380.00232629513</v>
          </cell>
          <cell r="P6039">
            <v>368.79259999999999</v>
          </cell>
        </row>
        <row r="6040">
          <cell r="B6040">
            <v>38817</v>
          </cell>
          <cell r="J6040">
            <v>3809804.3041216834</v>
          </cell>
          <cell r="K6040">
            <v>2.4380000000000002</v>
          </cell>
          <cell r="L6040">
            <v>148835</v>
          </cell>
          <cell r="M6040">
            <v>13229</v>
          </cell>
          <cell r="N6040">
            <v>683926.05601571908</v>
          </cell>
          <cell r="O6040">
            <v>692380.00232629513</v>
          </cell>
          <cell r="P6040">
            <v>368.79259999999999</v>
          </cell>
        </row>
        <row r="6041">
          <cell r="B6041">
            <v>38818</v>
          </cell>
          <cell r="J6041">
            <v>3809804.3041216834</v>
          </cell>
          <cell r="K6041">
            <v>2.4380000000000002</v>
          </cell>
          <cell r="L6041">
            <v>148835</v>
          </cell>
          <cell r="M6041">
            <v>13229</v>
          </cell>
          <cell r="N6041">
            <v>683926.05601571908</v>
          </cell>
          <cell r="O6041">
            <v>692380.00232629513</v>
          </cell>
          <cell r="P6041">
            <v>368.79259999999999</v>
          </cell>
        </row>
        <row r="6042">
          <cell r="B6042">
            <v>38819</v>
          </cell>
          <cell r="J6042">
            <v>3809804.3041216834</v>
          </cell>
          <cell r="K6042">
            <v>2.4380000000000002</v>
          </cell>
          <cell r="L6042">
            <v>148835</v>
          </cell>
          <cell r="M6042">
            <v>13229</v>
          </cell>
          <cell r="N6042">
            <v>683926.05601571908</v>
          </cell>
          <cell r="O6042">
            <v>692380.00232629513</v>
          </cell>
          <cell r="P6042">
            <v>368.79259999999999</v>
          </cell>
        </row>
        <row r="6043">
          <cell r="B6043">
            <v>38820</v>
          </cell>
          <cell r="J6043">
            <v>3809804.3041216834</v>
          </cell>
          <cell r="K6043">
            <v>2.4380000000000002</v>
          </cell>
          <cell r="L6043">
            <v>148835</v>
          </cell>
          <cell r="M6043">
            <v>13229</v>
          </cell>
          <cell r="N6043">
            <v>683926.05601571908</v>
          </cell>
          <cell r="O6043">
            <v>692380.00232629513</v>
          </cell>
          <cell r="P6043">
            <v>368.79259999999999</v>
          </cell>
        </row>
        <row r="6044">
          <cell r="B6044">
            <v>38821</v>
          </cell>
          <cell r="J6044">
            <v>3809804.3041216834</v>
          </cell>
          <cell r="K6044">
            <v>2.4380000000000002</v>
          </cell>
          <cell r="L6044">
            <v>148835</v>
          </cell>
          <cell r="M6044">
            <v>13229</v>
          </cell>
          <cell r="N6044">
            <v>683926.05601571908</v>
          </cell>
          <cell r="O6044">
            <v>692380.00232629513</v>
          </cell>
          <cell r="P6044">
            <v>368.79259999999999</v>
          </cell>
        </row>
        <row r="6045">
          <cell r="B6045">
            <v>38822</v>
          </cell>
          <cell r="J6045">
            <v>3809804.3041216834</v>
          </cell>
          <cell r="K6045">
            <v>2.4380000000000002</v>
          </cell>
          <cell r="L6045">
            <v>148835</v>
          </cell>
          <cell r="M6045">
            <v>13229</v>
          </cell>
          <cell r="N6045">
            <v>683926.05601571908</v>
          </cell>
          <cell r="O6045">
            <v>692380.00232629513</v>
          </cell>
          <cell r="P6045">
            <v>368.79259999999999</v>
          </cell>
        </row>
        <row r="6046">
          <cell r="B6046">
            <v>38823</v>
          </cell>
          <cell r="J6046">
            <v>3809804.3041216834</v>
          </cell>
          <cell r="K6046">
            <v>2.4380000000000002</v>
          </cell>
          <cell r="L6046">
            <v>148835</v>
          </cell>
          <cell r="M6046">
            <v>13229</v>
          </cell>
          <cell r="N6046">
            <v>683926.05601571908</v>
          </cell>
          <cell r="O6046">
            <v>692380.00232629513</v>
          </cell>
          <cell r="P6046">
            <v>368.79259999999999</v>
          </cell>
        </row>
        <row r="6047">
          <cell r="B6047">
            <v>38824</v>
          </cell>
          <cell r="J6047">
            <v>3809804.3041216834</v>
          </cell>
          <cell r="K6047">
            <v>2.4380000000000002</v>
          </cell>
          <cell r="L6047">
            <v>148835</v>
          </cell>
          <cell r="M6047">
            <v>13229</v>
          </cell>
          <cell r="N6047">
            <v>683926.05601571908</v>
          </cell>
          <cell r="O6047">
            <v>692380.00232629513</v>
          </cell>
          <cell r="P6047">
            <v>368.79259999999999</v>
          </cell>
        </row>
        <row r="6048">
          <cell r="B6048">
            <v>38825</v>
          </cell>
          <cell r="J6048">
            <v>3809804.3041216834</v>
          </cell>
          <cell r="K6048">
            <v>2.4380000000000002</v>
          </cell>
          <cell r="L6048">
            <v>148835</v>
          </cell>
          <cell r="M6048">
            <v>13229</v>
          </cell>
          <cell r="N6048">
            <v>683926.05601571908</v>
          </cell>
          <cell r="O6048">
            <v>692380.00232629513</v>
          </cell>
          <cell r="P6048">
            <v>368.79259999999999</v>
          </cell>
        </row>
        <row r="6049">
          <cell r="B6049">
            <v>38826</v>
          </cell>
          <cell r="J6049">
            <v>3809804.3041216834</v>
          </cell>
          <cell r="K6049">
            <v>2.4380000000000002</v>
          </cell>
          <cell r="L6049">
            <v>148835</v>
          </cell>
          <cell r="M6049">
            <v>13229</v>
          </cell>
          <cell r="N6049">
            <v>683926.05601571908</v>
          </cell>
          <cell r="O6049">
            <v>692380.00232629513</v>
          </cell>
          <cell r="P6049">
            <v>368.79259999999999</v>
          </cell>
        </row>
        <row r="6050">
          <cell r="B6050">
            <v>38827</v>
          </cell>
          <cell r="J6050">
            <v>3809804.3041216834</v>
          </cell>
          <cell r="K6050">
            <v>2.4380000000000002</v>
          </cell>
          <cell r="L6050">
            <v>148835</v>
          </cell>
          <cell r="M6050">
            <v>13229</v>
          </cell>
          <cell r="N6050">
            <v>683926.05601571908</v>
          </cell>
          <cell r="O6050">
            <v>692380.00232629513</v>
          </cell>
          <cell r="P6050">
            <v>368.79259999999999</v>
          </cell>
        </row>
        <row r="6051">
          <cell r="B6051">
            <v>38828</v>
          </cell>
          <cell r="J6051">
            <v>3809804.3041216834</v>
          </cell>
          <cell r="K6051">
            <v>2.4380000000000002</v>
          </cell>
          <cell r="L6051">
            <v>148835</v>
          </cell>
          <cell r="M6051">
            <v>13229</v>
          </cell>
          <cell r="N6051">
            <v>683926.05601571908</v>
          </cell>
          <cell r="O6051">
            <v>692380.00232629513</v>
          </cell>
          <cell r="P6051">
            <v>368.79259999999999</v>
          </cell>
        </row>
        <row r="6052">
          <cell r="B6052">
            <v>38829</v>
          </cell>
          <cell r="J6052">
            <v>3809804.3041216834</v>
          </cell>
          <cell r="K6052">
            <v>2.4380000000000002</v>
          </cell>
          <cell r="L6052">
            <v>148835</v>
          </cell>
          <cell r="M6052">
            <v>13229</v>
          </cell>
          <cell r="N6052">
            <v>683926.05601571908</v>
          </cell>
          <cell r="O6052">
            <v>692380.00232629513</v>
          </cell>
          <cell r="P6052">
            <v>368.79259999999999</v>
          </cell>
        </row>
        <row r="6053">
          <cell r="B6053">
            <v>38830</v>
          </cell>
          <cell r="J6053">
            <v>3809804.3041216834</v>
          </cell>
          <cell r="K6053">
            <v>2.4380000000000002</v>
          </cell>
          <cell r="L6053">
            <v>148835</v>
          </cell>
          <cell r="M6053">
            <v>13229</v>
          </cell>
          <cell r="N6053">
            <v>683926.05601571908</v>
          </cell>
          <cell r="O6053">
            <v>692380.00232629513</v>
          </cell>
          <cell r="P6053">
            <v>368.79259999999999</v>
          </cell>
        </row>
        <row r="6054">
          <cell r="B6054">
            <v>38831</v>
          </cell>
          <cell r="J6054">
            <v>3809804.3041216834</v>
          </cell>
          <cell r="K6054">
            <v>2.4380000000000002</v>
          </cell>
          <cell r="L6054">
            <v>148835</v>
          </cell>
          <cell r="M6054">
            <v>13229</v>
          </cell>
          <cell r="N6054">
            <v>683926.05601571908</v>
          </cell>
          <cell r="O6054">
            <v>692380.00232629513</v>
          </cell>
          <cell r="P6054">
            <v>368.79259999999999</v>
          </cell>
        </row>
        <row r="6055">
          <cell r="B6055">
            <v>38832</v>
          </cell>
          <cell r="J6055">
            <v>3809804.3041216834</v>
          </cell>
          <cell r="K6055">
            <v>2.4380000000000002</v>
          </cell>
          <cell r="L6055">
            <v>148835</v>
          </cell>
          <cell r="M6055">
            <v>13229</v>
          </cell>
          <cell r="N6055">
            <v>683926.05601571908</v>
          </cell>
          <cell r="O6055">
            <v>692380.00232629513</v>
          </cell>
          <cell r="P6055">
            <v>368.79259999999999</v>
          </cell>
        </row>
        <row r="6056">
          <cell r="B6056">
            <v>38833</v>
          </cell>
          <cell r="J6056">
            <v>3809804.3041216834</v>
          </cell>
          <cell r="K6056">
            <v>2.4380000000000002</v>
          </cell>
          <cell r="L6056">
            <v>148835</v>
          </cell>
          <cell r="M6056">
            <v>13229</v>
          </cell>
          <cell r="N6056">
            <v>683926.05601571908</v>
          </cell>
          <cell r="O6056">
            <v>692380.00232629513</v>
          </cell>
          <cell r="P6056">
            <v>368.79259999999999</v>
          </cell>
        </row>
        <row r="6057">
          <cell r="B6057">
            <v>38834</v>
          </cell>
          <cell r="J6057">
            <v>3809804.3041216834</v>
          </cell>
          <cell r="K6057">
            <v>2.4380000000000002</v>
          </cell>
          <cell r="L6057">
            <v>148835</v>
          </cell>
          <cell r="M6057">
            <v>13229</v>
          </cell>
          <cell r="N6057">
            <v>683926.05601571908</v>
          </cell>
          <cell r="O6057">
            <v>692380.00232629513</v>
          </cell>
          <cell r="P6057">
            <v>368.79259999999999</v>
          </cell>
        </row>
        <row r="6058">
          <cell r="B6058">
            <v>38835</v>
          </cell>
          <cell r="J6058">
            <v>3809804.3041216834</v>
          </cell>
          <cell r="K6058">
            <v>2.4380000000000002</v>
          </cell>
          <cell r="L6058">
            <v>148835</v>
          </cell>
          <cell r="M6058">
            <v>13229</v>
          </cell>
          <cell r="N6058">
            <v>683926.05601571908</v>
          </cell>
          <cell r="O6058">
            <v>692380.00232629513</v>
          </cell>
          <cell r="P6058">
            <v>368.79259999999999</v>
          </cell>
        </row>
        <row r="6059">
          <cell r="B6059">
            <v>38836</v>
          </cell>
          <cell r="J6059">
            <v>3809804.3041216834</v>
          </cell>
          <cell r="K6059">
            <v>2.4380000000000002</v>
          </cell>
          <cell r="L6059">
            <v>148835</v>
          </cell>
          <cell r="M6059">
            <v>13229</v>
          </cell>
          <cell r="N6059">
            <v>683926.05601571908</v>
          </cell>
          <cell r="O6059">
            <v>692380.00232629513</v>
          </cell>
          <cell r="P6059">
            <v>368.79259999999999</v>
          </cell>
        </row>
        <row r="6060">
          <cell r="B6060">
            <v>38837</v>
          </cell>
          <cell r="J6060">
            <v>3809804.3041216834</v>
          </cell>
          <cell r="K6060">
            <v>2.4380000000000002</v>
          </cell>
          <cell r="L6060">
            <v>148835</v>
          </cell>
          <cell r="M6060">
            <v>13229</v>
          </cell>
          <cell r="N6060">
            <v>683926.05601571908</v>
          </cell>
          <cell r="O6060">
            <v>692380.00232629513</v>
          </cell>
          <cell r="P6060">
            <v>368.79259999999999</v>
          </cell>
        </row>
        <row r="6061">
          <cell r="B6061">
            <v>38838</v>
          </cell>
          <cell r="J6061">
            <v>3809804.3041216834</v>
          </cell>
          <cell r="K6061">
            <v>2.4380000000000002</v>
          </cell>
          <cell r="L6061">
            <v>148835</v>
          </cell>
          <cell r="M6061">
            <v>13229</v>
          </cell>
          <cell r="N6061">
            <v>683926.05601571908</v>
          </cell>
          <cell r="O6061">
            <v>692380.00232629513</v>
          </cell>
          <cell r="P6061">
            <v>368.79259999999999</v>
          </cell>
        </row>
        <row r="6062">
          <cell r="B6062">
            <v>38839</v>
          </cell>
          <cell r="J6062">
            <v>3809804.3041216834</v>
          </cell>
          <cell r="K6062">
            <v>2.4380000000000002</v>
          </cell>
          <cell r="L6062">
            <v>148835</v>
          </cell>
          <cell r="M6062">
            <v>13229</v>
          </cell>
          <cell r="N6062">
            <v>683926.05601571908</v>
          </cell>
          <cell r="O6062">
            <v>692380.00232629513</v>
          </cell>
          <cell r="P6062">
            <v>368.79259999999999</v>
          </cell>
        </row>
        <row r="6063">
          <cell r="B6063">
            <v>38840</v>
          </cell>
          <cell r="J6063">
            <v>3809804.3041216834</v>
          </cell>
          <cell r="K6063">
            <v>2.4380000000000002</v>
          </cell>
          <cell r="L6063">
            <v>148835</v>
          </cell>
          <cell r="M6063">
            <v>13229</v>
          </cell>
          <cell r="N6063">
            <v>683926.05601571908</v>
          </cell>
          <cell r="O6063">
            <v>692380.00232629513</v>
          </cell>
          <cell r="P6063">
            <v>368.79259999999999</v>
          </cell>
        </row>
        <row r="6064">
          <cell r="B6064">
            <v>38841</v>
          </cell>
          <cell r="J6064">
            <v>3809804.3041216834</v>
          </cell>
          <cell r="K6064">
            <v>2.4380000000000002</v>
          </cell>
          <cell r="L6064">
            <v>148835</v>
          </cell>
          <cell r="M6064">
            <v>13229</v>
          </cell>
          <cell r="N6064">
            <v>683926.05601571908</v>
          </cell>
          <cell r="O6064">
            <v>692380.00232629513</v>
          </cell>
          <cell r="P6064">
            <v>368.79259999999999</v>
          </cell>
        </row>
        <row r="6065">
          <cell r="B6065">
            <v>38842</v>
          </cell>
          <cell r="J6065">
            <v>3809804.3041216834</v>
          </cell>
          <cell r="K6065">
            <v>2.4380000000000002</v>
          </cell>
          <cell r="L6065">
            <v>148835</v>
          </cell>
          <cell r="M6065">
            <v>13229</v>
          </cell>
          <cell r="N6065">
            <v>683926.05601571908</v>
          </cell>
          <cell r="O6065">
            <v>692380.00232629513</v>
          </cell>
          <cell r="P6065">
            <v>368.79259999999999</v>
          </cell>
        </row>
        <row r="6066">
          <cell r="B6066">
            <v>38843</v>
          </cell>
          <cell r="J6066">
            <v>3809804.3041216834</v>
          </cell>
          <cell r="K6066">
            <v>2.4380000000000002</v>
          </cell>
          <cell r="L6066">
            <v>148835</v>
          </cell>
          <cell r="M6066">
            <v>13229</v>
          </cell>
          <cell r="N6066">
            <v>683926.05601571908</v>
          </cell>
          <cell r="O6066">
            <v>692380.00232629513</v>
          </cell>
          <cell r="P6066">
            <v>368.79259999999999</v>
          </cell>
        </row>
        <row r="6067">
          <cell r="B6067">
            <v>38844</v>
          </cell>
          <cell r="J6067">
            <v>3809804.3041216834</v>
          </cell>
          <cell r="K6067">
            <v>2.4380000000000002</v>
          </cell>
          <cell r="L6067">
            <v>148835</v>
          </cell>
          <cell r="M6067">
            <v>13229</v>
          </cell>
          <cell r="N6067">
            <v>683926.05601571908</v>
          </cell>
          <cell r="O6067">
            <v>692380.00232629513</v>
          </cell>
          <cell r="P6067">
            <v>368.79259999999999</v>
          </cell>
        </row>
        <row r="6068">
          <cell r="B6068">
            <v>38845</v>
          </cell>
          <cell r="J6068">
            <v>3809804.3041216834</v>
          </cell>
          <cell r="K6068">
            <v>2.4380000000000002</v>
          </cell>
          <cell r="L6068">
            <v>148835</v>
          </cell>
          <cell r="M6068">
            <v>13229</v>
          </cell>
          <cell r="N6068">
            <v>683926.05601571908</v>
          </cell>
          <cell r="O6068">
            <v>692380.00232629513</v>
          </cell>
          <cell r="P6068">
            <v>368.79259999999999</v>
          </cell>
        </row>
        <row r="6069">
          <cell r="B6069">
            <v>38846</v>
          </cell>
          <cell r="J6069">
            <v>3809804.3041216834</v>
          </cell>
          <cell r="K6069">
            <v>2.4380000000000002</v>
          </cell>
          <cell r="L6069">
            <v>148835</v>
          </cell>
          <cell r="M6069">
            <v>13229</v>
          </cell>
          <cell r="N6069">
            <v>683926.05601571908</v>
          </cell>
          <cell r="O6069">
            <v>692380.00232629513</v>
          </cell>
          <cell r="P6069">
            <v>368.79259999999999</v>
          </cell>
        </row>
        <row r="6070">
          <cell r="B6070">
            <v>38847</v>
          </cell>
          <cell r="J6070">
            <v>3809804.3041216834</v>
          </cell>
          <cell r="K6070">
            <v>2.4380000000000002</v>
          </cell>
          <cell r="L6070">
            <v>148835</v>
          </cell>
          <cell r="M6070">
            <v>13229</v>
          </cell>
          <cell r="N6070">
            <v>683926.05601571908</v>
          </cell>
          <cell r="O6070">
            <v>692380.00232629513</v>
          </cell>
          <cell r="P6070">
            <v>368.79259999999999</v>
          </cell>
        </row>
        <row r="6071">
          <cell r="B6071">
            <v>38848</v>
          </cell>
          <cell r="J6071">
            <v>3809804.3041216834</v>
          </cell>
          <cell r="K6071">
            <v>2.4380000000000002</v>
          </cell>
          <cell r="L6071">
            <v>148835</v>
          </cell>
          <cell r="M6071">
            <v>13229</v>
          </cell>
          <cell r="N6071">
            <v>683926.05601571908</v>
          </cell>
          <cell r="O6071">
            <v>692380.00232629513</v>
          </cell>
          <cell r="P6071">
            <v>368.79259999999999</v>
          </cell>
        </row>
        <row r="6072">
          <cell r="B6072">
            <v>38849</v>
          </cell>
          <cell r="J6072">
            <v>3809804.3041216834</v>
          </cell>
          <cell r="K6072">
            <v>2.4380000000000002</v>
          </cell>
          <cell r="L6072">
            <v>148835</v>
          </cell>
          <cell r="M6072">
            <v>13229</v>
          </cell>
          <cell r="N6072">
            <v>683926.05601571908</v>
          </cell>
          <cell r="O6072">
            <v>692380.00232629513</v>
          </cell>
          <cell r="P6072">
            <v>368.79259999999999</v>
          </cell>
        </row>
        <row r="6073">
          <cell r="B6073">
            <v>38850</v>
          </cell>
          <cell r="J6073">
            <v>3809804.3041216834</v>
          </cell>
          <cell r="K6073">
            <v>2.4380000000000002</v>
          </cell>
          <cell r="L6073">
            <v>148835</v>
          </cell>
          <cell r="M6073">
            <v>13229</v>
          </cell>
          <cell r="N6073">
            <v>683926.05601571908</v>
          </cell>
          <cell r="O6073">
            <v>692380.00232629513</v>
          </cell>
          <cell r="P6073">
            <v>368.79259999999999</v>
          </cell>
        </row>
        <row r="6074">
          <cell r="B6074">
            <v>38851</v>
          </cell>
          <cell r="J6074">
            <v>3809804.3041216834</v>
          </cell>
          <cell r="K6074">
            <v>2.4380000000000002</v>
          </cell>
          <cell r="L6074">
            <v>148835</v>
          </cell>
          <cell r="M6074">
            <v>13229</v>
          </cell>
          <cell r="N6074">
            <v>683926.05601571908</v>
          </cell>
          <cell r="O6074">
            <v>692380.00232629513</v>
          </cell>
          <cell r="P6074">
            <v>368.79259999999999</v>
          </cell>
        </row>
        <row r="6075">
          <cell r="B6075">
            <v>38852</v>
          </cell>
          <cell r="J6075">
            <v>3809804.3041216834</v>
          </cell>
          <cell r="K6075">
            <v>2.4380000000000002</v>
          </cell>
          <cell r="L6075">
            <v>148835</v>
          </cell>
          <cell r="M6075">
            <v>13229</v>
          </cell>
          <cell r="N6075">
            <v>683926.05601571908</v>
          </cell>
          <cell r="O6075">
            <v>692380.00232629513</v>
          </cell>
          <cell r="P6075">
            <v>368.79259999999999</v>
          </cell>
        </row>
        <row r="6076">
          <cell r="B6076">
            <v>38853</v>
          </cell>
          <cell r="J6076">
            <v>3809804.3041216834</v>
          </cell>
          <cell r="K6076">
            <v>2.4380000000000002</v>
          </cell>
          <cell r="L6076">
            <v>148835</v>
          </cell>
          <cell r="M6076">
            <v>13229</v>
          </cell>
          <cell r="N6076">
            <v>683926.05601571908</v>
          </cell>
          <cell r="O6076">
            <v>692380.00232629513</v>
          </cell>
          <cell r="P6076">
            <v>368.79259999999999</v>
          </cell>
        </row>
        <row r="6077">
          <cell r="B6077">
            <v>38854</v>
          </cell>
          <cell r="J6077">
            <v>3809804.3041216834</v>
          </cell>
          <cell r="K6077">
            <v>2.4380000000000002</v>
          </cell>
          <cell r="L6077">
            <v>148835</v>
          </cell>
          <cell r="M6077">
            <v>13229</v>
          </cell>
          <cell r="N6077">
            <v>683926.05601571908</v>
          </cell>
          <cell r="O6077">
            <v>692380.00232629513</v>
          </cell>
          <cell r="P6077">
            <v>368.79259999999999</v>
          </cell>
        </row>
        <row r="6078">
          <cell r="B6078">
            <v>38855</v>
          </cell>
          <cell r="J6078">
            <v>3809804.3041216834</v>
          </cell>
          <cell r="K6078">
            <v>2.4380000000000002</v>
          </cell>
          <cell r="L6078">
            <v>148835</v>
          </cell>
          <cell r="M6078">
            <v>13229</v>
          </cell>
          <cell r="N6078">
            <v>683926.05601571908</v>
          </cell>
          <cell r="O6078">
            <v>692380.00232629513</v>
          </cell>
          <cell r="P6078">
            <v>368.79259999999999</v>
          </cell>
        </row>
        <row r="6079">
          <cell r="B6079">
            <v>38856</v>
          </cell>
          <cell r="J6079">
            <v>3809804.3041216834</v>
          </cell>
          <cell r="K6079">
            <v>2.4380000000000002</v>
          </cell>
          <cell r="L6079">
            <v>148835</v>
          </cell>
          <cell r="M6079">
            <v>13229</v>
          </cell>
          <cell r="N6079">
            <v>683926.05601571908</v>
          </cell>
          <cell r="O6079">
            <v>692380.00232629513</v>
          </cell>
          <cell r="P6079">
            <v>368.79259999999999</v>
          </cell>
        </row>
        <row r="6080">
          <cell r="B6080">
            <v>38857</v>
          </cell>
          <cell r="J6080">
            <v>3809804.3041216834</v>
          </cell>
          <cell r="K6080">
            <v>2.4380000000000002</v>
          </cell>
          <cell r="L6080">
            <v>148835</v>
          </cell>
          <cell r="M6080">
            <v>13229</v>
          </cell>
          <cell r="N6080">
            <v>683926.05601571908</v>
          </cell>
          <cell r="O6080">
            <v>692380.00232629513</v>
          </cell>
          <cell r="P6080">
            <v>368.79259999999999</v>
          </cell>
        </row>
        <row r="6081">
          <cell r="B6081">
            <v>38858</v>
          </cell>
          <cell r="J6081">
            <v>3809804.3041216834</v>
          </cell>
          <cell r="K6081">
            <v>2.4380000000000002</v>
          </cell>
          <cell r="L6081">
            <v>148835</v>
          </cell>
          <cell r="M6081">
            <v>13229</v>
          </cell>
          <cell r="N6081">
            <v>683926.05601571908</v>
          </cell>
          <cell r="O6081">
            <v>692380.00232629513</v>
          </cell>
          <cell r="P6081">
            <v>368.79259999999999</v>
          </cell>
        </row>
        <row r="6082">
          <cell r="B6082">
            <v>38859</v>
          </cell>
          <cell r="J6082">
            <v>3809804.3041216834</v>
          </cell>
          <cell r="K6082">
            <v>2.4380000000000002</v>
          </cell>
          <cell r="L6082">
            <v>148835</v>
          </cell>
          <cell r="M6082">
            <v>13229</v>
          </cell>
          <cell r="N6082">
            <v>683926.05601571908</v>
          </cell>
          <cell r="O6082">
            <v>692380.00232629513</v>
          </cell>
          <cell r="P6082">
            <v>368.79259999999999</v>
          </cell>
        </row>
        <row r="6083">
          <cell r="B6083">
            <v>38860</v>
          </cell>
          <cell r="J6083">
            <v>3809804.3041216834</v>
          </cell>
          <cell r="K6083">
            <v>2.4380000000000002</v>
          </cell>
          <cell r="L6083">
            <v>148835</v>
          </cell>
          <cell r="M6083">
            <v>13229</v>
          </cell>
          <cell r="N6083">
            <v>683926.05601571908</v>
          </cell>
          <cell r="O6083">
            <v>692380.00232629513</v>
          </cell>
          <cell r="P6083">
            <v>368.79259999999999</v>
          </cell>
        </row>
        <row r="6084">
          <cell r="B6084">
            <v>38861</v>
          </cell>
          <cell r="J6084">
            <v>3809804.3041216834</v>
          </cell>
          <cell r="K6084">
            <v>2.4380000000000002</v>
          </cell>
          <cell r="L6084">
            <v>148835</v>
          </cell>
          <cell r="M6084">
            <v>13229</v>
          </cell>
          <cell r="N6084">
            <v>683926.05601571908</v>
          </cell>
          <cell r="O6084">
            <v>692380.00232629513</v>
          </cell>
          <cell r="P6084">
            <v>368.79259999999999</v>
          </cell>
        </row>
        <row r="6085">
          <cell r="B6085">
            <v>38862</v>
          </cell>
          <cell r="J6085">
            <v>3809804.3041216834</v>
          </cell>
          <cell r="K6085">
            <v>2.4380000000000002</v>
          </cell>
          <cell r="L6085">
            <v>148835</v>
          </cell>
          <cell r="M6085">
            <v>13229</v>
          </cell>
          <cell r="N6085">
            <v>683926.05601571908</v>
          </cell>
          <cell r="O6085">
            <v>692380.00232629513</v>
          </cell>
          <cell r="P6085">
            <v>368.79259999999999</v>
          </cell>
        </row>
        <row r="6086">
          <cell r="B6086">
            <v>38863</v>
          </cell>
          <cell r="J6086">
            <v>3809804.3041216834</v>
          </cell>
          <cell r="K6086">
            <v>2.4380000000000002</v>
          </cell>
          <cell r="L6086">
            <v>148835</v>
          </cell>
          <cell r="M6086">
            <v>13229</v>
          </cell>
          <cell r="N6086">
            <v>683926.05601571908</v>
          </cell>
          <cell r="O6086">
            <v>692380.00232629513</v>
          </cell>
          <cell r="P6086">
            <v>368.79259999999999</v>
          </cell>
        </row>
        <row r="6087">
          <cell r="B6087">
            <v>38864</v>
          </cell>
          <cell r="J6087">
            <v>3809804.3041216834</v>
          </cell>
          <cell r="K6087">
            <v>2.4380000000000002</v>
          </cell>
          <cell r="L6087">
            <v>148835</v>
          </cell>
          <cell r="M6087">
            <v>13229</v>
          </cell>
          <cell r="N6087">
            <v>683926.05601571908</v>
          </cell>
          <cell r="O6087">
            <v>692380.00232629513</v>
          </cell>
          <cell r="P6087">
            <v>368.79259999999999</v>
          </cell>
        </row>
        <row r="6088">
          <cell r="B6088">
            <v>38865</v>
          </cell>
          <cell r="J6088">
            <v>3809804.3041216834</v>
          </cell>
          <cell r="K6088">
            <v>2.4380000000000002</v>
          </cell>
          <cell r="L6088">
            <v>148835</v>
          </cell>
          <cell r="M6088">
            <v>13229</v>
          </cell>
          <cell r="N6088">
            <v>683926.05601571908</v>
          </cell>
          <cell r="O6088">
            <v>692380.00232629513</v>
          </cell>
          <cell r="P6088">
            <v>368.79259999999999</v>
          </cell>
        </row>
        <row r="6089">
          <cell r="B6089">
            <v>38866</v>
          </cell>
          <cell r="J6089">
            <v>3809804.3041216834</v>
          </cell>
          <cell r="K6089">
            <v>2.4380000000000002</v>
          </cell>
          <cell r="L6089">
            <v>148835</v>
          </cell>
          <cell r="M6089">
            <v>13229</v>
          </cell>
          <cell r="N6089">
            <v>683926.05601571908</v>
          </cell>
          <cell r="O6089">
            <v>692380.00232629513</v>
          </cell>
          <cell r="P6089">
            <v>368.79259999999999</v>
          </cell>
        </row>
        <row r="6090">
          <cell r="B6090">
            <v>38867</v>
          </cell>
          <cell r="J6090">
            <v>3809804.3041216834</v>
          </cell>
          <cell r="K6090">
            <v>2.4380000000000002</v>
          </cell>
          <cell r="L6090">
            <v>148835</v>
          </cell>
          <cell r="M6090">
            <v>13229</v>
          </cell>
          <cell r="N6090">
            <v>683926.05601571908</v>
          </cell>
          <cell r="O6090">
            <v>692380.00232629513</v>
          </cell>
          <cell r="P6090">
            <v>368.79259999999999</v>
          </cell>
        </row>
        <row r="6091">
          <cell r="B6091">
            <v>38868</v>
          </cell>
          <cell r="J6091">
            <v>3809804.3041216834</v>
          </cell>
          <cell r="K6091">
            <v>2.4380000000000002</v>
          </cell>
          <cell r="L6091">
            <v>148835</v>
          </cell>
          <cell r="M6091">
            <v>13229</v>
          </cell>
          <cell r="N6091">
            <v>683926.05601571908</v>
          </cell>
          <cell r="O6091">
            <v>692380.00232629513</v>
          </cell>
          <cell r="P6091">
            <v>368.79259999999999</v>
          </cell>
        </row>
        <row r="6092">
          <cell r="B6092">
            <v>38869</v>
          </cell>
          <cell r="J6092">
            <v>3809804.3041216834</v>
          </cell>
          <cell r="K6092">
            <v>2.4380000000000002</v>
          </cell>
          <cell r="L6092">
            <v>148835</v>
          </cell>
          <cell r="M6092">
            <v>13229</v>
          </cell>
          <cell r="N6092">
            <v>683926.05601571908</v>
          </cell>
          <cell r="O6092">
            <v>692380.00232629513</v>
          </cell>
          <cell r="P6092">
            <v>368.79259999999999</v>
          </cell>
        </row>
        <row r="6093">
          <cell r="B6093">
            <v>38870</v>
          </cell>
          <cell r="J6093">
            <v>3809804.3041216834</v>
          </cell>
          <cell r="K6093">
            <v>2.4380000000000002</v>
          </cell>
          <cell r="L6093">
            <v>148835</v>
          </cell>
          <cell r="M6093">
            <v>13229</v>
          </cell>
          <cell r="N6093">
            <v>683926.05601571908</v>
          </cell>
          <cell r="O6093">
            <v>692380.00232629513</v>
          </cell>
          <cell r="P6093">
            <v>368.79259999999999</v>
          </cell>
        </row>
        <row r="6094">
          <cell r="B6094">
            <v>38871</v>
          </cell>
          <cell r="J6094">
            <v>3809804.3041216834</v>
          </cell>
          <cell r="K6094">
            <v>2.4380000000000002</v>
          </cell>
          <cell r="L6094">
            <v>148835</v>
          </cell>
          <cell r="M6094">
            <v>13229</v>
          </cell>
          <cell r="N6094">
            <v>683926.05601571908</v>
          </cell>
          <cell r="O6094">
            <v>692380.00232629513</v>
          </cell>
          <cell r="P6094">
            <v>368.79259999999999</v>
          </cell>
        </row>
        <row r="6095">
          <cell r="B6095">
            <v>38872</v>
          </cell>
          <cell r="J6095">
            <v>3809804.3041216834</v>
          </cell>
          <cell r="K6095">
            <v>2.4380000000000002</v>
          </cell>
          <cell r="L6095">
            <v>148835</v>
          </cell>
          <cell r="M6095">
            <v>13229</v>
          </cell>
          <cell r="N6095">
            <v>683926.05601571908</v>
          </cell>
          <cell r="O6095">
            <v>692380.00232629513</v>
          </cell>
          <cell r="P6095">
            <v>368.79259999999999</v>
          </cell>
        </row>
        <row r="6096">
          <cell r="B6096">
            <v>38873</v>
          </cell>
          <cell r="J6096">
            <v>3809804.3041216834</v>
          </cell>
          <cell r="K6096">
            <v>2.4380000000000002</v>
          </cell>
          <cell r="L6096">
            <v>148835</v>
          </cell>
          <cell r="M6096">
            <v>13229</v>
          </cell>
          <cell r="N6096">
            <v>683926.05601571908</v>
          </cell>
          <cell r="O6096">
            <v>692380.00232629513</v>
          </cell>
          <cell r="P6096">
            <v>368.79259999999999</v>
          </cell>
        </row>
        <row r="6097">
          <cell r="B6097">
            <v>38874</v>
          </cell>
          <cell r="J6097">
            <v>3809804.3041216834</v>
          </cell>
          <cell r="K6097">
            <v>2.4380000000000002</v>
          </cell>
          <cell r="L6097">
            <v>148835</v>
          </cell>
          <cell r="M6097">
            <v>13229</v>
          </cell>
          <cell r="N6097">
            <v>683926.05601571908</v>
          </cell>
          <cell r="O6097">
            <v>692380.00232629513</v>
          </cell>
          <cell r="P6097">
            <v>368.79259999999999</v>
          </cell>
        </row>
        <row r="6098">
          <cell r="B6098">
            <v>38875</v>
          </cell>
          <cell r="J6098">
            <v>3809804.3041216834</v>
          </cell>
          <cell r="K6098">
            <v>2.4380000000000002</v>
          </cell>
          <cell r="L6098">
            <v>148835</v>
          </cell>
          <cell r="M6098">
            <v>13229</v>
          </cell>
          <cell r="N6098">
            <v>683926.05601571908</v>
          </cell>
          <cell r="O6098">
            <v>692380.00232629513</v>
          </cell>
          <cell r="P6098">
            <v>368.79259999999999</v>
          </cell>
        </row>
        <row r="6099">
          <cell r="B6099">
            <v>38876</v>
          </cell>
          <cell r="J6099">
            <v>3809804.3041216834</v>
          </cell>
          <cell r="K6099">
            <v>2.4380000000000002</v>
          </cell>
          <cell r="L6099">
            <v>148835</v>
          </cell>
          <cell r="M6099">
            <v>13229</v>
          </cell>
          <cell r="N6099">
            <v>683926.05601571908</v>
          </cell>
          <cell r="O6099">
            <v>692380.00232629513</v>
          </cell>
          <cell r="P6099">
            <v>368.79259999999999</v>
          </cell>
        </row>
        <row r="6100">
          <cell r="B6100">
            <v>38877</v>
          </cell>
          <cell r="J6100">
            <v>3809804.3041216834</v>
          </cell>
          <cell r="K6100">
            <v>2.4380000000000002</v>
          </cell>
          <cell r="L6100">
            <v>148835</v>
          </cell>
          <cell r="M6100">
            <v>13229</v>
          </cell>
          <cell r="N6100">
            <v>683926.05601571908</v>
          </cell>
          <cell r="O6100">
            <v>692380.00232629513</v>
          </cell>
          <cell r="P6100">
            <v>368.79259999999999</v>
          </cell>
        </row>
        <row r="6101">
          <cell r="B6101">
            <v>38878</v>
          </cell>
          <cell r="J6101">
            <v>3809804.3041216834</v>
          </cell>
          <cell r="K6101">
            <v>2.4380000000000002</v>
          </cell>
          <cell r="L6101">
            <v>148835</v>
          </cell>
          <cell r="M6101">
            <v>13229</v>
          </cell>
          <cell r="N6101">
            <v>683926.05601571908</v>
          </cell>
          <cell r="O6101">
            <v>692380.00232629513</v>
          </cell>
          <cell r="P6101">
            <v>368.79259999999999</v>
          </cell>
        </row>
        <row r="6102">
          <cell r="B6102">
            <v>38879</v>
          </cell>
          <cell r="J6102">
            <v>3809804.3041216834</v>
          </cell>
          <cell r="K6102">
            <v>2.4380000000000002</v>
          </cell>
          <cell r="L6102">
            <v>148835</v>
          </cell>
          <cell r="M6102">
            <v>13229</v>
          </cell>
          <cell r="N6102">
            <v>683926.05601571908</v>
          </cell>
          <cell r="O6102">
            <v>692380.00232629513</v>
          </cell>
          <cell r="P6102">
            <v>368.79259999999999</v>
          </cell>
        </row>
        <row r="6103">
          <cell r="B6103">
            <v>38880</v>
          </cell>
          <cell r="J6103">
            <v>3809804.3041216834</v>
          </cell>
          <cell r="K6103">
            <v>2.4380000000000002</v>
          </cell>
          <cell r="L6103">
            <v>148835</v>
          </cell>
          <cell r="M6103">
            <v>13229</v>
          </cell>
          <cell r="N6103">
            <v>683926.05601571908</v>
          </cell>
          <cell r="O6103">
            <v>692380.00232629513</v>
          </cell>
          <cell r="P6103">
            <v>368.79259999999999</v>
          </cell>
        </row>
        <row r="6104">
          <cell r="B6104">
            <v>38881</v>
          </cell>
          <cell r="J6104">
            <v>3809804.3041216834</v>
          </cell>
          <cell r="K6104">
            <v>2.4380000000000002</v>
          </cell>
          <cell r="L6104">
            <v>148835</v>
          </cell>
          <cell r="M6104">
            <v>13229</v>
          </cell>
          <cell r="N6104">
            <v>683926.05601571908</v>
          </cell>
          <cell r="O6104">
            <v>692380.00232629513</v>
          </cell>
          <cell r="P6104">
            <v>368.79259999999999</v>
          </cell>
        </row>
        <row r="6105">
          <cell r="B6105">
            <v>38882</v>
          </cell>
          <cell r="J6105">
            <v>3809804.3041216834</v>
          </cell>
          <cell r="K6105">
            <v>2.4380000000000002</v>
          </cell>
          <cell r="L6105">
            <v>148835</v>
          </cell>
          <cell r="M6105">
            <v>13229</v>
          </cell>
          <cell r="N6105">
            <v>683926.05601571908</v>
          </cell>
          <cell r="O6105">
            <v>692380.00232629513</v>
          </cell>
          <cell r="P6105">
            <v>368.79259999999999</v>
          </cell>
        </row>
        <row r="6106">
          <cell r="B6106">
            <v>38883</v>
          </cell>
          <cell r="J6106">
            <v>3809804.3041216834</v>
          </cell>
          <cell r="K6106">
            <v>2.4380000000000002</v>
          </cell>
          <cell r="L6106">
            <v>148835</v>
          </cell>
          <cell r="M6106">
            <v>13229</v>
          </cell>
          <cell r="N6106">
            <v>683926.05601571908</v>
          </cell>
          <cell r="O6106">
            <v>692380.00232629513</v>
          </cell>
          <cell r="P6106">
            <v>368.79259999999999</v>
          </cell>
        </row>
        <row r="6107">
          <cell r="B6107">
            <v>38884</v>
          </cell>
          <cell r="J6107">
            <v>3809804.3041216834</v>
          </cell>
          <cell r="K6107">
            <v>2.4380000000000002</v>
          </cell>
          <cell r="L6107">
            <v>148835</v>
          </cell>
          <cell r="M6107">
            <v>13229</v>
          </cell>
          <cell r="N6107">
            <v>683926.05601571908</v>
          </cell>
          <cell r="O6107">
            <v>692380.00232629513</v>
          </cell>
          <cell r="P6107">
            <v>368.79259999999999</v>
          </cell>
        </row>
        <row r="6108">
          <cell r="B6108">
            <v>38885</v>
          </cell>
          <cell r="J6108">
            <v>3809804.3041216834</v>
          </cell>
          <cell r="K6108">
            <v>2.4380000000000002</v>
          </cell>
          <cell r="L6108">
            <v>148835</v>
          </cell>
          <cell r="M6108">
            <v>13229</v>
          </cell>
          <cell r="N6108">
            <v>683926.05601571908</v>
          </cell>
          <cell r="O6108">
            <v>692380.00232629513</v>
          </cell>
          <cell r="P6108">
            <v>368.79259999999999</v>
          </cell>
        </row>
        <row r="6109">
          <cell r="B6109">
            <v>38886</v>
          </cell>
          <cell r="J6109">
            <v>3809804.3041216834</v>
          </cell>
          <cell r="K6109">
            <v>2.4380000000000002</v>
          </cell>
          <cell r="L6109">
            <v>148835</v>
          </cell>
          <cell r="M6109">
            <v>13229</v>
          </cell>
          <cell r="N6109">
            <v>683926.05601571908</v>
          </cell>
          <cell r="O6109">
            <v>692380.00232629513</v>
          </cell>
          <cell r="P6109">
            <v>368.79259999999999</v>
          </cell>
        </row>
        <row r="6110">
          <cell r="B6110">
            <v>38887</v>
          </cell>
          <cell r="J6110">
            <v>3809804.3041216834</v>
          </cell>
          <cell r="K6110">
            <v>2.4380000000000002</v>
          </cell>
          <cell r="L6110">
            <v>148835</v>
          </cell>
          <cell r="M6110">
            <v>13229</v>
          </cell>
          <cell r="N6110">
            <v>683926.05601571908</v>
          </cell>
          <cell r="O6110">
            <v>692380.00232629513</v>
          </cell>
          <cell r="P6110">
            <v>368.79259999999999</v>
          </cell>
        </row>
        <row r="6111">
          <cell r="B6111">
            <v>38888</v>
          </cell>
          <cell r="J6111">
            <v>3809804.3041216834</v>
          </cell>
          <cell r="K6111">
            <v>2.4380000000000002</v>
          </cell>
          <cell r="L6111">
            <v>148835</v>
          </cell>
          <cell r="M6111">
            <v>13229</v>
          </cell>
          <cell r="N6111">
            <v>683926.05601571908</v>
          </cell>
          <cell r="O6111">
            <v>692380.00232629513</v>
          </cell>
          <cell r="P6111">
            <v>368.79259999999999</v>
          </cell>
        </row>
        <row r="6112">
          <cell r="B6112">
            <v>38889</v>
          </cell>
          <cell r="J6112">
            <v>3809804.3041216834</v>
          </cell>
          <cell r="K6112">
            <v>2.4380000000000002</v>
          </cell>
          <cell r="L6112">
            <v>148835</v>
          </cell>
          <cell r="M6112">
            <v>13229</v>
          </cell>
          <cell r="N6112">
            <v>683926.05601571908</v>
          </cell>
          <cell r="O6112">
            <v>692380.00232629513</v>
          </cell>
          <cell r="P6112">
            <v>368.79259999999999</v>
          </cell>
        </row>
        <row r="6113">
          <cell r="B6113">
            <v>38890</v>
          </cell>
          <cell r="J6113">
            <v>3809804.3041216834</v>
          </cell>
          <cell r="K6113">
            <v>2.4380000000000002</v>
          </cell>
          <cell r="L6113">
            <v>148835</v>
          </cell>
          <cell r="M6113">
            <v>13229</v>
          </cell>
          <cell r="N6113">
            <v>683926.05601571908</v>
          </cell>
          <cell r="O6113">
            <v>692380.00232629513</v>
          </cell>
          <cell r="P6113">
            <v>368.79259999999999</v>
          </cell>
        </row>
        <row r="6114">
          <cell r="B6114">
            <v>38891</v>
          </cell>
          <cell r="J6114">
            <v>3809804.3041216834</v>
          </cell>
          <cell r="K6114">
            <v>2.4380000000000002</v>
          </cell>
          <cell r="L6114">
            <v>148835</v>
          </cell>
          <cell r="M6114">
            <v>13229</v>
          </cell>
          <cell r="N6114">
            <v>683926.05601571908</v>
          </cell>
          <cell r="O6114">
            <v>692380.00232629513</v>
          </cell>
          <cell r="P6114">
            <v>368.79259999999999</v>
          </cell>
        </row>
        <row r="6115">
          <cell r="B6115">
            <v>38892</v>
          </cell>
          <cell r="J6115">
            <v>3809804.3041216834</v>
          </cell>
          <cell r="K6115">
            <v>2.4380000000000002</v>
          </cell>
          <cell r="L6115">
            <v>148835</v>
          </cell>
          <cell r="M6115">
            <v>13229</v>
          </cell>
          <cell r="N6115">
            <v>683926.05601571908</v>
          </cell>
          <cell r="O6115">
            <v>692380.00232629513</v>
          </cell>
          <cell r="P6115">
            <v>368.79259999999999</v>
          </cell>
        </row>
        <row r="6116">
          <cell r="B6116">
            <v>38893</v>
          </cell>
          <cell r="J6116">
            <v>3809804.3041216834</v>
          </cell>
          <cell r="K6116">
            <v>2.4380000000000002</v>
          </cell>
          <cell r="L6116">
            <v>148835</v>
          </cell>
          <cell r="M6116">
            <v>13229</v>
          </cell>
          <cell r="N6116">
            <v>683926.05601571908</v>
          </cell>
          <cell r="O6116">
            <v>692380.00232629513</v>
          </cell>
          <cell r="P6116">
            <v>368.79259999999999</v>
          </cell>
        </row>
        <row r="6117">
          <cell r="B6117">
            <v>38894</v>
          </cell>
          <cell r="J6117">
            <v>3809804.3041216834</v>
          </cell>
          <cell r="K6117">
            <v>2.4380000000000002</v>
          </cell>
          <cell r="L6117">
            <v>148835</v>
          </cell>
          <cell r="M6117">
            <v>13229</v>
          </cell>
          <cell r="N6117">
            <v>683926.05601571908</v>
          </cell>
          <cell r="O6117">
            <v>692380.00232629513</v>
          </cell>
          <cell r="P6117">
            <v>368.79259999999999</v>
          </cell>
        </row>
        <row r="6118">
          <cell r="B6118">
            <v>38895</v>
          </cell>
          <cell r="J6118">
            <v>3809804.3041216834</v>
          </cell>
          <cell r="K6118">
            <v>2.4380000000000002</v>
          </cell>
          <cell r="L6118">
            <v>148835</v>
          </cell>
          <cell r="M6118">
            <v>13229</v>
          </cell>
          <cell r="N6118">
            <v>683926.05601571908</v>
          </cell>
          <cell r="O6118">
            <v>692380.00232629513</v>
          </cell>
          <cell r="P6118">
            <v>368.79259999999999</v>
          </cell>
        </row>
        <row r="6119">
          <cell r="B6119">
            <v>38896</v>
          </cell>
          <cell r="J6119">
            <v>3809804.3041216834</v>
          </cell>
          <cell r="K6119">
            <v>2.4380000000000002</v>
          </cell>
          <cell r="L6119">
            <v>148835</v>
          </cell>
          <cell r="M6119">
            <v>13229</v>
          </cell>
          <cell r="N6119">
            <v>683926.05601571908</v>
          </cell>
          <cell r="O6119">
            <v>692380.00232629513</v>
          </cell>
          <cell r="P6119">
            <v>368.79259999999999</v>
          </cell>
        </row>
        <row r="6120">
          <cell r="B6120">
            <v>38897</v>
          </cell>
          <cell r="J6120">
            <v>3809804.3041216834</v>
          </cell>
          <cell r="K6120">
            <v>2.4380000000000002</v>
          </cell>
          <cell r="L6120">
            <v>148835</v>
          </cell>
          <cell r="M6120">
            <v>13229</v>
          </cell>
          <cell r="N6120">
            <v>683926.05601571908</v>
          </cell>
          <cell r="O6120">
            <v>692380.00232629513</v>
          </cell>
          <cell r="P6120">
            <v>368.79259999999999</v>
          </cell>
        </row>
        <row r="6121">
          <cell r="B6121">
            <v>38898</v>
          </cell>
          <cell r="J6121">
            <v>3809804.3041216834</v>
          </cell>
          <cell r="K6121">
            <v>2.4380000000000002</v>
          </cell>
          <cell r="L6121">
            <v>148835</v>
          </cell>
          <cell r="M6121">
            <v>13229</v>
          </cell>
          <cell r="N6121">
            <v>683926.05601571908</v>
          </cell>
          <cell r="O6121">
            <v>692380.00232629513</v>
          </cell>
          <cell r="P6121">
            <v>368.79259999999999</v>
          </cell>
        </row>
        <row r="6122">
          <cell r="B6122">
            <v>38899</v>
          </cell>
          <cell r="J6122">
            <v>3809804.3041216834</v>
          </cell>
          <cell r="K6122">
            <v>2.4380000000000002</v>
          </cell>
          <cell r="L6122">
            <v>148835</v>
          </cell>
          <cell r="M6122">
            <v>13229</v>
          </cell>
          <cell r="N6122">
            <v>683926.05601571908</v>
          </cell>
          <cell r="O6122">
            <v>692380.00232629513</v>
          </cell>
          <cell r="P6122">
            <v>368.79259999999999</v>
          </cell>
        </row>
        <row r="6123">
          <cell r="B6123">
            <v>38900</v>
          </cell>
          <cell r="J6123">
            <v>3809804.3041216834</v>
          </cell>
          <cell r="K6123">
            <v>2.4380000000000002</v>
          </cell>
          <cell r="L6123">
            <v>148835</v>
          </cell>
          <cell r="M6123">
            <v>13229</v>
          </cell>
          <cell r="N6123">
            <v>683926.05601571908</v>
          </cell>
          <cell r="O6123">
            <v>692380.00232629513</v>
          </cell>
          <cell r="P6123">
            <v>368.79259999999999</v>
          </cell>
        </row>
        <row r="6124">
          <cell r="B6124">
            <v>38901</v>
          </cell>
          <cell r="J6124">
            <v>3809804.3041216834</v>
          </cell>
          <cell r="K6124">
            <v>2.4380000000000002</v>
          </cell>
          <cell r="L6124">
            <v>148835</v>
          </cell>
          <cell r="M6124">
            <v>13229</v>
          </cell>
          <cell r="N6124">
            <v>683926.05601571908</v>
          </cell>
          <cell r="O6124">
            <v>692380.00232629513</v>
          </cell>
          <cell r="P6124">
            <v>368.79259999999999</v>
          </cell>
        </row>
        <row r="6125">
          <cell r="B6125">
            <v>38902</v>
          </cell>
          <cell r="J6125">
            <v>3809804.3041216834</v>
          </cell>
          <cell r="K6125">
            <v>2.4380000000000002</v>
          </cell>
          <cell r="L6125">
            <v>148835</v>
          </cell>
          <cell r="M6125">
            <v>13229</v>
          </cell>
          <cell r="N6125">
            <v>683926.05601571908</v>
          </cell>
          <cell r="O6125">
            <v>692380.00232629513</v>
          </cell>
          <cell r="P6125">
            <v>368.79259999999999</v>
          </cell>
        </row>
        <row r="6126">
          <cell r="B6126">
            <v>38903</v>
          </cell>
          <cell r="J6126">
            <v>3809804.3041216834</v>
          </cell>
          <cell r="K6126">
            <v>2.4380000000000002</v>
          </cell>
          <cell r="L6126">
            <v>148835</v>
          </cell>
          <cell r="M6126">
            <v>13229</v>
          </cell>
          <cell r="N6126">
            <v>683926.05601571908</v>
          </cell>
          <cell r="O6126">
            <v>692380.00232629513</v>
          </cell>
          <cell r="P6126">
            <v>368.79259999999999</v>
          </cell>
        </row>
        <row r="6127">
          <cell r="B6127">
            <v>38904</v>
          </cell>
          <cell r="J6127">
            <v>3809804.3041216834</v>
          </cell>
          <cell r="K6127">
            <v>2.4380000000000002</v>
          </cell>
          <cell r="L6127">
            <v>148835</v>
          </cell>
          <cell r="M6127">
            <v>13229</v>
          </cell>
          <cell r="N6127">
            <v>683926.05601571908</v>
          </cell>
          <cell r="O6127">
            <v>692380.00232629513</v>
          </cell>
          <cell r="P6127">
            <v>368.79259999999999</v>
          </cell>
        </row>
        <row r="6128">
          <cell r="B6128">
            <v>38905</v>
          </cell>
          <cell r="J6128">
            <v>3809804.3041216834</v>
          </cell>
          <cell r="K6128">
            <v>2.4380000000000002</v>
          </cell>
          <cell r="L6128">
            <v>148835</v>
          </cell>
          <cell r="M6128">
            <v>13229</v>
          </cell>
          <cell r="N6128">
            <v>683926.05601571908</v>
          </cell>
          <cell r="O6128">
            <v>692380.00232629513</v>
          </cell>
          <cell r="P6128">
            <v>368.79259999999999</v>
          </cell>
        </row>
        <row r="6129">
          <cell r="B6129">
            <v>38906</v>
          </cell>
          <cell r="J6129">
            <v>3809804.3041216834</v>
          </cell>
          <cell r="K6129">
            <v>2.4380000000000002</v>
          </cell>
          <cell r="L6129">
            <v>148835</v>
          </cell>
          <cell r="M6129">
            <v>13229</v>
          </cell>
          <cell r="N6129">
            <v>683926.05601571908</v>
          </cell>
          <cell r="O6129">
            <v>692380.00232629513</v>
          </cell>
          <cell r="P6129">
            <v>368.79259999999999</v>
          </cell>
        </row>
        <row r="6130">
          <cell r="B6130">
            <v>38907</v>
          </cell>
          <cell r="J6130">
            <v>3809804.3041216834</v>
          </cell>
          <cell r="K6130">
            <v>2.4380000000000002</v>
          </cell>
          <cell r="L6130">
            <v>148835</v>
          </cell>
          <cell r="M6130">
            <v>13229</v>
          </cell>
          <cell r="N6130">
            <v>683926.05601571908</v>
          </cell>
          <cell r="O6130">
            <v>692380.00232629513</v>
          </cell>
          <cell r="P6130">
            <v>368.79259999999999</v>
          </cell>
        </row>
        <row r="6131">
          <cell r="B6131">
            <v>38908</v>
          </cell>
          <cell r="J6131">
            <v>3809804.3041216834</v>
          </cell>
          <cell r="K6131">
            <v>2.4380000000000002</v>
          </cell>
          <cell r="L6131">
            <v>148835</v>
          </cell>
          <cell r="M6131">
            <v>13229</v>
          </cell>
          <cell r="N6131">
            <v>683926.05601571908</v>
          </cell>
          <cell r="O6131">
            <v>692380.00232629513</v>
          </cell>
          <cell r="P6131">
            <v>368.79259999999999</v>
          </cell>
        </row>
        <row r="6132">
          <cell r="B6132">
            <v>38909</v>
          </cell>
          <cell r="J6132">
            <v>3809804.3041216834</v>
          </cell>
          <cell r="K6132">
            <v>2.4380000000000002</v>
          </cell>
          <cell r="L6132">
            <v>148835</v>
          </cell>
          <cell r="M6132">
            <v>13229</v>
          </cell>
          <cell r="N6132">
            <v>683926.05601571908</v>
          </cell>
          <cell r="O6132">
            <v>692380.00232629513</v>
          </cell>
          <cell r="P6132">
            <v>368.79259999999999</v>
          </cell>
        </row>
        <row r="6133">
          <cell r="B6133">
            <v>38910</v>
          </cell>
          <cell r="J6133">
            <v>3809804.3041216834</v>
          </cell>
          <cell r="K6133">
            <v>2.4380000000000002</v>
          </cell>
          <cell r="L6133">
            <v>148835</v>
          </cell>
          <cell r="M6133">
            <v>13229</v>
          </cell>
          <cell r="N6133">
            <v>683926.05601571908</v>
          </cell>
          <cell r="O6133">
            <v>692380.00232629513</v>
          </cell>
          <cell r="P6133">
            <v>368.79259999999999</v>
          </cell>
        </row>
        <row r="6134">
          <cell r="B6134">
            <v>38911</v>
          </cell>
          <cell r="J6134">
            <v>3809804.3041216834</v>
          </cell>
          <cell r="K6134">
            <v>2.4380000000000002</v>
          </cell>
          <cell r="L6134">
            <v>148835</v>
          </cell>
          <cell r="M6134">
            <v>13229</v>
          </cell>
          <cell r="N6134">
            <v>683926.05601571908</v>
          </cell>
          <cell r="O6134">
            <v>692380.00232629513</v>
          </cell>
          <cell r="P6134">
            <v>368.79259999999999</v>
          </cell>
        </row>
        <row r="6135">
          <cell r="B6135">
            <v>38912</v>
          </cell>
          <cell r="J6135">
            <v>3809804.3041216834</v>
          </cell>
          <cell r="K6135">
            <v>2.4380000000000002</v>
          </cell>
          <cell r="L6135">
            <v>148835</v>
          </cell>
          <cell r="M6135">
            <v>13229</v>
          </cell>
          <cell r="N6135">
            <v>683926.05601571908</v>
          </cell>
          <cell r="O6135">
            <v>692380.00232629513</v>
          </cell>
          <cell r="P6135">
            <v>368.79259999999999</v>
          </cell>
        </row>
        <row r="6136">
          <cell r="B6136">
            <v>38913</v>
          </cell>
          <cell r="J6136">
            <v>3809804.3041216834</v>
          </cell>
          <cell r="K6136">
            <v>2.4380000000000002</v>
          </cell>
          <cell r="L6136">
            <v>148835</v>
          </cell>
          <cell r="M6136">
            <v>13229</v>
          </cell>
          <cell r="N6136">
            <v>683926.05601571908</v>
          </cell>
          <cell r="O6136">
            <v>692380.00232629513</v>
          </cell>
          <cell r="P6136">
            <v>368.79259999999999</v>
          </cell>
        </row>
        <row r="6137">
          <cell r="B6137">
            <v>38914</v>
          </cell>
          <cell r="J6137">
            <v>3809804.3041216834</v>
          </cell>
          <cell r="K6137">
            <v>2.4380000000000002</v>
          </cell>
          <cell r="L6137">
            <v>148835</v>
          </cell>
          <cell r="M6137">
            <v>13229</v>
          </cell>
          <cell r="N6137">
            <v>683926.05601571908</v>
          </cell>
          <cell r="O6137">
            <v>692380.00232629513</v>
          </cell>
          <cell r="P6137">
            <v>368.79259999999999</v>
          </cell>
        </row>
        <row r="6138">
          <cell r="B6138">
            <v>38915</v>
          </cell>
          <cell r="J6138">
            <v>3809804.3041216834</v>
          </cell>
          <cell r="K6138">
            <v>2.4380000000000002</v>
          </cell>
          <cell r="L6138">
            <v>148835</v>
          </cell>
          <cell r="M6138">
            <v>13229</v>
          </cell>
          <cell r="N6138">
            <v>683926.05601571908</v>
          </cell>
          <cell r="O6138">
            <v>692380.00232629513</v>
          </cell>
          <cell r="P6138">
            <v>368.79259999999999</v>
          </cell>
        </row>
        <row r="6139">
          <cell r="B6139">
            <v>38916</v>
          </cell>
          <cell r="J6139">
            <v>3809804.3041216834</v>
          </cell>
          <cell r="K6139">
            <v>2.4380000000000002</v>
          </cell>
          <cell r="L6139">
            <v>148835</v>
          </cell>
          <cell r="M6139">
            <v>13229</v>
          </cell>
          <cell r="N6139">
            <v>683926.05601571908</v>
          </cell>
          <cell r="O6139">
            <v>692380.00232629513</v>
          </cell>
          <cell r="P6139">
            <v>368.79259999999999</v>
          </cell>
        </row>
        <row r="6140">
          <cell r="B6140">
            <v>38917</v>
          </cell>
          <cell r="J6140">
            <v>3809804.3041216834</v>
          </cell>
          <cell r="K6140">
            <v>2.4380000000000002</v>
          </cell>
          <cell r="L6140">
            <v>148835</v>
          </cell>
          <cell r="M6140">
            <v>13229</v>
          </cell>
          <cell r="N6140">
            <v>683926.05601571908</v>
          </cell>
          <cell r="O6140">
            <v>692380.00232629513</v>
          </cell>
          <cell r="P6140">
            <v>368.79259999999999</v>
          </cell>
        </row>
        <row r="6141">
          <cell r="B6141">
            <v>38918</v>
          </cell>
          <cell r="J6141">
            <v>3809804.3041216834</v>
          </cell>
          <cell r="K6141">
            <v>2.4380000000000002</v>
          </cell>
          <cell r="L6141">
            <v>148835</v>
          </cell>
          <cell r="M6141">
            <v>13229</v>
          </cell>
          <cell r="N6141">
            <v>683926.05601571908</v>
          </cell>
          <cell r="O6141">
            <v>692380.00232629513</v>
          </cell>
          <cell r="P6141">
            <v>368.79259999999999</v>
          </cell>
        </row>
        <row r="6142">
          <cell r="B6142">
            <v>38919</v>
          </cell>
          <cell r="J6142">
            <v>3809804.3041216834</v>
          </cell>
          <cell r="K6142">
            <v>2.4380000000000002</v>
          </cell>
          <cell r="L6142">
            <v>148835</v>
          </cell>
          <cell r="M6142">
            <v>13229</v>
          </cell>
          <cell r="N6142">
            <v>683926.05601571908</v>
          </cell>
          <cell r="O6142">
            <v>692380.00232629513</v>
          </cell>
          <cell r="P6142">
            <v>368.79259999999999</v>
          </cell>
        </row>
        <row r="6143">
          <cell r="B6143">
            <v>38920</v>
          </cell>
          <cell r="J6143">
            <v>3809804.3041216834</v>
          </cell>
          <cell r="K6143">
            <v>2.4380000000000002</v>
          </cell>
          <cell r="L6143">
            <v>148835</v>
          </cell>
          <cell r="M6143">
            <v>13229</v>
          </cell>
          <cell r="N6143">
            <v>683926.05601571908</v>
          </cell>
          <cell r="O6143">
            <v>692380.00232629513</v>
          </cell>
          <cell r="P6143">
            <v>368.79259999999999</v>
          </cell>
        </row>
        <row r="6144">
          <cell r="B6144">
            <v>38921</v>
          </cell>
          <cell r="J6144">
            <v>3809804.3041216834</v>
          </cell>
          <cell r="K6144">
            <v>2.4380000000000002</v>
          </cell>
          <cell r="L6144">
            <v>148835</v>
          </cell>
          <cell r="M6144">
            <v>13229</v>
          </cell>
          <cell r="N6144">
            <v>683926.05601571908</v>
          </cell>
          <cell r="O6144">
            <v>692380.00232629513</v>
          </cell>
          <cell r="P6144">
            <v>368.79259999999999</v>
          </cell>
        </row>
        <row r="6145">
          <cell r="B6145">
            <v>38922</v>
          </cell>
          <cell r="J6145">
            <v>3809804.3041216834</v>
          </cell>
          <cell r="K6145">
            <v>2.4380000000000002</v>
          </cell>
          <cell r="L6145">
            <v>148835</v>
          </cell>
          <cell r="M6145">
            <v>13229</v>
          </cell>
          <cell r="N6145">
            <v>683926.05601571908</v>
          </cell>
          <cell r="O6145">
            <v>692380.00232629513</v>
          </cell>
          <cell r="P6145">
            <v>368.79259999999999</v>
          </cell>
        </row>
        <row r="6146">
          <cell r="B6146">
            <v>38923</v>
          </cell>
          <cell r="J6146">
            <v>3809804.3041216834</v>
          </cell>
          <cell r="K6146">
            <v>2.4380000000000002</v>
          </cell>
          <cell r="L6146">
            <v>148835</v>
          </cell>
          <cell r="M6146">
            <v>13229</v>
          </cell>
          <cell r="N6146">
            <v>683926.05601571908</v>
          </cell>
          <cell r="O6146">
            <v>692380.00232629513</v>
          </cell>
          <cell r="P6146">
            <v>368.79259999999999</v>
          </cell>
        </row>
        <row r="6147">
          <cell r="B6147">
            <v>38924</v>
          </cell>
          <cell r="J6147">
            <v>3809804.3041216834</v>
          </cell>
          <cell r="K6147">
            <v>2.4380000000000002</v>
          </cell>
          <cell r="L6147">
            <v>148835</v>
          </cell>
          <cell r="M6147">
            <v>13229</v>
          </cell>
          <cell r="N6147">
            <v>683926.05601571908</v>
          </cell>
          <cell r="O6147">
            <v>692380.00232629513</v>
          </cell>
          <cell r="P6147">
            <v>368.79259999999999</v>
          </cell>
        </row>
        <row r="6148">
          <cell r="B6148">
            <v>38925</v>
          </cell>
          <cell r="J6148">
            <v>3809804.3041216834</v>
          </cell>
          <cell r="K6148">
            <v>2.4380000000000002</v>
          </cell>
          <cell r="L6148">
            <v>148835</v>
          </cell>
          <cell r="M6148">
            <v>13229</v>
          </cell>
          <cell r="N6148">
            <v>683926.05601571908</v>
          </cell>
          <cell r="O6148">
            <v>692380.00232629513</v>
          </cell>
          <cell r="P6148">
            <v>368.79259999999999</v>
          </cell>
        </row>
        <row r="6149">
          <cell r="B6149">
            <v>38926</v>
          </cell>
          <cell r="J6149">
            <v>3809804.3041216834</v>
          </cell>
          <cell r="K6149">
            <v>2.4380000000000002</v>
          </cell>
          <cell r="L6149">
            <v>148835</v>
          </cell>
          <cell r="M6149">
            <v>13229</v>
          </cell>
          <cell r="N6149">
            <v>683926.05601571908</v>
          </cell>
          <cell r="O6149">
            <v>692380.00232629513</v>
          </cell>
          <cell r="P6149">
            <v>368.79259999999999</v>
          </cell>
        </row>
        <row r="6150">
          <cell r="B6150">
            <v>38927</v>
          </cell>
          <cell r="J6150">
            <v>3809804.3041216834</v>
          </cell>
          <cell r="K6150">
            <v>2.4380000000000002</v>
          </cell>
          <cell r="L6150">
            <v>148835</v>
          </cell>
          <cell r="M6150">
            <v>13229</v>
          </cell>
          <cell r="N6150">
            <v>683926.05601571908</v>
          </cell>
          <cell r="O6150">
            <v>692380.00232629513</v>
          </cell>
          <cell r="P6150">
            <v>368.79259999999999</v>
          </cell>
        </row>
        <row r="6151">
          <cell r="B6151">
            <v>38928</v>
          </cell>
          <cell r="J6151">
            <v>3809804.3041216834</v>
          </cell>
          <cell r="K6151">
            <v>2.4380000000000002</v>
          </cell>
          <cell r="L6151">
            <v>148835</v>
          </cell>
          <cell r="M6151">
            <v>13229</v>
          </cell>
          <cell r="N6151">
            <v>683926.05601571908</v>
          </cell>
          <cell r="O6151">
            <v>692380.00232629513</v>
          </cell>
          <cell r="P6151">
            <v>368.79259999999999</v>
          </cell>
        </row>
        <row r="6152">
          <cell r="B6152">
            <v>38929</v>
          </cell>
          <cell r="J6152">
            <v>3809804.3041216834</v>
          </cell>
          <cell r="K6152">
            <v>2.4380000000000002</v>
          </cell>
          <cell r="L6152">
            <v>148835</v>
          </cell>
          <cell r="M6152">
            <v>13229</v>
          </cell>
          <cell r="N6152">
            <v>683926.05601571908</v>
          </cell>
          <cell r="O6152">
            <v>692380.00232629513</v>
          </cell>
          <cell r="P6152">
            <v>368.79259999999999</v>
          </cell>
        </row>
        <row r="6153">
          <cell r="B6153">
            <v>38930</v>
          </cell>
          <cell r="J6153">
            <v>3809804.3041216834</v>
          </cell>
          <cell r="K6153">
            <v>2.4380000000000002</v>
          </cell>
          <cell r="L6153">
            <v>148835</v>
          </cell>
          <cell r="M6153">
            <v>13229</v>
          </cell>
          <cell r="N6153">
            <v>683926.05601571908</v>
          </cell>
          <cell r="O6153">
            <v>692380.00232629513</v>
          </cell>
          <cell r="P6153">
            <v>368.79259999999999</v>
          </cell>
        </row>
        <row r="6154">
          <cell r="B6154">
            <v>38931</v>
          </cell>
          <cell r="J6154">
            <v>3809804.3041216834</v>
          </cell>
          <cell r="K6154">
            <v>2.4380000000000002</v>
          </cell>
          <cell r="L6154">
            <v>148835</v>
          </cell>
          <cell r="M6154">
            <v>13229</v>
          </cell>
          <cell r="N6154">
            <v>683926.05601571908</v>
          </cell>
          <cell r="O6154">
            <v>692380.00232629513</v>
          </cell>
          <cell r="P6154">
            <v>368.79259999999999</v>
          </cell>
        </row>
        <row r="6155">
          <cell r="B6155">
            <v>38932</v>
          </cell>
          <cell r="J6155">
            <v>3809804.3041216834</v>
          </cell>
          <cell r="K6155">
            <v>2.4380000000000002</v>
          </cell>
          <cell r="L6155">
            <v>148835</v>
          </cell>
          <cell r="M6155">
            <v>13229</v>
          </cell>
          <cell r="N6155">
            <v>683926.05601571908</v>
          </cell>
          <cell r="O6155">
            <v>692380.00232629513</v>
          </cell>
          <cell r="P6155">
            <v>368.79259999999999</v>
          </cell>
        </row>
        <row r="6156">
          <cell r="B6156">
            <v>38933</v>
          </cell>
          <cell r="J6156">
            <v>3809804.3041216834</v>
          </cell>
          <cell r="K6156">
            <v>2.4380000000000002</v>
          </cell>
          <cell r="L6156">
            <v>148835</v>
          </cell>
          <cell r="M6156">
            <v>13229</v>
          </cell>
          <cell r="N6156">
            <v>683926.05601571908</v>
          </cell>
          <cell r="O6156">
            <v>692380.00232629513</v>
          </cell>
          <cell r="P6156">
            <v>368.79259999999999</v>
          </cell>
        </row>
        <row r="6157">
          <cell r="B6157">
            <v>38934</v>
          </cell>
          <cell r="J6157">
            <v>3809804.3041216834</v>
          </cell>
          <cell r="K6157">
            <v>2.4380000000000002</v>
          </cell>
          <cell r="L6157">
            <v>148835</v>
          </cell>
          <cell r="M6157">
            <v>13229</v>
          </cell>
          <cell r="N6157">
            <v>683926.05601571908</v>
          </cell>
          <cell r="O6157">
            <v>692380.00232629513</v>
          </cell>
          <cell r="P6157">
            <v>368.79259999999999</v>
          </cell>
        </row>
        <row r="6158">
          <cell r="B6158">
            <v>38935</v>
          </cell>
          <cell r="J6158">
            <v>3809804.3041216834</v>
          </cell>
          <cell r="K6158">
            <v>2.4380000000000002</v>
          </cell>
          <cell r="L6158">
            <v>148835</v>
          </cell>
          <cell r="M6158">
            <v>13229</v>
          </cell>
          <cell r="N6158">
            <v>683926.05601571908</v>
          </cell>
          <cell r="O6158">
            <v>692380.00232629513</v>
          </cell>
          <cell r="P6158">
            <v>368.79259999999999</v>
          </cell>
        </row>
        <row r="6159">
          <cell r="B6159">
            <v>38936</v>
          </cell>
          <cell r="J6159">
            <v>3809804.3041216834</v>
          </cell>
          <cell r="K6159">
            <v>2.4380000000000002</v>
          </cell>
          <cell r="L6159">
            <v>148835</v>
          </cell>
          <cell r="M6159">
            <v>13229</v>
          </cell>
          <cell r="N6159">
            <v>683926.05601571908</v>
          </cell>
          <cell r="O6159">
            <v>692380.00232629513</v>
          </cell>
          <cell r="P6159">
            <v>368.79259999999999</v>
          </cell>
        </row>
        <row r="6160">
          <cell r="B6160">
            <v>38937</v>
          </cell>
          <cell r="J6160">
            <v>3809804.3041216834</v>
          </cell>
          <cell r="K6160">
            <v>2.4380000000000002</v>
          </cell>
          <cell r="L6160">
            <v>148835</v>
          </cell>
          <cell r="M6160">
            <v>13229</v>
          </cell>
          <cell r="N6160">
            <v>683926.05601571908</v>
          </cell>
          <cell r="O6160">
            <v>692380.00232629513</v>
          </cell>
          <cell r="P6160">
            <v>368.79259999999999</v>
          </cell>
        </row>
        <row r="6161">
          <cell r="B6161">
            <v>38938</v>
          </cell>
          <cell r="J6161">
            <v>3809804.3041216834</v>
          </cell>
          <cell r="K6161">
            <v>2.4380000000000002</v>
          </cell>
          <cell r="L6161">
            <v>148835</v>
          </cell>
          <cell r="M6161">
            <v>13229</v>
          </cell>
          <cell r="N6161">
            <v>683926.05601571908</v>
          </cell>
          <cell r="O6161">
            <v>692380.00232629513</v>
          </cell>
          <cell r="P6161">
            <v>368.79259999999999</v>
          </cell>
        </row>
        <row r="6162">
          <cell r="B6162">
            <v>38939</v>
          </cell>
          <cell r="J6162">
            <v>3809804.3041216834</v>
          </cell>
          <cell r="K6162">
            <v>2.4380000000000002</v>
          </cell>
          <cell r="L6162">
            <v>148835</v>
          </cell>
          <cell r="M6162">
            <v>13229</v>
          </cell>
          <cell r="N6162">
            <v>683926.05601571908</v>
          </cell>
          <cell r="O6162">
            <v>692380.00232629513</v>
          </cell>
          <cell r="P6162">
            <v>368.79259999999999</v>
          </cell>
        </row>
        <row r="6163">
          <cell r="B6163">
            <v>38940</v>
          </cell>
          <cell r="J6163">
            <v>3809804.3041216834</v>
          </cell>
          <cell r="K6163">
            <v>2.4380000000000002</v>
          </cell>
          <cell r="L6163">
            <v>148835</v>
          </cell>
          <cell r="M6163">
            <v>13229</v>
          </cell>
          <cell r="N6163">
            <v>683926.05601571908</v>
          </cell>
          <cell r="O6163">
            <v>692380.00232629513</v>
          </cell>
          <cell r="P6163">
            <v>368.79259999999999</v>
          </cell>
        </row>
        <row r="6164">
          <cell r="B6164">
            <v>38941</v>
          </cell>
          <cell r="J6164">
            <v>3809804.3041216834</v>
          </cell>
          <cell r="K6164">
            <v>2.4380000000000002</v>
          </cell>
          <cell r="L6164">
            <v>148835</v>
          </cell>
          <cell r="M6164">
            <v>13229</v>
          </cell>
          <cell r="N6164">
            <v>683926.05601571908</v>
          </cell>
          <cell r="O6164">
            <v>692380.00232629513</v>
          </cell>
          <cell r="P6164">
            <v>368.79259999999999</v>
          </cell>
        </row>
        <row r="6165">
          <cell r="B6165">
            <v>38942</v>
          </cell>
          <cell r="J6165">
            <v>3809804.3041216834</v>
          </cell>
          <cell r="K6165">
            <v>2.4380000000000002</v>
          </cell>
          <cell r="L6165">
            <v>148835</v>
          </cell>
          <cell r="M6165">
            <v>13229</v>
          </cell>
          <cell r="N6165">
            <v>683926.05601571908</v>
          </cell>
          <cell r="O6165">
            <v>692380.00232629513</v>
          </cell>
          <cell r="P6165">
            <v>368.79259999999999</v>
          </cell>
        </row>
        <row r="6166">
          <cell r="B6166">
            <v>38943</v>
          </cell>
          <cell r="J6166">
            <v>3809804.3041216834</v>
          </cell>
          <cell r="K6166">
            <v>2.4380000000000002</v>
          </cell>
          <cell r="L6166">
            <v>148835</v>
          </cell>
          <cell r="M6166">
            <v>13229</v>
          </cell>
          <cell r="N6166">
            <v>683926.05601571908</v>
          </cell>
          <cell r="O6166">
            <v>692380.00232629513</v>
          </cell>
          <cell r="P6166">
            <v>368.79259999999999</v>
          </cell>
        </row>
        <row r="6167">
          <cell r="B6167">
            <v>38944</v>
          </cell>
          <cell r="J6167">
            <v>3809804.3041216834</v>
          </cell>
          <cell r="K6167">
            <v>2.4380000000000002</v>
          </cell>
          <cell r="L6167">
            <v>148835</v>
          </cell>
          <cell r="M6167">
            <v>13229</v>
          </cell>
          <cell r="N6167">
            <v>683926.05601571908</v>
          </cell>
          <cell r="O6167">
            <v>692380.00232629513</v>
          </cell>
          <cell r="P6167">
            <v>368.79259999999999</v>
          </cell>
        </row>
        <row r="6168">
          <cell r="B6168">
            <v>38945</v>
          </cell>
          <cell r="J6168">
            <v>3809804.3041216834</v>
          </cell>
          <cell r="K6168">
            <v>2.4380000000000002</v>
          </cell>
          <cell r="L6168">
            <v>148835</v>
          </cell>
          <cell r="M6168">
            <v>13229</v>
          </cell>
          <cell r="N6168">
            <v>683926.05601571908</v>
          </cell>
          <cell r="O6168">
            <v>692380.00232629513</v>
          </cell>
          <cell r="P6168">
            <v>368.79259999999999</v>
          </cell>
        </row>
        <row r="6169">
          <cell r="B6169">
            <v>38946</v>
          </cell>
          <cell r="J6169">
            <v>3809804.3041216834</v>
          </cell>
          <cell r="K6169">
            <v>2.4380000000000002</v>
          </cell>
          <cell r="L6169">
            <v>148835</v>
          </cell>
          <cell r="M6169">
            <v>13229</v>
          </cell>
          <cell r="N6169">
            <v>683926.05601571908</v>
          </cell>
          <cell r="O6169">
            <v>692380.00232629513</v>
          </cell>
          <cell r="P6169">
            <v>368.79259999999999</v>
          </cell>
        </row>
        <row r="6170">
          <cell r="B6170">
            <v>38947</v>
          </cell>
          <cell r="J6170">
            <v>3809804.3041216834</v>
          </cell>
          <cell r="K6170">
            <v>2.4380000000000002</v>
          </cell>
          <cell r="L6170">
            <v>148835</v>
          </cell>
          <cell r="M6170">
            <v>13229</v>
          </cell>
          <cell r="N6170">
            <v>683926.05601571908</v>
          </cell>
          <cell r="O6170">
            <v>692380.00232629513</v>
          </cell>
          <cell r="P6170">
            <v>368.79259999999999</v>
          </cell>
        </row>
        <row r="6171">
          <cell r="B6171">
            <v>38948</v>
          </cell>
          <cell r="J6171">
            <v>3809804.3041216834</v>
          </cell>
          <cell r="K6171">
            <v>2.4380000000000002</v>
          </cell>
          <cell r="L6171">
            <v>148835</v>
          </cell>
          <cell r="M6171">
            <v>13229</v>
          </cell>
          <cell r="N6171">
            <v>683926.05601571908</v>
          </cell>
          <cell r="O6171">
            <v>692380.00232629513</v>
          </cell>
          <cell r="P6171">
            <v>368.79259999999999</v>
          </cell>
        </row>
        <row r="6172">
          <cell r="B6172">
            <v>38949</v>
          </cell>
          <cell r="J6172">
            <v>3809804.3041216834</v>
          </cell>
          <cell r="K6172">
            <v>2.4380000000000002</v>
          </cell>
          <cell r="L6172">
            <v>148835</v>
          </cell>
          <cell r="M6172">
            <v>13229</v>
          </cell>
          <cell r="N6172">
            <v>683926.05601571908</v>
          </cell>
          <cell r="O6172">
            <v>692380.00232629513</v>
          </cell>
          <cell r="P6172">
            <v>368.79259999999999</v>
          </cell>
        </row>
        <row r="6173">
          <cell r="B6173">
            <v>38950</v>
          </cell>
          <cell r="J6173">
            <v>3809804.3041216834</v>
          </cell>
          <cell r="K6173">
            <v>2.4380000000000002</v>
          </cell>
          <cell r="L6173">
            <v>148835</v>
          </cell>
          <cell r="M6173">
            <v>13229</v>
          </cell>
          <cell r="N6173">
            <v>683926.05601571908</v>
          </cell>
          <cell r="O6173">
            <v>692380.00232629513</v>
          </cell>
          <cell r="P6173">
            <v>368.79259999999999</v>
          </cell>
        </row>
        <row r="6174">
          <cell r="B6174">
            <v>38951</v>
          </cell>
          <cell r="J6174">
            <v>3809804.3041216834</v>
          </cell>
          <cell r="K6174">
            <v>2.4380000000000002</v>
          </cell>
          <cell r="L6174">
            <v>148835</v>
          </cell>
          <cell r="M6174">
            <v>13229</v>
          </cell>
          <cell r="N6174">
            <v>683926.05601571908</v>
          </cell>
          <cell r="O6174">
            <v>692380.00232629513</v>
          </cell>
          <cell r="P6174">
            <v>368.79259999999999</v>
          </cell>
        </row>
        <row r="6175">
          <cell r="B6175">
            <v>38952</v>
          </cell>
          <cell r="J6175">
            <v>3809804.3041216834</v>
          </cell>
          <cell r="K6175">
            <v>2.4380000000000002</v>
          </cell>
          <cell r="L6175">
            <v>148835</v>
          </cell>
          <cell r="M6175">
            <v>13229</v>
          </cell>
          <cell r="N6175">
            <v>683926.05601571908</v>
          </cell>
          <cell r="O6175">
            <v>692380.00232629513</v>
          </cell>
          <cell r="P6175">
            <v>368.79259999999999</v>
          </cell>
        </row>
        <row r="6176">
          <cell r="B6176">
            <v>38953</v>
          </cell>
          <cell r="J6176">
            <v>3809804.3041216834</v>
          </cell>
          <cell r="K6176">
            <v>2.4380000000000002</v>
          </cell>
          <cell r="L6176">
            <v>148835</v>
          </cell>
          <cell r="M6176">
            <v>13229</v>
          </cell>
          <cell r="N6176">
            <v>683926.05601571908</v>
          </cell>
          <cell r="O6176">
            <v>692380.00232629513</v>
          </cell>
          <cell r="P6176">
            <v>368.79259999999999</v>
          </cell>
        </row>
        <row r="6177">
          <cell r="B6177">
            <v>38954</v>
          </cell>
          <cell r="J6177">
            <v>3809804.3041216834</v>
          </cell>
          <cell r="K6177">
            <v>2.4380000000000002</v>
          </cell>
          <cell r="L6177">
            <v>148835</v>
          </cell>
          <cell r="M6177">
            <v>13229</v>
          </cell>
          <cell r="N6177">
            <v>683926.05601571908</v>
          </cell>
          <cell r="O6177">
            <v>692380.00232629513</v>
          </cell>
          <cell r="P6177">
            <v>368.79259999999999</v>
          </cell>
        </row>
        <row r="6178">
          <cell r="B6178">
            <v>38955</v>
          </cell>
          <cell r="J6178">
            <v>3809804.3041216834</v>
          </cell>
          <cell r="K6178">
            <v>2.4380000000000002</v>
          </cell>
          <cell r="L6178">
            <v>148835</v>
          </cell>
          <cell r="M6178">
            <v>13229</v>
          </cell>
          <cell r="N6178">
            <v>683926.05601571908</v>
          </cell>
          <cell r="O6178">
            <v>692380.00232629513</v>
          </cell>
          <cell r="P6178">
            <v>368.79259999999999</v>
          </cell>
        </row>
        <row r="6179">
          <cell r="B6179">
            <v>38956</v>
          </cell>
          <cell r="J6179">
            <v>3809804.3041216834</v>
          </cell>
          <cell r="K6179">
            <v>2.4380000000000002</v>
          </cell>
          <cell r="L6179">
            <v>148835</v>
          </cell>
          <cell r="M6179">
            <v>13229</v>
          </cell>
          <cell r="N6179">
            <v>683926.05601571908</v>
          </cell>
          <cell r="O6179">
            <v>692380.00232629513</v>
          </cell>
          <cell r="P6179">
            <v>368.79259999999999</v>
          </cell>
        </row>
        <row r="6180">
          <cell r="B6180">
            <v>38957</v>
          </cell>
          <cell r="J6180">
            <v>3809804.3041216834</v>
          </cell>
          <cell r="K6180">
            <v>2.4380000000000002</v>
          </cell>
          <cell r="L6180">
            <v>148835</v>
          </cell>
          <cell r="M6180">
            <v>13229</v>
          </cell>
          <cell r="N6180">
            <v>683926.05601571908</v>
          </cell>
          <cell r="O6180">
            <v>692380.00232629513</v>
          </cell>
          <cell r="P6180">
            <v>368.79259999999999</v>
          </cell>
        </row>
        <row r="6181">
          <cell r="B6181">
            <v>38958</v>
          </cell>
          <cell r="J6181">
            <v>3809804.3041216834</v>
          </cell>
          <cell r="K6181">
            <v>2.4380000000000002</v>
          </cell>
          <cell r="L6181">
            <v>148835</v>
          </cell>
          <cell r="M6181">
            <v>13229</v>
          </cell>
          <cell r="N6181">
            <v>683926.05601571908</v>
          </cell>
          <cell r="O6181">
            <v>692380.00232629513</v>
          </cell>
          <cell r="P6181">
            <v>368.79259999999999</v>
          </cell>
        </row>
        <row r="6182">
          <cell r="B6182">
            <v>38959</v>
          </cell>
          <cell r="J6182">
            <v>3809804.3041216834</v>
          </cell>
          <cell r="K6182">
            <v>2.4380000000000002</v>
          </cell>
          <cell r="L6182">
            <v>148835</v>
          </cell>
          <cell r="M6182">
            <v>13229</v>
          </cell>
          <cell r="N6182">
            <v>683926.05601571908</v>
          </cell>
          <cell r="O6182">
            <v>692380.00232629513</v>
          </cell>
          <cell r="P6182">
            <v>368.79259999999999</v>
          </cell>
        </row>
        <row r="6183">
          <cell r="B6183">
            <v>38960</v>
          </cell>
          <cell r="J6183">
            <v>3809804.3041216834</v>
          </cell>
          <cell r="K6183">
            <v>2.4380000000000002</v>
          </cell>
          <cell r="L6183">
            <v>148835</v>
          </cell>
          <cell r="M6183">
            <v>13229</v>
          </cell>
          <cell r="N6183">
            <v>683926.05601571908</v>
          </cell>
          <cell r="O6183">
            <v>692380.00232629513</v>
          </cell>
          <cell r="P6183">
            <v>368.79259999999999</v>
          </cell>
        </row>
        <row r="6184">
          <cell r="B6184">
            <v>38961</v>
          </cell>
          <cell r="J6184">
            <v>3809804.3041216834</v>
          </cell>
          <cell r="K6184">
            <v>2.4380000000000002</v>
          </cell>
          <cell r="L6184">
            <v>148835</v>
          </cell>
          <cell r="M6184">
            <v>13229</v>
          </cell>
          <cell r="N6184">
            <v>683926.05601571908</v>
          </cell>
          <cell r="O6184">
            <v>692380.00232629513</v>
          </cell>
          <cell r="P6184">
            <v>368.79259999999999</v>
          </cell>
        </row>
        <row r="6185">
          <cell r="B6185">
            <v>38962</v>
          </cell>
          <cell r="J6185">
            <v>3809804.3041216834</v>
          </cell>
          <cell r="K6185">
            <v>2.4380000000000002</v>
          </cell>
          <cell r="L6185">
            <v>148835</v>
          </cell>
          <cell r="M6185">
            <v>13229</v>
          </cell>
          <cell r="N6185">
            <v>683926.05601571908</v>
          </cell>
          <cell r="O6185">
            <v>692380.00232629513</v>
          </cell>
          <cell r="P6185">
            <v>368.79259999999999</v>
          </cell>
        </row>
        <row r="6186">
          <cell r="B6186">
            <v>38963</v>
          </cell>
          <cell r="J6186">
            <v>3809804.3041216834</v>
          </cell>
          <cell r="K6186">
            <v>2.4380000000000002</v>
          </cell>
          <cell r="L6186">
            <v>148835</v>
          </cell>
          <cell r="M6186">
            <v>13229</v>
          </cell>
          <cell r="N6186">
            <v>683926.05601571908</v>
          </cell>
          <cell r="O6186">
            <v>692380.00232629513</v>
          </cell>
          <cell r="P6186">
            <v>368.79259999999999</v>
          </cell>
        </row>
        <row r="6187">
          <cell r="B6187">
            <v>38964</v>
          </cell>
          <cell r="J6187">
            <v>3809804.3041216834</v>
          </cell>
          <cell r="K6187">
            <v>2.4380000000000002</v>
          </cell>
          <cell r="L6187">
            <v>148835</v>
          </cell>
          <cell r="M6187">
            <v>13229</v>
          </cell>
          <cell r="N6187">
            <v>683926.05601571908</v>
          </cell>
          <cell r="O6187">
            <v>692380.00232629513</v>
          </cell>
          <cell r="P6187">
            <v>368.79259999999999</v>
          </cell>
        </row>
        <row r="6188">
          <cell r="B6188">
            <v>38965</v>
          </cell>
          <cell r="J6188">
            <v>3809804.3041216834</v>
          </cell>
          <cell r="K6188">
            <v>2.4380000000000002</v>
          </cell>
          <cell r="L6188">
            <v>148835</v>
          </cell>
          <cell r="M6188">
            <v>13229</v>
          </cell>
          <cell r="N6188">
            <v>683926.05601571908</v>
          </cell>
          <cell r="O6188">
            <v>692380.00232629513</v>
          </cell>
          <cell r="P6188">
            <v>368.79259999999999</v>
          </cell>
        </row>
        <row r="6189">
          <cell r="B6189">
            <v>38966</v>
          </cell>
          <cell r="J6189">
            <v>3809804.3041216834</v>
          </cell>
          <cell r="K6189">
            <v>2.4380000000000002</v>
          </cell>
          <cell r="L6189">
            <v>148835</v>
          </cell>
          <cell r="M6189">
            <v>13229</v>
          </cell>
          <cell r="N6189">
            <v>683926.05601571908</v>
          </cell>
          <cell r="O6189">
            <v>692380.00232629513</v>
          </cell>
          <cell r="P6189">
            <v>368.79259999999999</v>
          </cell>
        </row>
        <row r="6190">
          <cell r="B6190">
            <v>38967</v>
          </cell>
          <cell r="J6190">
            <v>3809804.3041216834</v>
          </cell>
          <cell r="K6190">
            <v>2.4380000000000002</v>
          </cell>
          <cell r="L6190">
            <v>148835</v>
          </cell>
          <cell r="M6190">
            <v>13229</v>
          </cell>
          <cell r="N6190">
            <v>683926.05601571908</v>
          </cell>
          <cell r="O6190">
            <v>692380.00232629513</v>
          </cell>
          <cell r="P6190">
            <v>368.79259999999999</v>
          </cell>
        </row>
        <row r="6191">
          <cell r="B6191">
            <v>38968</v>
          </cell>
          <cell r="J6191">
            <v>3809804.3041216834</v>
          </cell>
          <cell r="K6191">
            <v>2.4380000000000002</v>
          </cell>
          <cell r="L6191">
            <v>148835</v>
          </cell>
          <cell r="M6191">
            <v>13229</v>
          </cell>
          <cell r="N6191">
            <v>683926.05601571908</v>
          </cell>
          <cell r="O6191">
            <v>692380.00232629513</v>
          </cell>
          <cell r="P6191">
            <v>368.79259999999999</v>
          </cell>
        </row>
        <row r="6192">
          <cell r="B6192">
            <v>38969</v>
          </cell>
          <cell r="J6192">
            <v>3809804.3041216834</v>
          </cell>
          <cell r="K6192">
            <v>2.4380000000000002</v>
          </cell>
          <cell r="L6192">
            <v>148835</v>
          </cell>
          <cell r="M6192">
            <v>13229</v>
          </cell>
          <cell r="N6192">
            <v>683926.05601571908</v>
          </cell>
          <cell r="O6192">
            <v>692380.00232629513</v>
          </cell>
          <cell r="P6192">
            <v>368.79259999999999</v>
          </cell>
        </row>
        <row r="6193">
          <cell r="B6193">
            <v>38970</v>
          </cell>
          <cell r="J6193">
            <v>3809804.3041216834</v>
          </cell>
          <cell r="K6193">
            <v>2.4380000000000002</v>
          </cell>
          <cell r="L6193">
            <v>148835</v>
          </cell>
          <cell r="M6193">
            <v>13229</v>
          </cell>
          <cell r="N6193">
            <v>683926.05601571908</v>
          </cell>
          <cell r="O6193">
            <v>692380.00232629513</v>
          </cell>
          <cell r="P6193">
            <v>368.79259999999999</v>
          </cell>
        </row>
        <row r="6194">
          <cell r="B6194">
            <v>38971</v>
          </cell>
          <cell r="J6194">
            <v>3809804.3041216834</v>
          </cell>
          <cell r="K6194">
            <v>2.4380000000000002</v>
          </cell>
          <cell r="L6194">
            <v>148835</v>
          </cell>
          <cell r="M6194">
            <v>13229</v>
          </cell>
          <cell r="N6194">
            <v>683926.05601571908</v>
          </cell>
          <cell r="O6194">
            <v>692380.00232629513</v>
          </cell>
          <cell r="P6194">
            <v>368.79259999999999</v>
          </cell>
        </row>
        <row r="6195">
          <cell r="B6195">
            <v>38972</v>
          </cell>
          <cell r="J6195">
            <v>3809804.3041216834</v>
          </cell>
          <cell r="K6195">
            <v>2.4380000000000002</v>
          </cell>
          <cell r="L6195">
            <v>148835</v>
          </cell>
          <cell r="M6195">
            <v>13229</v>
          </cell>
          <cell r="N6195">
            <v>683926.05601571908</v>
          </cell>
          <cell r="O6195">
            <v>692380.00232629513</v>
          </cell>
          <cell r="P6195">
            <v>368.79259999999999</v>
          </cell>
        </row>
        <row r="6196">
          <cell r="B6196">
            <v>38973</v>
          </cell>
          <cell r="J6196">
            <v>3809804.3041216834</v>
          </cell>
          <cell r="K6196">
            <v>2.4380000000000002</v>
          </cell>
          <cell r="L6196">
            <v>148835</v>
          </cell>
          <cell r="M6196">
            <v>13229</v>
          </cell>
          <cell r="N6196">
            <v>683926.05601571908</v>
          </cell>
          <cell r="O6196">
            <v>692380.00232629513</v>
          </cell>
          <cell r="P6196">
            <v>368.79259999999999</v>
          </cell>
        </row>
        <row r="6197">
          <cell r="B6197">
            <v>38974</v>
          </cell>
          <cell r="J6197">
            <v>3809804.3041216834</v>
          </cell>
          <cell r="K6197">
            <v>2.4380000000000002</v>
          </cell>
          <cell r="L6197">
            <v>148835</v>
          </cell>
          <cell r="M6197">
            <v>13229</v>
          </cell>
          <cell r="N6197">
            <v>683926.05601571908</v>
          </cell>
          <cell r="O6197">
            <v>692380.00232629513</v>
          </cell>
          <cell r="P6197">
            <v>368.79259999999999</v>
          </cell>
        </row>
        <row r="6198">
          <cell r="B6198">
            <v>38975</v>
          </cell>
          <cell r="J6198">
            <v>3809804.3041216834</v>
          </cell>
          <cell r="K6198">
            <v>2.4380000000000002</v>
          </cell>
          <cell r="L6198">
            <v>148835</v>
          </cell>
          <cell r="M6198">
            <v>13229</v>
          </cell>
          <cell r="N6198">
            <v>683926.05601571908</v>
          </cell>
          <cell r="O6198">
            <v>692380.00232629513</v>
          </cell>
          <cell r="P6198">
            <v>368.79259999999999</v>
          </cell>
        </row>
        <row r="6199">
          <cell r="B6199">
            <v>38976</v>
          </cell>
          <cell r="J6199">
            <v>3809804.3041216834</v>
          </cell>
          <cell r="K6199">
            <v>2.4380000000000002</v>
          </cell>
          <cell r="L6199">
            <v>148835</v>
          </cell>
          <cell r="M6199">
            <v>13229</v>
          </cell>
          <cell r="N6199">
            <v>683926.05601571908</v>
          </cell>
          <cell r="O6199">
            <v>692380.00232629513</v>
          </cell>
          <cell r="P6199">
            <v>368.79259999999999</v>
          </cell>
        </row>
        <row r="6200">
          <cell r="B6200">
            <v>38977</v>
          </cell>
          <cell r="J6200">
            <v>3809804.3041216834</v>
          </cell>
          <cell r="K6200">
            <v>2.4380000000000002</v>
          </cell>
          <cell r="L6200">
            <v>148835</v>
          </cell>
          <cell r="M6200">
            <v>13229</v>
          </cell>
          <cell r="N6200">
            <v>683926.05601571908</v>
          </cell>
          <cell r="O6200">
            <v>692380.00232629513</v>
          </cell>
          <cell r="P6200">
            <v>368.79259999999999</v>
          </cell>
        </row>
        <row r="6201">
          <cell r="B6201">
            <v>38978</v>
          </cell>
          <cell r="J6201">
            <v>3809804.3041216834</v>
          </cell>
          <cell r="K6201">
            <v>2.4380000000000002</v>
          </cell>
          <cell r="L6201">
            <v>148835</v>
          </cell>
          <cell r="M6201">
            <v>13229</v>
          </cell>
          <cell r="N6201">
            <v>683926.05601571908</v>
          </cell>
          <cell r="O6201">
            <v>692380.00232629513</v>
          </cell>
          <cell r="P6201">
            <v>368.79259999999999</v>
          </cell>
        </row>
        <row r="6202">
          <cell r="B6202">
            <v>38979</v>
          </cell>
          <cell r="J6202">
            <v>3809804.3041216834</v>
          </cell>
          <cell r="K6202">
            <v>2.4380000000000002</v>
          </cell>
          <cell r="L6202">
            <v>148835</v>
          </cell>
          <cell r="M6202">
            <v>13229</v>
          </cell>
          <cell r="N6202">
            <v>683926.05601571908</v>
          </cell>
          <cell r="O6202">
            <v>692380.00232629513</v>
          </cell>
          <cell r="P6202">
            <v>368.79259999999999</v>
          </cell>
        </row>
        <row r="6203">
          <cell r="B6203">
            <v>38980</v>
          </cell>
          <cell r="J6203">
            <v>3809804.3041216834</v>
          </cell>
          <cell r="K6203">
            <v>2.4380000000000002</v>
          </cell>
          <cell r="L6203">
            <v>148835</v>
          </cell>
          <cell r="M6203">
            <v>13229</v>
          </cell>
          <cell r="N6203">
            <v>683926.05601571908</v>
          </cell>
          <cell r="O6203">
            <v>692380.00232629513</v>
          </cell>
          <cell r="P6203">
            <v>368.79259999999999</v>
          </cell>
        </row>
        <row r="6204">
          <cell r="B6204">
            <v>38981</v>
          </cell>
          <cell r="J6204">
            <v>3809804.3041216834</v>
          </cell>
          <cell r="K6204">
            <v>2.4380000000000002</v>
          </cell>
          <cell r="L6204">
            <v>148835</v>
          </cell>
          <cell r="M6204">
            <v>13229</v>
          </cell>
          <cell r="N6204">
            <v>683926.05601571908</v>
          </cell>
          <cell r="O6204">
            <v>692380.00232629513</v>
          </cell>
          <cell r="P6204">
            <v>368.79259999999999</v>
          </cell>
        </row>
        <row r="6205">
          <cell r="B6205">
            <v>38982</v>
          </cell>
          <cell r="J6205">
            <v>3809804.3041216834</v>
          </cell>
          <cell r="K6205">
            <v>2.4380000000000002</v>
          </cell>
          <cell r="L6205">
            <v>148835</v>
          </cell>
          <cell r="M6205">
            <v>13229</v>
          </cell>
          <cell r="N6205">
            <v>683926.05601571908</v>
          </cell>
          <cell r="O6205">
            <v>692380.00232629513</v>
          </cell>
          <cell r="P6205">
            <v>368.79259999999999</v>
          </cell>
        </row>
        <row r="6206">
          <cell r="B6206">
            <v>38983</v>
          </cell>
          <cell r="J6206">
            <v>3809804.3041216834</v>
          </cell>
          <cell r="K6206">
            <v>2.4380000000000002</v>
          </cell>
          <cell r="L6206">
            <v>148835</v>
          </cell>
          <cell r="M6206">
            <v>13229</v>
          </cell>
          <cell r="N6206">
            <v>683926.05601571908</v>
          </cell>
          <cell r="O6206">
            <v>692380.00232629513</v>
          </cell>
          <cell r="P6206">
            <v>368.79259999999999</v>
          </cell>
        </row>
        <row r="6207">
          <cell r="B6207">
            <v>38984</v>
          </cell>
          <cell r="J6207">
            <v>3809804.3041216834</v>
          </cell>
          <cell r="K6207">
            <v>2.4380000000000002</v>
          </cell>
          <cell r="L6207">
            <v>148835</v>
          </cell>
          <cell r="M6207">
            <v>13229</v>
          </cell>
          <cell r="N6207">
            <v>683926.05601571908</v>
          </cell>
          <cell r="O6207">
            <v>692380.00232629513</v>
          </cell>
          <cell r="P6207">
            <v>368.79259999999999</v>
          </cell>
        </row>
        <row r="6208">
          <cell r="B6208">
            <v>38985</v>
          </cell>
          <cell r="J6208">
            <v>3809804.3041216834</v>
          </cell>
          <cell r="K6208">
            <v>2.4380000000000002</v>
          </cell>
          <cell r="L6208">
            <v>148835</v>
          </cell>
          <cell r="M6208">
            <v>13229</v>
          </cell>
          <cell r="N6208">
            <v>683926.05601571908</v>
          </cell>
          <cell r="O6208">
            <v>692380.00232629513</v>
          </cell>
          <cell r="P6208">
            <v>368.79259999999999</v>
          </cell>
        </row>
        <row r="6209">
          <cell r="B6209">
            <v>38986</v>
          </cell>
          <cell r="J6209">
            <v>3809804.3041216834</v>
          </cell>
          <cell r="K6209">
            <v>2.4380000000000002</v>
          </cell>
          <cell r="L6209">
            <v>148835</v>
          </cell>
          <cell r="M6209">
            <v>13229</v>
          </cell>
          <cell r="N6209">
            <v>683926.05601571908</v>
          </cell>
          <cell r="O6209">
            <v>692380.00232629513</v>
          </cell>
          <cell r="P6209">
            <v>368.79259999999999</v>
          </cell>
        </row>
        <row r="6210">
          <cell r="B6210">
            <v>38987</v>
          </cell>
          <cell r="J6210">
            <v>3809804.3041216834</v>
          </cell>
          <cell r="K6210">
            <v>2.4380000000000002</v>
          </cell>
          <cell r="L6210">
            <v>148835</v>
          </cell>
          <cell r="M6210">
            <v>13229</v>
          </cell>
          <cell r="N6210">
            <v>683926.05601571908</v>
          </cell>
          <cell r="O6210">
            <v>692380.00232629513</v>
          </cell>
          <cell r="P6210">
            <v>368.79259999999999</v>
          </cell>
        </row>
        <row r="6211">
          <cell r="B6211">
            <v>38988</v>
          </cell>
          <cell r="J6211">
            <v>3809804.3041216834</v>
          </cell>
          <cell r="K6211">
            <v>2.4380000000000002</v>
          </cell>
          <cell r="L6211">
            <v>148835</v>
          </cell>
          <cell r="M6211">
            <v>13229</v>
          </cell>
          <cell r="N6211">
            <v>683926.05601571908</v>
          </cell>
          <cell r="O6211">
            <v>692380.00232629513</v>
          </cell>
          <cell r="P6211">
            <v>368.79259999999999</v>
          </cell>
        </row>
        <row r="6212">
          <cell r="B6212">
            <v>38989</v>
          </cell>
          <cell r="J6212">
            <v>3809804.3041216834</v>
          </cell>
          <cell r="K6212">
            <v>2.4380000000000002</v>
          </cell>
          <cell r="L6212">
            <v>148835</v>
          </cell>
          <cell r="M6212">
            <v>13229</v>
          </cell>
          <cell r="N6212">
            <v>683926.05601571908</v>
          </cell>
          <cell r="O6212">
            <v>692380.00232629513</v>
          </cell>
          <cell r="P6212">
            <v>368.79259999999999</v>
          </cell>
        </row>
        <row r="6213">
          <cell r="B6213">
            <v>38990</v>
          </cell>
          <cell r="J6213">
            <v>3809804.3041216834</v>
          </cell>
          <cell r="K6213">
            <v>2.4380000000000002</v>
          </cell>
          <cell r="L6213">
            <v>148835</v>
          </cell>
          <cell r="M6213">
            <v>13229</v>
          </cell>
          <cell r="N6213">
            <v>683926.05601571908</v>
          </cell>
          <cell r="O6213">
            <v>692380.00232629513</v>
          </cell>
          <cell r="P6213">
            <v>368.79259999999999</v>
          </cell>
        </row>
        <row r="6214">
          <cell r="B6214">
            <v>38991</v>
          </cell>
          <cell r="J6214">
            <v>3809804.3041216834</v>
          </cell>
          <cell r="K6214">
            <v>2.4380000000000002</v>
          </cell>
          <cell r="L6214">
            <v>148835</v>
          </cell>
          <cell r="M6214">
            <v>13229</v>
          </cell>
          <cell r="N6214">
            <v>683926.05601571908</v>
          </cell>
          <cell r="O6214">
            <v>692380.00232629513</v>
          </cell>
          <cell r="P6214">
            <v>368.79259999999999</v>
          </cell>
        </row>
        <row r="6215">
          <cell r="B6215">
            <v>38992</v>
          </cell>
          <cell r="J6215">
            <v>3809804.3041216834</v>
          </cell>
          <cell r="K6215">
            <v>2.4380000000000002</v>
          </cell>
          <cell r="L6215">
            <v>148835</v>
          </cell>
          <cell r="M6215">
            <v>13229</v>
          </cell>
          <cell r="N6215">
            <v>683926.05601571908</v>
          </cell>
          <cell r="O6215">
            <v>692380.00232629513</v>
          </cell>
          <cell r="P6215">
            <v>368.79259999999999</v>
          </cell>
        </row>
        <row r="6216">
          <cell r="B6216">
            <v>38993</v>
          </cell>
          <cell r="J6216">
            <v>3809804.3041216834</v>
          </cell>
          <cell r="K6216">
            <v>2.4380000000000002</v>
          </cell>
          <cell r="L6216">
            <v>148835</v>
          </cell>
          <cell r="M6216">
            <v>13229</v>
          </cell>
          <cell r="N6216">
            <v>683926.05601571908</v>
          </cell>
          <cell r="O6216">
            <v>692380.00232629513</v>
          </cell>
          <cell r="P6216">
            <v>368.79259999999999</v>
          </cell>
        </row>
        <row r="6217">
          <cell r="B6217">
            <v>38994</v>
          </cell>
          <cell r="J6217">
            <v>3809804.3041216834</v>
          </cell>
          <cell r="K6217">
            <v>2.4380000000000002</v>
          </cell>
          <cell r="L6217">
            <v>148835</v>
          </cell>
          <cell r="M6217">
            <v>13229</v>
          </cell>
          <cell r="N6217">
            <v>683926.05601571908</v>
          </cell>
          <cell r="O6217">
            <v>692380.00232629513</v>
          </cell>
          <cell r="P6217">
            <v>368.79259999999999</v>
          </cell>
        </row>
        <row r="6218">
          <cell r="B6218">
            <v>38995</v>
          </cell>
          <cell r="J6218">
            <v>3809804.3041216834</v>
          </cell>
          <cell r="K6218">
            <v>2.4380000000000002</v>
          </cell>
          <cell r="L6218">
            <v>148835</v>
          </cell>
          <cell r="M6218">
            <v>13229</v>
          </cell>
          <cell r="N6218">
            <v>683926.05601571908</v>
          </cell>
          <cell r="O6218">
            <v>692380.00232629513</v>
          </cell>
          <cell r="P6218">
            <v>368.79259999999999</v>
          </cell>
        </row>
        <row r="6219">
          <cell r="B6219">
            <v>38996</v>
          </cell>
          <cell r="J6219">
            <v>3809804.3041216834</v>
          </cell>
          <cell r="K6219">
            <v>2.4380000000000002</v>
          </cell>
          <cell r="L6219">
            <v>148835</v>
          </cell>
          <cell r="M6219">
            <v>13229</v>
          </cell>
          <cell r="N6219">
            <v>683926.05601571908</v>
          </cell>
          <cell r="O6219">
            <v>692380.00232629513</v>
          </cell>
          <cell r="P6219">
            <v>368.79259999999999</v>
          </cell>
        </row>
        <row r="6220">
          <cell r="B6220">
            <v>38997</v>
          </cell>
          <cell r="J6220">
            <v>3809804.3041216834</v>
          </cell>
          <cell r="K6220">
            <v>2.4380000000000002</v>
          </cell>
          <cell r="L6220">
            <v>148835</v>
          </cell>
          <cell r="M6220">
            <v>13229</v>
          </cell>
          <cell r="N6220">
            <v>683926.05601571908</v>
          </cell>
          <cell r="O6220">
            <v>692380.00232629513</v>
          </cell>
          <cell r="P6220">
            <v>368.79259999999999</v>
          </cell>
        </row>
        <row r="6221">
          <cell r="B6221">
            <v>38998</v>
          </cell>
          <cell r="J6221">
            <v>3809804.3041216834</v>
          </cell>
          <cell r="K6221">
            <v>2.4380000000000002</v>
          </cell>
          <cell r="L6221">
            <v>148835</v>
          </cell>
          <cell r="M6221">
            <v>13229</v>
          </cell>
          <cell r="N6221">
            <v>683926.05601571908</v>
          </cell>
          <cell r="O6221">
            <v>692380.00232629513</v>
          </cell>
          <cell r="P6221">
            <v>368.79259999999999</v>
          </cell>
        </row>
        <row r="6222">
          <cell r="B6222">
            <v>38999</v>
          </cell>
          <cell r="J6222">
            <v>3809804.3041216834</v>
          </cell>
          <cell r="K6222">
            <v>2.4380000000000002</v>
          </cell>
          <cell r="L6222">
            <v>148835</v>
          </cell>
          <cell r="M6222">
            <v>13229</v>
          </cell>
          <cell r="N6222">
            <v>683926.05601571908</v>
          </cell>
          <cell r="O6222">
            <v>692380.00232629513</v>
          </cell>
          <cell r="P6222">
            <v>368.79259999999999</v>
          </cell>
        </row>
        <row r="6223">
          <cell r="B6223">
            <v>39000</v>
          </cell>
          <cell r="J6223">
            <v>3809804.3041216834</v>
          </cell>
          <cell r="K6223">
            <v>2.4380000000000002</v>
          </cell>
          <cell r="L6223">
            <v>148835</v>
          </cell>
          <cell r="M6223">
            <v>13229</v>
          </cell>
          <cell r="N6223">
            <v>683926.05601571908</v>
          </cell>
          <cell r="O6223">
            <v>692380.00232629513</v>
          </cell>
          <cell r="P6223">
            <v>368.79259999999999</v>
          </cell>
        </row>
        <row r="6224">
          <cell r="B6224">
            <v>39001</v>
          </cell>
          <cell r="J6224">
            <v>3809804.3041216834</v>
          </cell>
          <cell r="K6224">
            <v>2.4380000000000002</v>
          </cell>
          <cell r="L6224">
            <v>148835</v>
          </cell>
          <cell r="M6224">
            <v>13229</v>
          </cell>
          <cell r="N6224">
            <v>683926.05601571908</v>
          </cell>
          <cell r="O6224">
            <v>692380.00232629513</v>
          </cell>
          <cell r="P6224">
            <v>368.79259999999999</v>
          </cell>
        </row>
        <row r="6225">
          <cell r="B6225">
            <v>39002</v>
          </cell>
          <cell r="J6225">
            <v>3809804.3041216834</v>
          </cell>
          <cell r="K6225">
            <v>2.4380000000000002</v>
          </cell>
          <cell r="L6225">
            <v>148835</v>
          </cell>
          <cell r="M6225">
            <v>13229</v>
          </cell>
          <cell r="N6225">
            <v>683926.05601571908</v>
          </cell>
          <cell r="O6225">
            <v>692380.00232629513</v>
          </cell>
          <cell r="P6225">
            <v>368.79259999999999</v>
          </cell>
        </row>
        <row r="6226">
          <cell r="B6226">
            <v>39003</v>
          </cell>
          <cell r="J6226">
            <v>3809804.3041216834</v>
          </cell>
          <cell r="K6226">
            <v>2.4380000000000002</v>
          </cell>
          <cell r="L6226">
            <v>148835</v>
          </cell>
          <cell r="M6226">
            <v>13229</v>
          </cell>
          <cell r="N6226">
            <v>683926.05601571908</v>
          </cell>
          <cell r="O6226">
            <v>692380.00232629513</v>
          </cell>
          <cell r="P6226">
            <v>368.79259999999999</v>
          </cell>
        </row>
        <row r="6227">
          <cell r="B6227">
            <v>39004</v>
          </cell>
          <cell r="J6227">
            <v>3809804.3041216834</v>
          </cell>
          <cell r="K6227">
            <v>2.4380000000000002</v>
          </cell>
          <cell r="L6227">
            <v>148835</v>
          </cell>
          <cell r="M6227">
            <v>13229</v>
          </cell>
          <cell r="N6227">
            <v>683926.05601571908</v>
          </cell>
          <cell r="O6227">
            <v>692380.00232629513</v>
          </cell>
          <cell r="P6227">
            <v>368.79259999999999</v>
          </cell>
        </row>
        <row r="6228">
          <cell r="B6228">
            <v>39005</v>
          </cell>
          <cell r="J6228">
            <v>3809804.3041216834</v>
          </cell>
          <cell r="K6228">
            <v>2.4380000000000002</v>
          </cell>
          <cell r="L6228">
            <v>148835</v>
          </cell>
          <cell r="M6228">
            <v>13229</v>
          </cell>
          <cell r="N6228">
            <v>683926.05601571908</v>
          </cell>
          <cell r="O6228">
            <v>692380.00232629513</v>
          </cell>
          <cell r="P6228">
            <v>368.79259999999999</v>
          </cell>
        </row>
        <row r="6229">
          <cell r="B6229">
            <v>39006</v>
          </cell>
          <cell r="J6229">
            <v>3809804.3041216834</v>
          </cell>
          <cell r="K6229">
            <v>2.4380000000000002</v>
          </cell>
          <cell r="L6229">
            <v>148835</v>
          </cell>
          <cell r="M6229">
            <v>13229</v>
          </cell>
          <cell r="N6229">
            <v>683926.05601571908</v>
          </cell>
          <cell r="O6229">
            <v>692380.00232629513</v>
          </cell>
          <cell r="P6229">
            <v>368.79259999999999</v>
          </cell>
        </row>
        <row r="6230">
          <cell r="B6230">
            <v>39007</v>
          </cell>
          <cell r="J6230">
            <v>3809804.3041216834</v>
          </cell>
          <cell r="K6230">
            <v>2.4380000000000002</v>
          </cell>
          <cell r="L6230">
            <v>148835</v>
          </cell>
          <cell r="M6230">
            <v>13229</v>
          </cell>
          <cell r="N6230">
            <v>683926.05601571908</v>
          </cell>
          <cell r="O6230">
            <v>692380.00232629513</v>
          </cell>
          <cell r="P6230">
            <v>368.79259999999999</v>
          </cell>
        </row>
        <row r="6231">
          <cell r="B6231">
            <v>39008</v>
          </cell>
          <cell r="J6231">
            <v>3809804.3041216834</v>
          </cell>
          <cell r="K6231">
            <v>2.4380000000000002</v>
          </cell>
          <cell r="L6231">
            <v>148835</v>
          </cell>
          <cell r="M6231">
            <v>13229</v>
          </cell>
          <cell r="N6231">
            <v>683926.05601571908</v>
          </cell>
          <cell r="O6231">
            <v>692380.00232629513</v>
          </cell>
          <cell r="P6231">
            <v>368.79259999999999</v>
          </cell>
        </row>
        <row r="6232">
          <cell r="B6232">
            <v>39009</v>
          </cell>
          <cell r="J6232">
            <v>3809804.3041216834</v>
          </cell>
          <cell r="K6232">
            <v>2.4380000000000002</v>
          </cell>
          <cell r="L6232">
            <v>148835</v>
          </cell>
          <cell r="M6232">
            <v>13229</v>
          </cell>
          <cell r="N6232">
            <v>683926.05601571908</v>
          </cell>
          <cell r="O6232">
            <v>692380.00232629513</v>
          </cell>
          <cell r="P6232">
            <v>368.79259999999999</v>
          </cell>
        </row>
        <row r="6233">
          <cell r="B6233">
            <v>39010</v>
          </cell>
          <cell r="J6233">
            <v>3809804.3041216834</v>
          </cell>
          <cell r="K6233">
            <v>2.4380000000000002</v>
          </cell>
          <cell r="L6233">
            <v>148835</v>
          </cell>
          <cell r="M6233">
            <v>13229</v>
          </cell>
          <cell r="N6233">
            <v>683926.05601571908</v>
          </cell>
          <cell r="O6233">
            <v>692380.00232629513</v>
          </cell>
          <cell r="P6233">
            <v>368.79259999999999</v>
          </cell>
        </row>
        <row r="6234">
          <cell r="B6234">
            <v>39011</v>
          </cell>
          <cell r="J6234">
            <v>3809804.3041216834</v>
          </cell>
          <cell r="K6234">
            <v>2.4380000000000002</v>
          </cell>
          <cell r="L6234">
            <v>148835</v>
          </cell>
          <cell r="M6234">
            <v>13229</v>
          </cell>
          <cell r="N6234">
            <v>683926.05601571908</v>
          </cell>
          <cell r="O6234">
            <v>692380.00232629513</v>
          </cell>
          <cell r="P6234">
            <v>368.79259999999999</v>
          </cell>
        </row>
        <row r="6235">
          <cell r="B6235">
            <v>39012</v>
          </cell>
          <cell r="J6235">
            <v>3809804.3041216834</v>
          </cell>
          <cell r="K6235">
            <v>2.4380000000000002</v>
          </cell>
          <cell r="L6235">
            <v>148835</v>
          </cell>
          <cell r="M6235">
            <v>13229</v>
          </cell>
          <cell r="N6235">
            <v>683926.05601571908</v>
          </cell>
          <cell r="O6235">
            <v>692380.00232629513</v>
          </cell>
          <cell r="P6235">
            <v>368.79259999999999</v>
          </cell>
        </row>
        <row r="6236">
          <cell r="B6236">
            <v>39013</v>
          </cell>
          <cell r="J6236">
            <v>3809804.3041216834</v>
          </cell>
          <cell r="K6236">
            <v>2.4380000000000002</v>
          </cell>
          <cell r="L6236">
            <v>148835</v>
          </cell>
          <cell r="M6236">
            <v>13229</v>
          </cell>
          <cell r="N6236">
            <v>683926.05601571908</v>
          </cell>
          <cell r="O6236">
            <v>692380.00232629513</v>
          </cell>
          <cell r="P6236">
            <v>368.79259999999999</v>
          </cell>
        </row>
        <row r="6237">
          <cell r="B6237">
            <v>39014</v>
          </cell>
          <cell r="J6237">
            <v>3809804.3041216834</v>
          </cell>
          <cell r="K6237">
            <v>2.4380000000000002</v>
          </cell>
          <cell r="L6237">
            <v>148835</v>
          </cell>
          <cell r="M6237">
            <v>13229</v>
          </cell>
          <cell r="N6237">
            <v>683926.05601571908</v>
          </cell>
          <cell r="O6237">
            <v>692380.00232629513</v>
          </cell>
          <cell r="P6237">
            <v>368.79259999999999</v>
          </cell>
        </row>
        <row r="6238">
          <cell r="B6238">
            <v>39015</v>
          </cell>
          <cell r="J6238">
            <v>3809804.3041216834</v>
          </cell>
          <cell r="K6238">
            <v>2.4380000000000002</v>
          </cell>
          <cell r="L6238">
            <v>148835</v>
          </cell>
          <cell r="M6238">
            <v>13229</v>
          </cell>
          <cell r="N6238">
            <v>683926.05601571908</v>
          </cell>
          <cell r="O6238">
            <v>692380.00232629513</v>
          </cell>
          <cell r="P6238">
            <v>368.79259999999999</v>
          </cell>
        </row>
        <row r="6239">
          <cell r="B6239">
            <v>39016</v>
          </cell>
          <cell r="J6239">
            <v>3809804.3041216834</v>
          </cell>
          <cell r="K6239">
            <v>2.4380000000000002</v>
          </cell>
          <cell r="L6239">
            <v>148835</v>
          </cell>
          <cell r="M6239">
            <v>13229</v>
          </cell>
          <cell r="N6239">
            <v>683926.05601571908</v>
          </cell>
          <cell r="O6239">
            <v>692380.00232629513</v>
          </cell>
          <cell r="P6239">
            <v>368.79259999999999</v>
          </cell>
        </row>
        <row r="6240">
          <cell r="B6240">
            <v>39017</v>
          </cell>
          <cell r="J6240">
            <v>3809804.3041216834</v>
          </cell>
          <cell r="K6240">
            <v>2.4380000000000002</v>
          </cell>
          <cell r="L6240">
            <v>148835</v>
          </cell>
          <cell r="M6240">
            <v>13229</v>
          </cell>
          <cell r="N6240">
            <v>683926.05601571908</v>
          </cell>
          <cell r="O6240">
            <v>692380.00232629513</v>
          </cell>
          <cell r="P6240">
            <v>368.79259999999999</v>
          </cell>
        </row>
        <row r="6241">
          <cell r="B6241">
            <v>39018</v>
          </cell>
          <cell r="J6241">
            <v>3809804.3041216834</v>
          </cell>
          <cell r="K6241">
            <v>2.4380000000000002</v>
          </cell>
          <cell r="L6241">
            <v>148835</v>
          </cell>
          <cell r="M6241">
            <v>13229</v>
          </cell>
          <cell r="N6241">
            <v>683926.05601571908</v>
          </cell>
          <cell r="O6241">
            <v>692380.00232629513</v>
          </cell>
          <cell r="P6241">
            <v>368.79259999999999</v>
          </cell>
        </row>
        <row r="6242">
          <cell r="B6242">
            <v>39019</v>
          </cell>
          <cell r="J6242">
            <v>3809804.3041216834</v>
          </cell>
          <cell r="K6242">
            <v>2.4380000000000002</v>
          </cell>
          <cell r="L6242">
            <v>148835</v>
          </cell>
          <cell r="M6242">
            <v>13229</v>
          </cell>
          <cell r="N6242">
            <v>683926.05601571908</v>
          </cell>
          <cell r="O6242">
            <v>692380.00232629513</v>
          </cell>
          <cell r="P6242">
            <v>368.79259999999999</v>
          </cell>
        </row>
        <row r="6243">
          <cell r="B6243">
            <v>39020</v>
          </cell>
          <cell r="J6243">
            <v>3809804.3041216834</v>
          </cell>
          <cell r="K6243">
            <v>2.4380000000000002</v>
          </cell>
          <cell r="L6243">
            <v>148835</v>
          </cell>
          <cell r="M6243">
            <v>13229</v>
          </cell>
          <cell r="N6243">
            <v>683926.05601571908</v>
          </cell>
          <cell r="O6243">
            <v>692380.00232629513</v>
          </cell>
          <cell r="P6243">
            <v>368.79259999999999</v>
          </cell>
        </row>
        <row r="6244">
          <cell r="B6244">
            <v>39021</v>
          </cell>
          <cell r="J6244">
            <v>3809804.3041216834</v>
          </cell>
          <cell r="K6244">
            <v>2.4380000000000002</v>
          </cell>
          <cell r="L6244">
            <v>148835</v>
          </cell>
          <cell r="M6244">
            <v>13229</v>
          </cell>
          <cell r="N6244">
            <v>683926.05601571908</v>
          </cell>
          <cell r="O6244">
            <v>692380.00232629513</v>
          </cell>
          <cell r="P6244">
            <v>368.79259999999999</v>
          </cell>
        </row>
        <row r="6245">
          <cell r="B6245">
            <v>39022</v>
          </cell>
          <cell r="J6245">
            <v>3809804.3041216834</v>
          </cell>
          <cell r="K6245">
            <v>2.4380000000000002</v>
          </cell>
          <cell r="L6245">
            <v>148835</v>
          </cell>
          <cell r="M6245">
            <v>13229</v>
          </cell>
          <cell r="N6245">
            <v>683926.05601571908</v>
          </cell>
          <cell r="O6245">
            <v>692380.00232629513</v>
          </cell>
          <cell r="P6245">
            <v>368.79259999999999</v>
          </cell>
        </row>
        <row r="6246">
          <cell r="B6246">
            <v>39023</v>
          </cell>
          <cell r="J6246">
            <v>3809804.3041216834</v>
          </cell>
          <cell r="K6246">
            <v>2.4380000000000002</v>
          </cell>
          <cell r="L6246">
            <v>148835</v>
          </cell>
          <cell r="M6246">
            <v>13229</v>
          </cell>
          <cell r="N6246">
            <v>683926.05601571908</v>
          </cell>
          <cell r="O6246">
            <v>692380.00232629513</v>
          </cell>
          <cell r="P6246">
            <v>368.79259999999999</v>
          </cell>
        </row>
        <row r="6247">
          <cell r="B6247">
            <v>39024</v>
          </cell>
          <cell r="J6247">
            <v>3809804.3041216834</v>
          </cell>
          <cell r="K6247">
            <v>2.4380000000000002</v>
          </cell>
          <cell r="L6247">
            <v>148835</v>
          </cell>
          <cell r="M6247">
            <v>13229</v>
          </cell>
          <cell r="N6247">
            <v>683926.05601571908</v>
          </cell>
          <cell r="O6247">
            <v>692380.00232629513</v>
          </cell>
          <cell r="P6247">
            <v>368.79259999999999</v>
          </cell>
        </row>
        <row r="6248">
          <cell r="B6248">
            <v>39025</v>
          </cell>
          <cell r="J6248">
            <v>3809804.3041216834</v>
          </cell>
          <cell r="K6248">
            <v>2.4380000000000002</v>
          </cell>
          <cell r="L6248">
            <v>148835</v>
          </cell>
          <cell r="M6248">
            <v>13229</v>
          </cell>
          <cell r="N6248">
            <v>683926.05601571908</v>
          </cell>
          <cell r="O6248">
            <v>692380.00232629513</v>
          </cell>
          <cell r="P6248">
            <v>368.79259999999999</v>
          </cell>
        </row>
        <row r="6249">
          <cell r="B6249">
            <v>39026</v>
          </cell>
          <cell r="J6249">
            <v>3809804.3041216834</v>
          </cell>
          <cell r="K6249">
            <v>2.4380000000000002</v>
          </cell>
          <cell r="L6249">
            <v>148835</v>
          </cell>
          <cell r="M6249">
            <v>13229</v>
          </cell>
          <cell r="N6249">
            <v>683926.05601571908</v>
          </cell>
          <cell r="O6249">
            <v>692380.00232629513</v>
          </cell>
          <cell r="P6249">
            <v>368.79259999999999</v>
          </cell>
        </row>
        <row r="6250">
          <cell r="B6250">
            <v>39027</v>
          </cell>
          <cell r="J6250">
            <v>3809804.3041216834</v>
          </cell>
          <cell r="K6250">
            <v>2.4380000000000002</v>
          </cell>
          <cell r="L6250">
            <v>148835</v>
          </cell>
          <cell r="M6250">
            <v>13229</v>
          </cell>
          <cell r="N6250">
            <v>683926.05601571908</v>
          </cell>
          <cell r="O6250">
            <v>692380.00232629513</v>
          </cell>
          <cell r="P6250">
            <v>368.79259999999999</v>
          </cell>
        </row>
        <row r="6251">
          <cell r="B6251">
            <v>39028</v>
          </cell>
          <cell r="J6251">
            <v>3809804.3041216834</v>
          </cell>
          <cell r="K6251">
            <v>2.4380000000000002</v>
          </cell>
          <cell r="L6251">
            <v>148835</v>
          </cell>
          <cell r="M6251">
            <v>13229</v>
          </cell>
          <cell r="N6251">
            <v>683926.05601571908</v>
          </cell>
          <cell r="O6251">
            <v>692380.00232629513</v>
          </cell>
          <cell r="P6251">
            <v>368.79259999999999</v>
          </cell>
        </row>
        <row r="6252">
          <cell r="B6252">
            <v>39029</v>
          </cell>
          <cell r="J6252">
            <v>3809804.3041216834</v>
          </cell>
          <cell r="K6252">
            <v>2.4380000000000002</v>
          </cell>
          <cell r="L6252">
            <v>148835</v>
          </cell>
          <cell r="M6252">
            <v>13229</v>
          </cell>
          <cell r="N6252">
            <v>683926.05601571908</v>
          </cell>
          <cell r="O6252">
            <v>692380.00232629513</v>
          </cell>
          <cell r="P6252">
            <v>368.79259999999999</v>
          </cell>
        </row>
        <row r="6253">
          <cell r="B6253">
            <v>39030</v>
          </cell>
          <cell r="J6253">
            <v>3809804.3041216834</v>
          </cell>
          <cell r="K6253">
            <v>2.4380000000000002</v>
          </cell>
          <cell r="L6253">
            <v>148835</v>
          </cell>
          <cell r="M6253">
            <v>13229</v>
          </cell>
          <cell r="N6253">
            <v>683926.05601571908</v>
          </cell>
          <cell r="O6253">
            <v>692380.00232629513</v>
          </cell>
          <cell r="P6253">
            <v>368.79259999999999</v>
          </cell>
        </row>
        <row r="6254">
          <cell r="B6254">
            <v>39031</v>
          </cell>
          <cell r="J6254">
            <v>3809804.3041216834</v>
          </cell>
          <cell r="K6254">
            <v>2.4380000000000002</v>
          </cell>
          <cell r="L6254">
            <v>148835</v>
          </cell>
          <cell r="M6254">
            <v>13229</v>
          </cell>
          <cell r="N6254">
            <v>683926.05601571908</v>
          </cell>
          <cell r="O6254">
            <v>692380.00232629513</v>
          </cell>
          <cell r="P6254">
            <v>368.79259999999999</v>
          </cell>
        </row>
        <row r="6255">
          <cell r="B6255">
            <v>39032</v>
          </cell>
          <cell r="J6255">
            <v>3809804.3041216834</v>
          </cell>
          <cell r="K6255">
            <v>2.4380000000000002</v>
          </cell>
          <cell r="L6255">
            <v>148835</v>
          </cell>
          <cell r="M6255">
            <v>13229</v>
          </cell>
          <cell r="N6255">
            <v>683926.05601571908</v>
          </cell>
          <cell r="O6255">
            <v>692380.00232629513</v>
          </cell>
          <cell r="P6255">
            <v>368.79259999999999</v>
          </cell>
        </row>
        <row r="6256">
          <cell r="B6256">
            <v>39033</v>
          </cell>
          <cell r="J6256">
            <v>3809804.3041216834</v>
          </cell>
          <cell r="K6256">
            <v>2.4380000000000002</v>
          </cell>
          <cell r="L6256">
            <v>148835</v>
          </cell>
          <cell r="M6256">
            <v>13229</v>
          </cell>
          <cell r="N6256">
            <v>683926.05601571908</v>
          </cell>
          <cell r="O6256">
            <v>692380.00232629513</v>
          </cell>
          <cell r="P6256">
            <v>368.79259999999999</v>
          </cell>
        </row>
        <row r="6257">
          <cell r="B6257">
            <v>39034</v>
          </cell>
          <cell r="J6257">
            <v>3809804.3041216834</v>
          </cell>
          <cell r="K6257">
            <v>2.4380000000000002</v>
          </cell>
          <cell r="L6257">
            <v>148835</v>
          </cell>
          <cell r="M6257">
            <v>13229</v>
          </cell>
          <cell r="N6257">
            <v>683926.05601571908</v>
          </cell>
          <cell r="O6257">
            <v>692380.00232629513</v>
          </cell>
          <cell r="P6257">
            <v>368.79259999999999</v>
          </cell>
        </row>
        <row r="6258">
          <cell r="B6258">
            <v>39035</v>
          </cell>
          <cell r="J6258">
            <v>3809804.3041216834</v>
          </cell>
          <cell r="K6258">
            <v>2.4380000000000002</v>
          </cell>
          <cell r="L6258">
            <v>148835</v>
          </cell>
          <cell r="M6258">
            <v>13229</v>
          </cell>
          <cell r="N6258">
            <v>683926.05601571908</v>
          </cell>
          <cell r="O6258">
            <v>692380.00232629513</v>
          </cell>
          <cell r="P6258">
            <v>368.79259999999999</v>
          </cell>
        </row>
        <row r="6259">
          <cell r="B6259">
            <v>39036</v>
          </cell>
          <cell r="J6259">
            <v>3809804.3041216834</v>
          </cell>
          <cell r="K6259">
            <v>2.4380000000000002</v>
          </cell>
          <cell r="L6259">
            <v>148835</v>
          </cell>
          <cell r="M6259">
            <v>13229</v>
          </cell>
          <cell r="N6259">
            <v>683926.05601571908</v>
          </cell>
          <cell r="O6259">
            <v>692380.00232629513</v>
          </cell>
          <cell r="P6259">
            <v>368.79259999999999</v>
          </cell>
        </row>
        <row r="6260">
          <cell r="B6260">
            <v>39037</v>
          </cell>
          <cell r="J6260">
            <v>3809804.3041216834</v>
          </cell>
          <cell r="K6260">
            <v>2.4380000000000002</v>
          </cell>
          <cell r="L6260">
            <v>148835</v>
          </cell>
          <cell r="M6260">
            <v>13229</v>
          </cell>
          <cell r="N6260">
            <v>683926.05601571908</v>
          </cell>
          <cell r="O6260">
            <v>692380.00232629513</v>
          </cell>
          <cell r="P6260">
            <v>368.79259999999999</v>
          </cell>
        </row>
        <row r="6261">
          <cell r="B6261">
            <v>39038</v>
          </cell>
          <cell r="J6261">
            <v>3809804.3041216834</v>
          </cell>
          <cell r="K6261">
            <v>2.4380000000000002</v>
          </cell>
          <cell r="L6261">
            <v>148835</v>
          </cell>
          <cell r="M6261">
            <v>13229</v>
          </cell>
          <cell r="N6261">
            <v>683926.05601571908</v>
          </cell>
          <cell r="O6261">
            <v>692380.00232629513</v>
          </cell>
          <cell r="P6261">
            <v>368.79259999999999</v>
          </cell>
        </row>
        <row r="6262">
          <cell r="B6262">
            <v>39039</v>
          </cell>
          <cell r="J6262">
            <v>3809804.3041216834</v>
          </cell>
          <cell r="K6262">
            <v>2.4380000000000002</v>
          </cell>
          <cell r="L6262">
            <v>148835</v>
          </cell>
          <cell r="M6262">
            <v>13229</v>
          </cell>
          <cell r="N6262">
            <v>683926.05601571908</v>
          </cell>
          <cell r="O6262">
            <v>692380.00232629513</v>
          </cell>
          <cell r="P6262">
            <v>368.79259999999999</v>
          </cell>
        </row>
        <row r="6263">
          <cell r="B6263">
            <v>39040</v>
          </cell>
          <cell r="J6263">
            <v>3809804.3041216834</v>
          </cell>
          <cell r="K6263">
            <v>2.4380000000000002</v>
          </cell>
          <cell r="L6263">
            <v>148835</v>
          </cell>
          <cell r="M6263">
            <v>13229</v>
          </cell>
          <cell r="N6263">
            <v>683926.05601571908</v>
          </cell>
          <cell r="O6263">
            <v>692380.00232629513</v>
          </cell>
          <cell r="P6263">
            <v>368.79259999999999</v>
          </cell>
        </row>
        <row r="6264">
          <cell r="B6264">
            <v>39041</v>
          </cell>
          <cell r="J6264">
            <v>3809804.3041216834</v>
          </cell>
          <cell r="K6264">
            <v>2.4380000000000002</v>
          </cell>
          <cell r="L6264">
            <v>148835</v>
          </cell>
          <cell r="M6264">
            <v>13229</v>
          </cell>
          <cell r="N6264">
            <v>683926.05601571908</v>
          </cell>
          <cell r="O6264">
            <v>692380.00232629513</v>
          </cell>
          <cell r="P6264">
            <v>368.79259999999999</v>
          </cell>
        </row>
        <row r="6265">
          <cell r="B6265">
            <v>39042</v>
          </cell>
          <cell r="J6265">
            <v>3809804.3041216834</v>
          </cell>
          <cell r="K6265">
            <v>2.4380000000000002</v>
          </cell>
          <cell r="L6265">
            <v>148835</v>
          </cell>
          <cell r="M6265">
            <v>13229</v>
          </cell>
          <cell r="N6265">
            <v>683926.05601571908</v>
          </cell>
          <cell r="O6265">
            <v>692380.00232629513</v>
          </cell>
          <cell r="P6265">
            <v>368.79259999999999</v>
          </cell>
        </row>
        <row r="6266">
          <cell r="B6266">
            <v>39043</v>
          </cell>
          <cell r="J6266">
            <v>3809804.3041216834</v>
          </cell>
          <cell r="K6266">
            <v>2.4380000000000002</v>
          </cell>
          <cell r="L6266">
            <v>148835</v>
          </cell>
          <cell r="M6266">
            <v>13229</v>
          </cell>
          <cell r="N6266">
            <v>683926.05601571908</v>
          </cell>
          <cell r="O6266">
            <v>692380.00232629513</v>
          </cell>
          <cell r="P6266">
            <v>368.79259999999999</v>
          </cell>
        </row>
        <row r="6267">
          <cell r="B6267">
            <v>39044</v>
          </cell>
          <cell r="J6267">
            <v>3809804.3041216834</v>
          </cell>
          <cell r="K6267">
            <v>2.4380000000000002</v>
          </cell>
          <cell r="L6267">
            <v>148835</v>
          </cell>
          <cell r="M6267">
            <v>13229</v>
          </cell>
          <cell r="N6267">
            <v>683926.05601571908</v>
          </cell>
          <cell r="O6267">
            <v>692380.00232629513</v>
          </cell>
          <cell r="P6267">
            <v>368.79259999999999</v>
          </cell>
        </row>
        <row r="6268">
          <cell r="B6268">
            <v>39045</v>
          </cell>
          <cell r="J6268">
            <v>3809804.3041216834</v>
          </cell>
          <cell r="K6268">
            <v>2.4380000000000002</v>
          </cell>
          <cell r="L6268">
            <v>148835</v>
          </cell>
          <cell r="M6268">
            <v>13229</v>
          </cell>
          <cell r="N6268">
            <v>683926.05601571908</v>
          </cell>
          <cell r="O6268">
            <v>692380.00232629513</v>
          </cell>
          <cell r="P6268">
            <v>368.79259999999999</v>
          </cell>
        </row>
        <row r="6269">
          <cell r="B6269">
            <v>39046</v>
          </cell>
          <cell r="J6269">
            <v>3809804.3041216834</v>
          </cell>
          <cell r="K6269">
            <v>2.4380000000000002</v>
          </cell>
          <cell r="L6269">
            <v>148835</v>
          </cell>
          <cell r="M6269">
            <v>13229</v>
          </cell>
          <cell r="N6269">
            <v>683926.05601571908</v>
          </cell>
          <cell r="O6269">
            <v>692380.00232629513</v>
          </cell>
          <cell r="P6269">
            <v>368.79259999999999</v>
          </cell>
        </row>
        <row r="6270">
          <cell r="B6270">
            <v>39047</v>
          </cell>
          <cell r="J6270">
            <v>3809804.3041216834</v>
          </cell>
          <cell r="K6270">
            <v>2.4380000000000002</v>
          </cell>
          <cell r="L6270">
            <v>148835</v>
          </cell>
          <cell r="M6270">
            <v>13229</v>
          </cell>
          <cell r="N6270">
            <v>683926.05601571908</v>
          </cell>
          <cell r="O6270">
            <v>692380.00232629513</v>
          </cell>
          <cell r="P6270">
            <v>368.79259999999999</v>
          </cell>
        </row>
        <row r="6271">
          <cell r="B6271">
            <v>39048</v>
          </cell>
          <cell r="J6271">
            <v>3809804.3041216834</v>
          </cell>
          <cell r="K6271">
            <v>2.4380000000000002</v>
          </cell>
          <cell r="L6271">
            <v>148835</v>
          </cell>
          <cell r="M6271">
            <v>13229</v>
          </cell>
          <cell r="N6271">
            <v>683926.05601571908</v>
          </cell>
          <cell r="O6271">
            <v>692380.00232629513</v>
          </cell>
          <cell r="P6271">
            <v>368.79259999999999</v>
          </cell>
        </row>
        <row r="6272">
          <cell r="B6272">
            <v>39049</v>
          </cell>
          <cell r="J6272">
            <v>3809804.3041216834</v>
          </cell>
          <cell r="K6272">
            <v>2.4380000000000002</v>
          </cell>
          <cell r="L6272">
            <v>148835</v>
          </cell>
          <cell r="M6272">
            <v>13229</v>
          </cell>
          <cell r="N6272">
            <v>683926.05601571908</v>
          </cell>
          <cell r="O6272">
            <v>692380.00232629513</v>
          </cell>
          <cell r="P6272">
            <v>368.79259999999999</v>
          </cell>
        </row>
        <row r="6273">
          <cell r="B6273">
            <v>39050</v>
          </cell>
          <cell r="J6273">
            <v>3809804.3041216834</v>
          </cell>
          <cell r="K6273">
            <v>2.4380000000000002</v>
          </cell>
          <cell r="L6273">
            <v>148835</v>
          </cell>
          <cell r="M6273">
            <v>13229</v>
          </cell>
          <cell r="N6273">
            <v>683926.05601571908</v>
          </cell>
          <cell r="O6273">
            <v>692380.00232629513</v>
          </cell>
          <cell r="P6273">
            <v>368.79259999999999</v>
          </cell>
        </row>
        <row r="6274">
          <cell r="B6274">
            <v>39051</v>
          </cell>
          <cell r="J6274">
            <v>3809804.3041216834</v>
          </cell>
          <cell r="K6274">
            <v>2.4380000000000002</v>
          </cell>
          <cell r="L6274">
            <v>148835</v>
          </cell>
          <cell r="M6274">
            <v>13229</v>
          </cell>
          <cell r="N6274">
            <v>683926.05601571908</v>
          </cell>
          <cell r="O6274">
            <v>692380.00232629513</v>
          </cell>
          <cell r="P6274">
            <v>368.79259999999999</v>
          </cell>
        </row>
        <row r="6275">
          <cell r="B6275">
            <v>39052</v>
          </cell>
          <cell r="J6275">
            <v>3809804.3041216834</v>
          </cell>
          <cell r="K6275">
            <v>2.4380000000000002</v>
          </cell>
          <cell r="L6275">
            <v>148835</v>
          </cell>
          <cell r="M6275">
            <v>13229</v>
          </cell>
          <cell r="N6275">
            <v>683926.05601571908</v>
          </cell>
          <cell r="O6275">
            <v>692380.00232629513</v>
          </cell>
          <cell r="P6275">
            <v>368.79259999999999</v>
          </cell>
        </row>
        <row r="6276">
          <cell r="B6276">
            <v>39053</v>
          </cell>
          <cell r="J6276">
            <v>3809804.3041216834</v>
          </cell>
          <cell r="K6276">
            <v>2.4380000000000002</v>
          </cell>
          <cell r="L6276">
            <v>148835</v>
          </cell>
          <cell r="M6276">
            <v>13229</v>
          </cell>
          <cell r="N6276">
            <v>683926.05601571908</v>
          </cell>
          <cell r="O6276">
            <v>692380.00232629513</v>
          </cell>
          <cell r="P6276">
            <v>368.79259999999999</v>
          </cell>
        </row>
        <row r="6277">
          <cell r="B6277">
            <v>39054</v>
          </cell>
          <cell r="J6277">
            <v>3809804.3041216834</v>
          </cell>
          <cell r="K6277">
            <v>2.4380000000000002</v>
          </cell>
          <cell r="L6277">
            <v>148835</v>
          </cell>
          <cell r="M6277">
            <v>13229</v>
          </cell>
          <cell r="N6277">
            <v>683926.05601571908</v>
          </cell>
          <cell r="O6277">
            <v>692380.00232629513</v>
          </cell>
          <cell r="P6277">
            <v>368.79259999999999</v>
          </cell>
        </row>
        <row r="6278">
          <cell r="B6278">
            <v>39055</v>
          </cell>
          <cell r="J6278">
            <v>3809804.3041216834</v>
          </cell>
          <cell r="K6278">
            <v>2.4380000000000002</v>
          </cell>
          <cell r="L6278">
            <v>148835</v>
          </cell>
          <cell r="M6278">
            <v>13229</v>
          </cell>
          <cell r="N6278">
            <v>683926.05601571908</v>
          </cell>
          <cell r="O6278">
            <v>692380.00232629513</v>
          </cell>
          <cell r="P6278">
            <v>368.79259999999999</v>
          </cell>
        </row>
        <row r="6279">
          <cell r="B6279">
            <v>39056</v>
          </cell>
          <cell r="J6279">
            <v>3809804.3041216834</v>
          </cell>
          <cell r="K6279">
            <v>2.4380000000000002</v>
          </cell>
          <cell r="L6279">
            <v>148835</v>
          </cell>
          <cell r="M6279">
            <v>13229</v>
          </cell>
          <cell r="N6279">
            <v>683926.05601571908</v>
          </cell>
          <cell r="O6279">
            <v>692380.00232629513</v>
          </cell>
          <cell r="P6279">
            <v>368.79259999999999</v>
          </cell>
        </row>
        <row r="6280">
          <cell r="B6280">
            <v>39057</v>
          </cell>
          <cell r="J6280">
            <v>3809804.3041216834</v>
          </cell>
          <cell r="K6280">
            <v>2.4380000000000002</v>
          </cell>
          <cell r="L6280">
            <v>148835</v>
          </cell>
          <cell r="M6280">
            <v>13229</v>
          </cell>
          <cell r="N6280">
            <v>683926.05601571908</v>
          </cell>
          <cell r="O6280">
            <v>692380.00232629513</v>
          </cell>
          <cell r="P6280">
            <v>368.79259999999999</v>
          </cell>
        </row>
        <row r="6281">
          <cell r="B6281">
            <v>39058</v>
          </cell>
          <cell r="J6281">
            <v>3809804.3041216834</v>
          </cell>
          <cell r="K6281">
            <v>2.4380000000000002</v>
          </cell>
          <cell r="L6281">
            <v>148835</v>
          </cell>
          <cell r="M6281">
            <v>13229</v>
          </cell>
          <cell r="N6281">
            <v>683926.05601571908</v>
          </cell>
          <cell r="O6281">
            <v>692380.00232629513</v>
          </cell>
          <cell r="P6281">
            <v>368.79259999999999</v>
          </cell>
        </row>
        <row r="6282">
          <cell r="B6282">
            <v>39059</v>
          </cell>
          <cell r="J6282">
            <v>3809804.3041216834</v>
          </cell>
          <cell r="K6282">
            <v>2.4380000000000002</v>
          </cell>
          <cell r="L6282">
            <v>148835</v>
          </cell>
          <cell r="M6282">
            <v>13229</v>
          </cell>
          <cell r="N6282">
            <v>683926.05601571908</v>
          </cell>
          <cell r="O6282">
            <v>692380.00232629513</v>
          </cell>
          <cell r="P6282">
            <v>368.79259999999999</v>
          </cell>
        </row>
        <row r="6283">
          <cell r="B6283">
            <v>39060</v>
          </cell>
          <cell r="J6283">
            <v>3809804.3041216834</v>
          </cell>
          <cell r="K6283">
            <v>2.4380000000000002</v>
          </cell>
          <cell r="L6283">
            <v>148835</v>
          </cell>
          <cell r="M6283">
            <v>13229</v>
          </cell>
          <cell r="N6283">
            <v>683926.05601571908</v>
          </cell>
          <cell r="O6283">
            <v>692380.00232629513</v>
          </cell>
          <cell r="P6283">
            <v>368.79259999999999</v>
          </cell>
        </row>
        <row r="6284">
          <cell r="B6284">
            <v>39061</v>
          </cell>
          <cell r="J6284">
            <v>3809804.3041216834</v>
          </cell>
          <cell r="K6284">
            <v>2.4380000000000002</v>
          </cell>
          <cell r="L6284">
            <v>148835</v>
          </cell>
          <cell r="M6284">
            <v>13229</v>
          </cell>
          <cell r="N6284">
            <v>683926.05601571908</v>
          </cell>
          <cell r="O6284">
            <v>692380.00232629513</v>
          </cell>
          <cell r="P6284">
            <v>368.79259999999999</v>
          </cell>
        </row>
        <row r="6285">
          <cell r="B6285">
            <v>39062</v>
          </cell>
          <cell r="J6285">
            <v>3809804.3041216834</v>
          </cell>
          <cell r="K6285">
            <v>2.4380000000000002</v>
          </cell>
          <cell r="L6285">
            <v>148835</v>
          </cell>
          <cell r="M6285">
            <v>13229</v>
          </cell>
          <cell r="N6285">
            <v>683926.05601571908</v>
          </cell>
          <cell r="O6285">
            <v>692380.00232629513</v>
          </cell>
          <cell r="P6285">
            <v>368.79259999999999</v>
          </cell>
        </row>
        <row r="6286">
          <cell r="B6286">
            <v>39063</v>
          </cell>
          <cell r="J6286">
            <v>3809804.3041216834</v>
          </cell>
          <cell r="K6286">
            <v>2.4380000000000002</v>
          </cell>
          <cell r="L6286">
            <v>148835</v>
          </cell>
          <cell r="M6286">
            <v>13229</v>
          </cell>
          <cell r="N6286">
            <v>683926.05601571908</v>
          </cell>
          <cell r="O6286">
            <v>692380.00232629513</v>
          </cell>
          <cell r="P6286">
            <v>368.79259999999999</v>
          </cell>
        </row>
        <row r="6287">
          <cell r="B6287">
            <v>39064</v>
          </cell>
          <cell r="J6287">
            <v>3809804.3041216834</v>
          </cell>
          <cell r="K6287">
            <v>2.4380000000000002</v>
          </cell>
          <cell r="L6287">
            <v>148835</v>
          </cell>
          <cell r="M6287">
            <v>13229</v>
          </cell>
          <cell r="N6287">
            <v>683926.05601571908</v>
          </cell>
          <cell r="O6287">
            <v>692380.00232629513</v>
          </cell>
          <cell r="P6287">
            <v>368.79259999999999</v>
          </cell>
        </row>
        <row r="6288">
          <cell r="B6288">
            <v>39065</v>
          </cell>
          <cell r="J6288">
            <v>3809804.3041216834</v>
          </cell>
          <cell r="K6288">
            <v>2.4380000000000002</v>
          </cell>
          <cell r="L6288">
            <v>148835</v>
          </cell>
          <cell r="M6288">
            <v>13229</v>
          </cell>
          <cell r="N6288">
            <v>683926.05601571908</v>
          </cell>
          <cell r="O6288">
            <v>692380.00232629513</v>
          </cell>
          <cell r="P6288">
            <v>368.79259999999999</v>
          </cell>
        </row>
        <row r="6289">
          <cell r="B6289">
            <v>39066</v>
          </cell>
          <cell r="J6289">
            <v>3809804.3041216834</v>
          </cell>
          <cell r="K6289">
            <v>2.4380000000000002</v>
          </cell>
          <cell r="L6289">
            <v>148835</v>
          </cell>
          <cell r="M6289">
            <v>13229</v>
          </cell>
          <cell r="N6289">
            <v>683926.05601571908</v>
          </cell>
          <cell r="O6289">
            <v>692380.00232629513</v>
          </cell>
          <cell r="P6289">
            <v>368.79259999999999</v>
          </cell>
        </row>
        <row r="6290">
          <cell r="B6290">
            <v>39067</v>
          </cell>
          <cell r="J6290">
            <v>3809804.3041216834</v>
          </cell>
          <cell r="K6290">
            <v>2.4380000000000002</v>
          </cell>
          <cell r="L6290">
            <v>148835</v>
          </cell>
          <cell r="M6290">
            <v>13229</v>
          </cell>
          <cell r="N6290">
            <v>683926.05601571908</v>
          </cell>
          <cell r="O6290">
            <v>692380.00232629513</v>
          </cell>
          <cell r="P6290">
            <v>368.79259999999999</v>
          </cell>
        </row>
        <row r="6291">
          <cell r="B6291">
            <v>39068</v>
          </cell>
          <cell r="J6291">
            <v>3809804.3041216834</v>
          </cell>
          <cell r="K6291">
            <v>2.4380000000000002</v>
          </cell>
          <cell r="L6291">
            <v>148835</v>
          </cell>
          <cell r="M6291">
            <v>13229</v>
          </cell>
          <cell r="N6291">
            <v>683926.05601571908</v>
          </cell>
          <cell r="O6291">
            <v>692380.00232629513</v>
          </cell>
          <cell r="P6291">
            <v>368.79259999999999</v>
          </cell>
        </row>
        <row r="6292">
          <cell r="B6292">
            <v>39069</v>
          </cell>
          <cell r="J6292">
            <v>3809804.3041216834</v>
          </cell>
          <cell r="K6292">
            <v>2.4380000000000002</v>
          </cell>
          <cell r="L6292">
            <v>148835</v>
          </cell>
          <cell r="M6292">
            <v>13229</v>
          </cell>
          <cell r="N6292">
            <v>683926.05601571908</v>
          </cell>
          <cell r="O6292">
            <v>692380.00232629513</v>
          </cell>
          <cell r="P6292">
            <v>368.79259999999999</v>
          </cell>
        </row>
        <row r="6293">
          <cell r="B6293">
            <v>39070</v>
          </cell>
          <cell r="J6293">
            <v>3809804.3041216834</v>
          </cell>
          <cell r="K6293">
            <v>2.4380000000000002</v>
          </cell>
          <cell r="L6293">
            <v>148835</v>
          </cell>
          <cell r="M6293">
            <v>13229</v>
          </cell>
          <cell r="N6293">
            <v>683926.05601571908</v>
          </cell>
          <cell r="O6293">
            <v>692380.00232629513</v>
          </cell>
          <cell r="P6293">
            <v>368.79259999999999</v>
          </cell>
        </row>
        <row r="6294">
          <cell r="B6294">
            <v>39071</v>
          </cell>
          <cell r="J6294">
            <v>3809804.3041216834</v>
          </cell>
          <cell r="K6294">
            <v>2.4380000000000002</v>
          </cell>
          <cell r="L6294">
            <v>148835</v>
          </cell>
          <cell r="M6294">
            <v>13229</v>
          </cell>
          <cell r="N6294">
            <v>683926.05601571908</v>
          </cell>
          <cell r="O6294">
            <v>692380.00232629513</v>
          </cell>
          <cell r="P6294">
            <v>368.79259999999999</v>
          </cell>
        </row>
        <row r="6295">
          <cell r="B6295">
            <v>39072</v>
          </cell>
          <cell r="J6295">
            <v>3809804.3041216834</v>
          </cell>
          <cell r="K6295">
            <v>2.4380000000000002</v>
          </cell>
          <cell r="L6295">
            <v>148835</v>
          </cell>
          <cell r="M6295">
            <v>13229</v>
          </cell>
          <cell r="N6295">
            <v>683926.05601571908</v>
          </cell>
          <cell r="O6295">
            <v>692380.00232629513</v>
          </cell>
          <cell r="P6295">
            <v>368.79259999999999</v>
          </cell>
        </row>
        <row r="6296">
          <cell r="B6296">
            <v>39073</v>
          </cell>
          <cell r="J6296">
            <v>3809804.3041216834</v>
          </cell>
          <cell r="K6296">
            <v>2.4380000000000002</v>
          </cell>
          <cell r="L6296">
            <v>148835</v>
          </cell>
          <cell r="M6296">
            <v>13229</v>
          </cell>
          <cell r="N6296">
            <v>683926.05601571908</v>
          </cell>
          <cell r="O6296">
            <v>692380.00232629513</v>
          </cell>
          <cell r="P6296">
            <v>368.79259999999999</v>
          </cell>
        </row>
        <row r="6297">
          <cell r="B6297">
            <v>39074</v>
          </cell>
          <cell r="J6297">
            <v>3809804.3041216834</v>
          </cell>
          <cell r="K6297">
            <v>2.4380000000000002</v>
          </cell>
          <cell r="L6297">
            <v>148835</v>
          </cell>
          <cell r="M6297">
            <v>13229</v>
          </cell>
          <cell r="N6297">
            <v>683926.05601571908</v>
          </cell>
          <cell r="O6297">
            <v>692380.00232629513</v>
          </cell>
          <cell r="P6297">
            <v>368.79259999999999</v>
          </cell>
        </row>
        <row r="6298">
          <cell r="B6298">
            <v>39075</v>
          </cell>
          <cell r="J6298">
            <v>3809804.3041216834</v>
          </cell>
          <cell r="K6298">
            <v>2.4380000000000002</v>
          </cell>
          <cell r="L6298">
            <v>148835</v>
          </cell>
          <cell r="M6298">
            <v>13229</v>
          </cell>
          <cell r="N6298">
            <v>683926.05601571908</v>
          </cell>
          <cell r="O6298">
            <v>692380.00232629513</v>
          </cell>
          <cell r="P6298">
            <v>368.79259999999999</v>
          </cell>
        </row>
        <row r="6299">
          <cell r="B6299">
            <v>39076</v>
          </cell>
          <cell r="J6299">
            <v>3809804.3041216834</v>
          </cell>
          <cell r="K6299">
            <v>2.4380000000000002</v>
          </cell>
          <cell r="L6299">
            <v>148835</v>
          </cell>
          <cell r="M6299">
            <v>13229</v>
          </cell>
          <cell r="N6299">
            <v>683926.05601571908</v>
          </cell>
          <cell r="O6299">
            <v>692380.00232629513</v>
          </cell>
          <cell r="P6299">
            <v>368.79259999999999</v>
          </cell>
        </row>
        <row r="6300">
          <cell r="B6300">
            <v>39077</v>
          </cell>
          <cell r="J6300">
            <v>3809804.3041216834</v>
          </cell>
          <cell r="K6300">
            <v>2.4380000000000002</v>
          </cell>
          <cell r="L6300">
            <v>148835</v>
          </cell>
          <cell r="M6300">
            <v>13229</v>
          </cell>
          <cell r="N6300">
            <v>683926.05601571908</v>
          </cell>
          <cell r="O6300">
            <v>692380.00232629513</v>
          </cell>
          <cell r="P6300">
            <v>368.79259999999999</v>
          </cell>
        </row>
        <row r="6301">
          <cell r="B6301">
            <v>39078</v>
          </cell>
          <cell r="J6301">
            <v>3809804.3041216834</v>
          </cell>
          <cell r="K6301">
            <v>2.4380000000000002</v>
          </cell>
          <cell r="L6301">
            <v>148835</v>
          </cell>
          <cell r="M6301">
            <v>13229</v>
          </cell>
          <cell r="N6301">
            <v>683926.05601571908</v>
          </cell>
          <cell r="O6301">
            <v>692380.00232629513</v>
          </cell>
          <cell r="P6301">
            <v>368.79259999999999</v>
          </cell>
        </row>
        <row r="6302">
          <cell r="B6302">
            <v>39079</v>
          </cell>
          <cell r="J6302">
            <v>3809804.3041216834</v>
          </cell>
          <cell r="K6302">
            <v>2.4380000000000002</v>
          </cell>
          <cell r="L6302">
            <v>148835</v>
          </cell>
          <cell r="M6302">
            <v>13229</v>
          </cell>
          <cell r="N6302">
            <v>683926.05601571908</v>
          </cell>
          <cell r="O6302">
            <v>692380.00232629513</v>
          </cell>
          <cell r="P6302">
            <v>368.79259999999999</v>
          </cell>
        </row>
        <row r="6303">
          <cell r="B6303">
            <v>39080</v>
          </cell>
          <cell r="J6303">
            <v>3809804.3041216834</v>
          </cell>
          <cell r="K6303">
            <v>2.4380000000000002</v>
          </cell>
          <cell r="L6303">
            <v>148835</v>
          </cell>
          <cell r="M6303">
            <v>13229</v>
          </cell>
          <cell r="N6303">
            <v>683926.05601571908</v>
          </cell>
          <cell r="O6303">
            <v>692380.00232629513</v>
          </cell>
          <cell r="P6303">
            <v>368.79259999999999</v>
          </cell>
        </row>
        <row r="6304">
          <cell r="B6304">
            <v>39081</v>
          </cell>
          <cell r="J6304">
            <v>3809804.3041216834</v>
          </cell>
          <cell r="K6304">
            <v>2.4380000000000002</v>
          </cell>
          <cell r="L6304">
            <v>148835</v>
          </cell>
          <cell r="M6304">
            <v>13229</v>
          </cell>
          <cell r="N6304">
            <v>683926.05601571908</v>
          </cell>
          <cell r="O6304">
            <v>692380.00232629513</v>
          </cell>
          <cell r="P6304">
            <v>368.79259999999999</v>
          </cell>
        </row>
        <row r="6305">
          <cell r="B6305">
            <v>39082</v>
          </cell>
          <cell r="J6305">
            <v>3809804.3041216834</v>
          </cell>
          <cell r="K6305">
            <v>2.4380000000000002</v>
          </cell>
          <cell r="L6305">
            <v>148835</v>
          </cell>
          <cell r="M6305">
            <v>13229</v>
          </cell>
          <cell r="N6305">
            <v>683926.05601571908</v>
          </cell>
          <cell r="O6305">
            <v>692380.00232629513</v>
          </cell>
          <cell r="P6305">
            <v>368.79259999999999</v>
          </cell>
        </row>
        <row r="6306">
          <cell r="B6306">
            <v>39083</v>
          </cell>
          <cell r="J6306">
            <v>3809804.3041216834</v>
          </cell>
          <cell r="K6306">
            <v>2.4380000000000002</v>
          </cell>
          <cell r="L6306">
            <v>148835</v>
          </cell>
          <cell r="M6306">
            <v>13229</v>
          </cell>
          <cell r="N6306">
            <v>683926.05601571908</v>
          </cell>
          <cell r="O6306">
            <v>692380.00232629513</v>
          </cell>
          <cell r="P6306">
            <v>368.79259999999999</v>
          </cell>
        </row>
        <row r="6307">
          <cell r="B6307">
            <v>39084</v>
          </cell>
          <cell r="J6307">
            <v>3809804.3041216834</v>
          </cell>
          <cell r="K6307">
            <v>2.4380000000000002</v>
          </cell>
          <cell r="L6307">
            <v>148835</v>
          </cell>
          <cell r="M6307">
            <v>13229</v>
          </cell>
          <cell r="N6307">
            <v>683926.05601571908</v>
          </cell>
          <cell r="O6307">
            <v>692380.00232629513</v>
          </cell>
          <cell r="P6307">
            <v>368.79259999999999</v>
          </cell>
        </row>
        <row r="6308">
          <cell r="B6308">
            <v>39085</v>
          </cell>
          <cell r="J6308">
            <v>3809804.3041216834</v>
          </cell>
          <cell r="K6308">
            <v>2.4380000000000002</v>
          </cell>
          <cell r="L6308">
            <v>148835</v>
          </cell>
          <cell r="M6308">
            <v>13229</v>
          </cell>
          <cell r="N6308">
            <v>683926.05601571908</v>
          </cell>
          <cell r="O6308">
            <v>692380.00232629513</v>
          </cell>
          <cell r="P6308">
            <v>368.79259999999999</v>
          </cell>
        </row>
        <row r="6309">
          <cell r="B6309">
            <v>39086</v>
          </cell>
          <cell r="J6309">
            <v>3809804.3041216834</v>
          </cell>
          <cell r="K6309">
            <v>2.4380000000000002</v>
          </cell>
          <cell r="L6309">
            <v>148835</v>
          </cell>
          <cell r="M6309">
            <v>13229</v>
          </cell>
          <cell r="N6309">
            <v>683926.05601571908</v>
          </cell>
          <cell r="O6309">
            <v>692380.00232629513</v>
          </cell>
          <cell r="P6309">
            <v>368.79259999999999</v>
          </cell>
        </row>
        <row r="6310">
          <cell r="B6310">
            <v>39087</v>
          </cell>
          <cell r="J6310">
            <v>3809804.3041216834</v>
          </cell>
          <cell r="K6310">
            <v>2.4380000000000002</v>
          </cell>
          <cell r="L6310">
            <v>148835</v>
          </cell>
          <cell r="M6310">
            <v>13229</v>
          </cell>
          <cell r="N6310">
            <v>683926.05601571908</v>
          </cell>
          <cell r="O6310">
            <v>692380.00232629513</v>
          </cell>
          <cell r="P6310">
            <v>368.79259999999999</v>
          </cell>
        </row>
        <row r="6311">
          <cell r="B6311">
            <v>39088</v>
          </cell>
          <cell r="J6311">
            <v>3809804.3041216834</v>
          </cell>
          <cell r="K6311">
            <v>2.4380000000000002</v>
          </cell>
          <cell r="L6311">
            <v>148835</v>
          </cell>
          <cell r="M6311">
            <v>13229</v>
          </cell>
          <cell r="N6311">
            <v>683926.05601571908</v>
          </cell>
          <cell r="O6311">
            <v>692380.00232629513</v>
          </cell>
          <cell r="P6311">
            <v>368.79259999999999</v>
          </cell>
        </row>
        <row r="6312">
          <cell r="B6312">
            <v>39089</v>
          </cell>
          <cell r="J6312">
            <v>3809804.3041216834</v>
          </cell>
          <cell r="K6312">
            <v>2.4380000000000002</v>
          </cell>
          <cell r="L6312">
            <v>148835</v>
          </cell>
          <cell r="M6312">
            <v>13229</v>
          </cell>
          <cell r="N6312">
            <v>683926.05601571908</v>
          </cell>
          <cell r="O6312">
            <v>692380.00232629513</v>
          </cell>
          <cell r="P6312">
            <v>368.79259999999999</v>
          </cell>
        </row>
        <row r="6313">
          <cell r="B6313">
            <v>39090</v>
          </cell>
          <cell r="J6313">
            <v>3809804.3041216834</v>
          </cell>
          <cell r="K6313">
            <v>2.4380000000000002</v>
          </cell>
          <cell r="L6313">
            <v>148835</v>
          </cell>
          <cell r="M6313">
            <v>13229</v>
          </cell>
          <cell r="N6313">
            <v>683926.05601571908</v>
          </cell>
          <cell r="O6313">
            <v>692380.00232629513</v>
          </cell>
          <cell r="P6313">
            <v>368.79259999999999</v>
          </cell>
        </row>
        <row r="6314">
          <cell r="B6314">
            <v>39091</v>
          </cell>
          <cell r="J6314">
            <v>3809804.3041216834</v>
          </cell>
          <cell r="K6314">
            <v>2.4380000000000002</v>
          </cell>
          <cell r="L6314">
            <v>148835</v>
          </cell>
          <cell r="M6314">
            <v>13229</v>
          </cell>
          <cell r="N6314">
            <v>683926.05601571908</v>
          </cell>
          <cell r="O6314">
            <v>692380.00232629513</v>
          </cell>
          <cell r="P6314">
            <v>368.79259999999999</v>
          </cell>
        </row>
        <row r="6315">
          <cell r="B6315">
            <v>39092</v>
          </cell>
          <cell r="J6315">
            <v>3809804.3041216834</v>
          </cell>
          <cell r="K6315">
            <v>2.4380000000000002</v>
          </cell>
          <cell r="L6315">
            <v>148835</v>
          </cell>
          <cell r="M6315">
            <v>13229</v>
          </cell>
          <cell r="N6315">
            <v>683926.05601571908</v>
          </cell>
          <cell r="O6315">
            <v>692380.00232629513</v>
          </cell>
          <cell r="P6315">
            <v>368.79259999999999</v>
          </cell>
        </row>
        <row r="6316">
          <cell r="B6316">
            <v>39093</v>
          </cell>
          <cell r="J6316">
            <v>3809804.3041216834</v>
          </cell>
          <cell r="K6316">
            <v>2.4380000000000002</v>
          </cell>
          <cell r="L6316">
            <v>148835</v>
          </cell>
          <cell r="M6316">
            <v>13229</v>
          </cell>
          <cell r="N6316">
            <v>683926.05601571908</v>
          </cell>
          <cell r="O6316">
            <v>692380.00232629513</v>
          </cell>
          <cell r="P6316">
            <v>368.79259999999999</v>
          </cell>
        </row>
        <row r="6317">
          <cell r="B6317">
            <v>39094</v>
          </cell>
          <cell r="J6317">
            <v>3809804.3041216834</v>
          </cell>
          <cell r="K6317">
            <v>2.4380000000000002</v>
          </cell>
          <cell r="L6317">
            <v>148835</v>
          </cell>
          <cell r="M6317">
            <v>13229</v>
          </cell>
          <cell r="N6317">
            <v>683926.05601571908</v>
          </cell>
          <cell r="O6317">
            <v>692380.00232629513</v>
          </cell>
          <cell r="P6317">
            <v>368.79259999999999</v>
          </cell>
        </row>
        <row r="6318">
          <cell r="B6318">
            <v>39095</v>
          </cell>
          <cell r="J6318">
            <v>3809804.3041216834</v>
          </cell>
          <cell r="K6318">
            <v>2.4380000000000002</v>
          </cell>
          <cell r="L6318">
            <v>148835</v>
          </cell>
          <cell r="M6318">
            <v>13229</v>
          </cell>
          <cell r="N6318">
            <v>683926.05601571908</v>
          </cell>
          <cell r="O6318">
            <v>692380.00232629513</v>
          </cell>
          <cell r="P6318">
            <v>368.79259999999999</v>
          </cell>
        </row>
        <row r="6319">
          <cell r="B6319">
            <v>39096</v>
          </cell>
          <cell r="J6319">
            <v>3809804.3041216834</v>
          </cell>
          <cell r="K6319">
            <v>2.4380000000000002</v>
          </cell>
          <cell r="L6319">
            <v>148835</v>
          </cell>
          <cell r="M6319">
            <v>13229</v>
          </cell>
          <cell r="N6319">
            <v>683926.05601571908</v>
          </cell>
          <cell r="O6319">
            <v>692380.00232629513</v>
          </cell>
          <cell r="P6319">
            <v>368.79259999999999</v>
          </cell>
        </row>
        <row r="6320">
          <cell r="B6320">
            <v>39097</v>
          </cell>
          <cell r="J6320">
            <v>3809804.3041216834</v>
          </cell>
          <cell r="K6320">
            <v>2.4380000000000002</v>
          </cell>
          <cell r="L6320">
            <v>148835</v>
          </cell>
          <cell r="M6320">
            <v>13229</v>
          </cell>
          <cell r="N6320">
            <v>683926.05601571908</v>
          </cell>
          <cell r="O6320">
            <v>692380.00232629513</v>
          </cell>
          <cell r="P6320">
            <v>368.79259999999999</v>
          </cell>
        </row>
        <row r="6321">
          <cell r="B6321">
            <v>39098</v>
          </cell>
          <cell r="J6321">
            <v>3809804.3041216834</v>
          </cell>
          <cell r="K6321">
            <v>2.4380000000000002</v>
          </cell>
          <cell r="L6321">
            <v>148835</v>
          </cell>
          <cell r="M6321">
            <v>13229</v>
          </cell>
          <cell r="N6321">
            <v>683926.05601571908</v>
          </cell>
          <cell r="O6321">
            <v>692380.00232629513</v>
          </cell>
          <cell r="P6321">
            <v>368.79259999999999</v>
          </cell>
        </row>
        <row r="6322">
          <cell r="B6322">
            <v>39099</v>
          </cell>
          <cell r="J6322">
            <v>3809804.3041216834</v>
          </cell>
          <cell r="K6322">
            <v>2.4380000000000002</v>
          </cell>
          <cell r="L6322">
            <v>148835</v>
          </cell>
          <cell r="M6322">
            <v>13229</v>
          </cell>
          <cell r="N6322">
            <v>683926.05601571908</v>
          </cell>
          <cell r="O6322">
            <v>692380.00232629513</v>
          </cell>
          <cell r="P6322">
            <v>368.79259999999999</v>
          </cell>
        </row>
        <row r="6323">
          <cell r="B6323">
            <v>39100</v>
          </cell>
          <cell r="J6323">
            <v>3809804.3041216834</v>
          </cell>
          <cell r="K6323">
            <v>2.4380000000000002</v>
          </cell>
          <cell r="L6323">
            <v>148835</v>
          </cell>
          <cell r="M6323">
            <v>13229</v>
          </cell>
          <cell r="N6323">
            <v>683926.05601571908</v>
          </cell>
          <cell r="O6323">
            <v>692380.00232629513</v>
          </cell>
          <cell r="P6323">
            <v>368.79259999999999</v>
          </cell>
        </row>
        <row r="6324">
          <cell r="B6324">
            <v>39101</v>
          </cell>
          <cell r="J6324">
            <v>3809804.3041216834</v>
          </cell>
          <cell r="K6324">
            <v>2.4380000000000002</v>
          </cell>
          <cell r="L6324">
            <v>148835</v>
          </cell>
          <cell r="M6324">
            <v>13229</v>
          </cell>
          <cell r="N6324">
            <v>683926.05601571908</v>
          </cell>
          <cell r="O6324">
            <v>692380.00232629513</v>
          </cell>
          <cell r="P6324">
            <v>368.79259999999999</v>
          </cell>
        </row>
        <row r="6325">
          <cell r="B6325">
            <v>39102</v>
          </cell>
          <cell r="J6325">
            <v>3809804.3041216834</v>
          </cell>
          <cell r="K6325">
            <v>2.4380000000000002</v>
          </cell>
          <cell r="L6325">
            <v>148835</v>
          </cell>
          <cell r="M6325">
            <v>13229</v>
          </cell>
          <cell r="N6325">
            <v>683926.05601571908</v>
          </cell>
          <cell r="O6325">
            <v>692380.00232629513</v>
          </cell>
          <cell r="P6325">
            <v>368.79259999999999</v>
          </cell>
        </row>
        <row r="6326">
          <cell r="B6326">
            <v>39103</v>
          </cell>
          <cell r="J6326">
            <v>3809804.3041216834</v>
          </cell>
          <cell r="K6326">
            <v>2.4380000000000002</v>
          </cell>
          <cell r="L6326">
            <v>148835</v>
          </cell>
          <cell r="M6326">
            <v>13229</v>
          </cell>
          <cell r="N6326">
            <v>683926.05601571908</v>
          </cell>
          <cell r="O6326">
            <v>692380.00232629513</v>
          </cell>
          <cell r="P6326">
            <v>368.79259999999999</v>
          </cell>
        </row>
        <row r="6327">
          <cell r="B6327">
            <v>39104</v>
          </cell>
          <cell r="J6327">
            <v>3809804.3041216834</v>
          </cell>
          <cell r="K6327">
            <v>2.4380000000000002</v>
          </cell>
          <cell r="L6327">
            <v>148835</v>
          </cell>
          <cell r="M6327">
            <v>13229</v>
          </cell>
          <cell r="N6327">
            <v>683926.05601571908</v>
          </cell>
          <cell r="O6327">
            <v>692380.00232629513</v>
          </cell>
          <cell r="P6327">
            <v>368.79259999999999</v>
          </cell>
        </row>
        <row r="6328">
          <cell r="B6328">
            <v>39105</v>
          </cell>
          <cell r="J6328">
            <v>3809804.3041216834</v>
          </cell>
          <cell r="K6328">
            <v>2.4380000000000002</v>
          </cell>
          <cell r="L6328">
            <v>148835</v>
          </cell>
          <cell r="M6328">
            <v>13229</v>
          </cell>
          <cell r="N6328">
            <v>683926.05601571908</v>
          </cell>
          <cell r="O6328">
            <v>692380.00232629513</v>
          </cell>
          <cell r="P6328">
            <v>368.79259999999999</v>
          </cell>
        </row>
        <row r="6329">
          <cell r="B6329">
            <v>39106</v>
          </cell>
          <cell r="J6329">
            <v>3809804.3041216834</v>
          </cell>
          <cell r="K6329">
            <v>2.4380000000000002</v>
          </cell>
          <cell r="L6329">
            <v>148835</v>
          </cell>
          <cell r="M6329">
            <v>13229</v>
          </cell>
          <cell r="N6329">
            <v>683926.05601571908</v>
          </cell>
          <cell r="O6329">
            <v>692380.00232629513</v>
          </cell>
          <cell r="P6329">
            <v>368.79259999999999</v>
          </cell>
        </row>
        <row r="6330">
          <cell r="B6330">
            <v>39107</v>
          </cell>
          <cell r="J6330">
            <v>3809804.3041216834</v>
          </cell>
          <cell r="K6330">
            <v>2.4380000000000002</v>
          </cell>
          <cell r="L6330">
            <v>148835</v>
          </cell>
          <cell r="M6330">
            <v>13229</v>
          </cell>
          <cell r="N6330">
            <v>683926.05601571908</v>
          </cell>
          <cell r="O6330">
            <v>692380.00232629513</v>
          </cell>
          <cell r="P6330">
            <v>368.79259999999999</v>
          </cell>
        </row>
        <row r="6331">
          <cell r="B6331">
            <v>39108</v>
          </cell>
          <cell r="J6331">
            <v>3809804.3041216834</v>
          </cell>
          <cell r="K6331">
            <v>2.4380000000000002</v>
          </cell>
          <cell r="L6331">
            <v>148835</v>
          </cell>
          <cell r="M6331">
            <v>13229</v>
          </cell>
          <cell r="N6331">
            <v>683926.05601571908</v>
          </cell>
          <cell r="O6331">
            <v>692380.00232629513</v>
          </cell>
          <cell r="P6331">
            <v>368.79259999999999</v>
          </cell>
        </row>
        <row r="6332">
          <cell r="B6332">
            <v>39109</v>
          </cell>
          <cell r="J6332">
            <v>3809804.3041216834</v>
          </cell>
          <cell r="K6332">
            <v>2.4380000000000002</v>
          </cell>
          <cell r="L6332">
            <v>148835</v>
          </cell>
          <cell r="M6332">
            <v>13229</v>
          </cell>
          <cell r="N6332">
            <v>683926.05601571908</v>
          </cell>
          <cell r="O6332">
            <v>692380.00232629513</v>
          </cell>
          <cell r="P6332">
            <v>368.79259999999999</v>
          </cell>
        </row>
        <row r="6333">
          <cell r="B6333">
            <v>39110</v>
          </cell>
          <cell r="J6333">
            <v>3809804.3041216834</v>
          </cell>
          <cell r="K6333">
            <v>2.4380000000000002</v>
          </cell>
          <cell r="L6333">
            <v>148835</v>
          </cell>
          <cell r="M6333">
            <v>13229</v>
          </cell>
          <cell r="N6333">
            <v>683926.05601571908</v>
          </cell>
          <cell r="O6333">
            <v>692380.00232629513</v>
          </cell>
          <cell r="P6333">
            <v>368.79259999999999</v>
          </cell>
        </row>
        <row r="6334">
          <cell r="B6334">
            <v>39111</v>
          </cell>
          <cell r="J6334">
            <v>3809804.3041216834</v>
          </cell>
          <cell r="K6334">
            <v>2.4380000000000002</v>
          </cell>
          <cell r="L6334">
            <v>148835</v>
          </cell>
          <cell r="M6334">
            <v>13229</v>
          </cell>
          <cell r="N6334">
            <v>683926.05601571908</v>
          </cell>
          <cell r="O6334">
            <v>692380.00232629513</v>
          </cell>
          <cell r="P6334">
            <v>368.79259999999999</v>
          </cell>
        </row>
        <row r="6335">
          <cell r="B6335">
            <v>39112</v>
          </cell>
          <cell r="J6335">
            <v>3809804.3041216834</v>
          </cell>
          <cell r="K6335">
            <v>2.4380000000000002</v>
          </cell>
          <cell r="L6335">
            <v>148835</v>
          </cell>
          <cell r="M6335">
            <v>13229</v>
          </cell>
          <cell r="N6335">
            <v>683926.05601571908</v>
          </cell>
          <cell r="O6335">
            <v>692380.00232629513</v>
          </cell>
          <cell r="P6335">
            <v>368.79259999999999</v>
          </cell>
        </row>
        <row r="6336">
          <cell r="B6336">
            <v>39113</v>
          </cell>
          <cell r="J6336">
            <v>3809804.3041216834</v>
          </cell>
          <cell r="K6336">
            <v>2.4380000000000002</v>
          </cell>
          <cell r="L6336">
            <v>148835</v>
          </cell>
          <cell r="M6336">
            <v>13229</v>
          </cell>
          <cell r="N6336">
            <v>683926.05601571908</v>
          </cell>
          <cell r="O6336">
            <v>692380.00232629513</v>
          </cell>
          <cell r="P6336">
            <v>368.79259999999999</v>
          </cell>
        </row>
        <row r="6337">
          <cell r="B6337">
            <v>39114</v>
          </cell>
          <cell r="J6337">
            <v>3809804.3041216834</v>
          </cell>
          <cell r="K6337">
            <v>2.4380000000000002</v>
          </cell>
          <cell r="L6337">
            <v>148835</v>
          </cell>
          <cell r="M6337">
            <v>13229</v>
          </cell>
          <cell r="N6337">
            <v>683926.05601571908</v>
          </cell>
          <cell r="O6337">
            <v>692380.00232629513</v>
          </cell>
          <cell r="P6337">
            <v>368.79259999999999</v>
          </cell>
        </row>
        <row r="6338">
          <cell r="B6338">
            <v>39115</v>
          </cell>
          <cell r="J6338">
            <v>3809804.3041216834</v>
          </cell>
          <cell r="K6338">
            <v>2.4380000000000002</v>
          </cell>
          <cell r="L6338">
            <v>148835</v>
          </cell>
          <cell r="M6338">
            <v>13229</v>
          </cell>
          <cell r="N6338">
            <v>683926.05601571908</v>
          </cell>
          <cell r="O6338">
            <v>692380.00232629513</v>
          </cell>
          <cell r="P6338">
            <v>368.79259999999999</v>
          </cell>
        </row>
        <row r="6339">
          <cell r="B6339">
            <v>39116</v>
          </cell>
          <cell r="J6339">
            <v>3809804.3041216834</v>
          </cell>
          <cell r="K6339">
            <v>2.4380000000000002</v>
          </cell>
          <cell r="L6339">
            <v>148835</v>
          </cell>
          <cell r="M6339">
            <v>13229</v>
          </cell>
          <cell r="N6339">
            <v>683926.05601571908</v>
          </cell>
          <cell r="O6339">
            <v>692380.00232629513</v>
          </cell>
          <cell r="P6339">
            <v>368.79259999999999</v>
          </cell>
        </row>
        <row r="6340">
          <cell r="B6340">
            <v>39117</v>
          </cell>
          <cell r="J6340">
            <v>3809804.3041216834</v>
          </cell>
          <cell r="K6340">
            <v>2.4380000000000002</v>
          </cell>
          <cell r="L6340">
            <v>148835</v>
          </cell>
          <cell r="M6340">
            <v>13229</v>
          </cell>
          <cell r="N6340">
            <v>683926.05601571908</v>
          </cell>
          <cell r="O6340">
            <v>692380.00232629513</v>
          </cell>
          <cell r="P6340">
            <v>368.79259999999999</v>
          </cell>
        </row>
        <row r="6341">
          <cell r="B6341">
            <v>39118</v>
          </cell>
          <cell r="J6341">
            <v>3809804.3041216834</v>
          </cell>
          <cell r="K6341">
            <v>2.4380000000000002</v>
          </cell>
          <cell r="L6341">
            <v>148835</v>
          </cell>
          <cell r="M6341">
            <v>13229</v>
          </cell>
          <cell r="N6341">
            <v>683926.05601571908</v>
          </cell>
          <cell r="O6341">
            <v>692380.00232629513</v>
          </cell>
          <cell r="P6341">
            <v>368.79259999999999</v>
          </cell>
        </row>
        <row r="6342">
          <cell r="B6342">
            <v>39119</v>
          </cell>
          <cell r="J6342">
            <v>3809804.3041216834</v>
          </cell>
          <cell r="K6342">
            <v>2.4380000000000002</v>
          </cell>
          <cell r="L6342">
            <v>148835</v>
          </cell>
          <cell r="M6342">
            <v>13229</v>
          </cell>
          <cell r="N6342">
            <v>683926.05601571908</v>
          </cell>
          <cell r="O6342">
            <v>692380.00232629513</v>
          </cell>
          <cell r="P6342">
            <v>368.79259999999999</v>
          </cell>
        </row>
        <row r="6343">
          <cell r="B6343">
            <v>39120</v>
          </cell>
          <cell r="J6343">
            <v>3809804.3041216834</v>
          </cell>
          <cell r="K6343">
            <v>2.4380000000000002</v>
          </cell>
          <cell r="L6343">
            <v>148835</v>
          </cell>
          <cell r="M6343">
            <v>13229</v>
          </cell>
          <cell r="N6343">
            <v>683926.05601571908</v>
          </cell>
          <cell r="O6343">
            <v>692380.00232629513</v>
          </cell>
          <cell r="P6343">
            <v>368.79259999999999</v>
          </cell>
        </row>
        <row r="6344">
          <cell r="B6344">
            <v>39121</v>
          </cell>
          <cell r="J6344">
            <v>3809804.3041216834</v>
          </cell>
          <cell r="K6344">
            <v>2.4380000000000002</v>
          </cell>
          <cell r="L6344">
            <v>148835</v>
          </cell>
          <cell r="M6344">
            <v>13229</v>
          </cell>
          <cell r="N6344">
            <v>683926.05601571908</v>
          </cell>
          <cell r="O6344">
            <v>692380.00232629513</v>
          </cell>
          <cell r="P6344">
            <v>368.79259999999999</v>
          </cell>
        </row>
        <row r="6345">
          <cell r="B6345">
            <v>39122</v>
          </cell>
          <cell r="J6345">
            <v>3809804.3041216834</v>
          </cell>
          <cell r="K6345">
            <v>2.4380000000000002</v>
          </cell>
          <cell r="L6345">
            <v>148835</v>
          </cell>
          <cell r="M6345">
            <v>13229</v>
          </cell>
          <cell r="N6345">
            <v>683926.05601571908</v>
          </cell>
          <cell r="O6345">
            <v>692380.00232629513</v>
          </cell>
          <cell r="P6345">
            <v>368.79259999999999</v>
          </cell>
        </row>
        <row r="6346">
          <cell r="B6346">
            <v>39123</v>
          </cell>
          <cell r="J6346">
            <v>3809804.3041216834</v>
          </cell>
          <cell r="K6346">
            <v>2.4380000000000002</v>
          </cell>
          <cell r="L6346">
            <v>148835</v>
          </cell>
          <cell r="M6346">
            <v>13229</v>
          </cell>
          <cell r="N6346">
            <v>683926.05601571908</v>
          </cell>
          <cell r="O6346">
            <v>692380.00232629513</v>
          </cell>
          <cell r="P6346">
            <v>368.79259999999999</v>
          </cell>
        </row>
        <row r="6347">
          <cell r="B6347">
            <v>39124</v>
          </cell>
          <cell r="J6347">
            <v>3809804.3041216834</v>
          </cell>
          <cell r="K6347">
            <v>2.4380000000000002</v>
          </cell>
          <cell r="L6347">
            <v>148835</v>
          </cell>
          <cell r="M6347">
            <v>13229</v>
          </cell>
          <cell r="N6347">
            <v>683926.05601571908</v>
          </cell>
          <cell r="O6347">
            <v>692380.00232629513</v>
          </cell>
          <cell r="P6347">
            <v>368.79259999999999</v>
          </cell>
        </row>
        <row r="6348">
          <cell r="B6348">
            <v>39125</v>
          </cell>
          <cell r="J6348">
            <v>3809804.3041216834</v>
          </cell>
          <cell r="K6348">
            <v>2.4380000000000002</v>
          </cell>
          <cell r="L6348">
            <v>148835</v>
          </cell>
          <cell r="M6348">
            <v>13229</v>
          </cell>
          <cell r="N6348">
            <v>683926.05601571908</v>
          </cell>
          <cell r="O6348">
            <v>692380.00232629513</v>
          </cell>
          <cell r="P6348">
            <v>368.79259999999999</v>
          </cell>
        </row>
        <row r="6349">
          <cell r="B6349">
            <v>39126</v>
          </cell>
          <cell r="J6349">
            <v>3809804.3041216834</v>
          </cell>
          <cell r="K6349">
            <v>2.4380000000000002</v>
          </cell>
          <cell r="L6349">
            <v>148835</v>
          </cell>
          <cell r="M6349">
            <v>13229</v>
          </cell>
          <cell r="N6349">
            <v>683926.05601571908</v>
          </cell>
          <cell r="O6349">
            <v>692380.00232629513</v>
          </cell>
          <cell r="P6349">
            <v>368.79259999999999</v>
          </cell>
        </row>
        <row r="6350">
          <cell r="B6350">
            <v>39127</v>
          </cell>
          <cell r="J6350">
            <v>3809804.3041216834</v>
          </cell>
          <cell r="K6350">
            <v>2.4380000000000002</v>
          </cell>
          <cell r="L6350">
            <v>148835</v>
          </cell>
          <cell r="M6350">
            <v>13229</v>
          </cell>
          <cell r="N6350">
            <v>683926.05601571908</v>
          </cell>
          <cell r="O6350">
            <v>692380.00232629513</v>
          </cell>
          <cell r="P6350">
            <v>368.79259999999999</v>
          </cell>
        </row>
        <row r="6351">
          <cell r="B6351">
            <v>39128</v>
          </cell>
          <cell r="J6351">
            <v>3809804.3041216834</v>
          </cell>
          <cell r="K6351">
            <v>2.4380000000000002</v>
          </cell>
          <cell r="L6351">
            <v>148835</v>
          </cell>
          <cell r="M6351">
            <v>13229</v>
          </cell>
          <cell r="N6351">
            <v>683926.05601571908</v>
          </cell>
          <cell r="O6351">
            <v>692380.00232629513</v>
          </cell>
          <cell r="P6351">
            <v>368.79259999999999</v>
          </cell>
        </row>
        <row r="6352">
          <cell r="B6352">
            <v>39129</v>
          </cell>
          <cell r="J6352">
            <v>3809804.3041216834</v>
          </cell>
          <cell r="K6352">
            <v>2.4380000000000002</v>
          </cell>
          <cell r="L6352">
            <v>148835</v>
          </cell>
          <cell r="M6352">
            <v>13229</v>
          </cell>
          <cell r="N6352">
            <v>683926.05601571908</v>
          </cell>
          <cell r="O6352">
            <v>692380.00232629513</v>
          </cell>
          <cell r="P6352">
            <v>368.79259999999999</v>
          </cell>
        </row>
        <row r="6353">
          <cell r="B6353">
            <v>39130</v>
          </cell>
          <cell r="J6353">
            <v>3809804.3041216834</v>
          </cell>
          <cell r="K6353">
            <v>2.4380000000000002</v>
          </cell>
          <cell r="L6353">
            <v>148835</v>
          </cell>
          <cell r="M6353">
            <v>13229</v>
          </cell>
          <cell r="N6353">
            <v>683926.05601571908</v>
          </cell>
          <cell r="O6353">
            <v>692380.00232629513</v>
          </cell>
          <cell r="P6353">
            <v>368.79259999999999</v>
          </cell>
        </row>
        <row r="6354">
          <cell r="B6354">
            <v>39131</v>
          </cell>
          <cell r="J6354">
            <v>3809804.3041216834</v>
          </cell>
          <cell r="K6354">
            <v>2.4380000000000002</v>
          </cell>
          <cell r="L6354">
            <v>148835</v>
          </cell>
          <cell r="M6354">
            <v>13229</v>
          </cell>
          <cell r="N6354">
            <v>683926.05601571908</v>
          </cell>
          <cell r="O6354">
            <v>692380.00232629513</v>
          </cell>
          <cell r="P6354">
            <v>368.79259999999999</v>
          </cell>
        </row>
        <row r="6355">
          <cell r="B6355">
            <v>39132</v>
          </cell>
          <cell r="J6355">
            <v>3809804.3041216834</v>
          </cell>
          <cell r="K6355">
            <v>2.4380000000000002</v>
          </cell>
          <cell r="L6355">
            <v>148835</v>
          </cell>
          <cell r="M6355">
            <v>13229</v>
          </cell>
          <cell r="N6355">
            <v>683926.05601571908</v>
          </cell>
          <cell r="O6355">
            <v>692380.00232629513</v>
          </cell>
          <cell r="P6355">
            <v>368.79259999999999</v>
          </cell>
        </row>
        <row r="6356">
          <cell r="B6356">
            <v>39133</v>
          </cell>
          <cell r="J6356">
            <v>3809804.3041216834</v>
          </cell>
          <cell r="K6356">
            <v>2.4380000000000002</v>
          </cell>
          <cell r="L6356">
            <v>148835</v>
          </cell>
          <cell r="M6356">
            <v>13229</v>
          </cell>
          <cell r="N6356">
            <v>683926.05601571908</v>
          </cell>
          <cell r="O6356">
            <v>692380.00232629513</v>
          </cell>
          <cell r="P6356">
            <v>368.79259999999999</v>
          </cell>
        </row>
        <row r="6357">
          <cell r="B6357">
            <v>39134</v>
          </cell>
          <cell r="J6357">
            <v>3809804.3041216834</v>
          </cell>
          <cell r="K6357">
            <v>2.4380000000000002</v>
          </cell>
          <cell r="L6357">
            <v>148835</v>
          </cell>
          <cell r="M6357">
            <v>13229</v>
          </cell>
          <cell r="N6357">
            <v>683926.05601571908</v>
          </cell>
          <cell r="O6357">
            <v>692380.00232629513</v>
          </cell>
          <cell r="P6357">
            <v>368.79259999999999</v>
          </cell>
        </row>
        <row r="6358">
          <cell r="B6358">
            <v>39135</v>
          </cell>
          <cell r="J6358">
            <v>3809804.3041216834</v>
          </cell>
          <cell r="K6358">
            <v>2.4380000000000002</v>
          </cell>
          <cell r="L6358">
            <v>148835</v>
          </cell>
          <cell r="M6358">
            <v>13229</v>
          </cell>
          <cell r="N6358">
            <v>683926.05601571908</v>
          </cell>
          <cell r="O6358">
            <v>692380.00232629513</v>
          </cell>
          <cell r="P6358">
            <v>368.79259999999999</v>
          </cell>
        </row>
        <row r="6359">
          <cell r="B6359">
            <v>39136</v>
          </cell>
          <cell r="J6359">
            <v>3809804.3041216834</v>
          </cell>
          <cell r="K6359">
            <v>2.4380000000000002</v>
          </cell>
          <cell r="L6359">
            <v>148835</v>
          </cell>
          <cell r="M6359">
            <v>13229</v>
          </cell>
          <cell r="N6359">
            <v>683926.05601571908</v>
          </cell>
          <cell r="O6359">
            <v>692380.00232629513</v>
          </cell>
          <cell r="P6359">
            <v>368.79259999999999</v>
          </cell>
        </row>
        <row r="6360">
          <cell r="B6360">
            <v>39137</v>
          </cell>
          <cell r="J6360">
            <v>3809804.3041216834</v>
          </cell>
          <cell r="K6360">
            <v>2.4380000000000002</v>
          </cell>
          <cell r="L6360">
            <v>148835</v>
          </cell>
          <cell r="M6360">
            <v>13229</v>
          </cell>
          <cell r="N6360">
            <v>683926.05601571908</v>
          </cell>
          <cell r="O6360">
            <v>692380.00232629513</v>
          </cell>
          <cell r="P6360">
            <v>368.79259999999999</v>
          </cell>
        </row>
        <row r="6361">
          <cell r="B6361">
            <v>39138</v>
          </cell>
          <cell r="J6361">
            <v>3809804.3041216834</v>
          </cell>
          <cell r="K6361">
            <v>2.4380000000000002</v>
          </cell>
          <cell r="L6361">
            <v>148835</v>
          </cell>
          <cell r="M6361">
            <v>13229</v>
          </cell>
          <cell r="N6361">
            <v>683926.05601571908</v>
          </cell>
          <cell r="O6361">
            <v>692380.00232629513</v>
          </cell>
          <cell r="P6361">
            <v>368.79259999999999</v>
          </cell>
        </row>
        <row r="6362">
          <cell r="B6362">
            <v>39139</v>
          </cell>
          <cell r="J6362">
            <v>3809804.3041216834</v>
          </cell>
          <cell r="K6362">
            <v>2.4380000000000002</v>
          </cell>
          <cell r="L6362">
            <v>148835</v>
          </cell>
          <cell r="M6362">
            <v>13229</v>
          </cell>
          <cell r="N6362">
            <v>683926.05601571908</v>
          </cell>
          <cell r="O6362">
            <v>692380.00232629513</v>
          </cell>
          <cell r="P6362">
            <v>368.79259999999999</v>
          </cell>
        </row>
        <row r="6363">
          <cell r="B6363">
            <v>39140</v>
          </cell>
          <cell r="J6363">
            <v>3809804.3041216834</v>
          </cell>
          <cell r="K6363">
            <v>2.4380000000000002</v>
          </cell>
          <cell r="L6363">
            <v>148835</v>
          </cell>
          <cell r="M6363">
            <v>13229</v>
          </cell>
          <cell r="N6363">
            <v>683926.05601571908</v>
          </cell>
          <cell r="O6363">
            <v>692380.00232629513</v>
          </cell>
          <cell r="P6363">
            <v>368.79259999999999</v>
          </cell>
        </row>
        <row r="6364">
          <cell r="B6364">
            <v>39141</v>
          </cell>
          <cell r="J6364">
            <v>3809804.3041216834</v>
          </cell>
          <cell r="K6364">
            <v>2.4380000000000002</v>
          </cell>
          <cell r="L6364">
            <v>148835</v>
          </cell>
          <cell r="M6364">
            <v>13229</v>
          </cell>
          <cell r="N6364">
            <v>683926.05601571908</v>
          </cell>
          <cell r="O6364">
            <v>692380.00232629513</v>
          </cell>
          <cell r="P6364">
            <v>368.79259999999999</v>
          </cell>
        </row>
        <row r="6365">
          <cell r="B6365">
            <v>39142</v>
          </cell>
          <cell r="J6365">
            <v>3809804.3041216834</v>
          </cell>
          <cell r="K6365">
            <v>2.4380000000000002</v>
          </cell>
          <cell r="L6365">
            <v>148835</v>
          </cell>
          <cell r="M6365">
            <v>13229</v>
          </cell>
          <cell r="N6365">
            <v>683926.05601571908</v>
          </cell>
          <cell r="O6365">
            <v>692380.00232629513</v>
          </cell>
          <cell r="P6365">
            <v>368.79259999999999</v>
          </cell>
        </row>
        <row r="6366">
          <cell r="B6366">
            <v>39143</v>
          </cell>
          <cell r="J6366">
            <v>3809804.3041216834</v>
          </cell>
          <cell r="K6366">
            <v>2.4380000000000002</v>
          </cell>
          <cell r="L6366">
            <v>148835</v>
          </cell>
          <cell r="M6366">
            <v>13229</v>
          </cell>
          <cell r="N6366">
            <v>683926.05601571908</v>
          </cell>
          <cell r="O6366">
            <v>692380.00232629513</v>
          </cell>
          <cell r="P6366">
            <v>368.79259999999999</v>
          </cell>
        </row>
        <row r="6367">
          <cell r="B6367">
            <v>39144</v>
          </cell>
          <cell r="J6367">
            <v>3809804.3041216834</v>
          </cell>
          <cell r="K6367">
            <v>2.4380000000000002</v>
          </cell>
          <cell r="L6367">
            <v>148835</v>
          </cell>
          <cell r="M6367">
            <v>13229</v>
          </cell>
          <cell r="N6367">
            <v>683926.05601571908</v>
          </cell>
          <cell r="O6367">
            <v>692380.00232629513</v>
          </cell>
          <cell r="P6367">
            <v>368.79259999999999</v>
          </cell>
        </row>
        <row r="6368">
          <cell r="B6368">
            <v>39145</v>
          </cell>
          <cell r="J6368">
            <v>3809804.3041216834</v>
          </cell>
          <cell r="K6368">
            <v>2.4380000000000002</v>
          </cell>
          <cell r="L6368">
            <v>148835</v>
          </cell>
          <cell r="M6368">
            <v>13229</v>
          </cell>
          <cell r="N6368">
            <v>683926.05601571908</v>
          </cell>
          <cell r="O6368">
            <v>692380.00232629513</v>
          </cell>
          <cell r="P6368">
            <v>368.79259999999999</v>
          </cell>
        </row>
        <row r="6369">
          <cell r="B6369">
            <v>39146</v>
          </cell>
          <cell r="J6369">
            <v>3809804.3041216834</v>
          </cell>
          <cell r="K6369">
            <v>2.4380000000000002</v>
          </cell>
          <cell r="L6369">
            <v>148835</v>
          </cell>
          <cell r="M6369">
            <v>13229</v>
          </cell>
          <cell r="N6369">
            <v>683926.05601571908</v>
          </cell>
          <cell r="O6369">
            <v>692380.00232629513</v>
          </cell>
          <cell r="P6369">
            <v>368.79259999999999</v>
          </cell>
        </row>
        <row r="6370">
          <cell r="B6370">
            <v>39147</v>
          </cell>
          <cell r="J6370">
            <v>3809804.3041216834</v>
          </cell>
          <cell r="K6370">
            <v>2.4380000000000002</v>
          </cell>
          <cell r="L6370">
            <v>148835</v>
          </cell>
          <cell r="M6370">
            <v>13229</v>
          </cell>
          <cell r="N6370">
            <v>683926.05601571908</v>
          </cell>
          <cell r="O6370">
            <v>692380.00232629513</v>
          </cell>
          <cell r="P6370">
            <v>368.79259999999999</v>
          </cell>
        </row>
        <row r="6371">
          <cell r="B6371">
            <v>39148</v>
          </cell>
          <cell r="J6371">
            <v>3809804.3041216834</v>
          </cell>
          <cell r="K6371">
            <v>2.4380000000000002</v>
          </cell>
          <cell r="L6371">
            <v>148835</v>
          </cell>
          <cell r="M6371">
            <v>13229</v>
          </cell>
          <cell r="N6371">
            <v>683926.05601571908</v>
          </cell>
          <cell r="O6371">
            <v>692380.00232629513</v>
          </cell>
          <cell r="P6371">
            <v>368.79259999999999</v>
          </cell>
        </row>
        <row r="6372">
          <cell r="B6372">
            <v>39149</v>
          </cell>
          <cell r="J6372">
            <v>3809804.3041216834</v>
          </cell>
          <cell r="K6372">
            <v>2.4380000000000002</v>
          </cell>
          <cell r="L6372">
            <v>148835</v>
          </cell>
          <cell r="M6372">
            <v>13229</v>
          </cell>
          <cell r="N6372">
            <v>683926.05601571908</v>
          </cell>
          <cell r="O6372">
            <v>692380.00232629513</v>
          </cell>
          <cell r="P6372">
            <v>368.79259999999999</v>
          </cell>
        </row>
        <row r="6373">
          <cell r="B6373">
            <v>39150</v>
          </cell>
          <cell r="J6373">
            <v>3809804.3041216834</v>
          </cell>
          <cell r="K6373">
            <v>2.4380000000000002</v>
          </cell>
          <cell r="L6373">
            <v>148835</v>
          </cell>
          <cell r="M6373">
            <v>13229</v>
          </cell>
          <cell r="N6373">
            <v>683926.05601571908</v>
          </cell>
          <cell r="O6373">
            <v>692380.00232629513</v>
          </cell>
          <cell r="P6373">
            <v>368.79259999999999</v>
          </cell>
        </row>
        <row r="6374">
          <cell r="B6374">
            <v>39151</v>
          </cell>
          <cell r="J6374">
            <v>3809804.3041216834</v>
          </cell>
          <cell r="K6374">
            <v>2.4380000000000002</v>
          </cell>
          <cell r="L6374">
            <v>148835</v>
          </cell>
          <cell r="M6374">
            <v>13229</v>
          </cell>
          <cell r="N6374">
            <v>683926.05601571908</v>
          </cell>
          <cell r="O6374">
            <v>692380.00232629513</v>
          </cell>
          <cell r="P6374">
            <v>368.79259999999999</v>
          </cell>
        </row>
        <row r="6375">
          <cell r="B6375">
            <v>39152</v>
          </cell>
          <cell r="J6375">
            <v>3809804.3041216834</v>
          </cell>
          <cell r="K6375">
            <v>2.4380000000000002</v>
          </cell>
          <cell r="L6375">
            <v>148835</v>
          </cell>
          <cell r="M6375">
            <v>13229</v>
          </cell>
          <cell r="N6375">
            <v>683926.05601571908</v>
          </cell>
          <cell r="O6375">
            <v>692380.00232629513</v>
          </cell>
          <cell r="P6375">
            <v>368.79259999999999</v>
          </cell>
        </row>
        <row r="6376">
          <cell r="B6376">
            <v>39153</v>
          </cell>
          <cell r="J6376">
            <v>3809804.3041216834</v>
          </cell>
          <cell r="K6376">
            <v>2.4380000000000002</v>
          </cell>
          <cell r="L6376">
            <v>148835</v>
          </cell>
          <cell r="M6376">
            <v>13229</v>
          </cell>
          <cell r="N6376">
            <v>683926.05601571908</v>
          </cell>
          <cell r="O6376">
            <v>692380.00232629513</v>
          </cell>
          <cell r="P6376">
            <v>368.79259999999999</v>
          </cell>
        </row>
        <row r="6377">
          <cell r="B6377">
            <v>39154</v>
          </cell>
          <cell r="J6377">
            <v>3809804.3041216834</v>
          </cell>
          <cell r="K6377">
            <v>2.4380000000000002</v>
          </cell>
          <cell r="L6377">
            <v>148835</v>
          </cell>
          <cell r="M6377">
            <v>13229</v>
          </cell>
          <cell r="N6377">
            <v>683926.05601571908</v>
          </cell>
          <cell r="O6377">
            <v>692380.00232629513</v>
          </cell>
          <cell r="P6377">
            <v>368.79259999999999</v>
          </cell>
        </row>
        <row r="6378">
          <cell r="B6378">
            <v>39155</v>
          </cell>
          <cell r="J6378">
            <v>3809804.3041216834</v>
          </cell>
          <cell r="K6378">
            <v>2.4380000000000002</v>
          </cell>
          <cell r="L6378">
            <v>148835</v>
          </cell>
          <cell r="M6378">
            <v>13229</v>
          </cell>
          <cell r="N6378">
            <v>683926.05601571908</v>
          </cell>
          <cell r="O6378">
            <v>692380.00232629513</v>
          </cell>
          <cell r="P6378">
            <v>368.79259999999999</v>
          </cell>
        </row>
        <row r="6379">
          <cell r="B6379">
            <v>39156</v>
          </cell>
          <cell r="J6379">
            <v>3809804.3041216834</v>
          </cell>
          <cell r="K6379">
            <v>2.4380000000000002</v>
          </cell>
          <cell r="L6379">
            <v>148835</v>
          </cell>
          <cell r="M6379">
            <v>13229</v>
          </cell>
          <cell r="N6379">
            <v>683926.05601571908</v>
          </cell>
          <cell r="O6379">
            <v>692380.00232629513</v>
          </cell>
          <cell r="P6379">
            <v>368.79259999999999</v>
          </cell>
        </row>
        <row r="6380">
          <cell r="B6380">
            <v>39157</v>
          </cell>
          <cell r="J6380">
            <v>3809804.3041216834</v>
          </cell>
          <cell r="K6380">
            <v>2.4380000000000002</v>
          </cell>
          <cell r="L6380">
            <v>148835</v>
          </cell>
          <cell r="M6380">
            <v>13229</v>
          </cell>
          <cell r="N6380">
            <v>683926.05601571908</v>
          </cell>
          <cell r="O6380">
            <v>692380.00232629513</v>
          </cell>
          <cell r="P6380">
            <v>368.79259999999999</v>
          </cell>
        </row>
        <row r="6381">
          <cell r="B6381">
            <v>39158</v>
          </cell>
          <cell r="J6381">
            <v>3809804.3041216834</v>
          </cell>
          <cell r="K6381">
            <v>2.4380000000000002</v>
          </cell>
          <cell r="L6381">
            <v>148835</v>
          </cell>
          <cell r="M6381">
            <v>13229</v>
          </cell>
          <cell r="N6381">
            <v>683926.05601571908</v>
          </cell>
          <cell r="O6381">
            <v>692380.00232629513</v>
          </cell>
          <cell r="P6381">
            <v>368.79259999999999</v>
          </cell>
        </row>
        <row r="6382">
          <cell r="B6382">
            <v>39159</v>
          </cell>
          <cell r="J6382">
            <v>3809804.3041216834</v>
          </cell>
          <cell r="K6382">
            <v>2.4380000000000002</v>
          </cell>
          <cell r="L6382">
            <v>148835</v>
          </cell>
          <cell r="M6382">
            <v>13229</v>
          </cell>
          <cell r="N6382">
            <v>683926.05601571908</v>
          </cell>
          <cell r="O6382">
            <v>692380.00232629513</v>
          </cell>
          <cell r="P6382">
            <v>368.79259999999999</v>
          </cell>
        </row>
        <row r="6383">
          <cell r="B6383">
            <v>39160</v>
          </cell>
          <cell r="J6383">
            <v>3809804.3041216834</v>
          </cell>
          <cell r="K6383">
            <v>2.4380000000000002</v>
          </cell>
          <cell r="L6383">
            <v>148835</v>
          </cell>
          <cell r="M6383">
            <v>13229</v>
          </cell>
          <cell r="N6383">
            <v>683926.05601571908</v>
          </cell>
          <cell r="O6383">
            <v>692380.00232629513</v>
          </cell>
          <cell r="P6383">
            <v>368.79259999999999</v>
          </cell>
        </row>
        <row r="6384">
          <cell r="B6384">
            <v>39161</v>
          </cell>
          <cell r="J6384">
            <v>3809804.3041216834</v>
          </cell>
          <cell r="K6384">
            <v>2.4380000000000002</v>
          </cell>
          <cell r="L6384">
            <v>148835</v>
          </cell>
          <cell r="M6384">
            <v>13229</v>
          </cell>
          <cell r="N6384">
            <v>683926.05601571908</v>
          </cell>
          <cell r="O6384">
            <v>692380.00232629513</v>
          </cell>
          <cell r="P6384">
            <v>368.79259999999999</v>
          </cell>
        </row>
        <row r="6385">
          <cell r="B6385">
            <v>39162</v>
          </cell>
          <cell r="J6385">
            <v>3809804.3041216834</v>
          </cell>
          <cell r="K6385">
            <v>2.4380000000000002</v>
          </cell>
          <cell r="L6385">
            <v>148835</v>
          </cell>
          <cell r="M6385">
            <v>13229</v>
          </cell>
          <cell r="N6385">
            <v>683926.05601571908</v>
          </cell>
          <cell r="O6385">
            <v>692380.00232629513</v>
          </cell>
          <cell r="P6385">
            <v>368.79259999999999</v>
          </cell>
        </row>
        <row r="6386">
          <cell r="B6386">
            <v>39163</v>
          </cell>
          <cell r="J6386">
            <v>3809804.3041216834</v>
          </cell>
          <cell r="K6386">
            <v>2.4380000000000002</v>
          </cell>
          <cell r="L6386">
            <v>148835</v>
          </cell>
          <cell r="M6386">
            <v>13229</v>
          </cell>
          <cell r="N6386">
            <v>683926.05601571908</v>
          </cell>
          <cell r="O6386">
            <v>692380.00232629513</v>
          </cell>
          <cell r="P6386">
            <v>368.79259999999999</v>
          </cell>
        </row>
        <row r="6387">
          <cell r="B6387">
            <v>39164</v>
          </cell>
          <cell r="J6387">
            <v>3809804.3041216834</v>
          </cell>
          <cell r="K6387">
            <v>2.4380000000000002</v>
          </cell>
          <cell r="L6387">
            <v>148835</v>
          </cell>
          <cell r="M6387">
            <v>13229</v>
          </cell>
          <cell r="N6387">
            <v>683926.05601571908</v>
          </cell>
          <cell r="O6387">
            <v>692380.00232629513</v>
          </cell>
          <cell r="P6387">
            <v>368.79259999999999</v>
          </cell>
        </row>
        <row r="6388">
          <cell r="B6388">
            <v>39165</v>
          </cell>
          <cell r="J6388">
            <v>3809804.3041216834</v>
          </cell>
          <cell r="K6388">
            <v>2.4380000000000002</v>
          </cell>
          <cell r="L6388">
            <v>148835</v>
          </cell>
          <cell r="M6388">
            <v>13229</v>
          </cell>
          <cell r="N6388">
            <v>683926.05601571908</v>
          </cell>
          <cell r="O6388">
            <v>692380.00232629513</v>
          </cell>
          <cell r="P6388">
            <v>368.79259999999999</v>
          </cell>
        </row>
        <row r="6389">
          <cell r="B6389">
            <v>39166</v>
          </cell>
          <cell r="J6389">
            <v>3809804.3041216834</v>
          </cell>
          <cell r="K6389">
            <v>2.4380000000000002</v>
          </cell>
          <cell r="L6389">
            <v>148835</v>
          </cell>
          <cell r="M6389">
            <v>13229</v>
          </cell>
          <cell r="N6389">
            <v>683926.05601571908</v>
          </cell>
          <cell r="O6389">
            <v>692380.00232629513</v>
          </cell>
          <cell r="P6389">
            <v>368.79259999999999</v>
          </cell>
        </row>
        <row r="6390">
          <cell r="B6390">
            <v>39167</v>
          </cell>
          <cell r="J6390">
            <v>3809804.3041216834</v>
          </cell>
          <cell r="K6390">
            <v>2.4380000000000002</v>
          </cell>
          <cell r="L6390">
            <v>148835</v>
          </cell>
          <cell r="M6390">
            <v>13229</v>
          </cell>
          <cell r="N6390">
            <v>683926.05601571908</v>
          </cell>
          <cell r="O6390">
            <v>692380.00232629513</v>
          </cell>
          <cell r="P6390">
            <v>368.79259999999999</v>
          </cell>
        </row>
        <row r="6391">
          <cell r="B6391">
            <v>39168</v>
          </cell>
          <cell r="J6391">
            <v>3809804.3041216834</v>
          </cell>
          <cell r="K6391">
            <v>2.4380000000000002</v>
          </cell>
          <cell r="L6391">
            <v>148835</v>
          </cell>
          <cell r="M6391">
            <v>13229</v>
          </cell>
          <cell r="N6391">
            <v>683926.05601571908</v>
          </cell>
          <cell r="O6391">
            <v>692380.00232629513</v>
          </cell>
          <cell r="P6391">
            <v>368.79259999999999</v>
          </cell>
        </row>
        <row r="6392">
          <cell r="B6392">
            <v>39169</v>
          </cell>
          <cell r="J6392">
            <v>3809804.3041216834</v>
          </cell>
          <cell r="K6392">
            <v>2.4380000000000002</v>
          </cell>
          <cell r="L6392">
            <v>148835</v>
          </cell>
          <cell r="M6392">
            <v>13229</v>
          </cell>
          <cell r="N6392">
            <v>683926.05601571908</v>
          </cell>
          <cell r="O6392">
            <v>692380.00232629513</v>
          </cell>
          <cell r="P6392">
            <v>368.79259999999999</v>
          </cell>
        </row>
        <row r="6393">
          <cell r="B6393">
            <v>39170</v>
          </cell>
          <cell r="J6393">
            <v>3809804.3041216834</v>
          </cell>
          <cell r="K6393">
            <v>2.4380000000000002</v>
          </cell>
          <cell r="L6393">
            <v>148835</v>
          </cell>
          <cell r="M6393">
            <v>13229</v>
          </cell>
          <cell r="N6393">
            <v>683926.05601571908</v>
          </cell>
          <cell r="O6393">
            <v>692380.00232629513</v>
          </cell>
          <cell r="P6393">
            <v>368.79259999999999</v>
          </cell>
        </row>
        <row r="6394">
          <cell r="B6394">
            <v>39171</v>
          </cell>
          <cell r="J6394">
            <v>3809804.3041216834</v>
          </cell>
          <cell r="K6394">
            <v>2.4380000000000002</v>
          </cell>
          <cell r="L6394">
            <v>148835</v>
          </cell>
          <cell r="M6394">
            <v>13229</v>
          </cell>
          <cell r="N6394">
            <v>683926.05601571908</v>
          </cell>
          <cell r="O6394">
            <v>692380.00232629513</v>
          </cell>
          <cell r="P6394">
            <v>368.79259999999999</v>
          </cell>
        </row>
        <row r="6395">
          <cell r="B6395">
            <v>39172</v>
          </cell>
          <cell r="J6395">
            <v>3809804.3041216834</v>
          </cell>
          <cell r="K6395">
            <v>2.4380000000000002</v>
          </cell>
          <cell r="L6395">
            <v>148835</v>
          </cell>
          <cell r="M6395">
            <v>13229</v>
          </cell>
          <cell r="N6395">
            <v>683926.05601571908</v>
          </cell>
          <cell r="O6395">
            <v>692380.00232629513</v>
          </cell>
          <cell r="P6395">
            <v>368.79259999999999</v>
          </cell>
        </row>
        <row r="6396">
          <cell r="B6396">
            <v>39173</v>
          </cell>
          <cell r="J6396">
            <v>3809804.3041216834</v>
          </cell>
          <cell r="K6396">
            <v>2.4380000000000002</v>
          </cell>
          <cell r="L6396">
            <v>148835</v>
          </cell>
          <cell r="M6396">
            <v>13229</v>
          </cell>
          <cell r="N6396">
            <v>683926.05601571908</v>
          </cell>
          <cell r="O6396">
            <v>692380.00232629513</v>
          </cell>
          <cell r="P6396">
            <v>368.79259999999999</v>
          </cell>
        </row>
        <row r="6397">
          <cell r="B6397">
            <v>39174</v>
          </cell>
          <cell r="J6397">
            <v>3809804.3041216834</v>
          </cell>
          <cell r="K6397">
            <v>2.4380000000000002</v>
          </cell>
          <cell r="L6397">
            <v>148835</v>
          </cell>
          <cell r="M6397">
            <v>13229</v>
          </cell>
          <cell r="N6397">
            <v>683926.05601571908</v>
          </cell>
          <cell r="O6397">
            <v>692380.00232629513</v>
          </cell>
          <cell r="P6397">
            <v>368.79259999999999</v>
          </cell>
        </row>
        <row r="6398">
          <cell r="B6398">
            <v>39175</v>
          </cell>
          <cell r="J6398">
            <v>3809804.3041216834</v>
          </cell>
          <cell r="K6398">
            <v>2.4380000000000002</v>
          </cell>
          <cell r="L6398">
            <v>148835</v>
          </cell>
          <cell r="M6398">
            <v>13229</v>
          </cell>
          <cell r="N6398">
            <v>683926.05601571908</v>
          </cell>
          <cell r="O6398">
            <v>692380.00232629513</v>
          </cell>
          <cell r="P6398">
            <v>368.79259999999999</v>
          </cell>
        </row>
        <row r="6399">
          <cell r="B6399">
            <v>39176</v>
          </cell>
          <cell r="J6399">
            <v>3809804.3041216834</v>
          </cell>
          <cell r="K6399">
            <v>2.4380000000000002</v>
          </cell>
          <cell r="L6399">
            <v>148835</v>
          </cell>
          <cell r="M6399">
            <v>13229</v>
          </cell>
          <cell r="N6399">
            <v>683926.05601571908</v>
          </cell>
          <cell r="O6399">
            <v>692380.00232629513</v>
          </cell>
          <cell r="P6399">
            <v>368.79259999999999</v>
          </cell>
        </row>
        <row r="6400">
          <cell r="B6400">
            <v>39177</v>
          </cell>
          <cell r="J6400">
            <v>3809804.3041216834</v>
          </cell>
          <cell r="K6400">
            <v>2.4380000000000002</v>
          </cell>
          <cell r="L6400">
            <v>148835</v>
          </cell>
          <cell r="M6400">
            <v>13229</v>
          </cell>
          <cell r="N6400">
            <v>683926.05601571908</v>
          </cell>
          <cell r="O6400">
            <v>692380.00232629513</v>
          </cell>
          <cell r="P6400">
            <v>368.79259999999999</v>
          </cell>
        </row>
        <row r="6401">
          <cell r="B6401">
            <v>39178</v>
          </cell>
          <cell r="J6401">
            <v>3809804.3041216834</v>
          </cell>
          <cell r="K6401">
            <v>2.4380000000000002</v>
          </cell>
          <cell r="L6401">
            <v>148835</v>
          </cell>
          <cell r="M6401">
            <v>13229</v>
          </cell>
          <cell r="N6401">
            <v>683926.05601571908</v>
          </cell>
          <cell r="O6401">
            <v>692380.00232629513</v>
          </cell>
          <cell r="P6401">
            <v>368.79259999999999</v>
          </cell>
        </row>
        <row r="6402">
          <cell r="B6402">
            <v>39179</v>
          </cell>
          <cell r="J6402">
            <v>3809804.3041216834</v>
          </cell>
          <cell r="K6402">
            <v>2.4380000000000002</v>
          </cell>
          <cell r="L6402">
            <v>148835</v>
          </cell>
          <cell r="M6402">
            <v>13229</v>
          </cell>
          <cell r="N6402">
            <v>683926.05601571908</v>
          </cell>
          <cell r="O6402">
            <v>692380.00232629513</v>
          </cell>
          <cell r="P6402">
            <v>368.79259999999999</v>
          </cell>
        </row>
        <row r="6403">
          <cell r="B6403">
            <v>39180</v>
          </cell>
          <cell r="J6403">
            <v>3809804.3041216834</v>
          </cell>
          <cell r="K6403">
            <v>2.4380000000000002</v>
          </cell>
          <cell r="L6403">
            <v>148835</v>
          </cell>
          <cell r="M6403">
            <v>13229</v>
          </cell>
          <cell r="N6403">
            <v>683926.05601571908</v>
          </cell>
          <cell r="O6403">
            <v>692380.00232629513</v>
          </cell>
          <cell r="P6403">
            <v>368.79259999999999</v>
          </cell>
        </row>
        <row r="6404">
          <cell r="B6404">
            <v>39181</v>
          </cell>
          <cell r="J6404">
            <v>3809804.3041216834</v>
          </cell>
          <cell r="K6404">
            <v>2.4380000000000002</v>
          </cell>
          <cell r="L6404">
            <v>148835</v>
          </cell>
          <cell r="M6404">
            <v>13229</v>
          </cell>
          <cell r="N6404">
            <v>683926.05601571908</v>
          </cell>
          <cell r="O6404">
            <v>692380.00232629513</v>
          </cell>
          <cell r="P6404">
            <v>368.79259999999999</v>
          </cell>
        </row>
        <row r="6405">
          <cell r="B6405">
            <v>39182</v>
          </cell>
          <cell r="J6405">
            <v>3809804.3041216834</v>
          </cell>
          <cell r="K6405">
            <v>2.4380000000000002</v>
          </cell>
          <cell r="L6405">
            <v>148835</v>
          </cell>
          <cell r="M6405">
            <v>13229</v>
          </cell>
          <cell r="N6405">
            <v>683926.05601571908</v>
          </cell>
          <cell r="O6405">
            <v>692380.00232629513</v>
          </cell>
          <cell r="P6405">
            <v>368.79259999999999</v>
          </cell>
        </row>
        <row r="6406">
          <cell r="B6406">
            <v>39183</v>
          </cell>
          <cell r="J6406">
            <v>3809804.3041216834</v>
          </cell>
          <cell r="K6406">
            <v>2.4380000000000002</v>
          </cell>
          <cell r="L6406">
            <v>148835</v>
          </cell>
          <cell r="M6406">
            <v>13229</v>
          </cell>
          <cell r="N6406">
            <v>683926.05601571908</v>
          </cell>
          <cell r="O6406">
            <v>692380.00232629513</v>
          </cell>
          <cell r="P6406">
            <v>368.79259999999999</v>
          </cell>
        </row>
        <row r="6407">
          <cell r="B6407">
            <v>39184</v>
          </cell>
          <cell r="J6407">
            <v>3809804.3041216834</v>
          </cell>
          <cell r="K6407">
            <v>2.4380000000000002</v>
          </cell>
          <cell r="L6407">
            <v>148835</v>
          </cell>
          <cell r="M6407">
            <v>13229</v>
          </cell>
          <cell r="N6407">
            <v>683926.05601571908</v>
          </cell>
          <cell r="O6407">
            <v>692380.00232629513</v>
          </cell>
          <cell r="P6407">
            <v>368.79259999999999</v>
          </cell>
        </row>
        <row r="6408">
          <cell r="B6408">
            <v>39185</v>
          </cell>
          <cell r="J6408">
            <v>3809804.3041216834</v>
          </cell>
          <cell r="K6408">
            <v>2.4380000000000002</v>
          </cell>
          <cell r="L6408">
            <v>148835</v>
          </cell>
          <cell r="M6408">
            <v>13229</v>
          </cell>
          <cell r="N6408">
            <v>683926.05601571908</v>
          </cell>
          <cell r="O6408">
            <v>692380.00232629513</v>
          </cell>
          <cell r="P6408">
            <v>368.79259999999999</v>
          </cell>
        </row>
        <row r="6409">
          <cell r="B6409">
            <v>39186</v>
          </cell>
          <cell r="J6409">
            <v>3809804.3041216834</v>
          </cell>
          <cell r="K6409">
            <v>2.4380000000000002</v>
          </cell>
          <cell r="L6409">
            <v>148835</v>
          </cell>
          <cell r="M6409">
            <v>13229</v>
          </cell>
          <cell r="N6409">
            <v>683926.05601571908</v>
          </cell>
          <cell r="O6409">
            <v>692380.00232629513</v>
          </cell>
          <cell r="P6409">
            <v>368.79259999999999</v>
          </cell>
        </row>
        <row r="6410">
          <cell r="B6410">
            <v>39187</v>
          </cell>
          <cell r="J6410">
            <v>3809804.3041216834</v>
          </cell>
          <cell r="K6410">
            <v>2.4380000000000002</v>
          </cell>
          <cell r="L6410">
            <v>148835</v>
          </cell>
          <cell r="M6410">
            <v>13229</v>
          </cell>
          <cell r="N6410">
            <v>683926.05601571908</v>
          </cell>
          <cell r="O6410">
            <v>692380.00232629513</v>
          </cell>
          <cell r="P6410">
            <v>368.79259999999999</v>
          </cell>
        </row>
        <row r="6411">
          <cell r="B6411">
            <v>39188</v>
          </cell>
          <cell r="J6411">
            <v>3809804.3041216834</v>
          </cell>
          <cell r="K6411">
            <v>2.4380000000000002</v>
          </cell>
          <cell r="L6411">
            <v>148835</v>
          </cell>
          <cell r="M6411">
            <v>13229</v>
          </cell>
          <cell r="N6411">
            <v>683926.05601571908</v>
          </cell>
          <cell r="O6411">
            <v>692380.00232629513</v>
          </cell>
          <cell r="P6411">
            <v>368.79259999999999</v>
          </cell>
        </row>
        <row r="6412">
          <cell r="B6412">
            <v>39189</v>
          </cell>
          <cell r="J6412">
            <v>3809804.3041216834</v>
          </cell>
          <cell r="K6412">
            <v>2.4380000000000002</v>
          </cell>
          <cell r="L6412">
            <v>148835</v>
          </cell>
          <cell r="M6412">
            <v>13229</v>
          </cell>
          <cell r="N6412">
            <v>683926.05601571908</v>
          </cell>
          <cell r="O6412">
            <v>692380.00232629513</v>
          </cell>
          <cell r="P6412">
            <v>368.79259999999999</v>
          </cell>
        </row>
        <row r="6413">
          <cell r="B6413">
            <v>39190</v>
          </cell>
          <cell r="J6413">
            <v>3809804.3041216834</v>
          </cell>
          <cell r="K6413">
            <v>2.4380000000000002</v>
          </cell>
          <cell r="L6413">
            <v>148835</v>
          </cell>
          <cell r="M6413">
            <v>13229</v>
          </cell>
          <cell r="N6413">
            <v>683926.05601571908</v>
          </cell>
          <cell r="O6413">
            <v>692380.00232629513</v>
          </cell>
          <cell r="P6413">
            <v>368.79259999999999</v>
          </cell>
        </row>
        <row r="6414">
          <cell r="B6414">
            <v>39191</v>
          </cell>
          <cell r="J6414">
            <v>3809804.3041216834</v>
          </cell>
          <cell r="K6414">
            <v>2.4380000000000002</v>
          </cell>
          <cell r="L6414">
            <v>148835</v>
          </cell>
          <cell r="M6414">
            <v>13229</v>
          </cell>
          <cell r="N6414">
            <v>683926.05601571908</v>
          </cell>
          <cell r="O6414">
            <v>692380.00232629513</v>
          </cell>
          <cell r="P6414">
            <v>368.79259999999999</v>
          </cell>
        </row>
        <row r="6415">
          <cell r="B6415">
            <v>39192</v>
          </cell>
          <cell r="J6415">
            <v>3809804.3041216834</v>
          </cell>
          <cell r="K6415">
            <v>2.4380000000000002</v>
          </cell>
          <cell r="L6415">
            <v>148835</v>
          </cell>
          <cell r="M6415">
            <v>13229</v>
          </cell>
          <cell r="N6415">
            <v>683926.05601571908</v>
          </cell>
          <cell r="O6415">
            <v>692380.00232629513</v>
          </cell>
          <cell r="P6415">
            <v>368.79259999999999</v>
          </cell>
        </row>
        <row r="6416">
          <cell r="B6416">
            <v>39193</v>
          </cell>
          <cell r="J6416">
            <v>3809804.3041216834</v>
          </cell>
          <cell r="K6416">
            <v>2.4380000000000002</v>
          </cell>
          <cell r="L6416">
            <v>148835</v>
          </cell>
          <cell r="M6416">
            <v>13229</v>
          </cell>
          <cell r="N6416">
            <v>683926.05601571908</v>
          </cell>
          <cell r="O6416">
            <v>692380.00232629513</v>
          </cell>
          <cell r="P6416">
            <v>368.79259999999999</v>
          </cell>
        </row>
        <row r="6417">
          <cell r="B6417">
            <v>39194</v>
          </cell>
          <cell r="J6417">
            <v>3809804.3041216834</v>
          </cell>
          <cell r="K6417">
            <v>2.4380000000000002</v>
          </cell>
          <cell r="L6417">
            <v>148835</v>
          </cell>
          <cell r="M6417">
            <v>13229</v>
          </cell>
          <cell r="N6417">
            <v>683926.05601571908</v>
          </cell>
          <cell r="O6417">
            <v>692380.00232629513</v>
          </cell>
          <cell r="P6417">
            <v>368.79259999999999</v>
          </cell>
        </row>
        <row r="6418">
          <cell r="B6418">
            <v>39195</v>
          </cell>
          <cell r="J6418">
            <v>3809804.3041216834</v>
          </cell>
          <cell r="K6418">
            <v>2.4380000000000002</v>
          </cell>
          <cell r="L6418">
            <v>148835</v>
          </cell>
          <cell r="M6418">
            <v>13229</v>
          </cell>
          <cell r="N6418">
            <v>683926.05601571908</v>
          </cell>
          <cell r="O6418">
            <v>692380.00232629513</v>
          </cell>
          <cell r="P6418">
            <v>368.79259999999999</v>
          </cell>
        </row>
        <row r="6419">
          <cell r="B6419">
            <v>39196</v>
          </cell>
          <cell r="J6419">
            <v>3809804.3041216834</v>
          </cell>
          <cell r="K6419">
            <v>2.4380000000000002</v>
          </cell>
          <cell r="L6419">
            <v>148835</v>
          </cell>
          <cell r="M6419">
            <v>13229</v>
          </cell>
          <cell r="N6419">
            <v>683926.05601571908</v>
          </cell>
          <cell r="O6419">
            <v>692380.00232629513</v>
          </cell>
          <cell r="P6419">
            <v>368.79259999999999</v>
          </cell>
        </row>
        <row r="6420">
          <cell r="B6420">
            <v>39197</v>
          </cell>
          <cell r="J6420">
            <v>3809804.3041216834</v>
          </cell>
          <cell r="K6420">
            <v>2.4380000000000002</v>
          </cell>
          <cell r="L6420">
            <v>148835</v>
          </cell>
          <cell r="M6420">
            <v>13229</v>
          </cell>
          <cell r="N6420">
            <v>683926.05601571908</v>
          </cell>
          <cell r="O6420">
            <v>692380.00232629513</v>
          </cell>
          <cell r="P6420">
            <v>368.79259999999999</v>
          </cell>
        </row>
        <row r="6421">
          <cell r="B6421">
            <v>39198</v>
          </cell>
          <cell r="J6421">
            <v>3809804.3041216834</v>
          </cell>
          <cell r="K6421">
            <v>2.4380000000000002</v>
          </cell>
          <cell r="L6421">
            <v>148835</v>
          </cell>
          <cell r="M6421">
            <v>13229</v>
          </cell>
          <cell r="N6421">
            <v>683926.05601571908</v>
          </cell>
          <cell r="O6421">
            <v>692380.00232629513</v>
          </cell>
          <cell r="P6421">
            <v>368.79259999999999</v>
          </cell>
        </row>
        <row r="6422">
          <cell r="B6422">
            <v>39199</v>
          </cell>
          <cell r="J6422">
            <v>3809804.3041216834</v>
          </cell>
          <cell r="K6422">
            <v>2.4380000000000002</v>
          </cell>
          <cell r="L6422">
            <v>148835</v>
          </cell>
          <cell r="M6422">
            <v>13229</v>
          </cell>
          <cell r="N6422">
            <v>683926.05601571908</v>
          </cell>
          <cell r="O6422">
            <v>692380.00232629513</v>
          </cell>
          <cell r="P6422">
            <v>368.79259999999999</v>
          </cell>
        </row>
        <row r="6423">
          <cell r="B6423">
            <v>39200</v>
          </cell>
          <cell r="J6423">
            <v>3809804.3041216834</v>
          </cell>
          <cell r="K6423">
            <v>2.4380000000000002</v>
          </cell>
          <cell r="L6423">
            <v>148835</v>
          </cell>
          <cell r="M6423">
            <v>13229</v>
          </cell>
          <cell r="N6423">
            <v>683926.05601571908</v>
          </cell>
          <cell r="O6423">
            <v>692380.00232629513</v>
          </cell>
          <cell r="P6423">
            <v>368.79259999999999</v>
          </cell>
        </row>
        <row r="6424">
          <cell r="B6424">
            <v>39201</v>
          </cell>
          <cell r="J6424">
            <v>3809804.3041216834</v>
          </cell>
          <cell r="K6424">
            <v>2.4380000000000002</v>
          </cell>
          <cell r="L6424">
            <v>148835</v>
          </cell>
          <cell r="M6424">
            <v>13229</v>
          </cell>
          <cell r="N6424">
            <v>683926.05601571908</v>
          </cell>
          <cell r="O6424">
            <v>692380.00232629513</v>
          </cell>
          <cell r="P6424">
            <v>368.79259999999999</v>
          </cell>
        </row>
        <row r="6425">
          <cell r="B6425">
            <v>39202</v>
          </cell>
          <cell r="J6425">
            <v>3809804.3041216834</v>
          </cell>
          <cell r="K6425">
            <v>2.4380000000000002</v>
          </cell>
          <cell r="L6425">
            <v>148835</v>
          </cell>
          <cell r="M6425">
            <v>13229</v>
          </cell>
          <cell r="N6425">
            <v>683926.05601571908</v>
          </cell>
          <cell r="O6425">
            <v>692380.00232629513</v>
          </cell>
          <cell r="P6425">
            <v>368.79259999999999</v>
          </cell>
        </row>
        <row r="6426">
          <cell r="B6426">
            <v>39203</v>
          </cell>
          <cell r="J6426">
            <v>3809804.3041216834</v>
          </cell>
          <cell r="K6426">
            <v>2.4380000000000002</v>
          </cell>
          <cell r="L6426">
            <v>148835</v>
          </cell>
          <cell r="M6426">
            <v>13229</v>
          </cell>
          <cell r="N6426">
            <v>683926.05601571908</v>
          </cell>
          <cell r="O6426">
            <v>692380.00232629513</v>
          </cell>
          <cell r="P6426">
            <v>368.79259999999999</v>
          </cell>
        </row>
        <row r="6427">
          <cell r="B6427">
            <v>39204</v>
          </cell>
          <cell r="J6427">
            <v>3809804.3041216834</v>
          </cell>
          <cell r="K6427">
            <v>2.4380000000000002</v>
          </cell>
          <cell r="L6427">
            <v>148835</v>
          </cell>
          <cell r="M6427">
            <v>13229</v>
          </cell>
          <cell r="N6427">
            <v>683926.05601571908</v>
          </cell>
          <cell r="O6427">
            <v>692380.00232629513</v>
          </cell>
          <cell r="P6427">
            <v>368.79259999999999</v>
          </cell>
        </row>
        <row r="6428">
          <cell r="B6428">
            <v>39205</v>
          </cell>
          <cell r="J6428">
            <v>3809804.3041216834</v>
          </cell>
          <cell r="K6428">
            <v>2.4380000000000002</v>
          </cell>
          <cell r="L6428">
            <v>148835</v>
          </cell>
          <cell r="M6428">
            <v>13229</v>
          </cell>
          <cell r="N6428">
            <v>683926.05601571908</v>
          </cell>
          <cell r="O6428">
            <v>692380.00232629513</v>
          </cell>
          <cell r="P6428">
            <v>368.79259999999999</v>
          </cell>
        </row>
        <row r="6429">
          <cell r="B6429">
            <v>39206</v>
          </cell>
          <cell r="J6429">
            <v>3809804.3041216834</v>
          </cell>
          <cell r="K6429">
            <v>2.4380000000000002</v>
          </cell>
          <cell r="L6429">
            <v>148835</v>
          </cell>
          <cell r="M6429">
            <v>13229</v>
          </cell>
          <cell r="N6429">
            <v>683926.05601571908</v>
          </cell>
          <cell r="O6429">
            <v>692380.00232629513</v>
          </cell>
          <cell r="P6429">
            <v>368.79259999999999</v>
          </cell>
        </row>
        <row r="6430">
          <cell r="B6430">
            <v>39207</v>
          </cell>
          <cell r="J6430">
            <v>3809804.3041216834</v>
          </cell>
          <cell r="K6430">
            <v>2.4380000000000002</v>
          </cell>
          <cell r="L6430">
            <v>148835</v>
          </cell>
          <cell r="M6430">
            <v>13229</v>
          </cell>
          <cell r="N6430">
            <v>683926.05601571908</v>
          </cell>
          <cell r="O6430">
            <v>692380.00232629513</v>
          </cell>
          <cell r="P6430">
            <v>368.79259999999999</v>
          </cell>
        </row>
        <row r="6431">
          <cell r="B6431">
            <v>39208</v>
          </cell>
          <cell r="J6431">
            <v>3809804.3041216834</v>
          </cell>
          <cell r="K6431">
            <v>2.4380000000000002</v>
          </cell>
          <cell r="L6431">
            <v>148835</v>
          </cell>
          <cell r="M6431">
            <v>13229</v>
          </cell>
          <cell r="N6431">
            <v>683926.05601571908</v>
          </cell>
          <cell r="O6431">
            <v>692380.00232629513</v>
          </cell>
          <cell r="P6431">
            <v>368.79259999999999</v>
          </cell>
        </row>
        <row r="6432">
          <cell r="B6432">
            <v>39209</v>
          </cell>
          <cell r="J6432">
            <v>3809804.3041216834</v>
          </cell>
          <cell r="K6432">
            <v>2.4380000000000002</v>
          </cell>
          <cell r="L6432">
            <v>148835</v>
          </cell>
          <cell r="M6432">
            <v>13229</v>
          </cell>
          <cell r="N6432">
            <v>683926.05601571908</v>
          </cell>
          <cell r="O6432">
            <v>692380.00232629513</v>
          </cell>
          <cell r="P6432">
            <v>368.79259999999999</v>
          </cell>
        </row>
        <row r="6433">
          <cell r="B6433">
            <v>39210</v>
          </cell>
          <cell r="J6433">
            <v>3809804.3041216834</v>
          </cell>
          <cell r="K6433">
            <v>2.4380000000000002</v>
          </cell>
          <cell r="L6433">
            <v>148835</v>
          </cell>
          <cell r="M6433">
            <v>13229</v>
          </cell>
          <cell r="N6433">
            <v>683926.05601571908</v>
          </cell>
          <cell r="O6433">
            <v>692380.00232629513</v>
          </cell>
          <cell r="P6433">
            <v>368.79259999999999</v>
          </cell>
        </row>
        <row r="6434">
          <cell r="B6434">
            <v>39211</v>
          </cell>
          <cell r="J6434">
            <v>3809804.3041216834</v>
          </cell>
          <cell r="K6434">
            <v>2.4380000000000002</v>
          </cell>
          <cell r="L6434">
            <v>148835</v>
          </cell>
          <cell r="M6434">
            <v>13229</v>
          </cell>
          <cell r="N6434">
            <v>683926.05601571908</v>
          </cell>
          <cell r="O6434">
            <v>692380.00232629513</v>
          </cell>
          <cell r="P6434">
            <v>368.79259999999999</v>
          </cell>
        </row>
        <row r="6435">
          <cell r="B6435">
            <v>39212</v>
          </cell>
          <cell r="J6435">
            <v>3809804.3041216834</v>
          </cell>
          <cell r="K6435">
            <v>2.4380000000000002</v>
          </cell>
          <cell r="L6435">
            <v>148835</v>
          </cell>
          <cell r="M6435">
            <v>13229</v>
          </cell>
          <cell r="N6435">
            <v>683926.05601571908</v>
          </cell>
          <cell r="O6435">
            <v>692380.00232629513</v>
          </cell>
          <cell r="P6435">
            <v>368.79259999999999</v>
          </cell>
        </row>
        <row r="6436">
          <cell r="B6436">
            <v>39213</v>
          </cell>
          <cell r="J6436">
            <v>3809804.3041216834</v>
          </cell>
          <cell r="K6436">
            <v>2.4380000000000002</v>
          </cell>
          <cell r="L6436">
            <v>148835</v>
          </cell>
          <cell r="M6436">
            <v>13229</v>
          </cell>
          <cell r="N6436">
            <v>683926.05601571908</v>
          </cell>
          <cell r="O6436">
            <v>692380.00232629513</v>
          </cell>
          <cell r="P6436">
            <v>368.79259999999999</v>
          </cell>
        </row>
        <row r="6437">
          <cell r="B6437">
            <v>39214</v>
          </cell>
          <cell r="J6437">
            <v>3809804.3041216834</v>
          </cell>
          <cell r="K6437">
            <v>2.4380000000000002</v>
          </cell>
          <cell r="L6437">
            <v>148835</v>
          </cell>
          <cell r="M6437">
            <v>13229</v>
          </cell>
          <cell r="N6437">
            <v>683926.05601571908</v>
          </cell>
          <cell r="O6437">
            <v>692380.00232629513</v>
          </cell>
          <cell r="P6437">
            <v>368.79259999999999</v>
          </cell>
        </row>
        <row r="6438">
          <cell r="B6438">
            <v>39215</v>
          </cell>
          <cell r="J6438">
            <v>3809804.3041216834</v>
          </cell>
          <cell r="K6438">
            <v>2.4380000000000002</v>
          </cell>
          <cell r="L6438">
            <v>148835</v>
          </cell>
          <cell r="M6438">
            <v>13229</v>
          </cell>
          <cell r="N6438">
            <v>683926.05601571908</v>
          </cell>
          <cell r="O6438">
            <v>692380.00232629513</v>
          </cell>
          <cell r="P6438">
            <v>368.79259999999999</v>
          </cell>
        </row>
        <row r="6439">
          <cell r="B6439">
            <v>39216</v>
          </cell>
          <cell r="J6439">
            <v>3809804.3041216834</v>
          </cell>
          <cell r="K6439">
            <v>2.4380000000000002</v>
          </cell>
          <cell r="L6439">
            <v>148835</v>
          </cell>
          <cell r="M6439">
            <v>13229</v>
          </cell>
          <cell r="N6439">
            <v>683926.05601571908</v>
          </cell>
          <cell r="O6439">
            <v>692380.00232629513</v>
          </cell>
          <cell r="P6439">
            <v>368.79259999999999</v>
          </cell>
        </row>
        <row r="6440">
          <cell r="B6440">
            <v>39217</v>
          </cell>
          <cell r="J6440">
            <v>3809804.3041216834</v>
          </cell>
          <cell r="K6440">
            <v>2.4380000000000002</v>
          </cell>
          <cell r="L6440">
            <v>148835</v>
          </cell>
          <cell r="M6440">
            <v>13229</v>
          </cell>
          <cell r="N6440">
            <v>683926.05601571908</v>
          </cell>
          <cell r="O6440">
            <v>692380.00232629513</v>
          </cell>
          <cell r="P6440">
            <v>368.79259999999999</v>
          </cell>
        </row>
        <row r="6441">
          <cell r="B6441">
            <v>39218</v>
          </cell>
          <cell r="J6441">
            <v>3809804.3041216834</v>
          </cell>
          <cell r="K6441">
            <v>2.4380000000000002</v>
          </cell>
          <cell r="L6441">
            <v>148835</v>
          </cell>
          <cell r="M6441">
            <v>13229</v>
          </cell>
          <cell r="N6441">
            <v>683926.05601571908</v>
          </cell>
          <cell r="O6441">
            <v>692380.00232629513</v>
          </cell>
          <cell r="P6441">
            <v>368.79259999999999</v>
          </cell>
        </row>
        <row r="6442">
          <cell r="B6442">
            <v>39219</v>
          </cell>
          <cell r="J6442">
            <v>3809804.3041216834</v>
          </cell>
          <cell r="K6442">
            <v>2.4380000000000002</v>
          </cell>
          <cell r="L6442">
            <v>148835</v>
          </cell>
          <cell r="M6442">
            <v>13229</v>
          </cell>
          <cell r="N6442">
            <v>683926.05601571908</v>
          </cell>
          <cell r="O6442">
            <v>692380.00232629513</v>
          </cell>
          <cell r="P6442">
            <v>368.79259999999999</v>
          </cell>
        </row>
        <row r="6443">
          <cell r="B6443">
            <v>39220</v>
          </cell>
          <cell r="J6443">
            <v>3809804.3041216834</v>
          </cell>
          <cell r="K6443">
            <v>2.4380000000000002</v>
          </cell>
          <cell r="L6443">
            <v>148835</v>
          </cell>
          <cell r="M6443">
            <v>13229</v>
          </cell>
          <cell r="N6443">
            <v>683926.05601571908</v>
          </cell>
          <cell r="O6443">
            <v>692380.00232629513</v>
          </cell>
          <cell r="P6443">
            <v>368.79259999999999</v>
          </cell>
        </row>
        <row r="6444">
          <cell r="B6444">
            <v>39221</v>
          </cell>
          <cell r="J6444">
            <v>3809804.3041216834</v>
          </cell>
          <cell r="K6444">
            <v>2.4380000000000002</v>
          </cell>
          <cell r="L6444">
            <v>148835</v>
          </cell>
          <cell r="M6444">
            <v>13229</v>
          </cell>
          <cell r="N6444">
            <v>683926.05601571908</v>
          </cell>
          <cell r="O6444">
            <v>692380.00232629513</v>
          </cell>
          <cell r="P6444">
            <v>368.79259999999999</v>
          </cell>
        </row>
        <row r="6445">
          <cell r="B6445">
            <v>39222</v>
          </cell>
          <cell r="J6445">
            <v>3809804.3041216834</v>
          </cell>
          <cell r="K6445">
            <v>2.4380000000000002</v>
          </cell>
          <cell r="L6445">
            <v>148835</v>
          </cell>
          <cell r="M6445">
            <v>13229</v>
          </cell>
          <cell r="N6445">
            <v>683926.05601571908</v>
          </cell>
          <cell r="O6445">
            <v>692380.00232629513</v>
          </cell>
          <cell r="P6445">
            <v>368.79259999999999</v>
          </cell>
        </row>
        <row r="6446">
          <cell r="B6446">
            <v>39223</v>
          </cell>
          <cell r="J6446">
            <v>3809804.3041216834</v>
          </cell>
          <cell r="K6446">
            <v>2.4380000000000002</v>
          </cell>
          <cell r="L6446">
            <v>148835</v>
          </cell>
          <cell r="M6446">
            <v>13229</v>
          </cell>
          <cell r="N6446">
            <v>683926.05601571908</v>
          </cell>
          <cell r="O6446">
            <v>692380.00232629513</v>
          </cell>
          <cell r="P6446">
            <v>368.79259999999999</v>
          </cell>
        </row>
        <row r="6447">
          <cell r="B6447">
            <v>39224</v>
          </cell>
          <cell r="J6447">
            <v>3809804.3041216834</v>
          </cell>
          <cell r="K6447">
            <v>2.4380000000000002</v>
          </cell>
          <cell r="L6447">
            <v>148835</v>
          </cell>
          <cell r="M6447">
            <v>13229</v>
          </cell>
          <cell r="N6447">
            <v>683926.05601571908</v>
          </cell>
          <cell r="O6447">
            <v>692380.00232629513</v>
          </cell>
          <cell r="P6447">
            <v>368.79259999999999</v>
          </cell>
        </row>
        <row r="6448">
          <cell r="B6448">
            <v>39225</v>
          </cell>
          <cell r="J6448">
            <v>3809804.3041216834</v>
          </cell>
          <cell r="K6448">
            <v>2.4380000000000002</v>
          </cell>
          <cell r="L6448">
            <v>148835</v>
          </cell>
          <cell r="M6448">
            <v>13229</v>
          </cell>
          <cell r="N6448">
            <v>683926.05601571908</v>
          </cell>
          <cell r="O6448">
            <v>692380.00232629513</v>
          </cell>
          <cell r="P6448">
            <v>368.79259999999999</v>
          </cell>
        </row>
        <row r="6449">
          <cell r="B6449">
            <v>39226</v>
          </cell>
          <cell r="J6449">
            <v>3809804.3041216834</v>
          </cell>
          <cell r="K6449">
            <v>2.4380000000000002</v>
          </cell>
          <cell r="L6449">
            <v>148835</v>
          </cell>
          <cell r="M6449">
            <v>13229</v>
          </cell>
          <cell r="N6449">
            <v>683926.05601571908</v>
          </cell>
          <cell r="O6449">
            <v>692380.00232629513</v>
          </cell>
          <cell r="P6449">
            <v>368.79259999999999</v>
          </cell>
        </row>
        <row r="6450">
          <cell r="B6450">
            <v>39227</v>
          </cell>
          <cell r="J6450">
            <v>3809804.3041216834</v>
          </cell>
          <cell r="K6450">
            <v>2.4380000000000002</v>
          </cell>
          <cell r="L6450">
            <v>148835</v>
          </cell>
          <cell r="M6450">
            <v>13229</v>
          </cell>
          <cell r="N6450">
            <v>683926.05601571908</v>
          </cell>
          <cell r="O6450">
            <v>692380.00232629513</v>
          </cell>
          <cell r="P6450">
            <v>368.79259999999999</v>
          </cell>
        </row>
        <row r="6451">
          <cell r="B6451">
            <v>39228</v>
          </cell>
          <cell r="J6451">
            <v>3809804.3041216834</v>
          </cell>
          <cell r="K6451">
            <v>2.4380000000000002</v>
          </cell>
          <cell r="L6451">
            <v>148835</v>
          </cell>
          <cell r="M6451">
            <v>13229</v>
          </cell>
          <cell r="N6451">
            <v>683926.05601571908</v>
          </cell>
          <cell r="O6451">
            <v>692380.00232629513</v>
          </cell>
          <cell r="P6451">
            <v>368.79259999999999</v>
          </cell>
        </row>
        <row r="6452">
          <cell r="B6452">
            <v>39229</v>
          </cell>
          <cell r="J6452">
            <v>3809804.3041216834</v>
          </cell>
          <cell r="K6452">
            <v>2.4380000000000002</v>
          </cell>
          <cell r="L6452">
            <v>148835</v>
          </cell>
          <cell r="M6452">
            <v>13229</v>
          </cell>
          <cell r="N6452">
            <v>683926.05601571908</v>
          </cell>
          <cell r="O6452">
            <v>692380.00232629513</v>
          </cell>
          <cell r="P6452">
            <v>368.79259999999999</v>
          </cell>
        </row>
        <row r="6453">
          <cell r="B6453">
            <v>39230</v>
          </cell>
          <cell r="J6453">
            <v>3809804.3041216834</v>
          </cell>
          <cell r="K6453">
            <v>2.4380000000000002</v>
          </cell>
          <cell r="L6453">
            <v>148835</v>
          </cell>
          <cell r="M6453">
            <v>13229</v>
          </cell>
          <cell r="N6453">
            <v>683926.05601571908</v>
          </cell>
          <cell r="O6453">
            <v>692380.00232629513</v>
          </cell>
          <cell r="P6453">
            <v>368.79259999999999</v>
          </cell>
        </row>
        <row r="6454">
          <cell r="B6454">
            <v>39231</v>
          </cell>
          <cell r="J6454">
            <v>3809804.3041216834</v>
          </cell>
          <cell r="K6454">
            <v>2.4380000000000002</v>
          </cell>
          <cell r="L6454">
            <v>148835</v>
          </cell>
          <cell r="M6454">
            <v>13229</v>
          </cell>
          <cell r="N6454">
            <v>683926.05601571908</v>
          </cell>
          <cell r="O6454">
            <v>692380.00232629513</v>
          </cell>
          <cell r="P6454">
            <v>368.79259999999999</v>
          </cell>
        </row>
        <row r="6455">
          <cell r="B6455">
            <v>39232</v>
          </cell>
          <cell r="J6455">
            <v>3809804.3041216834</v>
          </cell>
          <cell r="K6455">
            <v>2.4380000000000002</v>
          </cell>
          <cell r="L6455">
            <v>148835</v>
          </cell>
          <cell r="M6455">
            <v>13229</v>
          </cell>
          <cell r="N6455">
            <v>683926.05601571908</v>
          </cell>
          <cell r="O6455">
            <v>692380.00232629513</v>
          </cell>
          <cell r="P6455">
            <v>368.79259999999999</v>
          </cell>
        </row>
        <row r="6456">
          <cell r="B6456">
            <v>39233</v>
          </cell>
          <cell r="J6456">
            <v>3809804.3041216834</v>
          </cell>
          <cell r="K6456">
            <v>2.4380000000000002</v>
          </cell>
          <cell r="L6456">
            <v>148835</v>
          </cell>
          <cell r="M6456">
            <v>13229</v>
          </cell>
          <cell r="N6456">
            <v>683926.05601571908</v>
          </cell>
          <cell r="O6456">
            <v>692380.00232629513</v>
          </cell>
          <cell r="P6456">
            <v>368.79259999999999</v>
          </cell>
        </row>
        <row r="6457">
          <cell r="B6457">
            <v>39234</v>
          </cell>
          <cell r="J6457">
            <v>3809804.3041216834</v>
          </cell>
          <cell r="K6457">
            <v>2.4380000000000002</v>
          </cell>
          <cell r="L6457">
            <v>148835</v>
          </cell>
          <cell r="M6457">
            <v>13229</v>
          </cell>
          <cell r="N6457">
            <v>683926.05601571908</v>
          </cell>
          <cell r="O6457">
            <v>692380.00232629513</v>
          </cell>
          <cell r="P6457">
            <v>368.79259999999999</v>
          </cell>
        </row>
        <row r="6458">
          <cell r="B6458">
            <v>39235</v>
          </cell>
          <cell r="J6458">
            <v>3809804.3041216834</v>
          </cell>
          <cell r="K6458">
            <v>2.4380000000000002</v>
          </cell>
          <cell r="L6458">
            <v>148835</v>
          </cell>
          <cell r="M6458">
            <v>13229</v>
          </cell>
          <cell r="N6458">
            <v>683926.05601571908</v>
          </cell>
          <cell r="O6458">
            <v>692380.00232629513</v>
          </cell>
          <cell r="P6458">
            <v>368.79259999999999</v>
          </cell>
        </row>
        <row r="6459">
          <cell r="B6459">
            <v>39236</v>
          </cell>
          <cell r="J6459">
            <v>3809804.3041216834</v>
          </cell>
          <cell r="K6459">
            <v>2.4380000000000002</v>
          </cell>
          <cell r="L6459">
            <v>148835</v>
          </cell>
          <cell r="M6459">
            <v>13229</v>
          </cell>
          <cell r="N6459">
            <v>683926.05601571908</v>
          </cell>
          <cell r="O6459">
            <v>692380.00232629513</v>
          </cell>
          <cell r="P6459">
            <v>368.79259999999999</v>
          </cell>
        </row>
        <row r="6460">
          <cell r="B6460">
            <v>39237</v>
          </cell>
          <cell r="J6460">
            <v>3809804.3041216834</v>
          </cell>
          <cell r="K6460">
            <v>2.4380000000000002</v>
          </cell>
          <cell r="L6460">
            <v>148835</v>
          </cell>
          <cell r="M6460">
            <v>13229</v>
          </cell>
          <cell r="N6460">
            <v>683926.05601571908</v>
          </cell>
          <cell r="O6460">
            <v>692380.00232629513</v>
          </cell>
          <cell r="P6460">
            <v>368.79259999999999</v>
          </cell>
        </row>
        <row r="6461">
          <cell r="B6461">
            <v>39238</v>
          </cell>
          <cell r="J6461">
            <v>3809804.3041216834</v>
          </cell>
          <cell r="K6461">
            <v>2.4380000000000002</v>
          </cell>
          <cell r="L6461">
            <v>148835</v>
          </cell>
          <cell r="M6461">
            <v>13229</v>
          </cell>
          <cell r="N6461">
            <v>683926.05601571908</v>
          </cell>
          <cell r="O6461">
            <v>692380.00232629513</v>
          </cell>
          <cell r="P6461">
            <v>368.79259999999999</v>
          </cell>
        </row>
        <row r="6462">
          <cell r="B6462">
            <v>39239</v>
          </cell>
          <cell r="J6462">
            <v>3809804.3041216834</v>
          </cell>
          <cell r="K6462">
            <v>2.4380000000000002</v>
          </cell>
          <cell r="L6462">
            <v>148835</v>
          </cell>
          <cell r="M6462">
            <v>13229</v>
          </cell>
          <cell r="N6462">
            <v>683926.05601571908</v>
          </cell>
          <cell r="O6462">
            <v>692380.00232629513</v>
          </cell>
          <cell r="P6462">
            <v>368.79259999999999</v>
          </cell>
        </row>
        <row r="6463">
          <cell r="B6463">
            <v>39240</v>
          </cell>
          <cell r="J6463">
            <v>3809804.3041216834</v>
          </cell>
          <cell r="K6463">
            <v>2.4380000000000002</v>
          </cell>
          <cell r="L6463">
            <v>148835</v>
          </cell>
          <cell r="M6463">
            <v>13229</v>
          </cell>
          <cell r="N6463">
            <v>683926.05601571908</v>
          </cell>
          <cell r="O6463">
            <v>692380.00232629513</v>
          </cell>
          <cell r="P6463">
            <v>368.79259999999999</v>
          </cell>
        </row>
        <row r="6464">
          <cell r="B6464">
            <v>39241</v>
          </cell>
          <cell r="J6464">
            <v>3809804.3041216834</v>
          </cell>
          <cell r="K6464">
            <v>2.4380000000000002</v>
          </cell>
          <cell r="L6464">
            <v>148835</v>
          </cell>
          <cell r="M6464">
            <v>13229</v>
          </cell>
          <cell r="N6464">
            <v>683926.05601571908</v>
          </cell>
          <cell r="O6464">
            <v>692380.00232629513</v>
          </cell>
          <cell r="P6464">
            <v>368.79259999999999</v>
          </cell>
        </row>
        <row r="6465">
          <cell r="B6465">
            <v>39242</v>
          </cell>
          <cell r="J6465">
            <v>3809804.3041216834</v>
          </cell>
          <cell r="K6465">
            <v>2.4380000000000002</v>
          </cell>
          <cell r="L6465">
            <v>148835</v>
          </cell>
          <cell r="M6465">
            <v>13229</v>
          </cell>
          <cell r="N6465">
            <v>683926.05601571908</v>
          </cell>
          <cell r="O6465">
            <v>692380.00232629513</v>
          </cell>
          <cell r="P6465">
            <v>368.79259999999999</v>
          </cell>
        </row>
        <row r="6466">
          <cell r="B6466">
            <v>39243</v>
          </cell>
          <cell r="J6466">
            <v>3809804.3041216834</v>
          </cell>
          <cell r="K6466">
            <v>2.4380000000000002</v>
          </cell>
          <cell r="L6466">
            <v>148835</v>
          </cell>
          <cell r="M6466">
            <v>13229</v>
          </cell>
          <cell r="N6466">
            <v>683926.05601571908</v>
          </cell>
          <cell r="O6466">
            <v>692380.00232629513</v>
          </cell>
          <cell r="P6466">
            <v>368.79259999999999</v>
          </cell>
        </row>
        <row r="6467">
          <cell r="B6467">
            <v>39244</v>
          </cell>
          <cell r="J6467">
            <v>3809804.3041216834</v>
          </cell>
          <cell r="K6467">
            <v>2.4380000000000002</v>
          </cell>
          <cell r="L6467">
            <v>148835</v>
          </cell>
          <cell r="M6467">
            <v>13229</v>
          </cell>
          <cell r="N6467">
            <v>683926.05601571908</v>
          </cell>
          <cell r="O6467">
            <v>692380.00232629513</v>
          </cell>
          <cell r="P6467">
            <v>368.79259999999999</v>
          </cell>
        </row>
        <row r="6468">
          <cell r="B6468">
            <v>39245</v>
          </cell>
          <cell r="J6468">
            <v>3809804.3041216834</v>
          </cell>
          <cell r="K6468">
            <v>2.4380000000000002</v>
          </cell>
          <cell r="L6468">
            <v>148835</v>
          </cell>
          <cell r="M6468">
            <v>13229</v>
          </cell>
          <cell r="N6468">
            <v>683926.05601571908</v>
          </cell>
          <cell r="O6468">
            <v>692380.00232629513</v>
          </cell>
          <cell r="P6468">
            <v>368.79259999999999</v>
          </cell>
        </row>
        <row r="6469">
          <cell r="B6469">
            <v>39246</v>
          </cell>
          <cell r="J6469">
            <v>3809804.3041216834</v>
          </cell>
          <cell r="K6469">
            <v>2.4380000000000002</v>
          </cell>
          <cell r="L6469">
            <v>148835</v>
          </cell>
          <cell r="M6469">
            <v>13229</v>
          </cell>
          <cell r="N6469">
            <v>683926.05601571908</v>
          </cell>
          <cell r="O6469">
            <v>692380.00232629513</v>
          </cell>
          <cell r="P6469">
            <v>368.79259999999999</v>
          </cell>
        </row>
        <row r="6470">
          <cell r="B6470">
            <v>39247</v>
          </cell>
          <cell r="J6470">
            <v>3809804.3041216834</v>
          </cell>
          <cell r="K6470">
            <v>2.4380000000000002</v>
          </cell>
          <cell r="L6470">
            <v>148835</v>
          </cell>
          <cell r="M6470">
            <v>13229</v>
          </cell>
          <cell r="N6470">
            <v>683926.05601571908</v>
          </cell>
          <cell r="O6470">
            <v>692380.00232629513</v>
          </cell>
          <cell r="P6470">
            <v>368.79259999999999</v>
          </cell>
        </row>
        <row r="6471">
          <cell r="B6471">
            <v>39248</v>
          </cell>
          <cell r="J6471">
            <v>3809804.3041216834</v>
          </cell>
          <cell r="K6471">
            <v>2.4380000000000002</v>
          </cell>
          <cell r="L6471">
            <v>148835</v>
          </cell>
          <cell r="M6471">
            <v>13229</v>
          </cell>
          <cell r="N6471">
            <v>683926.05601571908</v>
          </cell>
          <cell r="O6471">
            <v>692380.00232629513</v>
          </cell>
          <cell r="P6471">
            <v>368.79259999999999</v>
          </cell>
        </row>
        <row r="6472">
          <cell r="B6472">
            <v>39249</v>
          </cell>
          <cell r="J6472">
            <v>3809804.3041216834</v>
          </cell>
          <cell r="K6472">
            <v>2.4380000000000002</v>
          </cell>
          <cell r="L6472">
            <v>148835</v>
          </cell>
          <cell r="M6472">
            <v>13229</v>
          </cell>
          <cell r="N6472">
            <v>683926.05601571908</v>
          </cell>
          <cell r="O6472">
            <v>692380.00232629513</v>
          </cell>
          <cell r="P6472">
            <v>368.79259999999999</v>
          </cell>
        </row>
        <row r="6473">
          <cell r="B6473">
            <v>39250</v>
          </cell>
          <cell r="J6473">
            <v>3809804.3041216834</v>
          </cell>
          <cell r="K6473">
            <v>2.4380000000000002</v>
          </cell>
          <cell r="L6473">
            <v>148835</v>
          </cell>
          <cell r="M6473">
            <v>13229</v>
          </cell>
          <cell r="N6473">
            <v>683926.05601571908</v>
          </cell>
          <cell r="O6473">
            <v>692380.00232629513</v>
          </cell>
          <cell r="P6473">
            <v>368.79259999999999</v>
          </cell>
        </row>
        <row r="6474">
          <cell r="B6474">
            <v>39251</v>
          </cell>
          <cell r="J6474">
            <v>3809804.3041216834</v>
          </cell>
          <cell r="K6474">
            <v>2.4380000000000002</v>
          </cell>
          <cell r="L6474">
            <v>148835</v>
          </cell>
          <cell r="M6474">
            <v>13229</v>
          </cell>
          <cell r="N6474">
            <v>683926.05601571908</v>
          </cell>
          <cell r="O6474">
            <v>692380.00232629513</v>
          </cell>
          <cell r="P6474">
            <v>368.79259999999999</v>
          </cell>
        </row>
        <row r="6475">
          <cell r="B6475">
            <v>39252</v>
          </cell>
          <cell r="J6475">
            <v>3809804.3041216834</v>
          </cell>
          <cell r="K6475">
            <v>2.4380000000000002</v>
          </cell>
          <cell r="L6475">
            <v>148835</v>
          </cell>
          <cell r="M6475">
            <v>13229</v>
          </cell>
          <cell r="N6475">
            <v>683926.05601571908</v>
          </cell>
          <cell r="O6475">
            <v>692380.00232629513</v>
          </cell>
          <cell r="P6475">
            <v>368.79259999999999</v>
          </cell>
        </row>
        <row r="6476">
          <cell r="B6476">
            <v>39253</v>
          </cell>
          <cell r="J6476">
            <v>3809804.3041216834</v>
          </cell>
          <cell r="K6476">
            <v>2.4380000000000002</v>
          </cell>
          <cell r="L6476">
            <v>148835</v>
          </cell>
          <cell r="M6476">
            <v>13229</v>
          </cell>
          <cell r="N6476">
            <v>683926.05601571908</v>
          </cell>
          <cell r="O6476">
            <v>692380.00232629513</v>
          </cell>
          <cell r="P6476">
            <v>368.79259999999999</v>
          </cell>
        </row>
        <row r="6477">
          <cell r="B6477">
            <v>39254</v>
          </cell>
          <cell r="J6477">
            <v>3809804.3041216834</v>
          </cell>
          <cell r="K6477">
            <v>2.4380000000000002</v>
          </cell>
          <cell r="L6477">
            <v>148835</v>
          </cell>
          <cell r="M6477">
            <v>13229</v>
          </cell>
          <cell r="N6477">
            <v>683926.05601571908</v>
          </cell>
          <cell r="O6477">
            <v>692380.00232629513</v>
          </cell>
          <cell r="P6477">
            <v>368.79259999999999</v>
          </cell>
        </row>
        <row r="6478">
          <cell r="B6478">
            <v>39255</v>
          </cell>
          <cell r="J6478">
            <v>3809804.3041216834</v>
          </cell>
          <cell r="K6478">
            <v>2.4380000000000002</v>
          </cell>
          <cell r="L6478">
            <v>148835</v>
          </cell>
          <cell r="M6478">
            <v>13229</v>
          </cell>
          <cell r="N6478">
            <v>683926.05601571908</v>
          </cell>
          <cell r="O6478">
            <v>692380.00232629513</v>
          </cell>
          <cell r="P6478">
            <v>368.79259999999999</v>
          </cell>
        </row>
        <row r="6479">
          <cell r="B6479">
            <v>39256</v>
          </cell>
          <cell r="J6479">
            <v>3809804.3041216834</v>
          </cell>
          <cell r="K6479">
            <v>2.4380000000000002</v>
          </cell>
          <cell r="L6479">
            <v>148835</v>
          </cell>
          <cell r="M6479">
            <v>13229</v>
          </cell>
          <cell r="N6479">
            <v>683926.05601571908</v>
          </cell>
          <cell r="O6479">
            <v>692380.00232629513</v>
          </cell>
          <cell r="P6479">
            <v>368.79259999999999</v>
          </cell>
        </row>
        <row r="6480">
          <cell r="B6480">
            <v>39257</v>
          </cell>
          <cell r="J6480">
            <v>3809804.3041216834</v>
          </cell>
          <cell r="K6480">
            <v>2.4380000000000002</v>
          </cell>
          <cell r="L6480">
            <v>148835</v>
          </cell>
          <cell r="M6480">
            <v>13229</v>
          </cell>
          <cell r="N6480">
            <v>683926.05601571908</v>
          </cell>
          <cell r="O6480">
            <v>692380.00232629513</v>
          </cell>
          <cell r="P6480">
            <v>368.79259999999999</v>
          </cell>
        </row>
        <row r="6481">
          <cell r="B6481">
            <v>39258</v>
          </cell>
          <cell r="J6481">
            <v>3809804.3041216834</v>
          </cell>
          <cell r="K6481">
            <v>2.4380000000000002</v>
          </cell>
          <cell r="L6481">
            <v>148835</v>
          </cell>
          <cell r="M6481">
            <v>13229</v>
          </cell>
          <cell r="N6481">
            <v>683926.05601571908</v>
          </cell>
          <cell r="O6481">
            <v>692380.00232629513</v>
          </cell>
          <cell r="P6481">
            <v>368.79259999999999</v>
          </cell>
        </row>
        <row r="6482">
          <cell r="B6482">
            <v>39259</v>
          </cell>
          <cell r="J6482">
            <v>3809804.3041216834</v>
          </cell>
          <cell r="K6482">
            <v>2.4380000000000002</v>
          </cell>
          <cell r="L6482">
            <v>148835</v>
          </cell>
          <cell r="M6482">
            <v>13229</v>
          </cell>
          <cell r="N6482">
            <v>683926.05601571908</v>
          </cell>
          <cell r="O6482">
            <v>692380.00232629513</v>
          </cell>
          <cell r="P6482">
            <v>368.79259999999999</v>
          </cell>
        </row>
        <row r="6483">
          <cell r="B6483">
            <v>39260</v>
          </cell>
          <cell r="J6483">
            <v>3809804.3041216834</v>
          </cell>
          <cell r="K6483">
            <v>2.4380000000000002</v>
          </cell>
          <cell r="L6483">
            <v>148835</v>
          </cell>
          <cell r="M6483">
            <v>13229</v>
          </cell>
          <cell r="N6483">
            <v>683926.05601571908</v>
          </cell>
          <cell r="O6483">
            <v>692380.00232629513</v>
          </cell>
          <cell r="P6483">
            <v>368.79259999999999</v>
          </cell>
        </row>
        <row r="6484">
          <cell r="B6484">
            <v>39261</v>
          </cell>
          <cell r="J6484">
            <v>3809804.3041216834</v>
          </cell>
          <cell r="K6484">
            <v>2.4380000000000002</v>
          </cell>
          <cell r="L6484">
            <v>148835</v>
          </cell>
          <cell r="M6484">
            <v>13229</v>
          </cell>
          <cell r="N6484">
            <v>683926.05601571908</v>
          </cell>
          <cell r="O6484">
            <v>692380.00232629513</v>
          </cell>
          <cell r="P6484">
            <v>368.79259999999999</v>
          </cell>
        </row>
        <row r="6485">
          <cell r="B6485">
            <v>39262</v>
          </cell>
          <cell r="J6485">
            <v>3809804.3041216834</v>
          </cell>
          <cell r="K6485">
            <v>2.4380000000000002</v>
          </cell>
          <cell r="L6485">
            <v>148835</v>
          </cell>
          <cell r="M6485">
            <v>13229</v>
          </cell>
          <cell r="N6485">
            <v>683926.05601571908</v>
          </cell>
          <cell r="O6485">
            <v>692380.00232629513</v>
          </cell>
          <cell r="P6485">
            <v>368.79259999999999</v>
          </cell>
        </row>
        <row r="6486">
          <cell r="B6486">
            <v>39263</v>
          </cell>
          <cell r="J6486">
            <v>3809804.3041216834</v>
          </cell>
          <cell r="K6486">
            <v>2.4380000000000002</v>
          </cell>
          <cell r="L6486">
            <v>148835</v>
          </cell>
          <cell r="M6486">
            <v>13229</v>
          </cell>
          <cell r="N6486">
            <v>683926.05601571908</v>
          </cell>
          <cell r="O6486">
            <v>692380.00232629513</v>
          </cell>
          <cell r="P6486">
            <v>368.79259999999999</v>
          </cell>
        </row>
        <row r="6487">
          <cell r="B6487">
            <v>39264</v>
          </cell>
          <cell r="J6487">
            <v>3809804.3041216834</v>
          </cell>
          <cell r="K6487">
            <v>2.4380000000000002</v>
          </cell>
          <cell r="L6487">
            <v>148835</v>
          </cell>
          <cell r="M6487">
            <v>13229</v>
          </cell>
          <cell r="N6487">
            <v>683926.05601571908</v>
          </cell>
          <cell r="O6487">
            <v>692380.00232629513</v>
          </cell>
          <cell r="P6487">
            <v>368.79259999999999</v>
          </cell>
        </row>
        <row r="6488">
          <cell r="B6488">
            <v>39265</v>
          </cell>
          <cell r="J6488">
            <v>3809804.3041216834</v>
          </cell>
          <cell r="K6488">
            <v>2.4380000000000002</v>
          </cell>
          <cell r="L6488">
            <v>148835</v>
          </cell>
          <cell r="M6488">
            <v>13229</v>
          </cell>
          <cell r="N6488">
            <v>683926.05601571908</v>
          </cell>
          <cell r="O6488">
            <v>692380.00232629513</v>
          </cell>
          <cell r="P6488">
            <v>368.79259999999999</v>
          </cell>
        </row>
        <row r="6489">
          <cell r="B6489">
            <v>39266</v>
          </cell>
          <cell r="J6489">
            <v>3809804.3041216834</v>
          </cell>
          <cell r="K6489">
            <v>2.4380000000000002</v>
          </cell>
          <cell r="L6489">
            <v>148835</v>
          </cell>
          <cell r="M6489">
            <v>13229</v>
          </cell>
          <cell r="N6489">
            <v>683926.05601571908</v>
          </cell>
          <cell r="O6489">
            <v>692380.00232629513</v>
          </cell>
          <cell r="P6489">
            <v>368.79259999999999</v>
          </cell>
        </row>
        <row r="6490">
          <cell r="B6490">
            <v>39267</v>
          </cell>
          <cell r="J6490">
            <v>3809804.3041216834</v>
          </cell>
          <cell r="K6490">
            <v>2.4380000000000002</v>
          </cell>
          <cell r="L6490">
            <v>148835</v>
          </cell>
          <cell r="M6490">
            <v>13229</v>
          </cell>
          <cell r="N6490">
            <v>683926.05601571908</v>
          </cell>
          <cell r="O6490">
            <v>692380.00232629513</v>
          </cell>
          <cell r="P6490">
            <v>368.79259999999999</v>
          </cell>
        </row>
        <row r="6491">
          <cell r="B6491">
            <v>39268</v>
          </cell>
          <cell r="J6491">
            <v>3809804.3041216834</v>
          </cell>
          <cell r="K6491">
            <v>2.4380000000000002</v>
          </cell>
          <cell r="L6491">
            <v>148835</v>
          </cell>
          <cell r="M6491">
            <v>13229</v>
          </cell>
          <cell r="N6491">
            <v>683926.05601571908</v>
          </cell>
          <cell r="O6491">
            <v>692380.00232629513</v>
          </cell>
          <cell r="P6491">
            <v>368.79259999999999</v>
          </cell>
        </row>
        <row r="6492">
          <cell r="B6492">
            <v>39269</v>
          </cell>
          <cell r="J6492">
            <v>3809804.3041216834</v>
          </cell>
          <cell r="K6492">
            <v>2.4380000000000002</v>
          </cell>
          <cell r="L6492">
            <v>148835</v>
          </cell>
          <cell r="M6492">
            <v>13229</v>
          </cell>
          <cell r="N6492">
            <v>683926.05601571908</v>
          </cell>
          <cell r="O6492">
            <v>692380.00232629513</v>
          </cell>
          <cell r="P6492">
            <v>368.79259999999999</v>
          </cell>
        </row>
        <row r="6493">
          <cell r="B6493">
            <v>39270</v>
          </cell>
          <cell r="J6493">
            <v>3809804.3041216834</v>
          </cell>
          <cell r="K6493">
            <v>2.4380000000000002</v>
          </cell>
          <cell r="L6493">
            <v>148835</v>
          </cell>
          <cell r="M6493">
            <v>13229</v>
          </cell>
          <cell r="N6493">
            <v>683926.05601571908</v>
          </cell>
          <cell r="O6493">
            <v>692380.00232629513</v>
          </cell>
          <cell r="P6493">
            <v>368.79259999999999</v>
          </cell>
        </row>
        <row r="6494">
          <cell r="B6494">
            <v>39271</v>
          </cell>
          <cell r="J6494">
            <v>3809804.3041216834</v>
          </cell>
          <cell r="K6494">
            <v>2.4380000000000002</v>
          </cell>
          <cell r="L6494">
            <v>148835</v>
          </cell>
          <cell r="M6494">
            <v>13229</v>
          </cell>
          <cell r="N6494">
            <v>683926.05601571908</v>
          </cell>
          <cell r="O6494">
            <v>692380.00232629513</v>
          </cell>
          <cell r="P6494">
            <v>368.79259999999999</v>
          </cell>
        </row>
        <row r="6495">
          <cell r="B6495">
            <v>39272</v>
          </cell>
          <cell r="J6495">
            <v>3809804.3041216834</v>
          </cell>
          <cell r="K6495">
            <v>2.4380000000000002</v>
          </cell>
          <cell r="L6495">
            <v>148835</v>
          </cell>
          <cell r="M6495">
            <v>13229</v>
          </cell>
          <cell r="N6495">
            <v>683926.05601571908</v>
          </cell>
          <cell r="O6495">
            <v>692380.00232629513</v>
          </cell>
          <cell r="P6495">
            <v>368.79259999999999</v>
          </cell>
        </row>
        <row r="6496">
          <cell r="B6496">
            <v>39273</v>
          </cell>
          <cell r="J6496">
            <v>3809804.3041216834</v>
          </cell>
          <cell r="K6496">
            <v>2.4380000000000002</v>
          </cell>
          <cell r="L6496">
            <v>148835</v>
          </cell>
          <cell r="M6496">
            <v>13229</v>
          </cell>
          <cell r="N6496">
            <v>683926.05601571908</v>
          </cell>
          <cell r="O6496">
            <v>692380.00232629513</v>
          </cell>
          <cell r="P6496">
            <v>368.79259999999999</v>
          </cell>
        </row>
        <row r="6497">
          <cell r="B6497">
            <v>39274</v>
          </cell>
          <cell r="J6497">
            <v>3809804.3041216834</v>
          </cell>
          <cell r="K6497">
            <v>2.4380000000000002</v>
          </cell>
          <cell r="L6497">
            <v>148835</v>
          </cell>
          <cell r="M6497">
            <v>13229</v>
          </cell>
          <cell r="N6497">
            <v>683926.05601571908</v>
          </cell>
          <cell r="O6497">
            <v>692380.00232629513</v>
          </cell>
          <cell r="P6497">
            <v>368.79259999999999</v>
          </cell>
        </row>
        <row r="6498">
          <cell r="B6498">
            <v>39275</v>
          </cell>
          <cell r="J6498">
            <v>3809804.3041216834</v>
          </cell>
          <cell r="K6498">
            <v>2.4380000000000002</v>
          </cell>
          <cell r="L6498">
            <v>148835</v>
          </cell>
          <cell r="M6498">
            <v>13229</v>
          </cell>
          <cell r="N6498">
            <v>683926.05601571908</v>
          </cell>
          <cell r="O6498">
            <v>692380.00232629513</v>
          </cell>
          <cell r="P6498">
            <v>368.79259999999999</v>
          </cell>
        </row>
        <row r="6499">
          <cell r="B6499">
            <v>39276</v>
          </cell>
          <cell r="J6499">
            <v>3809804.3041216834</v>
          </cell>
          <cell r="K6499">
            <v>2.4380000000000002</v>
          </cell>
          <cell r="L6499">
            <v>148835</v>
          </cell>
          <cell r="M6499">
            <v>13229</v>
          </cell>
          <cell r="N6499">
            <v>683926.05601571908</v>
          </cell>
          <cell r="O6499">
            <v>692380.00232629513</v>
          </cell>
          <cell r="P6499">
            <v>368.79259999999999</v>
          </cell>
        </row>
        <row r="6500">
          <cell r="B6500">
            <v>39277</v>
          </cell>
          <cell r="J6500">
            <v>3809804.3041216834</v>
          </cell>
          <cell r="K6500">
            <v>2.4380000000000002</v>
          </cell>
          <cell r="L6500">
            <v>148835</v>
          </cell>
          <cell r="M6500">
            <v>13229</v>
          </cell>
          <cell r="N6500">
            <v>683926.05601571908</v>
          </cell>
          <cell r="O6500">
            <v>692380.00232629513</v>
          </cell>
          <cell r="P6500">
            <v>368.79259999999999</v>
          </cell>
        </row>
        <row r="6501">
          <cell r="B6501">
            <v>39278</v>
          </cell>
          <cell r="J6501">
            <v>3809804.3041216834</v>
          </cell>
          <cell r="K6501">
            <v>2.4380000000000002</v>
          </cell>
          <cell r="L6501">
            <v>148835</v>
          </cell>
          <cell r="M6501">
            <v>13229</v>
          </cell>
          <cell r="N6501">
            <v>683926.05601571908</v>
          </cell>
          <cell r="O6501">
            <v>692380.00232629513</v>
          </cell>
          <cell r="P6501">
            <v>368.79259999999999</v>
          </cell>
        </row>
        <row r="6502">
          <cell r="B6502">
            <v>39279</v>
          </cell>
          <cell r="J6502">
            <v>3809804.3041216834</v>
          </cell>
          <cell r="K6502">
            <v>2.4380000000000002</v>
          </cell>
          <cell r="L6502">
            <v>148835</v>
          </cell>
          <cell r="M6502">
            <v>13229</v>
          </cell>
          <cell r="N6502">
            <v>683926.05601571908</v>
          </cell>
          <cell r="O6502">
            <v>692380.00232629513</v>
          </cell>
          <cell r="P6502">
            <v>368.79259999999999</v>
          </cell>
        </row>
        <row r="6503">
          <cell r="B6503">
            <v>39280</v>
          </cell>
          <cell r="J6503">
            <v>3809804.3041216834</v>
          </cell>
          <cell r="K6503">
            <v>2.4380000000000002</v>
          </cell>
          <cell r="L6503">
            <v>148835</v>
          </cell>
          <cell r="M6503">
            <v>13229</v>
          </cell>
          <cell r="N6503">
            <v>683926.05601571908</v>
          </cell>
          <cell r="O6503">
            <v>692380.00232629513</v>
          </cell>
          <cell r="P6503">
            <v>368.79259999999999</v>
          </cell>
        </row>
        <row r="6504">
          <cell r="B6504">
            <v>39281</v>
          </cell>
          <cell r="J6504">
            <v>3809804.3041216834</v>
          </cell>
          <cell r="K6504">
            <v>2.4380000000000002</v>
          </cell>
          <cell r="L6504">
            <v>148835</v>
          </cell>
          <cell r="M6504">
            <v>13229</v>
          </cell>
          <cell r="N6504">
            <v>683926.05601571908</v>
          </cell>
          <cell r="O6504">
            <v>692380.00232629513</v>
          </cell>
          <cell r="P6504">
            <v>368.79259999999999</v>
          </cell>
        </row>
        <row r="6505">
          <cell r="B6505">
            <v>39282</v>
          </cell>
          <cell r="J6505">
            <v>3809804.3041216834</v>
          </cell>
          <cell r="K6505">
            <v>2.4380000000000002</v>
          </cell>
          <cell r="L6505">
            <v>148835</v>
          </cell>
          <cell r="M6505">
            <v>13229</v>
          </cell>
          <cell r="N6505">
            <v>683926.05601571908</v>
          </cell>
          <cell r="O6505">
            <v>692380.00232629513</v>
          </cell>
          <cell r="P6505">
            <v>368.79259999999999</v>
          </cell>
        </row>
        <row r="6506">
          <cell r="B6506">
            <v>39283</v>
          </cell>
          <cell r="J6506">
            <v>3809804.3041216834</v>
          </cell>
          <cell r="K6506">
            <v>2.4380000000000002</v>
          </cell>
          <cell r="L6506">
            <v>148835</v>
          </cell>
          <cell r="M6506">
            <v>13229</v>
          </cell>
          <cell r="N6506">
            <v>683926.05601571908</v>
          </cell>
          <cell r="O6506">
            <v>692380.00232629513</v>
          </cell>
          <cell r="P6506">
            <v>368.79259999999999</v>
          </cell>
        </row>
        <row r="6507">
          <cell r="B6507">
            <v>39284</v>
          </cell>
          <cell r="J6507">
            <v>3809804.3041216834</v>
          </cell>
          <cell r="K6507">
            <v>2.4380000000000002</v>
          </cell>
          <cell r="L6507">
            <v>148835</v>
          </cell>
          <cell r="M6507">
            <v>13229</v>
          </cell>
          <cell r="N6507">
            <v>683926.05601571908</v>
          </cell>
          <cell r="O6507">
            <v>692380.00232629513</v>
          </cell>
          <cell r="P6507">
            <v>368.79259999999999</v>
          </cell>
        </row>
        <row r="6508">
          <cell r="B6508">
            <v>39285</v>
          </cell>
          <cell r="J6508">
            <v>3809804.3041216834</v>
          </cell>
          <cell r="K6508">
            <v>2.4380000000000002</v>
          </cell>
          <cell r="L6508">
            <v>148835</v>
          </cell>
          <cell r="M6508">
            <v>13229</v>
          </cell>
          <cell r="N6508">
            <v>683926.05601571908</v>
          </cell>
          <cell r="O6508">
            <v>692380.00232629513</v>
          </cell>
          <cell r="P6508">
            <v>368.79259999999999</v>
          </cell>
        </row>
        <row r="6509">
          <cell r="B6509">
            <v>39286</v>
          </cell>
          <cell r="J6509">
            <v>3809804.3041216834</v>
          </cell>
          <cell r="K6509">
            <v>2.4380000000000002</v>
          </cell>
          <cell r="L6509">
            <v>148835</v>
          </cell>
          <cell r="M6509">
            <v>13229</v>
          </cell>
          <cell r="N6509">
            <v>683926.05601571908</v>
          </cell>
          <cell r="O6509">
            <v>692380.00232629513</v>
          </cell>
          <cell r="P6509">
            <v>368.79259999999999</v>
          </cell>
        </row>
        <row r="6510">
          <cell r="B6510">
            <v>39287</v>
          </cell>
          <cell r="J6510">
            <v>3809804.3041216834</v>
          </cell>
          <cell r="K6510">
            <v>2.4380000000000002</v>
          </cell>
          <cell r="L6510">
            <v>148835</v>
          </cell>
          <cell r="M6510">
            <v>13229</v>
          </cell>
          <cell r="N6510">
            <v>683926.05601571908</v>
          </cell>
          <cell r="O6510">
            <v>692380.00232629513</v>
          </cell>
          <cell r="P6510">
            <v>368.79259999999999</v>
          </cell>
        </row>
        <row r="6511">
          <cell r="B6511">
            <v>39288</v>
          </cell>
          <cell r="J6511">
            <v>3809804.3041216834</v>
          </cell>
          <cell r="K6511">
            <v>2.4380000000000002</v>
          </cell>
          <cell r="L6511">
            <v>148835</v>
          </cell>
          <cell r="M6511">
            <v>13229</v>
          </cell>
          <cell r="N6511">
            <v>683926.05601571908</v>
          </cell>
          <cell r="O6511">
            <v>692380.00232629513</v>
          </cell>
          <cell r="P6511">
            <v>368.79259999999999</v>
          </cell>
        </row>
        <row r="6512">
          <cell r="B6512">
            <v>39289</v>
          </cell>
          <cell r="J6512">
            <v>3809804.3041216834</v>
          </cell>
          <cell r="K6512">
            <v>2.4380000000000002</v>
          </cell>
          <cell r="L6512">
            <v>148835</v>
          </cell>
          <cell r="M6512">
            <v>13229</v>
          </cell>
          <cell r="N6512">
            <v>683926.05601571908</v>
          </cell>
          <cell r="O6512">
            <v>692380.00232629513</v>
          </cell>
          <cell r="P6512">
            <v>368.79259999999999</v>
          </cell>
        </row>
        <row r="6513">
          <cell r="B6513">
            <v>39290</v>
          </cell>
          <cell r="J6513">
            <v>3809804.3041216834</v>
          </cell>
          <cell r="K6513">
            <v>2.4380000000000002</v>
          </cell>
          <cell r="L6513">
            <v>148835</v>
          </cell>
          <cell r="M6513">
            <v>13229</v>
          </cell>
          <cell r="N6513">
            <v>683926.05601571908</v>
          </cell>
          <cell r="O6513">
            <v>692380.00232629513</v>
          </cell>
          <cell r="P6513">
            <v>368.79259999999999</v>
          </cell>
        </row>
        <row r="6514">
          <cell r="B6514">
            <v>39291</v>
          </cell>
          <cell r="J6514">
            <v>3809804.3041216834</v>
          </cell>
          <cell r="K6514">
            <v>2.4380000000000002</v>
          </cell>
          <cell r="L6514">
            <v>148835</v>
          </cell>
          <cell r="M6514">
            <v>13229</v>
          </cell>
          <cell r="N6514">
            <v>683926.05601571908</v>
          </cell>
          <cell r="O6514">
            <v>692380.00232629513</v>
          </cell>
          <cell r="P6514">
            <v>368.79259999999999</v>
          </cell>
        </row>
        <row r="6515">
          <cell r="B6515">
            <v>39292</v>
          </cell>
          <cell r="J6515">
            <v>3809804.3041216834</v>
          </cell>
          <cell r="K6515">
            <v>2.4380000000000002</v>
          </cell>
          <cell r="L6515">
            <v>148835</v>
          </cell>
          <cell r="M6515">
            <v>13229</v>
          </cell>
          <cell r="N6515">
            <v>683926.05601571908</v>
          </cell>
          <cell r="O6515">
            <v>692380.00232629513</v>
          </cell>
          <cell r="P6515">
            <v>368.79259999999999</v>
          </cell>
        </row>
        <row r="6516">
          <cell r="B6516">
            <v>39293</v>
          </cell>
          <cell r="J6516">
            <v>3809804.3041216834</v>
          </cell>
          <cell r="K6516">
            <v>2.4380000000000002</v>
          </cell>
          <cell r="L6516">
            <v>148835</v>
          </cell>
          <cell r="M6516">
            <v>13229</v>
          </cell>
          <cell r="N6516">
            <v>683926.05601571908</v>
          </cell>
          <cell r="O6516">
            <v>692380.00232629513</v>
          </cell>
          <cell r="P6516">
            <v>368.79259999999999</v>
          </cell>
        </row>
        <row r="6517">
          <cell r="B6517">
            <v>39294</v>
          </cell>
          <cell r="J6517">
            <v>3809804.3041216834</v>
          </cell>
          <cell r="K6517">
            <v>2.4380000000000002</v>
          </cell>
          <cell r="L6517">
            <v>148835</v>
          </cell>
          <cell r="M6517">
            <v>13229</v>
          </cell>
          <cell r="N6517">
            <v>683926.05601571908</v>
          </cell>
          <cell r="O6517">
            <v>692380.00232629513</v>
          </cell>
          <cell r="P6517">
            <v>368.79259999999999</v>
          </cell>
        </row>
        <row r="6518">
          <cell r="B6518">
            <v>39295</v>
          </cell>
          <cell r="J6518">
            <v>3809804.3041216834</v>
          </cell>
          <cell r="K6518">
            <v>2.4380000000000002</v>
          </cell>
          <cell r="L6518">
            <v>148835</v>
          </cell>
          <cell r="M6518">
            <v>13229</v>
          </cell>
          <cell r="N6518">
            <v>683926.05601571908</v>
          </cell>
          <cell r="O6518">
            <v>692380.00232629513</v>
          </cell>
          <cell r="P6518">
            <v>368.79259999999999</v>
          </cell>
        </row>
        <row r="6519">
          <cell r="B6519">
            <v>39296</v>
          </cell>
          <cell r="J6519">
            <v>3809804.3041216834</v>
          </cell>
          <cell r="K6519">
            <v>2.4380000000000002</v>
          </cell>
          <cell r="L6519">
            <v>148835</v>
          </cell>
          <cell r="M6519">
            <v>13229</v>
          </cell>
          <cell r="N6519">
            <v>683926.05601571908</v>
          </cell>
          <cell r="O6519">
            <v>692380.00232629513</v>
          </cell>
          <cell r="P6519">
            <v>368.79259999999999</v>
          </cell>
        </row>
        <row r="6520">
          <cell r="B6520">
            <v>39297</v>
          </cell>
          <cell r="J6520">
            <v>3809804.3041216834</v>
          </cell>
          <cell r="K6520">
            <v>2.4380000000000002</v>
          </cell>
          <cell r="L6520">
            <v>148835</v>
          </cell>
          <cell r="M6520">
            <v>13229</v>
          </cell>
          <cell r="N6520">
            <v>683926.05601571908</v>
          </cell>
          <cell r="O6520">
            <v>692380.00232629513</v>
          </cell>
          <cell r="P6520">
            <v>368.79259999999999</v>
          </cell>
        </row>
        <row r="6521">
          <cell r="B6521">
            <v>39298</v>
          </cell>
          <cell r="J6521">
            <v>3809804.3041216834</v>
          </cell>
          <cell r="K6521">
            <v>2.4380000000000002</v>
          </cell>
          <cell r="L6521">
            <v>148835</v>
          </cell>
          <cell r="M6521">
            <v>13229</v>
          </cell>
          <cell r="N6521">
            <v>683926.05601571908</v>
          </cell>
          <cell r="O6521">
            <v>692380.00232629513</v>
          </cell>
          <cell r="P6521">
            <v>368.79259999999999</v>
          </cell>
        </row>
        <row r="6522">
          <cell r="B6522">
            <v>39299</v>
          </cell>
          <cell r="J6522">
            <v>3809804.3041216834</v>
          </cell>
          <cell r="K6522">
            <v>2.4380000000000002</v>
          </cell>
          <cell r="L6522">
            <v>148835</v>
          </cell>
          <cell r="M6522">
            <v>13229</v>
          </cell>
          <cell r="N6522">
            <v>683926.05601571908</v>
          </cell>
          <cell r="O6522">
            <v>692380.00232629513</v>
          </cell>
          <cell r="P6522">
            <v>368.79259999999999</v>
          </cell>
        </row>
        <row r="6523">
          <cell r="B6523">
            <v>39300</v>
          </cell>
          <cell r="J6523">
            <v>3809804.3041216834</v>
          </cell>
          <cell r="K6523">
            <v>2.4380000000000002</v>
          </cell>
          <cell r="L6523">
            <v>148835</v>
          </cell>
          <cell r="M6523">
            <v>13229</v>
          </cell>
          <cell r="N6523">
            <v>683926.05601571908</v>
          </cell>
          <cell r="O6523">
            <v>692380.00232629513</v>
          </cell>
          <cell r="P6523">
            <v>368.79259999999999</v>
          </cell>
        </row>
        <row r="6524">
          <cell r="B6524">
            <v>39301</v>
          </cell>
          <cell r="J6524">
            <v>3809804.3041216834</v>
          </cell>
          <cell r="K6524">
            <v>2.4380000000000002</v>
          </cell>
          <cell r="L6524">
            <v>148835</v>
          </cell>
          <cell r="M6524">
            <v>13229</v>
          </cell>
          <cell r="N6524">
            <v>683926.05601571908</v>
          </cell>
          <cell r="O6524">
            <v>692380.00232629513</v>
          </cell>
          <cell r="P6524">
            <v>368.79259999999999</v>
          </cell>
        </row>
        <row r="6525">
          <cell r="B6525">
            <v>39302</v>
          </cell>
          <cell r="J6525">
            <v>3809804.3041216834</v>
          </cell>
          <cell r="K6525">
            <v>2.4380000000000002</v>
          </cell>
          <cell r="L6525">
            <v>148835</v>
          </cell>
          <cell r="M6525">
            <v>13229</v>
          </cell>
          <cell r="N6525">
            <v>683926.05601571908</v>
          </cell>
          <cell r="O6525">
            <v>692380.00232629513</v>
          </cell>
          <cell r="P6525">
            <v>368.79259999999999</v>
          </cell>
        </row>
        <row r="6526">
          <cell r="B6526">
            <v>39303</v>
          </cell>
          <cell r="J6526">
            <v>3809804.3041216834</v>
          </cell>
          <cell r="K6526">
            <v>2.4380000000000002</v>
          </cell>
          <cell r="L6526">
            <v>148835</v>
          </cell>
          <cell r="M6526">
            <v>13229</v>
          </cell>
          <cell r="N6526">
            <v>683926.05601571908</v>
          </cell>
          <cell r="O6526">
            <v>692380.00232629513</v>
          </cell>
          <cell r="P6526">
            <v>368.79259999999999</v>
          </cell>
        </row>
        <row r="6527">
          <cell r="B6527">
            <v>39304</v>
          </cell>
          <cell r="J6527">
            <v>3809804.3041216834</v>
          </cell>
          <cell r="K6527">
            <v>2.4380000000000002</v>
          </cell>
          <cell r="L6527">
            <v>148835</v>
          </cell>
          <cell r="M6527">
            <v>13229</v>
          </cell>
          <cell r="N6527">
            <v>683926.05601571908</v>
          </cell>
          <cell r="O6527">
            <v>692380.00232629513</v>
          </cell>
          <cell r="P6527">
            <v>368.79259999999999</v>
          </cell>
        </row>
        <row r="6528">
          <cell r="B6528">
            <v>39305</v>
          </cell>
          <cell r="J6528">
            <v>3809804.3041216834</v>
          </cell>
          <cell r="K6528">
            <v>2.4380000000000002</v>
          </cell>
          <cell r="L6528">
            <v>148835</v>
          </cell>
          <cell r="M6528">
            <v>13229</v>
          </cell>
          <cell r="N6528">
            <v>683926.05601571908</v>
          </cell>
          <cell r="O6528">
            <v>692380.00232629513</v>
          </cell>
          <cell r="P6528">
            <v>368.79259999999999</v>
          </cell>
        </row>
        <row r="6529">
          <cell r="B6529">
            <v>39306</v>
          </cell>
          <cell r="J6529">
            <v>3809804.3041216834</v>
          </cell>
          <cell r="K6529">
            <v>2.4380000000000002</v>
          </cell>
          <cell r="L6529">
            <v>148835</v>
          </cell>
          <cell r="M6529">
            <v>13229</v>
          </cell>
          <cell r="N6529">
            <v>683926.05601571908</v>
          </cell>
          <cell r="O6529">
            <v>692380.00232629513</v>
          </cell>
          <cell r="P6529">
            <v>368.79259999999999</v>
          </cell>
        </row>
        <row r="6530">
          <cell r="B6530">
            <v>39307</v>
          </cell>
          <cell r="J6530">
            <v>3809804.3041216834</v>
          </cell>
          <cell r="K6530">
            <v>2.4380000000000002</v>
          </cell>
          <cell r="L6530">
            <v>148835</v>
          </cell>
          <cell r="M6530">
            <v>13229</v>
          </cell>
          <cell r="N6530">
            <v>683926.05601571908</v>
          </cell>
          <cell r="O6530">
            <v>692380.00232629513</v>
          </cell>
          <cell r="P6530">
            <v>368.79259999999999</v>
          </cell>
        </row>
        <row r="6531">
          <cell r="B6531">
            <v>39308</v>
          </cell>
          <cell r="J6531">
            <v>3809804.3041216834</v>
          </cell>
          <cell r="K6531">
            <v>2.4380000000000002</v>
          </cell>
          <cell r="L6531">
            <v>148835</v>
          </cell>
          <cell r="M6531">
            <v>13229</v>
          </cell>
          <cell r="N6531">
            <v>683926.05601571908</v>
          </cell>
          <cell r="O6531">
            <v>692380.00232629513</v>
          </cell>
          <cell r="P6531">
            <v>368.79259999999999</v>
          </cell>
        </row>
        <row r="6532">
          <cell r="B6532">
            <v>39309</v>
          </cell>
          <cell r="J6532">
            <v>3809804.3041216834</v>
          </cell>
          <cell r="K6532">
            <v>2.4380000000000002</v>
          </cell>
          <cell r="L6532">
            <v>148835</v>
          </cell>
          <cell r="M6532">
            <v>13229</v>
          </cell>
          <cell r="N6532">
            <v>683926.05601571908</v>
          </cell>
          <cell r="O6532">
            <v>692380.00232629513</v>
          </cell>
          <cell r="P6532">
            <v>368.79259999999999</v>
          </cell>
        </row>
        <row r="6533">
          <cell r="B6533">
            <v>39310</v>
          </cell>
          <cell r="J6533">
            <v>3809804.3041216834</v>
          </cell>
          <cell r="K6533">
            <v>2.4380000000000002</v>
          </cell>
          <cell r="L6533">
            <v>148835</v>
          </cell>
          <cell r="M6533">
            <v>13229</v>
          </cell>
          <cell r="N6533">
            <v>683926.05601571908</v>
          </cell>
          <cell r="O6533">
            <v>692380.00232629513</v>
          </cell>
          <cell r="P6533">
            <v>368.79259999999999</v>
          </cell>
        </row>
        <row r="6534">
          <cell r="B6534">
            <v>39311</v>
          </cell>
          <cell r="J6534">
            <v>3809804.3041216834</v>
          </cell>
          <cell r="K6534">
            <v>2.4380000000000002</v>
          </cell>
          <cell r="L6534">
            <v>148835</v>
          </cell>
          <cell r="M6534">
            <v>13229</v>
          </cell>
          <cell r="N6534">
            <v>683926.05601571908</v>
          </cell>
          <cell r="O6534">
            <v>692380.00232629513</v>
          </cell>
          <cell r="P6534">
            <v>368.79259999999999</v>
          </cell>
        </row>
        <row r="6535">
          <cell r="B6535">
            <v>39312</v>
          </cell>
          <cell r="J6535">
            <v>3809804.3041216834</v>
          </cell>
          <cell r="K6535">
            <v>2.4380000000000002</v>
          </cell>
          <cell r="L6535">
            <v>148835</v>
          </cell>
          <cell r="M6535">
            <v>13229</v>
          </cell>
          <cell r="N6535">
            <v>683926.05601571908</v>
          </cell>
          <cell r="O6535">
            <v>692380.00232629513</v>
          </cell>
          <cell r="P6535">
            <v>368.79259999999999</v>
          </cell>
        </row>
        <row r="6536">
          <cell r="B6536">
            <v>39313</v>
          </cell>
          <cell r="J6536">
            <v>3809804.3041216834</v>
          </cell>
          <cell r="K6536">
            <v>2.4380000000000002</v>
          </cell>
          <cell r="L6536">
            <v>148835</v>
          </cell>
          <cell r="M6536">
            <v>13229</v>
          </cell>
          <cell r="N6536">
            <v>683926.05601571908</v>
          </cell>
          <cell r="O6536">
            <v>692380.00232629513</v>
          </cell>
          <cell r="P6536">
            <v>368.79259999999999</v>
          </cell>
        </row>
        <row r="6537">
          <cell r="B6537">
            <v>39314</v>
          </cell>
          <cell r="J6537">
            <v>3809804.3041216834</v>
          </cell>
          <cell r="K6537">
            <v>2.4380000000000002</v>
          </cell>
          <cell r="L6537">
            <v>148835</v>
          </cell>
          <cell r="M6537">
            <v>13229</v>
          </cell>
          <cell r="N6537">
            <v>683926.05601571908</v>
          </cell>
          <cell r="O6537">
            <v>692380.00232629513</v>
          </cell>
          <cell r="P6537">
            <v>368.79259999999999</v>
          </cell>
        </row>
        <row r="6538">
          <cell r="B6538">
            <v>39315</v>
          </cell>
          <cell r="J6538">
            <v>3809804.3041216834</v>
          </cell>
          <cell r="K6538">
            <v>2.4380000000000002</v>
          </cell>
          <cell r="L6538">
            <v>148835</v>
          </cell>
          <cell r="M6538">
            <v>13229</v>
          </cell>
          <cell r="N6538">
            <v>683926.05601571908</v>
          </cell>
          <cell r="O6538">
            <v>692380.00232629513</v>
          </cell>
          <cell r="P6538">
            <v>368.79259999999999</v>
          </cell>
        </row>
        <row r="6539">
          <cell r="B6539">
            <v>39316</v>
          </cell>
          <cell r="J6539">
            <v>3809804.3041216834</v>
          </cell>
          <cell r="K6539">
            <v>2.4380000000000002</v>
          </cell>
          <cell r="L6539">
            <v>148835</v>
          </cell>
          <cell r="M6539">
            <v>13229</v>
          </cell>
          <cell r="N6539">
            <v>683926.05601571908</v>
          </cell>
          <cell r="O6539">
            <v>692380.00232629513</v>
          </cell>
          <cell r="P6539">
            <v>368.79259999999999</v>
          </cell>
        </row>
        <row r="6540">
          <cell r="B6540">
            <v>39317</v>
          </cell>
          <cell r="J6540">
            <v>3809804.3041216834</v>
          </cell>
          <cell r="K6540">
            <v>2.4380000000000002</v>
          </cell>
          <cell r="L6540">
            <v>148835</v>
          </cell>
          <cell r="M6540">
            <v>13229</v>
          </cell>
          <cell r="N6540">
            <v>683926.05601571908</v>
          </cell>
          <cell r="O6540">
            <v>692380.00232629513</v>
          </cell>
          <cell r="P6540">
            <v>368.79259999999999</v>
          </cell>
        </row>
        <row r="6541">
          <cell r="B6541">
            <v>39318</v>
          </cell>
          <cell r="J6541">
            <v>3809804.3041216834</v>
          </cell>
          <cell r="K6541">
            <v>2.4380000000000002</v>
          </cell>
          <cell r="L6541">
            <v>148835</v>
          </cell>
          <cell r="M6541">
            <v>13229</v>
          </cell>
          <cell r="N6541">
            <v>683926.05601571908</v>
          </cell>
          <cell r="O6541">
            <v>692380.00232629513</v>
          </cell>
          <cell r="P6541">
            <v>368.79259999999999</v>
          </cell>
        </row>
        <row r="6542">
          <cell r="B6542">
            <v>39319</v>
          </cell>
          <cell r="J6542">
            <v>3809804.3041216834</v>
          </cell>
          <cell r="K6542">
            <v>2.4380000000000002</v>
          </cell>
          <cell r="L6542">
            <v>148835</v>
          </cell>
          <cell r="M6542">
            <v>13229</v>
          </cell>
          <cell r="N6542">
            <v>683926.05601571908</v>
          </cell>
          <cell r="O6542">
            <v>692380.00232629513</v>
          </cell>
          <cell r="P6542">
            <v>368.79259999999999</v>
          </cell>
        </row>
        <row r="6543">
          <cell r="B6543">
            <v>39320</v>
          </cell>
          <cell r="J6543">
            <v>3809804.3041216834</v>
          </cell>
          <cell r="K6543">
            <v>2.4380000000000002</v>
          </cell>
          <cell r="L6543">
            <v>148835</v>
          </cell>
          <cell r="M6543">
            <v>13229</v>
          </cell>
          <cell r="N6543">
            <v>683926.05601571908</v>
          </cell>
          <cell r="O6543">
            <v>692380.00232629513</v>
          </cell>
          <cell r="P6543">
            <v>368.79259999999999</v>
          </cell>
        </row>
        <row r="6544">
          <cell r="B6544">
            <v>39321</v>
          </cell>
          <cell r="J6544">
            <v>3809804.3041216834</v>
          </cell>
          <cell r="K6544">
            <v>2.4380000000000002</v>
          </cell>
          <cell r="L6544">
            <v>148835</v>
          </cell>
          <cell r="M6544">
            <v>13229</v>
          </cell>
          <cell r="N6544">
            <v>683926.05601571908</v>
          </cell>
          <cell r="O6544">
            <v>692380.00232629513</v>
          </cell>
          <cell r="P6544">
            <v>368.79259999999999</v>
          </cell>
        </row>
        <row r="6545">
          <cell r="B6545">
            <v>39322</v>
          </cell>
          <cell r="J6545">
            <v>3809804.3041216834</v>
          </cell>
          <cell r="K6545">
            <v>2.4380000000000002</v>
          </cell>
          <cell r="L6545">
            <v>148835</v>
          </cell>
          <cell r="M6545">
            <v>13229</v>
          </cell>
          <cell r="N6545">
            <v>683926.05601571908</v>
          </cell>
          <cell r="O6545">
            <v>692380.00232629513</v>
          </cell>
          <cell r="P6545">
            <v>368.79259999999999</v>
          </cell>
        </row>
        <row r="6546">
          <cell r="B6546">
            <v>39323</v>
          </cell>
          <cell r="J6546">
            <v>3809804.3041216834</v>
          </cell>
          <cell r="K6546">
            <v>2.4380000000000002</v>
          </cell>
          <cell r="L6546">
            <v>148835</v>
          </cell>
          <cell r="M6546">
            <v>13229</v>
          </cell>
          <cell r="N6546">
            <v>683926.05601571908</v>
          </cell>
          <cell r="O6546">
            <v>692380.00232629513</v>
          </cell>
          <cell r="P6546">
            <v>368.79259999999999</v>
          </cell>
        </row>
        <row r="6547">
          <cell r="B6547">
            <v>39324</v>
          </cell>
          <cell r="J6547">
            <v>3809804.3041216834</v>
          </cell>
          <cell r="K6547">
            <v>2.4380000000000002</v>
          </cell>
          <cell r="L6547">
            <v>148835</v>
          </cell>
          <cell r="M6547">
            <v>13229</v>
          </cell>
          <cell r="N6547">
            <v>683926.05601571908</v>
          </cell>
          <cell r="O6547">
            <v>692380.00232629513</v>
          </cell>
          <cell r="P6547">
            <v>368.79259999999999</v>
          </cell>
        </row>
        <row r="6548">
          <cell r="B6548">
            <v>39325</v>
          </cell>
          <cell r="J6548">
            <v>3809804.3041216834</v>
          </cell>
          <cell r="K6548">
            <v>2.4380000000000002</v>
          </cell>
          <cell r="L6548">
            <v>148835</v>
          </cell>
          <cell r="M6548">
            <v>13229</v>
          </cell>
          <cell r="N6548">
            <v>683926.05601571908</v>
          </cell>
          <cell r="O6548">
            <v>692380.00232629513</v>
          </cell>
          <cell r="P6548">
            <v>368.79259999999999</v>
          </cell>
        </row>
        <row r="6549">
          <cell r="B6549">
            <v>39326</v>
          </cell>
          <cell r="J6549">
            <v>3809804.3041216834</v>
          </cell>
          <cell r="K6549">
            <v>2.4380000000000002</v>
          </cell>
          <cell r="L6549">
            <v>148835</v>
          </cell>
          <cell r="M6549">
            <v>13229</v>
          </cell>
          <cell r="N6549">
            <v>683926.05601571908</v>
          </cell>
          <cell r="O6549">
            <v>692380.00232629513</v>
          </cell>
          <cell r="P6549">
            <v>368.79259999999999</v>
          </cell>
        </row>
        <row r="6550">
          <cell r="B6550">
            <v>39327</v>
          </cell>
          <cell r="J6550">
            <v>3809804.3041216834</v>
          </cell>
          <cell r="K6550">
            <v>2.4380000000000002</v>
          </cell>
          <cell r="L6550">
            <v>148835</v>
          </cell>
          <cell r="M6550">
            <v>13229</v>
          </cell>
          <cell r="N6550">
            <v>683926.05601571908</v>
          </cell>
          <cell r="O6550">
            <v>692380.00232629513</v>
          </cell>
          <cell r="P6550">
            <v>368.79259999999999</v>
          </cell>
        </row>
        <row r="6551">
          <cell r="B6551">
            <v>39328</v>
          </cell>
          <cell r="J6551">
            <v>3809804.3041216834</v>
          </cell>
          <cell r="K6551">
            <v>2.4380000000000002</v>
          </cell>
          <cell r="L6551">
            <v>148835</v>
          </cell>
          <cell r="M6551">
            <v>13229</v>
          </cell>
          <cell r="N6551">
            <v>683926.05601571908</v>
          </cell>
          <cell r="O6551">
            <v>692380.00232629513</v>
          </cell>
          <cell r="P6551">
            <v>368.79259999999999</v>
          </cell>
        </row>
        <row r="6552">
          <cell r="B6552">
            <v>39329</v>
          </cell>
          <cell r="J6552">
            <v>3809804.3041216834</v>
          </cell>
          <cell r="K6552">
            <v>2.4380000000000002</v>
          </cell>
          <cell r="L6552">
            <v>148835</v>
          </cell>
          <cell r="M6552">
            <v>13229</v>
          </cell>
          <cell r="N6552">
            <v>683926.05601571908</v>
          </cell>
          <cell r="O6552">
            <v>692380.00232629513</v>
          </cell>
          <cell r="P6552">
            <v>368.79259999999999</v>
          </cell>
        </row>
        <row r="6553">
          <cell r="B6553">
            <v>39330</v>
          </cell>
          <cell r="J6553">
            <v>3809804.3041216834</v>
          </cell>
          <cell r="K6553">
            <v>2.4380000000000002</v>
          </cell>
          <cell r="L6553">
            <v>148835</v>
          </cell>
          <cell r="M6553">
            <v>13229</v>
          </cell>
          <cell r="N6553">
            <v>683926.05601571908</v>
          </cell>
          <cell r="O6553">
            <v>692380.00232629513</v>
          </cell>
          <cell r="P6553">
            <v>368.79259999999999</v>
          </cell>
        </row>
        <row r="6554">
          <cell r="B6554">
            <v>39331</v>
          </cell>
          <cell r="J6554">
            <v>3809804.3041216834</v>
          </cell>
          <cell r="K6554">
            <v>2.4380000000000002</v>
          </cell>
          <cell r="L6554">
            <v>148835</v>
          </cell>
          <cell r="M6554">
            <v>13229</v>
          </cell>
          <cell r="N6554">
            <v>683926.05601571908</v>
          </cell>
          <cell r="O6554">
            <v>692380.00232629513</v>
          </cell>
          <cell r="P6554">
            <v>368.79259999999999</v>
          </cell>
        </row>
        <row r="6555">
          <cell r="B6555">
            <v>39332</v>
          </cell>
          <cell r="J6555">
            <v>3809804.3041216834</v>
          </cell>
          <cell r="K6555">
            <v>2.4380000000000002</v>
          </cell>
          <cell r="L6555">
            <v>148835</v>
          </cell>
          <cell r="M6555">
            <v>13229</v>
          </cell>
          <cell r="N6555">
            <v>683926.05601571908</v>
          </cell>
          <cell r="O6555">
            <v>692380.00232629513</v>
          </cell>
          <cell r="P6555">
            <v>368.79259999999999</v>
          </cell>
        </row>
        <row r="6556">
          <cell r="B6556">
            <v>39333</v>
          </cell>
          <cell r="J6556">
            <v>3809804.3041216834</v>
          </cell>
          <cell r="K6556">
            <v>2.4380000000000002</v>
          </cell>
          <cell r="L6556">
            <v>148835</v>
          </cell>
          <cell r="M6556">
            <v>13229</v>
          </cell>
          <cell r="N6556">
            <v>683926.05601571908</v>
          </cell>
          <cell r="O6556">
            <v>692380.00232629513</v>
          </cell>
          <cell r="P6556">
            <v>368.79259999999999</v>
          </cell>
        </row>
        <row r="6557">
          <cell r="B6557">
            <v>39334</v>
          </cell>
          <cell r="J6557">
            <v>3809804.3041216834</v>
          </cell>
          <cell r="K6557">
            <v>2.4380000000000002</v>
          </cell>
          <cell r="L6557">
            <v>148835</v>
          </cell>
          <cell r="M6557">
            <v>13229</v>
          </cell>
          <cell r="N6557">
            <v>683926.05601571908</v>
          </cell>
          <cell r="O6557">
            <v>692380.00232629513</v>
          </cell>
          <cell r="P6557">
            <v>368.79259999999999</v>
          </cell>
        </row>
        <row r="6558">
          <cell r="B6558">
            <v>39335</v>
          </cell>
          <cell r="J6558">
            <v>3809804.3041216834</v>
          </cell>
          <cell r="K6558">
            <v>2.4380000000000002</v>
          </cell>
          <cell r="L6558">
            <v>148835</v>
          </cell>
          <cell r="M6558">
            <v>13229</v>
          </cell>
          <cell r="N6558">
            <v>683926.05601571908</v>
          </cell>
          <cell r="O6558">
            <v>692380.00232629513</v>
          </cell>
          <cell r="P6558">
            <v>368.79259999999999</v>
          </cell>
        </row>
        <row r="6559">
          <cell r="B6559">
            <v>39336</v>
          </cell>
          <cell r="J6559">
            <v>3809804.3041216834</v>
          </cell>
          <cell r="K6559">
            <v>2.4380000000000002</v>
          </cell>
          <cell r="L6559">
            <v>148835</v>
          </cell>
          <cell r="M6559">
            <v>13229</v>
          </cell>
          <cell r="N6559">
            <v>683926.05601571908</v>
          </cell>
          <cell r="O6559">
            <v>692380.00232629513</v>
          </cell>
          <cell r="P6559">
            <v>368.79259999999999</v>
          </cell>
        </row>
        <row r="6560">
          <cell r="B6560">
            <v>39337</v>
          </cell>
          <cell r="J6560">
            <v>3809804.3041216834</v>
          </cell>
          <cell r="K6560">
            <v>2.4380000000000002</v>
          </cell>
          <cell r="L6560">
            <v>148835</v>
          </cell>
          <cell r="M6560">
            <v>13229</v>
          </cell>
          <cell r="N6560">
            <v>683926.05601571908</v>
          </cell>
          <cell r="O6560">
            <v>692380.00232629513</v>
          </cell>
          <cell r="P6560">
            <v>368.79259999999999</v>
          </cell>
        </row>
        <row r="6561">
          <cell r="B6561">
            <v>39338</v>
          </cell>
          <cell r="J6561">
            <v>3809804.3041216834</v>
          </cell>
          <cell r="K6561">
            <v>2.4380000000000002</v>
          </cell>
          <cell r="L6561">
            <v>148835</v>
          </cell>
          <cell r="M6561">
            <v>13229</v>
          </cell>
          <cell r="N6561">
            <v>683926.05601571908</v>
          </cell>
          <cell r="O6561">
            <v>692380.00232629513</v>
          </cell>
          <cell r="P6561">
            <v>368.79259999999999</v>
          </cell>
        </row>
        <row r="6562">
          <cell r="B6562">
            <v>39339</v>
          </cell>
          <cell r="J6562">
            <v>3809804.3041216834</v>
          </cell>
          <cell r="K6562">
            <v>2.4380000000000002</v>
          </cell>
          <cell r="L6562">
            <v>148835</v>
          </cell>
          <cell r="M6562">
            <v>13229</v>
          </cell>
          <cell r="N6562">
            <v>683926.05601571908</v>
          </cell>
          <cell r="O6562">
            <v>692380.00232629513</v>
          </cell>
          <cell r="P6562">
            <v>368.79259999999999</v>
          </cell>
        </row>
        <row r="6563">
          <cell r="B6563">
            <v>39340</v>
          </cell>
          <cell r="J6563">
            <v>3809804.3041216834</v>
          </cell>
          <cell r="K6563">
            <v>2.4380000000000002</v>
          </cell>
          <cell r="L6563">
            <v>148835</v>
          </cell>
          <cell r="M6563">
            <v>13229</v>
          </cell>
          <cell r="N6563">
            <v>683926.05601571908</v>
          </cell>
          <cell r="O6563">
            <v>692380.00232629513</v>
          </cell>
          <cell r="P6563">
            <v>368.79259999999999</v>
          </cell>
        </row>
        <row r="6564">
          <cell r="B6564">
            <v>39341</v>
          </cell>
          <cell r="J6564">
            <v>3809804.3041216834</v>
          </cell>
          <cell r="K6564">
            <v>2.4380000000000002</v>
          </cell>
          <cell r="L6564">
            <v>148835</v>
          </cell>
          <cell r="M6564">
            <v>13229</v>
          </cell>
          <cell r="N6564">
            <v>683926.05601571908</v>
          </cell>
          <cell r="O6564">
            <v>692380.00232629513</v>
          </cell>
          <cell r="P6564">
            <v>368.79259999999999</v>
          </cell>
        </row>
        <row r="6565">
          <cell r="B6565">
            <v>39342</v>
          </cell>
          <cell r="J6565">
            <v>3809804.3041216834</v>
          </cell>
          <cell r="K6565">
            <v>2.4380000000000002</v>
          </cell>
          <cell r="L6565">
            <v>148835</v>
          </cell>
          <cell r="M6565">
            <v>13229</v>
          </cell>
          <cell r="N6565">
            <v>683926.05601571908</v>
          </cell>
          <cell r="O6565">
            <v>692380.00232629513</v>
          </cell>
          <cell r="P6565">
            <v>368.79259999999999</v>
          </cell>
        </row>
        <row r="6566">
          <cell r="B6566">
            <v>39343</v>
          </cell>
          <cell r="J6566">
            <v>3809804.3041216834</v>
          </cell>
          <cell r="K6566">
            <v>2.4380000000000002</v>
          </cell>
          <cell r="L6566">
            <v>148835</v>
          </cell>
          <cell r="M6566">
            <v>13229</v>
          </cell>
          <cell r="N6566">
            <v>683926.05601571908</v>
          </cell>
          <cell r="O6566">
            <v>692380.00232629513</v>
          </cell>
          <cell r="P6566">
            <v>368.79259999999999</v>
          </cell>
        </row>
        <row r="6567">
          <cell r="B6567">
            <v>39344</v>
          </cell>
          <cell r="J6567">
            <v>3809804.3041216834</v>
          </cell>
          <cell r="K6567">
            <v>2.4380000000000002</v>
          </cell>
          <cell r="L6567">
            <v>148835</v>
          </cell>
          <cell r="M6567">
            <v>13229</v>
          </cell>
          <cell r="N6567">
            <v>683926.05601571908</v>
          </cell>
          <cell r="O6567">
            <v>692380.00232629513</v>
          </cell>
          <cell r="P6567">
            <v>368.79259999999999</v>
          </cell>
        </row>
        <row r="6568">
          <cell r="B6568">
            <v>39345</v>
          </cell>
          <cell r="J6568">
            <v>3809804.3041216834</v>
          </cell>
          <cell r="K6568">
            <v>2.4380000000000002</v>
          </cell>
          <cell r="L6568">
            <v>148835</v>
          </cell>
          <cell r="M6568">
            <v>13229</v>
          </cell>
          <cell r="N6568">
            <v>683926.05601571908</v>
          </cell>
          <cell r="O6568">
            <v>692380.00232629513</v>
          </cell>
          <cell r="P6568">
            <v>368.79259999999999</v>
          </cell>
        </row>
        <row r="6569">
          <cell r="B6569">
            <v>39346</v>
          </cell>
          <cell r="J6569">
            <v>3809804.3041216834</v>
          </cell>
          <cell r="K6569">
            <v>2.4380000000000002</v>
          </cell>
          <cell r="L6569">
            <v>148835</v>
          </cell>
          <cell r="M6569">
            <v>13229</v>
          </cell>
          <cell r="N6569">
            <v>683926.05601571908</v>
          </cell>
          <cell r="O6569">
            <v>692380.00232629513</v>
          </cell>
          <cell r="P6569">
            <v>368.79259999999999</v>
          </cell>
        </row>
        <row r="6570">
          <cell r="B6570">
            <v>39347</v>
          </cell>
          <cell r="J6570">
            <v>3809804.3041216834</v>
          </cell>
          <cell r="K6570">
            <v>2.4380000000000002</v>
          </cell>
          <cell r="L6570">
            <v>148835</v>
          </cell>
          <cell r="M6570">
            <v>13229</v>
          </cell>
          <cell r="N6570">
            <v>683926.05601571908</v>
          </cell>
          <cell r="O6570">
            <v>692380.00232629513</v>
          </cell>
          <cell r="P6570">
            <v>368.79259999999999</v>
          </cell>
        </row>
        <row r="6571">
          <cell r="B6571">
            <v>39348</v>
          </cell>
          <cell r="J6571">
            <v>3809804.3041216834</v>
          </cell>
          <cell r="K6571">
            <v>2.4380000000000002</v>
          </cell>
          <cell r="L6571">
            <v>148835</v>
          </cell>
          <cell r="M6571">
            <v>13229</v>
          </cell>
          <cell r="N6571">
            <v>683926.05601571908</v>
          </cell>
          <cell r="O6571">
            <v>692380.00232629513</v>
          </cell>
          <cell r="P6571">
            <v>368.79259999999999</v>
          </cell>
        </row>
        <row r="6572">
          <cell r="B6572">
            <v>39349</v>
          </cell>
          <cell r="J6572">
            <v>3809804.3041216834</v>
          </cell>
          <cell r="K6572">
            <v>2.4380000000000002</v>
          </cell>
          <cell r="L6572">
            <v>148835</v>
          </cell>
          <cell r="M6572">
            <v>13229</v>
          </cell>
          <cell r="N6572">
            <v>683926.05601571908</v>
          </cell>
          <cell r="O6572">
            <v>692380.00232629513</v>
          </cell>
          <cell r="P6572">
            <v>368.79259999999999</v>
          </cell>
        </row>
        <row r="6573">
          <cell r="B6573">
            <v>39350</v>
          </cell>
          <cell r="J6573">
            <v>3809804.3041216834</v>
          </cell>
          <cell r="K6573">
            <v>2.4380000000000002</v>
          </cell>
          <cell r="L6573">
            <v>148835</v>
          </cell>
          <cell r="M6573">
            <v>13229</v>
          </cell>
          <cell r="N6573">
            <v>683926.05601571908</v>
          </cell>
          <cell r="O6573">
            <v>692380.00232629513</v>
          </cell>
          <cell r="P6573">
            <v>368.79259999999999</v>
          </cell>
        </row>
        <row r="6574">
          <cell r="B6574">
            <v>39351</v>
          </cell>
          <cell r="J6574">
            <v>3809804.3041216834</v>
          </cell>
          <cell r="K6574">
            <v>2.4380000000000002</v>
          </cell>
          <cell r="L6574">
            <v>148835</v>
          </cell>
          <cell r="M6574">
            <v>13229</v>
          </cell>
          <cell r="N6574">
            <v>683926.05601571908</v>
          </cell>
          <cell r="O6574">
            <v>692380.00232629513</v>
          </cell>
          <cell r="P6574">
            <v>368.79259999999999</v>
          </cell>
        </row>
        <row r="6575">
          <cell r="B6575">
            <v>39352</v>
          </cell>
          <cell r="J6575">
            <v>3809804.3041216834</v>
          </cell>
          <cell r="K6575">
            <v>2.4380000000000002</v>
          </cell>
          <cell r="L6575">
            <v>148835</v>
          </cell>
          <cell r="M6575">
            <v>13229</v>
          </cell>
          <cell r="N6575">
            <v>683926.05601571908</v>
          </cell>
          <cell r="O6575">
            <v>692380.00232629513</v>
          </cell>
          <cell r="P6575">
            <v>368.79259999999999</v>
          </cell>
        </row>
        <row r="6576">
          <cell r="B6576">
            <v>39353</v>
          </cell>
          <cell r="J6576">
            <v>3809804.3041216834</v>
          </cell>
          <cell r="K6576">
            <v>2.4380000000000002</v>
          </cell>
          <cell r="L6576">
            <v>148835</v>
          </cell>
          <cell r="M6576">
            <v>13229</v>
          </cell>
          <cell r="N6576">
            <v>683926.05601571908</v>
          </cell>
          <cell r="O6576">
            <v>692380.00232629513</v>
          </cell>
          <cell r="P6576">
            <v>368.79259999999999</v>
          </cell>
        </row>
        <row r="6577">
          <cell r="B6577">
            <v>39354</v>
          </cell>
          <cell r="J6577">
            <v>3809804.3041216834</v>
          </cell>
          <cell r="K6577">
            <v>2.4380000000000002</v>
          </cell>
          <cell r="L6577">
            <v>148835</v>
          </cell>
          <cell r="M6577">
            <v>13229</v>
          </cell>
          <cell r="N6577">
            <v>683926.05601571908</v>
          </cell>
          <cell r="O6577">
            <v>692380.00232629513</v>
          </cell>
          <cell r="P6577">
            <v>368.79259999999999</v>
          </cell>
        </row>
        <row r="6578">
          <cell r="B6578">
            <v>39355</v>
          </cell>
          <cell r="J6578">
            <v>3809804.3041216834</v>
          </cell>
          <cell r="K6578">
            <v>2.4380000000000002</v>
          </cell>
          <cell r="L6578">
            <v>148835</v>
          </cell>
          <cell r="M6578">
            <v>13229</v>
          </cell>
          <cell r="N6578">
            <v>683926.05601571908</v>
          </cell>
          <cell r="O6578">
            <v>692380.00232629513</v>
          </cell>
          <cell r="P6578">
            <v>368.79259999999999</v>
          </cell>
        </row>
        <row r="6579">
          <cell r="B6579">
            <v>39356</v>
          </cell>
          <cell r="J6579">
            <v>3809804.3041216834</v>
          </cell>
          <cell r="K6579">
            <v>2.4380000000000002</v>
          </cell>
          <cell r="L6579">
            <v>148835</v>
          </cell>
          <cell r="M6579">
            <v>13229</v>
          </cell>
          <cell r="N6579">
            <v>683926.05601571908</v>
          </cell>
          <cell r="O6579">
            <v>692380.00232629513</v>
          </cell>
          <cell r="P6579">
            <v>368.79259999999999</v>
          </cell>
        </row>
        <row r="6580">
          <cell r="B6580">
            <v>39357</v>
          </cell>
          <cell r="J6580">
            <v>3809804.3041216834</v>
          </cell>
          <cell r="K6580">
            <v>2.4380000000000002</v>
          </cell>
          <cell r="L6580">
            <v>148835</v>
          </cell>
          <cell r="M6580">
            <v>13229</v>
          </cell>
          <cell r="N6580">
            <v>683926.05601571908</v>
          </cell>
          <cell r="O6580">
            <v>692380.00232629513</v>
          </cell>
          <cell r="P6580">
            <v>368.79259999999999</v>
          </cell>
        </row>
        <row r="6581">
          <cell r="B6581">
            <v>39358</v>
          </cell>
          <cell r="J6581">
            <v>3809804.3041216834</v>
          </cell>
          <cell r="K6581">
            <v>2.4380000000000002</v>
          </cell>
          <cell r="L6581">
            <v>148835</v>
          </cell>
          <cell r="M6581">
            <v>13229</v>
          </cell>
          <cell r="N6581">
            <v>683926.05601571908</v>
          </cell>
          <cell r="O6581">
            <v>692380.00232629513</v>
          </cell>
          <cell r="P6581">
            <v>368.79259999999999</v>
          </cell>
        </row>
        <row r="6582">
          <cell r="B6582">
            <v>39359</v>
          </cell>
          <cell r="J6582">
            <v>3809804.3041216834</v>
          </cell>
          <cell r="K6582">
            <v>2.4380000000000002</v>
          </cell>
          <cell r="L6582">
            <v>148835</v>
          </cell>
          <cell r="M6582">
            <v>13229</v>
          </cell>
          <cell r="N6582">
            <v>683926.05601571908</v>
          </cell>
          <cell r="O6582">
            <v>692380.00232629513</v>
          </cell>
          <cell r="P6582">
            <v>368.79259999999999</v>
          </cell>
        </row>
        <row r="6583">
          <cell r="B6583">
            <v>39360</v>
          </cell>
          <cell r="J6583">
            <v>3809804.3041216834</v>
          </cell>
          <cell r="K6583">
            <v>2.4380000000000002</v>
          </cell>
          <cell r="L6583">
            <v>148835</v>
          </cell>
          <cell r="M6583">
            <v>13229</v>
          </cell>
          <cell r="N6583">
            <v>683926.05601571908</v>
          </cell>
          <cell r="O6583">
            <v>692380.00232629513</v>
          </cell>
          <cell r="P6583">
            <v>368.79259999999999</v>
          </cell>
        </row>
        <row r="6584">
          <cell r="B6584">
            <v>39361</v>
          </cell>
          <cell r="J6584">
            <v>3809804.3041216834</v>
          </cell>
          <cell r="K6584">
            <v>2.4380000000000002</v>
          </cell>
          <cell r="L6584">
            <v>148835</v>
          </cell>
          <cell r="M6584">
            <v>13229</v>
          </cell>
          <cell r="N6584">
            <v>683926.05601571908</v>
          </cell>
          <cell r="O6584">
            <v>692380.00232629513</v>
          </cell>
          <cell r="P6584">
            <v>368.79259999999999</v>
          </cell>
        </row>
        <row r="6585">
          <cell r="B6585">
            <v>39362</v>
          </cell>
          <cell r="J6585">
            <v>3809804.3041216834</v>
          </cell>
          <cell r="K6585">
            <v>2.4380000000000002</v>
          </cell>
          <cell r="L6585">
            <v>148835</v>
          </cell>
          <cell r="M6585">
            <v>13229</v>
          </cell>
          <cell r="N6585">
            <v>683926.05601571908</v>
          </cell>
          <cell r="O6585">
            <v>692380.00232629513</v>
          </cell>
          <cell r="P6585">
            <v>368.79259999999999</v>
          </cell>
        </row>
        <row r="6586">
          <cell r="B6586">
            <v>39363</v>
          </cell>
          <cell r="J6586">
            <v>3809804.3041216834</v>
          </cell>
          <cell r="K6586">
            <v>2.4380000000000002</v>
          </cell>
          <cell r="L6586">
            <v>148835</v>
          </cell>
          <cell r="M6586">
            <v>13229</v>
          </cell>
          <cell r="N6586">
            <v>683926.05601571908</v>
          </cell>
          <cell r="O6586">
            <v>692380.00232629513</v>
          </cell>
          <cell r="P6586">
            <v>368.79259999999999</v>
          </cell>
        </row>
        <row r="6587">
          <cell r="B6587">
            <v>39364</v>
          </cell>
          <cell r="J6587">
            <v>3809804.3041216834</v>
          </cell>
          <cell r="K6587">
            <v>2.4380000000000002</v>
          </cell>
          <cell r="L6587">
            <v>148835</v>
          </cell>
          <cell r="M6587">
            <v>13229</v>
          </cell>
          <cell r="N6587">
            <v>683926.05601571908</v>
          </cell>
          <cell r="O6587">
            <v>692380.00232629513</v>
          </cell>
          <cell r="P6587">
            <v>368.79259999999999</v>
          </cell>
        </row>
        <row r="6588">
          <cell r="B6588">
            <v>39365</v>
          </cell>
          <cell r="J6588">
            <v>3809804.3041216834</v>
          </cell>
          <cell r="K6588">
            <v>2.4380000000000002</v>
          </cell>
          <cell r="L6588">
            <v>148835</v>
          </cell>
          <cell r="M6588">
            <v>13229</v>
          </cell>
          <cell r="N6588">
            <v>683926.05601571908</v>
          </cell>
          <cell r="O6588">
            <v>692380.00232629513</v>
          </cell>
          <cell r="P6588">
            <v>368.79259999999999</v>
          </cell>
        </row>
        <row r="6589">
          <cell r="B6589">
            <v>39366</v>
          </cell>
          <cell r="J6589">
            <v>3809804.3041216834</v>
          </cell>
          <cell r="K6589">
            <v>2.4380000000000002</v>
          </cell>
          <cell r="L6589">
            <v>148835</v>
          </cell>
          <cell r="M6589">
            <v>13229</v>
          </cell>
          <cell r="N6589">
            <v>683926.05601571908</v>
          </cell>
          <cell r="O6589">
            <v>692380.00232629513</v>
          </cell>
          <cell r="P6589">
            <v>368.79259999999999</v>
          </cell>
        </row>
        <row r="6590">
          <cell r="B6590">
            <v>39367</v>
          </cell>
          <cell r="J6590">
            <v>3809804.3041216834</v>
          </cell>
          <cell r="K6590">
            <v>2.4380000000000002</v>
          </cell>
          <cell r="L6590">
            <v>148835</v>
          </cell>
          <cell r="M6590">
            <v>13229</v>
          </cell>
          <cell r="N6590">
            <v>683926.05601571908</v>
          </cell>
          <cell r="O6590">
            <v>692380.00232629513</v>
          </cell>
          <cell r="P6590">
            <v>368.79259999999999</v>
          </cell>
        </row>
        <row r="6591">
          <cell r="B6591">
            <v>39368</v>
          </cell>
          <cell r="J6591">
            <v>3809804.3041216834</v>
          </cell>
          <cell r="K6591">
            <v>2.4380000000000002</v>
          </cell>
          <cell r="L6591">
            <v>148835</v>
          </cell>
          <cell r="M6591">
            <v>13229</v>
          </cell>
          <cell r="N6591">
            <v>683926.05601571908</v>
          </cell>
          <cell r="O6591">
            <v>692380.00232629513</v>
          </cell>
          <cell r="P6591">
            <v>368.79259999999999</v>
          </cell>
        </row>
        <row r="6592">
          <cell r="B6592">
            <v>39369</v>
          </cell>
          <cell r="J6592">
            <v>3809804.3041216834</v>
          </cell>
          <cell r="K6592">
            <v>2.4380000000000002</v>
          </cell>
          <cell r="L6592">
            <v>148835</v>
          </cell>
          <cell r="M6592">
            <v>13229</v>
          </cell>
          <cell r="N6592">
            <v>683926.05601571908</v>
          </cell>
          <cell r="O6592">
            <v>692380.00232629513</v>
          </cell>
          <cell r="P6592">
            <v>368.79259999999999</v>
          </cell>
        </row>
        <row r="6593">
          <cell r="B6593">
            <v>39370</v>
          </cell>
          <cell r="J6593">
            <v>3809804.3041216834</v>
          </cell>
          <cell r="K6593">
            <v>2.4380000000000002</v>
          </cell>
          <cell r="L6593">
            <v>148835</v>
          </cell>
          <cell r="M6593">
            <v>13229</v>
          </cell>
          <cell r="N6593">
            <v>683926.05601571908</v>
          </cell>
          <cell r="O6593">
            <v>692380.00232629513</v>
          </cell>
          <cell r="P6593">
            <v>368.79259999999999</v>
          </cell>
        </row>
        <row r="6594">
          <cell r="B6594">
            <v>39371</v>
          </cell>
          <cell r="J6594">
            <v>3809804.3041216834</v>
          </cell>
          <cell r="K6594">
            <v>2.4380000000000002</v>
          </cell>
          <cell r="L6594">
            <v>148835</v>
          </cell>
          <cell r="M6594">
            <v>13229</v>
          </cell>
          <cell r="N6594">
            <v>683926.05601571908</v>
          </cell>
          <cell r="O6594">
            <v>692380.00232629513</v>
          </cell>
          <cell r="P6594">
            <v>368.79259999999999</v>
          </cell>
        </row>
        <row r="6595">
          <cell r="B6595">
            <v>39372</v>
          </cell>
          <cell r="J6595">
            <v>3809804.3041216834</v>
          </cell>
          <cell r="K6595">
            <v>2.4380000000000002</v>
          </cell>
          <cell r="L6595">
            <v>148835</v>
          </cell>
          <cell r="M6595">
            <v>13229</v>
          </cell>
          <cell r="N6595">
            <v>683926.05601571908</v>
          </cell>
          <cell r="O6595">
            <v>692380.00232629513</v>
          </cell>
          <cell r="P6595">
            <v>368.79259999999999</v>
          </cell>
        </row>
        <row r="6596">
          <cell r="B6596">
            <v>39373</v>
          </cell>
          <cell r="J6596">
            <v>3809804.3041216834</v>
          </cell>
          <cell r="K6596">
            <v>2.4380000000000002</v>
          </cell>
          <cell r="L6596">
            <v>148835</v>
          </cell>
          <cell r="M6596">
            <v>13229</v>
          </cell>
          <cell r="N6596">
            <v>683926.05601571908</v>
          </cell>
          <cell r="O6596">
            <v>692380.00232629513</v>
          </cell>
          <cell r="P6596">
            <v>368.79259999999999</v>
          </cell>
        </row>
        <row r="6597">
          <cell r="B6597">
            <v>39374</v>
          </cell>
          <cell r="J6597">
            <v>3809804.3041216834</v>
          </cell>
          <cell r="K6597">
            <v>2.4380000000000002</v>
          </cell>
          <cell r="L6597">
            <v>148835</v>
          </cell>
          <cell r="M6597">
            <v>13229</v>
          </cell>
          <cell r="N6597">
            <v>683926.05601571908</v>
          </cell>
          <cell r="O6597">
            <v>692380.00232629513</v>
          </cell>
          <cell r="P6597">
            <v>368.79259999999999</v>
          </cell>
        </row>
        <row r="6598">
          <cell r="B6598">
            <v>39375</v>
          </cell>
          <cell r="J6598">
            <v>3809804.3041216834</v>
          </cell>
          <cell r="K6598">
            <v>2.4380000000000002</v>
          </cell>
          <cell r="L6598">
            <v>148835</v>
          </cell>
          <cell r="M6598">
            <v>13229</v>
          </cell>
          <cell r="N6598">
            <v>683926.05601571908</v>
          </cell>
          <cell r="O6598">
            <v>692380.00232629513</v>
          </cell>
          <cell r="P6598">
            <v>368.79259999999999</v>
          </cell>
        </row>
        <row r="6599">
          <cell r="B6599">
            <v>39376</v>
          </cell>
          <cell r="J6599">
            <v>3809804.3041216834</v>
          </cell>
          <cell r="K6599">
            <v>2.4380000000000002</v>
          </cell>
          <cell r="L6599">
            <v>148835</v>
          </cell>
          <cell r="M6599">
            <v>13229</v>
          </cell>
          <cell r="N6599">
            <v>683926.05601571908</v>
          </cell>
          <cell r="O6599">
            <v>692380.00232629513</v>
          </cell>
          <cell r="P6599">
            <v>368.79259999999999</v>
          </cell>
        </row>
        <row r="6600">
          <cell r="B6600">
            <v>39377</v>
          </cell>
          <cell r="J6600">
            <v>3809804.3041216834</v>
          </cell>
          <cell r="K6600">
            <v>2.4380000000000002</v>
          </cell>
          <cell r="L6600">
            <v>148835</v>
          </cell>
          <cell r="M6600">
            <v>13229</v>
          </cell>
          <cell r="N6600">
            <v>683926.05601571908</v>
          </cell>
          <cell r="O6600">
            <v>692380.00232629513</v>
          </cell>
          <cell r="P6600">
            <v>368.79259999999999</v>
          </cell>
        </row>
        <row r="6601">
          <cell r="B6601">
            <v>39378</v>
          </cell>
          <cell r="J6601">
            <v>3809804.3041216834</v>
          </cell>
          <cell r="K6601">
            <v>2.4380000000000002</v>
          </cell>
          <cell r="L6601">
            <v>148835</v>
          </cell>
          <cell r="M6601">
            <v>13229</v>
          </cell>
          <cell r="N6601">
            <v>683926.05601571908</v>
          </cell>
          <cell r="O6601">
            <v>692380.00232629513</v>
          </cell>
          <cell r="P6601">
            <v>368.79259999999999</v>
          </cell>
        </row>
        <row r="6602">
          <cell r="B6602">
            <v>39379</v>
          </cell>
          <cell r="J6602">
            <v>3809804.3041216834</v>
          </cell>
          <cell r="K6602">
            <v>2.4380000000000002</v>
          </cell>
          <cell r="L6602">
            <v>148835</v>
          </cell>
          <cell r="M6602">
            <v>13229</v>
          </cell>
          <cell r="N6602">
            <v>683926.05601571908</v>
          </cell>
          <cell r="O6602">
            <v>692380.00232629513</v>
          </cell>
          <cell r="P6602">
            <v>368.79259999999999</v>
          </cell>
        </row>
        <row r="6603">
          <cell r="B6603">
            <v>39380</v>
          </cell>
          <cell r="J6603">
            <v>3809804.3041216834</v>
          </cell>
          <cell r="K6603">
            <v>2.4380000000000002</v>
          </cell>
          <cell r="L6603">
            <v>148835</v>
          </cell>
          <cell r="M6603">
            <v>13229</v>
          </cell>
          <cell r="N6603">
            <v>683926.05601571908</v>
          </cell>
          <cell r="O6603">
            <v>692380.00232629513</v>
          </cell>
          <cell r="P6603">
            <v>368.79259999999999</v>
          </cell>
        </row>
        <row r="6604">
          <cell r="B6604">
            <v>39381</v>
          </cell>
          <cell r="J6604">
            <v>3809804.3041216834</v>
          </cell>
          <cell r="K6604">
            <v>2.4380000000000002</v>
          </cell>
          <cell r="L6604">
            <v>148835</v>
          </cell>
          <cell r="M6604">
            <v>13229</v>
          </cell>
          <cell r="N6604">
            <v>683926.05601571908</v>
          </cell>
          <cell r="O6604">
            <v>692380.00232629513</v>
          </cell>
          <cell r="P6604">
            <v>368.79259999999999</v>
          </cell>
        </row>
        <row r="6605">
          <cell r="B6605">
            <v>39382</v>
          </cell>
          <cell r="J6605">
            <v>3809804.3041216834</v>
          </cell>
          <cell r="K6605">
            <v>2.4380000000000002</v>
          </cell>
          <cell r="L6605">
            <v>148835</v>
          </cell>
          <cell r="M6605">
            <v>13229</v>
          </cell>
          <cell r="N6605">
            <v>683926.05601571908</v>
          </cell>
          <cell r="O6605">
            <v>692380.00232629513</v>
          </cell>
          <cell r="P6605">
            <v>368.79259999999999</v>
          </cell>
        </row>
        <row r="6606">
          <cell r="B6606">
            <v>39383</v>
          </cell>
          <cell r="J6606">
            <v>3809804.3041216834</v>
          </cell>
          <cell r="K6606">
            <v>2.4380000000000002</v>
          </cell>
          <cell r="L6606">
            <v>148835</v>
          </cell>
          <cell r="M6606">
            <v>13229</v>
          </cell>
          <cell r="N6606">
            <v>683926.05601571908</v>
          </cell>
          <cell r="O6606">
            <v>692380.00232629513</v>
          </cell>
          <cell r="P6606">
            <v>368.79259999999999</v>
          </cell>
        </row>
        <row r="6607">
          <cell r="B6607">
            <v>39384</v>
          </cell>
          <cell r="J6607">
            <v>3809804.3041216834</v>
          </cell>
          <cell r="K6607">
            <v>2.4380000000000002</v>
          </cell>
          <cell r="L6607">
            <v>148835</v>
          </cell>
          <cell r="M6607">
            <v>13229</v>
          </cell>
          <cell r="N6607">
            <v>683926.05601571908</v>
          </cell>
          <cell r="O6607">
            <v>692380.00232629513</v>
          </cell>
          <cell r="P6607">
            <v>368.79259999999999</v>
          </cell>
        </row>
        <row r="6608">
          <cell r="B6608">
            <v>39385</v>
          </cell>
          <cell r="J6608">
            <v>3809804.3041216834</v>
          </cell>
          <cell r="K6608">
            <v>2.4380000000000002</v>
          </cell>
          <cell r="L6608">
            <v>148835</v>
          </cell>
          <cell r="M6608">
            <v>13229</v>
          </cell>
          <cell r="N6608">
            <v>683926.05601571908</v>
          </cell>
          <cell r="O6608">
            <v>692380.00232629513</v>
          </cell>
          <cell r="P6608">
            <v>368.79259999999999</v>
          </cell>
        </row>
        <row r="6609">
          <cell r="B6609">
            <v>39386</v>
          </cell>
          <cell r="J6609">
            <v>3809804.3041216834</v>
          </cell>
          <cell r="K6609">
            <v>2.4380000000000002</v>
          </cell>
          <cell r="L6609">
            <v>148835</v>
          </cell>
          <cell r="M6609">
            <v>13229</v>
          </cell>
          <cell r="N6609">
            <v>683926.05601571908</v>
          </cell>
          <cell r="O6609">
            <v>692380.00232629513</v>
          </cell>
          <cell r="P6609">
            <v>368.79259999999999</v>
          </cell>
        </row>
        <row r="6610">
          <cell r="B6610">
            <v>39387</v>
          </cell>
          <cell r="J6610">
            <v>3809804.3041216834</v>
          </cell>
          <cell r="K6610">
            <v>2.4380000000000002</v>
          </cell>
          <cell r="L6610">
            <v>148835</v>
          </cell>
          <cell r="M6610">
            <v>13229</v>
          </cell>
          <cell r="N6610">
            <v>683926.05601571908</v>
          </cell>
          <cell r="O6610">
            <v>692380.00232629513</v>
          </cell>
          <cell r="P6610">
            <v>368.79259999999999</v>
          </cell>
        </row>
        <row r="6611">
          <cell r="B6611">
            <v>39388</v>
          </cell>
          <cell r="J6611">
            <v>3809804.3041216834</v>
          </cell>
          <cell r="K6611">
            <v>2.4380000000000002</v>
          </cell>
          <cell r="L6611">
            <v>148835</v>
          </cell>
          <cell r="M6611">
            <v>13229</v>
          </cell>
          <cell r="N6611">
            <v>683926.05601571908</v>
          </cell>
          <cell r="O6611">
            <v>692380.00232629513</v>
          </cell>
          <cell r="P6611">
            <v>368.79259999999999</v>
          </cell>
        </row>
        <row r="6612">
          <cell r="B6612">
            <v>39389</v>
          </cell>
          <cell r="J6612">
            <v>3809804.3041216834</v>
          </cell>
          <cell r="K6612">
            <v>2.4380000000000002</v>
          </cell>
          <cell r="L6612">
            <v>148835</v>
          </cell>
          <cell r="M6612">
            <v>13229</v>
          </cell>
          <cell r="N6612">
            <v>683926.05601571908</v>
          </cell>
          <cell r="O6612">
            <v>692380.00232629513</v>
          </cell>
          <cell r="P6612">
            <v>368.79259999999999</v>
          </cell>
        </row>
        <row r="6613">
          <cell r="B6613">
            <v>39390</v>
          </cell>
          <cell r="J6613">
            <v>3809804.3041216834</v>
          </cell>
          <cell r="K6613">
            <v>2.4380000000000002</v>
          </cell>
          <cell r="L6613">
            <v>148835</v>
          </cell>
          <cell r="M6613">
            <v>13229</v>
          </cell>
          <cell r="N6613">
            <v>683926.05601571908</v>
          </cell>
          <cell r="O6613">
            <v>692380.00232629513</v>
          </cell>
          <cell r="P6613">
            <v>368.79259999999999</v>
          </cell>
        </row>
        <row r="6614">
          <cell r="B6614">
            <v>39391</v>
          </cell>
          <cell r="J6614">
            <v>3809804.3041216834</v>
          </cell>
          <cell r="K6614">
            <v>2.4380000000000002</v>
          </cell>
          <cell r="L6614">
            <v>148835</v>
          </cell>
          <cell r="M6614">
            <v>13229</v>
          </cell>
          <cell r="N6614">
            <v>683926.05601571908</v>
          </cell>
          <cell r="O6614">
            <v>692380.00232629513</v>
          </cell>
          <cell r="P6614">
            <v>368.79259999999999</v>
          </cell>
        </row>
        <row r="6615">
          <cell r="B6615">
            <v>39392</v>
          </cell>
          <cell r="J6615">
            <v>3809804.3041216834</v>
          </cell>
          <cell r="K6615">
            <v>2.4380000000000002</v>
          </cell>
          <cell r="L6615">
            <v>148835</v>
          </cell>
          <cell r="M6615">
            <v>13229</v>
          </cell>
          <cell r="N6615">
            <v>683926.05601571908</v>
          </cell>
          <cell r="O6615">
            <v>692380.00232629513</v>
          </cell>
          <cell r="P6615">
            <v>368.79259999999999</v>
          </cell>
        </row>
        <row r="6616">
          <cell r="B6616">
            <v>39393</v>
          </cell>
          <cell r="J6616">
            <v>3809804.3041216834</v>
          </cell>
          <cell r="K6616">
            <v>2.4380000000000002</v>
          </cell>
          <cell r="L6616">
            <v>148835</v>
          </cell>
          <cell r="M6616">
            <v>13229</v>
          </cell>
          <cell r="N6616">
            <v>683926.05601571908</v>
          </cell>
          <cell r="O6616">
            <v>692380.00232629513</v>
          </cell>
          <cell r="P6616">
            <v>368.79259999999999</v>
          </cell>
        </row>
        <row r="6617">
          <cell r="B6617">
            <v>39394</v>
          </cell>
          <cell r="J6617">
            <v>3809804.3041216834</v>
          </cell>
          <cell r="K6617">
            <v>2.4380000000000002</v>
          </cell>
          <cell r="L6617">
            <v>148835</v>
          </cell>
          <cell r="M6617">
            <v>13229</v>
          </cell>
          <cell r="N6617">
            <v>683926.05601571908</v>
          </cell>
          <cell r="O6617">
            <v>692380.00232629513</v>
          </cell>
          <cell r="P6617">
            <v>368.79259999999999</v>
          </cell>
        </row>
        <row r="6618">
          <cell r="B6618">
            <v>39395</v>
          </cell>
          <cell r="J6618">
            <v>3809804.3041216834</v>
          </cell>
          <cell r="K6618">
            <v>2.4380000000000002</v>
          </cell>
          <cell r="L6618">
            <v>148835</v>
          </cell>
          <cell r="M6618">
            <v>13229</v>
          </cell>
          <cell r="N6618">
            <v>683926.05601571908</v>
          </cell>
          <cell r="O6618">
            <v>692380.00232629513</v>
          </cell>
          <cell r="P6618">
            <v>368.79259999999999</v>
          </cell>
        </row>
        <row r="6619">
          <cell r="B6619">
            <v>39396</v>
          </cell>
          <cell r="J6619">
            <v>3809804.3041216834</v>
          </cell>
          <cell r="K6619">
            <v>2.4380000000000002</v>
          </cell>
          <cell r="L6619">
            <v>148835</v>
          </cell>
          <cell r="M6619">
            <v>13229</v>
          </cell>
          <cell r="N6619">
            <v>683926.05601571908</v>
          </cell>
          <cell r="O6619">
            <v>692380.00232629513</v>
          </cell>
          <cell r="P6619">
            <v>368.79259999999999</v>
          </cell>
        </row>
        <row r="6620">
          <cell r="B6620">
            <v>39397</v>
          </cell>
          <cell r="J6620">
            <v>3809804.3041216834</v>
          </cell>
          <cell r="K6620">
            <v>2.4380000000000002</v>
          </cell>
          <cell r="L6620">
            <v>148835</v>
          </cell>
          <cell r="M6620">
            <v>13229</v>
          </cell>
          <cell r="N6620">
            <v>683926.05601571908</v>
          </cell>
          <cell r="O6620">
            <v>692380.00232629513</v>
          </cell>
          <cell r="P6620">
            <v>368.79259999999999</v>
          </cell>
        </row>
        <row r="6621">
          <cell r="B6621">
            <v>39398</v>
          </cell>
          <cell r="J6621">
            <v>3809804.3041216834</v>
          </cell>
          <cell r="K6621">
            <v>2.4380000000000002</v>
          </cell>
          <cell r="L6621">
            <v>148835</v>
          </cell>
          <cell r="M6621">
            <v>13229</v>
          </cell>
          <cell r="N6621">
            <v>683926.05601571908</v>
          </cell>
          <cell r="O6621">
            <v>692380.00232629513</v>
          </cell>
          <cell r="P6621">
            <v>368.79259999999999</v>
          </cell>
        </row>
        <row r="6622">
          <cell r="B6622">
            <v>39399</v>
          </cell>
          <cell r="J6622">
            <v>3809804.3041216834</v>
          </cell>
          <cell r="K6622">
            <v>2.4380000000000002</v>
          </cell>
          <cell r="L6622">
            <v>148835</v>
          </cell>
          <cell r="M6622">
            <v>13229</v>
          </cell>
          <cell r="N6622">
            <v>683926.05601571908</v>
          </cell>
          <cell r="O6622">
            <v>692380.00232629513</v>
          </cell>
          <cell r="P6622">
            <v>368.79259999999999</v>
          </cell>
        </row>
        <row r="6623">
          <cell r="B6623">
            <v>39400</v>
          </cell>
          <cell r="J6623">
            <v>3809804.3041216834</v>
          </cell>
          <cell r="K6623">
            <v>2.4380000000000002</v>
          </cell>
          <cell r="L6623">
            <v>148835</v>
          </cell>
          <cell r="M6623">
            <v>13229</v>
          </cell>
          <cell r="N6623">
            <v>683926.05601571908</v>
          </cell>
          <cell r="O6623">
            <v>692380.00232629513</v>
          </cell>
          <cell r="P6623">
            <v>368.79259999999999</v>
          </cell>
        </row>
        <row r="6624">
          <cell r="B6624">
            <v>39401</v>
          </cell>
          <cell r="J6624">
            <v>3809804.3041216834</v>
          </cell>
          <cell r="K6624">
            <v>2.4380000000000002</v>
          </cell>
          <cell r="L6624">
            <v>148835</v>
          </cell>
          <cell r="M6624">
            <v>13229</v>
          </cell>
          <cell r="N6624">
            <v>683926.05601571908</v>
          </cell>
          <cell r="O6624">
            <v>692380.00232629513</v>
          </cell>
          <cell r="P6624">
            <v>368.79259999999999</v>
          </cell>
        </row>
        <row r="6625">
          <cell r="B6625">
            <v>39402</v>
          </cell>
          <cell r="J6625">
            <v>3809804.3041216834</v>
          </cell>
          <cell r="K6625">
            <v>2.4380000000000002</v>
          </cell>
          <cell r="L6625">
            <v>148835</v>
          </cell>
          <cell r="M6625">
            <v>13229</v>
          </cell>
          <cell r="N6625">
            <v>683926.05601571908</v>
          </cell>
          <cell r="O6625">
            <v>692380.00232629513</v>
          </cell>
          <cell r="P6625">
            <v>368.79259999999999</v>
          </cell>
        </row>
        <row r="6626">
          <cell r="B6626">
            <v>39403</v>
          </cell>
          <cell r="J6626">
            <v>3809804.3041216834</v>
          </cell>
          <cell r="K6626">
            <v>2.4380000000000002</v>
          </cell>
          <cell r="L6626">
            <v>148835</v>
          </cell>
          <cell r="M6626">
            <v>13229</v>
          </cell>
          <cell r="N6626">
            <v>683926.05601571908</v>
          </cell>
          <cell r="O6626">
            <v>692380.00232629513</v>
          </cell>
          <cell r="P6626">
            <v>368.79259999999999</v>
          </cell>
        </row>
        <row r="6627">
          <cell r="B6627">
            <v>39404</v>
          </cell>
          <cell r="J6627">
            <v>3809804.3041216834</v>
          </cell>
          <cell r="K6627">
            <v>2.4380000000000002</v>
          </cell>
          <cell r="L6627">
            <v>148835</v>
          </cell>
          <cell r="M6627">
            <v>13229</v>
          </cell>
          <cell r="N6627">
            <v>683926.05601571908</v>
          </cell>
          <cell r="O6627">
            <v>692380.00232629513</v>
          </cell>
          <cell r="P6627">
            <v>368.79259999999999</v>
          </cell>
        </row>
        <row r="6628">
          <cell r="B6628">
            <v>39405</v>
          </cell>
          <cell r="J6628">
            <v>3809804.3041216834</v>
          </cell>
          <cell r="K6628">
            <v>2.4380000000000002</v>
          </cell>
          <cell r="L6628">
            <v>148835</v>
          </cell>
          <cell r="M6628">
            <v>13229</v>
          </cell>
          <cell r="N6628">
            <v>683926.05601571908</v>
          </cell>
          <cell r="O6628">
            <v>692380.00232629513</v>
          </cell>
          <cell r="P6628">
            <v>368.79259999999999</v>
          </cell>
        </row>
        <row r="6629">
          <cell r="B6629">
            <v>39406</v>
          </cell>
          <cell r="J6629">
            <v>3809804.3041216834</v>
          </cell>
          <cell r="K6629">
            <v>2.4380000000000002</v>
          </cell>
          <cell r="L6629">
            <v>148835</v>
          </cell>
          <cell r="M6629">
            <v>13229</v>
          </cell>
          <cell r="N6629">
            <v>683926.05601571908</v>
          </cell>
          <cell r="O6629">
            <v>692380.00232629513</v>
          </cell>
          <cell r="P6629">
            <v>368.79259999999999</v>
          </cell>
        </row>
        <row r="6630">
          <cell r="B6630">
            <v>39407</v>
          </cell>
          <cell r="J6630">
            <v>3809804.3041216834</v>
          </cell>
          <cell r="K6630">
            <v>2.4380000000000002</v>
          </cell>
          <cell r="L6630">
            <v>148835</v>
          </cell>
          <cell r="M6630">
            <v>13229</v>
          </cell>
          <cell r="N6630">
            <v>683926.05601571908</v>
          </cell>
          <cell r="O6630">
            <v>692380.00232629513</v>
          </cell>
          <cell r="P6630">
            <v>368.79259999999999</v>
          </cell>
        </row>
        <row r="6631">
          <cell r="B6631">
            <v>39408</v>
          </cell>
          <cell r="J6631">
            <v>3809804.3041216834</v>
          </cell>
          <cell r="K6631">
            <v>2.4380000000000002</v>
          </cell>
          <cell r="L6631">
            <v>148835</v>
          </cell>
          <cell r="M6631">
            <v>13229</v>
          </cell>
          <cell r="N6631">
            <v>683926.05601571908</v>
          </cell>
          <cell r="O6631">
            <v>692380.00232629513</v>
          </cell>
          <cell r="P6631">
            <v>368.79259999999999</v>
          </cell>
        </row>
        <row r="6632">
          <cell r="B6632">
            <v>39409</v>
          </cell>
          <cell r="J6632">
            <v>3809804.3041216834</v>
          </cell>
          <cell r="K6632">
            <v>2.4380000000000002</v>
          </cell>
          <cell r="L6632">
            <v>148835</v>
          </cell>
          <cell r="M6632">
            <v>13229</v>
          </cell>
          <cell r="N6632">
            <v>683926.05601571908</v>
          </cell>
          <cell r="O6632">
            <v>692380.00232629513</v>
          </cell>
          <cell r="P6632">
            <v>368.79259999999999</v>
          </cell>
        </row>
        <row r="6633">
          <cell r="B6633">
            <v>39410</v>
          </cell>
          <cell r="J6633">
            <v>3809804.3041216834</v>
          </cell>
          <cell r="K6633">
            <v>2.4380000000000002</v>
          </cell>
          <cell r="L6633">
            <v>148835</v>
          </cell>
          <cell r="M6633">
            <v>13229</v>
          </cell>
          <cell r="N6633">
            <v>683926.05601571908</v>
          </cell>
          <cell r="O6633">
            <v>692380.00232629513</v>
          </cell>
          <cell r="P6633">
            <v>368.79259999999999</v>
          </cell>
        </row>
        <row r="6634">
          <cell r="B6634">
            <v>39411</v>
          </cell>
          <cell r="J6634">
            <v>3809804.3041216834</v>
          </cell>
          <cell r="K6634">
            <v>2.4380000000000002</v>
          </cell>
          <cell r="L6634">
            <v>148835</v>
          </cell>
          <cell r="M6634">
            <v>13229</v>
          </cell>
          <cell r="N6634">
            <v>683926.05601571908</v>
          </cell>
          <cell r="O6634">
            <v>692380.00232629513</v>
          </cell>
          <cell r="P6634">
            <v>368.79259999999999</v>
          </cell>
        </row>
        <row r="6635">
          <cell r="B6635">
            <v>39412</v>
          </cell>
          <cell r="J6635">
            <v>3809804.3041216834</v>
          </cell>
          <cell r="K6635">
            <v>2.4380000000000002</v>
          </cell>
          <cell r="L6635">
            <v>148835</v>
          </cell>
          <cell r="M6635">
            <v>13229</v>
          </cell>
          <cell r="N6635">
            <v>683926.05601571908</v>
          </cell>
          <cell r="O6635">
            <v>692380.00232629513</v>
          </cell>
          <cell r="P6635">
            <v>368.79259999999999</v>
          </cell>
        </row>
        <row r="6636">
          <cell r="B6636">
            <v>39413</v>
          </cell>
          <cell r="J6636">
            <v>3809804.3041216834</v>
          </cell>
          <cell r="K6636">
            <v>2.4380000000000002</v>
          </cell>
          <cell r="L6636">
            <v>148835</v>
          </cell>
          <cell r="M6636">
            <v>13229</v>
          </cell>
          <cell r="N6636">
            <v>683926.05601571908</v>
          </cell>
          <cell r="O6636">
            <v>692380.00232629513</v>
          </cell>
          <cell r="P6636">
            <v>368.79259999999999</v>
          </cell>
        </row>
        <row r="6637">
          <cell r="B6637">
            <v>39414</v>
          </cell>
          <cell r="J6637">
            <v>3809804.3041216834</v>
          </cell>
          <cell r="K6637">
            <v>2.4380000000000002</v>
          </cell>
          <cell r="L6637">
            <v>148835</v>
          </cell>
          <cell r="M6637">
            <v>13229</v>
          </cell>
          <cell r="N6637">
            <v>683926.05601571908</v>
          </cell>
          <cell r="O6637">
            <v>692380.00232629513</v>
          </cell>
          <cell r="P6637">
            <v>368.79259999999999</v>
          </cell>
        </row>
        <row r="6638">
          <cell r="B6638">
            <v>39415</v>
          </cell>
          <cell r="J6638">
            <v>3809804.3041216834</v>
          </cell>
          <cell r="K6638">
            <v>2.4380000000000002</v>
          </cell>
          <cell r="L6638">
            <v>148835</v>
          </cell>
          <cell r="M6638">
            <v>13229</v>
          </cell>
          <cell r="N6638">
            <v>683926.05601571908</v>
          </cell>
          <cell r="O6638">
            <v>692380.00232629513</v>
          </cell>
          <cell r="P6638">
            <v>368.79259999999999</v>
          </cell>
        </row>
        <row r="6639">
          <cell r="B6639">
            <v>39416</v>
          </cell>
          <cell r="J6639">
            <v>3809804.3041216834</v>
          </cell>
          <cell r="K6639">
            <v>2.4380000000000002</v>
          </cell>
          <cell r="L6639">
            <v>148835</v>
          </cell>
          <cell r="M6639">
            <v>13229</v>
          </cell>
          <cell r="N6639">
            <v>683926.05601571908</v>
          </cell>
          <cell r="O6639">
            <v>692380.00232629513</v>
          </cell>
          <cell r="P6639">
            <v>368.79259999999999</v>
          </cell>
        </row>
        <row r="6640">
          <cell r="B6640">
            <v>39417</v>
          </cell>
          <cell r="J6640">
            <v>3809804.3041216834</v>
          </cell>
          <cell r="K6640">
            <v>2.4380000000000002</v>
          </cell>
          <cell r="L6640">
            <v>148835</v>
          </cell>
          <cell r="M6640">
            <v>13229</v>
          </cell>
          <cell r="N6640">
            <v>683926.05601571908</v>
          </cell>
          <cell r="O6640">
            <v>692380.00232629513</v>
          </cell>
          <cell r="P6640">
            <v>368.79259999999999</v>
          </cell>
        </row>
        <row r="6641">
          <cell r="B6641">
            <v>39418</v>
          </cell>
          <cell r="J6641">
            <v>3809804.3041216834</v>
          </cell>
          <cell r="K6641">
            <v>2.4380000000000002</v>
          </cell>
          <cell r="L6641">
            <v>148835</v>
          </cell>
          <cell r="M6641">
            <v>13229</v>
          </cell>
          <cell r="N6641">
            <v>683926.05601571908</v>
          </cell>
          <cell r="O6641">
            <v>692380.00232629513</v>
          </cell>
          <cell r="P6641">
            <v>368.79259999999999</v>
          </cell>
        </row>
        <row r="6642">
          <cell r="B6642">
            <v>39419</v>
          </cell>
          <cell r="J6642">
            <v>3809804.3041216834</v>
          </cell>
          <cell r="K6642">
            <v>2.4380000000000002</v>
          </cell>
          <cell r="L6642">
            <v>148835</v>
          </cell>
          <cell r="M6642">
            <v>13229</v>
          </cell>
          <cell r="N6642">
            <v>683926.05601571908</v>
          </cell>
          <cell r="O6642">
            <v>692380.00232629513</v>
          </cell>
          <cell r="P6642">
            <v>368.79259999999999</v>
          </cell>
        </row>
        <row r="6643">
          <cell r="B6643">
            <v>39420</v>
          </cell>
          <cell r="J6643">
            <v>3809804.3041216834</v>
          </cell>
          <cell r="K6643">
            <v>2.4380000000000002</v>
          </cell>
          <cell r="L6643">
            <v>148835</v>
          </cell>
          <cell r="M6643">
            <v>13229</v>
          </cell>
          <cell r="N6643">
            <v>683926.05601571908</v>
          </cell>
          <cell r="O6643">
            <v>692380.00232629513</v>
          </cell>
          <cell r="P6643">
            <v>368.79259999999999</v>
          </cell>
        </row>
        <row r="6644">
          <cell r="B6644">
            <v>39421</v>
          </cell>
          <cell r="J6644">
            <v>3809804.3041216834</v>
          </cell>
          <cell r="K6644">
            <v>2.4380000000000002</v>
          </cell>
          <cell r="L6644">
            <v>148835</v>
          </cell>
          <cell r="M6644">
            <v>13229</v>
          </cell>
          <cell r="N6644">
            <v>683926.05601571908</v>
          </cell>
          <cell r="O6644">
            <v>692380.00232629513</v>
          </cell>
          <cell r="P6644">
            <v>368.79259999999999</v>
          </cell>
        </row>
        <row r="6645">
          <cell r="B6645">
            <v>39422</v>
          </cell>
          <cell r="J6645">
            <v>3809804.3041216834</v>
          </cell>
          <cell r="K6645">
            <v>2.4380000000000002</v>
          </cell>
          <cell r="L6645">
            <v>148835</v>
          </cell>
          <cell r="M6645">
            <v>13229</v>
          </cell>
          <cell r="N6645">
            <v>683926.05601571908</v>
          </cell>
          <cell r="O6645">
            <v>692380.00232629513</v>
          </cell>
          <cell r="P6645">
            <v>368.79259999999999</v>
          </cell>
        </row>
        <row r="6646">
          <cell r="B6646">
            <v>39423</v>
          </cell>
          <cell r="J6646">
            <v>3809804.3041216834</v>
          </cell>
          <cell r="K6646">
            <v>2.4380000000000002</v>
          </cell>
          <cell r="L6646">
            <v>148835</v>
          </cell>
          <cell r="M6646">
            <v>13229</v>
          </cell>
          <cell r="N6646">
            <v>683926.05601571908</v>
          </cell>
          <cell r="O6646">
            <v>692380.00232629513</v>
          </cell>
          <cell r="P6646">
            <v>368.79259999999999</v>
          </cell>
        </row>
        <row r="6647">
          <cell r="B6647">
            <v>39424</v>
          </cell>
          <cell r="J6647">
            <v>3809804.3041216834</v>
          </cell>
          <cell r="K6647">
            <v>2.4380000000000002</v>
          </cell>
          <cell r="L6647">
            <v>148835</v>
          </cell>
          <cell r="M6647">
            <v>13229</v>
          </cell>
          <cell r="N6647">
            <v>683926.05601571908</v>
          </cell>
          <cell r="O6647">
            <v>692380.00232629513</v>
          </cell>
          <cell r="P6647">
            <v>368.79259999999999</v>
          </cell>
        </row>
        <row r="6648">
          <cell r="B6648">
            <v>39425</v>
          </cell>
          <cell r="J6648">
            <v>3809804.3041216834</v>
          </cell>
          <cell r="K6648">
            <v>2.4380000000000002</v>
          </cell>
          <cell r="L6648">
            <v>148835</v>
          </cell>
          <cell r="M6648">
            <v>13229</v>
          </cell>
          <cell r="N6648">
            <v>683926.05601571908</v>
          </cell>
          <cell r="O6648">
            <v>692380.00232629513</v>
          </cell>
          <cell r="P6648">
            <v>368.79259999999999</v>
          </cell>
        </row>
        <row r="6649">
          <cell r="B6649">
            <v>39426</v>
          </cell>
          <cell r="J6649">
            <v>3809804.3041216834</v>
          </cell>
          <cell r="K6649">
            <v>2.4380000000000002</v>
          </cell>
          <cell r="L6649">
            <v>148835</v>
          </cell>
          <cell r="M6649">
            <v>13229</v>
          </cell>
          <cell r="N6649">
            <v>683926.05601571908</v>
          </cell>
          <cell r="O6649">
            <v>692380.00232629513</v>
          </cell>
          <cell r="P6649">
            <v>368.79259999999999</v>
          </cell>
        </row>
        <row r="6650">
          <cell r="B6650">
            <v>39427</v>
          </cell>
          <cell r="J6650">
            <v>3809804.3041216834</v>
          </cell>
          <cell r="K6650">
            <v>2.4380000000000002</v>
          </cell>
          <cell r="L6650">
            <v>148835</v>
          </cell>
          <cell r="M6650">
            <v>13229</v>
          </cell>
          <cell r="N6650">
            <v>683926.05601571908</v>
          </cell>
          <cell r="O6650">
            <v>692380.00232629513</v>
          </cell>
          <cell r="P6650">
            <v>368.79259999999999</v>
          </cell>
        </row>
        <row r="6651">
          <cell r="B6651">
            <v>39428</v>
          </cell>
          <cell r="J6651">
            <v>3809804.3041216834</v>
          </cell>
          <cell r="K6651">
            <v>2.4380000000000002</v>
          </cell>
          <cell r="L6651">
            <v>148835</v>
          </cell>
          <cell r="M6651">
            <v>13229</v>
          </cell>
          <cell r="N6651">
            <v>683926.05601571908</v>
          </cell>
          <cell r="O6651">
            <v>692380.00232629513</v>
          </cell>
          <cell r="P6651">
            <v>368.79259999999999</v>
          </cell>
        </row>
        <row r="6652">
          <cell r="B6652">
            <v>39429</v>
          </cell>
          <cell r="J6652">
            <v>3809804.3041216834</v>
          </cell>
          <cell r="K6652">
            <v>2.4380000000000002</v>
          </cell>
          <cell r="L6652">
            <v>148835</v>
          </cell>
          <cell r="M6652">
            <v>13229</v>
          </cell>
          <cell r="N6652">
            <v>683926.05601571908</v>
          </cell>
          <cell r="O6652">
            <v>692380.00232629513</v>
          </cell>
          <cell r="P6652">
            <v>368.79259999999999</v>
          </cell>
        </row>
        <row r="6653">
          <cell r="B6653">
            <v>39430</v>
          </cell>
          <cell r="J6653">
            <v>3809804.3041216834</v>
          </cell>
          <cell r="K6653">
            <v>2.4380000000000002</v>
          </cell>
          <cell r="L6653">
            <v>148835</v>
          </cell>
          <cell r="M6653">
            <v>13229</v>
          </cell>
          <cell r="N6653">
            <v>683926.05601571908</v>
          </cell>
          <cell r="O6653">
            <v>692380.00232629513</v>
          </cell>
          <cell r="P6653">
            <v>368.79259999999999</v>
          </cell>
        </row>
        <row r="6654">
          <cell r="B6654">
            <v>39431</v>
          </cell>
          <cell r="J6654">
            <v>3809804.3041216834</v>
          </cell>
          <cell r="K6654">
            <v>2.4380000000000002</v>
          </cell>
          <cell r="L6654">
            <v>148835</v>
          </cell>
          <cell r="M6654">
            <v>13229</v>
          </cell>
          <cell r="N6654">
            <v>683926.05601571908</v>
          </cell>
          <cell r="O6654">
            <v>692380.00232629513</v>
          </cell>
          <cell r="P6654">
            <v>368.79259999999999</v>
          </cell>
        </row>
        <row r="6655">
          <cell r="B6655">
            <v>39432</v>
          </cell>
          <cell r="J6655">
            <v>3809804.3041216834</v>
          </cell>
          <cell r="K6655">
            <v>2.4380000000000002</v>
          </cell>
          <cell r="L6655">
            <v>148835</v>
          </cell>
          <cell r="M6655">
            <v>13229</v>
          </cell>
          <cell r="N6655">
            <v>683926.05601571908</v>
          </cell>
          <cell r="O6655">
            <v>692380.00232629513</v>
          </cell>
          <cell r="P6655">
            <v>368.79259999999999</v>
          </cell>
        </row>
        <row r="6656">
          <cell r="B6656">
            <v>39433</v>
          </cell>
          <cell r="J6656">
            <v>3809804.3041216834</v>
          </cell>
          <cell r="K6656">
            <v>2.4380000000000002</v>
          </cell>
          <cell r="L6656">
            <v>148835</v>
          </cell>
          <cell r="M6656">
            <v>13229</v>
          </cell>
          <cell r="N6656">
            <v>683926.05601571908</v>
          </cell>
          <cell r="O6656">
            <v>692380.00232629513</v>
          </cell>
          <cell r="P6656">
            <v>368.79259999999999</v>
          </cell>
        </row>
        <row r="6657">
          <cell r="B6657">
            <v>39434</v>
          </cell>
          <cell r="J6657">
            <v>3809804.3041216834</v>
          </cell>
          <cell r="K6657">
            <v>2.4380000000000002</v>
          </cell>
          <cell r="L6657">
            <v>148835</v>
          </cell>
          <cell r="M6657">
            <v>13229</v>
          </cell>
          <cell r="N6657">
            <v>683926.05601571908</v>
          </cell>
          <cell r="O6657">
            <v>692380.00232629513</v>
          </cell>
          <cell r="P6657">
            <v>368.79259999999999</v>
          </cell>
        </row>
        <row r="6658">
          <cell r="B6658">
            <v>39435</v>
          </cell>
          <cell r="J6658">
            <v>3809804.3041216834</v>
          </cell>
          <cell r="K6658">
            <v>2.4380000000000002</v>
          </cell>
          <cell r="L6658">
            <v>148835</v>
          </cell>
          <cell r="M6658">
            <v>13229</v>
          </cell>
          <cell r="N6658">
            <v>683926.05601571908</v>
          </cell>
          <cell r="O6658">
            <v>692380.00232629513</v>
          </cell>
          <cell r="P6658">
            <v>368.79259999999999</v>
          </cell>
        </row>
        <row r="6659">
          <cell r="B6659">
            <v>39436</v>
          </cell>
          <cell r="J6659">
            <v>3809804.3041216834</v>
          </cell>
          <cell r="K6659">
            <v>2.4380000000000002</v>
          </cell>
          <cell r="L6659">
            <v>148835</v>
          </cell>
          <cell r="M6659">
            <v>13229</v>
          </cell>
          <cell r="N6659">
            <v>683926.05601571908</v>
          </cell>
          <cell r="O6659">
            <v>692380.00232629513</v>
          </cell>
          <cell r="P6659">
            <v>368.79259999999999</v>
          </cell>
        </row>
        <row r="6660">
          <cell r="B6660">
            <v>39437</v>
          </cell>
          <cell r="J6660">
            <v>3809804.3041216834</v>
          </cell>
          <cell r="K6660">
            <v>2.4380000000000002</v>
          </cell>
          <cell r="L6660">
            <v>148835</v>
          </cell>
          <cell r="M6660">
            <v>13229</v>
          </cell>
          <cell r="N6660">
            <v>683926.05601571908</v>
          </cell>
          <cell r="O6660">
            <v>692380.00232629513</v>
          </cell>
          <cell r="P6660">
            <v>368.79259999999999</v>
          </cell>
        </row>
        <row r="6661">
          <cell r="B6661">
            <v>39438</v>
          </cell>
          <cell r="J6661">
            <v>3809804.3041216834</v>
          </cell>
          <cell r="K6661">
            <v>2.4380000000000002</v>
          </cell>
          <cell r="L6661">
            <v>148835</v>
          </cell>
          <cell r="M6661">
            <v>13229</v>
          </cell>
          <cell r="N6661">
            <v>683926.05601571908</v>
          </cell>
          <cell r="O6661">
            <v>692380.00232629513</v>
          </cell>
          <cell r="P6661">
            <v>368.79259999999999</v>
          </cell>
        </row>
        <row r="6662">
          <cell r="B6662">
            <v>39439</v>
          </cell>
          <cell r="J6662">
            <v>3809804.3041216834</v>
          </cell>
          <cell r="K6662">
            <v>2.4380000000000002</v>
          </cell>
          <cell r="L6662">
            <v>148835</v>
          </cell>
          <cell r="M6662">
            <v>13229</v>
          </cell>
          <cell r="N6662">
            <v>683926.05601571908</v>
          </cell>
          <cell r="O6662">
            <v>692380.00232629513</v>
          </cell>
          <cell r="P6662">
            <v>368.79259999999999</v>
          </cell>
        </row>
        <row r="6663">
          <cell r="B6663">
            <v>39440</v>
          </cell>
          <cell r="J6663">
            <v>3809804.3041216834</v>
          </cell>
          <cell r="K6663">
            <v>2.4380000000000002</v>
          </cell>
          <cell r="L6663">
            <v>148835</v>
          </cell>
          <cell r="M6663">
            <v>13229</v>
          </cell>
          <cell r="N6663">
            <v>683926.05601571908</v>
          </cell>
          <cell r="O6663">
            <v>692380.00232629513</v>
          </cell>
          <cell r="P6663">
            <v>368.79259999999999</v>
          </cell>
        </row>
        <row r="6664">
          <cell r="B6664">
            <v>39441</v>
          </cell>
          <cell r="J6664">
            <v>3809804.3041216834</v>
          </cell>
          <cell r="K6664">
            <v>2.4380000000000002</v>
          </cell>
          <cell r="L6664">
            <v>148835</v>
          </cell>
          <cell r="M6664">
            <v>13229</v>
          </cell>
          <cell r="N6664">
            <v>683926.05601571908</v>
          </cell>
          <cell r="O6664">
            <v>692380.00232629513</v>
          </cell>
          <cell r="P6664">
            <v>368.79259999999999</v>
          </cell>
        </row>
        <row r="6665">
          <cell r="B6665">
            <v>39442</v>
          </cell>
          <cell r="J6665">
            <v>3809804.3041216834</v>
          </cell>
          <cell r="K6665">
            <v>2.4380000000000002</v>
          </cell>
          <cell r="L6665">
            <v>148835</v>
          </cell>
          <cell r="M6665">
            <v>13229</v>
          </cell>
          <cell r="N6665">
            <v>683926.05601571908</v>
          </cell>
          <cell r="O6665">
            <v>692380.00232629513</v>
          </cell>
          <cell r="P6665">
            <v>368.79259999999999</v>
          </cell>
        </row>
        <row r="6666">
          <cell r="B6666">
            <v>39443</v>
          </cell>
          <cell r="J6666">
            <v>3809804.3041216834</v>
          </cell>
          <cell r="K6666">
            <v>2.4380000000000002</v>
          </cell>
          <cell r="L6666">
            <v>148835</v>
          </cell>
          <cell r="M6666">
            <v>13229</v>
          </cell>
          <cell r="N6666">
            <v>683926.05601571908</v>
          </cell>
          <cell r="O6666">
            <v>692380.00232629513</v>
          </cell>
          <cell r="P6666">
            <v>368.79259999999999</v>
          </cell>
        </row>
        <row r="6667">
          <cell r="B6667">
            <v>39444</v>
          </cell>
          <cell r="J6667">
            <v>3809804.3041216834</v>
          </cell>
          <cell r="K6667">
            <v>2.4380000000000002</v>
          </cell>
          <cell r="L6667">
            <v>148835</v>
          </cell>
          <cell r="M6667">
            <v>13229</v>
          </cell>
          <cell r="N6667">
            <v>683926.05601571908</v>
          </cell>
          <cell r="O6667">
            <v>692380.00232629513</v>
          </cell>
          <cell r="P6667">
            <v>368.79259999999999</v>
          </cell>
        </row>
        <row r="6668">
          <cell r="B6668">
            <v>39445</v>
          </cell>
          <cell r="J6668">
            <v>3809804.3041216834</v>
          </cell>
          <cell r="K6668">
            <v>2.4380000000000002</v>
          </cell>
          <cell r="L6668">
            <v>148835</v>
          </cell>
          <cell r="M6668">
            <v>13229</v>
          </cell>
          <cell r="N6668">
            <v>683926.05601571908</v>
          </cell>
          <cell r="O6668">
            <v>692380.00232629513</v>
          </cell>
          <cell r="P6668">
            <v>368.79259999999999</v>
          </cell>
        </row>
        <row r="6669">
          <cell r="B6669">
            <v>39446</v>
          </cell>
          <cell r="J6669">
            <v>3809804.3041216834</v>
          </cell>
          <cell r="K6669">
            <v>2.4380000000000002</v>
          </cell>
          <cell r="L6669">
            <v>148835</v>
          </cell>
          <cell r="M6669">
            <v>13229</v>
          </cell>
          <cell r="N6669">
            <v>683926.05601571908</v>
          </cell>
          <cell r="O6669">
            <v>692380.00232629513</v>
          </cell>
          <cell r="P6669">
            <v>368.79259999999999</v>
          </cell>
        </row>
        <row r="6670">
          <cell r="B6670">
            <v>39447</v>
          </cell>
          <cell r="J6670">
            <v>3809804.3041216834</v>
          </cell>
          <cell r="K6670">
            <v>2.4380000000000002</v>
          </cell>
          <cell r="L6670">
            <v>148835</v>
          </cell>
          <cell r="M6670">
            <v>13229</v>
          </cell>
          <cell r="N6670">
            <v>683926.05601571908</v>
          </cell>
          <cell r="O6670">
            <v>692380.00232629513</v>
          </cell>
          <cell r="P6670">
            <v>368.79259999999999</v>
          </cell>
        </row>
        <row r="6671">
          <cell r="B6671">
            <v>39448</v>
          </cell>
          <cell r="J6671">
            <v>3809804.3041216834</v>
          </cell>
          <cell r="K6671">
            <v>2.4380000000000002</v>
          </cell>
          <cell r="L6671">
            <v>148835</v>
          </cell>
          <cell r="M6671">
            <v>13229</v>
          </cell>
          <cell r="N6671">
            <v>683926.05601571908</v>
          </cell>
          <cell r="O6671">
            <v>692380.00232629513</v>
          </cell>
          <cell r="P6671">
            <v>368.79259999999999</v>
          </cell>
        </row>
        <row r="6672">
          <cell r="B6672">
            <v>39449</v>
          </cell>
          <cell r="J6672">
            <v>3809804.3041216834</v>
          </cell>
          <cell r="K6672">
            <v>2.4380000000000002</v>
          </cell>
          <cell r="L6672">
            <v>148835</v>
          </cell>
          <cell r="M6672">
            <v>13229</v>
          </cell>
          <cell r="N6672">
            <v>683926.05601571908</v>
          </cell>
          <cell r="O6672">
            <v>692380.00232629513</v>
          </cell>
          <cell r="P6672">
            <v>368.79259999999999</v>
          </cell>
        </row>
        <row r="6673">
          <cell r="B6673">
            <v>39450</v>
          </cell>
          <cell r="J6673">
            <v>3809804.3041216834</v>
          </cell>
          <cell r="K6673">
            <v>2.4380000000000002</v>
          </cell>
          <cell r="L6673">
            <v>148835</v>
          </cell>
          <cell r="M6673">
            <v>13229</v>
          </cell>
          <cell r="N6673">
            <v>683926.05601571908</v>
          </cell>
          <cell r="O6673">
            <v>692380.00232629513</v>
          </cell>
          <cell r="P6673">
            <v>368.79259999999999</v>
          </cell>
        </row>
        <row r="6674">
          <cell r="B6674">
            <v>39451</v>
          </cell>
          <cell r="J6674">
            <v>3809804.3041216834</v>
          </cell>
          <cell r="K6674">
            <v>2.4380000000000002</v>
          </cell>
          <cell r="L6674">
            <v>148835</v>
          </cell>
          <cell r="M6674">
            <v>13229</v>
          </cell>
          <cell r="N6674">
            <v>683926.05601571908</v>
          </cell>
          <cell r="O6674">
            <v>692380.00232629513</v>
          </cell>
          <cell r="P6674">
            <v>368.79259999999999</v>
          </cell>
        </row>
        <row r="6675">
          <cell r="B6675">
            <v>39452</v>
          </cell>
          <cell r="J6675">
            <v>3809804.3041216834</v>
          </cell>
          <cell r="K6675">
            <v>2.4380000000000002</v>
          </cell>
          <cell r="L6675">
            <v>148835</v>
          </cell>
          <cell r="M6675">
            <v>13229</v>
          </cell>
          <cell r="N6675">
            <v>683926.05601571908</v>
          </cell>
          <cell r="O6675">
            <v>692380.00232629513</v>
          </cell>
          <cell r="P6675">
            <v>368.79259999999999</v>
          </cell>
        </row>
        <row r="6676">
          <cell r="B6676">
            <v>39453</v>
          </cell>
          <cell r="J6676">
            <v>3809804.3041216834</v>
          </cell>
          <cell r="K6676">
            <v>2.4380000000000002</v>
          </cell>
          <cell r="L6676">
            <v>148835</v>
          </cell>
          <cell r="M6676">
            <v>13229</v>
          </cell>
          <cell r="N6676">
            <v>683926.05601571908</v>
          </cell>
          <cell r="O6676">
            <v>692380.00232629513</v>
          </cell>
          <cell r="P6676">
            <v>368.79259999999999</v>
          </cell>
        </row>
        <row r="6677">
          <cell r="B6677">
            <v>39454</v>
          </cell>
          <cell r="J6677">
            <v>3809804.3041216834</v>
          </cell>
          <cell r="K6677">
            <v>2.4380000000000002</v>
          </cell>
          <cell r="L6677">
            <v>148835</v>
          </cell>
          <cell r="M6677">
            <v>13229</v>
          </cell>
          <cell r="N6677">
            <v>683926.05601571908</v>
          </cell>
          <cell r="O6677">
            <v>692380.00232629513</v>
          </cell>
          <cell r="P6677">
            <v>368.79259999999999</v>
          </cell>
        </row>
        <row r="6678">
          <cell r="B6678">
            <v>39455</v>
          </cell>
          <cell r="J6678">
            <v>3809804.3041216834</v>
          </cell>
          <cell r="K6678">
            <v>2.4380000000000002</v>
          </cell>
          <cell r="L6678">
            <v>148835</v>
          </cell>
          <cell r="M6678">
            <v>13229</v>
          </cell>
          <cell r="N6678">
            <v>683926.05601571908</v>
          </cell>
          <cell r="O6678">
            <v>692380.00232629513</v>
          </cell>
          <cell r="P6678">
            <v>368.79259999999999</v>
          </cell>
        </row>
        <row r="6679">
          <cell r="B6679">
            <v>39456</v>
          </cell>
          <cell r="J6679">
            <v>3809804.3041216834</v>
          </cell>
          <cell r="K6679">
            <v>2.4380000000000002</v>
          </cell>
          <cell r="L6679">
            <v>148835</v>
          </cell>
          <cell r="M6679">
            <v>13229</v>
          </cell>
          <cell r="N6679">
            <v>683926.05601571908</v>
          </cell>
          <cell r="O6679">
            <v>692380.00232629513</v>
          </cell>
          <cell r="P6679">
            <v>368.79259999999999</v>
          </cell>
        </row>
        <row r="6680">
          <cell r="B6680">
            <v>39457</v>
          </cell>
          <cell r="J6680">
            <v>3809804.3041216834</v>
          </cell>
          <cell r="K6680">
            <v>2.4380000000000002</v>
          </cell>
          <cell r="L6680">
            <v>148835</v>
          </cell>
          <cell r="M6680">
            <v>13229</v>
          </cell>
          <cell r="N6680">
            <v>683926.05601571908</v>
          </cell>
          <cell r="O6680">
            <v>692380.00232629513</v>
          </cell>
          <cell r="P6680">
            <v>368.79259999999999</v>
          </cell>
        </row>
        <row r="6681">
          <cell r="B6681">
            <v>39458</v>
          </cell>
          <cell r="J6681">
            <v>3809804.3041216834</v>
          </cell>
          <cell r="K6681">
            <v>2.4380000000000002</v>
          </cell>
          <cell r="L6681">
            <v>148835</v>
          </cell>
          <cell r="M6681">
            <v>13229</v>
          </cell>
          <cell r="N6681">
            <v>683926.05601571908</v>
          </cell>
          <cell r="O6681">
            <v>692380.00232629513</v>
          </cell>
          <cell r="P6681">
            <v>368.79259999999999</v>
          </cell>
        </row>
        <row r="6682">
          <cell r="B6682">
            <v>39459</v>
          </cell>
          <cell r="J6682">
            <v>3809804.3041216834</v>
          </cell>
          <cell r="K6682">
            <v>2.4380000000000002</v>
          </cell>
          <cell r="L6682">
            <v>148835</v>
          </cell>
          <cell r="M6682">
            <v>13229</v>
          </cell>
          <cell r="N6682">
            <v>683926.05601571908</v>
          </cell>
          <cell r="O6682">
            <v>692380.00232629513</v>
          </cell>
          <cell r="P6682">
            <v>368.79259999999999</v>
          </cell>
        </row>
        <row r="6683">
          <cell r="B6683">
            <v>39460</v>
          </cell>
          <cell r="J6683">
            <v>3809804.3041216834</v>
          </cell>
          <cell r="K6683">
            <v>2.4380000000000002</v>
          </cell>
          <cell r="L6683">
            <v>148835</v>
          </cell>
          <cell r="M6683">
            <v>13229</v>
          </cell>
          <cell r="N6683">
            <v>683926.05601571908</v>
          </cell>
          <cell r="O6683">
            <v>692380.00232629513</v>
          </cell>
          <cell r="P6683">
            <v>368.79259999999999</v>
          </cell>
        </row>
        <row r="6684">
          <cell r="B6684">
            <v>39461</v>
          </cell>
          <cell r="J6684">
            <v>3809804.3041216834</v>
          </cell>
          <cell r="K6684">
            <v>2.4380000000000002</v>
          </cell>
          <cell r="L6684">
            <v>148835</v>
          </cell>
          <cell r="M6684">
            <v>13229</v>
          </cell>
          <cell r="N6684">
            <v>683926.05601571908</v>
          </cell>
          <cell r="O6684">
            <v>692380.00232629513</v>
          </cell>
          <cell r="P6684">
            <v>368.79259999999999</v>
          </cell>
        </row>
        <row r="6685">
          <cell r="B6685">
            <v>39462</v>
          </cell>
          <cell r="J6685">
            <v>3809804.3041216834</v>
          </cell>
          <cell r="K6685">
            <v>2.4380000000000002</v>
          </cell>
          <cell r="L6685">
            <v>148835</v>
          </cell>
          <cell r="M6685">
            <v>13229</v>
          </cell>
          <cell r="N6685">
            <v>683926.05601571908</v>
          </cell>
          <cell r="O6685">
            <v>692380.00232629513</v>
          </cell>
          <cell r="P6685">
            <v>368.79259999999999</v>
          </cell>
        </row>
        <row r="6686">
          <cell r="B6686">
            <v>39463</v>
          </cell>
          <cell r="J6686">
            <v>3809804.3041216834</v>
          </cell>
          <cell r="K6686">
            <v>2.4380000000000002</v>
          </cell>
          <cell r="L6686">
            <v>148835</v>
          </cell>
          <cell r="M6686">
            <v>13229</v>
          </cell>
          <cell r="N6686">
            <v>683926.05601571908</v>
          </cell>
          <cell r="O6686">
            <v>692380.00232629513</v>
          </cell>
          <cell r="P6686">
            <v>368.79259999999999</v>
          </cell>
        </row>
        <row r="6687">
          <cell r="B6687">
            <v>39464</v>
          </cell>
          <cell r="J6687">
            <v>3809804.3041216834</v>
          </cell>
          <cell r="K6687">
            <v>2.4380000000000002</v>
          </cell>
          <cell r="L6687">
            <v>148835</v>
          </cell>
          <cell r="M6687">
            <v>13229</v>
          </cell>
          <cell r="N6687">
            <v>683926.05601571908</v>
          </cell>
          <cell r="O6687">
            <v>692380.00232629513</v>
          </cell>
          <cell r="P6687">
            <v>368.79259999999999</v>
          </cell>
        </row>
        <row r="6688">
          <cell r="B6688">
            <v>39465</v>
          </cell>
          <cell r="J6688">
            <v>3809804.3041216834</v>
          </cell>
          <cell r="K6688">
            <v>2.4380000000000002</v>
          </cell>
          <cell r="L6688">
            <v>148835</v>
          </cell>
          <cell r="M6688">
            <v>13229</v>
          </cell>
          <cell r="N6688">
            <v>683926.05601571908</v>
          </cell>
          <cell r="O6688">
            <v>692380.00232629513</v>
          </cell>
          <cell r="P6688">
            <v>368.79259999999999</v>
          </cell>
        </row>
        <row r="6689">
          <cell r="B6689">
            <v>39466</v>
          </cell>
          <cell r="J6689">
            <v>3809804.3041216834</v>
          </cell>
          <cell r="K6689">
            <v>2.4380000000000002</v>
          </cell>
          <cell r="L6689">
            <v>148835</v>
          </cell>
          <cell r="M6689">
            <v>13229</v>
          </cell>
          <cell r="N6689">
            <v>683926.05601571908</v>
          </cell>
          <cell r="O6689">
            <v>692380.00232629513</v>
          </cell>
          <cell r="P6689">
            <v>368.79259999999999</v>
          </cell>
        </row>
        <row r="6690">
          <cell r="B6690">
            <v>39467</v>
          </cell>
          <cell r="J6690">
            <v>3809804.3041216834</v>
          </cell>
          <cell r="K6690">
            <v>2.4380000000000002</v>
          </cell>
          <cell r="L6690">
            <v>148835</v>
          </cell>
          <cell r="M6690">
            <v>13229</v>
          </cell>
          <cell r="N6690">
            <v>683926.05601571908</v>
          </cell>
          <cell r="O6690">
            <v>692380.00232629513</v>
          </cell>
          <cell r="P6690">
            <v>368.79259999999999</v>
          </cell>
        </row>
        <row r="6691">
          <cell r="B6691">
            <v>39468</v>
          </cell>
          <cell r="J6691">
            <v>3809804.3041216834</v>
          </cell>
          <cell r="K6691">
            <v>2.4380000000000002</v>
          </cell>
          <cell r="L6691">
            <v>148835</v>
          </cell>
          <cell r="M6691">
            <v>13229</v>
          </cell>
          <cell r="N6691">
            <v>683926.05601571908</v>
          </cell>
          <cell r="O6691">
            <v>692380.00232629513</v>
          </cell>
          <cell r="P6691">
            <v>368.79259999999999</v>
          </cell>
        </row>
        <row r="6692">
          <cell r="B6692">
            <v>39469</v>
          </cell>
          <cell r="J6692">
            <v>3809804.3041216834</v>
          </cell>
          <cell r="K6692">
            <v>2.4380000000000002</v>
          </cell>
          <cell r="L6692">
            <v>148835</v>
          </cell>
          <cell r="M6692">
            <v>13229</v>
          </cell>
          <cell r="N6692">
            <v>683926.05601571908</v>
          </cell>
          <cell r="O6692">
            <v>692380.00232629513</v>
          </cell>
          <cell r="P6692">
            <v>368.79259999999999</v>
          </cell>
        </row>
        <row r="6693">
          <cell r="B6693">
            <v>39470</v>
          </cell>
          <cell r="J6693">
            <v>3809804.3041216834</v>
          </cell>
          <cell r="K6693">
            <v>2.4380000000000002</v>
          </cell>
          <cell r="L6693">
            <v>148835</v>
          </cell>
          <cell r="M6693">
            <v>13229</v>
          </cell>
          <cell r="N6693">
            <v>683926.05601571908</v>
          </cell>
          <cell r="O6693">
            <v>692380.00232629513</v>
          </cell>
          <cell r="P6693">
            <v>368.79259999999999</v>
          </cell>
        </row>
        <row r="6694">
          <cell r="B6694">
            <v>39471</v>
          </cell>
          <cell r="J6694">
            <v>3809804.3041216834</v>
          </cell>
          <cell r="K6694">
            <v>2.4380000000000002</v>
          </cell>
          <cell r="L6694">
            <v>148835</v>
          </cell>
          <cell r="M6694">
            <v>13229</v>
          </cell>
          <cell r="N6694">
            <v>683926.05601571908</v>
          </cell>
          <cell r="O6694">
            <v>692380.00232629513</v>
          </cell>
          <cell r="P6694">
            <v>368.79259999999999</v>
          </cell>
        </row>
        <row r="6695">
          <cell r="B6695">
            <v>39472</v>
          </cell>
          <cell r="J6695">
            <v>3809804.3041216834</v>
          </cell>
          <cell r="K6695">
            <v>2.4380000000000002</v>
          </cell>
          <cell r="L6695">
            <v>148835</v>
          </cell>
          <cell r="M6695">
            <v>13229</v>
          </cell>
          <cell r="N6695">
            <v>683926.05601571908</v>
          </cell>
          <cell r="O6695">
            <v>692380.00232629513</v>
          </cell>
          <cell r="P6695">
            <v>368.79259999999999</v>
          </cell>
        </row>
        <row r="6696">
          <cell r="B6696">
            <v>39473</v>
          </cell>
          <cell r="J6696">
            <v>3809804.3041216834</v>
          </cell>
          <cell r="K6696">
            <v>2.4380000000000002</v>
          </cell>
          <cell r="L6696">
            <v>148835</v>
          </cell>
          <cell r="M6696">
            <v>13229</v>
          </cell>
          <cell r="N6696">
            <v>683926.05601571908</v>
          </cell>
          <cell r="O6696">
            <v>692380.00232629513</v>
          </cell>
          <cell r="P6696">
            <v>368.79259999999999</v>
          </cell>
        </row>
        <row r="6697">
          <cell r="B6697">
            <v>39474</v>
          </cell>
          <cell r="J6697">
            <v>3809804.3041216834</v>
          </cell>
          <cell r="K6697">
            <v>2.4380000000000002</v>
          </cell>
          <cell r="L6697">
            <v>148835</v>
          </cell>
          <cell r="M6697">
            <v>13229</v>
          </cell>
          <cell r="N6697">
            <v>683926.05601571908</v>
          </cell>
          <cell r="O6697">
            <v>692380.00232629513</v>
          </cell>
          <cell r="P6697">
            <v>368.79259999999999</v>
          </cell>
        </row>
        <row r="6698">
          <cell r="B6698">
            <v>39475</v>
          </cell>
          <cell r="J6698">
            <v>3809804.3041216834</v>
          </cell>
          <cell r="K6698">
            <v>2.4380000000000002</v>
          </cell>
          <cell r="L6698">
            <v>148835</v>
          </cell>
          <cell r="M6698">
            <v>13229</v>
          </cell>
          <cell r="N6698">
            <v>683926.05601571908</v>
          </cell>
          <cell r="O6698">
            <v>692380.00232629513</v>
          </cell>
          <cell r="P6698">
            <v>368.79259999999999</v>
          </cell>
        </row>
        <row r="6699">
          <cell r="B6699">
            <v>39476</v>
          </cell>
          <cell r="J6699">
            <v>3809804.3041216834</v>
          </cell>
          <cell r="K6699">
            <v>2.4380000000000002</v>
          </cell>
          <cell r="L6699">
            <v>148835</v>
          </cell>
          <cell r="M6699">
            <v>13229</v>
          </cell>
          <cell r="N6699">
            <v>683926.05601571908</v>
          </cell>
          <cell r="O6699">
            <v>692380.00232629513</v>
          </cell>
          <cell r="P6699">
            <v>368.79259999999999</v>
          </cell>
        </row>
        <row r="6700">
          <cell r="B6700">
            <v>39477</v>
          </cell>
          <cell r="J6700">
            <v>3809804.3041216834</v>
          </cell>
          <cell r="K6700">
            <v>2.4380000000000002</v>
          </cell>
          <cell r="L6700">
            <v>148835</v>
          </cell>
          <cell r="M6700">
            <v>13229</v>
          </cell>
          <cell r="N6700">
            <v>683926.05601571908</v>
          </cell>
          <cell r="O6700">
            <v>692380.00232629513</v>
          </cell>
          <cell r="P6700">
            <v>368.79259999999999</v>
          </cell>
        </row>
        <row r="6701">
          <cell r="B6701">
            <v>39478</v>
          </cell>
          <cell r="J6701">
            <v>3809804.3041216834</v>
          </cell>
          <cell r="K6701">
            <v>2.4380000000000002</v>
          </cell>
          <cell r="L6701">
            <v>148835</v>
          </cell>
          <cell r="M6701">
            <v>13229</v>
          </cell>
          <cell r="N6701">
            <v>683926.05601571908</v>
          </cell>
          <cell r="O6701">
            <v>692380.00232629513</v>
          </cell>
          <cell r="P6701">
            <v>368.79259999999999</v>
          </cell>
        </row>
        <row r="6702">
          <cell r="B6702">
            <v>39479</v>
          </cell>
          <cell r="J6702">
            <v>3809804.3041216834</v>
          </cell>
          <cell r="K6702">
            <v>2.4380000000000002</v>
          </cell>
          <cell r="L6702">
            <v>148835</v>
          </cell>
          <cell r="M6702">
            <v>13229</v>
          </cell>
          <cell r="N6702">
            <v>683926.05601571908</v>
          </cell>
          <cell r="O6702">
            <v>692380.00232629513</v>
          </cell>
          <cell r="P6702">
            <v>368.79259999999999</v>
          </cell>
        </row>
        <row r="6703">
          <cell r="B6703">
            <v>39480</v>
          </cell>
          <cell r="J6703">
            <v>3809804.3041216834</v>
          </cell>
          <cell r="K6703">
            <v>2.4380000000000002</v>
          </cell>
          <cell r="L6703">
            <v>148835</v>
          </cell>
          <cell r="M6703">
            <v>13229</v>
          </cell>
          <cell r="N6703">
            <v>683926.05601571908</v>
          </cell>
          <cell r="O6703">
            <v>692380.00232629513</v>
          </cell>
          <cell r="P6703">
            <v>368.79259999999999</v>
          </cell>
        </row>
        <row r="6704">
          <cell r="B6704">
            <v>39481</v>
          </cell>
          <cell r="J6704">
            <v>3809804.3041216834</v>
          </cell>
          <cell r="K6704">
            <v>2.4380000000000002</v>
          </cell>
          <cell r="L6704">
            <v>148835</v>
          </cell>
          <cell r="M6704">
            <v>13229</v>
          </cell>
          <cell r="N6704">
            <v>683926.05601571908</v>
          </cell>
          <cell r="O6704">
            <v>692380.00232629513</v>
          </cell>
          <cell r="P6704">
            <v>368.79259999999999</v>
          </cell>
        </row>
        <row r="6705">
          <cell r="B6705">
            <v>39482</v>
          </cell>
          <cell r="J6705">
            <v>3809804.3041216834</v>
          </cell>
          <cell r="K6705">
            <v>2.4380000000000002</v>
          </cell>
          <cell r="L6705">
            <v>148835</v>
          </cell>
          <cell r="M6705">
            <v>13229</v>
          </cell>
          <cell r="N6705">
            <v>683926.05601571908</v>
          </cell>
          <cell r="O6705">
            <v>692380.00232629513</v>
          </cell>
          <cell r="P6705">
            <v>368.79259999999999</v>
          </cell>
        </row>
        <row r="6706">
          <cell r="B6706">
            <v>39483</v>
          </cell>
          <cell r="J6706">
            <v>3809804.3041216834</v>
          </cell>
          <cell r="K6706">
            <v>2.4380000000000002</v>
          </cell>
          <cell r="L6706">
            <v>148835</v>
          </cell>
          <cell r="M6706">
            <v>13229</v>
          </cell>
          <cell r="N6706">
            <v>683926.05601571908</v>
          </cell>
          <cell r="O6706">
            <v>692380.00232629513</v>
          </cell>
          <cell r="P6706">
            <v>368.79259999999999</v>
          </cell>
        </row>
        <row r="6707">
          <cell r="B6707">
            <v>39484</v>
          </cell>
          <cell r="J6707">
            <v>3809804.3041216834</v>
          </cell>
          <cell r="K6707">
            <v>2.4380000000000002</v>
          </cell>
          <cell r="L6707">
            <v>148835</v>
          </cell>
          <cell r="M6707">
            <v>13229</v>
          </cell>
          <cell r="N6707">
            <v>683926.05601571908</v>
          </cell>
          <cell r="O6707">
            <v>692380.00232629513</v>
          </cell>
          <cell r="P6707">
            <v>368.79259999999999</v>
          </cell>
        </row>
        <row r="6708">
          <cell r="B6708">
            <v>39485</v>
          </cell>
          <cell r="J6708">
            <v>3809804.3041216834</v>
          </cell>
          <cell r="K6708">
            <v>2.4380000000000002</v>
          </cell>
          <cell r="L6708">
            <v>148835</v>
          </cell>
          <cell r="M6708">
            <v>13229</v>
          </cell>
          <cell r="N6708">
            <v>683926.05601571908</v>
          </cell>
          <cell r="O6708">
            <v>692380.00232629513</v>
          </cell>
          <cell r="P6708">
            <v>368.79259999999999</v>
          </cell>
        </row>
        <row r="6709">
          <cell r="B6709">
            <v>39486</v>
          </cell>
          <cell r="J6709">
            <v>3809804.3041216834</v>
          </cell>
          <cell r="K6709">
            <v>2.4380000000000002</v>
          </cell>
          <cell r="L6709">
            <v>148835</v>
          </cell>
          <cell r="M6709">
            <v>13229</v>
          </cell>
          <cell r="N6709">
            <v>683926.05601571908</v>
          </cell>
          <cell r="O6709">
            <v>692380.00232629513</v>
          </cell>
          <cell r="P6709">
            <v>368.79259999999999</v>
          </cell>
        </row>
        <row r="6710">
          <cell r="B6710">
            <v>39487</v>
          </cell>
          <cell r="J6710">
            <v>3809804.3041216834</v>
          </cell>
          <cell r="K6710">
            <v>2.4380000000000002</v>
          </cell>
          <cell r="L6710">
            <v>148835</v>
          </cell>
          <cell r="M6710">
            <v>13229</v>
          </cell>
          <cell r="N6710">
            <v>683926.05601571908</v>
          </cell>
          <cell r="O6710">
            <v>692380.00232629513</v>
          </cell>
          <cell r="P6710">
            <v>368.79259999999999</v>
          </cell>
        </row>
        <row r="6711">
          <cell r="B6711">
            <v>39488</v>
          </cell>
          <cell r="J6711">
            <v>3809804.3041216834</v>
          </cell>
          <cell r="K6711">
            <v>2.4380000000000002</v>
          </cell>
          <cell r="L6711">
            <v>148835</v>
          </cell>
          <cell r="M6711">
            <v>13229</v>
          </cell>
          <cell r="N6711">
            <v>683926.05601571908</v>
          </cell>
          <cell r="O6711">
            <v>692380.00232629513</v>
          </cell>
          <cell r="P6711">
            <v>368.79259999999999</v>
          </cell>
        </row>
        <row r="6712">
          <cell r="B6712">
            <v>39489</v>
          </cell>
          <cell r="J6712">
            <v>3809804.3041216834</v>
          </cell>
          <cell r="K6712">
            <v>2.4380000000000002</v>
          </cell>
          <cell r="L6712">
            <v>148835</v>
          </cell>
          <cell r="M6712">
            <v>13229</v>
          </cell>
          <cell r="N6712">
            <v>683926.05601571908</v>
          </cell>
          <cell r="O6712">
            <v>692380.00232629513</v>
          </cell>
          <cell r="P6712">
            <v>368.79259999999999</v>
          </cell>
        </row>
        <row r="6713">
          <cell r="B6713">
            <v>39490</v>
          </cell>
          <cell r="J6713">
            <v>3809804.3041216834</v>
          </cell>
          <cell r="K6713">
            <v>2.4380000000000002</v>
          </cell>
          <cell r="L6713">
            <v>148835</v>
          </cell>
          <cell r="M6713">
            <v>13229</v>
          </cell>
          <cell r="N6713">
            <v>683926.05601571908</v>
          </cell>
          <cell r="O6713">
            <v>692380.00232629513</v>
          </cell>
          <cell r="P6713">
            <v>368.79259999999999</v>
          </cell>
        </row>
        <row r="6714">
          <cell r="B6714">
            <v>39491</v>
          </cell>
          <cell r="J6714">
            <v>3809804.3041216834</v>
          </cell>
          <cell r="K6714">
            <v>2.4380000000000002</v>
          </cell>
          <cell r="L6714">
            <v>148835</v>
          </cell>
          <cell r="M6714">
            <v>13229</v>
          </cell>
          <cell r="N6714">
            <v>683926.05601571908</v>
          </cell>
          <cell r="O6714">
            <v>692380.00232629513</v>
          </cell>
          <cell r="P6714">
            <v>368.79259999999999</v>
          </cell>
        </row>
        <row r="6715">
          <cell r="B6715">
            <v>39492</v>
          </cell>
          <cell r="J6715">
            <v>3809804.3041216834</v>
          </cell>
          <cell r="K6715">
            <v>2.4380000000000002</v>
          </cell>
          <cell r="L6715">
            <v>148835</v>
          </cell>
          <cell r="M6715">
            <v>13229</v>
          </cell>
          <cell r="N6715">
            <v>683926.05601571908</v>
          </cell>
          <cell r="O6715">
            <v>692380.00232629513</v>
          </cell>
          <cell r="P6715">
            <v>368.79259999999999</v>
          </cell>
        </row>
        <row r="6716">
          <cell r="B6716">
            <v>39493</v>
          </cell>
          <cell r="J6716">
            <v>3809804.3041216834</v>
          </cell>
          <cell r="K6716">
            <v>2.4380000000000002</v>
          </cell>
          <cell r="L6716">
            <v>148835</v>
          </cell>
          <cell r="M6716">
            <v>13229</v>
          </cell>
          <cell r="N6716">
            <v>683926.05601571908</v>
          </cell>
          <cell r="O6716">
            <v>692380.00232629513</v>
          </cell>
          <cell r="P6716">
            <v>368.79259999999999</v>
          </cell>
        </row>
        <row r="6717">
          <cell r="B6717">
            <v>39494</v>
          </cell>
          <cell r="J6717">
            <v>3809804.3041216834</v>
          </cell>
          <cell r="K6717">
            <v>2.4380000000000002</v>
          </cell>
          <cell r="L6717">
            <v>148835</v>
          </cell>
          <cell r="M6717">
            <v>13229</v>
          </cell>
          <cell r="N6717">
            <v>683926.05601571908</v>
          </cell>
          <cell r="O6717">
            <v>692380.00232629513</v>
          </cell>
          <cell r="P6717">
            <v>368.79259999999999</v>
          </cell>
        </row>
        <row r="6718">
          <cell r="B6718">
            <v>39495</v>
          </cell>
          <cell r="J6718">
            <v>3809804.3041216834</v>
          </cell>
          <cell r="K6718">
            <v>2.4380000000000002</v>
          </cell>
          <cell r="L6718">
            <v>148835</v>
          </cell>
          <cell r="M6718">
            <v>13229</v>
          </cell>
          <cell r="N6718">
            <v>683926.05601571908</v>
          </cell>
          <cell r="O6718">
            <v>692380.00232629513</v>
          </cell>
          <cell r="P6718">
            <v>368.79259999999999</v>
          </cell>
        </row>
        <row r="6719">
          <cell r="B6719">
            <v>39496</v>
          </cell>
          <cell r="J6719">
            <v>3809804.3041216834</v>
          </cell>
          <cell r="K6719">
            <v>2.4380000000000002</v>
          </cell>
          <cell r="L6719">
            <v>148835</v>
          </cell>
          <cell r="M6719">
            <v>13229</v>
          </cell>
          <cell r="N6719">
            <v>683926.05601571908</v>
          </cell>
          <cell r="O6719">
            <v>692380.00232629513</v>
          </cell>
          <cell r="P6719">
            <v>368.79259999999999</v>
          </cell>
        </row>
        <row r="6720">
          <cell r="B6720">
            <v>39497</v>
          </cell>
          <cell r="J6720">
            <v>3809804.3041216834</v>
          </cell>
          <cell r="K6720">
            <v>2.4380000000000002</v>
          </cell>
          <cell r="L6720">
            <v>148835</v>
          </cell>
          <cell r="M6720">
            <v>13229</v>
          </cell>
          <cell r="N6720">
            <v>683926.05601571908</v>
          </cell>
          <cell r="O6720">
            <v>692380.00232629513</v>
          </cell>
          <cell r="P6720">
            <v>368.79259999999999</v>
          </cell>
        </row>
        <row r="6721">
          <cell r="B6721">
            <v>39498</v>
          </cell>
          <cell r="J6721">
            <v>3809804.3041216834</v>
          </cell>
          <cell r="K6721">
            <v>2.4380000000000002</v>
          </cell>
          <cell r="L6721">
            <v>148835</v>
          </cell>
          <cell r="M6721">
            <v>13229</v>
          </cell>
          <cell r="N6721">
            <v>683926.05601571908</v>
          </cell>
          <cell r="O6721">
            <v>692380.00232629513</v>
          </cell>
          <cell r="P6721">
            <v>368.79259999999999</v>
          </cell>
        </row>
        <row r="6722">
          <cell r="B6722">
            <v>39499</v>
          </cell>
          <cell r="J6722">
            <v>3809804.3041216834</v>
          </cell>
          <cell r="K6722">
            <v>2.4380000000000002</v>
          </cell>
          <cell r="L6722">
            <v>148835</v>
          </cell>
          <cell r="M6722">
            <v>13229</v>
          </cell>
          <cell r="N6722">
            <v>683926.05601571908</v>
          </cell>
          <cell r="O6722">
            <v>692380.00232629513</v>
          </cell>
          <cell r="P6722">
            <v>368.79259999999999</v>
          </cell>
        </row>
        <row r="6723">
          <cell r="B6723">
            <v>39500</v>
          </cell>
          <cell r="J6723">
            <v>3809804.3041216834</v>
          </cell>
          <cell r="K6723">
            <v>2.4380000000000002</v>
          </cell>
          <cell r="L6723">
            <v>148835</v>
          </cell>
          <cell r="M6723">
            <v>13229</v>
          </cell>
          <cell r="N6723">
            <v>683926.05601571908</v>
          </cell>
          <cell r="O6723">
            <v>692380.00232629513</v>
          </cell>
          <cell r="P6723">
            <v>368.79259999999999</v>
          </cell>
        </row>
        <row r="6724">
          <cell r="B6724">
            <v>39501</v>
          </cell>
          <cell r="J6724">
            <v>3809804.3041216834</v>
          </cell>
          <cell r="K6724">
            <v>2.4380000000000002</v>
          </cell>
          <cell r="L6724">
            <v>148835</v>
          </cell>
          <cell r="M6724">
            <v>13229</v>
          </cell>
          <cell r="N6724">
            <v>683926.05601571908</v>
          </cell>
          <cell r="O6724">
            <v>692380.00232629513</v>
          </cell>
          <cell r="P6724">
            <v>368.79259999999999</v>
          </cell>
        </row>
        <row r="6725">
          <cell r="B6725">
            <v>39502</v>
          </cell>
          <cell r="J6725">
            <v>3809804.3041216834</v>
          </cell>
          <cell r="K6725">
            <v>2.4380000000000002</v>
          </cell>
          <cell r="L6725">
            <v>148835</v>
          </cell>
          <cell r="M6725">
            <v>13229</v>
          </cell>
          <cell r="N6725">
            <v>683926.05601571908</v>
          </cell>
          <cell r="O6725">
            <v>692380.00232629513</v>
          </cell>
          <cell r="P6725">
            <v>368.79259999999999</v>
          </cell>
        </row>
        <row r="6726">
          <cell r="B6726">
            <v>39503</v>
          </cell>
          <cell r="J6726">
            <v>3809804.3041216834</v>
          </cell>
          <cell r="K6726">
            <v>2.4380000000000002</v>
          </cell>
          <cell r="L6726">
            <v>148835</v>
          </cell>
          <cell r="M6726">
            <v>13229</v>
          </cell>
          <cell r="N6726">
            <v>683926.05601571908</v>
          </cell>
          <cell r="O6726">
            <v>692380.00232629513</v>
          </cell>
          <cell r="P6726">
            <v>368.79259999999999</v>
          </cell>
        </row>
        <row r="6727">
          <cell r="B6727">
            <v>39504</v>
          </cell>
          <cell r="J6727">
            <v>3809804.3041216834</v>
          </cell>
          <cell r="K6727">
            <v>2.4380000000000002</v>
          </cell>
          <cell r="L6727">
            <v>148835</v>
          </cell>
          <cell r="M6727">
            <v>13229</v>
          </cell>
          <cell r="N6727">
            <v>683926.05601571908</v>
          </cell>
          <cell r="O6727">
            <v>692380.00232629513</v>
          </cell>
          <cell r="P6727">
            <v>368.79259999999999</v>
          </cell>
        </row>
        <row r="6728">
          <cell r="B6728">
            <v>39505</v>
          </cell>
          <cell r="J6728">
            <v>3809804.3041216834</v>
          </cell>
          <cell r="K6728">
            <v>2.4380000000000002</v>
          </cell>
          <cell r="L6728">
            <v>148835</v>
          </cell>
          <cell r="M6728">
            <v>13229</v>
          </cell>
          <cell r="N6728">
            <v>683926.05601571908</v>
          </cell>
          <cell r="O6728">
            <v>692380.00232629513</v>
          </cell>
          <cell r="P6728">
            <v>368.79259999999999</v>
          </cell>
        </row>
        <row r="6729">
          <cell r="B6729">
            <v>39506</v>
          </cell>
          <cell r="J6729">
            <v>3809804.3041216834</v>
          </cell>
          <cell r="K6729">
            <v>2.4380000000000002</v>
          </cell>
          <cell r="L6729">
            <v>148835</v>
          </cell>
          <cell r="M6729">
            <v>13229</v>
          </cell>
          <cell r="N6729">
            <v>683926.05601571908</v>
          </cell>
          <cell r="O6729">
            <v>692380.00232629513</v>
          </cell>
          <cell r="P6729">
            <v>368.79259999999999</v>
          </cell>
        </row>
        <row r="6730">
          <cell r="B6730">
            <v>39507</v>
          </cell>
          <cell r="J6730">
            <v>3809804.3041216834</v>
          </cell>
          <cell r="K6730">
            <v>2.4380000000000002</v>
          </cell>
          <cell r="L6730">
            <v>148835</v>
          </cell>
          <cell r="M6730">
            <v>13229</v>
          </cell>
          <cell r="N6730">
            <v>683926.05601571908</v>
          </cell>
          <cell r="O6730">
            <v>692380.00232629513</v>
          </cell>
          <cell r="P6730">
            <v>368.79259999999999</v>
          </cell>
        </row>
        <row r="6731">
          <cell r="B6731">
            <v>39508</v>
          </cell>
          <cell r="J6731">
            <v>3809804.3041216834</v>
          </cell>
          <cell r="K6731">
            <v>2.4380000000000002</v>
          </cell>
          <cell r="L6731">
            <v>148835</v>
          </cell>
          <cell r="M6731">
            <v>13229</v>
          </cell>
          <cell r="N6731">
            <v>683926.05601571908</v>
          </cell>
          <cell r="O6731">
            <v>692380.00232629513</v>
          </cell>
          <cell r="P6731">
            <v>368.79259999999999</v>
          </cell>
        </row>
        <row r="6732">
          <cell r="B6732">
            <v>39509</v>
          </cell>
          <cell r="J6732">
            <v>3809804.3041216834</v>
          </cell>
          <cell r="K6732">
            <v>2.4380000000000002</v>
          </cell>
          <cell r="L6732">
            <v>148835</v>
          </cell>
          <cell r="M6732">
            <v>13229</v>
          </cell>
          <cell r="N6732">
            <v>683926.05601571908</v>
          </cell>
          <cell r="O6732">
            <v>692380.00232629513</v>
          </cell>
          <cell r="P6732">
            <v>368.79259999999999</v>
          </cell>
        </row>
        <row r="6733">
          <cell r="B6733">
            <v>39510</v>
          </cell>
          <cell r="J6733">
            <v>3809804.3041216834</v>
          </cell>
          <cell r="K6733">
            <v>2.4380000000000002</v>
          </cell>
          <cell r="L6733">
            <v>148835</v>
          </cell>
          <cell r="M6733">
            <v>13229</v>
          </cell>
          <cell r="N6733">
            <v>683926.05601571908</v>
          </cell>
          <cell r="O6733">
            <v>692380.00232629513</v>
          </cell>
          <cell r="P6733">
            <v>368.79259999999999</v>
          </cell>
        </row>
        <row r="6734">
          <cell r="B6734">
            <v>39511</v>
          </cell>
          <cell r="J6734">
            <v>3809804.3041216834</v>
          </cell>
          <cell r="K6734">
            <v>2.4380000000000002</v>
          </cell>
          <cell r="L6734">
            <v>148835</v>
          </cell>
          <cell r="M6734">
            <v>13229</v>
          </cell>
          <cell r="N6734">
            <v>683926.05601571908</v>
          </cell>
          <cell r="O6734">
            <v>692380.00232629513</v>
          </cell>
          <cell r="P6734">
            <v>368.79259999999999</v>
          </cell>
        </row>
        <row r="6735">
          <cell r="B6735">
            <v>39512</v>
          </cell>
          <cell r="J6735">
            <v>3809804.3041216834</v>
          </cell>
          <cell r="K6735">
            <v>2.4380000000000002</v>
          </cell>
          <cell r="L6735">
            <v>148835</v>
          </cell>
          <cell r="M6735">
            <v>13229</v>
          </cell>
          <cell r="N6735">
            <v>683926.05601571908</v>
          </cell>
          <cell r="O6735">
            <v>692380.00232629513</v>
          </cell>
          <cell r="P6735">
            <v>368.79259999999999</v>
          </cell>
        </row>
        <row r="6736">
          <cell r="B6736">
            <v>39513</v>
          </cell>
          <cell r="J6736">
            <v>3809804.3041216834</v>
          </cell>
          <cell r="K6736">
            <v>2.4380000000000002</v>
          </cell>
          <cell r="L6736">
            <v>148835</v>
          </cell>
          <cell r="M6736">
            <v>13229</v>
          </cell>
          <cell r="N6736">
            <v>683926.05601571908</v>
          </cell>
          <cell r="O6736">
            <v>692380.00232629513</v>
          </cell>
          <cell r="P6736">
            <v>368.79259999999999</v>
          </cell>
        </row>
        <row r="6737">
          <cell r="B6737">
            <v>39514</v>
          </cell>
          <cell r="J6737">
            <v>3809804.3041216834</v>
          </cell>
          <cell r="K6737">
            <v>2.4380000000000002</v>
          </cell>
          <cell r="L6737">
            <v>148835</v>
          </cell>
          <cell r="M6737">
            <v>13229</v>
          </cell>
          <cell r="N6737">
            <v>683926.05601571908</v>
          </cell>
          <cell r="O6737">
            <v>692380.00232629513</v>
          </cell>
          <cell r="P6737">
            <v>368.79259999999999</v>
          </cell>
        </row>
        <row r="6738">
          <cell r="B6738">
            <v>39515</v>
          </cell>
          <cell r="J6738">
            <v>3809804.3041216834</v>
          </cell>
          <cell r="K6738">
            <v>2.4380000000000002</v>
          </cell>
          <cell r="L6738">
            <v>148835</v>
          </cell>
          <cell r="M6738">
            <v>13229</v>
          </cell>
          <cell r="N6738">
            <v>683926.05601571908</v>
          </cell>
          <cell r="O6738">
            <v>692380.00232629513</v>
          </cell>
          <cell r="P6738">
            <v>368.79259999999999</v>
          </cell>
        </row>
        <row r="6739">
          <cell r="B6739">
            <v>39516</v>
          </cell>
          <cell r="J6739">
            <v>3809804.3041216834</v>
          </cell>
          <cell r="K6739">
            <v>2.4380000000000002</v>
          </cell>
          <cell r="L6739">
            <v>148835</v>
          </cell>
          <cell r="M6739">
            <v>13229</v>
          </cell>
          <cell r="N6739">
            <v>683926.05601571908</v>
          </cell>
          <cell r="O6739">
            <v>692380.00232629513</v>
          </cell>
          <cell r="P6739">
            <v>368.79259999999999</v>
          </cell>
        </row>
        <row r="6740">
          <cell r="B6740">
            <v>39517</v>
          </cell>
          <cell r="J6740">
            <v>3809804.3041216834</v>
          </cell>
          <cell r="K6740">
            <v>2.4380000000000002</v>
          </cell>
          <cell r="L6740">
            <v>148835</v>
          </cell>
          <cell r="M6740">
            <v>13229</v>
          </cell>
          <cell r="N6740">
            <v>683926.05601571908</v>
          </cell>
          <cell r="O6740">
            <v>692380.00232629513</v>
          </cell>
          <cell r="P6740">
            <v>368.79259999999999</v>
          </cell>
        </row>
        <row r="6741">
          <cell r="B6741">
            <v>39518</v>
          </cell>
          <cell r="J6741">
            <v>3809804.3041216834</v>
          </cell>
          <cell r="K6741">
            <v>2.4380000000000002</v>
          </cell>
          <cell r="L6741">
            <v>148835</v>
          </cell>
          <cell r="M6741">
            <v>13229</v>
          </cell>
          <cell r="N6741">
            <v>683926.05601571908</v>
          </cell>
          <cell r="O6741">
            <v>692380.00232629513</v>
          </cell>
          <cell r="P6741">
            <v>368.79259999999999</v>
          </cell>
        </row>
        <row r="6742">
          <cell r="B6742">
            <v>39519</v>
          </cell>
          <cell r="J6742">
            <v>3809804.3041216834</v>
          </cell>
          <cell r="K6742">
            <v>2.4380000000000002</v>
          </cell>
          <cell r="L6742">
            <v>148835</v>
          </cell>
          <cell r="M6742">
            <v>13229</v>
          </cell>
          <cell r="N6742">
            <v>683926.05601571908</v>
          </cell>
          <cell r="O6742">
            <v>692380.00232629513</v>
          </cell>
          <cell r="P6742">
            <v>368.79259999999999</v>
          </cell>
        </row>
        <row r="6743">
          <cell r="B6743">
            <v>39520</v>
          </cell>
          <cell r="J6743">
            <v>3809804.3041216834</v>
          </cell>
          <cell r="K6743">
            <v>2.4380000000000002</v>
          </cell>
          <cell r="L6743">
            <v>148835</v>
          </cell>
          <cell r="M6743">
            <v>13229</v>
          </cell>
          <cell r="N6743">
            <v>683926.05601571908</v>
          </cell>
          <cell r="O6743">
            <v>692380.00232629513</v>
          </cell>
          <cell r="P6743">
            <v>368.79259999999999</v>
          </cell>
        </row>
        <row r="6744">
          <cell r="B6744">
            <v>39521</v>
          </cell>
          <cell r="J6744">
            <v>3809804.3041216834</v>
          </cell>
          <cell r="K6744">
            <v>2.4380000000000002</v>
          </cell>
          <cell r="L6744">
            <v>148835</v>
          </cell>
          <cell r="M6744">
            <v>13229</v>
          </cell>
          <cell r="N6744">
            <v>683926.05601571908</v>
          </cell>
          <cell r="O6744">
            <v>692380.00232629513</v>
          </cell>
          <cell r="P6744">
            <v>368.79259999999999</v>
          </cell>
        </row>
        <row r="6745">
          <cell r="B6745">
            <v>39522</v>
          </cell>
          <cell r="J6745">
            <v>3809804.3041216834</v>
          </cell>
          <cell r="K6745">
            <v>2.4380000000000002</v>
          </cell>
          <cell r="L6745">
            <v>148835</v>
          </cell>
          <cell r="M6745">
            <v>13229</v>
          </cell>
          <cell r="N6745">
            <v>683926.05601571908</v>
          </cell>
          <cell r="O6745">
            <v>692380.00232629513</v>
          </cell>
          <cell r="P6745">
            <v>368.79259999999999</v>
          </cell>
        </row>
        <row r="6746">
          <cell r="B6746">
            <v>39523</v>
          </cell>
          <cell r="J6746">
            <v>3809804.3041216834</v>
          </cell>
          <cell r="K6746">
            <v>2.4380000000000002</v>
          </cell>
          <cell r="L6746">
            <v>148835</v>
          </cell>
          <cell r="M6746">
            <v>13229</v>
          </cell>
          <cell r="N6746">
            <v>683926.05601571908</v>
          </cell>
          <cell r="O6746">
            <v>692380.00232629513</v>
          </cell>
          <cell r="P6746">
            <v>368.79259999999999</v>
          </cell>
        </row>
        <row r="6747">
          <cell r="B6747">
            <v>39524</v>
          </cell>
          <cell r="J6747">
            <v>3809804.3041216834</v>
          </cell>
          <cell r="K6747">
            <v>2.4380000000000002</v>
          </cell>
          <cell r="L6747">
            <v>148835</v>
          </cell>
          <cell r="M6747">
            <v>13229</v>
          </cell>
          <cell r="N6747">
            <v>683926.05601571908</v>
          </cell>
          <cell r="O6747">
            <v>692380.00232629513</v>
          </cell>
          <cell r="P6747">
            <v>368.79259999999999</v>
          </cell>
        </row>
        <row r="6748">
          <cell r="B6748">
            <v>39525</v>
          </cell>
          <cell r="J6748">
            <v>3809804.3041216834</v>
          </cell>
          <cell r="K6748">
            <v>2.4380000000000002</v>
          </cell>
          <cell r="L6748">
            <v>148835</v>
          </cell>
          <cell r="M6748">
            <v>13229</v>
          </cell>
          <cell r="N6748">
            <v>683926.05601571908</v>
          </cell>
          <cell r="O6748">
            <v>692380.00232629513</v>
          </cell>
          <cell r="P6748">
            <v>368.79259999999999</v>
          </cell>
        </row>
        <row r="6749">
          <cell r="B6749">
            <v>39526</v>
          </cell>
          <cell r="J6749">
            <v>3809804.3041216834</v>
          </cell>
          <cell r="K6749">
            <v>2.4380000000000002</v>
          </cell>
          <cell r="L6749">
            <v>148835</v>
          </cell>
          <cell r="M6749">
            <v>13229</v>
          </cell>
          <cell r="N6749">
            <v>683926.05601571908</v>
          </cell>
          <cell r="O6749">
            <v>692380.00232629513</v>
          </cell>
          <cell r="P6749">
            <v>368.79259999999999</v>
          </cell>
        </row>
        <row r="6750">
          <cell r="B6750">
            <v>39527</v>
          </cell>
          <cell r="J6750">
            <v>3809804.3041216834</v>
          </cell>
          <cell r="K6750">
            <v>2.4380000000000002</v>
          </cell>
          <cell r="L6750">
            <v>148835</v>
          </cell>
          <cell r="M6750">
            <v>13229</v>
          </cell>
          <cell r="N6750">
            <v>683926.05601571908</v>
          </cell>
          <cell r="O6750">
            <v>692380.00232629513</v>
          </cell>
          <cell r="P6750">
            <v>368.79259999999999</v>
          </cell>
        </row>
        <row r="6751">
          <cell r="B6751">
            <v>39528</v>
          </cell>
          <cell r="J6751">
            <v>3809804.3041216834</v>
          </cell>
          <cell r="K6751">
            <v>2.4380000000000002</v>
          </cell>
          <cell r="L6751">
            <v>148835</v>
          </cell>
          <cell r="M6751">
            <v>13229</v>
          </cell>
          <cell r="N6751">
            <v>683926.05601571908</v>
          </cell>
          <cell r="O6751">
            <v>692380.00232629513</v>
          </cell>
          <cell r="P6751">
            <v>368.79259999999999</v>
          </cell>
        </row>
        <row r="6752">
          <cell r="B6752">
            <v>39529</v>
          </cell>
          <cell r="J6752">
            <v>3809804.3041216834</v>
          </cell>
          <cell r="K6752">
            <v>2.4380000000000002</v>
          </cell>
          <cell r="L6752">
            <v>148835</v>
          </cell>
          <cell r="M6752">
            <v>13229</v>
          </cell>
          <cell r="N6752">
            <v>683926.05601571908</v>
          </cell>
          <cell r="O6752">
            <v>692380.00232629513</v>
          </cell>
          <cell r="P6752">
            <v>368.79259999999999</v>
          </cell>
        </row>
        <row r="6753">
          <cell r="B6753">
            <v>39530</v>
          </cell>
          <cell r="J6753">
            <v>3809804.3041216834</v>
          </cell>
          <cell r="K6753">
            <v>2.4380000000000002</v>
          </cell>
          <cell r="L6753">
            <v>148835</v>
          </cell>
          <cell r="M6753">
            <v>13229</v>
          </cell>
          <cell r="N6753">
            <v>683926.05601571908</v>
          </cell>
          <cell r="O6753">
            <v>692380.00232629513</v>
          </cell>
          <cell r="P6753">
            <v>368.79259999999999</v>
          </cell>
        </row>
        <row r="6754">
          <cell r="B6754">
            <v>39531</v>
          </cell>
          <cell r="J6754">
            <v>3809804.3041216834</v>
          </cell>
          <cell r="K6754">
            <v>2.4380000000000002</v>
          </cell>
          <cell r="L6754">
            <v>148835</v>
          </cell>
          <cell r="M6754">
            <v>13229</v>
          </cell>
          <cell r="N6754">
            <v>683926.05601571908</v>
          </cell>
          <cell r="O6754">
            <v>692380.00232629513</v>
          </cell>
          <cell r="P6754">
            <v>368.79259999999999</v>
          </cell>
        </row>
        <row r="6755">
          <cell r="B6755">
            <v>39532</v>
          </cell>
          <cell r="J6755">
            <v>3809804.3041216834</v>
          </cell>
          <cell r="K6755">
            <v>2.4380000000000002</v>
          </cell>
          <cell r="L6755">
            <v>148835</v>
          </cell>
          <cell r="M6755">
            <v>13229</v>
          </cell>
          <cell r="N6755">
            <v>683926.05601571908</v>
          </cell>
          <cell r="O6755">
            <v>692380.00232629513</v>
          </cell>
          <cell r="P6755">
            <v>368.79259999999999</v>
          </cell>
        </row>
        <row r="6756">
          <cell r="B6756">
            <v>39533</v>
          </cell>
          <cell r="J6756">
            <v>3809804.3041216834</v>
          </cell>
          <cell r="K6756">
            <v>2.4380000000000002</v>
          </cell>
          <cell r="L6756">
            <v>148835</v>
          </cell>
          <cell r="M6756">
            <v>13229</v>
          </cell>
          <cell r="N6756">
            <v>683926.05601571908</v>
          </cell>
          <cell r="O6756">
            <v>692380.00232629513</v>
          </cell>
          <cell r="P6756">
            <v>368.79259999999999</v>
          </cell>
        </row>
        <row r="6757">
          <cell r="B6757">
            <v>39534</v>
          </cell>
          <cell r="J6757">
            <v>3809804.3041216834</v>
          </cell>
          <cell r="K6757">
            <v>2.4380000000000002</v>
          </cell>
          <cell r="L6757">
            <v>148835</v>
          </cell>
          <cell r="M6757">
            <v>13229</v>
          </cell>
          <cell r="N6757">
            <v>683926.05601571908</v>
          </cell>
          <cell r="O6757">
            <v>692380.00232629513</v>
          </cell>
          <cell r="P6757">
            <v>368.79259999999999</v>
          </cell>
        </row>
        <row r="6758">
          <cell r="B6758">
            <v>39535</v>
          </cell>
          <cell r="J6758">
            <v>3809804.3041216834</v>
          </cell>
          <cell r="K6758">
            <v>2.4380000000000002</v>
          </cell>
          <cell r="L6758">
            <v>148835</v>
          </cell>
          <cell r="M6758">
            <v>13229</v>
          </cell>
          <cell r="N6758">
            <v>683926.05601571908</v>
          </cell>
          <cell r="O6758">
            <v>692380.00232629513</v>
          </cell>
          <cell r="P6758">
            <v>368.79259999999999</v>
          </cell>
        </row>
        <row r="6759">
          <cell r="B6759">
            <v>39536</v>
          </cell>
          <cell r="J6759">
            <v>3809804.3041216834</v>
          </cell>
          <cell r="K6759">
            <v>2.4380000000000002</v>
          </cell>
          <cell r="L6759">
            <v>148835</v>
          </cell>
          <cell r="M6759">
            <v>13229</v>
          </cell>
          <cell r="N6759">
            <v>683926.05601571908</v>
          </cell>
          <cell r="O6759">
            <v>692380.00232629513</v>
          </cell>
          <cell r="P6759">
            <v>368.79259999999999</v>
          </cell>
        </row>
        <row r="6760">
          <cell r="B6760">
            <v>39537</v>
          </cell>
          <cell r="J6760">
            <v>3809804.3041216834</v>
          </cell>
          <cell r="K6760">
            <v>2.4380000000000002</v>
          </cell>
          <cell r="L6760">
            <v>148835</v>
          </cell>
          <cell r="M6760">
            <v>13229</v>
          </cell>
          <cell r="N6760">
            <v>683926.05601571908</v>
          </cell>
          <cell r="O6760">
            <v>692380.00232629513</v>
          </cell>
          <cell r="P6760">
            <v>368.79259999999999</v>
          </cell>
        </row>
        <row r="6761">
          <cell r="B6761">
            <v>39538</v>
          </cell>
          <cell r="J6761">
            <v>3809804.3041216834</v>
          </cell>
          <cell r="K6761">
            <v>2.4380000000000002</v>
          </cell>
          <cell r="L6761">
            <v>148835</v>
          </cell>
          <cell r="M6761">
            <v>13229</v>
          </cell>
          <cell r="N6761">
            <v>683926.05601571908</v>
          </cell>
          <cell r="O6761">
            <v>692380.00232629513</v>
          </cell>
          <cell r="P6761">
            <v>368.79259999999999</v>
          </cell>
        </row>
        <row r="6762">
          <cell r="B6762">
            <v>39539</v>
          </cell>
          <cell r="J6762">
            <v>3809804.3041216834</v>
          </cell>
          <cell r="K6762">
            <v>2.4380000000000002</v>
          </cell>
          <cell r="L6762">
            <v>148835</v>
          </cell>
          <cell r="M6762">
            <v>13229</v>
          </cell>
          <cell r="N6762">
            <v>683926.05601571908</v>
          </cell>
          <cell r="O6762">
            <v>692380.00232629513</v>
          </cell>
          <cell r="P6762">
            <v>368.79259999999999</v>
          </cell>
        </row>
        <row r="6763">
          <cell r="B6763">
            <v>39540</v>
          </cell>
          <cell r="J6763">
            <v>3809804.3041216834</v>
          </cell>
          <cell r="K6763">
            <v>2.4380000000000002</v>
          </cell>
          <cell r="L6763">
            <v>148835</v>
          </cell>
          <cell r="M6763">
            <v>13229</v>
          </cell>
          <cell r="N6763">
            <v>683926.05601571908</v>
          </cell>
          <cell r="O6763">
            <v>692380.00232629513</v>
          </cell>
          <cell r="P6763">
            <v>368.79259999999999</v>
          </cell>
        </row>
        <row r="6764">
          <cell r="B6764">
            <v>39541</v>
          </cell>
          <cell r="J6764">
            <v>3809804.3041216834</v>
          </cell>
          <cell r="K6764">
            <v>2.4380000000000002</v>
          </cell>
          <cell r="L6764">
            <v>148835</v>
          </cell>
          <cell r="M6764">
            <v>13229</v>
          </cell>
          <cell r="N6764">
            <v>683926.05601571908</v>
          </cell>
          <cell r="O6764">
            <v>692380.00232629513</v>
          </cell>
          <cell r="P6764">
            <v>368.79259999999999</v>
          </cell>
        </row>
        <row r="6765">
          <cell r="B6765">
            <v>39542</v>
          </cell>
          <cell r="J6765">
            <v>3809804.3041216834</v>
          </cell>
          <cell r="K6765">
            <v>2.4380000000000002</v>
          </cell>
          <cell r="L6765">
            <v>148835</v>
          </cell>
          <cell r="M6765">
            <v>13229</v>
          </cell>
          <cell r="N6765">
            <v>683926.05601571908</v>
          </cell>
          <cell r="O6765">
            <v>692380.00232629513</v>
          </cell>
          <cell r="P6765">
            <v>368.79259999999999</v>
          </cell>
        </row>
        <row r="6766">
          <cell r="B6766">
            <v>39543</v>
          </cell>
          <cell r="J6766">
            <v>3809804.3041216834</v>
          </cell>
          <cell r="K6766">
            <v>2.4380000000000002</v>
          </cell>
          <cell r="L6766">
            <v>148835</v>
          </cell>
          <cell r="M6766">
            <v>13229</v>
          </cell>
          <cell r="N6766">
            <v>683926.05601571908</v>
          </cell>
          <cell r="O6766">
            <v>692380.00232629513</v>
          </cell>
          <cell r="P6766">
            <v>368.79259999999999</v>
          </cell>
        </row>
        <row r="6767">
          <cell r="B6767">
            <v>39544</v>
          </cell>
          <cell r="J6767">
            <v>3809804.3041216834</v>
          </cell>
          <cell r="K6767">
            <v>2.4380000000000002</v>
          </cell>
          <cell r="L6767">
            <v>148835</v>
          </cell>
          <cell r="M6767">
            <v>13229</v>
          </cell>
          <cell r="N6767">
            <v>683926.05601571908</v>
          </cell>
          <cell r="O6767">
            <v>692380.00232629513</v>
          </cell>
          <cell r="P6767">
            <v>368.79259999999999</v>
          </cell>
        </row>
        <row r="6768">
          <cell r="B6768">
            <v>39545</v>
          </cell>
          <cell r="J6768">
            <v>3809804.3041216834</v>
          </cell>
          <cell r="K6768">
            <v>2.4380000000000002</v>
          </cell>
          <cell r="L6768">
            <v>148835</v>
          </cell>
          <cell r="M6768">
            <v>13229</v>
          </cell>
          <cell r="N6768">
            <v>683926.05601571908</v>
          </cell>
          <cell r="O6768">
            <v>692380.00232629513</v>
          </cell>
          <cell r="P6768">
            <v>368.79259999999999</v>
          </cell>
        </row>
        <row r="6769">
          <cell r="B6769">
            <v>39546</v>
          </cell>
          <cell r="J6769">
            <v>3809804.3041216834</v>
          </cell>
          <cell r="K6769">
            <v>2.4380000000000002</v>
          </cell>
          <cell r="L6769">
            <v>148835</v>
          </cell>
          <cell r="M6769">
            <v>13229</v>
          </cell>
          <cell r="N6769">
            <v>683926.05601571908</v>
          </cell>
          <cell r="O6769">
            <v>692380.00232629513</v>
          </cell>
          <cell r="P6769">
            <v>368.79259999999999</v>
          </cell>
        </row>
        <row r="6770">
          <cell r="B6770">
            <v>39547</v>
          </cell>
          <cell r="J6770">
            <v>3809804.3041216834</v>
          </cell>
          <cell r="K6770">
            <v>2.4380000000000002</v>
          </cell>
          <cell r="L6770">
            <v>148835</v>
          </cell>
          <cell r="M6770">
            <v>13229</v>
          </cell>
          <cell r="N6770">
            <v>683926.05601571908</v>
          </cell>
          <cell r="O6770">
            <v>692380.00232629513</v>
          </cell>
          <cell r="P6770">
            <v>368.79259999999999</v>
          </cell>
        </row>
        <row r="6771">
          <cell r="B6771">
            <v>39548</v>
          </cell>
          <cell r="J6771">
            <v>3809804.3041216834</v>
          </cell>
          <cell r="K6771">
            <v>2.4380000000000002</v>
          </cell>
          <cell r="L6771">
            <v>148835</v>
          </cell>
          <cell r="M6771">
            <v>13229</v>
          </cell>
          <cell r="N6771">
            <v>683926.05601571908</v>
          </cell>
          <cell r="O6771">
            <v>692380.00232629513</v>
          </cell>
          <cell r="P6771">
            <v>368.79259999999999</v>
          </cell>
        </row>
        <row r="6772">
          <cell r="B6772">
            <v>39549</v>
          </cell>
          <cell r="J6772">
            <v>3809804.3041216834</v>
          </cell>
          <cell r="K6772">
            <v>2.4380000000000002</v>
          </cell>
          <cell r="L6772">
            <v>148835</v>
          </cell>
          <cell r="M6772">
            <v>13229</v>
          </cell>
          <cell r="N6772">
            <v>683926.05601571908</v>
          </cell>
          <cell r="O6772">
            <v>692380.00232629513</v>
          </cell>
          <cell r="P6772">
            <v>368.79259999999999</v>
          </cell>
        </row>
        <row r="6773">
          <cell r="B6773">
            <v>39550</v>
          </cell>
          <cell r="J6773">
            <v>3809804.3041216834</v>
          </cell>
          <cell r="K6773">
            <v>2.4380000000000002</v>
          </cell>
          <cell r="L6773">
            <v>148835</v>
          </cell>
          <cell r="M6773">
            <v>13229</v>
          </cell>
          <cell r="N6773">
            <v>683926.05601571908</v>
          </cell>
          <cell r="O6773">
            <v>692380.00232629513</v>
          </cell>
          <cell r="P6773">
            <v>368.79259999999999</v>
          </cell>
        </row>
        <row r="6774">
          <cell r="B6774">
            <v>39551</v>
          </cell>
          <cell r="J6774">
            <v>3809804.3041216834</v>
          </cell>
          <cell r="K6774">
            <v>2.4380000000000002</v>
          </cell>
          <cell r="L6774">
            <v>148835</v>
          </cell>
          <cell r="M6774">
            <v>13229</v>
          </cell>
          <cell r="N6774">
            <v>683926.05601571908</v>
          </cell>
          <cell r="O6774">
            <v>692380.00232629513</v>
          </cell>
          <cell r="P6774">
            <v>368.79259999999999</v>
          </cell>
        </row>
        <row r="6775">
          <cell r="B6775">
            <v>39552</v>
          </cell>
          <cell r="J6775">
            <v>3809804.3041216834</v>
          </cell>
          <cell r="K6775">
            <v>2.4380000000000002</v>
          </cell>
          <cell r="L6775">
            <v>148835</v>
          </cell>
          <cell r="M6775">
            <v>13229</v>
          </cell>
          <cell r="N6775">
            <v>683926.05601571908</v>
          </cell>
          <cell r="O6775">
            <v>692380.00232629513</v>
          </cell>
          <cell r="P6775">
            <v>368.79259999999999</v>
          </cell>
        </row>
        <row r="6776">
          <cell r="B6776">
            <v>39553</v>
          </cell>
          <cell r="J6776">
            <v>3809804.3041216834</v>
          </cell>
          <cell r="K6776">
            <v>2.4380000000000002</v>
          </cell>
          <cell r="L6776">
            <v>148835</v>
          </cell>
          <cell r="M6776">
            <v>13229</v>
          </cell>
          <cell r="N6776">
            <v>683926.05601571908</v>
          </cell>
          <cell r="O6776">
            <v>692380.00232629513</v>
          </cell>
          <cell r="P6776">
            <v>368.79259999999999</v>
          </cell>
        </row>
        <row r="6777">
          <cell r="B6777">
            <v>39554</v>
          </cell>
          <cell r="J6777">
            <v>3809804.3041216834</v>
          </cell>
          <cell r="K6777">
            <v>2.4380000000000002</v>
          </cell>
          <cell r="L6777">
            <v>148835</v>
          </cell>
          <cell r="M6777">
            <v>13229</v>
          </cell>
          <cell r="N6777">
            <v>683926.05601571908</v>
          </cell>
          <cell r="O6777">
            <v>692380.00232629513</v>
          </cell>
          <cell r="P6777">
            <v>368.79259999999999</v>
          </cell>
        </row>
        <row r="6778">
          <cell r="B6778">
            <v>39555</v>
          </cell>
          <cell r="J6778">
            <v>3809804.3041216834</v>
          </cell>
          <cell r="K6778">
            <v>2.4380000000000002</v>
          </cell>
          <cell r="L6778">
            <v>148835</v>
          </cell>
          <cell r="M6778">
            <v>13229</v>
          </cell>
          <cell r="N6778">
            <v>683926.05601571908</v>
          </cell>
          <cell r="O6778">
            <v>692380.00232629513</v>
          </cell>
          <cell r="P6778">
            <v>368.79259999999999</v>
          </cell>
        </row>
        <row r="6779">
          <cell r="B6779">
            <v>39556</v>
          </cell>
          <cell r="J6779">
            <v>3809804.3041216834</v>
          </cell>
          <cell r="K6779">
            <v>2.4380000000000002</v>
          </cell>
          <cell r="L6779">
            <v>148835</v>
          </cell>
          <cell r="M6779">
            <v>13229</v>
          </cell>
          <cell r="N6779">
            <v>683926.05601571908</v>
          </cell>
          <cell r="O6779">
            <v>692380.00232629513</v>
          </cell>
          <cell r="P6779">
            <v>368.79259999999999</v>
          </cell>
        </row>
        <row r="6780">
          <cell r="B6780">
            <v>39557</v>
          </cell>
          <cell r="J6780">
            <v>3809804.3041216834</v>
          </cell>
          <cell r="K6780">
            <v>2.4380000000000002</v>
          </cell>
          <cell r="L6780">
            <v>148835</v>
          </cell>
          <cell r="M6780">
            <v>13229</v>
          </cell>
          <cell r="N6780">
            <v>683926.05601571908</v>
          </cell>
          <cell r="O6780">
            <v>692380.00232629513</v>
          </cell>
          <cell r="P6780">
            <v>368.79259999999999</v>
          </cell>
        </row>
        <row r="6781">
          <cell r="B6781">
            <v>39558</v>
          </cell>
          <cell r="J6781">
            <v>3809804.3041216834</v>
          </cell>
          <cell r="K6781">
            <v>2.4380000000000002</v>
          </cell>
          <cell r="L6781">
            <v>148835</v>
          </cell>
          <cell r="M6781">
            <v>13229</v>
          </cell>
          <cell r="N6781">
            <v>683926.05601571908</v>
          </cell>
          <cell r="O6781">
            <v>692380.00232629513</v>
          </cell>
          <cell r="P6781">
            <v>368.79259999999999</v>
          </cell>
        </row>
        <row r="6782">
          <cell r="B6782">
            <v>39559</v>
          </cell>
          <cell r="J6782">
            <v>3809804.3041216834</v>
          </cell>
          <cell r="K6782">
            <v>2.4380000000000002</v>
          </cell>
          <cell r="L6782">
            <v>148835</v>
          </cell>
          <cell r="M6782">
            <v>13229</v>
          </cell>
          <cell r="N6782">
            <v>683926.05601571908</v>
          </cell>
          <cell r="O6782">
            <v>692380.00232629513</v>
          </cell>
          <cell r="P6782">
            <v>368.79259999999999</v>
          </cell>
        </row>
        <row r="6783">
          <cell r="B6783">
            <v>39560</v>
          </cell>
          <cell r="J6783">
            <v>3809804.3041216834</v>
          </cell>
          <cell r="K6783">
            <v>2.4380000000000002</v>
          </cell>
          <cell r="L6783">
            <v>148835</v>
          </cell>
          <cell r="M6783">
            <v>13229</v>
          </cell>
          <cell r="N6783">
            <v>683926.05601571908</v>
          </cell>
          <cell r="O6783">
            <v>692380.00232629513</v>
          </cell>
          <cell r="P6783">
            <v>368.79259999999999</v>
          </cell>
        </row>
        <row r="6784">
          <cell r="B6784">
            <v>39561</v>
          </cell>
          <cell r="J6784">
            <v>3809804.3041216834</v>
          </cell>
          <cell r="K6784">
            <v>2.4380000000000002</v>
          </cell>
          <cell r="L6784">
            <v>148835</v>
          </cell>
          <cell r="M6784">
            <v>13229</v>
          </cell>
          <cell r="N6784">
            <v>683926.05601571908</v>
          </cell>
          <cell r="O6784">
            <v>692380.00232629513</v>
          </cell>
          <cell r="P6784">
            <v>368.79259999999999</v>
          </cell>
        </row>
        <row r="6785">
          <cell r="B6785">
            <v>39562</v>
          </cell>
          <cell r="J6785">
            <v>3809804.3041216834</v>
          </cell>
          <cell r="K6785">
            <v>2.4380000000000002</v>
          </cell>
          <cell r="L6785">
            <v>148835</v>
          </cell>
          <cell r="M6785">
            <v>13229</v>
          </cell>
          <cell r="N6785">
            <v>683926.05601571908</v>
          </cell>
          <cell r="O6785">
            <v>692380.00232629513</v>
          </cell>
          <cell r="P6785">
            <v>368.79259999999999</v>
          </cell>
        </row>
        <row r="6786">
          <cell r="B6786">
            <v>39563</v>
          </cell>
          <cell r="J6786">
            <v>3809804.3041216834</v>
          </cell>
          <cell r="K6786">
            <v>2.4380000000000002</v>
          </cell>
          <cell r="L6786">
            <v>148835</v>
          </cell>
          <cell r="M6786">
            <v>13229</v>
          </cell>
          <cell r="N6786">
            <v>683926.05601571908</v>
          </cell>
          <cell r="O6786">
            <v>692380.00232629513</v>
          </cell>
          <cell r="P6786">
            <v>368.79259999999999</v>
          </cell>
        </row>
        <row r="6787">
          <cell r="B6787">
            <v>39564</v>
          </cell>
          <cell r="J6787">
            <v>3809804.3041216834</v>
          </cell>
          <cell r="K6787">
            <v>2.4380000000000002</v>
          </cell>
          <cell r="L6787">
            <v>148835</v>
          </cell>
          <cell r="M6787">
            <v>13229</v>
          </cell>
          <cell r="N6787">
            <v>683926.05601571908</v>
          </cell>
          <cell r="O6787">
            <v>692380.00232629513</v>
          </cell>
          <cell r="P6787">
            <v>368.79259999999999</v>
          </cell>
        </row>
        <row r="6788">
          <cell r="B6788">
            <v>39565</v>
          </cell>
          <cell r="J6788">
            <v>3809804.3041216834</v>
          </cell>
          <cell r="K6788">
            <v>2.4380000000000002</v>
          </cell>
          <cell r="L6788">
            <v>148835</v>
          </cell>
          <cell r="M6788">
            <v>13229</v>
          </cell>
          <cell r="N6788">
            <v>683926.05601571908</v>
          </cell>
          <cell r="O6788">
            <v>692380.00232629513</v>
          </cell>
          <cell r="P6788">
            <v>368.79259999999999</v>
          </cell>
        </row>
        <row r="6789">
          <cell r="B6789">
            <v>39566</v>
          </cell>
          <cell r="J6789">
            <v>3809804.3041216834</v>
          </cell>
          <cell r="K6789">
            <v>2.4380000000000002</v>
          </cell>
          <cell r="L6789">
            <v>148835</v>
          </cell>
          <cell r="M6789">
            <v>13229</v>
          </cell>
          <cell r="N6789">
            <v>683926.05601571908</v>
          </cell>
          <cell r="O6789">
            <v>692380.00232629513</v>
          </cell>
          <cell r="P6789">
            <v>368.79259999999999</v>
          </cell>
        </row>
        <row r="6790">
          <cell r="B6790">
            <v>39567</v>
          </cell>
          <cell r="J6790">
            <v>3809804.3041216834</v>
          </cell>
          <cell r="K6790">
            <v>2.4380000000000002</v>
          </cell>
          <cell r="L6790">
            <v>148835</v>
          </cell>
          <cell r="M6790">
            <v>13229</v>
          </cell>
          <cell r="N6790">
            <v>683926.05601571908</v>
          </cell>
          <cell r="O6790">
            <v>692380.00232629513</v>
          </cell>
          <cell r="P6790">
            <v>368.79259999999999</v>
          </cell>
        </row>
        <row r="6791">
          <cell r="B6791">
            <v>39568</v>
          </cell>
          <cell r="J6791">
            <v>3809804.3041216834</v>
          </cell>
          <cell r="K6791">
            <v>2.4380000000000002</v>
          </cell>
          <cell r="L6791">
            <v>148835</v>
          </cell>
          <cell r="M6791">
            <v>13229</v>
          </cell>
          <cell r="N6791">
            <v>683926.05601571908</v>
          </cell>
          <cell r="O6791">
            <v>692380.00232629513</v>
          </cell>
          <cell r="P6791">
            <v>368.79259999999999</v>
          </cell>
        </row>
        <row r="6792">
          <cell r="B6792">
            <v>39569</v>
          </cell>
          <cell r="J6792">
            <v>3809804.3041216834</v>
          </cell>
          <cell r="K6792">
            <v>2.4380000000000002</v>
          </cell>
          <cell r="L6792">
            <v>148835</v>
          </cell>
          <cell r="M6792">
            <v>13229</v>
          </cell>
          <cell r="N6792">
            <v>683926.05601571908</v>
          </cell>
          <cell r="O6792">
            <v>692380.00232629513</v>
          </cell>
          <cell r="P6792">
            <v>368.79259999999999</v>
          </cell>
        </row>
        <row r="6793">
          <cell r="B6793">
            <v>39570</v>
          </cell>
          <cell r="J6793">
            <v>3809804.3041216834</v>
          </cell>
          <cell r="K6793">
            <v>2.4380000000000002</v>
          </cell>
          <cell r="L6793">
            <v>148835</v>
          </cell>
          <cell r="M6793">
            <v>13229</v>
          </cell>
          <cell r="N6793">
            <v>683926.05601571908</v>
          </cell>
          <cell r="O6793">
            <v>692380.00232629513</v>
          </cell>
          <cell r="P6793">
            <v>368.79259999999999</v>
          </cell>
        </row>
        <row r="6794">
          <cell r="B6794">
            <v>39571</v>
          </cell>
          <cell r="J6794">
            <v>3809804.3041216834</v>
          </cell>
          <cell r="K6794">
            <v>2.4380000000000002</v>
          </cell>
          <cell r="L6794">
            <v>148835</v>
          </cell>
          <cell r="M6794">
            <v>13229</v>
          </cell>
          <cell r="N6794">
            <v>683926.05601571908</v>
          </cell>
          <cell r="O6794">
            <v>692380.00232629513</v>
          </cell>
          <cell r="P6794">
            <v>368.79259999999999</v>
          </cell>
        </row>
        <row r="6795">
          <cell r="B6795">
            <v>39572</v>
          </cell>
          <cell r="J6795">
            <v>3809804.3041216834</v>
          </cell>
          <cell r="K6795">
            <v>2.4380000000000002</v>
          </cell>
          <cell r="L6795">
            <v>148835</v>
          </cell>
          <cell r="M6795">
            <v>13229</v>
          </cell>
          <cell r="N6795">
            <v>683926.05601571908</v>
          </cell>
          <cell r="O6795">
            <v>692380.00232629513</v>
          </cell>
          <cell r="P6795">
            <v>368.79259999999999</v>
          </cell>
        </row>
        <row r="6796">
          <cell r="B6796">
            <v>39573</v>
          </cell>
          <cell r="J6796">
            <v>3809804.3041216834</v>
          </cell>
          <cell r="K6796">
            <v>2.4380000000000002</v>
          </cell>
          <cell r="L6796">
            <v>148835</v>
          </cell>
          <cell r="M6796">
            <v>13229</v>
          </cell>
          <cell r="N6796">
            <v>683926.05601571908</v>
          </cell>
          <cell r="O6796">
            <v>692380.00232629513</v>
          </cell>
          <cell r="P6796">
            <v>368.79259999999999</v>
          </cell>
        </row>
        <row r="6797">
          <cell r="B6797">
            <v>39574</v>
          </cell>
          <cell r="J6797">
            <v>3809804.3041216834</v>
          </cell>
          <cell r="K6797">
            <v>2.4380000000000002</v>
          </cell>
          <cell r="L6797">
            <v>148835</v>
          </cell>
          <cell r="M6797">
            <v>13229</v>
          </cell>
          <cell r="N6797">
            <v>683926.05601571908</v>
          </cell>
          <cell r="O6797">
            <v>692380.00232629513</v>
          </cell>
          <cell r="P6797">
            <v>368.79259999999999</v>
          </cell>
        </row>
        <row r="6798">
          <cell r="B6798">
            <v>39575</v>
          </cell>
          <cell r="J6798">
            <v>3809804.3041216834</v>
          </cell>
          <cell r="K6798">
            <v>2.4380000000000002</v>
          </cell>
          <cell r="L6798">
            <v>148835</v>
          </cell>
          <cell r="M6798">
            <v>13229</v>
          </cell>
          <cell r="N6798">
            <v>683926.05601571908</v>
          </cell>
          <cell r="O6798">
            <v>692380.00232629513</v>
          </cell>
          <cell r="P6798">
            <v>368.79259999999999</v>
          </cell>
        </row>
        <row r="6799">
          <cell r="B6799">
            <v>39576</v>
          </cell>
          <cell r="J6799">
            <v>3809804.3041216834</v>
          </cell>
          <cell r="K6799">
            <v>2.4380000000000002</v>
          </cell>
          <cell r="L6799">
            <v>148835</v>
          </cell>
          <cell r="M6799">
            <v>13229</v>
          </cell>
          <cell r="N6799">
            <v>683926.05601571908</v>
          </cell>
          <cell r="O6799">
            <v>692380.00232629513</v>
          </cell>
          <cell r="P6799">
            <v>368.79259999999999</v>
          </cell>
        </row>
        <row r="6800">
          <cell r="B6800">
            <v>39577</v>
          </cell>
          <cell r="J6800">
            <v>3809804.3041216834</v>
          </cell>
          <cell r="K6800">
            <v>2.4380000000000002</v>
          </cell>
          <cell r="L6800">
            <v>148835</v>
          </cell>
          <cell r="M6800">
            <v>13229</v>
          </cell>
          <cell r="N6800">
            <v>683926.05601571908</v>
          </cell>
          <cell r="O6800">
            <v>692380.00232629513</v>
          </cell>
          <cell r="P6800">
            <v>368.79259999999999</v>
          </cell>
        </row>
        <row r="6801">
          <cell r="B6801">
            <v>39578</v>
          </cell>
          <cell r="J6801">
            <v>3809804.3041216834</v>
          </cell>
          <cell r="K6801">
            <v>2.4380000000000002</v>
          </cell>
          <cell r="L6801">
            <v>148835</v>
          </cell>
          <cell r="M6801">
            <v>13229</v>
          </cell>
          <cell r="N6801">
            <v>683926.05601571908</v>
          </cell>
          <cell r="O6801">
            <v>692380.00232629513</v>
          </cell>
          <cell r="P6801">
            <v>368.79259999999999</v>
          </cell>
        </row>
        <row r="6802">
          <cell r="B6802">
            <v>39579</v>
          </cell>
          <cell r="J6802">
            <v>3809804.3041216834</v>
          </cell>
          <cell r="K6802">
            <v>2.4380000000000002</v>
          </cell>
          <cell r="L6802">
            <v>148835</v>
          </cell>
          <cell r="M6802">
            <v>13229</v>
          </cell>
          <cell r="N6802">
            <v>683926.05601571908</v>
          </cell>
          <cell r="O6802">
            <v>692380.00232629513</v>
          </cell>
          <cell r="P6802">
            <v>368.79259999999999</v>
          </cell>
        </row>
        <row r="6803">
          <cell r="B6803">
            <v>39580</v>
          </cell>
          <cell r="J6803">
            <v>3809804.3041216834</v>
          </cell>
          <cell r="K6803">
            <v>2.4380000000000002</v>
          </cell>
          <cell r="L6803">
            <v>148835</v>
          </cell>
          <cell r="M6803">
            <v>13229</v>
          </cell>
          <cell r="N6803">
            <v>683926.05601571908</v>
          </cell>
          <cell r="O6803">
            <v>692380.00232629513</v>
          </cell>
          <cell r="P6803">
            <v>368.79259999999999</v>
          </cell>
        </row>
        <row r="6804">
          <cell r="B6804">
            <v>39581</v>
          </cell>
          <cell r="J6804">
            <v>3809804.3041216834</v>
          </cell>
          <cell r="K6804">
            <v>2.4380000000000002</v>
          </cell>
          <cell r="L6804">
            <v>148835</v>
          </cell>
          <cell r="M6804">
            <v>13229</v>
          </cell>
          <cell r="N6804">
            <v>683926.05601571908</v>
          </cell>
          <cell r="O6804">
            <v>692380.00232629513</v>
          </cell>
          <cell r="P6804">
            <v>368.79259999999999</v>
          </cell>
        </row>
        <row r="6805">
          <cell r="B6805">
            <v>39582</v>
          </cell>
          <cell r="J6805">
            <v>3809804.3041216834</v>
          </cell>
          <cell r="K6805">
            <v>2.4380000000000002</v>
          </cell>
          <cell r="L6805">
            <v>148835</v>
          </cell>
          <cell r="M6805">
            <v>13229</v>
          </cell>
          <cell r="N6805">
            <v>683926.05601571908</v>
          </cell>
          <cell r="O6805">
            <v>692380.00232629513</v>
          </cell>
          <cell r="P6805">
            <v>368.79259999999999</v>
          </cell>
        </row>
        <row r="6806">
          <cell r="B6806">
            <v>39583</v>
          </cell>
          <cell r="J6806">
            <v>3809804.3041216834</v>
          </cell>
          <cell r="K6806">
            <v>2.4380000000000002</v>
          </cell>
          <cell r="L6806">
            <v>148835</v>
          </cell>
          <cell r="M6806">
            <v>13229</v>
          </cell>
          <cell r="N6806">
            <v>683926.05601571908</v>
          </cell>
          <cell r="O6806">
            <v>692380.00232629513</v>
          </cell>
          <cell r="P6806">
            <v>368.79259999999999</v>
          </cell>
        </row>
        <row r="6807">
          <cell r="B6807">
            <v>39584</v>
          </cell>
          <cell r="J6807">
            <v>3809804.3041216834</v>
          </cell>
          <cell r="K6807">
            <v>2.4380000000000002</v>
          </cell>
          <cell r="L6807">
            <v>148835</v>
          </cell>
          <cell r="M6807">
            <v>13229</v>
          </cell>
          <cell r="N6807">
            <v>683926.05601571908</v>
          </cell>
          <cell r="O6807">
            <v>692380.00232629513</v>
          </cell>
          <cell r="P6807">
            <v>368.79259999999999</v>
          </cell>
        </row>
        <row r="6808">
          <cell r="B6808">
            <v>39585</v>
          </cell>
          <cell r="J6808">
            <v>3809804.3041216834</v>
          </cell>
          <cell r="K6808">
            <v>2.4380000000000002</v>
          </cell>
          <cell r="L6808">
            <v>148835</v>
          </cell>
          <cell r="M6808">
            <v>13229</v>
          </cell>
          <cell r="N6808">
            <v>683926.05601571908</v>
          </cell>
          <cell r="O6808">
            <v>692380.00232629513</v>
          </cell>
          <cell r="P6808">
            <v>368.79259999999999</v>
          </cell>
        </row>
        <row r="6809">
          <cell r="B6809">
            <v>39586</v>
          </cell>
          <cell r="J6809">
            <v>3809804.3041216834</v>
          </cell>
          <cell r="K6809">
            <v>2.4380000000000002</v>
          </cell>
          <cell r="L6809">
            <v>148835</v>
          </cell>
          <cell r="M6809">
            <v>13229</v>
          </cell>
          <cell r="N6809">
            <v>683926.05601571908</v>
          </cell>
          <cell r="O6809">
            <v>692380.00232629513</v>
          </cell>
          <cell r="P6809">
            <v>368.79259999999999</v>
          </cell>
        </row>
        <row r="6810">
          <cell r="B6810">
            <v>39587</v>
          </cell>
          <cell r="J6810">
            <v>3809804.3041216834</v>
          </cell>
          <cell r="K6810">
            <v>2.4380000000000002</v>
          </cell>
          <cell r="L6810">
            <v>148835</v>
          </cell>
          <cell r="M6810">
            <v>13229</v>
          </cell>
          <cell r="N6810">
            <v>683926.05601571908</v>
          </cell>
          <cell r="O6810">
            <v>692380.00232629513</v>
          </cell>
          <cell r="P6810">
            <v>368.79259999999999</v>
          </cell>
        </row>
        <row r="6811">
          <cell r="B6811">
            <v>39588</v>
          </cell>
          <cell r="J6811">
            <v>3809804.3041216834</v>
          </cell>
          <cell r="K6811">
            <v>2.4380000000000002</v>
          </cell>
          <cell r="L6811">
            <v>148835</v>
          </cell>
          <cell r="M6811">
            <v>13229</v>
          </cell>
          <cell r="N6811">
            <v>683926.05601571908</v>
          </cell>
          <cell r="O6811">
            <v>692380.00232629513</v>
          </cell>
          <cell r="P6811">
            <v>368.79259999999999</v>
          </cell>
        </row>
        <row r="6812">
          <cell r="B6812">
            <v>39589</v>
          </cell>
          <cell r="J6812">
            <v>3809804.3041216834</v>
          </cell>
          <cell r="K6812">
            <v>2.4380000000000002</v>
          </cell>
          <cell r="L6812">
            <v>148835</v>
          </cell>
          <cell r="M6812">
            <v>13229</v>
          </cell>
          <cell r="N6812">
            <v>683926.05601571908</v>
          </cell>
          <cell r="O6812">
            <v>692380.00232629513</v>
          </cell>
          <cell r="P6812">
            <v>368.79259999999999</v>
          </cell>
        </row>
        <row r="6813">
          <cell r="B6813">
            <v>39590</v>
          </cell>
          <cell r="J6813">
            <v>3809804.3041216834</v>
          </cell>
          <cell r="K6813">
            <v>2.4380000000000002</v>
          </cell>
          <cell r="L6813">
            <v>148835</v>
          </cell>
          <cell r="M6813">
            <v>13229</v>
          </cell>
          <cell r="N6813">
            <v>683926.05601571908</v>
          </cell>
          <cell r="O6813">
            <v>692380.00232629513</v>
          </cell>
          <cell r="P6813">
            <v>368.79259999999999</v>
          </cell>
        </row>
        <row r="6814">
          <cell r="B6814">
            <v>39591</v>
          </cell>
          <cell r="J6814">
            <v>3809804.3041216834</v>
          </cell>
          <cell r="K6814">
            <v>2.4380000000000002</v>
          </cell>
          <cell r="L6814">
            <v>148835</v>
          </cell>
          <cell r="M6814">
            <v>13229</v>
          </cell>
          <cell r="N6814">
            <v>683926.05601571908</v>
          </cell>
          <cell r="O6814">
            <v>692380.00232629513</v>
          </cell>
          <cell r="P6814">
            <v>368.79259999999999</v>
          </cell>
        </row>
        <row r="6815">
          <cell r="B6815">
            <v>39592</v>
          </cell>
          <cell r="J6815">
            <v>3809804.3041216834</v>
          </cell>
          <cell r="K6815">
            <v>2.4380000000000002</v>
          </cell>
          <cell r="L6815">
            <v>148835</v>
          </cell>
          <cell r="M6815">
            <v>13229</v>
          </cell>
          <cell r="N6815">
            <v>683926.05601571908</v>
          </cell>
          <cell r="O6815">
            <v>692380.00232629513</v>
          </cell>
          <cell r="P6815">
            <v>368.79259999999999</v>
          </cell>
        </row>
        <row r="6816">
          <cell r="B6816">
            <v>39593</v>
          </cell>
          <cell r="J6816">
            <v>3809804.3041216834</v>
          </cell>
          <cell r="K6816">
            <v>2.4380000000000002</v>
          </cell>
          <cell r="L6816">
            <v>148835</v>
          </cell>
          <cell r="M6816">
            <v>13229</v>
          </cell>
          <cell r="N6816">
            <v>683926.05601571908</v>
          </cell>
          <cell r="O6816">
            <v>692380.00232629513</v>
          </cell>
          <cell r="P6816">
            <v>368.79259999999999</v>
          </cell>
        </row>
        <row r="6817">
          <cell r="B6817">
            <v>39594</v>
          </cell>
          <cell r="J6817">
            <v>3809804.3041216834</v>
          </cell>
          <cell r="K6817">
            <v>2.4380000000000002</v>
          </cell>
          <cell r="L6817">
            <v>148835</v>
          </cell>
          <cell r="M6817">
            <v>13229</v>
          </cell>
          <cell r="N6817">
            <v>683926.05601571908</v>
          </cell>
          <cell r="O6817">
            <v>692380.00232629513</v>
          </cell>
          <cell r="P6817">
            <v>368.79259999999999</v>
          </cell>
        </row>
        <row r="6818">
          <cell r="B6818">
            <v>39595</v>
          </cell>
          <cell r="J6818">
            <v>3809804.3041216834</v>
          </cell>
          <cell r="K6818">
            <v>2.4380000000000002</v>
          </cell>
          <cell r="L6818">
            <v>148835</v>
          </cell>
          <cell r="M6818">
            <v>13229</v>
          </cell>
          <cell r="N6818">
            <v>683926.05601571908</v>
          </cell>
          <cell r="O6818">
            <v>692380.00232629513</v>
          </cell>
          <cell r="P6818">
            <v>368.79259999999999</v>
          </cell>
        </row>
        <row r="6819">
          <cell r="B6819">
            <v>39596</v>
          </cell>
          <cell r="J6819">
            <v>3809804.3041216834</v>
          </cell>
          <cell r="K6819">
            <v>2.4380000000000002</v>
          </cell>
          <cell r="L6819">
            <v>148835</v>
          </cell>
          <cell r="M6819">
            <v>13229</v>
          </cell>
          <cell r="N6819">
            <v>683926.05601571908</v>
          </cell>
          <cell r="O6819">
            <v>692380.00232629513</v>
          </cell>
          <cell r="P6819">
            <v>368.79259999999999</v>
          </cell>
        </row>
        <row r="6820">
          <cell r="B6820">
            <v>39597</v>
          </cell>
          <cell r="J6820">
            <v>3809804.3041216834</v>
          </cell>
          <cell r="K6820">
            <v>2.4380000000000002</v>
          </cell>
          <cell r="L6820">
            <v>148835</v>
          </cell>
          <cell r="M6820">
            <v>13229</v>
          </cell>
          <cell r="N6820">
            <v>683926.05601571908</v>
          </cell>
          <cell r="O6820">
            <v>692380.00232629513</v>
          </cell>
          <cell r="P6820">
            <v>368.79259999999999</v>
          </cell>
        </row>
        <row r="6821">
          <cell r="B6821">
            <v>39598</v>
          </cell>
          <cell r="J6821">
            <v>3809804.3041216834</v>
          </cell>
          <cell r="K6821">
            <v>2.4380000000000002</v>
          </cell>
          <cell r="L6821">
            <v>148835</v>
          </cell>
          <cell r="M6821">
            <v>13229</v>
          </cell>
          <cell r="N6821">
            <v>683926.05601571908</v>
          </cell>
          <cell r="O6821">
            <v>692380.00232629513</v>
          </cell>
          <cell r="P6821">
            <v>368.79259999999999</v>
          </cell>
        </row>
        <row r="6822">
          <cell r="B6822">
            <v>39599</v>
          </cell>
          <cell r="J6822">
            <v>3809804.3041216834</v>
          </cell>
          <cell r="K6822">
            <v>2.4380000000000002</v>
          </cell>
          <cell r="L6822">
            <v>148835</v>
          </cell>
          <cell r="M6822">
            <v>13229</v>
          </cell>
          <cell r="N6822">
            <v>683926.05601571908</v>
          </cell>
          <cell r="O6822">
            <v>692380.00232629513</v>
          </cell>
          <cell r="P6822">
            <v>368.79259999999999</v>
          </cell>
        </row>
        <row r="6823">
          <cell r="B6823">
            <v>39600</v>
          </cell>
          <cell r="J6823">
            <v>3809804.3041216834</v>
          </cell>
          <cell r="K6823">
            <v>2.4380000000000002</v>
          </cell>
          <cell r="L6823">
            <v>148835</v>
          </cell>
          <cell r="M6823">
            <v>13229</v>
          </cell>
          <cell r="N6823">
            <v>683926.05601571908</v>
          </cell>
          <cell r="O6823">
            <v>692380.00232629513</v>
          </cell>
          <cell r="P6823">
            <v>368.79259999999999</v>
          </cell>
        </row>
        <row r="6824">
          <cell r="B6824">
            <v>39601</v>
          </cell>
          <cell r="J6824">
            <v>3809804.3041216834</v>
          </cell>
          <cell r="K6824">
            <v>2.4380000000000002</v>
          </cell>
          <cell r="L6824">
            <v>148835</v>
          </cell>
          <cell r="M6824">
            <v>13229</v>
          </cell>
          <cell r="N6824">
            <v>683926.05601571908</v>
          </cell>
          <cell r="O6824">
            <v>692380.00232629513</v>
          </cell>
          <cell r="P6824">
            <v>368.79259999999999</v>
          </cell>
        </row>
        <row r="6825">
          <cell r="B6825">
            <v>39602</v>
          </cell>
          <cell r="J6825">
            <v>3809804.3041216834</v>
          </cell>
          <cell r="K6825">
            <v>2.4380000000000002</v>
          </cell>
          <cell r="L6825">
            <v>148835</v>
          </cell>
          <cell r="M6825">
            <v>13229</v>
          </cell>
          <cell r="N6825">
            <v>683926.05601571908</v>
          </cell>
          <cell r="O6825">
            <v>692380.00232629513</v>
          </cell>
          <cell r="P6825">
            <v>368.79259999999999</v>
          </cell>
        </row>
        <row r="6826">
          <cell r="B6826">
            <v>39603</v>
          </cell>
          <cell r="J6826">
            <v>3809804.3041216834</v>
          </cell>
          <cell r="K6826">
            <v>2.4380000000000002</v>
          </cell>
          <cell r="L6826">
            <v>148835</v>
          </cell>
          <cell r="M6826">
            <v>13229</v>
          </cell>
          <cell r="N6826">
            <v>683926.05601571908</v>
          </cell>
          <cell r="O6826">
            <v>692380.00232629513</v>
          </cell>
          <cell r="P6826">
            <v>368.79259999999999</v>
          </cell>
        </row>
        <row r="6827">
          <cell r="B6827">
            <v>39604</v>
          </cell>
          <cell r="J6827">
            <v>3809804.3041216834</v>
          </cell>
          <cell r="K6827">
            <v>2.4380000000000002</v>
          </cell>
          <cell r="L6827">
            <v>148835</v>
          </cell>
          <cell r="M6827">
            <v>13229</v>
          </cell>
          <cell r="N6827">
            <v>683926.05601571908</v>
          </cell>
          <cell r="O6827">
            <v>692380.00232629513</v>
          </cell>
          <cell r="P6827">
            <v>368.79259999999999</v>
          </cell>
        </row>
        <row r="6828">
          <cell r="B6828">
            <v>39605</v>
          </cell>
          <cell r="J6828">
            <v>3809804.3041216834</v>
          </cell>
          <cell r="K6828">
            <v>2.4380000000000002</v>
          </cell>
          <cell r="L6828">
            <v>148835</v>
          </cell>
          <cell r="M6828">
            <v>13229</v>
          </cell>
          <cell r="N6828">
            <v>683926.05601571908</v>
          </cell>
          <cell r="O6828">
            <v>692380.00232629513</v>
          </cell>
          <cell r="P6828">
            <v>368.79259999999999</v>
          </cell>
        </row>
        <row r="6829">
          <cell r="B6829">
            <v>39606</v>
          </cell>
          <cell r="J6829">
            <v>3809804.3041216834</v>
          </cell>
          <cell r="K6829">
            <v>2.4380000000000002</v>
          </cell>
          <cell r="L6829">
            <v>148835</v>
          </cell>
          <cell r="M6829">
            <v>13229</v>
          </cell>
          <cell r="N6829">
            <v>683926.05601571908</v>
          </cell>
          <cell r="O6829">
            <v>692380.00232629513</v>
          </cell>
          <cell r="P6829">
            <v>368.79259999999999</v>
          </cell>
        </row>
        <row r="6830">
          <cell r="B6830">
            <v>39607</v>
          </cell>
          <cell r="J6830">
            <v>3809804.3041216834</v>
          </cell>
          <cell r="K6830">
            <v>2.4380000000000002</v>
          </cell>
          <cell r="L6830">
            <v>148835</v>
          </cell>
          <cell r="M6830">
            <v>13229</v>
          </cell>
          <cell r="N6830">
            <v>683926.05601571908</v>
          </cell>
          <cell r="O6830">
            <v>692380.00232629513</v>
          </cell>
          <cell r="P6830">
            <v>368.79259999999999</v>
          </cell>
        </row>
        <row r="6831">
          <cell r="B6831">
            <v>39608</v>
          </cell>
          <cell r="J6831">
            <v>3809804.3041216834</v>
          </cell>
          <cell r="K6831">
            <v>2.4380000000000002</v>
          </cell>
          <cell r="L6831">
            <v>148835</v>
          </cell>
          <cell r="M6831">
            <v>13229</v>
          </cell>
          <cell r="N6831">
            <v>683926.05601571908</v>
          </cell>
          <cell r="O6831">
            <v>692380.00232629513</v>
          </cell>
          <cell r="P6831">
            <v>368.79259999999999</v>
          </cell>
        </row>
        <row r="6832">
          <cell r="B6832">
            <v>39609</v>
          </cell>
          <cell r="J6832">
            <v>3809804.3041216834</v>
          </cell>
          <cell r="K6832">
            <v>2.4380000000000002</v>
          </cell>
          <cell r="L6832">
            <v>148835</v>
          </cell>
          <cell r="M6832">
            <v>13229</v>
          </cell>
          <cell r="N6832">
            <v>683926.05601571908</v>
          </cell>
          <cell r="O6832">
            <v>692380.00232629513</v>
          </cell>
          <cell r="P6832">
            <v>368.79259999999999</v>
          </cell>
        </row>
        <row r="6833">
          <cell r="B6833">
            <v>39610</v>
          </cell>
          <cell r="J6833">
            <v>3809804.3041216834</v>
          </cell>
          <cell r="K6833">
            <v>2.4380000000000002</v>
          </cell>
          <cell r="L6833">
            <v>148835</v>
          </cell>
          <cell r="M6833">
            <v>13229</v>
          </cell>
          <cell r="N6833">
            <v>683926.05601571908</v>
          </cell>
          <cell r="O6833">
            <v>692380.00232629513</v>
          </cell>
          <cell r="P6833">
            <v>368.79259999999999</v>
          </cell>
        </row>
        <row r="6834">
          <cell r="B6834">
            <v>39611</v>
          </cell>
          <cell r="J6834">
            <v>3809804.3041216834</v>
          </cell>
          <cell r="K6834">
            <v>2.4380000000000002</v>
          </cell>
          <cell r="L6834">
            <v>148835</v>
          </cell>
          <cell r="M6834">
            <v>13229</v>
          </cell>
          <cell r="N6834">
            <v>683926.05601571908</v>
          </cell>
          <cell r="O6834">
            <v>692380.00232629513</v>
          </cell>
          <cell r="P6834">
            <v>368.79259999999999</v>
          </cell>
        </row>
        <row r="6835">
          <cell r="B6835">
            <v>39612</v>
          </cell>
          <cell r="J6835">
            <v>3809804.3041216834</v>
          </cell>
          <cell r="K6835">
            <v>2.4380000000000002</v>
          </cell>
          <cell r="L6835">
            <v>148835</v>
          </cell>
          <cell r="M6835">
            <v>13229</v>
          </cell>
          <cell r="N6835">
            <v>683926.05601571908</v>
          </cell>
          <cell r="O6835">
            <v>692380.00232629513</v>
          </cell>
          <cell r="P6835">
            <v>368.79259999999999</v>
          </cell>
        </row>
        <row r="6836">
          <cell r="B6836">
            <v>39613</v>
          </cell>
          <cell r="J6836">
            <v>3809804.3041216834</v>
          </cell>
          <cell r="K6836">
            <v>2.4380000000000002</v>
          </cell>
          <cell r="L6836">
            <v>148835</v>
          </cell>
          <cell r="M6836">
            <v>13229</v>
          </cell>
          <cell r="N6836">
            <v>683926.05601571908</v>
          </cell>
          <cell r="O6836">
            <v>692380.00232629513</v>
          </cell>
          <cell r="P6836">
            <v>368.79259999999999</v>
          </cell>
        </row>
        <row r="6837">
          <cell r="B6837">
            <v>39614</v>
          </cell>
          <cell r="J6837">
            <v>3809804.3041216834</v>
          </cell>
          <cell r="K6837">
            <v>2.4380000000000002</v>
          </cell>
          <cell r="L6837">
            <v>148835</v>
          </cell>
          <cell r="M6837">
            <v>13229</v>
          </cell>
          <cell r="N6837">
            <v>683926.05601571908</v>
          </cell>
          <cell r="O6837">
            <v>692380.00232629513</v>
          </cell>
          <cell r="P6837">
            <v>368.79259999999999</v>
          </cell>
        </row>
        <row r="6838">
          <cell r="B6838">
            <v>39615</v>
          </cell>
          <cell r="J6838">
            <v>3809804.3041216834</v>
          </cell>
          <cell r="K6838">
            <v>2.4380000000000002</v>
          </cell>
          <cell r="L6838">
            <v>148835</v>
          </cell>
          <cell r="M6838">
            <v>13229</v>
          </cell>
          <cell r="N6838">
            <v>683926.05601571908</v>
          </cell>
          <cell r="O6838">
            <v>692380.00232629513</v>
          </cell>
          <cell r="P6838">
            <v>368.79259999999999</v>
          </cell>
        </row>
        <row r="6839">
          <cell r="B6839">
            <v>39616</v>
          </cell>
          <cell r="J6839">
            <v>3809804.3041216834</v>
          </cell>
          <cell r="K6839">
            <v>2.4380000000000002</v>
          </cell>
          <cell r="L6839">
            <v>148835</v>
          </cell>
          <cell r="M6839">
            <v>13229</v>
          </cell>
          <cell r="N6839">
            <v>683926.05601571908</v>
          </cell>
          <cell r="O6839">
            <v>692380.00232629513</v>
          </cell>
          <cell r="P6839">
            <v>368.79259999999999</v>
          </cell>
        </row>
        <row r="6840">
          <cell r="B6840">
            <v>39617</v>
          </cell>
          <cell r="J6840">
            <v>3809804.3041216834</v>
          </cell>
          <cell r="K6840">
            <v>2.4380000000000002</v>
          </cell>
          <cell r="L6840">
            <v>148835</v>
          </cell>
          <cell r="M6840">
            <v>13229</v>
          </cell>
          <cell r="N6840">
            <v>683926.05601571908</v>
          </cell>
          <cell r="O6840">
            <v>692380.00232629513</v>
          </cell>
          <cell r="P6840">
            <v>368.79259999999999</v>
          </cell>
        </row>
        <row r="6841">
          <cell r="B6841">
            <v>39618</v>
          </cell>
          <cell r="J6841">
            <v>3809804.3041216834</v>
          </cell>
          <cell r="K6841">
            <v>2.4380000000000002</v>
          </cell>
          <cell r="L6841">
            <v>148835</v>
          </cell>
          <cell r="M6841">
            <v>13229</v>
          </cell>
          <cell r="N6841">
            <v>683926.05601571908</v>
          </cell>
          <cell r="O6841">
            <v>692380.00232629513</v>
          </cell>
          <cell r="P6841">
            <v>368.79259999999999</v>
          </cell>
        </row>
        <row r="6842">
          <cell r="B6842">
            <v>39619</v>
          </cell>
          <cell r="J6842">
            <v>3809804.3041216834</v>
          </cell>
          <cell r="K6842">
            <v>2.4380000000000002</v>
          </cell>
          <cell r="L6842">
            <v>148835</v>
          </cell>
          <cell r="M6842">
            <v>13229</v>
          </cell>
          <cell r="N6842">
            <v>683926.05601571908</v>
          </cell>
          <cell r="O6842">
            <v>692380.00232629513</v>
          </cell>
          <cell r="P6842">
            <v>368.79259999999999</v>
          </cell>
        </row>
        <row r="6843">
          <cell r="B6843">
            <v>39620</v>
          </cell>
          <cell r="J6843">
            <v>3809804.3041216834</v>
          </cell>
          <cell r="K6843">
            <v>2.4380000000000002</v>
          </cell>
          <cell r="L6843">
            <v>148835</v>
          </cell>
          <cell r="M6843">
            <v>13229</v>
          </cell>
          <cell r="N6843">
            <v>683926.05601571908</v>
          </cell>
          <cell r="O6843">
            <v>692380.00232629513</v>
          </cell>
          <cell r="P6843">
            <v>368.79259999999999</v>
          </cell>
        </row>
        <row r="6844">
          <cell r="B6844">
            <v>39621</v>
          </cell>
          <cell r="J6844">
            <v>3809804.3041216834</v>
          </cell>
          <cell r="K6844">
            <v>2.4380000000000002</v>
          </cell>
          <cell r="L6844">
            <v>148835</v>
          </cell>
          <cell r="M6844">
            <v>13229</v>
          </cell>
          <cell r="N6844">
            <v>683926.05601571908</v>
          </cell>
          <cell r="O6844">
            <v>692380.00232629513</v>
          </cell>
          <cell r="P6844">
            <v>368.79259999999999</v>
          </cell>
        </row>
        <row r="6845">
          <cell r="B6845">
            <v>39622</v>
          </cell>
          <cell r="J6845">
            <v>3809804.3041216834</v>
          </cell>
          <cell r="K6845">
            <v>2.4380000000000002</v>
          </cell>
          <cell r="L6845">
            <v>148835</v>
          </cell>
          <cell r="M6845">
            <v>13229</v>
          </cell>
          <cell r="N6845">
            <v>683926.05601571908</v>
          </cell>
          <cell r="O6845">
            <v>692380.00232629513</v>
          </cell>
          <cell r="P6845">
            <v>368.79259999999999</v>
          </cell>
        </row>
        <row r="6846">
          <cell r="B6846">
            <v>39623</v>
          </cell>
          <cell r="J6846">
            <v>3809804.3041216834</v>
          </cell>
          <cell r="K6846">
            <v>2.4380000000000002</v>
          </cell>
          <cell r="L6846">
            <v>148835</v>
          </cell>
          <cell r="M6846">
            <v>13229</v>
          </cell>
          <cell r="N6846">
            <v>683926.05601571908</v>
          </cell>
          <cell r="O6846">
            <v>692380.00232629513</v>
          </cell>
          <cell r="P6846">
            <v>368.79259999999999</v>
          </cell>
        </row>
        <row r="6847">
          <cell r="B6847">
            <v>39624</v>
          </cell>
          <cell r="J6847">
            <v>3809804.3041216834</v>
          </cell>
          <cell r="K6847">
            <v>2.4380000000000002</v>
          </cell>
          <cell r="L6847">
            <v>148835</v>
          </cell>
          <cell r="M6847">
            <v>13229</v>
          </cell>
          <cell r="N6847">
            <v>683926.05601571908</v>
          </cell>
          <cell r="O6847">
            <v>692380.00232629513</v>
          </cell>
          <cell r="P6847">
            <v>368.79259999999999</v>
          </cell>
        </row>
        <row r="6848">
          <cell r="B6848">
            <v>39625</v>
          </cell>
          <cell r="J6848">
            <v>3809804.3041216834</v>
          </cell>
          <cell r="K6848">
            <v>2.4380000000000002</v>
          </cell>
          <cell r="L6848">
            <v>148835</v>
          </cell>
          <cell r="M6848">
            <v>13229</v>
          </cell>
          <cell r="N6848">
            <v>683926.05601571908</v>
          </cell>
          <cell r="O6848">
            <v>692380.00232629513</v>
          </cell>
          <cell r="P6848">
            <v>368.79259999999999</v>
          </cell>
        </row>
        <row r="6849">
          <cell r="B6849">
            <v>39626</v>
          </cell>
          <cell r="J6849">
            <v>3809804.3041216834</v>
          </cell>
          <cell r="K6849">
            <v>2.4380000000000002</v>
          </cell>
          <cell r="L6849">
            <v>148835</v>
          </cell>
          <cell r="M6849">
            <v>13229</v>
          </cell>
          <cell r="N6849">
            <v>683926.05601571908</v>
          </cell>
          <cell r="O6849">
            <v>692380.00232629513</v>
          </cell>
          <cell r="P6849">
            <v>368.79259999999999</v>
          </cell>
        </row>
        <row r="6850">
          <cell r="B6850">
            <v>39627</v>
          </cell>
          <cell r="J6850">
            <v>3809804.3041216834</v>
          </cell>
          <cell r="K6850">
            <v>2.4380000000000002</v>
          </cell>
          <cell r="L6850">
            <v>148835</v>
          </cell>
          <cell r="M6850">
            <v>13229</v>
          </cell>
          <cell r="N6850">
            <v>683926.05601571908</v>
          </cell>
          <cell r="O6850">
            <v>692380.00232629513</v>
          </cell>
          <cell r="P6850">
            <v>368.79259999999999</v>
          </cell>
        </row>
        <row r="6851">
          <cell r="B6851">
            <v>39628</v>
          </cell>
          <cell r="J6851">
            <v>3809804.3041216834</v>
          </cell>
          <cell r="K6851">
            <v>2.4380000000000002</v>
          </cell>
          <cell r="L6851">
            <v>148835</v>
          </cell>
          <cell r="M6851">
            <v>13229</v>
          </cell>
          <cell r="N6851">
            <v>683926.05601571908</v>
          </cell>
          <cell r="O6851">
            <v>692380.00232629513</v>
          </cell>
          <cell r="P6851">
            <v>368.79259999999999</v>
          </cell>
        </row>
        <row r="6852">
          <cell r="B6852">
            <v>39629</v>
          </cell>
          <cell r="J6852">
            <v>3809804.3041216834</v>
          </cell>
          <cell r="K6852">
            <v>2.4380000000000002</v>
          </cell>
          <cell r="L6852">
            <v>148835</v>
          </cell>
          <cell r="M6852">
            <v>13229</v>
          </cell>
          <cell r="N6852">
            <v>683926.05601571908</v>
          </cell>
          <cell r="O6852">
            <v>692380.00232629513</v>
          </cell>
          <cell r="P6852">
            <v>368.79259999999999</v>
          </cell>
        </row>
        <row r="6853">
          <cell r="B6853">
            <v>39630</v>
          </cell>
          <cell r="J6853">
            <v>3809804.3041216834</v>
          </cell>
          <cell r="K6853">
            <v>2.4380000000000002</v>
          </cell>
          <cell r="L6853">
            <v>148835</v>
          </cell>
          <cell r="M6853">
            <v>13229</v>
          </cell>
          <cell r="N6853">
            <v>683926.05601571908</v>
          </cell>
          <cell r="O6853">
            <v>692380.00232629513</v>
          </cell>
          <cell r="P6853">
            <v>368.79259999999999</v>
          </cell>
        </row>
        <row r="6854">
          <cell r="B6854">
            <v>39631</v>
          </cell>
          <cell r="J6854">
            <v>3809804.3041216834</v>
          </cell>
          <cell r="K6854">
            <v>2.4380000000000002</v>
          </cell>
          <cell r="L6854">
            <v>148835</v>
          </cell>
          <cell r="M6854">
            <v>13229</v>
          </cell>
          <cell r="N6854">
            <v>683926.05601571908</v>
          </cell>
          <cell r="O6854">
            <v>692380.00232629513</v>
          </cell>
          <cell r="P6854">
            <v>368.79259999999999</v>
          </cell>
        </row>
        <row r="6855">
          <cell r="B6855">
            <v>39632</v>
          </cell>
          <cell r="J6855">
            <v>3809804.3041216834</v>
          </cell>
          <cell r="K6855">
            <v>2.4380000000000002</v>
          </cell>
          <cell r="L6855">
            <v>148835</v>
          </cell>
          <cell r="M6855">
            <v>13229</v>
          </cell>
          <cell r="N6855">
            <v>683926.05601571908</v>
          </cell>
          <cell r="O6855">
            <v>692380.00232629513</v>
          </cell>
          <cell r="P6855">
            <v>368.79259999999999</v>
          </cell>
        </row>
        <row r="6856">
          <cell r="B6856">
            <v>39633</v>
          </cell>
          <cell r="J6856">
            <v>3809804.3041216834</v>
          </cell>
          <cell r="K6856">
            <v>2.4380000000000002</v>
          </cell>
          <cell r="L6856">
            <v>148835</v>
          </cell>
          <cell r="M6856">
            <v>13229</v>
          </cell>
          <cell r="N6856">
            <v>683926.05601571908</v>
          </cell>
          <cell r="O6856">
            <v>692380.00232629513</v>
          </cell>
          <cell r="P6856">
            <v>368.79259999999999</v>
          </cell>
        </row>
        <row r="6857">
          <cell r="B6857">
            <v>39634</v>
          </cell>
          <cell r="J6857">
            <v>3809804.3041216834</v>
          </cell>
          <cell r="K6857">
            <v>2.4380000000000002</v>
          </cell>
          <cell r="L6857">
            <v>148835</v>
          </cell>
          <cell r="M6857">
            <v>13229</v>
          </cell>
          <cell r="N6857">
            <v>683926.05601571908</v>
          </cell>
          <cell r="O6857">
            <v>692380.00232629513</v>
          </cell>
          <cell r="P6857">
            <v>368.79259999999999</v>
          </cell>
        </row>
        <row r="6858">
          <cell r="B6858">
            <v>39635</v>
          </cell>
          <cell r="J6858">
            <v>3809804.3041216834</v>
          </cell>
          <cell r="K6858">
            <v>2.4380000000000002</v>
          </cell>
          <cell r="L6858">
            <v>148835</v>
          </cell>
          <cell r="M6858">
            <v>13229</v>
          </cell>
          <cell r="N6858">
            <v>683926.05601571908</v>
          </cell>
          <cell r="O6858">
            <v>692380.00232629513</v>
          </cell>
          <cell r="P6858">
            <v>368.79259999999999</v>
          </cell>
        </row>
        <row r="6859">
          <cell r="B6859">
            <v>39636</v>
          </cell>
          <cell r="J6859">
            <v>3809804.3041216834</v>
          </cell>
          <cell r="K6859">
            <v>2.4380000000000002</v>
          </cell>
          <cell r="L6859">
            <v>148835</v>
          </cell>
          <cell r="M6859">
            <v>13229</v>
          </cell>
          <cell r="N6859">
            <v>683926.05601571908</v>
          </cell>
          <cell r="O6859">
            <v>692380.00232629513</v>
          </cell>
          <cell r="P6859">
            <v>368.79259999999999</v>
          </cell>
        </row>
        <row r="6860">
          <cell r="B6860">
            <v>39637</v>
          </cell>
          <cell r="J6860">
            <v>3809804.3041216834</v>
          </cell>
          <cell r="K6860">
            <v>2.4380000000000002</v>
          </cell>
          <cell r="L6860">
            <v>148835</v>
          </cell>
          <cell r="M6860">
            <v>13229</v>
          </cell>
          <cell r="N6860">
            <v>683926.05601571908</v>
          </cell>
          <cell r="O6860">
            <v>692380.00232629513</v>
          </cell>
          <cell r="P6860">
            <v>368.79259999999999</v>
          </cell>
        </row>
        <row r="6861">
          <cell r="B6861">
            <v>39638</v>
          </cell>
          <cell r="J6861">
            <v>3809804.3041216834</v>
          </cell>
          <cell r="K6861">
            <v>2.4380000000000002</v>
          </cell>
          <cell r="L6861">
            <v>148835</v>
          </cell>
          <cell r="M6861">
            <v>13229</v>
          </cell>
          <cell r="N6861">
            <v>683926.05601571908</v>
          </cell>
          <cell r="O6861">
            <v>692380.00232629513</v>
          </cell>
          <cell r="P6861">
            <v>368.79259999999999</v>
          </cell>
        </row>
        <row r="6862">
          <cell r="B6862">
            <v>39639</v>
          </cell>
          <cell r="J6862">
            <v>3809804.3041216834</v>
          </cell>
          <cell r="K6862">
            <v>2.4380000000000002</v>
          </cell>
          <cell r="L6862">
            <v>148835</v>
          </cell>
          <cell r="M6862">
            <v>13229</v>
          </cell>
          <cell r="N6862">
            <v>683926.05601571908</v>
          </cell>
          <cell r="O6862">
            <v>692380.00232629513</v>
          </cell>
          <cell r="P6862">
            <v>368.79259999999999</v>
          </cell>
        </row>
        <row r="6863">
          <cell r="B6863">
            <v>39640</v>
          </cell>
          <cell r="J6863">
            <v>3809804.3041216834</v>
          </cell>
          <cell r="K6863">
            <v>2.4380000000000002</v>
          </cell>
          <cell r="L6863">
            <v>148835</v>
          </cell>
          <cell r="M6863">
            <v>13229</v>
          </cell>
          <cell r="N6863">
            <v>683926.05601571908</v>
          </cell>
          <cell r="O6863">
            <v>692380.00232629513</v>
          </cell>
          <cell r="P6863">
            <v>368.79259999999999</v>
          </cell>
        </row>
        <row r="6864">
          <cell r="B6864">
            <v>39641</v>
          </cell>
          <cell r="J6864">
            <v>3809804.3041216834</v>
          </cell>
          <cell r="K6864">
            <v>2.4380000000000002</v>
          </cell>
          <cell r="L6864">
            <v>148835</v>
          </cell>
          <cell r="M6864">
            <v>13229</v>
          </cell>
          <cell r="N6864">
            <v>683926.05601571908</v>
          </cell>
          <cell r="O6864">
            <v>692380.00232629513</v>
          </cell>
          <cell r="P6864">
            <v>368.79259999999999</v>
          </cell>
        </row>
        <row r="6865">
          <cell r="B6865">
            <v>39642</v>
          </cell>
          <cell r="J6865">
            <v>3809804.3041216834</v>
          </cell>
          <cell r="K6865">
            <v>2.4380000000000002</v>
          </cell>
          <cell r="L6865">
            <v>148835</v>
          </cell>
          <cell r="M6865">
            <v>13229</v>
          </cell>
          <cell r="N6865">
            <v>683926.05601571908</v>
          </cell>
          <cell r="O6865">
            <v>692380.00232629513</v>
          </cell>
          <cell r="P6865">
            <v>368.79259999999999</v>
          </cell>
        </row>
        <row r="6866">
          <cell r="B6866">
            <v>39643</v>
          </cell>
          <cell r="J6866">
            <v>3809804.3041216834</v>
          </cell>
          <cell r="K6866">
            <v>2.4380000000000002</v>
          </cell>
          <cell r="L6866">
            <v>148835</v>
          </cell>
          <cell r="M6866">
            <v>13229</v>
          </cell>
          <cell r="N6866">
            <v>683926.05601571908</v>
          </cell>
          <cell r="O6866">
            <v>692380.00232629513</v>
          </cell>
          <cell r="P6866">
            <v>368.79259999999999</v>
          </cell>
        </row>
        <row r="6867">
          <cell r="B6867">
            <v>39644</v>
          </cell>
          <cell r="J6867">
            <v>3809804.3041216834</v>
          </cell>
          <cell r="K6867">
            <v>2.4380000000000002</v>
          </cell>
          <cell r="L6867">
            <v>148835</v>
          </cell>
          <cell r="M6867">
            <v>13229</v>
          </cell>
          <cell r="N6867">
            <v>683926.05601571908</v>
          </cell>
          <cell r="O6867">
            <v>692380.00232629513</v>
          </cell>
          <cell r="P6867">
            <v>368.79259999999999</v>
          </cell>
        </row>
        <row r="6868">
          <cell r="B6868">
            <v>39645</v>
          </cell>
          <cell r="J6868">
            <v>3809804.3041216834</v>
          </cell>
          <cell r="K6868">
            <v>2.4380000000000002</v>
          </cell>
          <cell r="L6868">
            <v>148835</v>
          </cell>
          <cell r="M6868">
            <v>13229</v>
          </cell>
          <cell r="N6868">
            <v>683926.05601571908</v>
          </cell>
          <cell r="O6868">
            <v>692380.00232629513</v>
          </cell>
          <cell r="P6868">
            <v>368.79259999999999</v>
          </cell>
        </row>
        <row r="6869">
          <cell r="B6869">
            <v>39646</v>
          </cell>
          <cell r="J6869">
            <v>3809804.3041216834</v>
          </cell>
          <cell r="K6869">
            <v>2.4380000000000002</v>
          </cell>
          <cell r="L6869">
            <v>148835</v>
          </cell>
          <cell r="M6869">
            <v>13229</v>
          </cell>
          <cell r="N6869">
            <v>683926.05601571908</v>
          </cell>
          <cell r="O6869">
            <v>692380.00232629513</v>
          </cell>
          <cell r="P6869">
            <v>368.79259999999999</v>
          </cell>
        </row>
        <row r="6870">
          <cell r="B6870">
            <v>39647</v>
          </cell>
          <cell r="J6870">
            <v>3809804.3041216834</v>
          </cell>
          <cell r="K6870">
            <v>2.4380000000000002</v>
          </cell>
          <cell r="L6870">
            <v>148835</v>
          </cell>
          <cell r="M6870">
            <v>13229</v>
          </cell>
          <cell r="N6870">
            <v>683926.05601571908</v>
          </cell>
          <cell r="O6870">
            <v>692380.00232629513</v>
          </cell>
          <cell r="P6870">
            <v>368.79259999999999</v>
          </cell>
        </row>
        <row r="6871">
          <cell r="B6871">
            <v>39648</v>
          </cell>
          <cell r="J6871">
            <v>3809804.3041216834</v>
          </cell>
          <cell r="K6871">
            <v>2.4380000000000002</v>
          </cell>
          <cell r="L6871">
            <v>148835</v>
          </cell>
          <cell r="M6871">
            <v>13229</v>
          </cell>
          <cell r="N6871">
            <v>683926.05601571908</v>
          </cell>
          <cell r="O6871">
            <v>692380.00232629513</v>
          </cell>
          <cell r="P6871">
            <v>368.79259999999999</v>
          </cell>
        </row>
        <row r="6872">
          <cell r="B6872">
            <v>39649</v>
          </cell>
          <cell r="J6872">
            <v>3809804.3041216834</v>
          </cell>
          <cell r="K6872">
            <v>2.4380000000000002</v>
          </cell>
          <cell r="L6872">
            <v>148835</v>
          </cell>
          <cell r="M6872">
            <v>13229</v>
          </cell>
          <cell r="N6872">
            <v>683926.05601571908</v>
          </cell>
          <cell r="O6872">
            <v>692380.00232629513</v>
          </cell>
          <cell r="P6872">
            <v>368.79259999999999</v>
          </cell>
        </row>
        <row r="6873">
          <cell r="B6873">
            <v>39650</v>
          </cell>
          <cell r="J6873">
            <v>3809804.3041216834</v>
          </cell>
          <cell r="K6873">
            <v>2.4380000000000002</v>
          </cell>
          <cell r="L6873">
            <v>148835</v>
          </cell>
          <cell r="M6873">
            <v>13229</v>
          </cell>
          <cell r="N6873">
            <v>683926.05601571908</v>
          </cell>
          <cell r="O6873">
            <v>692380.00232629513</v>
          </cell>
          <cell r="P6873">
            <v>368.79259999999999</v>
          </cell>
        </row>
        <row r="6874">
          <cell r="B6874">
            <v>39651</v>
          </cell>
          <cell r="J6874">
            <v>3809804.3041216834</v>
          </cell>
          <cell r="K6874">
            <v>2.4380000000000002</v>
          </cell>
          <cell r="L6874">
            <v>148835</v>
          </cell>
          <cell r="M6874">
            <v>13229</v>
          </cell>
          <cell r="N6874">
            <v>683926.05601571908</v>
          </cell>
          <cell r="O6874">
            <v>692380.00232629513</v>
          </cell>
          <cell r="P6874">
            <v>368.79259999999999</v>
          </cell>
        </row>
        <row r="6875">
          <cell r="B6875">
            <v>39652</v>
          </cell>
          <cell r="J6875">
            <v>3809804.3041216834</v>
          </cell>
          <cell r="K6875">
            <v>2.4380000000000002</v>
          </cell>
          <cell r="L6875">
            <v>148835</v>
          </cell>
          <cell r="M6875">
            <v>13229</v>
          </cell>
          <cell r="N6875">
            <v>683926.05601571908</v>
          </cell>
          <cell r="O6875">
            <v>692380.00232629513</v>
          </cell>
          <cell r="P6875">
            <v>368.79259999999999</v>
          </cell>
        </row>
        <row r="6876">
          <cell r="B6876">
            <v>39653</v>
          </cell>
          <cell r="J6876">
            <v>3809804.3041216834</v>
          </cell>
          <cell r="K6876">
            <v>2.4380000000000002</v>
          </cell>
          <cell r="L6876">
            <v>148835</v>
          </cell>
          <cell r="M6876">
            <v>13229</v>
          </cell>
          <cell r="N6876">
            <v>683926.05601571908</v>
          </cell>
          <cell r="O6876">
            <v>692380.00232629513</v>
          </cell>
          <cell r="P6876">
            <v>368.79259999999999</v>
          </cell>
        </row>
        <row r="6877">
          <cell r="B6877">
            <v>39654</v>
          </cell>
          <cell r="J6877">
            <v>3809804.3041216834</v>
          </cell>
          <cell r="K6877">
            <v>2.4380000000000002</v>
          </cell>
          <cell r="L6877">
            <v>148835</v>
          </cell>
          <cell r="M6877">
            <v>13229</v>
          </cell>
          <cell r="N6877">
            <v>683926.05601571908</v>
          </cell>
          <cell r="O6877">
            <v>692380.00232629513</v>
          </cell>
          <cell r="P6877">
            <v>368.79259999999999</v>
          </cell>
        </row>
        <row r="6878">
          <cell r="B6878">
            <v>39655</v>
          </cell>
          <cell r="J6878">
            <v>3809804.3041216834</v>
          </cell>
          <cell r="K6878">
            <v>2.4380000000000002</v>
          </cell>
          <cell r="L6878">
            <v>148835</v>
          </cell>
          <cell r="M6878">
            <v>13229</v>
          </cell>
          <cell r="N6878">
            <v>683926.05601571908</v>
          </cell>
          <cell r="O6878">
            <v>692380.00232629513</v>
          </cell>
          <cell r="P6878">
            <v>368.79259999999999</v>
          </cell>
        </row>
        <row r="6879">
          <cell r="B6879">
            <v>39656</v>
          </cell>
          <cell r="J6879">
            <v>3809804.3041216834</v>
          </cell>
          <cell r="K6879">
            <v>2.4380000000000002</v>
          </cell>
          <cell r="L6879">
            <v>148835</v>
          </cell>
          <cell r="M6879">
            <v>13229</v>
          </cell>
          <cell r="N6879">
            <v>683926.05601571908</v>
          </cell>
          <cell r="O6879">
            <v>692380.00232629513</v>
          </cell>
          <cell r="P6879">
            <v>368.79259999999999</v>
          </cell>
        </row>
        <row r="6880">
          <cell r="B6880">
            <v>39657</v>
          </cell>
          <cell r="J6880">
            <v>3809804.3041216834</v>
          </cell>
          <cell r="K6880">
            <v>2.4380000000000002</v>
          </cell>
          <cell r="L6880">
            <v>148835</v>
          </cell>
          <cell r="M6880">
            <v>13229</v>
          </cell>
          <cell r="N6880">
            <v>683926.05601571908</v>
          </cell>
          <cell r="O6880">
            <v>692380.00232629513</v>
          </cell>
          <cell r="P6880">
            <v>368.79259999999999</v>
          </cell>
        </row>
        <row r="6881">
          <cell r="B6881">
            <v>39658</v>
          </cell>
          <cell r="J6881">
            <v>3809804.3041216834</v>
          </cell>
          <cell r="K6881">
            <v>2.4380000000000002</v>
          </cell>
          <cell r="L6881">
            <v>148835</v>
          </cell>
          <cell r="M6881">
            <v>13229</v>
          </cell>
          <cell r="N6881">
            <v>683926.05601571908</v>
          </cell>
          <cell r="O6881">
            <v>692380.00232629513</v>
          </cell>
          <cell r="P6881">
            <v>368.79259999999999</v>
          </cell>
        </row>
        <row r="6882">
          <cell r="B6882">
            <v>39659</v>
          </cell>
          <cell r="J6882">
            <v>3809804.3041216834</v>
          </cell>
          <cell r="K6882">
            <v>2.4380000000000002</v>
          </cell>
          <cell r="L6882">
            <v>148835</v>
          </cell>
          <cell r="M6882">
            <v>13229</v>
          </cell>
          <cell r="N6882">
            <v>683926.05601571908</v>
          </cell>
          <cell r="O6882">
            <v>692380.00232629513</v>
          </cell>
          <cell r="P6882">
            <v>368.79259999999999</v>
          </cell>
        </row>
        <row r="6883">
          <cell r="B6883">
            <v>39660</v>
          </cell>
          <cell r="J6883">
            <v>3809804.3041216834</v>
          </cell>
          <cell r="K6883">
            <v>2.4380000000000002</v>
          </cell>
          <cell r="L6883">
            <v>148835</v>
          </cell>
          <cell r="M6883">
            <v>13229</v>
          </cell>
          <cell r="N6883">
            <v>683926.05601571908</v>
          </cell>
          <cell r="O6883">
            <v>692380.00232629513</v>
          </cell>
          <cell r="P6883">
            <v>368.79259999999999</v>
          </cell>
        </row>
        <row r="6884">
          <cell r="B6884">
            <v>39661</v>
          </cell>
          <cell r="J6884">
            <v>3809804.3041216834</v>
          </cell>
          <cell r="K6884">
            <v>2.4380000000000002</v>
          </cell>
          <cell r="L6884">
            <v>148835</v>
          </cell>
          <cell r="M6884">
            <v>13229</v>
          </cell>
          <cell r="N6884">
            <v>683926.05601571908</v>
          </cell>
          <cell r="O6884">
            <v>692380.00232629513</v>
          </cell>
          <cell r="P6884">
            <v>368.79259999999999</v>
          </cell>
        </row>
        <row r="6885">
          <cell r="B6885">
            <v>39662</v>
          </cell>
          <cell r="J6885">
            <v>3809804.3041216834</v>
          </cell>
          <cell r="K6885">
            <v>2.4380000000000002</v>
          </cell>
          <cell r="L6885">
            <v>148835</v>
          </cell>
          <cell r="M6885">
            <v>13229</v>
          </cell>
          <cell r="N6885">
            <v>683926.05601571908</v>
          </cell>
          <cell r="O6885">
            <v>692380.00232629513</v>
          </cell>
          <cell r="P6885">
            <v>368.79259999999999</v>
          </cell>
        </row>
        <row r="6886">
          <cell r="B6886">
            <v>39663</v>
          </cell>
          <cell r="J6886">
            <v>3809804.3041216834</v>
          </cell>
          <cell r="K6886">
            <v>2.4380000000000002</v>
          </cell>
          <cell r="L6886">
            <v>148835</v>
          </cell>
          <cell r="M6886">
            <v>13229</v>
          </cell>
          <cell r="N6886">
            <v>683926.05601571908</v>
          </cell>
          <cell r="O6886">
            <v>692380.00232629513</v>
          </cell>
          <cell r="P6886">
            <v>368.79259999999999</v>
          </cell>
        </row>
        <row r="6887">
          <cell r="B6887">
            <v>39664</v>
          </cell>
          <cell r="J6887">
            <v>3809804.3041216834</v>
          </cell>
          <cell r="K6887">
            <v>2.4380000000000002</v>
          </cell>
          <cell r="L6887">
            <v>148835</v>
          </cell>
          <cell r="M6887">
            <v>13229</v>
          </cell>
          <cell r="N6887">
            <v>683926.05601571908</v>
          </cell>
          <cell r="O6887">
            <v>692380.00232629513</v>
          </cell>
          <cell r="P6887">
            <v>368.79259999999999</v>
          </cell>
        </row>
        <row r="6888">
          <cell r="B6888">
            <v>39665</v>
          </cell>
          <cell r="J6888">
            <v>3809804.3041216834</v>
          </cell>
          <cell r="K6888">
            <v>2.4380000000000002</v>
          </cell>
          <cell r="L6888">
            <v>148835</v>
          </cell>
          <cell r="M6888">
            <v>13229</v>
          </cell>
          <cell r="N6888">
            <v>683926.05601571908</v>
          </cell>
          <cell r="O6888">
            <v>692380.00232629513</v>
          </cell>
          <cell r="P6888">
            <v>368.79259999999999</v>
          </cell>
        </row>
        <row r="6889">
          <cell r="B6889">
            <v>39666</v>
          </cell>
          <cell r="J6889">
            <v>3809804.3041216834</v>
          </cell>
          <cell r="K6889">
            <v>2.4380000000000002</v>
          </cell>
          <cell r="L6889">
            <v>148835</v>
          </cell>
          <cell r="M6889">
            <v>13229</v>
          </cell>
          <cell r="N6889">
            <v>683926.05601571908</v>
          </cell>
          <cell r="O6889">
            <v>692380.00232629513</v>
          </cell>
          <cell r="P6889">
            <v>368.79259999999999</v>
          </cell>
        </row>
        <row r="6890">
          <cell r="B6890">
            <v>39667</v>
          </cell>
          <cell r="J6890">
            <v>3809804.3041216834</v>
          </cell>
          <cell r="K6890">
            <v>2.4380000000000002</v>
          </cell>
          <cell r="L6890">
            <v>148835</v>
          </cell>
          <cell r="M6890">
            <v>13229</v>
          </cell>
          <cell r="N6890">
            <v>683926.05601571908</v>
          </cell>
          <cell r="O6890">
            <v>692380.00232629513</v>
          </cell>
          <cell r="P6890">
            <v>368.79259999999999</v>
          </cell>
        </row>
        <row r="6891">
          <cell r="B6891">
            <v>39668</v>
          </cell>
          <cell r="J6891">
            <v>3809804.3041216834</v>
          </cell>
          <cell r="K6891">
            <v>2.4380000000000002</v>
          </cell>
          <cell r="L6891">
            <v>148835</v>
          </cell>
          <cell r="M6891">
            <v>13229</v>
          </cell>
          <cell r="N6891">
            <v>683926.05601571908</v>
          </cell>
          <cell r="O6891">
            <v>692380.00232629513</v>
          </cell>
          <cell r="P6891">
            <v>368.79259999999999</v>
          </cell>
        </row>
        <row r="6892">
          <cell r="B6892">
            <v>39669</v>
          </cell>
          <cell r="J6892">
            <v>3809804.3041216834</v>
          </cell>
          <cell r="K6892">
            <v>2.4380000000000002</v>
          </cell>
          <cell r="L6892">
            <v>148835</v>
          </cell>
          <cell r="M6892">
            <v>13229</v>
          </cell>
          <cell r="N6892">
            <v>683926.05601571908</v>
          </cell>
          <cell r="O6892">
            <v>692380.00232629513</v>
          </cell>
          <cell r="P6892">
            <v>368.79259999999999</v>
          </cell>
        </row>
        <row r="6893">
          <cell r="B6893">
            <v>39670</v>
          </cell>
          <cell r="J6893">
            <v>3809804.3041216834</v>
          </cell>
          <cell r="K6893">
            <v>2.4380000000000002</v>
          </cell>
          <cell r="L6893">
            <v>148835</v>
          </cell>
          <cell r="M6893">
            <v>13229</v>
          </cell>
          <cell r="N6893">
            <v>683926.05601571908</v>
          </cell>
          <cell r="O6893">
            <v>692380.00232629513</v>
          </cell>
          <cell r="P6893">
            <v>368.79259999999999</v>
          </cell>
        </row>
        <row r="6894">
          <cell r="B6894">
            <v>39671</v>
          </cell>
          <cell r="J6894">
            <v>3809804.3041216834</v>
          </cell>
          <cell r="K6894">
            <v>2.4380000000000002</v>
          </cell>
          <cell r="L6894">
            <v>148835</v>
          </cell>
          <cell r="M6894">
            <v>13229</v>
          </cell>
          <cell r="N6894">
            <v>683926.05601571908</v>
          </cell>
          <cell r="O6894">
            <v>692380.00232629513</v>
          </cell>
          <cell r="P6894">
            <v>368.79259999999999</v>
          </cell>
        </row>
        <row r="6895">
          <cell r="B6895">
            <v>39672</v>
          </cell>
          <cell r="J6895">
            <v>3809804.3041216834</v>
          </cell>
          <cell r="K6895">
            <v>2.4380000000000002</v>
          </cell>
          <cell r="L6895">
            <v>148835</v>
          </cell>
          <cell r="M6895">
            <v>13229</v>
          </cell>
          <cell r="N6895">
            <v>683926.05601571908</v>
          </cell>
          <cell r="O6895">
            <v>692380.00232629513</v>
          </cell>
          <cell r="P6895">
            <v>368.79259999999999</v>
          </cell>
        </row>
        <row r="6896">
          <cell r="B6896">
            <v>39673</v>
          </cell>
          <cell r="J6896">
            <v>3809804.3041216834</v>
          </cell>
          <cell r="K6896">
            <v>2.4380000000000002</v>
          </cell>
          <cell r="L6896">
            <v>148835</v>
          </cell>
          <cell r="M6896">
            <v>13229</v>
          </cell>
          <cell r="N6896">
            <v>683926.05601571908</v>
          </cell>
          <cell r="O6896">
            <v>692380.00232629513</v>
          </cell>
          <cell r="P6896">
            <v>368.79259999999999</v>
          </cell>
        </row>
        <row r="6897">
          <cell r="B6897">
            <v>39674</v>
          </cell>
          <cell r="J6897">
            <v>3809804.3041216834</v>
          </cell>
          <cell r="K6897">
            <v>2.4380000000000002</v>
          </cell>
          <cell r="L6897">
            <v>148835</v>
          </cell>
          <cell r="M6897">
            <v>13229</v>
          </cell>
          <cell r="N6897">
            <v>683926.05601571908</v>
          </cell>
          <cell r="O6897">
            <v>692380.00232629513</v>
          </cell>
          <cell r="P6897">
            <v>368.79259999999999</v>
          </cell>
        </row>
        <row r="6898">
          <cell r="B6898">
            <v>39675</v>
          </cell>
          <cell r="J6898">
            <v>3809804.3041216834</v>
          </cell>
          <cell r="K6898">
            <v>2.4380000000000002</v>
          </cell>
          <cell r="L6898">
            <v>148835</v>
          </cell>
          <cell r="M6898">
            <v>13229</v>
          </cell>
          <cell r="N6898">
            <v>683926.05601571908</v>
          </cell>
          <cell r="O6898">
            <v>692380.00232629513</v>
          </cell>
          <cell r="P6898">
            <v>368.79259999999999</v>
          </cell>
        </row>
        <row r="6899">
          <cell r="B6899">
            <v>39676</v>
          </cell>
          <cell r="J6899">
            <v>3809804.3041216834</v>
          </cell>
          <cell r="K6899">
            <v>2.4380000000000002</v>
          </cell>
          <cell r="L6899">
            <v>148835</v>
          </cell>
          <cell r="M6899">
            <v>13229</v>
          </cell>
          <cell r="N6899">
            <v>683926.05601571908</v>
          </cell>
          <cell r="O6899">
            <v>692380.00232629513</v>
          </cell>
          <cell r="P6899">
            <v>368.79259999999999</v>
          </cell>
        </row>
        <row r="6900">
          <cell r="B6900">
            <v>39677</v>
          </cell>
          <cell r="J6900">
            <v>3809804.3041216834</v>
          </cell>
          <cell r="K6900">
            <v>2.4380000000000002</v>
          </cell>
          <cell r="L6900">
            <v>148835</v>
          </cell>
          <cell r="M6900">
            <v>13229</v>
          </cell>
          <cell r="N6900">
            <v>683926.05601571908</v>
          </cell>
          <cell r="O6900">
            <v>692380.00232629513</v>
          </cell>
          <cell r="P6900">
            <v>368.79259999999999</v>
          </cell>
        </row>
        <row r="6901">
          <cell r="B6901">
            <v>39678</v>
          </cell>
          <cell r="J6901">
            <v>3809804.3041216834</v>
          </cell>
          <cell r="K6901">
            <v>2.4380000000000002</v>
          </cell>
          <cell r="L6901">
            <v>148835</v>
          </cell>
          <cell r="M6901">
            <v>13229</v>
          </cell>
          <cell r="N6901">
            <v>683926.05601571908</v>
          </cell>
          <cell r="O6901">
            <v>692380.00232629513</v>
          </cell>
          <cell r="P6901">
            <v>368.79259999999999</v>
          </cell>
        </row>
        <row r="6902">
          <cell r="B6902">
            <v>39679</v>
          </cell>
          <cell r="J6902">
            <v>3809804.3041216834</v>
          </cell>
          <cell r="K6902">
            <v>2.4380000000000002</v>
          </cell>
          <cell r="L6902">
            <v>148835</v>
          </cell>
          <cell r="M6902">
            <v>13229</v>
          </cell>
          <cell r="N6902">
            <v>683926.05601571908</v>
          </cell>
          <cell r="O6902">
            <v>692380.00232629513</v>
          </cell>
          <cell r="P6902">
            <v>368.79259999999999</v>
          </cell>
        </row>
        <row r="6903">
          <cell r="B6903">
            <v>39680</v>
          </cell>
          <cell r="J6903">
            <v>3809804.3041216834</v>
          </cell>
          <cell r="K6903">
            <v>2.4380000000000002</v>
          </cell>
          <cell r="L6903">
            <v>148835</v>
          </cell>
          <cell r="M6903">
            <v>13229</v>
          </cell>
          <cell r="N6903">
            <v>683926.05601571908</v>
          </cell>
          <cell r="O6903">
            <v>692380.00232629513</v>
          </cell>
          <cell r="P6903">
            <v>368.79259999999999</v>
          </cell>
        </row>
        <row r="6904">
          <cell r="B6904">
            <v>39681</v>
          </cell>
          <cell r="J6904">
            <v>3809804.3041216834</v>
          </cell>
          <cell r="K6904">
            <v>2.4380000000000002</v>
          </cell>
          <cell r="L6904">
            <v>148835</v>
          </cell>
          <cell r="M6904">
            <v>13229</v>
          </cell>
          <cell r="N6904">
            <v>683926.05601571908</v>
          </cell>
          <cell r="O6904">
            <v>692380.00232629513</v>
          </cell>
          <cell r="P6904">
            <v>368.79259999999999</v>
          </cell>
        </row>
        <row r="6905">
          <cell r="B6905">
            <v>39682</v>
          </cell>
          <cell r="J6905">
            <v>3809804.3041216834</v>
          </cell>
          <cell r="K6905">
            <v>2.4380000000000002</v>
          </cell>
          <cell r="L6905">
            <v>148835</v>
          </cell>
          <cell r="M6905">
            <v>13229</v>
          </cell>
          <cell r="N6905">
            <v>683926.05601571908</v>
          </cell>
          <cell r="O6905">
            <v>692380.00232629513</v>
          </cell>
          <cell r="P6905">
            <v>368.79259999999999</v>
          </cell>
        </row>
        <row r="6906">
          <cell r="B6906">
            <v>39683</v>
          </cell>
          <cell r="J6906">
            <v>3809804.3041216834</v>
          </cell>
          <cell r="K6906">
            <v>2.4380000000000002</v>
          </cell>
          <cell r="L6906">
            <v>148835</v>
          </cell>
          <cell r="M6906">
            <v>13229</v>
          </cell>
          <cell r="N6906">
            <v>683926.05601571908</v>
          </cell>
          <cell r="O6906">
            <v>692380.00232629513</v>
          </cell>
          <cell r="P6906">
            <v>368.79259999999999</v>
          </cell>
        </row>
        <row r="6907">
          <cell r="B6907">
            <v>39684</v>
          </cell>
          <cell r="J6907">
            <v>3809804.3041216834</v>
          </cell>
          <cell r="K6907">
            <v>2.4380000000000002</v>
          </cell>
          <cell r="L6907">
            <v>148835</v>
          </cell>
          <cell r="M6907">
            <v>13229</v>
          </cell>
          <cell r="N6907">
            <v>683926.05601571908</v>
          </cell>
          <cell r="O6907">
            <v>692380.00232629513</v>
          </cell>
          <cell r="P6907">
            <v>368.79259999999999</v>
          </cell>
        </row>
        <row r="6908">
          <cell r="B6908">
            <v>39685</v>
          </cell>
          <cell r="J6908">
            <v>3809804.3041216834</v>
          </cell>
          <cell r="K6908">
            <v>2.4380000000000002</v>
          </cell>
          <cell r="L6908">
            <v>148835</v>
          </cell>
          <cell r="M6908">
            <v>13229</v>
          </cell>
          <cell r="N6908">
            <v>683926.05601571908</v>
          </cell>
          <cell r="O6908">
            <v>692380.00232629513</v>
          </cell>
          <cell r="P6908">
            <v>368.79259999999999</v>
          </cell>
        </row>
        <row r="6909">
          <cell r="B6909">
            <v>39686</v>
          </cell>
          <cell r="J6909">
            <v>3809804.3041216834</v>
          </cell>
          <cell r="K6909">
            <v>2.4380000000000002</v>
          </cell>
          <cell r="L6909">
            <v>148835</v>
          </cell>
          <cell r="M6909">
            <v>13229</v>
          </cell>
          <cell r="N6909">
            <v>683926.05601571908</v>
          </cell>
          <cell r="O6909">
            <v>692380.00232629513</v>
          </cell>
          <cell r="P6909">
            <v>368.79259999999999</v>
          </cell>
        </row>
        <row r="6910">
          <cell r="B6910">
            <v>39687</v>
          </cell>
          <cell r="J6910">
            <v>3809804.3041216834</v>
          </cell>
          <cell r="K6910">
            <v>2.4380000000000002</v>
          </cell>
          <cell r="L6910">
            <v>148835</v>
          </cell>
          <cell r="M6910">
            <v>13229</v>
          </cell>
          <cell r="N6910">
            <v>683926.05601571908</v>
          </cell>
          <cell r="O6910">
            <v>692380.00232629513</v>
          </cell>
          <cell r="P6910">
            <v>368.79259999999999</v>
          </cell>
        </row>
        <row r="6911">
          <cell r="B6911">
            <v>39688</v>
          </cell>
          <cell r="J6911">
            <v>3809804.3041216834</v>
          </cell>
          <cell r="K6911">
            <v>2.4380000000000002</v>
          </cell>
          <cell r="L6911">
            <v>148835</v>
          </cell>
          <cell r="M6911">
            <v>13229</v>
          </cell>
          <cell r="N6911">
            <v>683926.05601571908</v>
          </cell>
          <cell r="O6911">
            <v>692380.00232629513</v>
          </cell>
          <cell r="P6911">
            <v>368.79259999999999</v>
          </cell>
        </row>
        <row r="6912">
          <cell r="B6912">
            <v>39689</v>
          </cell>
          <cell r="J6912">
            <v>3809804.3041216834</v>
          </cell>
          <cell r="K6912">
            <v>2.4380000000000002</v>
          </cell>
          <cell r="L6912">
            <v>148835</v>
          </cell>
          <cell r="M6912">
            <v>13229</v>
          </cell>
          <cell r="N6912">
            <v>683926.05601571908</v>
          </cell>
          <cell r="O6912">
            <v>692380.00232629513</v>
          </cell>
          <cell r="P6912">
            <v>368.79259999999999</v>
          </cell>
        </row>
        <row r="6913">
          <cell r="B6913">
            <v>39690</v>
          </cell>
          <cell r="J6913">
            <v>3809804.3041216834</v>
          </cell>
          <cell r="K6913">
            <v>2.4380000000000002</v>
          </cell>
          <cell r="L6913">
            <v>148835</v>
          </cell>
          <cell r="M6913">
            <v>13229</v>
          </cell>
          <cell r="N6913">
            <v>683926.05601571908</v>
          </cell>
          <cell r="O6913">
            <v>692380.00232629513</v>
          </cell>
          <cell r="P6913">
            <v>368.79259999999999</v>
          </cell>
        </row>
        <row r="6914">
          <cell r="B6914">
            <v>39691</v>
          </cell>
          <cell r="J6914">
            <v>3809804.3041216834</v>
          </cell>
          <cell r="K6914">
            <v>2.4380000000000002</v>
          </cell>
          <cell r="L6914">
            <v>148835</v>
          </cell>
          <cell r="M6914">
            <v>13229</v>
          </cell>
          <cell r="N6914">
            <v>683926.05601571908</v>
          </cell>
          <cell r="O6914">
            <v>692380.00232629513</v>
          </cell>
          <cell r="P6914">
            <v>368.79259999999999</v>
          </cell>
        </row>
        <row r="6915">
          <cell r="B6915">
            <v>39692</v>
          </cell>
          <cell r="J6915">
            <v>3809804.3041216834</v>
          </cell>
          <cell r="K6915">
            <v>2.4380000000000002</v>
          </cell>
          <cell r="L6915">
            <v>148835</v>
          </cell>
          <cell r="M6915">
            <v>13229</v>
          </cell>
          <cell r="N6915">
            <v>683926.05601571908</v>
          </cell>
          <cell r="O6915">
            <v>692380.00232629513</v>
          </cell>
          <cell r="P6915">
            <v>368.79259999999999</v>
          </cell>
        </row>
        <row r="6916">
          <cell r="B6916">
            <v>39693</v>
          </cell>
          <cell r="J6916">
            <v>3809804.3041216834</v>
          </cell>
          <cell r="K6916">
            <v>2.4380000000000002</v>
          </cell>
          <cell r="L6916">
            <v>148835</v>
          </cell>
          <cell r="M6916">
            <v>13229</v>
          </cell>
          <cell r="N6916">
            <v>683926.05601571908</v>
          </cell>
          <cell r="O6916">
            <v>692380.00232629513</v>
          </cell>
          <cell r="P6916">
            <v>368.79259999999999</v>
          </cell>
        </row>
        <row r="6917">
          <cell r="B6917">
            <v>39694</v>
          </cell>
          <cell r="J6917">
            <v>3809804.3041216834</v>
          </cell>
          <cell r="K6917">
            <v>2.4380000000000002</v>
          </cell>
          <cell r="L6917">
            <v>148835</v>
          </cell>
          <cell r="M6917">
            <v>13229</v>
          </cell>
          <cell r="N6917">
            <v>683926.05601571908</v>
          </cell>
          <cell r="O6917">
            <v>692380.00232629513</v>
          </cell>
          <cell r="P6917">
            <v>368.79259999999999</v>
          </cell>
        </row>
        <row r="6918">
          <cell r="B6918">
            <v>39695</v>
          </cell>
          <cell r="J6918">
            <v>3809804.3041216834</v>
          </cell>
          <cell r="K6918">
            <v>2.4380000000000002</v>
          </cell>
          <cell r="L6918">
            <v>148835</v>
          </cell>
          <cell r="M6918">
            <v>13229</v>
          </cell>
          <cell r="N6918">
            <v>683926.05601571908</v>
          </cell>
          <cell r="O6918">
            <v>692380.00232629513</v>
          </cell>
          <cell r="P6918">
            <v>368.79259999999999</v>
          </cell>
        </row>
        <row r="6919">
          <cell r="B6919">
            <v>39696</v>
          </cell>
          <cell r="J6919">
            <v>3809804.3041216834</v>
          </cell>
          <cell r="K6919">
            <v>2.4380000000000002</v>
          </cell>
          <cell r="L6919">
            <v>148835</v>
          </cell>
          <cell r="M6919">
            <v>13229</v>
          </cell>
          <cell r="N6919">
            <v>683926.05601571908</v>
          </cell>
          <cell r="O6919">
            <v>692380.00232629513</v>
          </cell>
          <cell r="P6919">
            <v>368.79259999999999</v>
          </cell>
        </row>
        <row r="6920">
          <cell r="B6920">
            <v>39697</v>
          </cell>
          <cell r="J6920">
            <v>3809804.3041216834</v>
          </cell>
          <cell r="K6920">
            <v>2.4380000000000002</v>
          </cell>
          <cell r="L6920">
            <v>148835</v>
          </cell>
          <cell r="M6920">
            <v>13229</v>
          </cell>
          <cell r="N6920">
            <v>683926.05601571908</v>
          </cell>
          <cell r="O6920">
            <v>692380.00232629513</v>
          </cell>
          <cell r="P6920">
            <v>368.79259999999999</v>
          </cell>
        </row>
        <row r="6921">
          <cell r="B6921">
            <v>39698</v>
          </cell>
          <cell r="J6921">
            <v>3809804.3041216834</v>
          </cell>
          <cell r="K6921">
            <v>2.4380000000000002</v>
          </cell>
          <cell r="L6921">
            <v>148835</v>
          </cell>
          <cell r="M6921">
            <v>13229</v>
          </cell>
          <cell r="N6921">
            <v>683926.05601571908</v>
          </cell>
          <cell r="O6921">
            <v>692380.00232629513</v>
          </cell>
          <cell r="P6921">
            <v>368.79259999999999</v>
          </cell>
        </row>
        <row r="6922">
          <cell r="B6922">
            <v>39699</v>
          </cell>
          <cell r="J6922">
            <v>3809804.3041216834</v>
          </cell>
          <cell r="K6922">
            <v>2.4380000000000002</v>
          </cell>
          <cell r="L6922">
            <v>148835</v>
          </cell>
          <cell r="M6922">
            <v>13229</v>
          </cell>
          <cell r="N6922">
            <v>683926.05601571908</v>
          </cell>
          <cell r="O6922">
            <v>692380.00232629513</v>
          </cell>
          <cell r="P6922">
            <v>368.79259999999999</v>
          </cell>
        </row>
        <row r="6923">
          <cell r="B6923">
            <v>39700</v>
          </cell>
          <cell r="J6923">
            <v>3809804.3041216834</v>
          </cell>
          <cell r="K6923">
            <v>2.4380000000000002</v>
          </cell>
          <cell r="L6923">
            <v>148835</v>
          </cell>
          <cell r="M6923">
            <v>13229</v>
          </cell>
          <cell r="N6923">
            <v>683926.05601571908</v>
          </cell>
          <cell r="O6923">
            <v>692380.00232629513</v>
          </cell>
          <cell r="P6923">
            <v>368.79259999999999</v>
          </cell>
        </row>
        <row r="6924">
          <cell r="B6924">
            <v>39701</v>
          </cell>
          <cell r="J6924">
            <v>3809804.3041216834</v>
          </cell>
          <cell r="K6924">
            <v>2.4380000000000002</v>
          </cell>
          <cell r="L6924">
            <v>148835</v>
          </cell>
          <cell r="M6924">
            <v>13229</v>
          </cell>
          <cell r="N6924">
            <v>683926.05601571908</v>
          </cell>
          <cell r="O6924">
            <v>692380.00232629513</v>
          </cell>
          <cell r="P6924">
            <v>368.79259999999999</v>
          </cell>
        </row>
        <row r="6925">
          <cell r="B6925">
            <v>39702</v>
          </cell>
          <cell r="J6925">
            <v>3809804.3041216834</v>
          </cell>
          <cell r="K6925">
            <v>2.4380000000000002</v>
          </cell>
          <cell r="L6925">
            <v>148835</v>
          </cell>
          <cell r="M6925">
            <v>13229</v>
          </cell>
          <cell r="N6925">
            <v>683926.05601571908</v>
          </cell>
          <cell r="O6925">
            <v>692380.00232629513</v>
          </cell>
          <cell r="P6925">
            <v>368.79259999999999</v>
          </cell>
        </row>
        <row r="6926">
          <cell r="B6926">
            <v>39703</v>
          </cell>
          <cell r="J6926">
            <v>3809804.3041216834</v>
          </cell>
          <cell r="K6926">
            <v>2.4380000000000002</v>
          </cell>
          <cell r="L6926">
            <v>148835</v>
          </cell>
          <cell r="M6926">
            <v>13229</v>
          </cell>
          <cell r="N6926">
            <v>683926.05601571908</v>
          </cell>
          <cell r="O6926">
            <v>692380.00232629513</v>
          </cell>
          <cell r="P6926">
            <v>368.79259999999999</v>
          </cell>
        </row>
        <row r="6927">
          <cell r="B6927">
            <v>39704</v>
          </cell>
          <cell r="J6927">
            <v>3809804.3041216834</v>
          </cell>
          <cell r="K6927">
            <v>2.4380000000000002</v>
          </cell>
          <cell r="L6927">
            <v>148835</v>
          </cell>
          <cell r="M6927">
            <v>13229</v>
          </cell>
          <cell r="N6927">
            <v>683926.05601571908</v>
          </cell>
          <cell r="O6927">
            <v>692380.00232629513</v>
          </cell>
          <cell r="P6927">
            <v>368.79259999999999</v>
          </cell>
        </row>
        <row r="6928">
          <cell r="B6928">
            <v>39705</v>
          </cell>
          <cell r="J6928">
            <v>3809804.3041216834</v>
          </cell>
          <cell r="K6928">
            <v>2.4380000000000002</v>
          </cell>
          <cell r="L6928">
            <v>148835</v>
          </cell>
          <cell r="M6928">
            <v>13229</v>
          </cell>
          <cell r="N6928">
            <v>683926.05601571908</v>
          </cell>
          <cell r="O6928">
            <v>692380.00232629513</v>
          </cell>
          <cell r="P6928">
            <v>368.79259999999999</v>
          </cell>
        </row>
        <row r="6929">
          <cell r="B6929">
            <v>39706</v>
          </cell>
          <cell r="J6929">
            <v>3809804.3041216834</v>
          </cell>
          <cell r="K6929">
            <v>2.4380000000000002</v>
          </cell>
          <cell r="L6929">
            <v>148835</v>
          </cell>
          <cell r="M6929">
            <v>13229</v>
          </cell>
          <cell r="N6929">
            <v>683926.05601571908</v>
          </cell>
          <cell r="O6929">
            <v>692380.00232629513</v>
          </cell>
          <cell r="P6929">
            <v>368.79259999999999</v>
          </cell>
        </row>
        <row r="6930">
          <cell r="B6930">
            <v>39707</v>
          </cell>
          <cell r="J6930">
            <v>3809804.3041216834</v>
          </cell>
          <cell r="K6930">
            <v>2.4380000000000002</v>
          </cell>
          <cell r="L6930">
            <v>148835</v>
          </cell>
          <cell r="M6930">
            <v>13229</v>
          </cell>
          <cell r="N6930">
            <v>683926.05601571908</v>
          </cell>
          <cell r="O6930">
            <v>692380.00232629513</v>
          </cell>
          <cell r="P6930">
            <v>368.79259999999999</v>
          </cell>
        </row>
        <row r="6931">
          <cell r="B6931">
            <v>39708</v>
          </cell>
          <cell r="J6931">
            <v>3809804.3041216834</v>
          </cell>
          <cell r="K6931">
            <v>2.4380000000000002</v>
          </cell>
          <cell r="L6931">
            <v>148835</v>
          </cell>
          <cell r="M6931">
            <v>13229</v>
          </cell>
          <cell r="N6931">
            <v>683926.05601571908</v>
          </cell>
          <cell r="O6931">
            <v>692380.00232629513</v>
          </cell>
          <cell r="P6931">
            <v>368.79259999999999</v>
          </cell>
        </row>
        <row r="6932">
          <cell r="B6932">
            <v>39709</v>
          </cell>
          <cell r="J6932">
            <v>3809804.3041216834</v>
          </cell>
          <cell r="K6932">
            <v>2.4380000000000002</v>
          </cell>
          <cell r="L6932">
            <v>148835</v>
          </cell>
          <cell r="M6932">
            <v>13229</v>
          </cell>
          <cell r="N6932">
            <v>683926.05601571908</v>
          </cell>
          <cell r="O6932">
            <v>692380.00232629513</v>
          </cell>
          <cell r="P6932">
            <v>368.79259999999999</v>
          </cell>
        </row>
        <row r="6933">
          <cell r="B6933">
            <v>39710</v>
          </cell>
          <cell r="J6933">
            <v>3809804.3041216834</v>
          </cell>
          <cell r="K6933">
            <v>2.4380000000000002</v>
          </cell>
          <cell r="L6933">
            <v>148835</v>
          </cell>
          <cell r="M6933">
            <v>13229</v>
          </cell>
          <cell r="N6933">
            <v>683926.05601571908</v>
          </cell>
          <cell r="O6933">
            <v>692380.00232629513</v>
          </cell>
          <cell r="P6933">
            <v>368.79259999999999</v>
          </cell>
        </row>
        <row r="6934">
          <cell r="B6934">
            <v>39711</v>
          </cell>
          <cell r="J6934">
            <v>3809804.3041216834</v>
          </cell>
          <cell r="K6934">
            <v>2.4380000000000002</v>
          </cell>
          <cell r="L6934">
            <v>148835</v>
          </cell>
          <cell r="M6934">
            <v>13229</v>
          </cell>
          <cell r="N6934">
            <v>683926.05601571908</v>
          </cell>
          <cell r="O6934">
            <v>692380.00232629513</v>
          </cell>
          <cell r="P6934">
            <v>368.79259999999999</v>
          </cell>
        </row>
        <row r="6935">
          <cell r="B6935">
            <v>39712</v>
          </cell>
          <cell r="J6935">
            <v>3809804.3041216834</v>
          </cell>
          <cell r="K6935">
            <v>2.4380000000000002</v>
          </cell>
          <cell r="L6935">
            <v>148835</v>
          </cell>
          <cell r="M6935">
            <v>13229</v>
          </cell>
          <cell r="N6935">
            <v>683926.05601571908</v>
          </cell>
          <cell r="O6935">
            <v>692380.00232629513</v>
          </cell>
          <cell r="P6935">
            <v>368.79259999999999</v>
          </cell>
        </row>
        <row r="6936">
          <cell r="B6936">
            <v>39713</v>
          </cell>
          <cell r="J6936">
            <v>3809804.3041216834</v>
          </cell>
          <cell r="K6936">
            <v>2.4380000000000002</v>
          </cell>
          <cell r="L6936">
            <v>148835</v>
          </cell>
          <cell r="M6936">
            <v>13229</v>
          </cell>
          <cell r="N6936">
            <v>683926.05601571908</v>
          </cell>
          <cell r="O6936">
            <v>692380.00232629513</v>
          </cell>
          <cell r="P6936">
            <v>368.79259999999999</v>
          </cell>
        </row>
        <row r="6937">
          <cell r="B6937">
            <v>39714</v>
          </cell>
          <cell r="J6937">
            <v>3809804.3041216834</v>
          </cell>
          <cell r="K6937">
            <v>2.4380000000000002</v>
          </cell>
          <cell r="L6937">
            <v>148835</v>
          </cell>
          <cell r="M6937">
            <v>13229</v>
          </cell>
          <cell r="N6937">
            <v>683926.05601571908</v>
          </cell>
          <cell r="O6937">
            <v>692380.00232629513</v>
          </cell>
          <cell r="P6937">
            <v>368.79259999999999</v>
          </cell>
        </row>
        <row r="6938">
          <cell r="B6938">
            <v>39715</v>
          </cell>
          <cell r="J6938">
            <v>3809804.3041216834</v>
          </cell>
          <cell r="K6938">
            <v>2.4380000000000002</v>
          </cell>
          <cell r="L6938">
            <v>148835</v>
          </cell>
          <cell r="M6938">
            <v>13229</v>
          </cell>
          <cell r="N6938">
            <v>683926.05601571908</v>
          </cell>
          <cell r="O6938">
            <v>692380.00232629513</v>
          </cell>
          <cell r="P6938">
            <v>368.79259999999999</v>
          </cell>
        </row>
        <row r="6939">
          <cell r="B6939">
            <v>39716</v>
          </cell>
          <cell r="J6939">
            <v>3809804.3041216834</v>
          </cell>
          <cell r="K6939">
            <v>2.4380000000000002</v>
          </cell>
          <cell r="L6939">
            <v>148835</v>
          </cell>
          <cell r="M6939">
            <v>13229</v>
          </cell>
          <cell r="N6939">
            <v>683926.05601571908</v>
          </cell>
          <cell r="O6939">
            <v>692380.00232629513</v>
          </cell>
          <cell r="P6939">
            <v>368.79259999999999</v>
          </cell>
        </row>
        <row r="6940">
          <cell r="B6940">
            <v>39717</v>
          </cell>
          <cell r="J6940">
            <v>3809804.3041216834</v>
          </cell>
          <cell r="K6940">
            <v>2.4380000000000002</v>
          </cell>
          <cell r="L6940">
            <v>148835</v>
          </cell>
          <cell r="M6940">
            <v>13229</v>
          </cell>
          <cell r="N6940">
            <v>683926.05601571908</v>
          </cell>
          <cell r="O6940">
            <v>692380.00232629513</v>
          </cell>
          <cell r="P6940">
            <v>368.79259999999999</v>
          </cell>
        </row>
        <row r="6941">
          <cell r="B6941">
            <v>39718</v>
          </cell>
          <cell r="J6941">
            <v>3809804.3041216834</v>
          </cell>
          <cell r="K6941">
            <v>2.4380000000000002</v>
          </cell>
          <cell r="L6941">
            <v>148835</v>
          </cell>
          <cell r="M6941">
            <v>13229</v>
          </cell>
          <cell r="N6941">
            <v>683926.05601571908</v>
          </cell>
          <cell r="O6941">
            <v>692380.00232629513</v>
          </cell>
          <cell r="P6941">
            <v>368.79259999999999</v>
          </cell>
        </row>
        <row r="6942">
          <cell r="B6942">
            <v>39719</v>
          </cell>
          <cell r="J6942">
            <v>3809804.3041216834</v>
          </cell>
          <cell r="K6942">
            <v>2.4380000000000002</v>
          </cell>
          <cell r="L6942">
            <v>148835</v>
          </cell>
          <cell r="M6942">
            <v>13229</v>
          </cell>
          <cell r="N6942">
            <v>683926.05601571908</v>
          </cell>
          <cell r="O6942">
            <v>692380.00232629513</v>
          </cell>
          <cell r="P6942">
            <v>368.79259999999999</v>
          </cell>
        </row>
        <row r="6943">
          <cell r="B6943">
            <v>39720</v>
          </cell>
          <cell r="J6943">
            <v>3809804.3041216834</v>
          </cell>
          <cell r="K6943">
            <v>2.4380000000000002</v>
          </cell>
          <cell r="L6943">
            <v>148835</v>
          </cell>
          <cell r="M6943">
            <v>13229</v>
          </cell>
          <cell r="N6943">
            <v>683926.05601571908</v>
          </cell>
          <cell r="O6943">
            <v>692380.00232629513</v>
          </cell>
          <cell r="P6943">
            <v>368.79259999999999</v>
          </cell>
        </row>
        <row r="6944">
          <cell r="B6944">
            <v>39721</v>
          </cell>
          <cell r="J6944">
            <v>3809804.3041216834</v>
          </cell>
          <cell r="K6944">
            <v>2.4380000000000002</v>
          </cell>
          <cell r="L6944">
            <v>148835</v>
          </cell>
          <cell r="M6944">
            <v>13229</v>
          </cell>
          <cell r="N6944">
            <v>683926.05601571908</v>
          </cell>
          <cell r="O6944">
            <v>692380.00232629513</v>
          </cell>
          <cell r="P6944">
            <v>368.79259999999999</v>
          </cell>
        </row>
        <row r="6945">
          <cell r="B6945">
            <v>39722</v>
          </cell>
          <cell r="J6945">
            <v>3809804.3041216834</v>
          </cell>
          <cell r="K6945">
            <v>2.4380000000000002</v>
          </cell>
          <cell r="L6945">
            <v>148835</v>
          </cell>
          <cell r="M6945">
            <v>13229</v>
          </cell>
          <cell r="N6945">
            <v>683926.05601571908</v>
          </cell>
          <cell r="O6945">
            <v>692380.00232629513</v>
          </cell>
          <cell r="P6945">
            <v>368.79259999999999</v>
          </cell>
        </row>
        <row r="6946">
          <cell r="B6946">
            <v>39723</v>
          </cell>
          <cell r="J6946">
            <v>3809804.3041216834</v>
          </cell>
          <cell r="K6946">
            <v>2.4380000000000002</v>
          </cell>
          <cell r="L6946">
            <v>148835</v>
          </cell>
          <cell r="M6946">
            <v>13229</v>
          </cell>
          <cell r="N6946">
            <v>683926.05601571908</v>
          </cell>
          <cell r="O6946">
            <v>692380.00232629513</v>
          </cell>
          <cell r="P6946">
            <v>368.79259999999999</v>
          </cell>
        </row>
        <row r="6947">
          <cell r="B6947">
            <v>39724</v>
          </cell>
          <cell r="J6947">
            <v>3809804.3041216834</v>
          </cell>
          <cell r="K6947">
            <v>2.4380000000000002</v>
          </cell>
          <cell r="L6947">
            <v>148835</v>
          </cell>
          <cell r="M6947">
            <v>13229</v>
          </cell>
          <cell r="N6947">
            <v>683926.05601571908</v>
          </cell>
          <cell r="O6947">
            <v>692380.00232629513</v>
          </cell>
          <cell r="P6947">
            <v>368.79259999999999</v>
          </cell>
        </row>
        <row r="6948">
          <cell r="B6948">
            <v>39725</v>
          </cell>
          <cell r="J6948">
            <v>3809804.3041216834</v>
          </cell>
          <cell r="K6948">
            <v>2.4380000000000002</v>
          </cell>
          <cell r="L6948">
            <v>148835</v>
          </cell>
          <cell r="M6948">
            <v>13229</v>
          </cell>
          <cell r="N6948">
            <v>683926.05601571908</v>
          </cell>
          <cell r="O6948">
            <v>692380.00232629513</v>
          </cell>
          <cell r="P6948">
            <v>368.79259999999999</v>
          </cell>
        </row>
        <row r="6949">
          <cell r="B6949">
            <v>39726</v>
          </cell>
          <cell r="J6949">
            <v>3809804.3041216834</v>
          </cell>
          <cell r="K6949">
            <v>2.4380000000000002</v>
          </cell>
          <cell r="L6949">
            <v>148835</v>
          </cell>
          <cell r="M6949">
            <v>13229</v>
          </cell>
          <cell r="N6949">
            <v>683926.05601571908</v>
          </cell>
          <cell r="O6949">
            <v>692380.00232629513</v>
          </cell>
          <cell r="P6949">
            <v>368.79259999999999</v>
          </cell>
        </row>
        <row r="6950">
          <cell r="B6950">
            <v>39727</v>
          </cell>
          <cell r="J6950">
            <v>3809804.3041216834</v>
          </cell>
          <cell r="K6950">
            <v>2.4380000000000002</v>
          </cell>
          <cell r="L6950">
            <v>148835</v>
          </cell>
          <cell r="M6950">
            <v>13229</v>
          </cell>
          <cell r="N6950">
            <v>683926.05601571908</v>
          </cell>
          <cell r="O6950">
            <v>692380.00232629513</v>
          </cell>
          <cell r="P6950">
            <v>368.79259999999999</v>
          </cell>
        </row>
        <row r="6951">
          <cell r="B6951">
            <v>39728</v>
          </cell>
          <cell r="J6951">
            <v>3809804.3041216834</v>
          </cell>
          <cell r="K6951">
            <v>2.4380000000000002</v>
          </cell>
          <cell r="L6951">
            <v>148835</v>
          </cell>
          <cell r="M6951">
            <v>13229</v>
          </cell>
          <cell r="N6951">
            <v>683926.05601571908</v>
          </cell>
          <cell r="O6951">
            <v>692380.00232629513</v>
          </cell>
          <cell r="P6951">
            <v>368.79259999999999</v>
          </cell>
        </row>
        <row r="6952">
          <cell r="B6952">
            <v>39729</v>
          </cell>
          <cell r="J6952">
            <v>3809804.3041216834</v>
          </cell>
          <cell r="K6952">
            <v>2.4380000000000002</v>
          </cell>
          <cell r="L6952">
            <v>148835</v>
          </cell>
          <cell r="M6952">
            <v>13229</v>
          </cell>
          <cell r="N6952">
            <v>683926.05601571908</v>
          </cell>
          <cell r="O6952">
            <v>692380.00232629513</v>
          </cell>
          <cell r="P6952">
            <v>368.79259999999999</v>
          </cell>
        </row>
        <row r="6953">
          <cell r="B6953">
            <v>39730</v>
          </cell>
          <cell r="J6953">
            <v>3809804.3041216834</v>
          </cell>
          <cell r="K6953">
            <v>2.4380000000000002</v>
          </cell>
          <cell r="L6953">
            <v>148835</v>
          </cell>
          <cell r="M6953">
            <v>13229</v>
          </cell>
          <cell r="N6953">
            <v>683926.05601571908</v>
          </cell>
          <cell r="O6953">
            <v>692380.00232629513</v>
          </cell>
          <cell r="P6953">
            <v>368.79259999999999</v>
          </cell>
        </row>
        <row r="6954">
          <cell r="B6954">
            <v>39731</v>
          </cell>
          <cell r="J6954">
            <v>3809804.3041216834</v>
          </cell>
          <cell r="K6954">
            <v>2.4380000000000002</v>
          </cell>
          <cell r="L6954">
            <v>148835</v>
          </cell>
          <cell r="M6954">
            <v>13229</v>
          </cell>
          <cell r="N6954">
            <v>683926.05601571908</v>
          </cell>
          <cell r="O6954">
            <v>692380.00232629513</v>
          </cell>
          <cell r="P6954">
            <v>368.79259999999999</v>
          </cell>
        </row>
        <row r="6955">
          <cell r="B6955">
            <v>39732</v>
          </cell>
          <cell r="J6955">
            <v>3809804.3041216834</v>
          </cell>
          <cell r="K6955">
            <v>2.4380000000000002</v>
          </cell>
          <cell r="L6955">
            <v>148835</v>
          </cell>
          <cell r="M6955">
            <v>13229</v>
          </cell>
          <cell r="N6955">
            <v>683926.05601571908</v>
          </cell>
          <cell r="O6955">
            <v>692380.00232629513</v>
          </cell>
          <cell r="P6955">
            <v>368.79259999999999</v>
          </cell>
        </row>
        <row r="6956">
          <cell r="B6956">
            <v>39733</v>
          </cell>
          <cell r="J6956">
            <v>3809804.3041216834</v>
          </cell>
          <cell r="K6956">
            <v>2.4380000000000002</v>
          </cell>
          <cell r="L6956">
            <v>148835</v>
          </cell>
          <cell r="M6956">
            <v>13229</v>
          </cell>
          <cell r="N6956">
            <v>683926.05601571908</v>
          </cell>
          <cell r="O6956">
            <v>692380.00232629513</v>
          </cell>
          <cell r="P6956">
            <v>368.79259999999999</v>
          </cell>
        </row>
        <row r="6957">
          <cell r="B6957">
            <v>39734</v>
          </cell>
          <cell r="J6957">
            <v>3809804.3041216834</v>
          </cell>
          <cell r="K6957">
            <v>2.4380000000000002</v>
          </cell>
          <cell r="L6957">
            <v>148835</v>
          </cell>
          <cell r="M6957">
            <v>13229</v>
          </cell>
          <cell r="N6957">
            <v>683926.05601571908</v>
          </cell>
          <cell r="O6957">
            <v>692380.00232629513</v>
          </cell>
          <cell r="P6957">
            <v>368.79259999999999</v>
          </cell>
        </row>
        <row r="6958">
          <cell r="B6958">
            <v>39735</v>
          </cell>
          <cell r="J6958">
            <v>3809804.3041216834</v>
          </cell>
          <cell r="K6958">
            <v>2.4380000000000002</v>
          </cell>
          <cell r="L6958">
            <v>148835</v>
          </cell>
          <cell r="M6958">
            <v>13229</v>
          </cell>
          <cell r="N6958">
            <v>683926.05601571908</v>
          </cell>
          <cell r="O6958">
            <v>692380.00232629513</v>
          </cell>
          <cell r="P6958">
            <v>368.79259999999999</v>
          </cell>
        </row>
        <row r="6959">
          <cell r="B6959">
            <v>39736</v>
          </cell>
          <cell r="J6959">
            <v>3809804.3041216834</v>
          </cell>
          <cell r="K6959">
            <v>2.4380000000000002</v>
          </cell>
          <cell r="L6959">
            <v>148835</v>
          </cell>
          <cell r="M6959">
            <v>13229</v>
          </cell>
          <cell r="N6959">
            <v>683926.05601571908</v>
          </cell>
          <cell r="O6959">
            <v>692380.00232629513</v>
          </cell>
          <cell r="P6959">
            <v>368.79259999999999</v>
          </cell>
        </row>
        <row r="6960">
          <cell r="B6960">
            <v>39737</v>
          </cell>
          <cell r="J6960">
            <v>3809804.3041216834</v>
          </cell>
          <cell r="K6960">
            <v>2.4380000000000002</v>
          </cell>
          <cell r="L6960">
            <v>148835</v>
          </cell>
          <cell r="M6960">
            <v>13229</v>
          </cell>
          <cell r="N6960">
            <v>683926.05601571908</v>
          </cell>
          <cell r="O6960">
            <v>692380.00232629513</v>
          </cell>
          <cell r="P6960">
            <v>368.79259999999999</v>
          </cell>
        </row>
        <row r="6961">
          <cell r="B6961">
            <v>39738</v>
          </cell>
          <cell r="J6961">
            <v>3809804.3041216834</v>
          </cell>
          <cell r="K6961">
            <v>2.4380000000000002</v>
          </cell>
          <cell r="L6961">
            <v>148835</v>
          </cell>
          <cell r="M6961">
            <v>13229</v>
          </cell>
          <cell r="N6961">
            <v>683926.05601571908</v>
          </cell>
          <cell r="O6961">
            <v>692380.00232629513</v>
          </cell>
          <cell r="P6961">
            <v>368.79259999999999</v>
          </cell>
        </row>
        <row r="6962">
          <cell r="B6962">
            <v>39739</v>
          </cell>
          <cell r="J6962">
            <v>3809804.3041216834</v>
          </cell>
          <cell r="K6962">
            <v>2.4380000000000002</v>
          </cell>
          <cell r="L6962">
            <v>148835</v>
          </cell>
          <cell r="M6962">
            <v>13229</v>
          </cell>
          <cell r="N6962">
            <v>683926.05601571908</v>
          </cell>
          <cell r="O6962">
            <v>692380.00232629513</v>
          </cell>
          <cell r="P6962">
            <v>368.79259999999999</v>
          </cell>
        </row>
        <row r="6963">
          <cell r="B6963">
            <v>39740</v>
          </cell>
          <cell r="J6963">
            <v>3809804.3041216834</v>
          </cell>
          <cell r="K6963">
            <v>2.4380000000000002</v>
          </cell>
          <cell r="L6963">
            <v>148835</v>
          </cell>
          <cell r="M6963">
            <v>13229</v>
          </cell>
          <cell r="N6963">
            <v>683926.05601571908</v>
          </cell>
          <cell r="O6963">
            <v>692380.00232629513</v>
          </cell>
          <cell r="P6963">
            <v>368.79259999999999</v>
          </cell>
        </row>
        <row r="6964">
          <cell r="B6964">
            <v>39741</v>
          </cell>
          <cell r="J6964">
            <v>3809804.3041216834</v>
          </cell>
          <cell r="K6964">
            <v>2.4380000000000002</v>
          </cell>
          <cell r="L6964">
            <v>148835</v>
          </cell>
          <cell r="M6964">
            <v>13229</v>
          </cell>
          <cell r="N6964">
            <v>683926.05601571908</v>
          </cell>
          <cell r="O6964">
            <v>692380.00232629513</v>
          </cell>
          <cell r="P6964">
            <v>368.79259999999999</v>
          </cell>
        </row>
        <row r="6965">
          <cell r="B6965">
            <v>39742</v>
          </cell>
          <cell r="J6965">
            <v>3809804.3041216834</v>
          </cell>
          <cell r="K6965">
            <v>2.4380000000000002</v>
          </cell>
          <cell r="L6965">
            <v>148835</v>
          </cell>
          <cell r="M6965">
            <v>13229</v>
          </cell>
          <cell r="N6965">
            <v>683926.05601571908</v>
          </cell>
          <cell r="O6965">
            <v>692380.00232629513</v>
          </cell>
          <cell r="P6965">
            <v>368.79259999999999</v>
          </cell>
        </row>
        <row r="6966">
          <cell r="B6966">
            <v>39743</v>
          </cell>
          <cell r="J6966">
            <v>3809804.3041216834</v>
          </cell>
          <cell r="K6966">
            <v>2.4380000000000002</v>
          </cell>
          <cell r="L6966">
            <v>148835</v>
          </cell>
          <cell r="M6966">
            <v>13229</v>
          </cell>
          <cell r="N6966">
            <v>683926.05601571908</v>
          </cell>
          <cell r="O6966">
            <v>692380.00232629513</v>
          </cell>
          <cell r="P6966">
            <v>368.79259999999999</v>
          </cell>
        </row>
        <row r="6967">
          <cell r="B6967">
            <v>39744</v>
          </cell>
          <cell r="J6967">
            <v>3809804.3041216834</v>
          </cell>
          <cell r="K6967">
            <v>2.4380000000000002</v>
          </cell>
          <cell r="L6967">
            <v>148835</v>
          </cell>
          <cell r="M6967">
            <v>13229</v>
          </cell>
          <cell r="N6967">
            <v>683926.05601571908</v>
          </cell>
          <cell r="O6967">
            <v>692380.00232629513</v>
          </cell>
          <cell r="P6967">
            <v>368.79259999999999</v>
          </cell>
        </row>
        <row r="6968">
          <cell r="B6968">
            <v>39745</v>
          </cell>
          <cell r="J6968">
            <v>3809804.3041216834</v>
          </cell>
          <cell r="K6968">
            <v>2.4380000000000002</v>
          </cell>
          <cell r="L6968">
            <v>148835</v>
          </cell>
          <cell r="M6968">
            <v>13229</v>
          </cell>
          <cell r="N6968">
            <v>683926.05601571908</v>
          </cell>
          <cell r="O6968">
            <v>692380.00232629513</v>
          </cell>
          <cell r="P6968">
            <v>368.79259999999999</v>
          </cell>
        </row>
        <row r="6969">
          <cell r="B6969">
            <v>39746</v>
          </cell>
          <cell r="J6969">
            <v>3809804.3041216834</v>
          </cell>
          <cell r="K6969">
            <v>2.4380000000000002</v>
          </cell>
          <cell r="L6969">
            <v>148835</v>
          </cell>
          <cell r="M6969">
            <v>13229</v>
          </cell>
          <cell r="N6969">
            <v>683926.05601571908</v>
          </cell>
          <cell r="O6969">
            <v>692380.00232629513</v>
          </cell>
          <cell r="P6969">
            <v>368.79259999999999</v>
          </cell>
        </row>
        <row r="6970">
          <cell r="B6970">
            <v>39747</v>
          </cell>
          <cell r="J6970">
            <v>3809804.3041216834</v>
          </cell>
          <cell r="K6970">
            <v>2.4380000000000002</v>
          </cell>
          <cell r="L6970">
            <v>148835</v>
          </cell>
          <cell r="M6970">
            <v>13229</v>
          </cell>
          <cell r="N6970">
            <v>683926.05601571908</v>
          </cell>
          <cell r="O6970">
            <v>692380.00232629513</v>
          </cell>
          <cell r="P6970">
            <v>368.79259999999999</v>
          </cell>
        </row>
        <row r="6971">
          <cell r="B6971">
            <v>39748</v>
          </cell>
          <cell r="J6971">
            <v>3809804.3041216834</v>
          </cell>
          <cell r="K6971">
            <v>2.4380000000000002</v>
          </cell>
          <cell r="L6971">
            <v>148835</v>
          </cell>
          <cell r="M6971">
            <v>13229</v>
          </cell>
          <cell r="N6971">
            <v>683926.05601571908</v>
          </cell>
          <cell r="O6971">
            <v>692380.00232629513</v>
          </cell>
          <cell r="P6971">
            <v>368.79259999999999</v>
          </cell>
        </row>
        <row r="6972">
          <cell r="B6972">
            <v>39749</v>
          </cell>
          <cell r="J6972">
            <v>3809804.3041216834</v>
          </cell>
          <cell r="K6972">
            <v>2.4380000000000002</v>
          </cell>
          <cell r="L6972">
            <v>148835</v>
          </cell>
          <cell r="M6972">
            <v>13229</v>
          </cell>
          <cell r="N6972">
            <v>683926.05601571908</v>
          </cell>
          <cell r="O6972">
            <v>692380.00232629513</v>
          </cell>
          <cell r="P6972">
            <v>368.79259999999999</v>
          </cell>
        </row>
        <row r="6973">
          <cell r="B6973">
            <v>39750</v>
          </cell>
          <cell r="J6973">
            <v>3809804.3041216834</v>
          </cell>
          <cell r="K6973">
            <v>2.4380000000000002</v>
          </cell>
          <cell r="L6973">
            <v>148835</v>
          </cell>
          <cell r="M6973">
            <v>13229</v>
          </cell>
          <cell r="N6973">
            <v>683926.05601571908</v>
          </cell>
          <cell r="O6973">
            <v>692380.00232629513</v>
          </cell>
          <cell r="P6973">
            <v>368.79259999999999</v>
          </cell>
        </row>
        <row r="6974">
          <cell r="B6974">
            <v>39751</v>
          </cell>
          <cell r="J6974">
            <v>3809804.3041216834</v>
          </cell>
          <cell r="K6974">
            <v>2.4380000000000002</v>
          </cell>
          <cell r="L6974">
            <v>148835</v>
          </cell>
          <cell r="M6974">
            <v>13229</v>
          </cell>
          <cell r="N6974">
            <v>683926.05601571908</v>
          </cell>
          <cell r="O6974">
            <v>692380.00232629513</v>
          </cell>
          <cell r="P6974">
            <v>368.79259999999999</v>
          </cell>
        </row>
        <row r="6975">
          <cell r="B6975">
            <v>39752</v>
          </cell>
          <cell r="J6975">
            <v>3809804.3041216834</v>
          </cell>
          <cell r="K6975">
            <v>2.4380000000000002</v>
          </cell>
          <cell r="L6975">
            <v>148835</v>
          </cell>
          <cell r="M6975">
            <v>13229</v>
          </cell>
          <cell r="N6975">
            <v>683926.05601571908</v>
          </cell>
          <cell r="O6975">
            <v>692380.00232629513</v>
          </cell>
          <cell r="P6975">
            <v>368.79259999999999</v>
          </cell>
        </row>
        <row r="6976">
          <cell r="B6976">
            <v>39753</v>
          </cell>
          <cell r="J6976">
            <v>3809804.3041216834</v>
          </cell>
          <cell r="K6976">
            <v>2.4380000000000002</v>
          </cell>
          <cell r="L6976">
            <v>148835</v>
          </cell>
          <cell r="M6976">
            <v>13229</v>
          </cell>
          <cell r="N6976">
            <v>683926.05601571908</v>
          </cell>
          <cell r="O6976">
            <v>692380.00232629513</v>
          </cell>
          <cell r="P6976">
            <v>368.79259999999999</v>
          </cell>
        </row>
        <row r="6977">
          <cell r="B6977">
            <v>39754</v>
          </cell>
          <cell r="J6977">
            <v>3809804.3041216834</v>
          </cell>
          <cell r="K6977">
            <v>2.4380000000000002</v>
          </cell>
          <cell r="L6977">
            <v>148835</v>
          </cell>
          <cell r="M6977">
            <v>13229</v>
          </cell>
          <cell r="N6977">
            <v>683926.05601571908</v>
          </cell>
          <cell r="O6977">
            <v>692380.00232629513</v>
          </cell>
          <cell r="P6977">
            <v>368.79259999999999</v>
          </cell>
        </row>
        <row r="6978">
          <cell r="B6978">
            <v>39755</v>
          </cell>
          <cell r="J6978">
            <v>3809804.3041216834</v>
          </cell>
          <cell r="K6978">
            <v>2.4380000000000002</v>
          </cell>
          <cell r="L6978">
            <v>148835</v>
          </cell>
          <cell r="M6978">
            <v>13229</v>
          </cell>
          <cell r="N6978">
            <v>683926.05601571908</v>
          </cell>
          <cell r="O6978">
            <v>692380.00232629513</v>
          </cell>
          <cell r="P6978">
            <v>368.79259999999999</v>
          </cell>
        </row>
        <row r="6979">
          <cell r="B6979">
            <v>39756</v>
          </cell>
          <cell r="J6979">
            <v>3809804.3041216834</v>
          </cell>
          <cell r="K6979">
            <v>2.4380000000000002</v>
          </cell>
          <cell r="L6979">
            <v>148835</v>
          </cell>
          <cell r="M6979">
            <v>13229</v>
          </cell>
          <cell r="N6979">
            <v>683926.05601571908</v>
          </cell>
          <cell r="O6979">
            <v>692380.00232629513</v>
          </cell>
          <cell r="P6979">
            <v>368.79259999999999</v>
          </cell>
        </row>
        <row r="6980">
          <cell r="B6980">
            <v>39757</v>
          </cell>
          <cell r="J6980">
            <v>3809804.3041216834</v>
          </cell>
          <cell r="K6980">
            <v>2.4380000000000002</v>
          </cell>
          <cell r="L6980">
            <v>148835</v>
          </cell>
          <cell r="M6980">
            <v>13229</v>
          </cell>
          <cell r="N6980">
            <v>683926.05601571908</v>
          </cell>
          <cell r="O6980">
            <v>692380.00232629513</v>
          </cell>
          <cell r="P6980">
            <v>368.79259999999999</v>
          </cell>
        </row>
        <row r="6981">
          <cell r="B6981">
            <v>39758</v>
          </cell>
          <cell r="J6981">
            <v>3809804.3041216834</v>
          </cell>
          <cell r="K6981">
            <v>2.4380000000000002</v>
          </cell>
          <cell r="L6981">
            <v>148835</v>
          </cell>
          <cell r="M6981">
            <v>13229</v>
          </cell>
          <cell r="N6981">
            <v>683926.05601571908</v>
          </cell>
          <cell r="O6981">
            <v>692380.00232629513</v>
          </cell>
          <cell r="P6981">
            <v>368.79259999999999</v>
          </cell>
        </row>
        <row r="6982">
          <cell r="B6982">
            <v>39759</v>
          </cell>
          <cell r="J6982">
            <v>3809804.3041216834</v>
          </cell>
          <cell r="K6982">
            <v>2.4380000000000002</v>
          </cell>
          <cell r="L6982">
            <v>148835</v>
          </cell>
          <cell r="M6982">
            <v>13229</v>
          </cell>
          <cell r="N6982">
            <v>683926.05601571908</v>
          </cell>
          <cell r="O6982">
            <v>692380.00232629513</v>
          </cell>
          <cell r="P6982">
            <v>368.79259999999999</v>
          </cell>
        </row>
        <row r="6983">
          <cell r="B6983">
            <v>39760</v>
          </cell>
          <cell r="J6983">
            <v>3809804.3041216834</v>
          </cell>
          <cell r="K6983">
            <v>2.4380000000000002</v>
          </cell>
          <cell r="L6983">
            <v>148835</v>
          </cell>
          <cell r="M6983">
            <v>13229</v>
          </cell>
          <cell r="N6983">
            <v>683926.05601571908</v>
          </cell>
          <cell r="O6983">
            <v>692380.00232629513</v>
          </cell>
          <cell r="P6983">
            <v>368.79259999999999</v>
          </cell>
        </row>
        <row r="6984">
          <cell r="B6984">
            <v>39761</v>
          </cell>
          <cell r="J6984">
            <v>3809804.3041216834</v>
          </cell>
          <cell r="K6984">
            <v>2.4380000000000002</v>
          </cell>
          <cell r="L6984">
            <v>148835</v>
          </cell>
          <cell r="M6984">
            <v>13229</v>
          </cell>
          <cell r="N6984">
            <v>683926.05601571908</v>
          </cell>
          <cell r="O6984">
            <v>692380.00232629513</v>
          </cell>
          <cell r="P6984">
            <v>368.79259999999999</v>
          </cell>
        </row>
        <row r="6985">
          <cell r="B6985">
            <v>39762</v>
          </cell>
          <cell r="J6985">
            <v>3809804.3041216834</v>
          </cell>
          <cell r="K6985">
            <v>2.4380000000000002</v>
          </cell>
          <cell r="L6985">
            <v>148835</v>
          </cell>
          <cell r="M6985">
            <v>13229</v>
          </cell>
          <cell r="N6985">
            <v>683926.05601571908</v>
          </cell>
          <cell r="O6985">
            <v>692380.00232629513</v>
          </cell>
          <cell r="P6985">
            <v>368.79259999999999</v>
          </cell>
        </row>
        <row r="6986">
          <cell r="B6986">
            <v>39763</v>
          </cell>
          <cell r="J6986">
            <v>3809804.3041216834</v>
          </cell>
          <cell r="K6986">
            <v>2.4380000000000002</v>
          </cell>
          <cell r="L6986">
            <v>148835</v>
          </cell>
          <cell r="M6986">
            <v>13229</v>
          </cell>
          <cell r="N6986">
            <v>683926.05601571908</v>
          </cell>
          <cell r="O6986">
            <v>692380.00232629513</v>
          </cell>
          <cell r="P6986">
            <v>368.79259999999999</v>
          </cell>
        </row>
        <row r="6987">
          <cell r="B6987">
            <v>39764</v>
          </cell>
          <cell r="J6987">
            <v>3809804.3041216834</v>
          </cell>
          <cell r="K6987">
            <v>2.4380000000000002</v>
          </cell>
          <cell r="L6987">
            <v>148835</v>
          </cell>
          <cell r="M6987">
            <v>13229</v>
          </cell>
          <cell r="N6987">
            <v>683926.05601571908</v>
          </cell>
          <cell r="O6987">
            <v>692380.00232629513</v>
          </cell>
          <cell r="P6987">
            <v>368.79259999999999</v>
          </cell>
        </row>
        <row r="6988">
          <cell r="B6988">
            <v>39765</v>
          </cell>
          <cell r="J6988">
            <v>3809804.3041216834</v>
          </cell>
          <cell r="K6988">
            <v>2.4380000000000002</v>
          </cell>
          <cell r="L6988">
            <v>148835</v>
          </cell>
          <cell r="M6988">
            <v>13229</v>
          </cell>
          <cell r="N6988">
            <v>683926.05601571908</v>
          </cell>
          <cell r="O6988">
            <v>692380.00232629513</v>
          </cell>
          <cell r="P6988">
            <v>368.79259999999999</v>
          </cell>
        </row>
        <row r="6989">
          <cell r="B6989">
            <v>39766</v>
          </cell>
          <cell r="J6989">
            <v>3809804.3041216834</v>
          </cell>
          <cell r="K6989">
            <v>2.4380000000000002</v>
          </cell>
          <cell r="L6989">
            <v>148835</v>
          </cell>
          <cell r="M6989">
            <v>13229</v>
          </cell>
          <cell r="N6989">
            <v>683926.05601571908</v>
          </cell>
          <cell r="O6989">
            <v>692380.00232629513</v>
          </cell>
          <cell r="P6989">
            <v>368.79259999999999</v>
          </cell>
        </row>
        <row r="6990">
          <cell r="B6990">
            <v>39767</v>
          </cell>
          <cell r="J6990">
            <v>3809804.3041216834</v>
          </cell>
          <cell r="K6990">
            <v>2.4380000000000002</v>
          </cell>
          <cell r="L6990">
            <v>148835</v>
          </cell>
          <cell r="M6990">
            <v>13229</v>
          </cell>
          <cell r="N6990">
            <v>683926.05601571908</v>
          </cell>
          <cell r="O6990">
            <v>692380.00232629513</v>
          </cell>
          <cell r="P6990">
            <v>368.79259999999999</v>
          </cell>
        </row>
        <row r="6991">
          <cell r="B6991">
            <v>39768</v>
          </cell>
          <cell r="J6991">
            <v>3809804.3041216834</v>
          </cell>
          <cell r="K6991">
            <v>2.4380000000000002</v>
          </cell>
          <cell r="L6991">
            <v>148835</v>
          </cell>
          <cell r="M6991">
            <v>13229</v>
          </cell>
          <cell r="N6991">
            <v>683926.05601571908</v>
          </cell>
          <cell r="O6991">
            <v>692380.00232629513</v>
          </cell>
          <cell r="P6991">
            <v>368.79259999999999</v>
          </cell>
        </row>
        <row r="6992">
          <cell r="B6992">
            <v>39769</v>
          </cell>
          <cell r="J6992">
            <v>3809804.3041216834</v>
          </cell>
          <cell r="K6992">
            <v>2.4380000000000002</v>
          </cell>
          <cell r="L6992">
            <v>148835</v>
          </cell>
          <cell r="M6992">
            <v>13229</v>
          </cell>
          <cell r="N6992">
            <v>683926.05601571908</v>
          </cell>
          <cell r="O6992">
            <v>692380.00232629513</v>
          </cell>
          <cell r="P6992">
            <v>368.79259999999999</v>
          </cell>
        </row>
        <row r="6993">
          <cell r="B6993">
            <v>39770</v>
          </cell>
          <cell r="J6993">
            <v>3809804.3041216834</v>
          </cell>
          <cell r="K6993">
            <v>2.4380000000000002</v>
          </cell>
          <cell r="L6993">
            <v>148835</v>
          </cell>
          <cell r="M6993">
            <v>13229</v>
          </cell>
          <cell r="N6993">
            <v>683926.05601571908</v>
          </cell>
          <cell r="O6993">
            <v>692380.00232629513</v>
          </cell>
          <cell r="P6993">
            <v>368.79259999999999</v>
          </cell>
        </row>
        <row r="6994">
          <cell r="B6994">
            <v>39771</v>
          </cell>
          <cell r="J6994">
            <v>3809804.3041216834</v>
          </cell>
          <cell r="K6994">
            <v>2.4380000000000002</v>
          </cell>
          <cell r="L6994">
            <v>148835</v>
          </cell>
          <cell r="M6994">
            <v>13229</v>
          </cell>
          <cell r="N6994">
            <v>683926.05601571908</v>
          </cell>
          <cell r="O6994">
            <v>692380.00232629513</v>
          </cell>
          <cell r="P6994">
            <v>368.79259999999999</v>
          </cell>
        </row>
        <row r="6995">
          <cell r="B6995">
            <v>39772</v>
          </cell>
          <cell r="J6995">
            <v>3809804.3041216834</v>
          </cell>
          <cell r="K6995">
            <v>2.4380000000000002</v>
          </cell>
          <cell r="L6995">
            <v>148835</v>
          </cell>
          <cell r="M6995">
            <v>13229</v>
          </cell>
          <cell r="N6995">
            <v>683926.05601571908</v>
          </cell>
          <cell r="O6995">
            <v>692380.00232629513</v>
          </cell>
          <cell r="P6995">
            <v>368.79259999999999</v>
          </cell>
        </row>
        <row r="6996">
          <cell r="B6996">
            <v>39773</v>
          </cell>
          <cell r="J6996">
            <v>3809804.3041216834</v>
          </cell>
          <cell r="K6996">
            <v>2.4380000000000002</v>
          </cell>
          <cell r="L6996">
            <v>148835</v>
          </cell>
          <cell r="M6996">
            <v>13229</v>
          </cell>
          <cell r="N6996">
            <v>683926.05601571908</v>
          </cell>
          <cell r="O6996">
            <v>692380.00232629513</v>
          </cell>
          <cell r="P6996">
            <v>368.79259999999999</v>
          </cell>
        </row>
        <row r="6997">
          <cell r="B6997">
            <v>39774</v>
          </cell>
          <cell r="J6997">
            <v>3809804.3041216834</v>
          </cell>
          <cell r="K6997">
            <v>2.4380000000000002</v>
          </cell>
          <cell r="L6997">
            <v>148835</v>
          </cell>
          <cell r="M6997">
            <v>13229</v>
          </cell>
          <cell r="N6997">
            <v>683926.05601571908</v>
          </cell>
          <cell r="O6997">
            <v>692380.00232629513</v>
          </cell>
          <cell r="P6997">
            <v>368.79259999999999</v>
          </cell>
        </row>
        <row r="6998">
          <cell r="B6998">
            <v>39775</v>
          </cell>
          <cell r="J6998">
            <v>3809804.3041216834</v>
          </cell>
          <cell r="K6998">
            <v>2.4380000000000002</v>
          </cell>
          <cell r="L6998">
            <v>148835</v>
          </cell>
          <cell r="M6998">
            <v>13229</v>
          </cell>
          <cell r="N6998">
            <v>683926.05601571908</v>
          </cell>
          <cell r="O6998">
            <v>692380.00232629513</v>
          </cell>
          <cell r="P6998">
            <v>368.79259999999999</v>
          </cell>
        </row>
        <row r="6999">
          <cell r="B6999">
            <v>39776</v>
          </cell>
          <cell r="J6999">
            <v>3809804.3041216834</v>
          </cell>
          <cell r="K6999">
            <v>2.4380000000000002</v>
          </cell>
          <cell r="L6999">
            <v>148835</v>
          </cell>
          <cell r="M6999">
            <v>13229</v>
          </cell>
          <cell r="N6999">
            <v>683926.05601571908</v>
          </cell>
          <cell r="O6999">
            <v>692380.00232629513</v>
          </cell>
          <cell r="P6999">
            <v>368.79259999999999</v>
          </cell>
        </row>
        <row r="7000">
          <cell r="B7000">
            <v>39777</v>
          </cell>
          <cell r="J7000">
            <v>3809804.3041216834</v>
          </cell>
          <cell r="K7000">
            <v>2.4380000000000002</v>
          </cell>
          <cell r="L7000">
            <v>148835</v>
          </cell>
          <cell r="M7000">
            <v>13229</v>
          </cell>
          <cell r="N7000">
            <v>683926.05601571908</v>
          </cell>
          <cell r="O7000">
            <v>692380.00232629513</v>
          </cell>
          <cell r="P7000">
            <v>368.79259999999999</v>
          </cell>
        </row>
        <row r="7001">
          <cell r="B7001">
            <v>39778</v>
          </cell>
          <cell r="J7001">
            <v>3809804.3041216834</v>
          </cell>
          <cell r="K7001">
            <v>2.4380000000000002</v>
          </cell>
          <cell r="L7001">
            <v>148835</v>
          </cell>
          <cell r="M7001">
            <v>13229</v>
          </cell>
          <cell r="N7001">
            <v>683926.05601571908</v>
          </cell>
          <cell r="O7001">
            <v>692380.00232629513</v>
          </cell>
          <cell r="P7001">
            <v>368.79259999999999</v>
          </cell>
        </row>
        <row r="7002">
          <cell r="B7002">
            <v>39779</v>
          </cell>
          <cell r="J7002">
            <v>3809804.3041216834</v>
          </cell>
          <cell r="K7002">
            <v>2.4380000000000002</v>
          </cell>
          <cell r="L7002">
            <v>148835</v>
          </cell>
          <cell r="M7002">
            <v>13229</v>
          </cell>
          <cell r="N7002">
            <v>683926.05601571908</v>
          </cell>
          <cell r="O7002">
            <v>692380.00232629513</v>
          </cell>
          <cell r="P7002">
            <v>368.79259999999999</v>
          </cell>
        </row>
        <row r="7003">
          <cell r="B7003">
            <v>39780</v>
          </cell>
          <cell r="J7003">
            <v>3809804.3041216834</v>
          </cell>
          <cell r="K7003">
            <v>2.4380000000000002</v>
          </cell>
          <cell r="L7003">
            <v>148835</v>
          </cell>
          <cell r="M7003">
            <v>13229</v>
          </cell>
          <cell r="N7003">
            <v>683926.05601571908</v>
          </cell>
          <cell r="O7003">
            <v>692380.00232629513</v>
          </cell>
          <cell r="P7003">
            <v>368.79259999999999</v>
          </cell>
        </row>
        <row r="7004">
          <cell r="B7004">
            <v>39781</v>
          </cell>
          <cell r="J7004">
            <v>3809804.3041216834</v>
          </cell>
          <cell r="K7004">
            <v>2.4380000000000002</v>
          </cell>
          <cell r="L7004">
            <v>148835</v>
          </cell>
          <cell r="M7004">
            <v>13229</v>
          </cell>
          <cell r="N7004">
            <v>683926.05601571908</v>
          </cell>
          <cell r="O7004">
            <v>692380.00232629513</v>
          </cell>
          <cell r="P7004">
            <v>368.79259999999999</v>
          </cell>
        </row>
        <row r="7005">
          <cell r="B7005">
            <v>39782</v>
          </cell>
          <cell r="J7005">
            <v>3809804.3041216834</v>
          </cell>
          <cell r="K7005">
            <v>2.4380000000000002</v>
          </cell>
          <cell r="L7005">
            <v>148835</v>
          </cell>
          <cell r="M7005">
            <v>13229</v>
          </cell>
          <cell r="N7005">
            <v>683926.05601571908</v>
          </cell>
          <cell r="O7005">
            <v>692380.00232629513</v>
          </cell>
          <cell r="P7005">
            <v>368.79259999999999</v>
          </cell>
        </row>
        <row r="7006">
          <cell r="B7006">
            <v>39783</v>
          </cell>
          <cell r="J7006">
            <v>3809804.3041216834</v>
          </cell>
          <cell r="K7006">
            <v>2.4380000000000002</v>
          </cell>
          <cell r="L7006">
            <v>148835</v>
          </cell>
          <cell r="M7006">
            <v>13229</v>
          </cell>
          <cell r="N7006">
            <v>683926.05601571908</v>
          </cell>
          <cell r="O7006">
            <v>692380.00232629513</v>
          </cell>
          <cell r="P7006">
            <v>368.79259999999999</v>
          </cell>
        </row>
        <row r="7007">
          <cell r="B7007">
            <v>39784</v>
          </cell>
          <cell r="J7007">
            <v>3809804.3041216834</v>
          </cell>
          <cell r="K7007">
            <v>2.4380000000000002</v>
          </cell>
          <cell r="L7007">
            <v>148835</v>
          </cell>
          <cell r="M7007">
            <v>13229</v>
          </cell>
          <cell r="N7007">
            <v>683926.05601571908</v>
          </cell>
          <cell r="O7007">
            <v>692380.00232629513</v>
          </cell>
          <cell r="P7007">
            <v>368.79259999999999</v>
          </cell>
        </row>
        <row r="7008">
          <cell r="B7008">
            <v>39785</v>
          </cell>
          <cell r="J7008">
            <v>3809804.3041216834</v>
          </cell>
          <cell r="K7008">
            <v>2.4380000000000002</v>
          </cell>
          <cell r="L7008">
            <v>148835</v>
          </cell>
          <cell r="M7008">
            <v>13229</v>
          </cell>
          <cell r="N7008">
            <v>683926.05601571908</v>
          </cell>
          <cell r="O7008">
            <v>692380.00232629513</v>
          </cell>
          <cell r="P7008">
            <v>368.79259999999999</v>
          </cell>
        </row>
        <row r="7009">
          <cell r="B7009">
            <v>39786</v>
          </cell>
          <cell r="J7009">
            <v>3809804.3041216834</v>
          </cell>
          <cell r="K7009">
            <v>2.4380000000000002</v>
          </cell>
          <cell r="L7009">
            <v>148835</v>
          </cell>
          <cell r="M7009">
            <v>13229</v>
          </cell>
          <cell r="N7009">
            <v>683926.05601571908</v>
          </cell>
          <cell r="O7009">
            <v>692380.00232629513</v>
          </cell>
          <cell r="P7009">
            <v>368.79259999999999</v>
          </cell>
        </row>
        <row r="7010">
          <cell r="B7010">
            <v>39787</v>
          </cell>
          <cell r="J7010">
            <v>3809804.3041216834</v>
          </cell>
          <cell r="K7010">
            <v>2.4380000000000002</v>
          </cell>
          <cell r="L7010">
            <v>148835</v>
          </cell>
          <cell r="M7010">
            <v>13229</v>
          </cell>
          <cell r="N7010">
            <v>683926.05601571908</v>
          </cell>
          <cell r="O7010">
            <v>692380.00232629513</v>
          </cell>
          <cell r="P7010">
            <v>368.79259999999999</v>
          </cell>
        </row>
        <row r="7011">
          <cell r="B7011">
            <v>39788</v>
          </cell>
          <cell r="J7011">
            <v>3809804.3041216834</v>
          </cell>
          <cell r="K7011">
            <v>2.4380000000000002</v>
          </cell>
          <cell r="L7011">
            <v>148835</v>
          </cell>
          <cell r="M7011">
            <v>13229</v>
          </cell>
          <cell r="N7011">
            <v>683926.05601571908</v>
          </cell>
          <cell r="O7011">
            <v>692380.00232629513</v>
          </cell>
          <cell r="P7011">
            <v>368.79259999999999</v>
          </cell>
        </row>
        <row r="7012">
          <cell r="B7012">
            <v>39789</v>
          </cell>
          <cell r="J7012">
            <v>3809804.3041216834</v>
          </cell>
          <cell r="K7012">
            <v>2.4380000000000002</v>
          </cell>
          <cell r="L7012">
            <v>148835</v>
          </cell>
          <cell r="M7012">
            <v>13229</v>
          </cell>
          <cell r="N7012">
            <v>683926.05601571908</v>
          </cell>
          <cell r="O7012">
            <v>692380.00232629513</v>
          </cell>
          <cell r="P7012">
            <v>368.79259999999999</v>
          </cell>
        </row>
        <row r="7013">
          <cell r="B7013">
            <v>39790</v>
          </cell>
          <cell r="J7013">
            <v>3809804.3041216834</v>
          </cell>
          <cell r="K7013">
            <v>2.4380000000000002</v>
          </cell>
          <cell r="L7013">
            <v>148835</v>
          </cell>
          <cell r="M7013">
            <v>13229</v>
          </cell>
          <cell r="N7013">
            <v>683926.05601571908</v>
          </cell>
          <cell r="O7013">
            <v>692380.00232629513</v>
          </cell>
          <cell r="P7013">
            <v>368.79259999999999</v>
          </cell>
        </row>
        <row r="7014">
          <cell r="B7014">
            <v>39791</v>
          </cell>
          <cell r="J7014">
            <v>3809804.3041216834</v>
          </cell>
          <cell r="K7014">
            <v>2.4380000000000002</v>
          </cell>
          <cell r="L7014">
            <v>148835</v>
          </cell>
          <cell r="M7014">
            <v>13229</v>
          </cell>
          <cell r="N7014">
            <v>683926.05601571908</v>
          </cell>
          <cell r="O7014">
            <v>692380.00232629513</v>
          </cell>
          <cell r="P7014">
            <v>368.79259999999999</v>
          </cell>
        </row>
        <row r="7015">
          <cell r="B7015">
            <v>39792</v>
          </cell>
          <cell r="J7015">
            <v>3809804.3041216834</v>
          </cell>
          <cell r="K7015">
            <v>2.4380000000000002</v>
          </cell>
          <cell r="L7015">
            <v>148835</v>
          </cell>
          <cell r="M7015">
            <v>13229</v>
          </cell>
          <cell r="N7015">
            <v>683926.05601571908</v>
          </cell>
          <cell r="O7015">
            <v>692380.00232629513</v>
          </cell>
          <cell r="P7015">
            <v>368.79259999999999</v>
          </cell>
        </row>
        <row r="7016">
          <cell r="B7016">
            <v>39793</v>
          </cell>
          <cell r="J7016">
            <v>3809804.3041216834</v>
          </cell>
          <cell r="K7016">
            <v>2.4380000000000002</v>
          </cell>
          <cell r="L7016">
            <v>148835</v>
          </cell>
          <cell r="M7016">
            <v>13229</v>
          </cell>
          <cell r="N7016">
            <v>683926.05601571908</v>
          </cell>
          <cell r="O7016">
            <v>692380.00232629513</v>
          </cell>
          <cell r="P7016">
            <v>368.79259999999999</v>
          </cell>
        </row>
        <row r="7017">
          <cell r="B7017">
            <v>39794</v>
          </cell>
          <cell r="J7017">
            <v>3809804.3041216834</v>
          </cell>
          <cell r="K7017">
            <v>2.4380000000000002</v>
          </cell>
          <cell r="L7017">
            <v>148835</v>
          </cell>
          <cell r="M7017">
            <v>13229</v>
          </cell>
          <cell r="N7017">
            <v>683926.05601571908</v>
          </cell>
          <cell r="O7017">
            <v>692380.00232629513</v>
          </cell>
          <cell r="P7017">
            <v>368.79259999999999</v>
          </cell>
        </row>
        <row r="7018">
          <cell r="B7018">
            <v>39795</v>
          </cell>
          <cell r="J7018">
            <v>3809804.3041216834</v>
          </cell>
          <cell r="K7018">
            <v>2.4380000000000002</v>
          </cell>
          <cell r="L7018">
            <v>148835</v>
          </cell>
          <cell r="M7018">
            <v>13229</v>
          </cell>
          <cell r="N7018">
            <v>683926.05601571908</v>
          </cell>
          <cell r="O7018">
            <v>692380.00232629513</v>
          </cell>
          <cell r="P7018">
            <v>368.79259999999999</v>
          </cell>
        </row>
        <row r="7019">
          <cell r="B7019">
            <v>39796</v>
          </cell>
          <cell r="J7019">
            <v>3809804.3041216834</v>
          </cell>
          <cell r="K7019">
            <v>2.4380000000000002</v>
          </cell>
          <cell r="L7019">
            <v>148835</v>
          </cell>
          <cell r="M7019">
            <v>13229</v>
          </cell>
          <cell r="N7019">
            <v>683926.05601571908</v>
          </cell>
          <cell r="O7019">
            <v>692380.00232629513</v>
          </cell>
          <cell r="P7019">
            <v>368.79259999999999</v>
          </cell>
        </row>
        <row r="7020">
          <cell r="B7020">
            <v>39797</v>
          </cell>
          <cell r="J7020">
            <v>3809804.3041216834</v>
          </cell>
          <cell r="K7020">
            <v>2.4380000000000002</v>
          </cell>
          <cell r="L7020">
            <v>148835</v>
          </cell>
          <cell r="M7020">
            <v>13229</v>
          </cell>
          <cell r="N7020">
            <v>683926.05601571908</v>
          </cell>
          <cell r="O7020">
            <v>692380.00232629513</v>
          </cell>
          <cell r="P7020">
            <v>368.79259999999999</v>
          </cell>
        </row>
        <row r="7021">
          <cell r="B7021">
            <v>39798</v>
          </cell>
          <cell r="J7021">
            <v>3809804.3041216834</v>
          </cell>
          <cell r="K7021">
            <v>2.4380000000000002</v>
          </cell>
          <cell r="L7021">
            <v>148835</v>
          </cell>
          <cell r="M7021">
            <v>13229</v>
          </cell>
          <cell r="N7021">
            <v>683926.05601571908</v>
          </cell>
          <cell r="O7021">
            <v>692380.00232629513</v>
          </cell>
          <cell r="P7021">
            <v>368.79259999999999</v>
          </cell>
        </row>
        <row r="7022">
          <cell r="B7022">
            <v>39799</v>
          </cell>
          <cell r="J7022">
            <v>3809804.3041216834</v>
          </cell>
          <cell r="K7022">
            <v>2.4380000000000002</v>
          </cell>
          <cell r="L7022">
            <v>148835</v>
          </cell>
          <cell r="M7022">
            <v>13229</v>
          </cell>
          <cell r="N7022">
            <v>683926.05601571908</v>
          </cell>
          <cell r="O7022">
            <v>692380.00232629513</v>
          </cell>
          <cell r="P7022">
            <v>368.79259999999999</v>
          </cell>
        </row>
        <row r="7023">
          <cell r="B7023">
            <v>39800</v>
          </cell>
          <cell r="J7023">
            <v>3809804.3041216834</v>
          </cell>
          <cell r="K7023">
            <v>2.4380000000000002</v>
          </cell>
          <cell r="L7023">
            <v>148835</v>
          </cell>
          <cell r="M7023">
            <v>13229</v>
          </cell>
          <cell r="N7023">
            <v>683926.05601571908</v>
          </cell>
          <cell r="O7023">
            <v>692380.00232629513</v>
          </cell>
          <cell r="P7023">
            <v>368.79259999999999</v>
          </cell>
        </row>
        <row r="7024">
          <cell r="B7024">
            <v>39801</v>
          </cell>
          <cell r="J7024">
            <v>3809804.3041216834</v>
          </cell>
          <cell r="K7024">
            <v>2.4380000000000002</v>
          </cell>
          <cell r="L7024">
            <v>148835</v>
          </cell>
          <cell r="M7024">
            <v>13229</v>
          </cell>
          <cell r="N7024">
            <v>683926.05601571908</v>
          </cell>
          <cell r="O7024">
            <v>692380.00232629513</v>
          </cell>
          <cell r="P7024">
            <v>368.79259999999999</v>
          </cell>
        </row>
        <row r="7025">
          <cell r="B7025">
            <v>39802</v>
          </cell>
          <cell r="J7025">
            <v>3809804.3041216834</v>
          </cell>
          <cell r="K7025">
            <v>2.4380000000000002</v>
          </cell>
          <cell r="L7025">
            <v>148835</v>
          </cell>
          <cell r="M7025">
            <v>13229</v>
          </cell>
          <cell r="N7025">
            <v>683926.05601571908</v>
          </cell>
          <cell r="O7025">
            <v>692380.00232629513</v>
          </cell>
          <cell r="P7025">
            <v>368.79259999999999</v>
          </cell>
        </row>
        <row r="7026">
          <cell r="B7026">
            <v>39803</v>
          </cell>
          <cell r="J7026">
            <v>3809804.3041216834</v>
          </cell>
          <cell r="K7026">
            <v>2.4380000000000002</v>
          </cell>
          <cell r="L7026">
            <v>148835</v>
          </cell>
          <cell r="M7026">
            <v>13229</v>
          </cell>
          <cell r="N7026">
            <v>683926.05601571908</v>
          </cell>
          <cell r="O7026">
            <v>692380.00232629513</v>
          </cell>
          <cell r="P7026">
            <v>368.79259999999999</v>
          </cell>
        </row>
        <row r="7027">
          <cell r="B7027">
            <v>39804</v>
          </cell>
          <cell r="J7027">
            <v>3809804.3041216834</v>
          </cell>
          <cell r="K7027">
            <v>2.4380000000000002</v>
          </cell>
          <cell r="L7027">
            <v>148835</v>
          </cell>
          <cell r="M7027">
            <v>13229</v>
          </cell>
          <cell r="N7027">
            <v>683926.05601571908</v>
          </cell>
          <cell r="O7027">
            <v>692380.00232629513</v>
          </cell>
          <cell r="P7027">
            <v>368.79259999999999</v>
          </cell>
        </row>
        <row r="7028">
          <cell r="B7028">
            <v>39805</v>
          </cell>
          <cell r="J7028">
            <v>3809804.3041216834</v>
          </cell>
          <cell r="K7028">
            <v>2.4380000000000002</v>
          </cell>
          <cell r="L7028">
            <v>148835</v>
          </cell>
          <cell r="M7028">
            <v>13229</v>
          </cell>
          <cell r="N7028">
            <v>683926.05601571908</v>
          </cell>
          <cell r="O7028">
            <v>692380.00232629513</v>
          </cell>
          <cell r="P7028">
            <v>368.79259999999999</v>
          </cell>
        </row>
        <row r="7029">
          <cell r="B7029">
            <v>39806</v>
          </cell>
          <cell r="J7029">
            <v>3809804.3041216834</v>
          </cell>
          <cell r="K7029">
            <v>2.4380000000000002</v>
          </cell>
          <cell r="L7029">
            <v>148835</v>
          </cell>
          <cell r="M7029">
            <v>13229</v>
          </cell>
          <cell r="N7029">
            <v>683926.05601571908</v>
          </cell>
          <cell r="O7029">
            <v>692380.00232629513</v>
          </cell>
          <cell r="P7029">
            <v>368.79259999999999</v>
          </cell>
        </row>
        <row r="7030">
          <cell r="B7030">
            <v>39807</v>
          </cell>
          <cell r="J7030">
            <v>3809804.3041216834</v>
          </cell>
          <cell r="K7030">
            <v>2.4380000000000002</v>
          </cell>
          <cell r="L7030">
            <v>148835</v>
          </cell>
          <cell r="M7030">
            <v>13229</v>
          </cell>
          <cell r="N7030">
            <v>683926.05601571908</v>
          </cell>
          <cell r="O7030">
            <v>692380.00232629513</v>
          </cell>
          <cell r="P7030">
            <v>368.79259999999999</v>
          </cell>
        </row>
        <row r="7031">
          <cell r="B7031">
            <v>39808</v>
          </cell>
          <cell r="J7031">
            <v>3809804.3041216834</v>
          </cell>
          <cell r="K7031">
            <v>2.4380000000000002</v>
          </cell>
          <cell r="L7031">
            <v>148835</v>
          </cell>
          <cell r="M7031">
            <v>13229</v>
          </cell>
          <cell r="N7031">
            <v>683926.05601571908</v>
          </cell>
          <cell r="O7031">
            <v>692380.00232629513</v>
          </cell>
          <cell r="P7031">
            <v>368.79259999999999</v>
          </cell>
        </row>
        <row r="7032">
          <cell r="B7032">
            <v>39809</v>
          </cell>
          <cell r="J7032">
            <v>3809804.3041216834</v>
          </cell>
          <cell r="K7032">
            <v>2.4380000000000002</v>
          </cell>
          <cell r="L7032">
            <v>148835</v>
          </cell>
          <cell r="M7032">
            <v>13229</v>
          </cell>
          <cell r="N7032">
            <v>683926.05601571908</v>
          </cell>
          <cell r="O7032">
            <v>692380.00232629513</v>
          </cell>
          <cell r="P7032">
            <v>368.79259999999999</v>
          </cell>
        </row>
        <row r="7033">
          <cell r="B7033">
            <v>39810</v>
          </cell>
          <cell r="J7033">
            <v>3809804.3041216834</v>
          </cell>
          <cell r="K7033">
            <v>2.4380000000000002</v>
          </cell>
          <cell r="L7033">
            <v>148835</v>
          </cell>
          <cell r="M7033">
            <v>13229</v>
          </cell>
          <cell r="N7033">
            <v>683926.05601571908</v>
          </cell>
          <cell r="O7033">
            <v>692380.00232629513</v>
          </cell>
          <cell r="P7033">
            <v>368.79259999999999</v>
          </cell>
        </row>
        <row r="7034">
          <cell r="B7034">
            <v>39811</v>
          </cell>
          <cell r="J7034">
            <v>3809804.3041216834</v>
          </cell>
          <cell r="K7034">
            <v>2.4380000000000002</v>
          </cell>
          <cell r="L7034">
            <v>148835</v>
          </cell>
          <cell r="M7034">
            <v>13229</v>
          </cell>
          <cell r="N7034">
            <v>683926.05601571908</v>
          </cell>
          <cell r="O7034">
            <v>692380.00232629513</v>
          </cell>
          <cell r="P7034">
            <v>368.79259999999999</v>
          </cell>
        </row>
        <row r="7035">
          <cell r="B7035">
            <v>39812</v>
          </cell>
          <cell r="J7035">
            <v>3809804.3041216834</v>
          </cell>
          <cell r="K7035">
            <v>2.4380000000000002</v>
          </cell>
          <cell r="L7035">
            <v>148835</v>
          </cell>
          <cell r="M7035">
            <v>13229</v>
          </cell>
          <cell r="N7035">
            <v>683926.05601571908</v>
          </cell>
          <cell r="O7035">
            <v>692380.00232629513</v>
          </cell>
          <cell r="P7035">
            <v>368.79259999999999</v>
          </cell>
        </row>
        <row r="7036">
          <cell r="B7036">
            <v>39813</v>
          </cell>
          <cell r="J7036">
            <v>3809804.3041216834</v>
          </cell>
          <cell r="K7036">
            <v>2.4380000000000002</v>
          </cell>
          <cell r="L7036">
            <v>148835</v>
          </cell>
          <cell r="M7036">
            <v>13229</v>
          </cell>
          <cell r="N7036">
            <v>683926.05601571908</v>
          </cell>
          <cell r="O7036">
            <v>692380.00232629513</v>
          </cell>
          <cell r="P7036">
            <v>368.79259999999999</v>
          </cell>
        </row>
        <row r="7037">
          <cell r="B7037">
            <v>39814</v>
          </cell>
          <cell r="J7037">
            <v>3809804.3041216834</v>
          </cell>
          <cell r="K7037">
            <v>2.4380000000000002</v>
          </cell>
          <cell r="L7037">
            <v>148835</v>
          </cell>
          <cell r="M7037">
            <v>13229</v>
          </cell>
          <cell r="N7037">
            <v>683926.05601571908</v>
          </cell>
          <cell r="O7037">
            <v>692380.00232629513</v>
          </cell>
          <cell r="P7037">
            <v>368.79259999999999</v>
          </cell>
        </row>
        <row r="7038">
          <cell r="B7038">
            <v>39815</v>
          </cell>
          <cell r="J7038">
            <v>3809804.3041216834</v>
          </cell>
          <cell r="K7038">
            <v>2.4380000000000002</v>
          </cell>
          <cell r="L7038">
            <v>148835</v>
          </cell>
          <cell r="M7038">
            <v>13229</v>
          </cell>
          <cell r="N7038">
            <v>683926.05601571908</v>
          </cell>
          <cell r="O7038">
            <v>692380.00232629513</v>
          </cell>
          <cell r="P7038">
            <v>368.79259999999999</v>
          </cell>
        </row>
        <row r="7039">
          <cell r="B7039">
            <v>39816</v>
          </cell>
          <cell r="J7039">
            <v>3809804.3041216834</v>
          </cell>
          <cell r="K7039">
            <v>2.4380000000000002</v>
          </cell>
          <cell r="L7039">
            <v>148835</v>
          </cell>
          <cell r="M7039">
            <v>13229</v>
          </cell>
          <cell r="N7039">
            <v>683926.05601571908</v>
          </cell>
          <cell r="O7039">
            <v>692380.00232629513</v>
          </cell>
          <cell r="P7039">
            <v>368.79259999999999</v>
          </cell>
        </row>
        <row r="7040">
          <cell r="B7040">
            <v>39817</v>
          </cell>
          <cell r="J7040">
            <v>3809804.3041216834</v>
          </cell>
          <cell r="K7040">
            <v>2.4380000000000002</v>
          </cell>
          <cell r="L7040">
            <v>148835</v>
          </cell>
          <cell r="M7040">
            <v>13229</v>
          </cell>
          <cell r="N7040">
            <v>683926.05601571908</v>
          </cell>
          <cell r="O7040">
            <v>692380.00232629513</v>
          </cell>
          <cell r="P7040">
            <v>368.79259999999999</v>
          </cell>
        </row>
        <row r="7041">
          <cell r="B7041">
            <v>39818</v>
          </cell>
          <cell r="J7041">
            <v>3809804.3041216834</v>
          </cell>
          <cell r="K7041">
            <v>2.4380000000000002</v>
          </cell>
          <cell r="L7041">
            <v>148835</v>
          </cell>
          <cell r="M7041">
            <v>13229</v>
          </cell>
          <cell r="N7041">
            <v>683926.05601571908</v>
          </cell>
          <cell r="O7041">
            <v>692380.00232629513</v>
          </cell>
          <cell r="P7041">
            <v>368.79259999999999</v>
          </cell>
        </row>
        <row r="7042">
          <cell r="B7042">
            <v>39819</v>
          </cell>
          <cell r="J7042">
            <v>3809804.3041216834</v>
          </cell>
          <cell r="K7042">
            <v>2.4380000000000002</v>
          </cell>
          <cell r="L7042">
            <v>148835</v>
          </cell>
          <cell r="M7042">
            <v>13229</v>
          </cell>
          <cell r="N7042">
            <v>683926.05601571908</v>
          </cell>
          <cell r="O7042">
            <v>692380.00232629513</v>
          </cell>
          <cell r="P7042">
            <v>368.79259999999999</v>
          </cell>
        </row>
        <row r="7043">
          <cell r="B7043">
            <v>39820</v>
          </cell>
          <cell r="J7043">
            <v>3809804.3041216834</v>
          </cell>
          <cell r="K7043">
            <v>2.4380000000000002</v>
          </cell>
          <cell r="L7043">
            <v>148835</v>
          </cell>
          <cell r="M7043">
            <v>13229</v>
          </cell>
          <cell r="N7043">
            <v>683926.05601571908</v>
          </cell>
          <cell r="O7043">
            <v>692380.00232629513</v>
          </cell>
          <cell r="P7043">
            <v>368.79259999999999</v>
          </cell>
        </row>
        <row r="7044">
          <cell r="B7044">
            <v>39821</v>
          </cell>
          <cell r="J7044">
            <v>3809804.3041216834</v>
          </cell>
          <cell r="K7044">
            <v>2.4380000000000002</v>
          </cell>
          <cell r="L7044">
            <v>148835</v>
          </cell>
          <cell r="M7044">
            <v>13229</v>
          </cell>
          <cell r="N7044">
            <v>683926.05601571908</v>
          </cell>
          <cell r="O7044">
            <v>692380.00232629513</v>
          </cell>
          <cell r="P7044">
            <v>368.79259999999999</v>
          </cell>
        </row>
        <row r="7045">
          <cell r="B7045">
            <v>39822</v>
          </cell>
          <cell r="J7045">
            <v>3809804.3041216834</v>
          </cell>
          <cell r="K7045">
            <v>2.4380000000000002</v>
          </cell>
          <cell r="L7045">
            <v>148835</v>
          </cell>
          <cell r="M7045">
            <v>13229</v>
          </cell>
          <cell r="N7045">
            <v>683926.05601571908</v>
          </cell>
          <cell r="O7045">
            <v>692380.00232629513</v>
          </cell>
          <cell r="P7045">
            <v>368.79259999999999</v>
          </cell>
        </row>
        <row r="7046">
          <cell r="B7046">
            <v>39823</v>
          </cell>
          <cell r="J7046">
            <v>3809804.3041216834</v>
          </cell>
          <cell r="K7046">
            <v>2.4380000000000002</v>
          </cell>
          <cell r="L7046">
            <v>148835</v>
          </cell>
          <cell r="M7046">
            <v>13229</v>
          </cell>
          <cell r="N7046">
            <v>683926.05601571908</v>
          </cell>
          <cell r="O7046">
            <v>692380.00232629513</v>
          </cell>
          <cell r="P7046">
            <v>368.79259999999999</v>
          </cell>
        </row>
        <row r="7047">
          <cell r="B7047">
            <v>39824</v>
          </cell>
          <cell r="J7047">
            <v>3809804.3041216834</v>
          </cell>
          <cell r="K7047">
            <v>2.4380000000000002</v>
          </cell>
          <cell r="L7047">
            <v>148835</v>
          </cell>
          <cell r="M7047">
            <v>13229</v>
          </cell>
          <cell r="N7047">
            <v>683926.05601571908</v>
          </cell>
          <cell r="O7047">
            <v>692380.00232629513</v>
          </cell>
          <cell r="P7047">
            <v>368.79259999999999</v>
          </cell>
        </row>
        <row r="7048">
          <cell r="B7048">
            <v>39825</v>
          </cell>
          <cell r="J7048">
            <v>3809804.3041216834</v>
          </cell>
          <cell r="K7048">
            <v>2.4380000000000002</v>
          </cell>
          <cell r="L7048">
            <v>148835</v>
          </cell>
          <cell r="M7048">
            <v>13229</v>
          </cell>
          <cell r="N7048">
            <v>683926.05601571908</v>
          </cell>
          <cell r="O7048">
            <v>692380.00232629513</v>
          </cell>
          <cell r="P7048">
            <v>368.79259999999999</v>
          </cell>
        </row>
        <row r="7049">
          <cell r="B7049">
            <v>39826</v>
          </cell>
          <cell r="J7049">
            <v>3809804.3041216834</v>
          </cell>
          <cell r="K7049">
            <v>2.4380000000000002</v>
          </cell>
          <cell r="L7049">
            <v>148835</v>
          </cell>
          <cell r="M7049">
            <v>13229</v>
          </cell>
          <cell r="N7049">
            <v>683926.05601571908</v>
          </cell>
          <cell r="O7049">
            <v>692380.00232629513</v>
          </cell>
          <cell r="P7049">
            <v>368.79259999999999</v>
          </cell>
        </row>
        <row r="7050">
          <cell r="B7050">
            <v>39827</v>
          </cell>
          <cell r="J7050">
            <v>3809804.3041216834</v>
          </cell>
          <cell r="K7050">
            <v>2.4380000000000002</v>
          </cell>
          <cell r="L7050">
            <v>148835</v>
          </cell>
          <cell r="M7050">
            <v>13229</v>
          </cell>
          <cell r="N7050">
            <v>683926.05601571908</v>
          </cell>
          <cell r="O7050">
            <v>692380.00232629513</v>
          </cell>
          <cell r="P7050">
            <v>368.79259999999999</v>
          </cell>
        </row>
        <row r="7051">
          <cell r="B7051">
            <v>39828</v>
          </cell>
          <cell r="J7051">
            <v>3809804.3041216834</v>
          </cell>
          <cell r="K7051">
            <v>2.4380000000000002</v>
          </cell>
          <cell r="L7051">
            <v>148835</v>
          </cell>
          <cell r="M7051">
            <v>13229</v>
          </cell>
          <cell r="N7051">
            <v>683926.05601571908</v>
          </cell>
          <cell r="O7051">
            <v>692380.00232629513</v>
          </cell>
          <cell r="P7051">
            <v>368.79259999999999</v>
          </cell>
        </row>
        <row r="7052">
          <cell r="B7052">
            <v>39829</v>
          </cell>
          <cell r="J7052">
            <v>3809804.3041216834</v>
          </cell>
          <cell r="K7052">
            <v>2.4380000000000002</v>
          </cell>
          <cell r="L7052">
            <v>148835</v>
          </cell>
          <cell r="M7052">
            <v>13229</v>
          </cell>
          <cell r="N7052">
            <v>683926.05601571908</v>
          </cell>
          <cell r="O7052">
            <v>692380.00232629513</v>
          </cell>
          <cell r="P7052">
            <v>368.79259999999999</v>
          </cell>
        </row>
        <row r="7053">
          <cell r="B7053">
            <v>39830</v>
          </cell>
          <cell r="J7053">
            <v>3809804.3041216834</v>
          </cell>
          <cell r="K7053">
            <v>2.4380000000000002</v>
          </cell>
          <cell r="L7053">
            <v>148835</v>
          </cell>
          <cell r="M7053">
            <v>13229</v>
          </cell>
          <cell r="N7053">
            <v>683926.05601571908</v>
          </cell>
          <cell r="O7053">
            <v>692380.00232629513</v>
          </cell>
          <cell r="P7053">
            <v>368.79259999999999</v>
          </cell>
        </row>
        <row r="7054">
          <cell r="B7054">
            <v>39831</v>
          </cell>
          <cell r="J7054">
            <v>3809804.3041216834</v>
          </cell>
          <cell r="K7054">
            <v>2.4380000000000002</v>
          </cell>
          <cell r="L7054">
            <v>148835</v>
          </cell>
          <cell r="M7054">
            <v>13229</v>
          </cell>
          <cell r="N7054">
            <v>683926.05601571908</v>
          </cell>
          <cell r="O7054">
            <v>692380.00232629513</v>
          </cell>
          <cell r="P7054">
            <v>368.79259999999999</v>
          </cell>
        </row>
        <row r="7055">
          <cell r="B7055">
            <v>39832</v>
          </cell>
          <cell r="J7055">
            <v>3809804.3041216834</v>
          </cell>
          <cell r="K7055">
            <v>2.4380000000000002</v>
          </cell>
          <cell r="L7055">
            <v>148835</v>
          </cell>
          <cell r="M7055">
            <v>13229</v>
          </cell>
          <cell r="N7055">
            <v>683926.05601571908</v>
          </cell>
          <cell r="O7055">
            <v>692380.00232629513</v>
          </cell>
          <cell r="P7055">
            <v>368.79259999999999</v>
          </cell>
        </row>
        <row r="7056">
          <cell r="B7056">
            <v>39833</v>
          </cell>
          <cell r="J7056">
            <v>3809804.3041216834</v>
          </cell>
          <cell r="K7056">
            <v>2.4380000000000002</v>
          </cell>
          <cell r="L7056">
            <v>148835</v>
          </cell>
          <cell r="M7056">
            <v>13229</v>
          </cell>
          <cell r="N7056">
            <v>683926.05601571908</v>
          </cell>
          <cell r="O7056">
            <v>692380.00232629513</v>
          </cell>
          <cell r="P7056">
            <v>368.79259999999999</v>
          </cell>
        </row>
        <row r="7057">
          <cell r="B7057">
            <v>39834</v>
          </cell>
          <cell r="J7057">
            <v>3809804.3041216834</v>
          </cell>
          <cell r="K7057">
            <v>2.4380000000000002</v>
          </cell>
          <cell r="L7057">
            <v>148835</v>
          </cell>
          <cell r="M7057">
            <v>13229</v>
          </cell>
          <cell r="N7057">
            <v>683926.05601571908</v>
          </cell>
          <cell r="O7057">
            <v>692380.00232629513</v>
          </cell>
          <cell r="P7057">
            <v>368.79259999999999</v>
          </cell>
        </row>
        <row r="7058">
          <cell r="B7058">
            <v>39835</v>
          </cell>
          <cell r="J7058">
            <v>3809804.3041216834</v>
          </cell>
          <cell r="K7058">
            <v>2.4380000000000002</v>
          </cell>
          <cell r="L7058">
            <v>148835</v>
          </cell>
          <cell r="M7058">
            <v>13229</v>
          </cell>
          <cell r="N7058">
            <v>683926.05601571908</v>
          </cell>
          <cell r="O7058">
            <v>692380.00232629513</v>
          </cell>
          <cell r="P7058">
            <v>368.79259999999999</v>
          </cell>
        </row>
        <row r="7059">
          <cell r="B7059">
            <v>39836</v>
          </cell>
          <cell r="J7059">
            <v>3809804.3041216834</v>
          </cell>
          <cell r="K7059">
            <v>2.4380000000000002</v>
          </cell>
          <cell r="L7059">
            <v>148835</v>
          </cell>
          <cell r="M7059">
            <v>13229</v>
          </cell>
          <cell r="N7059">
            <v>683926.05601571908</v>
          </cell>
          <cell r="O7059">
            <v>692380.00232629513</v>
          </cell>
          <cell r="P7059">
            <v>368.79259999999999</v>
          </cell>
        </row>
        <row r="7060">
          <cell r="B7060">
            <v>39837</v>
          </cell>
          <cell r="J7060">
            <v>3809804.3041216834</v>
          </cell>
          <cell r="K7060">
            <v>2.4380000000000002</v>
          </cell>
          <cell r="L7060">
            <v>148835</v>
          </cell>
          <cell r="M7060">
            <v>13229</v>
          </cell>
          <cell r="N7060">
            <v>683926.05601571908</v>
          </cell>
          <cell r="O7060">
            <v>692380.00232629513</v>
          </cell>
          <cell r="P7060">
            <v>368.79259999999999</v>
          </cell>
        </row>
        <row r="7061">
          <cell r="B7061">
            <v>39838</v>
          </cell>
          <cell r="J7061">
            <v>3809804.3041216834</v>
          </cell>
          <cell r="K7061">
            <v>2.4380000000000002</v>
          </cell>
          <cell r="L7061">
            <v>148835</v>
          </cell>
          <cell r="M7061">
            <v>13229</v>
          </cell>
          <cell r="N7061">
            <v>683926.05601571908</v>
          </cell>
          <cell r="O7061">
            <v>692380.00232629513</v>
          </cell>
          <cell r="P7061">
            <v>368.79259999999999</v>
          </cell>
        </row>
        <row r="7062">
          <cell r="B7062">
            <v>39839</v>
          </cell>
          <cell r="J7062">
            <v>3809804.3041216834</v>
          </cell>
          <cell r="K7062">
            <v>2.4380000000000002</v>
          </cell>
          <cell r="L7062">
            <v>148835</v>
          </cell>
          <cell r="M7062">
            <v>13229</v>
          </cell>
          <cell r="N7062">
            <v>683926.05601571908</v>
          </cell>
          <cell r="O7062">
            <v>692380.00232629513</v>
          </cell>
          <cell r="P7062">
            <v>368.79259999999999</v>
          </cell>
        </row>
        <row r="7063">
          <cell r="B7063">
            <v>39840</v>
          </cell>
          <cell r="J7063">
            <v>3809804.3041216834</v>
          </cell>
          <cell r="K7063">
            <v>2.4380000000000002</v>
          </cell>
          <cell r="L7063">
            <v>148835</v>
          </cell>
          <cell r="M7063">
            <v>13229</v>
          </cell>
          <cell r="N7063">
            <v>683926.05601571908</v>
          </cell>
          <cell r="O7063">
            <v>692380.00232629513</v>
          </cell>
          <cell r="P7063">
            <v>368.79259999999999</v>
          </cell>
        </row>
        <row r="7064">
          <cell r="B7064">
            <v>39841</v>
          </cell>
          <cell r="J7064">
            <v>3809804.3041216834</v>
          </cell>
          <cell r="K7064">
            <v>2.4380000000000002</v>
          </cell>
          <cell r="L7064">
            <v>148835</v>
          </cell>
          <cell r="M7064">
            <v>13229</v>
          </cell>
          <cell r="N7064">
            <v>683926.05601571908</v>
          </cell>
          <cell r="O7064">
            <v>692380.00232629513</v>
          </cell>
          <cell r="P7064">
            <v>368.79259999999999</v>
          </cell>
        </row>
        <row r="7065">
          <cell r="B7065">
            <v>39842</v>
          </cell>
          <cell r="J7065">
            <v>3809804.3041216834</v>
          </cell>
          <cell r="K7065">
            <v>2.4380000000000002</v>
          </cell>
          <cell r="L7065">
            <v>148835</v>
          </cell>
          <cell r="M7065">
            <v>13229</v>
          </cell>
          <cell r="N7065">
            <v>683926.05601571908</v>
          </cell>
          <cell r="O7065">
            <v>692380.00232629513</v>
          </cell>
          <cell r="P7065">
            <v>368.79259999999999</v>
          </cell>
        </row>
        <row r="7066">
          <cell r="B7066">
            <v>39843</v>
          </cell>
          <cell r="J7066">
            <v>3809804.3041216834</v>
          </cell>
          <cell r="K7066">
            <v>2.4380000000000002</v>
          </cell>
          <cell r="L7066">
            <v>148835</v>
          </cell>
          <cell r="M7066">
            <v>13229</v>
          </cell>
          <cell r="N7066">
            <v>683926.05601571908</v>
          </cell>
          <cell r="O7066">
            <v>692380.00232629513</v>
          </cell>
          <cell r="P7066">
            <v>368.79259999999999</v>
          </cell>
        </row>
        <row r="7067">
          <cell r="B7067">
            <v>39844</v>
          </cell>
          <cell r="J7067">
            <v>3809804.3041216834</v>
          </cell>
          <cell r="K7067">
            <v>2.4380000000000002</v>
          </cell>
          <cell r="L7067">
            <v>148835</v>
          </cell>
          <cell r="M7067">
            <v>13229</v>
          </cell>
          <cell r="N7067">
            <v>683926.05601571908</v>
          </cell>
          <cell r="O7067">
            <v>692380.00232629513</v>
          </cell>
          <cell r="P7067">
            <v>368.79259999999999</v>
          </cell>
        </row>
        <row r="7068">
          <cell r="B7068">
            <v>39845</v>
          </cell>
          <cell r="J7068">
            <v>3809804.3041216834</v>
          </cell>
          <cell r="K7068">
            <v>2.4380000000000002</v>
          </cell>
          <cell r="L7068">
            <v>148835</v>
          </cell>
          <cell r="M7068">
            <v>13229</v>
          </cell>
          <cell r="N7068">
            <v>683926.05601571908</v>
          </cell>
          <cell r="O7068">
            <v>692380.00232629513</v>
          </cell>
          <cell r="P7068">
            <v>368.79259999999999</v>
          </cell>
        </row>
        <row r="7069">
          <cell r="B7069">
            <v>39846</v>
          </cell>
          <cell r="J7069">
            <v>3809804.3041216834</v>
          </cell>
          <cell r="K7069">
            <v>2.4380000000000002</v>
          </cell>
          <cell r="L7069">
            <v>148835</v>
          </cell>
          <cell r="M7069">
            <v>13229</v>
          </cell>
          <cell r="N7069">
            <v>683926.05601571908</v>
          </cell>
          <cell r="O7069">
            <v>692380.00232629513</v>
          </cell>
          <cell r="P7069">
            <v>368.79259999999999</v>
          </cell>
        </row>
        <row r="7070">
          <cell r="B7070">
            <v>39847</v>
          </cell>
          <cell r="J7070">
            <v>3809804.3041216834</v>
          </cell>
          <cell r="K7070">
            <v>2.4380000000000002</v>
          </cell>
          <cell r="L7070">
            <v>148835</v>
          </cell>
          <cell r="M7070">
            <v>13229</v>
          </cell>
          <cell r="N7070">
            <v>683926.05601571908</v>
          </cell>
          <cell r="O7070">
            <v>692380.00232629513</v>
          </cell>
          <cell r="P7070">
            <v>368.79259999999999</v>
          </cell>
        </row>
        <row r="7071">
          <cell r="B7071">
            <v>39848</v>
          </cell>
          <cell r="J7071">
            <v>3809804.3041216834</v>
          </cell>
          <cell r="K7071">
            <v>2.4380000000000002</v>
          </cell>
          <cell r="L7071">
            <v>148835</v>
          </cell>
          <cell r="M7071">
            <v>13229</v>
          </cell>
          <cell r="N7071">
            <v>683926.05601571908</v>
          </cell>
          <cell r="O7071">
            <v>692380.00232629513</v>
          </cell>
          <cell r="P7071">
            <v>368.79259999999999</v>
          </cell>
        </row>
        <row r="7072">
          <cell r="B7072">
            <v>39849</v>
          </cell>
          <cell r="J7072">
            <v>3809804.3041216834</v>
          </cell>
          <cell r="K7072">
            <v>2.4380000000000002</v>
          </cell>
          <cell r="L7072">
            <v>148835</v>
          </cell>
          <cell r="M7072">
            <v>13229</v>
          </cell>
          <cell r="N7072">
            <v>683926.05601571908</v>
          </cell>
          <cell r="O7072">
            <v>692380.00232629513</v>
          </cell>
          <cell r="P7072">
            <v>368.79259999999999</v>
          </cell>
        </row>
        <row r="7073">
          <cell r="B7073">
            <v>39850</v>
          </cell>
          <cell r="J7073">
            <v>3809804.3041216834</v>
          </cell>
          <cell r="K7073">
            <v>2.4380000000000002</v>
          </cell>
          <cell r="L7073">
            <v>148835</v>
          </cell>
          <cell r="M7073">
            <v>13229</v>
          </cell>
          <cell r="N7073">
            <v>683926.05601571908</v>
          </cell>
          <cell r="O7073">
            <v>692380.00232629513</v>
          </cell>
          <cell r="P7073">
            <v>368.79259999999999</v>
          </cell>
        </row>
        <row r="7074">
          <cell r="B7074">
            <v>39851</v>
          </cell>
          <cell r="J7074">
            <v>3809804.3041216834</v>
          </cell>
          <cell r="K7074">
            <v>2.4380000000000002</v>
          </cell>
          <cell r="L7074">
            <v>148835</v>
          </cell>
          <cell r="M7074">
            <v>13229</v>
          </cell>
          <cell r="N7074">
            <v>683926.05601571908</v>
          </cell>
          <cell r="O7074">
            <v>692380.00232629513</v>
          </cell>
          <cell r="P7074">
            <v>368.79259999999999</v>
          </cell>
        </row>
        <row r="7075">
          <cell r="B7075">
            <v>39852</v>
          </cell>
          <cell r="J7075">
            <v>3809804.3041216834</v>
          </cell>
          <cell r="K7075">
            <v>2.4380000000000002</v>
          </cell>
          <cell r="L7075">
            <v>148835</v>
          </cell>
          <cell r="M7075">
            <v>13229</v>
          </cell>
          <cell r="N7075">
            <v>683926.05601571908</v>
          </cell>
          <cell r="O7075">
            <v>692380.00232629513</v>
          </cell>
          <cell r="P7075">
            <v>368.79259999999999</v>
          </cell>
        </row>
        <row r="7076">
          <cell r="B7076">
            <v>39853</v>
          </cell>
          <cell r="J7076">
            <v>3809804.3041216834</v>
          </cell>
          <cell r="K7076">
            <v>2.4380000000000002</v>
          </cell>
          <cell r="L7076">
            <v>148835</v>
          </cell>
          <cell r="M7076">
            <v>13229</v>
          </cell>
          <cell r="N7076">
            <v>683926.05601571908</v>
          </cell>
          <cell r="O7076">
            <v>692380.00232629513</v>
          </cell>
          <cell r="P7076">
            <v>368.79259999999999</v>
          </cell>
        </row>
        <row r="7077">
          <cell r="B7077">
            <v>39854</v>
          </cell>
          <cell r="J7077">
            <v>3809804.3041216834</v>
          </cell>
          <cell r="K7077">
            <v>2.4380000000000002</v>
          </cell>
          <cell r="L7077">
            <v>148835</v>
          </cell>
          <cell r="M7077">
            <v>13229</v>
          </cell>
          <cell r="N7077">
            <v>683926.05601571908</v>
          </cell>
          <cell r="O7077">
            <v>692380.00232629513</v>
          </cell>
          <cell r="P7077">
            <v>368.79259999999999</v>
          </cell>
        </row>
        <row r="7078">
          <cell r="B7078">
            <v>39855</v>
          </cell>
          <cell r="J7078">
            <v>3809804.3041216834</v>
          </cell>
          <cell r="K7078">
            <v>2.4380000000000002</v>
          </cell>
          <cell r="L7078">
            <v>148835</v>
          </cell>
          <cell r="M7078">
            <v>13229</v>
          </cell>
          <cell r="N7078">
            <v>683926.05601571908</v>
          </cell>
          <cell r="O7078">
            <v>692380.00232629513</v>
          </cell>
          <cell r="P7078">
            <v>368.79259999999999</v>
          </cell>
        </row>
        <row r="7079">
          <cell r="B7079">
            <v>39856</v>
          </cell>
          <cell r="J7079">
            <v>3809804.3041216834</v>
          </cell>
          <cell r="K7079">
            <v>2.4380000000000002</v>
          </cell>
          <cell r="L7079">
            <v>148835</v>
          </cell>
          <cell r="M7079">
            <v>13229</v>
          </cell>
          <cell r="N7079">
            <v>683926.05601571908</v>
          </cell>
          <cell r="O7079">
            <v>692380.00232629513</v>
          </cell>
          <cell r="P7079">
            <v>368.79259999999999</v>
          </cell>
        </row>
        <row r="7080">
          <cell r="B7080">
            <v>39857</v>
          </cell>
          <cell r="J7080">
            <v>3809804.3041216834</v>
          </cell>
          <cell r="K7080">
            <v>2.4380000000000002</v>
          </cell>
          <cell r="L7080">
            <v>148835</v>
          </cell>
          <cell r="M7080">
            <v>13229</v>
          </cell>
          <cell r="N7080">
            <v>683926.05601571908</v>
          </cell>
          <cell r="O7080">
            <v>692380.00232629513</v>
          </cell>
          <cell r="P7080">
            <v>368.79259999999999</v>
          </cell>
        </row>
        <row r="7081">
          <cell r="B7081">
            <v>39858</v>
          </cell>
          <cell r="J7081">
            <v>3809804.3041216834</v>
          </cell>
          <cell r="K7081">
            <v>2.4380000000000002</v>
          </cell>
          <cell r="L7081">
            <v>148835</v>
          </cell>
          <cell r="M7081">
            <v>13229</v>
          </cell>
          <cell r="N7081">
            <v>683926.05601571908</v>
          </cell>
          <cell r="O7081">
            <v>692380.00232629513</v>
          </cell>
          <cell r="P7081">
            <v>368.79259999999999</v>
          </cell>
        </row>
        <row r="7082">
          <cell r="B7082">
            <v>39859</v>
          </cell>
          <cell r="J7082">
            <v>3809804.3041216834</v>
          </cell>
          <cell r="K7082">
            <v>2.4380000000000002</v>
          </cell>
          <cell r="L7082">
            <v>148835</v>
          </cell>
          <cell r="M7082">
            <v>13229</v>
          </cell>
          <cell r="N7082">
            <v>683926.05601571908</v>
          </cell>
          <cell r="O7082">
            <v>692380.00232629513</v>
          </cell>
          <cell r="P7082">
            <v>368.79259999999999</v>
          </cell>
        </row>
        <row r="7083">
          <cell r="B7083">
            <v>39860</v>
          </cell>
          <cell r="J7083">
            <v>3809804.3041216834</v>
          </cell>
          <cell r="K7083">
            <v>2.4380000000000002</v>
          </cell>
          <cell r="L7083">
            <v>148835</v>
          </cell>
          <cell r="M7083">
            <v>13229</v>
          </cell>
          <cell r="N7083">
            <v>683926.05601571908</v>
          </cell>
          <cell r="O7083">
            <v>692380.00232629513</v>
          </cell>
          <cell r="P7083">
            <v>368.79259999999999</v>
          </cell>
        </row>
        <row r="7084">
          <cell r="B7084">
            <v>39861</v>
          </cell>
          <cell r="J7084">
            <v>3809804.3041216834</v>
          </cell>
          <cell r="K7084">
            <v>2.4380000000000002</v>
          </cell>
          <cell r="L7084">
            <v>148835</v>
          </cell>
          <cell r="M7084">
            <v>13229</v>
          </cell>
          <cell r="N7084">
            <v>683926.05601571908</v>
          </cell>
          <cell r="O7084">
            <v>692380.00232629513</v>
          </cell>
          <cell r="P7084">
            <v>368.79259999999999</v>
          </cell>
        </row>
        <row r="7085">
          <cell r="B7085">
            <v>39862</v>
          </cell>
          <cell r="J7085">
            <v>3809804.3041216834</v>
          </cell>
          <cell r="K7085">
            <v>2.4380000000000002</v>
          </cell>
          <cell r="L7085">
            <v>148835</v>
          </cell>
          <cell r="M7085">
            <v>13229</v>
          </cell>
          <cell r="N7085">
            <v>683926.05601571908</v>
          </cell>
          <cell r="O7085">
            <v>692380.00232629513</v>
          </cell>
          <cell r="P7085">
            <v>368.79259999999999</v>
          </cell>
        </row>
        <row r="7086">
          <cell r="B7086">
            <v>39863</v>
          </cell>
          <cell r="J7086">
            <v>3809804.3041216834</v>
          </cell>
          <cell r="K7086">
            <v>2.4380000000000002</v>
          </cell>
          <cell r="L7086">
            <v>148835</v>
          </cell>
          <cell r="M7086">
            <v>13229</v>
          </cell>
          <cell r="N7086">
            <v>683926.05601571908</v>
          </cell>
          <cell r="O7086">
            <v>692380.00232629513</v>
          </cell>
          <cell r="P7086">
            <v>368.79259999999999</v>
          </cell>
        </row>
        <row r="7087">
          <cell r="B7087">
            <v>39864</v>
          </cell>
          <cell r="J7087">
            <v>3809804.3041216834</v>
          </cell>
          <cell r="K7087">
            <v>2.4380000000000002</v>
          </cell>
          <cell r="L7087">
            <v>148835</v>
          </cell>
          <cell r="M7087">
            <v>13229</v>
          </cell>
          <cell r="N7087">
            <v>683926.05601571908</v>
          </cell>
          <cell r="O7087">
            <v>692380.00232629513</v>
          </cell>
          <cell r="P7087">
            <v>368.79259999999999</v>
          </cell>
        </row>
        <row r="7088">
          <cell r="B7088">
            <v>39865</v>
          </cell>
          <cell r="J7088">
            <v>3809804.3041216834</v>
          </cell>
          <cell r="K7088">
            <v>2.4380000000000002</v>
          </cell>
          <cell r="L7088">
            <v>148835</v>
          </cell>
          <cell r="M7088">
            <v>13229</v>
          </cell>
          <cell r="N7088">
            <v>683926.05601571908</v>
          </cell>
          <cell r="O7088">
            <v>692380.00232629513</v>
          </cell>
          <cell r="P7088">
            <v>368.79259999999999</v>
          </cell>
        </row>
        <row r="7089">
          <cell r="B7089">
            <v>39866</v>
          </cell>
          <cell r="J7089">
            <v>3809804.3041216834</v>
          </cell>
          <cell r="K7089">
            <v>2.4380000000000002</v>
          </cell>
          <cell r="L7089">
            <v>148835</v>
          </cell>
          <cell r="M7089">
            <v>13229</v>
          </cell>
          <cell r="N7089">
            <v>683926.05601571908</v>
          </cell>
          <cell r="O7089">
            <v>692380.00232629513</v>
          </cell>
          <cell r="P7089">
            <v>368.79259999999999</v>
          </cell>
        </row>
        <row r="7090">
          <cell r="B7090">
            <v>39867</v>
          </cell>
          <cell r="J7090">
            <v>3809804.3041216834</v>
          </cell>
          <cell r="K7090">
            <v>2.4380000000000002</v>
          </cell>
          <cell r="L7090">
            <v>148835</v>
          </cell>
          <cell r="M7090">
            <v>13229</v>
          </cell>
          <cell r="N7090">
            <v>683926.05601571908</v>
          </cell>
          <cell r="O7090">
            <v>692380.00232629513</v>
          </cell>
          <cell r="P7090">
            <v>368.79259999999999</v>
          </cell>
        </row>
        <row r="7091">
          <cell r="B7091">
            <v>39868</v>
          </cell>
          <cell r="J7091">
            <v>3809804.3041216834</v>
          </cell>
          <cell r="K7091">
            <v>2.4380000000000002</v>
          </cell>
          <cell r="L7091">
            <v>148835</v>
          </cell>
          <cell r="M7091">
            <v>13229</v>
          </cell>
          <cell r="N7091">
            <v>683926.05601571908</v>
          </cell>
          <cell r="O7091">
            <v>692380.00232629513</v>
          </cell>
          <cell r="P7091">
            <v>368.79259999999999</v>
          </cell>
        </row>
        <row r="7092">
          <cell r="B7092">
            <v>39869</v>
          </cell>
          <cell r="J7092">
            <v>3809804.3041216834</v>
          </cell>
          <cell r="K7092">
            <v>2.4380000000000002</v>
          </cell>
          <cell r="L7092">
            <v>148835</v>
          </cell>
          <cell r="M7092">
            <v>13229</v>
          </cell>
          <cell r="N7092">
            <v>683926.05601571908</v>
          </cell>
          <cell r="O7092">
            <v>692380.00232629513</v>
          </cell>
          <cell r="P7092">
            <v>368.79259999999999</v>
          </cell>
        </row>
        <row r="7093">
          <cell r="B7093">
            <v>39870</v>
          </cell>
          <cell r="J7093">
            <v>3809804.3041216834</v>
          </cell>
          <cell r="K7093">
            <v>2.4380000000000002</v>
          </cell>
          <cell r="L7093">
            <v>148835</v>
          </cell>
          <cell r="M7093">
            <v>13229</v>
          </cell>
          <cell r="N7093">
            <v>683926.05601571908</v>
          </cell>
          <cell r="O7093">
            <v>692380.00232629513</v>
          </cell>
          <cell r="P7093">
            <v>368.79259999999999</v>
          </cell>
        </row>
        <row r="7094">
          <cell r="B7094">
            <v>39871</v>
          </cell>
          <cell r="J7094">
            <v>3809804.3041216834</v>
          </cell>
          <cell r="K7094">
            <v>2.4380000000000002</v>
          </cell>
          <cell r="L7094">
            <v>148835</v>
          </cell>
          <cell r="M7094">
            <v>13229</v>
          </cell>
          <cell r="N7094">
            <v>683926.05601571908</v>
          </cell>
          <cell r="O7094">
            <v>692380.00232629513</v>
          </cell>
          <cell r="P7094">
            <v>368.79259999999999</v>
          </cell>
        </row>
        <row r="7095">
          <cell r="B7095">
            <v>39872</v>
          </cell>
          <cell r="J7095">
            <v>3809804.3041216834</v>
          </cell>
          <cell r="K7095">
            <v>2.4380000000000002</v>
          </cell>
          <cell r="L7095">
            <v>148835</v>
          </cell>
          <cell r="M7095">
            <v>13229</v>
          </cell>
          <cell r="N7095">
            <v>683926.05601571908</v>
          </cell>
          <cell r="O7095">
            <v>692380.00232629513</v>
          </cell>
          <cell r="P7095">
            <v>368.79259999999999</v>
          </cell>
        </row>
        <row r="7096">
          <cell r="B7096">
            <v>39873</v>
          </cell>
          <cell r="J7096">
            <v>3809804.3041216834</v>
          </cell>
          <cell r="K7096">
            <v>2.4380000000000002</v>
          </cell>
          <cell r="L7096">
            <v>148835</v>
          </cell>
          <cell r="M7096">
            <v>13229</v>
          </cell>
          <cell r="N7096">
            <v>683926.05601571908</v>
          </cell>
          <cell r="O7096">
            <v>692380.00232629513</v>
          </cell>
          <cell r="P7096">
            <v>368.79259999999999</v>
          </cell>
        </row>
        <row r="7097">
          <cell r="B7097">
            <v>39874</v>
          </cell>
          <cell r="J7097">
            <v>3809804.3041216834</v>
          </cell>
          <cell r="K7097">
            <v>2.4380000000000002</v>
          </cell>
          <cell r="L7097">
            <v>148835</v>
          </cell>
          <cell r="M7097">
            <v>13229</v>
          </cell>
          <cell r="N7097">
            <v>683926.05601571908</v>
          </cell>
          <cell r="O7097">
            <v>692380.00232629513</v>
          </cell>
          <cell r="P7097">
            <v>368.79259999999999</v>
          </cell>
        </row>
        <row r="7098">
          <cell r="B7098">
            <v>39875</v>
          </cell>
          <cell r="J7098">
            <v>3809804.3041216834</v>
          </cell>
          <cell r="K7098">
            <v>2.4380000000000002</v>
          </cell>
          <cell r="L7098">
            <v>148835</v>
          </cell>
          <cell r="M7098">
            <v>13229</v>
          </cell>
          <cell r="N7098">
            <v>683926.05601571908</v>
          </cell>
          <cell r="O7098">
            <v>692380.00232629513</v>
          </cell>
          <cell r="P7098">
            <v>368.79259999999999</v>
          </cell>
        </row>
        <row r="7099">
          <cell r="B7099">
            <v>39876</v>
          </cell>
          <cell r="J7099">
            <v>3809804.3041216834</v>
          </cell>
          <cell r="K7099">
            <v>2.4380000000000002</v>
          </cell>
          <cell r="L7099">
            <v>148835</v>
          </cell>
          <cell r="M7099">
            <v>13229</v>
          </cell>
          <cell r="N7099">
            <v>683926.05601571908</v>
          </cell>
          <cell r="O7099">
            <v>692380.00232629513</v>
          </cell>
          <cell r="P7099">
            <v>368.79259999999999</v>
          </cell>
        </row>
        <row r="7100">
          <cell r="B7100">
            <v>39877</v>
          </cell>
          <cell r="J7100">
            <v>3809804.3041216834</v>
          </cell>
          <cell r="K7100">
            <v>2.4380000000000002</v>
          </cell>
          <cell r="L7100">
            <v>148835</v>
          </cell>
          <cell r="M7100">
            <v>13229</v>
          </cell>
          <cell r="N7100">
            <v>683926.05601571908</v>
          </cell>
          <cell r="O7100">
            <v>692380.00232629513</v>
          </cell>
          <cell r="P7100">
            <v>368.79259999999999</v>
          </cell>
        </row>
        <row r="7101">
          <cell r="B7101">
            <v>39878</v>
          </cell>
          <cell r="J7101">
            <v>3809804.3041216834</v>
          </cell>
          <cell r="K7101">
            <v>2.4380000000000002</v>
          </cell>
          <cell r="L7101">
            <v>148835</v>
          </cell>
          <cell r="M7101">
            <v>13229</v>
          </cell>
          <cell r="N7101">
            <v>683926.05601571908</v>
          </cell>
          <cell r="O7101">
            <v>692380.00232629513</v>
          </cell>
          <cell r="P7101">
            <v>368.79259999999999</v>
          </cell>
        </row>
        <row r="7102">
          <cell r="B7102">
            <v>39879</v>
          </cell>
          <cell r="J7102">
            <v>3809804.3041216834</v>
          </cell>
          <cell r="K7102">
            <v>2.4380000000000002</v>
          </cell>
          <cell r="L7102">
            <v>148835</v>
          </cell>
          <cell r="M7102">
            <v>13229</v>
          </cell>
          <cell r="N7102">
            <v>683926.05601571908</v>
          </cell>
          <cell r="O7102">
            <v>692380.00232629513</v>
          </cell>
          <cell r="P7102">
            <v>368.79259999999999</v>
          </cell>
        </row>
        <row r="7103">
          <cell r="B7103">
            <v>39880</v>
          </cell>
          <cell r="J7103">
            <v>3809804.3041216834</v>
          </cell>
          <cell r="K7103">
            <v>2.4380000000000002</v>
          </cell>
          <cell r="L7103">
            <v>148835</v>
          </cell>
          <cell r="M7103">
            <v>13229</v>
          </cell>
          <cell r="N7103">
            <v>683926.05601571908</v>
          </cell>
          <cell r="O7103">
            <v>692380.00232629513</v>
          </cell>
          <cell r="P7103">
            <v>368.79259999999999</v>
          </cell>
        </row>
        <row r="7104">
          <cell r="B7104">
            <v>39881</v>
          </cell>
          <cell r="J7104">
            <v>3809804.3041216834</v>
          </cell>
          <cell r="K7104">
            <v>2.4380000000000002</v>
          </cell>
          <cell r="L7104">
            <v>148835</v>
          </cell>
          <cell r="M7104">
            <v>13229</v>
          </cell>
          <cell r="N7104">
            <v>683926.05601571908</v>
          </cell>
          <cell r="O7104">
            <v>692380.00232629513</v>
          </cell>
          <cell r="P7104">
            <v>368.79259999999999</v>
          </cell>
        </row>
        <row r="7105">
          <cell r="B7105">
            <v>39882</v>
          </cell>
          <cell r="J7105">
            <v>3809804.3041216834</v>
          </cell>
          <cell r="K7105">
            <v>2.4380000000000002</v>
          </cell>
          <cell r="L7105">
            <v>148835</v>
          </cell>
          <cell r="M7105">
            <v>13229</v>
          </cell>
          <cell r="N7105">
            <v>683926.05601571908</v>
          </cell>
          <cell r="O7105">
            <v>692380.00232629513</v>
          </cell>
          <cell r="P7105">
            <v>368.79259999999999</v>
          </cell>
        </row>
        <row r="7106">
          <cell r="B7106">
            <v>39883</v>
          </cell>
          <cell r="J7106">
            <v>3809804.3041216834</v>
          </cell>
          <cell r="K7106">
            <v>2.4380000000000002</v>
          </cell>
          <cell r="L7106">
            <v>148835</v>
          </cell>
          <cell r="M7106">
            <v>13229</v>
          </cell>
          <cell r="N7106">
            <v>683926.05601571908</v>
          </cell>
          <cell r="O7106">
            <v>692380.00232629513</v>
          </cell>
          <cell r="P7106">
            <v>368.79259999999999</v>
          </cell>
        </row>
        <row r="7107">
          <cell r="B7107">
            <v>39884</v>
          </cell>
          <cell r="J7107">
            <v>3809804.3041216834</v>
          </cell>
          <cell r="K7107">
            <v>2.4380000000000002</v>
          </cell>
          <cell r="L7107">
            <v>148835</v>
          </cell>
          <cell r="M7107">
            <v>13229</v>
          </cell>
          <cell r="N7107">
            <v>683926.05601571908</v>
          </cell>
          <cell r="O7107">
            <v>692380.00232629513</v>
          </cell>
          <cell r="P7107">
            <v>368.79259999999999</v>
          </cell>
        </row>
        <row r="7108">
          <cell r="B7108">
            <v>39885</v>
          </cell>
          <cell r="J7108">
            <v>3809804.3041216834</v>
          </cell>
          <cell r="K7108">
            <v>2.4380000000000002</v>
          </cell>
          <cell r="L7108">
            <v>148835</v>
          </cell>
          <cell r="M7108">
            <v>13229</v>
          </cell>
          <cell r="N7108">
            <v>683926.05601571908</v>
          </cell>
          <cell r="O7108">
            <v>692380.00232629513</v>
          </cell>
          <cell r="P7108">
            <v>368.79259999999999</v>
          </cell>
        </row>
        <row r="7109">
          <cell r="B7109">
            <v>39886</v>
          </cell>
          <cell r="J7109">
            <v>3809804.3041216834</v>
          </cell>
          <cell r="K7109">
            <v>2.4380000000000002</v>
          </cell>
          <cell r="L7109">
            <v>148835</v>
          </cell>
          <cell r="M7109">
            <v>13229</v>
          </cell>
          <cell r="N7109">
            <v>683926.05601571908</v>
          </cell>
          <cell r="O7109">
            <v>692380.00232629513</v>
          </cell>
          <cell r="P7109">
            <v>368.79259999999999</v>
          </cell>
        </row>
        <row r="7110">
          <cell r="B7110">
            <v>39887</v>
          </cell>
          <cell r="J7110">
            <v>3809804.3041216834</v>
          </cell>
          <cell r="K7110">
            <v>2.4380000000000002</v>
          </cell>
          <cell r="L7110">
            <v>148835</v>
          </cell>
          <cell r="M7110">
            <v>13229</v>
          </cell>
          <cell r="N7110">
            <v>683926.05601571908</v>
          </cell>
          <cell r="O7110">
            <v>692380.00232629513</v>
          </cell>
          <cell r="P7110">
            <v>368.79259999999999</v>
          </cell>
        </row>
        <row r="7111">
          <cell r="B7111">
            <v>39888</v>
          </cell>
          <cell r="J7111">
            <v>3809804.3041216834</v>
          </cell>
          <cell r="K7111">
            <v>2.4380000000000002</v>
          </cell>
          <cell r="L7111">
            <v>148835</v>
          </cell>
          <cell r="M7111">
            <v>13229</v>
          </cell>
          <cell r="N7111">
            <v>683926.05601571908</v>
          </cell>
          <cell r="O7111">
            <v>692380.00232629513</v>
          </cell>
          <cell r="P7111">
            <v>368.79259999999999</v>
          </cell>
        </row>
        <row r="7112">
          <cell r="B7112">
            <v>39889</v>
          </cell>
          <cell r="J7112">
            <v>3809804.3041216834</v>
          </cell>
          <cell r="K7112">
            <v>2.4380000000000002</v>
          </cell>
          <cell r="L7112">
            <v>148835</v>
          </cell>
          <cell r="M7112">
            <v>13229</v>
          </cell>
          <cell r="N7112">
            <v>683926.05601571908</v>
          </cell>
          <cell r="O7112">
            <v>692380.00232629513</v>
          </cell>
          <cell r="P7112">
            <v>368.79259999999999</v>
          </cell>
        </row>
        <row r="7113">
          <cell r="B7113">
            <v>39890</v>
          </cell>
          <cell r="J7113">
            <v>3809804.3041216834</v>
          </cell>
          <cell r="K7113">
            <v>2.4380000000000002</v>
          </cell>
          <cell r="L7113">
            <v>148835</v>
          </cell>
          <cell r="M7113">
            <v>13229</v>
          </cell>
          <cell r="N7113">
            <v>683926.05601571908</v>
          </cell>
          <cell r="O7113">
            <v>692380.00232629513</v>
          </cell>
          <cell r="P7113">
            <v>368.79259999999999</v>
          </cell>
        </row>
        <row r="7114">
          <cell r="B7114">
            <v>39891</v>
          </cell>
          <cell r="J7114">
            <v>3809804.3041216834</v>
          </cell>
          <cell r="K7114">
            <v>2.4380000000000002</v>
          </cell>
          <cell r="L7114">
            <v>148835</v>
          </cell>
          <cell r="M7114">
            <v>13229</v>
          </cell>
          <cell r="N7114">
            <v>683926.05601571908</v>
          </cell>
          <cell r="O7114">
            <v>692380.00232629513</v>
          </cell>
          <cell r="P7114">
            <v>368.79259999999999</v>
          </cell>
        </row>
        <row r="7115">
          <cell r="B7115">
            <v>39892</v>
          </cell>
          <cell r="J7115">
            <v>3809804.3041216834</v>
          </cell>
          <cell r="K7115">
            <v>2.4380000000000002</v>
          </cell>
          <cell r="L7115">
            <v>148835</v>
          </cell>
          <cell r="M7115">
            <v>13229</v>
          </cell>
          <cell r="N7115">
            <v>683926.05601571908</v>
          </cell>
          <cell r="O7115">
            <v>692380.00232629513</v>
          </cell>
          <cell r="P7115">
            <v>368.79259999999999</v>
          </cell>
        </row>
        <row r="7116">
          <cell r="B7116">
            <v>39893</v>
          </cell>
          <cell r="J7116">
            <v>3809804.3041216834</v>
          </cell>
          <cell r="K7116">
            <v>2.4380000000000002</v>
          </cell>
          <cell r="L7116">
            <v>148835</v>
          </cell>
          <cell r="M7116">
            <v>13229</v>
          </cell>
          <cell r="N7116">
            <v>683926.05601571908</v>
          </cell>
          <cell r="O7116">
            <v>692380.00232629513</v>
          </cell>
          <cell r="P7116">
            <v>368.79259999999999</v>
          </cell>
        </row>
        <row r="7117">
          <cell r="B7117">
            <v>39894</v>
          </cell>
          <cell r="J7117">
            <v>3809804.3041216834</v>
          </cell>
          <cell r="K7117">
            <v>2.4380000000000002</v>
          </cell>
          <cell r="L7117">
            <v>148835</v>
          </cell>
          <cell r="M7117">
            <v>13229</v>
          </cell>
          <cell r="N7117">
            <v>683926.05601571908</v>
          </cell>
          <cell r="O7117">
            <v>692380.00232629513</v>
          </cell>
          <cell r="P7117">
            <v>368.79259999999999</v>
          </cell>
        </row>
        <row r="7118">
          <cell r="B7118">
            <v>39895</v>
          </cell>
          <cell r="J7118">
            <v>3809804.3041216834</v>
          </cell>
          <cell r="K7118">
            <v>2.4380000000000002</v>
          </cell>
          <cell r="L7118">
            <v>148835</v>
          </cell>
          <cell r="M7118">
            <v>13229</v>
          </cell>
          <cell r="N7118">
            <v>683926.05601571908</v>
          </cell>
          <cell r="O7118">
            <v>692380.00232629513</v>
          </cell>
          <cell r="P7118">
            <v>368.79259999999999</v>
          </cell>
        </row>
        <row r="7119">
          <cell r="B7119">
            <v>39896</v>
          </cell>
          <cell r="J7119">
            <v>3809804.3041216834</v>
          </cell>
          <cell r="K7119">
            <v>2.4380000000000002</v>
          </cell>
          <cell r="L7119">
            <v>148835</v>
          </cell>
          <cell r="M7119">
            <v>13229</v>
          </cell>
          <cell r="N7119">
            <v>683926.05601571908</v>
          </cell>
          <cell r="O7119">
            <v>692380.00232629513</v>
          </cell>
          <cell r="P7119">
            <v>368.79259999999999</v>
          </cell>
        </row>
        <row r="7120">
          <cell r="B7120">
            <v>39897</v>
          </cell>
          <cell r="J7120">
            <v>3809804.3041216834</v>
          </cell>
          <cell r="K7120">
            <v>2.4380000000000002</v>
          </cell>
          <cell r="L7120">
            <v>148835</v>
          </cell>
          <cell r="M7120">
            <v>13229</v>
          </cell>
          <cell r="N7120">
            <v>683926.05601571908</v>
          </cell>
          <cell r="O7120">
            <v>692380.00232629513</v>
          </cell>
          <cell r="P7120">
            <v>368.79259999999999</v>
          </cell>
        </row>
        <row r="7121">
          <cell r="B7121">
            <v>39898</v>
          </cell>
          <cell r="J7121">
            <v>3809804.3041216834</v>
          </cell>
          <cell r="K7121">
            <v>2.4380000000000002</v>
          </cell>
          <cell r="L7121">
            <v>148835</v>
          </cell>
          <cell r="M7121">
            <v>13229</v>
          </cell>
          <cell r="N7121">
            <v>683926.05601571908</v>
          </cell>
          <cell r="O7121">
            <v>692380.00232629513</v>
          </cell>
          <cell r="P7121">
            <v>368.79259999999999</v>
          </cell>
        </row>
        <row r="7122">
          <cell r="B7122">
            <v>39899</v>
          </cell>
          <cell r="J7122">
            <v>3809804.3041216834</v>
          </cell>
          <cell r="K7122">
            <v>2.4380000000000002</v>
          </cell>
          <cell r="L7122">
            <v>148835</v>
          </cell>
          <cell r="M7122">
            <v>13229</v>
          </cell>
          <cell r="N7122">
            <v>683926.05601571908</v>
          </cell>
          <cell r="O7122">
            <v>692380.00232629513</v>
          </cell>
          <cell r="P7122">
            <v>368.79259999999999</v>
          </cell>
        </row>
        <row r="7123">
          <cell r="B7123">
            <v>39900</v>
          </cell>
          <cell r="J7123">
            <v>3809804.3041216834</v>
          </cell>
          <cell r="K7123">
            <v>2.4380000000000002</v>
          </cell>
          <cell r="L7123">
            <v>148835</v>
          </cell>
          <cell r="M7123">
            <v>13229</v>
          </cell>
          <cell r="N7123">
            <v>683926.05601571908</v>
          </cell>
          <cell r="O7123">
            <v>692380.00232629513</v>
          </cell>
          <cell r="P7123">
            <v>368.79259999999999</v>
          </cell>
        </row>
        <row r="7124">
          <cell r="B7124">
            <v>39901</v>
          </cell>
          <cell r="J7124">
            <v>3809804.3041216834</v>
          </cell>
          <cell r="K7124">
            <v>2.4380000000000002</v>
          </cell>
          <cell r="L7124">
            <v>148835</v>
          </cell>
          <cell r="M7124">
            <v>13229</v>
          </cell>
          <cell r="N7124">
            <v>683926.05601571908</v>
          </cell>
          <cell r="O7124">
            <v>692380.00232629513</v>
          </cell>
          <cell r="P7124">
            <v>368.79259999999999</v>
          </cell>
        </row>
        <row r="7125">
          <cell r="B7125">
            <v>39902</v>
          </cell>
          <cell r="J7125">
            <v>3809804.3041216834</v>
          </cell>
          <cell r="K7125">
            <v>2.4380000000000002</v>
          </cell>
          <cell r="L7125">
            <v>148835</v>
          </cell>
          <cell r="M7125">
            <v>13229</v>
          </cell>
          <cell r="N7125">
            <v>683926.05601571908</v>
          </cell>
          <cell r="O7125">
            <v>692380.00232629513</v>
          </cell>
          <cell r="P7125">
            <v>368.79259999999999</v>
          </cell>
        </row>
        <row r="7126">
          <cell r="B7126">
            <v>39903</v>
          </cell>
          <cell r="J7126">
            <v>3809804.3041216834</v>
          </cell>
          <cell r="K7126">
            <v>2.4380000000000002</v>
          </cell>
          <cell r="L7126">
            <v>148835</v>
          </cell>
          <cell r="M7126">
            <v>13229</v>
          </cell>
          <cell r="N7126">
            <v>683926.05601571908</v>
          </cell>
          <cell r="O7126">
            <v>692380.00232629513</v>
          </cell>
          <cell r="P7126">
            <v>368.79259999999999</v>
          </cell>
        </row>
        <row r="7127">
          <cell r="B7127">
            <v>39904</v>
          </cell>
          <cell r="J7127">
            <v>3809804.3041216834</v>
          </cell>
          <cell r="K7127">
            <v>2.4380000000000002</v>
          </cell>
          <cell r="L7127">
            <v>148835</v>
          </cell>
          <cell r="M7127">
            <v>13229</v>
          </cell>
          <cell r="N7127">
            <v>683926.05601571908</v>
          </cell>
          <cell r="O7127">
            <v>692380.00232629513</v>
          </cell>
          <cell r="P7127">
            <v>368.79259999999999</v>
          </cell>
        </row>
        <row r="7128">
          <cell r="B7128">
            <v>39905</v>
          </cell>
          <cell r="J7128">
            <v>3809804.3041216834</v>
          </cell>
          <cell r="K7128">
            <v>2.4380000000000002</v>
          </cell>
          <cell r="L7128">
            <v>148835</v>
          </cell>
          <cell r="M7128">
            <v>13229</v>
          </cell>
          <cell r="N7128">
            <v>683926.05601571908</v>
          </cell>
          <cell r="O7128">
            <v>692380.00232629513</v>
          </cell>
          <cell r="P7128">
            <v>368.79259999999999</v>
          </cell>
        </row>
        <row r="7129">
          <cell r="B7129">
            <v>39906</v>
          </cell>
          <cell r="J7129">
            <v>3809804.3041216834</v>
          </cell>
          <cell r="K7129">
            <v>2.4380000000000002</v>
          </cell>
          <cell r="L7129">
            <v>148835</v>
          </cell>
          <cell r="M7129">
            <v>13229</v>
          </cell>
          <cell r="N7129">
            <v>683926.05601571908</v>
          </cell>
          <cell r="O7129">
            <v>692380.00232629513</v>
          </cell>
          <cell r="P7129">
            <v>368.79259999999999</v>
          </cell>
        </row>
        <row r="7130">
          <cell r="B7130">
            <v>39907</v>
          </cell>
          <cell r="J7130">
            <v>3809804.3041216834</v>
          </cell>
          <cell r="K7130">
            <v>2.4380000000000002</v>
          </cell>
          <cell r="L7130">
            <v>148835</v>
          </cell>
          <cell r="M7130">
            <v>13229</v>
          </cell>
          <cell r="N7130">
            <v>683926.05601571908</v>
          </cell>
          <cell r="O7130">
            <v>692380.00232629513</v>
          </cell>
          <cell r="P7130">
            <v>368.79259999999999</v>
          </cell>
        </row>
        <row r="7131">
          <cell r="B7131">
            <v>39908</v>
          </cell>
          <cell r="J7131">
            <v>3809804.3041216834</v>
          </cell>
          <cell r="K7131">
            <v>2.4380000000000002</v>
          </cell>
          <cell r="L7131">
            <v>148835</v>
          </cell>
          <cell r="M7131">
            <v>13229</v>
          </cell>
          <cell r="N7131">
            <v>683926.05601571908</v>
          </cell>
          <cell r="O7131">
            <v>692380.00232629513</v>
          </cell>
          <cell r="P7131">
            <v>368.79259999999999</v>
          </cell>
        </row>
        <row r="7132">
          <cell r="B7132">
            <v>39909</v>
          </cell>
          <cell r="J7132">
            <v>3809804.3041216834</v>
          </cell>
          <cell r="K7132">
            <v>2.4380000000000002</v>
          </cell>
          <cell r="L7132">
            <v>148835</v>
          </cell>
          <cell r="M7132">
            <v>13229</v>
          </cell>
          <cell r="N7132">
            <v>683926.05601571908</v>
          </cell>
          <cell r="O7132">
            <v>692380.00232629513</v>
          </cell>
          <cell r="P7132">
            <v>368.79259999999999</v>
          </cell>
        </row>
        <row r="7133">
          <cell r="B7133">
            <v>39910</v>
          </cell>
          <cell r="J7133">
            <v>3809804.3041216834</v>
          </cell>
          <cell r="K7133">
            <v>2.4380000000000002</v>
          </cell>
          <cell r="L7133">
            <v>148835</v>
          </cell>
          <cell r="M7133">
            <v>13229</v>
          </cell>
          <cell r="N7133">
            <v>683926.05601571908</v>
          </cell>
          <cell r="O7133">
            <v>692380.00232629513</v>
          </cell>
          <cell r="P7133">
            <v>368.79259999999999</v>
          </cell>
        </row>
        <row r="7134">
          <cell r="B7134">
            <v>39911</v>
          </cell>
          <cell r="J7134">
            <v>3809804.3041216834</v>
          </cell>
          <cell r="K7134">
            <v>2.4380000000000002</v>
          </cell>
          <cell r="L7134">
            <v>148835</v>
          </cell>
          <cell r="M7134">
            <v>13229</v>
          </cell>
          <cell r="N7134">
            <v>683926.05601571908</v>
          </cell>
          <cell r="O7134">
            <v>692380.00232629513</v>
          </cell>
          <cell r="P7134">
            <v>368.79259999999999</v>
          </cell>
        </row>
        <row r="7135">
          <cell r="B7135">
            <v>39912</v>
          </cell>
          <cell r="J7135">
            <v>3809804.3041216834</v>
          </cell>
          <cell r="K7135">
            <v>2.4380000000000002</v>
          </cell>
          <cell r="L7135">
            <v>148835</v>
          </cell>
          <cell r="M7135">
            <v>13229</v>
          </cell>
          <cell r="N7135">
            <v>683926.05601571908</v>
          </cell>
          <cell r="O7135">
            <v>692380.00232629513</v>
          </cell>
          <cell r="P7135">
            <v>368.79259999999999</v>
          </cell>
        </row>
        <row r="7136">
          <cell r="B7136">
            <v>39913</v>
          </cell>
          <cell r="J7136">
            <v>3809804.3041216834</v>
          </cell>
          <cell r="K7136">
            <v>2.4380000000000002</v>
          </cell>
          <cell r="L7136">
            <v>148835</v>
          </cell>
          <cell r="M7136">
            <v>13229</v>
          </cell>
          <cell r="N7136">
            <v>683926.05601571908</v>
          </cell>
          <cell r="O7136">
            <v>692380.00232629513</v>
          </cell>
          <cell r="P7136">
            <v>368.79259999999999</v>
          </cell>
        </row>
        <row r="7137">
          <cell r="B7137">
            <v>39914</v>
          </cell>
          <cell r="J7137">
            <v>3809804.3041216834</v>
          </cell>
          <cell r="K7137">
            <v>2.4380000000000002</v>
          </cell>
          <cell r="L7137">
            <v>148835</v>
          </cell>
          <cell r="M7137">
            <v>13229</v>
          </cell>
          <cell r="N7137">
            <v>683926.05601571908</v>
          </cell>
          <cell r="O7137">
            <v>692380.00232629513</v>
          </cell>
          <cell r="P7137">
            <v>368.79259999999999</v>
          </cell>
        </row>
        <row r="7138">
          <cell r="B7138">
            <v>39915</v>
          </cell>
          <cell r="J7138">
            <v>3809804.3041216834</v>
          </cell>
          <cell r="K7138">
            <v>2.4380000000000002</v>
          </cell>
          <cell r="L7138">
            <v>148835</v>
          </cell>
          <cell r="M7138">
            <v>13229</v>
          </cell>
          <cell r="N7138">
            <v>683926.05601571908</v>
          </cell>
          <cell r="O7138">
            <v>692380.00232629513</v>
          </cell>
          <cell r="P7138">
            <v>368.79259999999999</v>
          </cell>
        </row>
        <row r="7139">
          <cell r="B7139">
            <v>39916</v>
          </cell>
          <cell r="J7139">
            <v>3809804.3041216834</v>
          </cell>
          <cell r="K7139">
            <v>2.4380000000000002</v>
          </cell>
          <cell r="L7139">
            <v>148835</v>
          </cell>
          <cell r="M7139">
            <v>13229</v>
          </cell>
          <cell r="N7139">
            <v>683926.05601571908</v>
          </cell>
          <cell r="O7139">
            <v>692380.00232629513</v>
          </cell>
          <cell r="P7139">
            <v>368.79259999999999</v>
          </cell>
        </row>
        <row r="7140">
          <cell r="B7140">
            <v>39917</v>
          </cell>
          <cell r="J7140">
            <v>3809804.3041216834</v>
          </cell>
          <cell r="K7140">
            <v>2.4380000000000002</v>
          </cell>
          <cell r="L7140">
            <v>148835</v>
          </cell>
          <cell r="M7140">
            <v>13229</v>
          </cell>
          <cell r="N7140">
            <v>683926.05601571908</v>
          </cell>
          <cell r="O7140">
            <v>692380.00232629513</v>
          </cell>
          <cell r="P7140">
            <v>368.79259999999999</v>
          </cell>
        </row>
        <row r="7141">
          <cell r="B7141">
            <v>39918</v>
          </cell>
          <cell r="J7141">
            <v>3809804.3041216834</v>
          </cell>
          <cell r="K7141">
            <v>2.4380000000000002</v>
          </cell>
          <cell r="L7141">
            <v>148835</v>
          </cell>
          <cell r="M7141">
            <v>13229</v>
          </cell>
          <cell r="N7141">
            <v>683926.05601571908</v>
          </cell>
          <cell r="O7141">
            <v>692380.00232629513</v>
          </cell>
          <cell r="P7141">
            <v>368.79259999999999</v>
          </cell>
        </row>
        <row r="7142">
          <cell r="B7142">
            <v>39919</v>
          </cell>
          <cell r="J7142">
            <v>3809804.3041216834</v>
          </cell>
          <cell r="K7142">
            <v>2.4380000000000002</v>
          </cell>
          <cell r="L7142">
            <v>148835</v>
          </cell>
          <cell r="M7142">
            <v>13229</v>
          </cell>
          <cell r="N7142">
            <v>683926.05601571908</v>
          </cell>
          <cell r="O7142">
            <v>692380.00232629513</v>
          </cell>
          <cell r="P7142">
            <v>368.79259999999999</v>
          </cell>
        </row>
        <row r="7143">
          <cell r="B7143">
            <v>39920</v>
          </cell>
          <cell r="J7143">
            <v>3809804.3041216834</v>
          </cell>
          <cell r="K7143">
            <v>2.4380000000000002</v>
          </cell>
          <cell r="L7143">
            <v>148835</v>
          </cell>
          <cell r="M7143">
            <v>13229</v>
          </cell>
          <cell r="N7143">
            <v>683926.05601571908</v>
          </cell>
          <cell r="O7143">
            <v>692380.00232629513</v>
          </cell>
          <cell r="P7143">
            <v>368.79259999999999</v>
          </cell>
        </row>
        <row r="7144">
          <cell r="B7144">
            <v>39921</v>
          </cell>
          <cell r="J7144">
            <v>3809804.3041216834</v>
          </cell>
          <cell r="K7144">
            <v>2.4380000000000002</v>
          </cell>
          <cell r="L7144">
            <v>148835</v>
          </cell>
          <cell r="M7144">
            <v>13229</v>
          </cell>
          <cell r="N7144">
            <v>683926.05601571908</v>
          </cell>
          <cell r="O7144">
            <v>692380.00232629513</v>
          </cell>
          <cell r="P7144">
            <v>368.79259999999999</v>
          </cell>
        </row>
        <row r="7145">
          <cell r="B7145">
            <v>39922</v>
          </cell>
          <cell r="J7145">
            <v>3809804.3041216834</v>
          </cell>
          <cell r="K7145">
            <v>2.4380000000000002</v>
          </cell>
          <cell r="L7145">
            <v>148835</v>
          </cell>
          <cell r="M7145">
            <v>13229</v>
          </cell>
          <cell r="N7145">
            <v>683926.05601571908</v>
          </cell>
          <cell r="O7145">
            <v>692380.00232629513</v>
          </cell>
          <cell r="P7145">
            <v>368.79259999999999</v>
          </cell>
        </row>
        <row r="7146">
          <cell r="B7146">
            <v>39923</v>
          </cell>
          <cell r="J7146">
            <v>3809804.3041216834</v>
          </cell>
          <cell r="K7146">
            <v>2.4380000000000002</v>
          </cell>
          <cell r="L7146">
            <v>148835</v>
          </cell>
          <cell r="M7146">
            <v>13229</v>
          </cell>
          <cell r="N7146">
            <v>683926.05601571908</v>
          </cell>
          <cell r="O7146">
            <v>692380.00232629513</v>
          </cell>
          <cell r="P7146">
            <v>368.79259999999999</v>
          </cell>
        </row>
        <row r="7147">
          <cell r="B7147">
            <v>39924</v>
          </cell>
          <cell r="J7147">
            <v>3809804.3041216834</v>
          </cell>
          <cell r="K7147">
            <v>2.4380000000000002</v>
          </cell>
          <cell r="L7147">
            <v>148835</v>
          </cell>
          <cell r="M7147">
            <v>13229</v>
          </cell>
          <cell r="N7147">
            <v>683926.05601571908</v>
          </cell>
          <cell r="O7147">
            <v>692380.00232629513</v>
          </cell>
          <cell r="P7147">
            <v>368.79259999999999</v>
          </cell>
        </row>
        <row r="7148">
          <cell r="B7148">
            <v>39925</v>
          </cell>
          <cell r="J7148">
            <v>3809804.3041216834</v>
          </cell>
          <cell r="K7148">
            <v>2.4380000000000002</v>
          </cell>
          <cell r="L7148">
            <v>148835</v>
          </cell>
          <cell r="M7148">
            <v>13229</v>
          </cell>
          <cell r="N7148">
            <v>683926.05601571908</v>
          </cell>
          <cell r="O7148">
            <v>692380.00232629513</v>
          </cell>
          <cell r="P7148">
            <v>368.79259999999999</v>
          </cell>
        </row>
        <row r="7149">
          <cell r="B7149">
            <v>39926</v>
          </cell>
          <cell r="J7149">
            <v>3809804.3041216834</v>
          </cell>
          <cell r="K7149">
            <v>2.4380000000000002</v>
          </cell>
          <cell r="L7149">
            <v>148835</v>
          </cell>
          <cell r="M7149">
            <v>13229</v>
          </cell>
          <cell r="N7149">
            <v>683926.05601571908</v>
          </cell>
          <cell r="O7149">
            <v>692380.00232629513</v>
          </cell>
          <cell r="P7149">
            <v>368.79259999999999</v>
          </cell>
        </row>
        <row r="7150">
          <cell r="B7150">
            <v>39927</v>
          </cell>
          <cell r="J7150">
            <v>3809804.3041216834</v>
          </cell>
          <cell r="K7150">
            <v>2.4380000000000002</v>
          </cell>
          <cell r="L7150">
            <v>148835</v>
          </cell>
          <cell r="M7150">
            <v>13229</v>
          </cell>
          <cell r="N7150">
            <v>683926.05601571908</v>
          </cell>
          <cell r="O7150">
            <v>692380.00232629513</v>
          </cell>
          <cell r="P7150">
            <v>368.79259999999999</v>
          </cell>
        </row>
        <row r="7151">
          <cell r="B7151">
            <v>39928</v>
          </cell>
          <cell r="J7151">
            <v>3809804.3041216834</v>
          </cell>
          <cell r="K7151">
            <v>2.4380000000000002</v>
          </cell>
          <cell r="L7151">
            <v>148835</v>
          </cell>
          <cell r="M7151">
            <v>13229</v>
          </cell>
          <cell r="N7151">
            <v>683926.05601571908</v>
          </cell>
          <cell r="O7151">
            <v>692380.00232629513</v>
          </cell>
          <cell r="P7151">
            <v>368.79259999999999</v>
          </cell>
        </row>
        <row r="7152">
          <cell r="B7152">
            <v>39929</v>
          </cell>
          <cell r="J7152">
            <v>3809804.3041216834</v>
          </cell>
          <cell r="K7152">
            <v>2.4380000000000002</v>
          </cell>
          <cell r="L7152">
            <v>148835</v>
          </cell>
          <cell r="M7152">
            <v>13229</v>
          </cell>
          <cell r="N7152">
            <v>683926.05601571908</v>
          </cell>
          <cell r="O7152">
            <v>692380.00232629513</v>
          </cell>
          <cell r="P7152">
            <v>368.79259999999999</v>
          </cell>
        </row>
        <row r="7153">
          <cell r="B7153">
            <v>39930</v>
          </cell>
          <cell r="J7153">
            <v>3809804.3041216834</v>
          </cell>
          <cell r="K7153">
            <v>2.4380000000000002</v>
          </cell>
          <cell r="L7153">
            <v>148835</v>
          </cell>
          <cell r="M7153">
            <v>13229</v>
          </cell>
          <cell r="N7153">
            <v>683926.05601571908</v>
          </cell>
          <cell r="O7153">
            <v>692380.00232629513</v>
          </cell>
          <cell r="P7153">
            <v>368.79259999999999</v>
          </cell>
        </row>
        <row r="7154">
          <cell r="B7154">
            <v>39931</v>
          </cell>
          <cell r="J7154">
            <v>3809804.3041216834</v>
          </cell>
          <cell r="K7154">
            <v>2.4380000000000002</v>
          </cell>
          <cell r="L7154">
            <v>148835</v>
          </cell>
          <cell r="M7154">
            <v>13229</v>
          </cell>
          <cell r="N7154">
            <v>683926.05601571908</v>
          </cell>
          <cell r="O7154">
            <v>692380.00232629513</v>
          </cell>
          <cell r="P7154">
            <v>368.79259999999999</v>
          </cell>
        </row>
        <row r="7155">
          <cell r="B7155">
            <v>39932</v>
          </cell>
          <cell r="J7155">
            <v>3809804.3041216834</v>
          </cell>
          <cell r="K7155">
            <v>2.4380000000000002</v>
          </cell>
          <cell r="L7155">
            <v>148835</v>
          </cell>
          <cell r="M7155">
            <v>13229</v>
          </cell>
          <cell r="N7155">
            <v>683926.05601571908</v>
          </cell>
          <cell r="O7155">
            <v>692380.00232629513</v>
          </cell>
          <cell r="P7155">
            <v>368.79259999999999</v>
          </cell>
        </row>
        <row r="7156">
          <cell r="B7156">
            <v>39933</v>
          </cell>
          <cell r="J7156">
            <v>3809804.3041216834</v>
          </cell>
          <cell r="K7156">
            <v>2.4380000000000002</v>
          </cell>
          <cell r="L7156">
            <v>148835</v>
          </cell>
          <cell r="M7156">
            <v>13229</v>
          </cell>
          <cell r="N7156">
            <v>683926.05601571908</v>
          </cell>
          <cell r="O7156">
            <v>692380.00232629513</v>
          </cell>
          <cell r="P7156">
            <v>368.79259999999999</v>
          </cell>
        </row>
        <row r="7157">
          <cell r="B7157">
            <v>39934</v>
          </cell>
          <cell r="J7157">
            <v>3809804.3041216834</v>
          </cell>
          <cell r="K7157">
            <v>2.4380000000000002</v>
          </cell>
          <cell r="L7157">
            <v>148835</v>
          </cell>
          <cell r="M7157">
            <v>13229</v>
          </cell>
          <cell r="N7157">
            <v>683926.05601571908</v>
          </cell>
          <cell r="O7157">
            <v>692380.00232629513</v>
          </cell>
          <cell r="P7157">
            <v>368.79259999999999</v>
          </cell>
        </row>
        <row r="7158">
          <cell r="B7158">
            <v>39935</v>
          </cell>
          <cell r="J7158">
            <v>3809804.3041216834</v>
          </cell>
          <cell r="K7158">
            <v>2.4380000000000002</v>
          </cell>
          <cell r="L7158">
            <v>148835</v>
          </cell>
          <cell r="M7158">
            <v>13229</v>
          </cell>
          <cell r="N7158">
            <v>683926.05601571908</v>
          </cell>
          <cell r="O7158">
            <v>692380.00232629513</v>
          </cell>
          <cell r="P7158">
            <v>368.79259999999999</v>
          </cell>
        </row>
        <row r="7159">
          <cell r="B7159">
            <v>39936</v>
          </cell>
          <cell r="J7159">
            <v>3809804.3041216834</v>
          </cell>
          <cell r="K7159">
            <v>2.4380000000000002</v>
          </cell>
          <cell r="L7159">
            <v>148835</v>
          </cell>
          <cell r="M7159">
            <v>13229</v>
          </cell>
          <cell r="N7159">
            <v>683926.05601571908</v>
          </cell>
          <cell r="O7159">
            <v>692380.00232629513</v>
          </cell>
          <cell r="P7159">
            <v>368.79259999999999</v>
          </cell>
        </row>
        <row r="7160">
          <cell r="B7160">
            <v>39937</v>
          </cell>
          <cell r="J7160">
            <v>3809804.3041216834</v>
          </cell>
          <cell r="K7160">
            <v>2.4380000000000002</v>
          </cell>
          <cell r="L7160">
            <v>148835</v>
          </cell>
          <cell r="M7160">
            <v>13229</v>
          </cell>
          <cell r="N7160">
            <v>683926.05601571908</v>
          </cell>
          <cell r="O7160">
            <v>692380.00232629513</v>
          </cell>
          <cell r="P7160">
            <v>368.79259999999999</v>
          </cell>
        </row>
        <row r="7161">
          <cell r="B7161">
            <v>39938</v>
          </cell>
          <cell r="J7161">
            <v>3809804.3041216834</v>
          </cell>
          <cell r="K7161">
            <v>2.4380000000000002</v>
          </cell>
          <cell r="L7161">
            <v>148835</v>
          </cell>
          <cell r="M7161">
            <v>13229</v>
          </cell>
          <cell r="N7161">
            <v>683926.05601571908</v>
          </cell>
          <cell r="O7161">
            <v>692380.00232629513</v>
          </cell>
          <cell r="P7161">
            <v>368.79259999999999</v>
          </cell>
        </row>
        <row r="7162">
          <cell r="B7162">
            <v>39939</v>
          </cell>
          <cell r="J7162">
            <v>3809804.3041216834</v>
          </cell>
          <cell r="K7162">
            <v>2.4380000000000002</v>
          </cell>
          <cell r="L7162">
            <v>148835</v>
          </cell>
          <cell r="M7162">
            <v>13229</v>
          </cell>
          <cell r="N7162">
            <v>683926.05601571908</v>
          </cell>
          <cell r="O7162">
            <v>692380.00232629513</v>
          </cell>
          <cell r="P7162">
            <v>368.79259999999999</v>
          </cell>
        </row>
        <row r="7163">
          <cell r="B7163">
            <v>39940</v>
          </cell>
          <cell r="J7163">
            <v>3809804.3041216834</v>
          </cell>
          <cell r="K7163">
            <v>2.4380000000000002</v>
          </cell>
          <cell r="L7163">
            <v>148835</v>
          </cell>
          <cell r="M7163">
            <v>13229</v>
          </cell>
          <cell r="N7163">
            <v>683926.05601571908</v>
          </cell>
          <cell r="O7163">
            <v>692380.00232629513</v>
          </cell>
          <cell r="P7163">
            <v>368.79259999999999</v>
          </cell>
        </row>
        <row r="7164">
          <cell r="B7164">
            <v>39941</v>
          </cell>
          <cell r="J7164">
            <v>3809804.3041216834</v>
          </cell>
          <cell r="K7164">
            <v>2.4380000000000002</v>
          </cell>
          <cell r="L7164">
            <v>148835</v>
          </cell>
          <cell r="M7164">
            <v>13229</v>
          </cell>
          <cell r="N7164">
            <v>683926.05601571908</v>
          </cell>
          <cell r="O7164">
            <v>692380.00232629513</v>
          </cell>
          <cell r="P7164">
            <v>368.79259999999999</v>
          </cell>
        </row>
        <row r="7165">
          <cell r="B7165">
            <v>39942</v>
          </cell>
          <cell r="J7165">
            <v>3809804.3041216834</v>
          </cell>
          <cell r="K7165">
            <v>2.4380000000000002</v>
          </cell>
          <cell r="L7165">
            <v>148835</v>
          </cell>
          <cell r="M7165">
            <v>13229</v>
          </cell>
          <cell r="N7165">
            <v>683926.05601571908</v>
          </cell>
          <cell r="O7165">
            <v>692380.00232629513</v>
          </cell>
          <cell r="P7165">
            <v>368.79259999999999</v>
          </cell>
        </row>
        <row r="7166">
          <cell r="B7166">
            <v>39943</v>
          </cell>
          <cell r="J7166">
            <v>3809804.3041216834</v>
          </cell>
          <cell r="K7166">
            <v>2.4380000000000002</v>
          </cell>
          <cell r="L7166">
            <v>148835</v>
          </cell>
          <cell r="M7166">
            <v>13229</v>
          </cell>
          <cell r="N7166">
            <v>683926.05601571908</v>
          </cell>
          <cell r="O7166">
            <v>692380.00232629513</v>
          </cell>
          <cell r="P7166">
            <v>368.79259999999999</v>
          </cell>
        </row>
        <row r="7167">
          <cell r="B7167">
            <v>39944</v>
          </cell>
          <cell r="J7167">
            <v>3809804.3041216834</v>
          </cell>
          <cell r="K7167">
            <v>2.4380000000000002</v>
          </cell>
          <cell r="L7167">
            <v>148835</v>
          </cell>
          <cell r="M7167">
            <v>13229</v>
          </cell>
          <cell r="N7167">
            <v>683926.05601571908</v>
          </cell>
          <cell r="O7167">
            <v>692380.00232629513</v>
          </cell>
          <cell r="P7167">
            <v>368.79259999999999</v>
          </cell>
        </row>
        <row r="7168">
          <cell r="B7168">
            <v>39945</v>
          </cell>
          <cell r="J7168">
            <v>3809804.3041216834</v>
          </cell>
          <cell r="K7168">
            <v>2.4380000000000002</v>
          </cell>
          <cell r="L7168">
            <v>148835</v>
          </cell>
          <cell r="M7168">
            <v>13229</v>
          </cell>
          <cell r="N7168">
            <v>683926.05601571908</v>
          </cell>
          <cell r="O7168">
            <v>692380.00232629513</v>
          </cell>
          <cell r="P7168">
            <v>368.79259999999999</v>
          </cell>
        </row>
        <row r="7169">
          <cell r="B7169">
            <v>39946</v>
          </cell>
          <cell r="J7169">
            <v>3809804.3041216834</v>
          </cell>
          <cell r="K7169">
            <v>2.4380000000000002</v>
          </cell>
          <cell r="L7169">
            <v>148835</v>
          </cell>
          <cell r="M7169">
            <v>13229</v>
          </cell>
          <cell r="N7169">
            <v>683926.05601571908</v>
          </cell>
          <cell r="O7169">
            <v>692380.00232629513</v>
          </cell>
          <cell r="P7169">
            <v>368.79259999999999</v>
          </cell>
        </row>
        <row r="7170">
          <cell r="B7170">
            <v>39947</v>
          </cell>
          <cell r="J7170">
            <v>3809804.3041216834</v>
          </cell>
          <cell r="K7170">
            <v>2.4380000000000002</v>
          </cell>
          <cell r="L7170">
            <v>148835</v>
          </cell>
          <cell r="M7170">
            <v>13229</v>
          </cell>
          <cell r="N7170">
            <v>683926.05601571908</v>
          </cell>
          <cell r="O7170">
            <v>692380.00232629513</v>
          </cell>
          <cell r="P7170">
            <v>368.79259999999999</v>
          </cell>
        </row>
        <row r="7171">
          <cell r="B7171">
            <v>39948</v>
          </cell>
          <cell r="J7171">
            <v>3809804.3041216834</v>
          </cell>
          <cell r="K7171">
            <v>2.4380000000000002</v>
          </cell>
          <cell r="L7171">
            <v>148835</v>
          </cell>
          <cell r="M7171">
            <v>13229</v>
          </cell>
          <cell r="N7171">
            <v>683926.05601571908</v>
          </cell>
          <cell r="O7171">
            <v>692380.00232629513</v>
          </cell>
          <cell r="P7171">
            <v>368.79259999999999</v>
          </cell>
        </row>
        <row r="7172">
          <cell r="B7172">
            <v>39949</v>
          </cell>
          <cell r="J7172">
            <v>3809804.3041216834</v>
          </cell>
          <cell r="K7172">
            <v>2.4380000000000002</v>
          </cell>
          <cell r="L7172">
            <v>148835</v>
          </cell>
          <cell r="M7172">
            <v>13229</v>
          </cell>
          <cell r="N7172">
            <v>683926.05601571908</v>
          </cell>
          <cell r="O7172">
            <v>692380.00232629513</v>
          </cell>
          <cell r="P7172">
            <v>368.79259999999999</v>
          </cell>
        </row>
        <row r="7173">
          <cell r="B7173">
            <v>39950</v>
          </cell>
          <cell r="J7173">
            <v>3809804.3041216834</v>
          </cell>
          <cell r="K7173">
            <v>2.4380000000000002</v>
          </cell>
          <cell r="L7173">
            <v>148835</v>
          </cell>
          <cell r="M7173">
            <v>13229</v>
          </cell>
          <cell r="N7173">
            <v>683926.05601571908</v>
          </cell>
          <cell r="O7173">
            <v>692380.00232629513</v>
          </cell>
          <cell r="P7173">
            <v>368.79259999999999</v>
          </cell>
        </row>
        <row r="7174">
          <cell r="B7174">
            <v>39951</v>
          </cell>
          <cell r="J7174">
            <v>3809804.3041216834</v>
          </cell>
          <cell r="K7174">
            <v>2.4380000000000002</v>
          </cell>
          <cell r="L7174">
            <v>148835</v>
          </cell>
          <cell r="M7174">
            <v>13229</v>
          </cell>
          <cell r="N7174">
            <v>683926.05601571908</v>
          </cell>
          <cell r="O7174">
            <v>692380.00232629513</v>
          </cell>
          <cell r="P7174">
            <v>368.79259999999999</v>
          </cell>
        </row>
        <row r="7175">
          <cell r="B7175">
            <v>39952</v>
          </cell>
          <cell r="J7175">
            <v>3809804.3041216834</v>
          </cell>
          <cell r="K7175">
            <v>2.4380000000000002</v>
          </cell>
          <cell r="L7175">
            <v>148835</v>
          </cell>
          <cell r="M7175">
            <v>13229</v>
          </cell>
          <cell r="N7175">
            <v>683926.05601571908</v>
          </cell>
          <cell r="O7175">
            <v>692380.00232629513</v>
          </cell>
          <cell r="P7175">
            <v>368.79259999999999</v>
          </cell>
        </row>
        <row r="7176">
          <cell r="B7176">
            <v>39953</v>
          </cell>
          <cell r="J7176">
            <v>3809804.3041216834</v>
          </cell>
          <cell r="K7176">
            <v>2.4380000000000002</v>
          </cell>
          <cell r="L7176">
            <v>148835</v>
          </cell>
          <cell r="M7176">
            <v>13229</v>
          </cell>
          <cell r="N7176">
            <v>683926.05601571908</v>
          </cell>
          <cell r="O7176">
            <v>692380.00232629513</v>
          </cell>
          <cell r="P7176">
            <v>368.79259999999999</v>
          </cell>
        </row>
        <row r="7177">
          <cell r="B7177">
            <v>39954</v>
          </cell>
          <cell r="J7177">
            <v>3809804.3041216834</v>
          </cell>
          <cell r="K7177">
            <v>2.4380000000000002</v>
          </cell>
          <cell r="L7177">
            <v>148835</v>
          </cell>
          <cell r="M7177">
            <v>13229</v>
          </cell>
          <cell r="N7177">
            <v>683926.05601571908</v>
          </cell>
          <cell r="O7177">
            <v>692380.00232629513</v>
          </cell>
          <cell r="P7177">
            <v>368.79259999999999</v>
          </cell>
        </row>
        <row r="7178">
          <cell r="B7178">
            <v>39955</v>
          </cell>
          <cell r="J7178">
            <v>3809804.3041216834</v>
          </cell>
          <cell r="K7178">
            <v>2.4380000000000002</v>
          </cell>
          <cell r="L7178">
            <v>148835</v>
          </cell>
          <cell r="M7178">
            <v>13229</v>
          </cell>
          <cell r="N7178">
            <v>683926.05601571908</v>
          </cell>
          <cell r="O7178">
            <v>692380.00232629513</v>
          </cell>
          <cell r="P7178">
            <v>368.79259999999999</v>
          </cell>
        </row>
        <row r="7179">
          <cell r="B7179">
            <v>39956</v>
          </cell>
          <cell r="J7179">
            <v>3809804.3041216834</v>
          </cell>
          <cell r="K7179">
            <v>2.4380000000000002</v>
          </cell>
          <cell r="L7179">
            <v>148835</v>
          </cell>
          <cell r="M7179">
            <v>13229</v>
          </cell>
          <cell r="N7179">
            <v>683926.05601571908</v>
          </cell>
          <cell r="O7179">
            <v>692380.00232629513</v>
          </cell>
          <cell r="P7179">
            <v>368.79259999999999</v>
          </cell>
        </row>
        <row r="7180">
          <cell r="B7180">
            <v>39957</v>
          </cell>
          <cell r="J7180">
            <v>3809804.3041216834</v>
          </cell>
          <cell r="K7180">
            <v>2.4380000000000002</v>
          </cell>
          <cell r="L7180">
            <v>148835</v>
          </cell>
          <cell r="M7180">
            <v>13229</v>
          </cell>
          <cell r="N7180">
            <v>683926.05601571908</v>
          </cell>
          <cell r="O7180">
            <v>692380.00232629513</v>
          </cell>
          <cell r="P7180">
            <v>368.79259999999999</v>
          </cell>
        </row>
        <row r="7181">
          <cell r="B7181">
            <v>39958</v>
          </cell>
          <cell r="J7181">
            <v>3809804.3041216834</v>
          </cell>
          <cell r="K7181">
            <v>2.4380000000000002</v>
          </cell>
          <cell r="L7181">
            <v>148835</v>
          </cell>
          <cell r="M7181">
            <v>13229</v>
          </cell>
          <cell r="N7181">
            <v>683926.05601571908</v>
          </cell>
          <cell r="O7181">
            <v>692380.00232629513</v>
          </cell>
          <cell r="P7181">
            <v>368.79259999999999</v>
          </cell>
        </row>
        <row r="7182">
          <cell r="B7182">
            <v>39959</v>
          </cell>
          <cell r="J7182">
            <v>3809804.3041216834</v>
          </cell>
          <cell r="K7182">
            <v>2.4380000000000002</v>
          </cell>
          <cell r="L7182">
            <v>148835</v>
          </cell>
          <cell r="M7182">
            <v>13229</v>
          </cell>
          <cell r="N7182">
            <v>683926.05601571908</v>
          </cell>
          <cell r="O7182">
            <v>692380.00232629513</v>
          </cell>
          <cell r="P7182">
            <v>368.79259999999999</v>
          </cell>
        </row>
        <row r="7183">
          <cell r="B7183">
            <v>39960</v>
          </cell>
          <cell r="J7183">
            <v>3809804.3041216834</v>
          </cell>
          <cell r="K7183">
            <v>2.4380000000000002</v>
          </cell>
          <cell r="L7183">
            <v>148835</v>
          </cell>
          <cell r="M7183">
            <v>13229</v>
          </cell>
          <cell r="N7183">
            <v>683926.05601571908</v>
          </cell>
          <cell r="O7183">
            <v>692380.00232629513</v>
          </cell>
          <cell r="P7183">
            <v>368.79259999999999</v>
          </cell>
        </row>
        <row r="7184">
          <cell r="B7184">
            <v>39961</v>
          </cell>
          <cell r="J7184">
            <v>3809804.3041216834</v>
          </cell>
          <cell r="K7184">
            <v>2.4380000000000002</v>
          </cell>
          <cell r="L7184">
            <v>148835</v>
          </cell>
          <cell r="M7184">
            <v>13229</v>
          </cell>
          <cell r="N7184">
            <v>683926.05601571908</v>
          </cell>
          <cell r="O7184">
            <v>692380.00232629513</v>
          </cell>
          <cell r="P7184">
            <v>368.79259999999999</v>
          </cell>
        </row>
        <row r="7185">
          <cell r="B7185">
            <v>39962</v>
          </cell>
          <cell r="J7185">
            <v>3809804.3041216834</v>
          </cell>
          <cell r="K7185">
            <v>2.4380000000000002</v>
          </cell>
          <cell r="L7185">
            <v>148835</v>
          </cell>
          <cell r="M7185">
            <v>13229</v>
          </cell>
          <cell r="N7185">
            <v>683926.05601571908</v>
          </cell>
          <cell r="O7185">
            <v>692380.00232629513</v>
          </cell>
          <cell r="P7185">
            <v>368.79259999999999</v>
          </cell>
        </row>
        <row r="7186">
          <cell r="B7186">
            <v>39963</v>
          </cell>
          <cell r="J7186">
            <v>3809804.3041216834</v>
          </cell>
          <cell r="K7186">
            <v>2.4380000000000002</v>
          </cell>
          <cell r="L7186">
            <v>148835</v>
          </cell>
          <cell r="M7186">
            <v>13229</v>
          </cell>
          <cell r="N7186">
            <v>683926.05601571908</v>
          </cell>
          <cell r="O7186">
            <v>692380.00232629513</v>
          </cell>
          <cell r="P7186">
            <v>368.79259999999999</v>
          </cell>
        </row>
        <row r="7187">
          <cell r="B7187">
            <v>39964</v>
          </cell>
          <cell r="J7187">
            <v>3809804.3041216834</v>
          </cell>
          <cell r="K7187">
            <v>2.4380000000000002</v>
          </cell>
          <cell r="L7187">
            <v>148835</v>
          </cell>
          <cell r="M7187">
            <v>13229</v>
          </cell>
          <cell r="N7187">
            <v>683926.05601571908</v>
          </cell>
          <cell r="O7187">
            <v>692380.00232629513</v>
          </cell>
          <cell r="P7187">
            <v>368.79259999999999</v>
          </cell>
        </row>
        <row r="7188">
          <cell r="B7188">
            <v>39965</v>
          </cell>
          <cell r="J7188">
            <v>3809804.3041216834</v>
          </cell>
          <cell r="K7188">
            <v>2.4380000000000002</v>
          </cell>
          <cell r="L7188">
            <v>148835</v>
          </cell>
          <cell r="M7188">
            <v>13229</v>
          </cell>
          <cell r="N7188">
            <v>683926.05601571908</v>
          </cell>
          <cell r="O7188">
            <v>692380.00232629513</v>
          </cell>
          <cell r="P7188">
            <v>368.79259999999999</v>
          </cell>
        </row>
        <row r="7189">
          <cell r="B7189">
            <v>39966</v>
          </cell>
          <cell r="J7189">
            <v>3809804.3041216834</v>
          </cell>
          <cell r="K7189">
            <v>2.4380000000000002</v>
          </cell>
          <cell r="L7189">
            <v>148835</v>
          </cell>
          <cell r="M7189">
            <v>13229</v>
          </cell>
          <cell r="N7189">
            <v>683926.05601571908</v>
          </cell>
          <cell r="O7189">
            <v>692380.00232629513</v>
          </cell>
          <cell r="P7189">
            <v>368.79259999999999</v>
          </cell>
        </row>
        <row r="7190">
          <cell r="B7190">
            <v>39967</v>
          </cell>
          <cell r="J7190">
            <v>3809804.3041216834</v>
          </cell>
          <cell r="K7190">
            <v>2.4380000000000002</v>
          </cell>
          <cell r="L7190">
            <v>148835</v>
          </cell>
          <cell r="M7190">
            <v>13229</v>
          </cell>
          <cell r="N7190">
            <v>683926.05601571908</v>
          </cell>
          <cell r="O7190">
            <v>692380.00232629513</v>
          </cell>
          <cell r="P7190">
            <v>368.79259999999999</v>
          </cell>
        </row>
        <row r="7191">
          <cell r="B7191">
            <v>39968</v>
          </cell>
          <cell r="J7191">
            <v>3809804.3041216834</v>
          </cell>
          <cell r="K7191">
            <v>2.4380000000000002</v>
          </cell>
          <cell r="L7191">
            <v>148835</v>
          </cell>
          <cell r="M7191">
            <v>13229</v>
          </cell>
          <cell r="N7191">
            <v>683926.05601571908</v>
          </cell>
          <cell r="O7191">
            <v>692380.00232629513</v>
          </cell>
          <cell r="P7191">
            <v>368.79259999999999</v>
          </cell>
        </row>
        <row r="7192">
          <cell r="B7192">
            <v>39969</v>
          </cell>
          <cell r="J7192">
            <v>3809804.3041216834</v>
          </cell>
          <cell r="K7192">
            <v>2.4380000000000002</v>
          </cell>
          <cell r="L7192">
            <v>148835</v>
          </cell>
          <cell r="M7192">
            <v>13229</v>
          </cell>
          <cell r="N7192">
            <v>683926.05601571908</v>
          </cell>
          <cell r="O7192">
            <v>692380.00232629513</v>
          </cell>
          <cell r="P7192">
            <v>368.79259999999999</v>
          </cell>
        </row>
        <row r="7193">
          <cell r="B7193">
            <v>39970</v>
          </cell>
          <cell r="J7193">
            <v>3809804.3041216834</v>
          </cell>
          <cell r="K7193">
            <v>2.4380000000000002</v>
          </cell>
          <cell r="L7193">
            <v>148835</v>
          </cell>
          <cell r="M7193">
            <v>13229</v>
          </cell>
          <cell r="N7193">
            <v>683926.05601571908</v>
          </cell>
          <cell r="O7193">
            <v>692380.00232629513</v>
          </cell>
          <cell r="P7193">
            <v>368.79259999999999</v>
          </cell>
        </row>
        <row r="7194">
          <cell r="B7194">
            <v>39971</v>
          </cell>
          <cell r="J7194">
            <v>3809804.3041216834</v>
          </cell>
          <cell r="K7194">
            <v>2.4380000000000002</v>
          </cell>
          <cell r="L7194">
            <v>148835</v>
          </cell>
          <cell r="M7194">
            <v>13229</v>
          </cell>
          <cell r="N7194">
            <v>683926.05601571908</v>
          </cell>
          <cell r="O7194">
            <v>692380.00232629513</v>
          </cell>
          <cell r="P7194">
            <v>368.79259999999999</v>
          </cell>
        </row>
        <row r="7195">
          <cell r="B7195">
            <v>39972</v>
          </cell>
          <cell r="J7195">
            <v>3809804.3041216834</v>
          </cell>
          <cell r="K7195">
            <v>2.4380000000000002</v>
          </cell>
          <cell r="L7195">
            <v>148835</v>
          </cell>
          <cell r="M7195">
            <v>13229</v>
          </cell>
          <cell r="N7195">
            <v>683926.05601571908</v>
          </cell>
          <cell r="O7195">
            <v>692380.00232629513</v>
          </cell>
          <cell r="P7195">
            <v>368.79259999999999</v>
          </cell>
        </row>
        <row r="7196">
          <cell r="B7196">
            <v>39973</v>
          </cell>
          <cell r="J7196">
            <v>3809804.3041216834</v>
          </cell>
          <cell r="K7196">
            <v>2.4380000000000002</v>
          </cell>
          <cell r="L7196">
            <v>148835</v>
          </cell>
          <cell r="M7196">
            <v>13229</v>
          </cell>
          <cell r="N7196">
            <v>683926.05601571908</v>
          </cell>
          <cell r="O7196">
            <v>692380.00232629513</v>
          </cell>
          <cell r="P7196">
            <v>368.79259999999999</v>
          </cell>
        </row>
        <row r="7197">
          <cell r="B7197">
            <v>39974</v>
          </cell>
          <cell r="J7197">
            <v>3809804.3041216834</v>
          </cell>
          <cell r="K7197">
            <v>2.4380000000000002</v>
          </cell>
          <cell r="L7197">
            <v>148835</v>
          </cell>
          <cell r="M7197">
            <v>13229</v>
          </cell>
          <cell r="N7197">
            <v>683926.05601571908</v>
          </cell>
          <cell r="O7197">
            <v>692380.00232629513</v>
          </cell>
          <cell r="P7197">
            <v>368.79259999999999</v>
          </cell>
        </row>
        <row r="7198">
          <cell r="B7198">
            <v>39975</v>
          </cell>
          <cell r="J7198">
            <v>3809804.3041216834</v>
          </cell>
          <cell r="K7198">
            <v>2.4380000000000002</v>
          </cell>
          <cell r="L7198">
            <v>148835</v>
          </cell>
          <cell r="M7198">
            <v>13229</v>
          </cell>
          <cell r="N7198">
            <v>683926.05601571908</v>
          </cell>
          <cell r="O7198">
            <v>692380.00232629513</v>
          </cell>
          <cell r="P7198">
            <v>368.79259999999999</v>
          </cell>
        </row>
        <row r="7199">
          <cell r="B7199">
            <v>39976</v>
          </cell>
          <cell r="J7199">
            <v>3809804.3041216834</v>
          </cell>
          <cell r="K7199">
            <v>2.4380000000000002</v>
          </cell>
          <cell r="L7199">
            <v>148835</v>
          </cell>
          <cell r="M7199">
            <v>13229</v>
          </cell>
          <cell r="N7199">
            <v>683926.05601571908</v>
          </cell>
          <cell r="O7199">
            <v>692380.00232629513</v>
          </cell>
          <cell r="P7199">
            <v>368.79259999999999</v>
          </cell>
        </row>
        <row r="7200">
          <cell r="B7200">
            <v>39977</v>
          </cell>
          <cell r="J7200">
            <v>3809804.3041216834</v>
          </cell>
          <cell r="K7200">
            <v>2.4380000000000002</v>
          </cell>
          <cell r="L7200">
            <v>148835</v>
          </cell>
          <cell r="M7200">
            <v>13229</v>
          </cell>
          <cell r="N7200">
            <v>683926.05601571908</v>
          </cell>
          <cell r="O7200">
            <v>692380.00232629513</v>
          </cell>
          <cell r="P7200">
            <v>368.79259999999999</v>
          </cell>
        </row>
        <row r="7201">
          <cell r="B7201">
            <v>39978</v>
          </cell>
          <cell r="J7201">
            <v>3809804.3041216834</v>
          </cell>
          <cell r="K7201">
            <v>2.4380000000000002</v>
          </cell>
          <cell r="L7201">
            <v>148835</v>
          </cell>
          <cell r="M7201">
            <v>13229</v>
          </cell>
          <cell r="N7201">
            <v>683926.05601571908</v>
          </cell>
          <cell r="O7201">
            <v>692380.00232629513</v>
          </cell>
          <cell r="P7201">
            <v>368.79259999999999</v>
          </cell>
        </row>
        <row r="7202">
          <cell r="B7202">
            <v>39979</v>
          </cell>
          <cell r="J7202">
            <v>3809804.3041216834</v>
          </cell>
          <cell r="K7202">
            <v>2.4380000000000002</v>
          </cell>
          <cell r="L7202">
            <v>148835</v>
          </cell>
          <cell r="M7202">
            <v>13229</v>
          </cell>
          <cell r="N7202">
            <v>683926.05601571908</v>
          </cell>
          <cell r="O7202">
            <v>692380.00232629513</v>
          </cell>
          <cell r="P7202">
            <v>368.79259999999999</v>
          </cell>
        </row>
        <row r="7203">
          <cell r="B7203">
            <v>39980</v>
          </cell>
          <cell r="J7203">
            <v>3809804.3041216834</v>
          </cell>
          <cell r="K7203">
            <v>2.4380000000000002</v>
          </cell>
          <cell r="L7203">
            <v>148835</v>
          </cell>
          <cell r="M7203">
            <v>13229</v>
          </cell>
          <cell r="N7203">
            <v>683926.05601571908</v>
          </cell>
          <cell r="O7203">
            <v>692380.00232629513</v>
          </cell>
          <cell r="P7203">
            <v>368.79259999999999</v>
          </cell>
        </row>
        <row r="7204">
          <cell r="B7204">
            <v>39981</v>
          </cell>
          <cell r="J7204">
            <v>3809804.3041216834</v>
          </cell>
          <cell r="K7204">
            <v>2.4380000000000002</v>
          </cell>
          <cell r="L7204">
            <v>148835</v>
          </cell>
          <cell r="M7204">
            <v>13229</v>
          </cell>
          <cell r="N7204">
            <v>683926.05601571908</v>
          </cell>
          <cell r="O7204">
            <v>692380.00232629513</v>
          </cell>
          <cell r="P7204">
            <v>368.79259999999999</v>
          </cell>
        </row>
        <row r="7205">
          <cell r="B7205">
            <v>39982</v>
          </cell>
          <cell r="J7205">
            <v>3809804.3041216834</v>
          </cell>
          <cell r="K7205">
            <v>2.4380000000000002</v>
          </cell>
          <cell r="L7205">
            <v>148835</v>
          </cell>
          <cell r="M7205">
            <v>13229</v>
          </cell>
          <cell r="N7205">
            <v>683926.05601571908</v>
          </cell>
          <cell r="O7205">
            <v>692380.00232629513</v>
          </cell>
          <cell r="P7205">
            <v>368.79259999999999</v>
          </cell>
        </row>
        <row r="7206">
          <cell r="B7206">
            <v>39983</v>
          </cell>
          <cell r="J7206">
            <v>3809804.3041216834</v>
          </cell>
          <cell r="K7206">
            <v>2.4380000000000002</v>
          </cell>
          <cell r="L7206">
            <v>148835</v>
          </cell>
          <cell r="M7206">
            <v>13229</v>
          </cell>
          <cell r="N7206">
            <v>683926.05601571908</v>
          </cell>
          <cell r="O7206">
            <v>692380.00232629513</v>
          </cell>
          <cell r="P7206">
            <v>368.79259999999999</v>
          </cell>
        </row>
        <row r="7207">
          <cell r="B7207">
            <v>39984</v>
          </cell>
          <cell r="J7207">
            <v>3809804.3041216834</v>
          </cell>
          <cell r="K7207">
            <v>2.4380000000000002</v>
          </cell>
          <cell r="L7207">
            <v>148835</v>
          </cell>
          <cell r="M7207">
            <v>13229</v>
          </cell>
          <cell r="N7207">
            <v>683926.05601571908</v>
          </cell>
          <cell r="O7207">
            <v>692380.00232629513</v>
          </cell>
          <cell r="P7207">
            <v>368.79259999999999</v>
          </cell>
        </row>
        <row r="7208">
          <cell r="B7208">
            <v>39985</v>
          </cell>
          <cell r="J7208">
            <v>3809804.3041216834</v>
          </cell>
          <cell r="K7208">
            <v>2.4380000000000002</v>
          </cell>
          <cell r="L7208">
            <v>148835</v>
          </cell>
          <cell r="M7208">
            <v>13229</v>
          </cell>
          <cell r="N7208">
            <v>683926.05601571908</v>
          </cell>
          <cell r="O7208">
            <v>692380.00232629513</v>
          </cell>
          <cell r="P7208">
            <v>368.79259999999999</v>
          </cell>
        </row>
        <row r="7209">
          <cell r="B7209">
            <v>39986</v>
          </cell>
          <cell r="J7209">
            <v>3809804.3041216834</v>
          </cell>
          <cell r="K7209">
            <v>2.4380000000000002</v>
          </cell>
          <cell r="L7209">
            <v>148835</v>
          </cell>
          <cell r="M7209">
            <v>13229</v>
          </cell>
          <cell r="N7209">
            <v>683926.05601571908</v>
          </cell>
          <cell r="O7209">
            <v>692380.00232629513</v>
          </cell>
          <cell r="P7209">
            <v>368.79259999999999</v>
          </cell>
        </row>
        <row r="7210">
          <cell r="B7210">
            <v>39987</v>
          </cell>
          <cell r="J7210">
            <v>3809804.3041216834</v>
          </cell>
          <cell r="K7210">
            <v>2.4380000000000002</v>
          </cell>
          <cell r="L7210">
            <v>148835</v>
          </cell>
          <cell r="M7210">
            <v>13229</v>
          </cell>
          <cell r="N7210">
            <v>683926.05601571908</v>
          </cell>
          <cell r="O7210">
            <v>692380.00232629513</v>
          </cell>
          <cell r="P7210">
            <v>368.79259999999999</v>
          </cell>
        </row>
        <row r="7211">
          <cell r="B7211">
            <v>39988</v>
          </cell>
          <cell r="J7211">
            <v>3809804.3041216834</v>
          </cell>
          <cell r="K7211">
            <v>2.4380000000000002</v>
          </cell>
          <cell r="L7211">
            <v>148835</v>
          </cell>
          <cell r="M7211">
            <v>13229</v>
          </cell>
          <cell r="N7211">
            <v>683926.05601571908</v>
          </cell>
          <cell r="O7211">
            <v>692380.00232629513</v>
          </cell>
          <cell r="P7211">
            <v>368.79259999999999</v>
          </cell>
        </row>
        <row r="7212">
          <cell r="B7212">
            <v>39989</v>
          </cell>
          <cell r="J7212">
            <v>3809804.3041216834</v>
          </cell>
          <cell r="K7212">
            <v>2.4380000000000002</v>
          </cell>
          <cell r="L7212">
            <v>148835</v>
          </cell>
          <cell r="M7212">
            <v>13229</v>
          </cell>
          <cell r="N7212">
            <v>683926.05601571908</v>
          </cell>
          <cell r="O7212">
            <v>692380.00232629513</v>
          </cell>
          <cell r="P7212">
            <v>368.79259999999999</v>
          </cell>
        </row>
        <row r="7213">
          <cell r="B7213">
            <v>39990</v>
          </cell>
          <cell r="J7213">
            <v>3809804.3041216834</v>
          </cell>
          <cell r="K7213">
            <v>2.4380000000000002</v>
          </cell>
          <cell r="L7213">
            <v>148835</v>
          </cell>
          <cell r="M7213">
            <v>13229</v>
          </cell>
          <cell r="N7213">
            <v>683926.05601571908</v>
          </cell>
          <cell r="O7213">
            <v>692380.00232629513</v>
          </cell>
          <cell r="P7213">
            <v>368.79259999999999</v>
          </cell>
        </row>
        <row r="7214">
          <cell r="B7214">
            <v>39991</v>
          </cell>
          <cell r="J7214">
            <v>3809804.3041216834</v>
          </cell>
          <cell r="K7214">
            <v>2.4380000000000002</v>
          </cell>
          <cell r="L7214">
            <v>148835</v>
          </cell>
          <cell r="M7214">
            <v>13229</v>
          </cell>
          <cell r="N7214">
            <v>683926.05601571908</v>
          </cell>
          <cell r="O7214">
            <v>692380.00232629513</v>
          </cell>
          <cell r="P7214">
            <v>368.79259999999999</v>
          </cell>
        </row>
        <row r="7215">
          <cell r="B7215">
            <v>39992</v>
          </cell>
          <cell r="J7215">
            <v>3809804.3041216834</v>
          </cell>
          <cell r="K7215">
            <v>2.4380000000000002</v>
          </cell>
          <cell r="L7215">
            <v>148835</v>
          </cell>
          <cell r="M7215">
            <v>13229</v>
          </cell>
          <cell r="N7215">
            <v>683926.05601571908</v>
          </cell>
          <cell r="O7215">
            <v>692380.00232629513</v>
          </cell>
          <cell r="P7215">
            <v>368.79259999999999</v>
          </cell>
        </row>
        <row r="7216">
          <cell r="B7216">
            <v>39993</v>
          </cell>
          <cell r="J7216">
            <v>3809804.3041216834</v>
          </cell>
          <cell r="K7216">
            <v>2.4380000000000002</v>
          </cell>
          <cell r="L7216">
            <v>148835</v>
          </cell>
          <cell r="M7216">
            <v>13229</v>
          </cell>
          <cell r="N7216">
            <v>683926.05601571908</v>
          </cell>
          <cell r="O7216">
            <v>692380.00232629513</v>
          </cell>
          <cell r="P7216">
            <v>368.79259999999999</v>
          </cell>
        </row>
        <row r="7217">
          <cell r="B7217">
            <v>39994</v>
          </cell>
          <cell r="J7217">
            <v>3809804.3041216834</v>
          </cell>
          <cell r="K7217">
            <v>2.4380000000000002</v>
          </cell>
          <cell r="L7217">
            <v>148835</v>
          </cell>
          <cell r="M7217">
            <v>13229</v>
          </cell>
          <cell r="N7217">
            <v>683926.05601571908</v>
          </cell>
          <cell r="O7217">
            <v>692380.00232629513</v>
          </cell>
          <cell r="P7217">
            <v>368.79259999999999</v>
          </cell>
        </row>
        <row r="7218">
          <cell r="B7218">
            <v>39995</v>
          </cell>
          <cell r="J7218">
            <v>3809804.3041216834</v>
          </cell>
          <cell r="K7218">
            <v>2.4380000000000002</v>
          </cell>
          <cell r="L7218">
            <v>148835</v>
          </cell>
          <cell r="M7218">
            <v>13229</v>
          </cell>
          <cell r="N7218">
            <v>683926.05601571908</v>
          </cell>
          <cell r="O7218">
            <v>692380.00232629513</v>
          </cell>
          <cell r="P7218">
            <v>368.79259999999999</v>
          </cell>
        </row>
        <row r="7219">
          <cell r="B7219">
            <v>39996</v>
          </cell>
          <cell r="J7219">
            <v>3809804.3041216834</v>
          </cell>
          <cell r="K7219">
            <v>2.4380000000000002</v>
          </cell>
          <cell r="L7219">
            <v>148835</v>
          </cell>
          <cell r="M7219">
            <v>13229</v>
          </cell>
          <cell r="N7219">
            <v>683926.05601571908</v>
          </cell>
          <cell r="O7219">
            <v>692380.00232629513</v>
          </cell>
          <cell r="P7219">
            <v>368.79259999999999</v>
          </cell>
        </row>
        <row r="7220">
          <cell r="B7220">
            <v>39997</v>
          </cell>
          <cell r="J7220">
            <v>3809804.3041216834</v>
          </cell>
          <cell r="K7220">
            <v>2.4380000000000002</v>
          </cell>
          <cell r="L7220">
            <v>148835</v>
          </cell>
          <cell r="M7220">
            <v>13229</v>
          </cell>
          <cell r="N7220">
            <v>683926.05601571908</v>
          </cell>
          <cell r="O7220">
            <v>692380.00232629513</v>
          </cell>
          <cell r="P7220">
            <v>368.79259999999999</v>
          </cell>
        </row>
        <row r="7221">
          <cell r="B7221">
            <v>39998</v>
          </cell>
          <cell r="J7221">
            <v>3809804.3041216834</v>
          </cell>
          <cell r="K7221">
            <v>2.4380000000000002</v>
          </cell>
          <cell r="L7221">
            <v>148835</v>
          </cell>
          <cell r="M7221">
            <v>13229</v>
          </cell>
          <cell r="N7221">
            <v>683926.05601571908</v>
          </cell>
          <cell r="O7221">
            <v>692380.00232629513</v>
          </cell>
          <cell r="P7221">
            <v>368.79259999999999</v>
          </cell>
        </row>
        <row r="7222">
          <cell r="B7222">
            <v>39999</v>
          </cell>
          <cell r="J7222">
            <v>3809804.3041216834</v>
          </cell>
          <cell r="K7222">
            <v>2.4380000000000002</v>
          </cell>
          <cell r="L7222">
            <v>148835</v>
          </cell>
          <cell r="M7222">
            <v>13229</v>
          </cell>
          <cell r="N7222">
            <v>683926.05601571908</v>
          </cell>
          <cell r="O7222">
            <v>692380.00232629513</v>
          </cell>
          <cell r="P7222">
            <v>368.79259999999999</v>
          </cell>
        </row>
        <row r="7223">
          <cell r="B7223">
            <v>40000</v>
          </cell>
          <cell r="J7223">
            <v>3809804.3041216834</v>
          </cell>
          <cell r="K7223">
            <v>2.4380000000000002</v>
          </cell>
          <cell r="L7223">
            <v>148835</v>
          </cell>
          <cell r="M7223">
            <v>13229</v>
          </cell>
          <cell r="N7223">
            <v>683926.05601571908</v>
          </cell>
          <cell r="O7223">
            <v>692380.00232629513</v>
          </cell>
          <cell r="P7223">
            <v>368.79259999999999</v>
          </cell>
        </row>
        <row r="7224">
          <cell r="B7224">
            <v>40001</v>
          </cell>
          <cell r="J7224">
            <v>3809804.3041216834</v>
          </cell>
          <cell r="K7224">
            <v>2.4380000000000002</v>
          </cell>
          <cell r="L7224">
            <v>148835</v>
          </cell>
          <cell r="M7224">
            <v>13229</v>
          </cell>
          <cell r="N7224">
            <v>683926.05601571908</v>
          </cell>
          <cell r="O7224">
            <v>692380.00232629513</v>
          </cell>
          <cell r="P7224">
            <v>368.79259999999999</v>
          </cell>
        </row>
        <row r="7225">
          <cell r="B7225">
            <v>40002</v>
          </cell>
          <cell r="J7225">
            <v>3809804.3041216834</v>
          </cell>
          <cell r="K7225">
            <v>2.4380000000000002</v>
          </cell>
          <cell r="L7225">
            <v>148835</v>
          </cell>
          <cell r="M7225">
            <v>13229</v>
          </cell>
          <cell r="N7225">
            <v>683926.05601571908</v>
          </cell>
          <cell r="O7225">
            <v>692380.00232629513</v>
          </cell>
          <cell r="P7225">
            <v>368.79259999999999</v>
          </cell>
        </row>
        <row r="7226">
          <cell r="B7226">
            <v>40003</v>
          </cell>
          <cell r="J7226">
            <v>3809804.3041216834</v>
          </cell>
          <cell r="K7226">
            <v>2.4380000000000002</v>
          </cell>
          <cell r="L7226">
            <v>148835</v>
          </cell>
          <cell r="M7226">
            <v>13229</v>
          </cell>
          <cell r="N7226">
            <v>683926.05601571908</v>
          </cell>
          <cell r="O7226">
            <v>692380.00232629513</v>
          </cell>
          <cell r="P7226">
            <v>368.79259999999999</v>
          </cell>
        </row>
        <row r="7227">
          <cell r="B7227">
            <v>40004</v>
          </cell>
          <cell r="J7227">
            <v>3809804.3041216834</v>
          </cell>
          <cell r="K7227">
            <v>2.4380000000000002</v>
          </cell>
          <cell r="L7227">
            <v>148835</v>
          </cell>
          <cell r="M7227">
            <v>13229</v>
          </cell>
          <cell r="N7227">
            <v>683926.05601571908</v>
          </cell>
          <cell r="O7227">
            <v>692380.00232629513</v>
          </cell>
          <cell r="P7227">
            <v>368.79259999999999</v>
          </cell>
        </row>
        <row r="7228">
          <cell r="B7228">
            <v>40005</v>
          </cell>
          <cell r="J7228">
            <v>3809804.3041216834</v>
          </cell>
          <cell r="K7228">
            <v>2.4380000000000002</v>
          </cell>
          <cell r="L7228">
            <v>148835</v>
          </cell>
          <cell r="M7228">
            <v>13229</v>
          </cell>
          <cell r="N7228">
            <v>683926.05601571908</v>
          </cell>
          <cell r="O7228">
            <v>692380.00232629513</v>
          </cell>
          <cell r="P7228">
            <v>368.79259999999999</v>
          </cell>
        </row>
        <row r="7229">
          <cell r="B7229">
            <v>40006</v>
          </cell>
          <cell r="J7229">
            <v>3809804.3041216834</v>
          </cell>
          <cell r="K7229">
            <v>2.4380000000000002</v>
          </cell>
          <cell r="L7229">
            <v>148835</v>
          </cell>
          <cell r="M7229">
            <v>13229</v>
          </cell>
          <cell r="N7229">
            <v>683926.05601571908</v>
          </cell>
          <cell r="O7229">
            <v>692380.00232629513</v>
          </cell>
          <cell r="P7229">
            <v>368.79259999999999</v>
          </cell>
        </row>
        <row r="7230">
          <cell r="B7230">
            <v>40007</v>
          </cell>
          <cell r="J7230">
            <v>3809804.3041216834</v>
          </cell>
          <cell r="K7230">
            <v>2.4380000000000002</v>
          </cell>
          <cell r="L7230">
            <v>148835</v>
          </cell>
          <cell r="M7230">
            <v>13229</v>
          </cell>
          <cell r="N7230">
            <v>683926.05601571908</v>
          </cell>
          <cell r="O7230">
            <v>692380.00232629513</v>
          </cell>
          <cell r="P7230">
            <v>368.79259999999999</v>
          </cell>
        </row>
        <row r="7231">
          <cell r="B7231">
            <v>40008</v>
          </cell>
          <cell r="J7231">
            <v>3809804.3041216834</v>
          </cell>
          <cell r="K7231">
            <v>2.4380000000000002</v>
          </cell>
          <cell r="L7231">
            <v>148835</v>
          </cell>
          <cell r="M7231">
            <v>13229</v>
          </cell>
          <cell r="N7231">
            <v>683926.05601571908</v>
          </cell>
          <cell r="O7231">
            <v>692380.00232629513</v>
          </cell>
          <cell r="P7231">
            <v>368.79259999999999</v>
          </cell>
        </row>
        <row r="7232">
          <cell r="B7232">
            <v>40009</v>
          </cell>
          <cell r="J7232">
            <v>3809804.3041216834</v>
          </cell>
          <cell r="K7232">
            <v>2.4380000000000002</v>
          </cell>
          <cell r="L7232">
            <v>148835</v>
          </cell>
          <cell r="M7232">
            <v>13229</v>
          </cell>
          <cell r="N7232">
            <v>683926.05601571908</v>
          </cell>
          <cell r="O7232">
            <v>692380.00232629513</v>
          </cell>
          <cell r="P7232">
            <v>368.79259999999999</v>
          </cell>
        </row>
        <row r="7233">
          <cell r="B7233">
            <v>40010</v>
          </cell>
          <cell r="J7233">
            <v>3809804.3041216834</v>
          </cell>
          <cell r="K7233">
            <v>2.4380000000000002</v>
          </cell>
          <cell r="L7233">
            <v>148835</v>
          </cell>
          <cell r="M7233">
            <v>13229</v>
          </cell>
          <cell r="N7233">
            <v>683926.05601571908</v>
          </cell>
          <cell r="O7233">
            <v>692380.00232629513</v>
          </cell>
          <cell r="P7233">
            <v>368.79259999999999</v>
          </cell>
        </row>
        <row r="7234">
          <cell r="B7234">
            <v>40011</v>
          </cell>
          <cell r="J7234">
            <v>3809804.3041216834</v>
          </cell>
          <cell r="K7234">
            <v>2.4380000000000002</v>
          </cell>
          <cell r="L7234">
            <v>148835</v>
          </cell>
          <cell r="M7234">
            <v>13229</v>
          </cell>
          <cell r="N7234">
            <v>683926.05601571908</v>
          </cell>
          <cell r="O7234">
            <v>692380.00232629513</v>
          </cell>
          <cell r="P7234">
            <v>368.79259999999999</v>
          </cell>
        </row>
        <row r="7235">
          <cell r="B7235">
            <v>40012</v>
          </cell>
          <cell r="J7235">
            <v>3809804.3041216834</v>
          </cell>
          <cell r="K7235">
            <v>2.4380000000000002</v>
          </cell>
          <cell r="L7235">
            <v>148835</v>
          </cell>
          <cell r="M7235">
            <v>13229</v>
          </cell>
          <cell r="N7235">
            <v>683926.05601571908</v>
          </cell>
          <cell r="O7235">
            <v>692380.00232629513</v>
          </cell>
          <cell r="P7235">
            <v>368.79259999999999</v>
          </cell>
        </row>
        <row r="7236">
          <cell r="B7236">
            <v>40013</v>
          </cell>
          <cell r="J7236">
            <v>3809804.3041216834</v>
          </cell>
          <cell r="K7236">
            <v>2.4380000000000002</v>
          </cell>
          <cell r="L7236">
            <v>148835</v>
          </cell>
          <cell r="M7236">
            <v>13229</v>
          </cell>
          <cell r="N7236">
            <v>683926.05601571908</v>
          </cell>
          <cell r="O7236">
            <v>692380.00232629513</v>
          </cell>
          <cell r="P7236">
            <v>368.79259999999999</v>
          </cell>
        </row>
        <row r="7237">
          <cell r="B7237">
            <v>40014</v>
          </cell>
          <cell r="J7237">
            <v>3809804.3041216834</v>
          </cell>
          <cell r="K7237">
            <v>2.4380000000000002</v>
          </cell>
          <cell r="L7237">
            <v>148835</v>
          </cell>
          <cell r="M7237">
            <v>13229</v>
          </cell>
          <cell r="N7237">
            <v>683926.05601571908</v>
          </cell>
          <cell r="O7237">
            <v>692380.00232629513</v>
          </cell>
          <cell r="P7237">
            <v>368.79259999999999</v>
          </cell>
        </row>
        <row r="7238">
          <cell r="B7238">
            <v>40015</v>
          </cell>
          <cell r="J7238">
            <v>3809804.3041216834</v>
          </cell>
          <cell r="K7238">
            <v>2.4380000000000002</v>
          </cell>
          <cell r="L7238">
            <v>148835</v>
          </cell>
          <cell r="M7238">
            <v>13229</v>
          </cell>
          <cell r="N7238">
            <v>683926.05601571908</v>
          </cell>
          <cell r="O7238">
            <v>692380.00232629513</v>
          </cell>
          <cell r="P7238">
            <v>368.79259999999999</v>
          </cell>
        </row>
        <row r="7239">
          <cell r="B7239">
            <v>40016</v>
          </cell>
          <cell r="J7239">
            <v>3809804.3041216834</v>
          </cell>
          <cell r="K7239">
            <v>2.4380000000000002</v>
          </cell>
          <cell r="L7239">
            <v>148835</v>
          </cell>
          <cell r="M7239">
            <v>13229</v>
          </cell>
          <cell r="N7239">
            <v>683926.05601571908</v>
          </cell>
          <cell r="O7239">
            <v>692380.00232629513</v>
          </cell>
          <cell r="P7239">
            <v>368.79259999999999</v>
          </cell>
        </row>
        <row r="7240">
          <cell r="B7240">
            <v>40017</v>
          </cell>
          <cell r="J7240">
            <v>3809804.3041216834</v>
          </cell>
          <cell r="K7240">
            <v>2.4380000000000002</v>
          </cell>
          <cell r="L7240">
            <v>148835</v>
          </cell>
          <cell r="M7240">
            <v>13229</v>
          </cell>
          <cell r="N7240">
            <v>683926.05601571908</v>
          </cell>
          <cell r="O7240">
            <v>692380.00232629513</v>
          </cell>
          <cell r="P7240">
            <v>368.79259999999999</v>
          </cell>
        </row>
        <row r="7241">
          <cell r="B7241">
            <v>40018</v>
          </cell>
          <cell r="J7241">
            <v>3809804.3041216834</v>
          </cell>
          <cell r="K7241">
            <v>2.4380000000000002</v>
          </cell>
          <cell r="L7241">
            <v>148835</v>
          </cell>
          <cell r="M7241">
            <v>13229</v>
          </cell>
          <cell r="N7241">
            <v>683926.05601571908</v>
          </cell>
          <cell r="O7241">
            <v>692380.00232629513</v>
          </cell>
          <cell r="P7241">
            <v>368.79259999999999</v>
          </cell>
        </row>
        <row r="7242">
          <cell r="B7242">
            <v>40019</v>
          </cell>
          <cell r="J7242">
            <v>3809804.3041216834</v>
          </cell>
          <cell r="K7242">
            <v>2.4380000000000002</v>
          </cell>
          <cell r="L7242">
            <v>148835</v>
          </cell>
          <cell r="M7242">
            <v>13229</v>
          </cell>
          <cell r="N7242">
            <v>683926.05601571908</v>
          </cell>
          <cell r="O7242">
            <v>692380.00232629513</v>
          </cell>
          <cell r="P7242">
            <v>368.79259999999999</v>
          </cell>
        </row>
        <row r="7243">
          <cell r="B7243">
            <v>40020</v>
          </cell>
          <cell r="J7243">
            <v>3809804.3041216834</v>
          </cell>
          <cell r="K7243">
            <v>2.4380000000000002</v>
          </cell>
          <cell r="L7243">
            <v>148835</v>
          </cell>
          <cell r="M7243">
            <v>13229</v>
          </cell>
          <cell r="N7243">
            <v>683926.05601571908</v>
          </cell>
          <cell r="O7243">
            <v>692380.00232629513</v>
          </cell>
          <cell r="P7243">
            <v>368.79259999999999</v>
          </cell>
        </row>
        <row r="7244">
          <cell r="B7244">
            <v>40021</v>
          </cell>
          <cell r="J7244">
            <v>3809804.3041216834</v>
          </cell>
          <cell r="K7244">
            <v>2.4380000000000002</v>
          </cell>
          <cell r="L7244">
            <v>148835</v>
          </cell>
          <cell r="M7244">
            <v>13229</v>
          </cell>
          <cell r="N7244">
            <v>683926.05601571908</v>
          </cell>
          <cell r="O7244">
            <v>692380.00232629513</v>
          </cell>
          <cell r="P7244">
            <v>368.79259999999999</v>
          </cell>
        </row>
        <row r="7245">
          <cell r="B7245">
            <v>40022</v>
          </cell>
          <cell r="J7245">
            <v>3809804.3041216834</v>
          </cell>
          <cell r="K7245">
            <v>2.4380000000000002</v>
          </cell>
          <cell r="L7245">
            <v>148835</v>
          </cell>
          <cell r="M7245">
            <v>13229</v>
          </cell>
          <cell r="N7245">
            <v>683926.05601571908</v>
          </cell>
          <cell r="O7245">
            <v>692380.00232629513</v>
          </cell>
          <cell r="P7245">
            <v>368.79259999999999</v>
          </cell>
        </row>
        <row r="7246">
          <cell r="B7246">
            <v>40023</v>
          </cell>
          <cell r="J7246">
            <v>3809804.3041216834</v>
          </cell>
          <cell r="K7246">
            <v>2.4380000000000002</v>
          </cell>
          <cell r="L7246">
            <v>148835</v>
          </cell>
          <cell r="M7246">
            <v>13229</v>
          </cell>
          <cell r="N7246">
            <v>683926.05601571908</v>
          </cell>
          <cell r="O7246">
            <v>692380.00232629513</v>
          </cell>
          <cell r="P7246">
            <v>368.79259999999999</v>
          </cell>
        </row>
        <row r="7247">
          <cell r="B7247">
            <v>40024</v>
          </cell>
          <cell r="J7247">
            <v>3809804.3041216834</v>
          </cell>
          <cell r="K7247">
            <v>2.4380000000000002</v>
          </cell>
          <cell r="L7247">
            <v>148835</v>
          </cell>
          <cell r="M7247">
            <v>13229</v>
          </cell>
          <cell r="N7247">
            <v>683926.05601571908</v>
          </cell>
          <cell r="O7247">
            <v>692380.00232629513</v>
          </cell>
          <cell r="P7247">
            <v>368.79259999999999</v>
          </cell>
        </row>
        <row r="7248">
          <cell r="B7248">
            <v>40025</v>
          </cell>
          <cell r="J7248">
            <v>3809804.3041216834</v>
          </cell>
          <cell r="K7248">
            <v>2.4380000000000002</v>
          </cell>
          <cell r="L7248">
            <v>148835</v>
          </cell>
          <cell r="M7248">
            <v>13229</v>
          </cell>
          <cell r="N7248">
            <v>683926.05601571908</v>
          </cell>
          <cell r="O7248">
            <v>692380.00232629513</v>
          </cell>
          <cell r="P7248">
            <v>368.79259999999999</v>
          </cell>
        </row>
        <row r="7249">
          <cell r="B7249">
            <v>40026</v>
          </cell>
          <cell r="J7249">
            <v>3809804.3041216834</v>
          </cell>
          <cell r="K7249">
            <v>2.4380000000000002</v>
          </cell>
          <cell r="L7249">
            <v>148835</v>
          </cell>
          <cell r="M7249">
            <v>13229</v>
          </cell>
          <cell r="N7249">
            <v>683926.05601571908</v>
          </cell>
          <cell r="O7249">
            <v>692380.00232629513</v>
          </cell>
          <cell r="P7249">
            <v>368.79259999999999</v>
          </cell>
        </row>
        <row r="7250">
          <cell r="B7250">
            <v>40027</v>
          </cell>
          <cell r="J7250">
            <v>3809804.3041216834</v>
          </cell>
          <cell r="K7250">
            <v>2.4380000000000002</v>
          </cell>
          <cell r="L7250">
            <v>148835</v>
          </cell>
          <cell r="M7250">
            <v>13229</v>
          </cell>
          <cell r="N7250">
            <v>683926.05601571908</v>
          </cell>
          <cell r="O7250">
            <v>692380.00232629513</v>
          </cell>
          <cell r="P7250">
            <v>368.79259999999999</v>
          </cell>
        </row>
        <row r="7251">
          <cell r="B7251">
            <v>40028</v>
          </cell>
          <cell r="J7251">
            <v>3809804.3041216834</v>
          </cell>
          <cell r="K7251">
            <v>2.4380000000000002</v>
          </cell>
          <cell r="L7251">
            <v>148835</v>
          </cell>
          <cell r="M7251">
            <v>13229</v>
          </cell>
          <cell r="N7251">
            <v>683926.05601571908</v>
          </cell>
          <cell r="O7251">
            <v>692380.00232629513</v>
          </cell>
          <cell r="P7251">
            <v>368.79259999999999</v>
          </cell>
        </row>
        <row r="7252">
          <cell r="B7252">
            <v>40029</v>
          </cell>
          <cell r="J7252">
            <v>3809804.3041216834</v>
          </cell>
          <cell r="K7252">
            <v>2.4380000000000002</v>
          </cell>
          <cell r="L7252">
            <v>148835</v>
          </cell>
          <cell r="M7252">
            <v>13229</v>
          </cell>
          <cell r="N7252">
            <v>683926.05601571908</v>
          </cell>
          <cell r="O7252">
            <v>692380.00232629513</v>
          </cell>
          <cell r="P7252">
            <v>368.79259999999999</v>
          </cell>
        </row>
        <row r="7253">
          <cell r="B7253">
            <v>40030</v>
          </cell>
          <cell r="J7253">
            <v>3809804.3041216834</v>
          </cell>
          <cell r="K7253">
            <v>2.4380000000000002</v>
          </cell>
          <cell r="L7253">
            <v>148835</v>
          </cell>
          <cell r="M7253">
            <v>13229</v>
          </cell>
          <cell r="N7253">
            <v>683926.05601571908</v>
          </cell>
          <cell r="O7253">
            <v>692380.00232629513</v>
          </cell>
          <cell r="P7253">
            <v>368.79259999999999</v>
          </cell>
        </row>
        <row r="7254">
          <cell r="B7254">
            <v>40031</v>
          </cell>
          <cell r="J7254">
            <v>3809804.3041216834</v>
          </cell>
          <cell r="K7254">
            <v>2.4380000000000002</v>
          </cell>
          <cell r="L7254">
            <v>148835</v>
          </cell>
          <cell r="M7254">
            <v>13229</v>
          </cell>
          <cell r="N7254">
            <v>683926.05601571908</v>
          </cell>
          <cell r="O7254">
            <v>692380.00232629513</v>
          </cell>
          <cell r="P7254">
            <v>368.79259999999999</v>
          </cell>
        </row>
        <row r="7255">
          <cell r="B7255">
            <v>40032</v>
          </cell>
          <cell r="J7255">
            <v>3809804.3041216834</v>
          </cell>
          <cell r="K7255">
            <v>2.4380000000000002</v>
          </cell>
          <cell r="L7255">
            <v>148835</v>
          </cell>
          <cell r="M7255">
            <v>13229</v>
          </cell>
          <cell r="N7255">
            <v>683926.05601571908</v>
          </cell>
          <cell r="O7255">
            <v>692380.00232629513</v>
          </cell>
          <cell r="P7255">
            <v>368.79259999999999</v>
          </cell>
        </row>
        <row r="7256">
          <cell r="B7256">
            <v>40033</v>
          </cell>
          <cell r="J7256">
            <v>3809804.3041216834</v>
          </cell>
          <cell r="K7256">
            <v>2.4380000000000002</v>
          </cell>
          <cell r="L7256">
            <v>148835</v>
          </cell>
          <cell r="M7256">
            <v>13229</v>
          </cell>
          <cell r="N7256">
            <v>683926.05601571908</v>
          </cell>
          <cell r="O7256">
            <v>692380.00232629513</v>
          </cell>
          <cell r="P7256">
            <v>368.79259999999999</v>
          </cell>
        </row>
        <row r="7257">
          <cell r="B7257">
            <v>40034</v>
          </cell>
          <cell r="J7257">
            <v>3809804.3041216834</v>
          </cell>
          <cell r="K7257">
            <v>2.4380000000000002</v>
          </cell>
          <cell r="L7257">
            <v>148835</v>
          </cell>
          <cell r="M7257">
            <v>13229</v>
          </cell>
          <cell r="N7257">
            <v>683926.05601571908</v>
          </cell>
          <cell r="O7257">
            <v>692380.00232629513</v>
          </cell>
          <cell r="P7257">
            <v>368.79259999999999</v>
          </cell>
        </row>
        <row r="7258">
          <cell r="B7258">
            <v>40035</v>
          </cell>
          <cell r="J7258">
            <v>3809804.3041216834</v>
          </cell>
          <cell r="K7258">
            <v>2.4380000000000002</v>
          </cell>
          <cell r="L7258">
            <v>148835</v>
          </cell>
          <cell r="M7258">
            <v>13229</v>
          </cell>
          <cell r="N7258">
            <v>683926.05601571908</v>
          </cell>
          <cell r="O7258">
            <v>692380.00232629513</v>
          </cell>
          <cell r="P7258">
            <v>368.79259999999999</v>
          </cell>
        </row>
        <row r="7259">
          <cell r="B7259">
            <v>40036</v>
          </cell>
          <cell r="J7259">
            <v>3809804.3041216834</v>
          </cell>
          <cell r="K7259">
            <v>2.4380000000000002</v>
          </cell>
          <cell r="L7259">
            <v>148835</v>
          </cell>
          <cell r="M7259">
            <v>13229</v>
          </cell>
          <cell r="N7259">
            <v>683926.05601571908</v>
          </cell>
          <cell r="O7259">
            <v>692380.00232629513</v>
          </cell>
          <cell r="P7259">
            <v>368.79259999999999</v>
          </cell>
        </row>
        <row r="7260">
          <cell r="B7260">
            <v>40037</v>
          </cell>
          <cell r="J7260">
            <v>3809804.3041216834</v>
          </cell>
          <cell r="K7260">
            <v>2.4380000000000002</v>
          </cell>
          <cell r="L7260">
            <v>148835</v>
          </cell>
          <cell r="M7260">
            <v>13229</v>
          </cell>
          <cell r="N7260">
            <v>683926.05601571908</v>
          </cell>
          <cell r="O7260">
            <v>692380.00232629513</v>
          </cell>
          <cell r="P7260">
            <v>368.79259999999999</v>
          </cell>
        </row>
        <row r="7261">
          <cell r="B7261">
            <v>40038</v>
          </cell>
          <cell r="J7261">
            <v>3809804.3041216834</v>
          </cell>
          <cell r="K7261">
            <v>2.4380000000000002</v>
          </cell>
          <cell r="L7261">
            <v>148835</v>
          </cell>
          <cell r="M7261">
            <v>13229</v>
          </cell>
          <cell r="N7261">
            <v>683926.05601571908</v>
          </cell>
          <cell r="O7261">
            <v>692380.00232629513</v>
          </cell>
          <cell r="P7261">
            <v>368.79259999999999</v>
          </cell>
        </row>
        <row r="7262">
          <cell r="B7262">
            <v>40039</v>
          </cell>
          <cell r="J7262">
            <v>3809804.3041216834</v>
          </cell>
          <cell r="K7262">
            <v>2.4380000000000002</v>
          </cell>
          <cell r="L7262">
            <v>148835</v>
          </cell>
          <cell r="M7262">
            <v>13229</v>
          </cell>
          <cell r="N7262">
            <v>683926.05601571908</v>
          </cell>
          <cell r="O7262">
            <v>692380.00232629513</v>
          </cell>
          <cell r="P7262">
            <v>368.79259999999999</v>
          </cell>
        </row>
        <row r="7263">
          <cell r="B7263">
            <v>40040</v>
          </cell>
          <cell r="J7263">
            <v>3809804.3041216834</v>
          </cell>
          <cell r="K7263">
            <v>2.4380000000000002</v>
          </cell>
          <cell r="L7263">
            <v>148835</v>
          </cell>
          <cell r="M7263">
            <v>13229</v>
          </cell>
          <cell r="N7263">
            <v>683926.05601571908</v>
          </cell>
          <cell r="O7263">
            <v>692380.00232629513</v>
          </cell>
          <cell r="P7263">
            <v>368.79259999999999</v>
          </cell>
        </row>
        <row r="7264">
          <cell r="B7264">
            <v>40041</v>
          </cell>
          <cell r="J7264">
            <v>3809804.3041216834</v>
          </cell>
          <cell r="K7264">
            <v>2.4380000000000002</v>
          </cell>
          <cell r="L7264">
            <v>148835</v>
          </cell>
          <cell r="M7264">
            <v>13229</v>
          </cell>
          <cell r="N7264">
            <v>683926.05601571908</v>
          </cell>
          <cell r="O7264">
            <v>692380.00232629513</v>
          </cell>
          <cell r="P7264">
            <v>368.79259999999999</v>
          </cell>
        </row>
        <row r="7265">
          <cell r="B7265">
            <v>40042</v>
          </cell>
          <cell r="J7265">
            <v>3809804.3041216834</v>
          </cell>
          <cell r="K7265">
            <v>2.4380000000000002</v>
          </cell>
          <cell r="L7265">
            <v>148835</v>
          </cell>
          <cell r="M7265">
            <v>13229</v>
          </cell>
          <cell r="N7265">
            <v>683926.05601571908</v>
          </cell>
          <cell r="O7265">
            <v>692380.00232629513</v>
          </cell>
          <cell r="P7265">
            <v>368.79259999999999</v>
          </cell>
        </row>
        <row r="7266">
          <cell r="B7266">
            <v>40043</v>
          </cell>
          <cell r="J7266">
            <v>3809804.3041216834</v>
          </cell>
          <cell r="K7266">
            <v>2.4380000000000002</v>
          </cell>
          <cell r="L7266">
            <v>148835</v>
          </cell>
          <cell r="M7266">
            <v>13229</v>
          </cell>
          <cell r="N7266">
            <v>683926.05601571908</v>
          </cell>
          <cell r="O7266">
            <v>692380.00232629513</v>
          </cell>
          <cell r="P7266">
            <v>368.79259999999999</v>
          </cell>
        </row>
        <row r="7267">
          <cell r="B7267">
            <v>40044</v>
          </cell>
          <cell r="J7267">
            <v>3809804.3041216834</v>
          </cell>
          <cell r="K7267">
            <v>2.4380000000000002</v>
          </cell>
          <cell r="L7267">
            <v>148835</v>
          </cell>
          <cell r="M7267">
            <v>13229</v>
          </cell>
          <cell r="N7267">
            <v>683926.05601571908</v>
          </cell>
          <cell r="O7267">
            <v>692380.00232629513</v>
          </cell>
          <cell r="P7267">
            <v>368.79259999999999</v>
          </cell>
        </row>
        <row r="7268">
          <cell r="B7268">
            <v>40045</v>
          </cell>
          <cell r="J7268">
            <v>3809804.3041216834</v>
          </cell>
          <cell r="K7268">
            <v>2.4380000000000002</v>
          </cell>
          <cell r="L7268">
            <v>148835</v>
          </cell>
          <cell r="M7268">
            <v>13229</v>
          </cell>
          <cell r="N7268">
            <v>683926.05601571908</v>
          </cell>
          <cell r="O7268">
            <v>692380.00232629513</v>
          </cell>
          <cell r="P7268">
            <v>368.79259999999999</v>
          </cell>
        </row>
        <row r="7269">
          <cell r="B7269">
            <v>40046</v>
          </cell>
          <cell r="J7269">
            <v>3809804.3041216834</v>
          </cell>
          <cell r="K7269">
            <v>2.4380000000000002</v>
          </cell>
          <cell r="L7269">
            <v>148835</v>
          </cell>
          <cell r="M7269">
            <v>13229</v>
          </cell>
          <cell r="N7269">
            <v>683926.05601571908</v>
          </cell>
          <cell r="O7269">
            <v>692380.00232629513</v>
          </cell>
          <cell r="P7269">
            <v>368.79259999999999</v>
          </cell>
        </row>
        <row r="7270">
          <cell r="B7270">
            <v>40047</v>
          </cell>
          <cell r="J7270">
            <v>3809804.3041216834</v>
          </cell>
          <cell r="K7270">
            <v>2.4380000000000002</v>
          </cell>
          <cell r="L7270">
            <v>148835</v>
          </cell>
          <cell r="M7270">
            <v>13229</v>
          </cell>
          <cell r="N7270">
            <v>683926.05601571908</v>
          </cell>
          <cell r="O7270">
            <v>692380.00232629513</v>
          </cell>
          <cell r="P7270">
            <v>368.79259999999999</v>
          </cell>
        </row>
        <row r="7271">
          <cell r="B7271">
            <v>40048</v>
          </cell>
          <cell r="J7271">
            <v>3809804.3041216834</v>
          </cell>
          <cell r="K7271">
            <v>2.4380000000000002</v>
          </cell>
          <cell r="L7271">
            <v>148835</v>
          </cell>
          <cell r="M7271">
            <v>13229</v>
          </cell>
          <cell r="N7271">
            <v>683926.05601571908</v>
          </cell>
          <cell r="O7271">
            <v>692380.00232629513</v>
          </cell>
          <cell r="P7271">
            <v>368.79259999999999</v>
          </cell>
        </row>
        <row r="7272">
          <cell r="B7272">
            <v>40049</v>
          </cell>
          <cell r="J7272">
            <v>3809804.3041216834</v>
          </cell>
          <cell r="K7272">
            <v>2.4380000000000002</v>
          </cell>
          <cell r="L7272">
            <v>148835</v>
          </cell>
          <cell r="M7272">
            <v>13229</v>
          </cell>
          <cell r="N7272">
            <v>683926.05601571908</v>
          </cell>
          <cell r="O7272">
            <v>692380.00232629513</v>
          </cell>
          <cell r="P7272">
            <v>368.79259999999999</v>
          </cell>
        </row>
        <row r="7273">
          <cell r="B7273">
            <v>40050</v>
          </cell>
          <cell r="J7273">
            <v>3809804.3041216834</v>
          </cell>
          <cell r="K7273">
            <v>2.4380000000000002</v>
          </cell>
          <cell r="L7273">
            <v>148835</v>
          </cell>
          <cell r="M7273">
            <v>13229</v>
          </cell>
          <cell r="N7273">
            <v>683926.05601571908</v>
          </cell>
          <cell r="O7273">
            <v>692380.00232629513</v>
          </cell>
          <cell r="P7273">
            <v>368.79259999999999</v>
          </cell>
        </row>
        <row r="7274">
          <cell r="B7274">
            <v>40051</v>
          </cell>
          <cell r="J7274">
            <v>3809804.3041216834</v>
          </cell>
          <cell r="K7274">
            <v>2.4380000000000002</v>
          </cell>
          <cell r="L7274">
            <v>148835</v>
          </cell>
          <cell r="M7274">
            <v>13229</v>
          </cell>
          <cell r="N7274">
            <v>683926.05601571908</v>
          </cell>
          <cell r="O7274">
            <v>692380.00232629513</v>
          </cell>
          <cell r="P7274">
            <v>368.79259999999999</v>
          </cell>
        </row>
        <row r="7275">
          <cell r="B7275">
            <v>40052</v>
          </cell>
          <cell r="J7275">
            <v>3809804.3041216834</v>
          </cell>
          <cell r="K7275">
            <v>2.4380000000000002</v>
          </cell>
          <cell r="L7275">
            <v>148835</v>
          </cell>
          <cell r="M7275">
            <v>13229</v>
          </cell>
          <cell r="N7275">
            <v>683926.05601571908</v>
          </cell>
          <cell r="O7275">
            <v>692380.00232629513</v>
          </cell>
          <cell r="P7275">
            <v>368.79259999999999</v>
          </cell>
        </row>
        <row r="7276">
          <cell r="B7276">
            <v>40053</v>
          </cell>
          <cell r="J7276">
            <v>3809804.3041216834</v>
          </cell>
          <cell r="K7276">
            <v>2.4380000000000002</v>
          </cell>
          <cell r="L7276">
            <v>148835</v>
          </cell>
          <cell r="M7276">
            <v>13229</v>
          </cell>
          <cell r="N7276">
            <v>683926.05601571908</v>
          </cell>
          <cell r="O7276">
            <v>692380.00232629513</v>
          </cell>
          <cell r="P7276">
            <v>368.79259999999999</v>
          </cell>
        </row>
        <row r="7277">
          <cell r="B7277">
            <v>40054</v>
          </cell>
          <cell r="J7277">
            <v>3809804.3041216834</v>
          </cell>
          <cell r="K7277">
            <v>2.4380000000000002</v>
          </cell>
          <cell r="L7277">
            <v>148835</v>
          </cell>
          <cell r="M7277">
            <v>13229</v>
          </cell>
          <cell r="N7277">
            <v>683926.05601571908</v>
          </cell>
          <cell r="O7277">
            <v>692380.00232629513</v>
          </cell>
          <cell r="P7277">
            <v>368.79259999999999</v>
          </cell>
        </row>
        <row r="7278">
          <cell r="B7278">
            <v>40055</v>
          </cell>
          <cell r="J7278">
            <v>3809804.3041216834</v>
          </cell>
          <cell r="K7278">
            <v>2.4380000000000002</v>
          </cell>
          <cell r="L7278">
            <v>148835</v>
          </cell>
          <cell r="M7278">
            <v>13229</v>
          </cell>
          <cell r="N7278">
            <v>683926.05601571908</v>
          </cell>
          <cell r="O7278">
            <v>692380.00232629513</v>
          </cell>
          <cell r="P7278">
            <v>368.79259999999999</v>
          </cell>
        </row>
        <row r="7279">
          <cell r="B7279">
            <v>40056</v>
          </cell>
          <cell r="J7279">
            <v>3809804.3041216834</v>
          </cell>
          <cell r="K7279">
            <v>2.4380000000000002</v>
          </cell>
          <cell r="L7279">
            <v>148835</v>
          </cell>
          <cell r="M7279">
            <v>13229</v>
          </cell>
          <cell r="N7279">
            <v>683926.05601571908</v>
          </cell>
          <cell r="O7279">
            <v>692380.00232629513</v>
          </cell>
          <cell r="P7279">
            <v>368.79259999999999</v>
          </cell>
        </row>
        <row r="7280">
          <cell r="B7280">
            <v>40057</v>
          </cell>
          <cell r="J7280">
            <v>3809804.3041216834</v>
          </cell>
          <cell r="K7280">
            <v>2.4380000000000002</v>
          </cell>
          <cell r="L7280">
            <v>148835</v>
          </cell>
          <cell r="M7280">
            <v>13229</v>
          </cell>
          <cell r="N7280">
            <v>683926.05601571908</v>
          </cell>
          <cell r="O7280">
            <v>692380.00232629513</v>
          </cell>
          <cell r="P7280">
            <v>368.79259999999999</v>
          </cell>
        </row>
        <row r="7281">
          <cell r="B7281">
            <v>40058</v>
          </cell>
          <cell r="J7281">
            <v>3809804.3041216834</v>
          </cell>
          <cell r="K7281">
            <v>2.4380000000000002</v>
          </cell>
          <cell r="L7281">
            <v>148835</v>
          </cell>
          <cell r="M7281">
            <v>13229</v>
          </cell>
          <cell r="N7281">
            <v>683926.05601571908</v>
          </cell>
          <cell r="O7281">
            <v>692380.00232629513</v>
          </cell>
          <cell r="P7281">
            <v>368.79259999999999</v>
          </cell>
        </row>
        <row r="7282">
          <cell r="B7282">
            <v>40059</v>
          </cell>
          <cell r="J7282">
            <v>3809804.3041216834</v>
          </cell>
          <cell r="K7282">
            <v>2.4380000000000002</v>
          </cell>
          <cell r="L7282">
            <v>148835</v>
          </cell>
          <cell r="M7282">
            <v>13229</v>
          </cell>
          <cell r="N7282">
            <v>683926.05601571908</v>
          </cell>
          <cell r="O7282">
            <v>692380.00232629513</v>
          </cell>
          <cell r="P7282">
            <v>368.79259999999999</v>
          </cell>
        </row>
        <row r="7283">
          <cell r="B7283">
            <v>40060</v>
          </cell>
          <cell r="J7283">
            <v>3809804.3041216834</v>
          </cell>
          <cell r="K7283">
            <v>2.4380000000000002</v>
          </cell>
          <cell r="L7283">
            <v>148835</v>
          </cell>
          <cell r="M7283">
            <v>13229</v>
          </cell>
          <cell r="N7283">
            <v>683926.05601571908</v>
          </cell>
          <cell r="O7283">
            <v>692380.00232629513</v>
          </cell>
          <cell r="P7283">
            <v>368.79259999999999</v>
          </cell>
        </row>
        <row r="7284">
          <cell r="B7284">
            <v>40061</v>
          </cell>
          <cell r="J7284">
            <v>3809804.3041216834</v>
          </cell>
          <cell r="K7284">
            <v>2.4380000000000002</v>
          </cell>
          <cell r="L7284">
            <v>148835</v>
          </cell>
          <cell r="M7284">
            <v>13229</v>
          </cell>
          <cell r="N7284">
            <v>683926.05601571908</v>
          </cell>
          <cell r="O7284">
            <v>692380.00232629513</v>
          </cell>
          <cell r="P7284">
            <v>368.79259999999999</v>
          </cell>
        </row>
        <row r="7285">
          <cell r="B7285">
            <v>40062</v>
          </cell>
          <cell r="J7285">
            <v>3809804.3041216834</v>
          </cell>
          <cell r="K7285">
            <v>2.4380000000000002</v>
          </cell>
          <cell r="L7285">
            <v>148835</v>
          </cell>
          <cell r="M7285">
            <v>13229</v>
          </cell>
          <cell r="N7285">
            <v>683926.05601571908</v>
          </cell>
          <cell r="O7285">
            <v>692380.00232629513</v>
          </cell>
          <cell r="P7285">
            <v>368.79259999999999</v>
          </cell>
        </row>
        <row r="7286">
          <cell r="B7286">
            <v>40063</v>
          </cell>
          <cell r="J7286">
            <v>3809804.3041216834</v>
          </cell>
          <cell r="K7286">
            <v>2.4380000000000002</v>
          </cell>
          <cell r="L7286">
            <v>148835</v>
          </cell>
          <cell r="M7286">
            <v>13229</v>
          </cell>
          <cell r="N7286">
            <v>683926.05601571908</v>
          </cell>
          <cell r="O7286">
            <v>692380.00232629513</v>
          </cell>
          <cell r="P7286">
            <v>368.79259999999999</v>
          </cell>
        </row>
        <row r="7287">
          <cell r="B7287">
            <v>40064</v>
          </cell>
          <cell r="J7287">
            <v>3809804.3041216834</v>
          </cell>
          <cell r="K7287">
            <v>2.4380000000000002</v>
          </cell>
          <cell r="L7287">
            <v>148835</v>
          </cell>
          <cell r="M7287">
            <v>13229</v>
          </cell>
          <cell r="N7287">
            <v>683926.05601571908</v>
          </cell>
          <cell r="O7287">
            <v>692380.00232629513</v>
          </cell>
          <cell r="P7287">
            <v>368.79259999999999</v>
          </cell>
        </row>
        <row r="7288">
          <cell r="B7288">
            <v>40065</v>
          </cell>
          <cell r="J7288">
            <v>3809804.3041216834</v>
          </cell>
          <cell r="K7288">
            <v>2.4380000000000002</v>
          </cell>
          <cell r="L7288">
            <v>148835</v>
          </cell>
          <cell r="M7288">
            <v>13229</v>
          </cell>
          <cell r="N7288">
            <v>683926.05601571908</v>
          </cell>
          <cell r="O7288">
            <v>692380.00232629513</v>
          </cell>
          <cell r="P7288">
            <v>368.79259999999999</v>
          </cell>
        </row>
        <row r="7289">
          <cell r="B7289">
            <v>40066</v>
          </cell>
          <cell r="J7289">
            <v>3809804.3041216834</v>
          </cell>
          <cell r="K7289">
            <v>2.4380000000000002</v>
          </cell>
          <cell r="L7289">
            <v>148835</v>
          </cell>
          <cell r="M7289">
            <v>13229</v>
          </cell>
          <cell r="N7289">
            <v>683926.05601571908</v>
          </cell>
          <cell r="O7289">
            <v>692380.00232629513</v>
          </cell>
          <cell r="P7289">
            <v>368.79259999999999</v>
          </cell>
        </row>
        <row r="7290">
          <cell r="B7290">
            <v>40067</v>
          </cell>
          <cell r="J7290">
            <v>3809804.3041216834</v>
          </cell>
          <cell r="K7290">
            <v>2.4380000000000002</v>
          </cell>
          <cell r="L7290">
            <v>148835</v>
          </cell>
          <cell r="M7290">
            <v>13229</v>
          </cell>
          <cell r="N7290">
            <v>683926.05601571908</v>
          </cell>
          <cell r="O7290">
            <v>692380.00232629513</v>
          </cell>
          <cell r="P7290">
            <v>368.79259999999999</v>
          </cell>
        </row>
        <row r="7291">
          <cell r="B7291">
            <v>40068</v>
          </cell>
          <cell r="J7291">
            <v>3809804.3041216834</v>
          </cell>
          <cell r="K7291">
            <v>2.4380000000000002</v>
          </cell>
          <cell r="L7291">
            <v>148835</v>
          </cell>
          <cell r="M7291">
            <v>13229</v>
          </cell>
          <cell r="N7291">
            <v>683926.05601571908</v>
          </cell>
          <cell r="O7291">
            <v>692380.00232629513</v>
          </cell>
          <cell r="P7291">
            <v>368.79259999999999</v>
          </cell>
        </row>
        <row r="7292">
          <cell r="B7292">
            <v>40069</v>
          </cell>
          <cell r="J7292">
            <v>3809804.3041216834</v>
          </cell>
          <cell r="K7292">
            <v>2.4380000000000002</v>
          </cell>
          <cell r="L7292">
            <v>148835</v>
          </cell>
          <cell r="M7292">
            <v>13229</v>
          </cell>
          <cell r="N7292">
            <v>683926.05601571908</v>
          </cell>
          <cell r="O7292">
            <v>692380.00232629513</v>
          </cell>
          <cell r="P7292">
            <v>368.79259999999999</v>
          </cell>
        </row>
        <row r="7293">
          <cell r="B7293">
            <v>40070</v>
          </cell>
          <cell r="J7293">
            <v>3809804.3041216834</v>
          </cell>
          <cell r="K7293">
            <v>2.4380000000000002</v>
          </cell>
          <cell r="L7293">
            <v>148835</v>
          </cell>
          <cell r="M7293">
            <v>13229</v>
          </cell>
          <cell r="N7293">
            <v>683926.05601571908</v>
          </cell>
          <cell r="O7293">
            <v>692380.00232629513</v>
          </cell>
          <cell r="P7293">
            <v>368.79259999999999</v>
          </cell>
        </row>
        <row r="7294">
          <cell r="B7294">
            <v>40071</v>
          </cell>
          <cell r="J7294">
            <v>3809804.3041216834</v>
          </cell>
          <cell r="K7294">
            <v>2.4380000000000002</v>
          </cell>
          <cell r="L7294">
            <v>148835</v>
          </cell>
          <cell r="M7294">
            <v>13229</v>
          </cell>
          <cell r="N7294">
            <v>683926.05601571908</v>
          </cell>
          <cell r="O7294">
            <v>692380.00232629513</v>
          </cell>
          <cell r="P7294">
            <v>368.79259999999999</v>
          </cell>
        </row>
        <row r="7295">
          <cell r="B7295">
            <v>40072</v>
          </cell>
          <cell r="J7295">
            <v>3809804.3041216834</v>
          </cell>
          <cell r="K7295">
            <v>2.4380000000000002</v>
          </cell>
          <cell r="L7295">
            <v>148835</v>
          </cell>
          <cell r="M7295">
            <v>13229</v>
          </cell>
          <cell r="N7295">
            <v>683926.05601571908</v>
          </cell>
          <cell r="O7295">
            <v>692380.00232629513</v>
          </cell>
          <cell r="P7295">
            <v>368.79259999999999</v>
          </cell>
        </row>
        <row r="7296">
          <cell r="B7296">
            <v>40073</v>
          </cell>
          <cell r="J7296">
            <v>3809804.3041216834</v>
          </cell>
          <cell r="K7296">
            <v>2.4380000000000002</v>
          </cell>
          <cell r="L7296">
            <v>148835</v>
          </cell>
          <cell r="M7296">
            <v>13229</v>
          </cell>
          <cell r="N7296">
            <v>683926.05601571908</v>
          </cell>
          <cell r="O7296">
            <v>692380.00232629513</v>
          </cell>
          <cell r="P7296">
            <v>368.79259999999999</v>
          </cell>
        </row>
        <row r="7297">
          <cell r="B7297">
            <v>40074</v>
          </cell>
          <cell r="J7297">
            <v>3809804.3041216834</v>
          </cell>
          <cell r="K7297">
            <v>2.4380000000000002</v>
          </cell>
          <cell r="L7297">
            <v>148835</v>
          </cell>
          <cell r="M7297">
            <v>13229</v>
          </cell>
          <cell r="N7297">
            <v>683926.05601571908</v>
          </cell>
          <cell r="O7297">
            <v>692380.00232629513</v>
          </cell>
          <cell r="P7297">
            <v>368.79259999999999</v>
          </cell>
        </row>
        <row r="7298">
          <cell r="B7298">
            <v>40075</v>
          </cell>
          <cell r="J7298">
            <v>3809804.3041216834</v>
          </cell>
          <cell r="K7298">
            <v>2.4380000000000002</v>
          </cell>
          <cell r="L7298">
            <v>148835</v>
          </cell>
          <cell r="M7298">
            <v>13229</v>
          </cell>
          <cell r="N7298">
            <v>683926.05601571908</v>
          </cell>
          <cell r="O7298">
            <v>692380.00232629513</v>
          </cell>
          <cell r="P7298">
            <v>368.79259999999999</v>
          </cell>
        </row>
        <row r="7299">
          <cell r="B7299">
            <v>40076</v>
          </cell>
          <cell r="J7299">
            <v>3809804.3041216834</v>
          </cell>
          <cell r="K7299">
            <v>2.4380000000000002</v>
          </cell>
          <cell r="L7299">
            <v>148835</v>
          </cell>
          <cell r="M7299">
            <v>13229</v>
          </cell>
          <cell r="N7299">
            <v>683926.05601571908</v>
          </cell>
          <cell r="O7299">
            <v>692380.00232629513</v>
          </cell>
          <cell r="P7299">
            <v>368.79259999999999</v>
          </cell>
        </row>
        <row r="7300">
          <cell r="B7300">
            <v>40077</v>
          </cell>
          <cell r="J7300">
            <v>3809804.3041216834</v>
          </cell>
          <cell r="K7300">
            <v>2.4380000000000002</v>
          </cell>
          <cell r="L7300">
            <v>148835</v>
          </cell>
          <cell r="M7300">
            <v>13229</v>
          </cell>
          <cell r="N7300">
            <v>683926.05601571908</v>
          </cell>
          <cell r="O7300">
            <v>692380.00232629513</v>
          </cell>
          <cell r="P7300">
            <v>368.79259999999999</v>
          </cell>
        </row>
        <row r="7301">
          <cell r="B7301">
            <v>40078</v>
          </cell>
          <cell r="J7301">
            <v>3809804.3041216834</v>
          </cell>
          <cell r="K7301">
            <v>2.4380000000000002</v>
          </cell>
          <cell r="L7301">
            <v>148835</v>
          </cell>
          <cell r="M7301">
            <v>13229</v>
          </cell>
          <cell r="N7301">
            <v>683926.05601571908</v>
          </cell>
          <cell r="O7301">
            <v>692380.00232629513</v>
          </cell>
          <cell r="P7301">
            <v>368.79259999999999</v>
          </cell>
        </row>
        <row r="7302">
          <cell r="B7302">
            <v>40079</v>
          </cell>
          <cell r="J7302">
            <v>3809804.3041216834</v>
          </cell>
          <cell r="K7302">
            <v>2.4380000000000002</v>
          </cell>
          <cell r="L7302">
            <v>148835</v>
          </cell>
          <cell r="M7302">
            <v>13229</v>
          </cell>
          <cell r="N7302">
            <v>683926.05601571908</v>
          </cell>
          <cell r="O7302">
            <v>692380.00232629513</v>
          </cell>
          <cell r="P7302">
            <v>368.79259999999999</v>
          </cell>
        </row>
        <row r="7303">
          <cell r="B7303">
            <v>40080</v>
          </cell>
          <cell r="J7303">
            <v>3809804.3041216834</v>
          </cell>
          <cell r="K7303">
            <v>2.4380000000000002</v>
          </cell>
          <cell r="L7303">
            <v>148835</v>
          </cell>
          <cell r="M7303">
            <v>13229</v>
          </cell>
          <cell r="N7303">
            <v>683926.05601571908</v>
          </cell>
          <cell r="O7303">
            <v>692380.00232629513</v>
          </cell>
          <cell r="P7303">
            <v>368.79259999999999</v>
          </cell>
        </row>
        <row r="7304">
          <cell r="B7304">
            <v>40081</v>
          </cell>
          <cell r="J7304">
            <v>3809804.3041216834</v>
          </cell>
          <cell r="K7304">
            <v>2.4380000000000002</v>
          </cell>
          <cell r="L7304">
            <v>148835</v>
          </cell>
          <cell r="M7304">
            <v>13229</v>
          </cell>
          <cell r="N7304">
            <v>683926.05601571908</v>
          </cell>
          <cell r="O7304">
            <v>692380.00232629513</v>
          </cell>
          <cell r="P7304">
            <v>368.79259999999999</v>
          </cell>
        </row>
        <row r="7305">
          <cell r="B7305">
            <v>40082</v>
          </cell>
          <cell r="J7305">
            <v>3809804.3041216834</v>
          </cell>
          <cell r="K7305">
            <v>2.4380000000000002</v>
          </cell>
          <cell r="L7305">
            <v>148835</v>
          </cell>
          <cell r="M7305">
            <v>13229</v>
          </cell>
          <cell r="N7305">
            <v>683926.05601571908</v>
          </cell>
          <cell r="O7305">
            <v>692380.00232629513</v>
          </cell>
          <cell r="P7305">
            <v>368.79259999999999</v>
          </cell>
        </row>
        <row r="7306">
          <cell r="B7306">
            <v>40083</v>
          </cell>
          <cell r="J7306">
            <v>3809804.3041216834</v>
          </cell>
          <cell r="K7306">
            <v>2.4380000000000002</v>
          </cell>
          <cell r="L7306">
            <v>148835</v>
          </cell>
          <cell r="M7306">
            <v>13229</v>
          </cell>
          <cell r="N7306">
            <v>683926.05601571908</v>
          </cell>
          <cell r="O7306">
            <v>692380.00232629513</v>
          </cell>
          <cell r="P7306">
            <v>368.79259999999999</v>
          </cell>
        </row>
        <row r="7307">
          <cell r="B7307">
            <v>40084</v>
          </cell>
          <cell r="J7307">
            <v>3809804.3041216834</v>
          </cell>
          <cell r="K7307">
            <v>2.4380000000000002</v>
          </cell>
          <cell r="L7307">
            <v>148835</v>
          </cell>
          <cell r="M7307">
            <v>13229</v>
          </cell>
          <cell r="N7307">
            <v>683926.05601571908</v>
          </cell>
          <cell r="O7307">
            <v>692380.00232629513</v>
          </cell>
          <cell r="P7307">
            <v>368.79259999999999</v>
          </cell>
        </row>
        <row r="7308">
          <cell r="B7308">
            <v>40085</v>
          </cell>
          <cell r="J7308">
            <v>3809804.3041216834</v>
          </cell>
          <cell r="K7308">
            <v>2.4380000000000002</v>
          </cell>
          <cell r="L7308">
            <v>148835</v>
          </cell>
          <cell r="M7308">
            <v>13229</v>
          </cell>
          <cell r="N7308">
            <v>683926.05601571908</v>
          </cell>
          <cell r="O7308">
            <v>692380.00232629513</v>
          </cell>
          <cell r="P7308">
            <v>368.79259999999999</v>
          </cell>
        </row>
        <row r="7309">
          <cell r="B7309">
            <v>40086</v>
          </cell>
          <cell r="J7309">
            <v>3809804.3041216834</v>
          </cell>
          <cell r="K7309">
            <v>2.4380000000000002</v>
          </cell>
          <cell r="L7309">
            <v>148835</v>
          </cell>
          <cell r="M7309">
            <v>13229</v>
          </cell>
          <cell r="N7309">
            <v>683926.05601571908</v>
          </cell>
          <cell r="O7309">
            <v>692380.00232629513</v>
          </cell>
          <cell r="P7309">
            <v>368.79259999999999</v>
          </cell>
        </row>
        <row r="7310">
          <cell r="B7310">
            <v>40087</v>
          </cell>
          <cell r="J7310">
            <v>3809804.3041216834</v>
          </cell>
          <cell r="K7310">
            <v>2.4380000000000002</v>
          </cell>
          <cell r="L7310">
            <v>148835</v>
          </cell>
          <cell r="M7310">
            <v>13229</v>
          </cell>
          <cell r="N7310">
            <v>683926.05601571908</v>
          </cell>
          <cell r="O7310">
            <v>692380.00232629513</v>
          </cell>
          <cell r="P7310">
            <v>368.79259999999999</v>
          </cell>
        </row>
        <row r="7311">
          <cell r="B7311">
            <v>40088</v>
          </cell>
          <cell r="J7311">
            <v>3809804.3041216834</v>
          </cell>
          <cell r="K7311">
            <v>2.4380000000000002</v>
          </cell>
          <cell r="L7311">
            <v>148835</v>
          </cell>
          <cell r="M7311">
            <v>13229</v>
          </cell>
          <cell r="N7311">
            <v>683926.05601571908</v>
          </cell>
          <cell r="O7311">
            <v>692380.00232629513</v>
          </cell>
          <cell r="P7311">
            <v>368.79259999999999</v>
          </cell>
        </row>
        <row r="7312">
          <cell r="B7312">
            <v>40089</v>
          </cell>
          <cell r="J7312">
            <v>3809804.3041216834</v>
          </cell>
          <cell r="K7312">
            <v>2.4380000000000002</v>
          </cell>
          <cell r="L7312">
            <v>148835</v>
          </cell>
          <cell r="M7312">
            <v>13229</v>
          </cell>
          <cell r="N7312">
            <v>683926.05601571908</v>
          </cell>
          <cell r="O7312">
            <v>692380.00232629513</v>
          </cell>
          <cell r="P7312">
            <v>368.79259999999999</v>
          </cell>
        </row>
        <row r="7313">
          <cell r="B7313">
            <v>40090</v>
          </cell>
          <cell r="J7313">
            <v>3809804.3041216834</v>
          </cell>
          <cell r="K7313">
            <v>2.4380000000000002</v>
          </cell>
          <cell r="L7313">
            <v>148835</v>
          </cell>
          <cell r="M7313">
            <v>13229</v>
          </cell>
          <cell r="N7313">
            <v>683926.05601571908</v>
          </cell>
          <cell r="O7313">
            <v>692380.00232629513</v>
          </cell>
          <cell r="P7313">
            <v>368.79259999999999</v>
          </cell>
        </row>
        <row r="7314">
          <cell r="B7314">
            <v>40091</v>
          </cell>
          <cell r="J7314">
            <v>3809804.3041216834</v>
          </cell>
          <cell r="K7314">
            <v>2.4380000000000002</v>
          </cell>
          <cell r="L7314">
            <v>148835</v>
          </cell>
          <cell r="M7314">
            <v>13229</v>
          </cell>
          <cell r="N7314">
            <v>683926.05601571908</v>
          </cell>
          <cell r="O7314">
            <v>692380.00232629513</v>
          </cell>
          <cell r="P7314">
            <v>368.79259999999999</v>
          </cell>
        </row>
        <row r="7315">
          <cell r="B7315">
            <v>40092</v>
          </cell>
          <cell r="J7315">
            <v>3809804.3041216834</v>
          </cell>
          <cell r="K7315">
            <v>2.4380000000000002</v>
          </cell>
          <cell r="L7315">
            <v>148835</v>
          </cell>
          <cell r="M7315">
            <v>13229</v>
          </cell>
          <cell r="N7315">
            <v>683926.05601571908</v>
          </cell>
          <cell r="O7315">
            <v>692380.00232629513</v>
          </cell>
          <cell r="P7315">
            <v>368.79259999999999</v>
          </cell>
        </row>
        <row r="7316">
          <cell r="B7316">
            <v>40093</v>
          </cell>
          <cell r="J7316">
            <v>3809804.3041216834</v>
          </cell>
          <cell r="K7316">
            <v>2.4380000000000002</v>
          </cell>
          <cell r="L7316">
            <v>148835</v>
          </cell>
          <cell r="M7316">
            <v>13229</v>
          </cell>
          <cell r="N7316">
            <v>683926.05601571908</v>
          </cell>
          <cell r="O7316">
            <v>692380.00232629513</v>
          </cell>
          <cell r="P7316">
            <v>368.79259999999999</v>
          </cell>
        </row>
        <row r="7317">
          <cell r="B7317">
            <v>40094</v>
          </cell>
          <cell r="J7317">
            <v>3809804.3041216834</v>
          </cell>
          <cell r="K7317">
            <v>2.4380000000000002</v>
          </cell>
          <cell r="L7317">
            <v>148835</v>
          </cell>
          <cell r="M7317">
            <v>13229</v>
          </cell>
          <cell r="N7317">
            <v>683926.05601571908</v>
          </cell>
          <cell r="O7317">
            <v>692380.00232629513</v>
          </cell>
          <cell r="P7317">
            <v>368.79259999999999</v>
          </cell>
        </row>
        <row r="7318">
          <cell r="B7318">
            <v>40095</v>
          </cell>
          <cell r="J7318">
            <v>3809804.3041216834</v>
          </cell>
          <cell r="K7318">
            <v>2.4380000000000002</v>
          </cell>
          <cell r="L7318">
            <v>148835</v>
          </cell>
          <cell r="M7318">
            <v>13229</v>
          </cell>
          <cell r="N7318">
            <v>683926.05601571908</v>
          </cell>
          <cell r="O7318">
            <v>692380.00232629513</v>
          </cell>
          <cell r="P7318">
            <v>368.79259999999999</v>
          </cell>
        </row>
        <row r="7319">
          <cell r="B7319">
            <v>40096</v>
          </cell>
          <cell r="J7319">
            <v>3809804.3041216834</v>
          </cell>
          <cell r="K7319">
            <v>2.4380000000000002</v>
          </cell>
          <cell r="L7319">
            <v>148835</v>
          </cell>
          <cell r="M7319">
            <v>13229</v>
          </cell>
          <cell r="N7319">
            <v>683926.05601571908</v>
          </cell>
          <cell r="O7319">
            <v>692380.00232629513</v>
          </cell>
          <cell r="P7319">
            <v>368.79259999999999</v>
          </cell>
        </row>
        <row r="7320">
          <cell r="B7320">
            <v>40097</v>
          </cell>
          <cell r="J7320">
            <v>3809804.3041216834</v>
          </cell>
          <cell r="K7320">
            <v>2.4380000000000002</v>
          </cell>
          <cell r="L7320">
            <v>148835</v>
          </cell>
          <cell r="M7320">
            <v>13229</v>
          </cell>
          <cell r="N7320">
            <v>683926.05601571908</v>
          </cell>
          <cell r="O7320">
            <v>692380.00232629513</v>
          </cell>
          <cell r="P7320">
            <v>368.79259999999999</v>
          </cell>
        </row>
        <row r="7321">
          <cell r="B7321">
            <v>40098</v>
          </cell>
          <cell r="J7321">
            <v>3809804.3041216834</v>
          </cell>
          <cell r="K7321">
            <v>2.4380000000000002</v>
          </cell>
          <cell r="L7321">
            <v>148835</v>
          </cell>
          <cell r="M7321">
            <v>13229</v>
          </cell>
          <cell r="N7321">
            <v>683926.05601571908</v>
          </cell>
          <cell r="O7321">
            <v>692380.00232629513</v>
          </cell>
          <cell r="P7321">
            <v>368.79259999999999</v>
          </cell>
        </row>
        <row r="7322">
          <cell r="B7322">
            <v>40099</v>
          </cell>
          <cell r="J7322">
            <v>3809804.3041216834</v>
          </cell>
          <cell r="K7322">
            <v>2.4380000000000002</v>
          </cell>
          <cell r="L7322">
            <v>148835</v>
          </cell>
          <cell r="M7322">
            <v>13229</v>
          </cell>
          <cell r="N7322">
            <v>683926.05601571908</v>
          </cell>
          <cell r="O7322">
            <v>692380.00232629513</v>
          </cell>
          <cell r="P7322">
            <v>368.79259999999999</v>
          </cell>
        </row>
        <row r="7323">
          <cell r="B7323">
            <v>40100</v>
          </cell>
          <cell r="J7323">
            <v>3809804.3041216834</v>
          </cell>
          <cell r="K7323">
            <v>2.4380000000000002</v>
          </cell>
          <cell r="L7323">
            <v>148835</v>
          </cell>
          <cell r="M7323">
            <v>13229</v>
          </cell>
          <cell r="N7323">
            <v>683926.05601571908</v>
          </cell>
          <cell r="O7323">
            <v>692380.00232629513</v>
          </cell>
          <cell r="P7323">
            <v>368.79259999999999</v>
          </cell>
        </row>
        <row r="7324">
          <cell r="B7324">
            <v>40101</v>
          </cell>
          <cell r="J7324">
            <v>3809804.3041216834</v>
          </cell>
          <cell r="K7324">
            <v>2.4380000000000002</v>
          </cell>
          <cell r="L7324">
            <v>148835</v>
          </cell>
          <cell r="M7324">
            <v>13229</v>
          </cell>
          <cell r="N7324">
            <v>683926.05601571908</v>
          </cell>
          <cell r="O7324">
            <v>692380.00232629513</v>
          </cell>
          <cell r="P7324">
            <v>368.79259999999999</v>
          </cell>
        </row>
        <row r="7325">
          <cell r="B7325">
            <v>40102</v>
          </cell>
          <cell r="J7325">
            <v>3809804.3041216834</v>
          </cell>
          <cell r="K7325">
            <v>2.4380000000000002</v>
          </cell>
          <cell r="L7325">
            <v>148835</v>
          </cell>
          <cell r="M7325">
            <v>13229</v>
          </cell>
          <cell r="N7325">
            <v>683926.05601571908</v>
          </cell>
          <cell r="O7325">
            <v>692380.00232629513</v>
          </cell>
          <cell r="P7325">
            <v>368.79259999999999</v>
          </cell>
        </row>
        <row r="7326">
          <cell r="B7326">
            <v>40103</v>
          </cell>
          <cell r="J7326">
            <v>3809804.3041216834</v>
          </cell>
          <cell r="K7326">
            <v>2.4380000000000002</v>
          </cell>
          <cell r="L7326">
            <v>148835</v>
          </cell>
          <cell r="M7326">
            <v>13229</v>
          </cell>
          <cell r="N7326">
            <v>683926.05601571908</v>
          </cell>
          <cell r="O7326">
            <v>692380.00232629513</v>
          </cell>
          <cell r="P7326">
            <v>368.79259999999999</v>
          </cell>
        </row>
        <row r="7327">
          <cell r="B7327">
            <v>40104</v>
          </cell>
          <cell r="J7327">
            <v>3809804.3041216834</v>
          </cell>
          <cell r="K7327">
            <v>2.4380000000000002</v>
          </cell>
          <cell r="L7327">
            <v>148835</v>
          </cell>
          <cell r="M7327">
            <v>13229</v>
          </cell>
          <cell r="N7327">
            <v>683926.05601571908</v>
          </cell>
          <cell r="O7327">
            <v>692380.00232629513</v>
          </cell>
          <cell r="P7327">
            <v>368.79259999999999</v>
          </cell>
        </row>
        <row r="7328">
          <cell r="B7328">
            <v>40105</v>
          </cell>
          <cell r="J7328">
            <v>3809804.3041216834</v>
          </cell>
          <cell r="K7328">
            <v>2.4380000000000002</v>
          </cell>
          <cell r="L7328">
            <v>148835</v>
          </cell>
          <cell r="M7328">
            <v>13229</v>
          </cell>
          <cell r="N7328">
            <v>683926.05601571908</v>
          </cell>
          <cell r="O7328">
            <v>692380.00232629513</v>
          </cell>
          <cell r="P7328">
            <v>368.79259999999999</v>
          </cell>
        </row>
        <row r="7329">
          <cell r="B7329">
            <v>40106</v>
          </cell>
          <cell r="J7329">
            <v>3809804.3041216834</v>
          </cell>
          <cell r="K7329">
            <v>2.4380000000000002</v>
          </cell>
          <cell r="L7329">
            <v>148835</v>
          </cell>
          <cell r="M7329">
            <v>13229</v>
          </cell>
          <cell r="N7329">
            <v>683926.05601571908</v>
          </cell>
          <cell r="O7329">
            <v>692380.00232629513</v>
          </cell>
          <cell r="P7329">
            <v>368.79259999999999</v>
          </cell>
        </row>
        <row r="7330">
          <cell r="B7330">
            <v>40107</v>
          </cell>
          <cell r="J7330">
            <v>3809804.3041216834</v>
          </cell>
          <cell r="K7330">
            <v>2.4380000000000002</v>
          </cell>
          <cell r="L7330">
            <v>148835</v>
          </cell>
          <cell r="M7330">
            <v>13229</v>
          </cell>
          <cell r="N7330">
            <v>683926.05601571908</v>
          </cell>
          <cell r="O7330">
            <v>692380.00232629513</v>
          </cell>
          <cell r="P7330">
            <v>368.79259999999999</v>
          </cell>
        </row>
        <row r="7331">
          <cell r="B7331">
            <v>40108</v>
          </cell>
          <cell r="J7331">
            <v>3809804.3041216834</v>
          </cell>
          <cell r="K7331">
            <v>2.4380000000000002</v>
          </cell>
          <cell r="L7331">
            <v>148835</v>
          </cell>
          <cell r="M7331">
            <v>13229</v>
          </cell>
          <cell r="N7331">
            <v>683926.05601571908</v>
          </cell>
          <cell r="O7331">
            <v>692380.00232629513</v>
          </cell>
          <cell r="P7331">
            <v>368.79259999999999</v>
          </cell>
        </row>
        <row r="7332">
          <cell r="B7332">
            <v>40109</v>
          </cell>
          <cell r="J7332">
            <v>3809804.3041216834</v>
          </cell>
          <cell r="K7332">
            <v>2.4380000000000002</v>
          </cell>
          <cell r="L7332">
            <v>148835</v>
          </cell>
          <cell r="M7332">
            <v>13229</v>
          </cell>
          <cell r="N7332">
            <v>683926.05601571908</v>
          </cell>
          <cell r="O7332">
            <v>692380.00232629513</v>
          </cell>
          <cell r="P7332">
            <v>368.79259999999999</v>
          </cell>
        </row>
        <row r="7333">
          <cell r="B7333">
            <v>40110</v>
          </cell>
          <cell r="J7333">
            <v>3809804.3041216834</v>
          </cell>
          <cell r="K7333">
            <v>2.4380000000000002</v>
          </cell>
          <cell r="L7333">
            <v>148835</v>
          </cell>
          <cell r="M7333">
            <v>13229</v>
          </cell>
          <cell r="N7333">
            <v>683926.05601571908</v>
          </cell>
          <cell r="O7333">
            <v>692380.00232629513</v>
          </cell>
          <cell r="P7333">
            <v>368.79259999999999</v>
          </cell>
        </row>
        <row r="7334">
          <cell r="B7334">
            <v>40111</v>
          </cell>
          <cell r="J7334">
            <v>3809804.3041216834</v>
          </cell>
          <cell r="K7334">
            <v>2.4380000000000002</v>
          </cell>
          <cell r="L7334">
            <v>148835</v>
          </cell>
          <cell r="M7334">
            <v>13229</v>
          </cell>
          <cell r="N7334">
            <v>683926.05601571908</v>
          </cell>
          <cell r="O7334">
            <v>692380.00232629513</v>
          </cell>
          <cell r="P7334">
            <v>368.79259999999999</v>
          </cell>
        </row>
        <row r="7335">
          <cell r="B7335">
            <v>40112</v>
          </cell>
          <cell r="J7335">
            <v>3809804.3041216834</v>
          </cell>
          <cell r="K7335">
            <v>2.4380000000000002</v>
          </cell>
          <cell r="L7335">
            <v>148835</v>
          </cell>
          <cell r="M7335">
            <v>13229</v>
          </cell>
          <cell r="N7335">
            <v>683926.05601571908</v>
          </cell>
          <cell r="O7335">
            <v>692380.00232629513</v>
          </cell>
          <cell r="P7335">
            <v>368.79259999999999</v>
          </cell>
        </row>
        <row r="7336">
          <cell r="B7336">
            <v>40113</v>
          </cell>
          <cell r="J7336">
            <v>3809804.3041216834</v>
          </cell>
          <cell r="K7336">
            <v>2.4380000000000002</v>
          </cell>
          <cell r="L7336">
            <v>148835</v>
          </cell>
          <cell r="M7336">
            <v>13229</v>
          </cell>
          <cell r="N7336">
            <v>683926.05601571908</v>
          </cell>
          <cell r="O7336">
            <v>692380.00232629513</v>
          </cell>
          <cell r="P7336">
            <v>368.79259999999999</v>
          </cell>
        </row>
        <row r="7337">
          <cell r="B7337">
            <v>40114</v>
          </cell>
          <cell r="J7337">
            <v>3809804.3041216834</v>
          </cell>
          <cell r="K7337">
            <v>2.4380000000000002</v>
          </cell>
          <cell r="L7337">
            <v>148835</v>
          </cell>
          <cell r="M7337">
            <v>13229</v>
          </cell>
          <cell r="N7337">
            <v>683926.05601571908</v>
          </cell>
          <cell r="O7337">
            <v>692380.00232629513</v>
          </cell>
          <cell r="P7337">
            <v>368.79259999999999</v>
          </cell>
        </row>
        <row r="7338">
          <cell r="B7338">
            <v>40115</v>
          </cell>
          <cell r="J7338">
            <v>3809804.3041216834</v>
          </cell>
          <cell r="K7338">
            <v>2.4380000000000002</v>
          </cell>
          <cell r="L7338">
            <v>148835</v>
          </cell>
          <cell r="M7338">
            <v>13229</v>
          </cell>
          <cell r="N7338">
            <v>683926.05601571908</v>
          </cell>
          <cell r="O7338">
            <v>692380.00232629513</v>
          </cell>
          <cell r="P7338">
            <v>368.79259999999999</v>
          </cell>
        </row>
        <row r="7339">
          <cell r="B7339">
            <v>40116</v>
          </cell>
          <cell r="J7339">
            <v>3809804.3041216834</v>
          </cell>
          <cell r="K7339">
            <v>2.4380000000000002</v>
          </cell>
          <cell r="L7339">
            <v>148835</v>
          </cell>
          <cell r="M7339">
            <v>13229</v>
          </cell>
          <cell r="N7339">
            <v>683926.05601571908</v>
          </cell>
          <cell r="O7339">
            <v>692380.00232629513</v>
          </cell>
          <cell r="P7339">
            <v>368.79259999999999</v>
          </cell>
        </row>
        <row r="7340">
          <cell r="B7340">
            <v>40117</v>
          </cell>
          <cell r="J7340">
            <v>3809804.3041216834</v>
          </cell>
          <cell r="K7340">
            <v>2.4380000000000002</v>
          </cell>
          <cell r="L7340">
            <v>148835</v>
          </cell>
          <cell r="M7340">
            <v>13229</v>
          </cell>
          <cell r="N7340">
            <v>683926.05601571908</v>
          </cell>
          <cell r="O7340">
            <v>692380.00232629513</v>
          </cell>
          <cell r="P7340">
            <v>368.79259999999999</v>
          </cell>
        </row>
        <row r="7341">
          <cell r="B7341">
            <v>40118</v>
          </cell>
          <cell r="J7341">
            <v>3809804.3041216834</v>
          </cell>
          <cell r="K7341">
            <v>2.4380000000000002</v>
          </cell>
          <cell r="L7341">
            <v>148835</v>
          </cell>
          <cell r="M7341">
            <v>13229</v>
          </cell>
          <cell r="N7341">
            <v>683926.05601571908</v>
          </cell>
          <cell r="O7341">
            <v>692380.00232629513</v>
          </cell>
          <cell r="P7341">
            <v>368.79259999999999</v>
          </cell>
        </row>
        <row r="7342">
          <cell r="B7342">
            <v>40119</v>
          </cell>
          <cell r="J7342">
            <v>3809804.3041216834</v>
          </cell>
          <cell r="K7342">
            <v>2.4380000000000002</v>
          </cell>
          <cell r="L7342">
            <v>148835</v>
          </cell>
          <cell r="M7342">
            <v>13229</v>
          </cell>
          <cell r="N7342">
            <v>683926.05601571908</v>
          </cell>
          <cell r="O7342">
            <v>692380.00232629513</v>
          </cell>
          <cell r="P7342">
            <v>368.79259999999999</v>
          </cell>
        </row>
        <row r="7343">
          <cell r="B7343">
            <v>40120</v>
          </cell>
          <cell r="J7343">
            <v>3809804.3041216834</v>
          </cell>
          <cell r="K7343">
            <v>2.4380000000000002</v>
          </cell>
          <cell r="L7343">
            <v>148835</v>
          </cell>
          <cell r="M7343">
            <v>13229</v>
          </cell>
          <cell r="N7343">
            <v>683926.05601571908</v>
          </cell>
          <cell r="O7343">
            <v>692380.00232629513</v>
          </cell>
          <cell r="P7343">
            <v>368.79259999999999</v>
          </cell>
        </row>
        <row r="7344">
          <cell r="B7344">
            <v>40121</v>
          </cell>
          <cell r="J7344">
            <v>3809804.3041216834</v>
          </cell>
          <cell r="K7344">
            <v>2.4380000000000002</v>
          </cell>
          <cell r="L7344">
            <v>148835</v>
          </cell>
          <cell r="M7344">
            <v>13229</v>
          </cell>
          <cell r="N7344">
            <v>683926.05601571908</v>
          </cell>
          <cell r="O7344">
            <v>692380.00232629513</v>
          </cell>
          <cell r="P7344">
            <v>368.79259999999999</v>
          </cell>
        </row>
        <row r="7345">
          <cell r="B7345">
            <v>40122</v>
          </cell>
          <cell r="J7345">
            <v>3809804.3041216834</v>
          </cell>
          <cell r="K7345">
            <v>2.4380000000000002</v>
          </cell>
          <cell r="L7345">
            <v>148835</v>
          </cell>
          <cell r="M7345">
            <v>13229</v>
          </cell>
          <cell r="N7345">
            <v>683926.05601571908</v>
          </cell>
          <cell r="O7345">
            <v>692380.00232629513</v>
          </cell>
          <cell r="P7345">
            <v>368.79259999999999</v>
          </cell>
        </row>
        <row r="7346">
          <cell r="B7346">
            <v>40123</v>
          </cell>
          <cell r="J7346">
            <v>3809804.3041216834</v>
          </cell>
          <cell r="K7346">
            <v>2.4380000000000002</v>
          </cell>
          <cell r="L7346">
            <v>148835</v>
          </cell>
          <cell r="M7346">
            <v>13229</v>
          </cell>
          <cell r="N7346">
            <v>683926.05601571908</v>
          </cell>
          <cell r="O7346">
            <v>692380.00232629513</v>
          </cell>
          <cell r="P7346">
            <v>368.79259999999999</v>
          </cell>
        </row>
        <row r="7347">
          <cell r="B7347">
            <v>40124</v>
          </cell>
          <cell r="J7347">
            <v>3809804.3041216834</v>
          </cell>
          <cell r="K7347">
            <v>2.4380000000000002</v>
          </cell>
          <cell r="L7347">
            <v>148835</v>
          </cell>
          <cell r="M7347">
            <v>13229</v>
          </cell>
          <cell r="N7347">
            <v>683926.05601571908</v>
          </cell>
          <cell r="O7347">
            <v>692380.00232629513</v>
          </cell>
          <cell r="P7347">
            <v>368.79259999999999</v>
          </cell>
        </row>
        <row r="7348">
          <cell r="B7348">
            <v>40125</v>
          </cell>
          <cell r="J7348">
            <v>3809804.3041216834</v>
          </cell>
          <cell r="K7348">
            <v>2.4380000000000002</v>
          </cell>
          <cell r="L7348">
            <v>148835</v>
          </cell>
          <cell r="M7348">
            <v>13229</v>
          </cell>
          <cell r="N7348">
            <v>683926.05601571908</v>
          </cell>
          <cell r="O7348">
            <v>692380.00232629513</v>
          </cell>
          <cell r="P7348">
            <v>368.79259999999999</v>
          </cell>
        </row>
        <row r="7349">
          <cell r="B7349">
            <v>40126</v>
          </cell>
          <cell r="J7349">
            <v>3809804.3041216834</v>
          </cell>
          <cell r="K7349">
            <v>2.4380000000000002</v>
          </cell>
          <cell r="L7349">
            <v>148835</v>
          </cell>
          <cell r="M7349">
            <v>13229</v>
          </cell>
          <cell r="N7349">
            <v>683926.05601571908</v>
          </cell>
          <cell r="O7349">
            <v>692380.00232629513</v>
          </cell>
          <cell r="P7349">
            <v>368.79259999999999</v>
          </cell>
        </row>
        <row r="7350">
          <cell r="B7350">
            <v>40127</v>
          </cell>
          <cell r="J7350">
            <v>3809804.3041216834</v>
          </cell>
          <cell r="K7350">
            <v>2.4380000000000002</v>
          </cell>
          <cell r="L7350">
            <v>148835</v>
          </cell>
          <cell r="M7350">
            <v>13229</v>
          </cell>
          <cell r="N7350">
            <v>683926.05601571908</v>
          </cell>
          <cell r="O7350">
            <v>692380.00232629513</v>
          </cell>
          <cell r="P7350">
            <v>368.79259999999999</v>
          </cell>
        </row>
        <row r="7351">
          <cell r="B7351">
            <v>40128</v>
          </cell>
          <cell r="J7351">
            <v>3809804.3041216834</v>
          </cell>
          <cell r="K7351">
            <v>2.4380000000000002</v>
          </cell>
          <cell r="L7351">
            <v>148835</v>
          </cell>
          <cell r="M7351">
            <v>13229</v>
          </cell>
          <cell r="N7351">
            <v>683926.05601571908</v>
          </cell>
          <cell r="O7351">
            <v>692380.00232629513</v>
          </cell>
          <cell r="P7351">
            <v>368.79259999999999</v>
          </cell>
        </row>
        <row r="7352">
          <cell r="B7352">
            <v>40129</v>
          </cell>
          <cell r="J7352">
            <v>3809804.3041216834</v>
          </cell>
          <cell r="K7352">
            <v>2.4380000000000002</v>
          </cell>
          <cell r="L7352">
            <v>148835</v>
          </cell>
          <cell r="M7352">
            <v>13229</v>
          </cell>
          <cell r="N7352">
            <v>683926.05601571908</v>
          </cell>
          <cell r="O7352">
            <v>692380.00232629513</v>
          </cell>
          <cell r="P7352">
            <v>368.79259999999999</v>
          </cell>
        </row>
        <row r="7353">
          <cell r="B7353">
            <v>40130</v>
          </cell>
          <cell r="J7353">
            <v>3809804.3041216834</v>
          </cell>
          <cell r="K7353">
            <v>2.4380000000000002</v>
          </cell>
          <cell r="L7353">
            <v>148835</v>
          </cell>
          <cell r="M7353">
            <v>13229</v>
          </cell>
          <cell r="N7353">
            <v>683926.05601571908</v>
          </cell>
          <cell r="O7353">
            <v>692380.00232629513</v>
          </cell>
          <cell r="P7353">
            <v>368.79259999999999</v>
          </cell>
        </row>
        <row r="7354">
          <cell r="B7354">
            <v>40131</v>
          </cell>
          <cell r="J7354">
            <v>3809804.3041216834</v>
          </cell>
          <cell r="K7354">
            <v>2.4380000000000002</v>
          </cell>
          <cell r="L7354">
            <v>148835</v>
          </cell>
          <cell r="M7354">
            <v>13229</v>
          </cell>
          <cell r="N7354">
            <v>683926.05601571908</v>
          </cell>
          <cell r="O7354">
            <v>692380.00232629513</v>
          </cell>
          <cell r="P7354">
            <v>368.79259999999999</v>
          </cell>
        </row>
        <row r="7355">
          <cell r="B7355">
            <v>40132</v>
          </cell>
          <cell r="J7355">
            <v>3809804.3041216834</v>
          </cell>
          <cell r="K7355">
            <v>2.4380000000000002</v>
          </cell>
          <cell r="L7355">
            <v>148835</v>
          </cell>
          <cell r="M7355">
            <v>13229</v>
          </cell>
          <cell r="N7355">
            <v>683926.05601571908</v>
          </cell>
          <cell r="O7355">
            <v>692380.00232629513</v>
          </cell>
          <cell r="P7355">
            <v>368.79259999999999</v>
          </cell>
        </row>
        <row r="7356">
          <cell r="B7356">
            <v>40133</v>
          </cell>
          <cell r="J7356">
            <v>3809804.3041216834</v>
          </cell>
          <cell r="K7356">
            <v>2.4380000000000002</v>
          </cell>
          <cell r="L7356">
            <v>148835</v>
          </cell>
          <cell r="M7356">
            <v>13229</v>
          </cell>
          <cell r="N7356">
            <v>683926.05601571908</v>
          </cell>
          <cell r="O7356">
            <v>692380.00232629513</v>
          </cell>
          <cell r="P7356">
            <v>368.79259999999999</v>
          </cell>
        </row>
        <row r="7357">
          <cell r="B7357">
            <v>40134</v>
          </cell>
          <cell r="J7357">
            <v>3809804.3041216834</v>
          </cell>
          <cell r="K7357">
            <v>2.4380000000000002</v>
          </cell>
          <cell r="L7357">
            <v>148835</v>
          </cell>
          <cell r="M7357">
            <v>13229</v>
          </cell>
          <cell r="N7357">
            <v>683926.05601571908</v>
          </cell>
          <cell r="O7357">
            <v>692380.00232629513</v>
          </cell>
          <cell r="P7357">
            <v>368.79259999999999</v>
          </cell>
        </row>
        <row r="7358">
          <cell r="B7358">
            <v>40135</v>
          </cell>
          <cell r="J7358">
            <v>3809804.3041216834</v>
          </cell>
          <cell r="K7358">
            <v>2.4380000000000002</v>
          </cell>
          <cell r="L7358">
            <v>148835</v>
          </cell>
          <cell r="M7358">
            <v>13229</v>
          </cell>
          <cell r="N7358">
            <v>683926.05601571908</v>
          </cell>
          <cell r="O7358">
            <v>692380.00232629513</v>
          </cell>
          <cell r="P7358">
            <v>368.79259999999999</v>
          </cell>
        </row>
        <row r="7359">
          <cell r="B7359">
            <v>40136</v>
          </cell>
          <cell r="J7359">
            <v>3809804.3041216834</v>
          </cell>
          <cell r="K7359">
            <v>2.4380000000000002</v>
          </cell>
          <cell r="L7359">
            <v>148835</v>
          </cell>
          <cell r="M7359">
            <v>13229</v>
          </cell>
          <cell r="N7359">
            <v>683926.05601571908</v>
          </cell>
          <cell r="O7359">
            <v>692380.00232629513</v>
          </cell>
          <cell r="P7359">
            <v>368.79259999999999</v>
          </cell>
        </row>
        <row r="7360">
          <cell r="B7360">
            <v>40137</v>
          </cell>
          <cell r="J7360">
            <v>3809804.3041216834</v>
          </cell>
          <cell r="K7360">
            <v>2.4380000000000002</v>
          </cell>
          <cell r="L7360">
            <v>148835</v>
          </cell>
          <cell r="M7360">
            <v>13229</v>
          </cell>
          <cell r="N7360">
            <v>683926.05601571908</v>
          </cell>
          <cell r="O7360">
            <v>692380.00232629513</v>
          </cell>
          <cell r="P7360">
            <v>368.79259999999999</v>
          </cell>
        </row>
        <row r="7361">
          <cell r="B7361">
            <v>40138</v>
          </cell>
          <cell r="J7361">
            <v>3809804.3041216834</v>
          </cell>
          <cell r="K7361">
            <v>2.4380000000000002</v>
          </cell>
          <cell r="L7361">
            <v>148835</v>
          </cell>
          <cell r="M7361">
            <v>13229</v>
          </cell>
          <cell r="N7361">
            <v>683926.05601571908</v>
          </cell>
          <cell r="O7361">
            <v>692380.00232629513</v>
          </cell>
          <cell r="P7361">
            <v>368.79259999999999</v>
          </cell>
        </row>
        <row r="7362">
          <cell r="B7362">
            <v>40139</v>
          </cell>
          <cell r="J7362">
            <v>3809804.3041216834</v>
          </cell>
          <cell r="K7362">
            <v>2.4380000000000002</v>
          </cell>
          <cell r="L7362">
            <v>148835</v>
          </cell>
          <cell r="M7362">
            <v>13229</v>
          </cell>
          <cell r="N7362">
            <v>683926.05601571908</v>
          </cell>
          <cell r="O7362">
            <v>692380.00232629513</v>
          </cell>
          <cell r="P7362">
            <v>368.79259999999999</v>
          </cell>
        </row>
        <row r="7363">
          <cell r="B7363">
            <v>40140</v>
          </cell>
          <cell r="J7363">
            <v>3809804.3041216834</v>
          </cell>
          <cell r="K7363">
            <v>2.4380000000000002</v>
          </cell>
          <cell r="L7363">
            <v>148835</v>
          </cell>
          <cell r="M7363">
            <v>13229</v>
          </cell>
          <cell r="N7363">
            <v>683926.05601571908</v>
          </cell>
          <cell r="O7363">
            <v>692380.00232629513</v>
          </cell>
          <cell r="P7363">
            <v>368.79259999999999</v>
          </cell>
        </row>
        <row r="7364">
          <cell r="B7364">
            <v>40141</v>
          </cell>
          <cell r="J7364">
            <v>3809804.3041216834</v>
          </cell>
          <cell r="K7364">
            <v>2.4380000000000002</v>
          </cell>
          <cell r="L7364">
            <v>148835</v>
          </cell>
          <cell r="M7364">
            <v>13229</v>
          </cell>
          <cell r="N7364">
            <v>683926.05601571908</v>
          </cell>
          <cell r="O7364">
            <v>692380.00232629513</v>
          </cell>
          <cell r="P7364">
            <v>368.79259999999999</v>
          </cell>
        </row>
        <row r="7365">
          <cell r="B7365">
            <v>40142</v>
          </cell>
          <cell r="J7365">
            <v>3809804.3041216834</v>
          </cell>
          <cell r="K7365">
            <v>2.4380000000000002</v>
          </cell>
          <cell r="L7365">
            <v>148835</v>
          </cell>
          <cell r="M7365">
            <v>13229</v>
          </cell>
          <cell r="N7365">
            <v>683926.05601571908</v>
          </cell>
          <cell r="O7365">
            <v>692380.00232629513</v>
          </cell>
          <cell r="P7365">
            <v>368.79259999999999</v>
          </cell>
        </row>
        <row r="7366">
          <cell r="B7366">
            <v>40143</v>
          </cell>
          <cell r="J7366">
            <v>3809804.3041216834</v>
          </cell>
          <cell r="K7366">
            <v>2.4380000000000002</v>
          </cell>
          <cell r="L7366">
            <v>148835</v>
          </cell>
          <cell r="M7366">
            <v>13229</v>
          </cell>
          <cell r="N7366">
            <v>683926.05601571908</v>
          </cell>
          <cell r="O7366">
            <v>692380.00232629513</v>
          </cell>
          <cell r="P7366">
            <v>368.79259999999999</v>
          </cell>
        </row>
        <row r="7367">
          <cell r="B7367">
            <v>40144</v>
          </cell>
          <cell r="J7367">
            <v>3809804.3041216834</v>
          </cell>
          <cell r="K7367">
            <v>2.4380000000000002</v>
          </cell>
          <cell r="L7367">
            <v>148835</v>
          </cell>
          <cell r="M7367">
            <v>13229</v>
          </cell>
          <cell r="N7367">
            <v>683926.05601571908</v>
          </cell>
          <cell r="O7367">
            <v>692380.00232629513</v>
          </cell>
          <cell r="P7367">
            <v>368.79259999999999</v>
          </cell>
        </row>
        <row r="7368">
          <cell r="B7368">
            <v>40145</v>
          </cell>
          <cell r="J7368">
            <v>3809804.3041216834</v>
          </cell>
          <cell r="K7368">
            <v>2.4380000000000002</v>
          </cell>
          <cell r="L7368">
            <v>148835</v>
          </cell>
          <cell r="M7368">
            <v>13229</v>
          </cell>
          <cell r="N7368">
            <v>683926.05601571908</v>
          </cell>
          <cell r="O7368">
            <v>692380.00232629513</v>
          </cell>
          <cell r="P7368">
            <v>368.79259999999999</v>
          </cell>
        </row>
        <row r="7369">
          <cell r="B7369">
            <v>40146</v>
          </cell>
          <cell r="J7369">
            <v>3809804.3041216834</v>
          </cell>
          <cell r="K7369">
            <v>2.4380000000000002</v>
          </cell>
          <cell r="L7369">
            <v>148835</v>
          </cell>
          <cell r="M7369">
            <v>13229</v>
          </cell>
          <cell r="N7369">
            <v>683926.05601571908</v>
          </cell>
          <cell r="O7369">
            <v>692380.00232629513</v>
          </cell>
          <cell r="P7369">
            <v>368.79259999999999</v>
          </cell>
        </row>
        <row r="7370">
          <cell r="B7370">
            <v>40147</v>
          </cell>
          <cell r="J7370">
            <v>3809804.3041216834</v>
          </cell>
          <cell r="K7370">
            <v>2.4380000000000002</v>
          </cell>
          <cell r="L7370">
            <v>148835</v>
          </cell>
          <cell r="M7370">
            <v>13229</v>
          </cell>
          <cell r="N7370">
            <v>683926.05601571908</v>
          </cell>
          <cell r="O7370">
            <v>692380.00232629513</v>
          </cell>
          <cell r="P7370">
            <v>368.79259999999999</v>
          </cell>
        </row>
        <row r="7371">
          <cell r="B7371">
            <v>40148</v>
          </cell>
          <cell r="J7371">
            <v>3809804.3041216834</v>
          </cell>
          <cell r="K7371">
            <v>2.4380000000000002</v>
          </cell>
          <cell r="L7371">
            <v>148835</v>
          </cell>
          <cell r="M7371">
            <v>13229</v>
          </cell>
          <cell r="N7371">
            <v>683926.05601571908</v>
          </cell>
          <cell r="O7371">
            <v>692380.00232629513</v>
          </cell>
          <cell r="P7371">
            <v>368.79259999999999</v>
          </cell>
        </row>
        <row r="7372">
          <cell r="B7372">
            <v>40149</v>
          </cell>
          <cell r="J7372">
            <v>3809804.3041216834</v>
          </cell>
          <cell r="K7372">
            <v>2.4380000000000002</v>
          </cell>
          <cell r="L7372">
            <v>148835</v>
          </cell>
          <cell r="M7372">
            <v>13229</v>
          </cell>
          <cell r="N7372">
            <v>683926.05601571908</v>
          </cell>
          <cell r="O7372">
            <v>692380.00232629513</v>
          </cell>
          <cell r="P7372">
            <v>368.79259999999999</v>
          </cell>
        </row>
        <row r="7373">
          <cell r="B7373">
            <v>40150</v>
          </cell>
          <cell r="J7373">
            <v>3809804.3041216834</v>
          </cell>
          <cell r="K7373">
            <v>2.4380000000000002</v>
          </cell>
          <cell r="L7373">
            <v>148835</v>
          </cell>
          <cell r="M7373">
            <v>13229</v>
          </cell>
          <cell r="N7373">
            <v>683926.05601571908</v>
          </cell>
          <cell r="O7373">
            <v>692380.00232629513</v>
          </cell>
          <cell r="P7373">
            <v>368.79259999999999</v>
          </cell>
        </row>
        <row r="7374">
          <cell r="B7374">
            <v>40151</v>
          </cell>
          <cell r="J7374">
            <v>3809804.3041216834</v>
          </cell>
          <cell r="K7374">
            <v>2.4380000000000002</v>
          </cell>
          <cell r="L7374">
            <v>148835</v>
          </cell>
          <cell r="M7374">
            <v>13229</v>
          </cell>
          <cell r="N7374">
            <v>683926.05601571908</v>
          </cell>
          <cell r="O7374">
            <v>692380.00232629513</v>
          </cell>
          <cell r="P7374">
            <v>368.79259999999999</v>
          </cell>
        </row>
        <row r="7375">
          <cell r="B7375">
            <v>40152</v>
          </cell>
          <cell r="J7375">
            <v>3809804.3041216834</v>
          </cell>
          <cell r="K7375">
            <v>2.4380000000000002</v>
          </cell>
          <cell r="L7375">
            <v>148835</v>
          </cell>
          <cell r="M7375">
            <v>13229</v>
          </cell>
          <cell r="N7375">
            <v>683926.05601571908</v>
          </cell>
          <cell r="O7375">
            <v>692380.00232629513</v>
          </cell>
          <cell r="P7375">
            <v>368.79259999999999</v>
          </cell>
        </row>
        <row r="7376">
          <cell r="B7376">
            <v>40153</v>
          </cell>
          <cell r="J7376">
            <v>3809804.3041216834</v>
          </cell>
          <cell r="K7376">
            <v>2.4380000000000002</v>
          </cell>
          <cell r="L7376">
            <v>148835</v>
          </cell>
          <cell r="M7376">
            <v>13229</v>
          </cell>
          <cell r="N7376">
            <v>683926.05601571908</v>
          </cell>
          <cell r="O7376">
            <v>692380.00232629513</v>
          </cell>
          <cell r="P7376">
            <v>368.79259999999999</v>
          </cell>
        </row>
        <row r="7377">
          <cell r="B7377">
            <v>40154</v>
          </cell>
          <cell r="J7377">
            <v>3809804.3041216834</v>
          </cell>
          <cell r="K7377">
            <v>2.4380000000000002</v>
          </cell>
          <cell r="L7377">
            <v>148835</v>
          </cell>
          <cell r="M7377">
            <v>13229</v>
          </cell>
          <cell r="N7377">
            <v>683926.05601571908</v>
          </cell>
          <cell r="O7377">
            <v>692380.00232629513</v>
          </cell>
          <cell r="P7377">
            <v>368.79259999999999</v>
          </cell>
        </row>
        <row r="7378">
          <cell r="B7378">
            <v>40155</v>
          </cell>
          <cell r="J7378">
            <v>3809804.3041216834</v>
          </cell>
          <cell r="K7378">
            <v>2.4380000000000002</v>
          </cell>
          <cell r="L7378">
            <v>148835</v>
          </cell>
          <cell r="M7378">
            <v>13229</v>
          </cell>
          <cell r="N7378">
            <v>683926.05601571908</v>
          </cell>
          <cell r="O7378">
            <v>692380.00232629513</v>
          </cell>
          <cell r="P7378">
            <v>368.79259999999999</v>
          </cell>
        </row>
        <row r="7379">
          <cell r="B7379">
            <v>40156</v>
          </cell>
          <cell r="J7379">
            <v>3809804.3041216834</v>
          </cell>
          <cell r="K7379">
            <v>2.4380000000000002</v>
          </cell>
          <cell r="L7379">
            <v>148835</v>
          </cell>
          <cell r="M7379">
            <v>13229</v>
          </cell>
          <cell r="N7379">
            <v>683926.05601571908</v>
          </cell>
          <cell r="O7379">
            <v>692380.00232629513</v>
          </cell>
          <cell r="P7379">
            <v>368.79259999999999</v>
          </cell>
        </row>
        <row r="7380">
          <cell r="B7380">
            <v>40157</v>
          </cell>
          <cell r="J7380">
            <v>3809804.3041216834</v>
          </cell>
          <cell r="K7380">
            <v>2.4380000000000002</v>
          </cell>
          <cell r="L7380">
            <v>148835</v>
          </cell>
          <cell r="M7380">
            <v>13229</v>
          </cell>
          <cell r="N7380">
            <v>683926.05601571908</v>
          </cell>
          <cell r="O7380">
            <v>692380.00232629513</v>
          </cell>
          <cell r="P7380">
            <v>368.79259999999999</v>
          </cell>
        </row>
        <row r="7381">
          <cell r="B7381">
            <v>40158</v>
          </cell>
          <cell r="J7381">
            <v>3809804.3041216834</v>
          </cell>
          <cell r="K7381">
            <v>2.4380000000000002</v>
          </cell>
          <cell r="L7381">
            <v>148835</v>
          </cell>
          <cell r="M7381">
            <v>13229</v>
          </cell>
          <cell r="N7381">
            <v>683926.05601571908</v>
          </cell>
          <cell r="O7381">
            <v>692380.00232629513</v>
          </cell>
          <cell r="P7381">
            <v>368.79259999999999</v>
          </cell>
        </row>
        <row r="7382">
          <cell r="B7382">
            <v>40159</v>
          </cell>
          <cell r="J7382">
            <v>3809804.3041216834</v>
          </cell>
          <cell r="K7382">
            <v>2.4380000000000002</v>
          </cell>
          <cell r="L7382">
            <v>148835</v>
          </cell>
          <cell r="M7382">
            <v>13229</v>
          </cell>
          <cell r="N7382">
            <v>683926.05601571908</v>
          </cell>
          <cell r="O7382">
            <v>692380.00232629513</v>
          </cell>
          <cell r="P7382">
            <v>368.79259999999999</v>
          </cell>
        </row>
        <row r="7383">
          <cell r="B7383">
            <v>40160</v>
          </cell>
          <cell r="J7383">
            <v>3809804.3041216834</v>
          </cell>
          <cell r="K7383">
            <v>2.4380000000000002</v>
          </cell>
          <cell r="L7383">
            <v>148835</v>
          </cell>
          <cell r="M7383">
            <v>13229</v>
          </cell>
          <cell r="N7383">
            <v>683926.05601571908</v>
          </cell>
          <cell r="O7383">
            <v>692380.00232629513</v>
          </cell>
          <cell r="P7383">
            <v>368.79259999999999</v>
          </cell>
        </row>
        <row r="7384">
          <cell r="B7384">
            <v>40161</v>
          </cell>
          <cell r="J7384">
            <v>3809804.3041216834</v>
          </cell>
          <cell r="K7384">
            <v>2.4380000000000002</v>
          </cell>
          <cell r="L7384">
            <v>148835</v>
          </cell>
          <cell r="M7384">
            <v>13229</v>
          </cell>
          <cell r="N7384">
            <v>683926.05601571908</v>
          </cell>
          <cell r="O7384">
            <v>692380.00232629513</v>
          </cell>
          <cell r="P7384">
            <v>368.79259999999999</v>
          </cell>
        </row>
        <row r="7385">
          <cell r="B7385">
            <v>40162</v>
          </cell>
          <cell r="J7385">
            <v>3809804.3041216834</v>
          </cell>
          <cell r="K7385">
            <v>2.4380000000000002</v>
          </cell>
          <cell r="L7385">
            <v>148835</v>
          </cell>
          <cell r="M7385">
            <v>13229</v>
          </cell>
          <cell r="N7385">
            <v>683926.05601571908</v>
          </cell>
          <cell r="O7385">
            <v>692380.00232629513</v>
          </cell>
          <cell r="P7385">
            <v>368.79259999999999</v>
          </cell>
        </row>
        <row r="7386">
          <cell r="B7386">
            <v>40163</v>
          </cell>
          <cell r="J7386">
            <v>3809804.3041216834</v>
          </cell>
          <cell r="K7386">
            <v>2.4380000000000002</v>
          </cell>
          <cell r="L7386">
            <v>148835</v>
          </cell>
          <cell r="M7386">
            <v>13229</v>
          </cell>
          <cell r="N7386">
            <v>683926.05601571908</v>
          </cell>
          <cell r="O7386">
            <v>692380.00232629513</v>
          </cell>
          <cell r="P7386">
            <v>368.79259999999999</v>
          </cell>
        </row>
        <row r="7387">
          <cell r="B7387">
            <v>40164</v>
          </cell>
          <cell r="J7387">
            <v>3809804.3041216834</v>
          </cell>
          <cell r="K7387">
            <v>2.4380000000000002</v>
          </cell>
          <cell r="L7387">
            <v>148835</v>
          </cell>
          <cell r="M7387">
            <v>13229</v>
          </cell>
          <cell r="N7387">
            <v>683926.05601571908</v>
          </cell>
          <cell r="O7387">
            <v>692380.00232629513</v>
          </cell>
          <cell r="P7387">
            <v>368.79259999999999</v>
          </cell>
        </row>
        <row r="7388">
          <cell r="B7388">
            <v>40165</v>
          </cell>
          <cell r="J7388">
            <v>3809804.3041216834</v>
          </cell>
          <cell r="K7388">
            <v>2.4380000000000002</v>
          </cell>
          <cell r="L7388">
            <v>148835</v>
          </cell>
          <cell r="M7388">
            <v>13229</v>
          </cell>
          <cell r="N7388">
            <v>683926.05601571908</v>
          </cell>
          <cell r="O7388">
            <v>692380.00232629513</v>
          </cell>
          <cell r="P7388">
            <v>368.79259999999999</v>
          </cell>
        </row>
        <row r="7389">
          <cell r="B7389">
            <v>40166</v>
          </cell>
          <cell r="J7389">
            <v>3809804.3041216834</v>
          </cell>
          <cell r="K7389">
            <v>2.4380000000000002</v>
          </cell>
          <cell r="L7389">
            <v>148835</v>
          </cell>
          <cell r="M7389">
            <v>13229</v>
          </cell>
          <cell r="N7389">
            <v>683926.05601571908</v>
          </cell>
          <cell r="O7389">
            <v>692380.00232629513</v>
          </cell>
          <cell r="P7389">
            <v>368.79259999999999</v>
          </cell>
        </row>
        <row r="7390">
          <cell r="B7390">
            <v>40167</v>
          </cell>
          <cell r="J7390">
            <v>3809804.3041216834</v>
          </cell>
          <cell r="K7390">
            <v>2.4380000000000002</v>
          </cell>
          <cell r="L7390">
            <v>148835</v>
          </cell>
          <cell r="M7390">
            <v>13229</v>
          </cell>
          <cell r="N7390">
            <v>683926.05601571908</v>
          </cell>
          <cell r="O7390">
            <v>692380.00232629513</v>
          </cell>
          <cell r="P7390">
            <v>368.79259999999999</v>
          </cell>
        </row>
        <row r="7391">
          <cell r="B7391">
            <v>40168</v>
          </cell>
          <cell r="J7391">
            <v>3809804.3041216834</v>
          </cell>
          <cell r="K7391">
            <v>2.4380000000000002</v>
          </cell>
          <cell r="L7391">
            <v>148835</v>
          </cell>
          <cell r="M7391">
            <v>13229</v>
          </cell>
          <cell r="N7391">
            <v>683926.05601571908</v>
          </cell>
          <cell r="O7391">
            <v>692380.00232629513</v>
          </cell>
          <cell r="P7391">
            <v>368.79259999999999</v>
          </cell>
        </row>
        <row r="7392">
          <cell r="B7392">
            <v>40169</v>
          </cell>
          <cell r="J7392">
            <v>3809804.3041216834</v>
          </cell>
          <cell r="K7392">
            <v>2.4380000000000002</v>
          </cell>
          <cell r="L7392">
            <v>148835</v>
          </cell>
          <cell r="M7392">
            <v>13229</v>
          </cell>
          <cell r="N7392">
            <v>683926.05601571908</v>
          </cell>
          <cell r="O7392">
            <v>692380.00232629513</v>
          </cell>
          <cell r="P7392">
            <v>368.79259999999999</v>
          </cell>
        </row>
        <row r="7393">
          <cell r="B7393">
            <v>40170</v>
          </cell>
          <cell r="J7393">
            <v>3809804.3041216834</v>
          </cell>
          <cell r="K7393">
            <v>2.4380000000000002</v>
          </cell>
          <cell r="L7393">
            <v>148835</v>
          </cell>
          <cell r="M7393">
            <v>13229</v>
          </cell>
          <cell r="N7393">
            <v>683926.05601571908</v>
          </cell>
          <cell r="O7393">
            <v>692380.00232629513</v>
          </cell>
          <cell r="P7393">
            <v>368.79259999999999</v>
          </cell>
        </row>
        <row r="7394">
          <cell r="B7394">
            <v>40171</v>
          </cell>
          <cell r="J7394">
            <v>3809804.3041216834</v>
          </cell>
          <cell r="K7394">
            <v>2.4380000000000002</v>
          </cell>
          <cell r="L7394">
            <v>148835</v>
          </cell>
          <cell r="M7394">
            <v>13229</v>
          </cell>
          <cell r="N7394">
            <v>683926.05601571908</v>
          </cell>
          <cell r="O7394">
            <v>692380.00232629513</v>
          </cell>
          <cell r="P7394">
            <v>368.79259999999999</v>
          </cell>
        </row>
        <row r="7395">
          <cell r="B7395">
            <v>40172</v>
          </cell>
          <cell r="J7395">
            <v>3809804.3041216834</v>
          </cell>
          <cell r="K7395">
            <v>2.4380000000000002</v>
          </cell>
          <cell r="L7395">
            <v>148835</v>
          </cell>
          <cell r="M7395">
            <v>13229</v>
          </cell>
          <cell r="N7395">
            <v>683926.05601571908</v>
          </cell>
          <cell r="O7395">
            <v>692380.00232629513</v>
          </cell>
          <cell r="P7395">
            <v>368.79259999999999</v>
          </cell>
        </row>
        <row r="7396">
          <cell r="B7396">
            <v>40173</v>
          </cell>
          <cell r="J7396">
            <v>3809804.3041216834</v>
          </cell>
          <cell r="K7396">
            <v>2.4380000000000002</v>
          </cell>
          <cell r="L7396">
            <v>148835</v>
          </cell>
          <cell r="M7396">
            <v>13229</v>
          </cell>
          <cell r="N7396">
            <v>683926.05601571908</v>
          </cell>
          <cell r="O7396">
            <v>692380.00232629513</v>
          </cell>
          <cell r="P7396">
            <v>368.79259999999999</v>
          </cell>
        </row>
        <row r="7397">
          <cell r="B7397">
            <v>40174</v>
          </cell>
          <cell r="J7397">
            <v>3809804.3041216834</v>
          </cell>
          <cell r="K7397">
            <v>2.4380000000000002</v>
          </cell>
          <cell r="L7397">
            <v>148835</v>
          </cell>
          <cell r="M7397">
            <v>13229</v>
          </cell>
          <cell r="N7397">
            <v>683926.05601571908</v>
          </cell>
          <cell r="O7397">
            <v>692380.00232629513</v>
          </cell>
          <cell r="P7397">
            <v>368.79259999999999</v>
          </cell>
        </row>
        <row r="7398">
          <cell r="B7398">
            <v>40175</v>
          </cell>
          <cell r="J7398">
            <v>3809804.3041216834</v>
          </cell>
          <cell r="K7398">
            <v>2.4380000000000002</v>
          </cell>
          <cell r="L7398">
            <v>148835</v>
          </cell>
          <cell r="M7398">
            <v>13229</v>
          </cell>
          <cell r="N7398">
            <v>683926.05601571908</v>
          </cell>
          <cell r="O7398">
            <v>692380.00232629513</v>
          </cell>
          <cell r="P7398">
            <v>368.79259999999999</v>
          </cell>
        </row>
        <row r="7399">
          <cell r="B7399">
            <v>40176</v>
          </cell>
          <cell r="J7399">
            <v>3809804.3041216834</v>
          </cell>
          <cell r="K7399">
            <v>2.4380000000000002</v>
          </cell>
          <cell r="L7399">
            <v>148835</v>
          </cell>
          <cell r="M7399">
            <v>13229</v>
          </cell>
          <cell r="N7399">
            <v>683926.05601571908</v>
          </cell>
          <cell r="O7399">
            <v>692380.00232629513</v>
          </cell>
          <cell r="P7399">
            <v>368.79259999999999</v>
          </cell>
        </row>
        <row r="7400">
          <cell r="B7400">
            <v>40177</v>
          </cell>
          <cell r="J7400">
            <v>3809804.3041216834</v>
          </cell>
          <cell r="K7400">
            <v>2.4380000000000002</v>
          </cell>
          <cell r="L7400">
            <v>148835</v>
          </cell>
          <cell r="M7400">
            <v>13229</v>
          </cell>
          <cell r="N7400">
            <v>683926.05601571908</v>
          </cell>
          <cell r="O7400">
            <v>692380.00232629513</v>
          </cell>
          <cell r="P7400">
            <v>368.79259999999999</v>
          </cell>
        </row>
        <row r="7401">
          <cell r="B7401">
            <v>40178</v>
          </cell>
          <cell r="J7401">
            <v>3809804.3041216834</v>
          </cell>
          <cell r="K7401">
            <v>2.4380000000000002</v>
          </cell>
          <cell r="L7401">
            <v>148835</v>
          </cell>
          <cell r="M7401">
            <v>13229</v>
          </cell>
          <cell r="N7401">
            <v>683926.05601571908</v>
          </cell>
          <cell r="O7401">
            <v>692380.00232629513</v>
          </cell>
          <cell r="P7401">
            <v>368.79259999999999</v>
          </cell>
        </row>
        <row r="7402">
          <cell r="B7402">
            <v>40179</v>
          </cell>
          <cell r="J7402">
            <v>3809804.3041216834</v>
          </cell>
          <cell r="K7402">
            <v>2.4380000000000002</v>
          </cell>
          <cell r="L7402">
            <v>148835</v>
          </cell>
          <cell r="M7402">
            <v>13229</v>
          </cell>
          <cell r="N7402">
            <v>683926.05601571908</v>
          </cell>
          <cell r="O7402">
            <v>692380.00232629513</v>
          </cell>
          <cell r="P7402">
            <v>368.79259999999999</v>
          </cell>
        </row>
        <row r="7403">
          <cell r="B7403">
            <v>40180</v>
          </cell>
          <cell r="J7403">
            <v>3809804.3041216834</v>
          </cell>
          <cell r="K7403">
            <v>2.4380000000000002</v>
          </cell>
          <cell r="L7403">
            <v>148835</v>
          </cell>
          <cell r="M7403">
            <v>13229</v>
          </cell>
          <cell r="N7403">
            <v>683926.05601571908</v>
          </cell>
          <cell r="O7403">
            <v>692380.00232629513</v>
          </cell>
          <cell r="P7403">
            <v>368.79259999999999</v>
          </cell>
        </row>
        <row r="7404">
          <cell r="B7404">
            <v>40181</v>
          </cell>
          <cell r="J7404">
            <v>3809804.3041216834</v>
          </cell>
          <cell r="K7404">
            <v>2.4380000000000002</v>
          </cell>
          <cell r="L7404">
            <v>148835</v>
          </cell>
          <cell r="M7404">
            <v>13229</v>
          </cell>
          <cell r="N7404">
            <v>683926.05601571908</v>
          </cell>
          <cell r="O7404">
            <v>692380.00232629513</v>
          </cell>
          <cell r="P7404">
            <v>368.79259999999999</v>
          </cell>
        </row>
        <row r="7405">
          <cell r="B7405">
            <v>40182</v>
          </cell>
          <cell r="J7405">
            <v>3809804.3041216834</v>
          </cell>
          <cell r="K7405">
            <v>2.4380000000000002</v>
          </cell>
          <cell r="L7405">
            <v>148835</v>
          </cell>
          <cell r="M7405">
            <v>13229</v>
          </cell>
          <cell r="N7405">
            <v>683926.05601571908</v>
          </cell>
          <cell r="O7405">
            <v>692380.00232629513</v>
          </cell>
          <cell r="P7405">
            <v>368.79259999999999</v>
          </cell>
        </row>
        <row r="7406">
          <cell r="B7406">
            <v>40183</v>
          </cell>
          <cell r="J7406">
            <v>3809804.3041216834</v>
          </cell>
          <cell r="K7406">
            <v>2.4380000000000002</v>
          </cell>
          <cell r="L7406">
            <v>148835</v>
          </cell>
          <cell r="M7406">
            <v>13229</v>
          </cell>
          <cell r="N7406">
            <v>683926.05601571908</v>
          </cell>
          <cell r="O7406">
            <v>692380.00232629513</v>
          </cell>
          <cell r="P7406">
            <v>368.79259999999999</v>
          </cell>
        </row>
        <row r="7407">
          <cell r="B7407">
            <v>40184</v>
          </cell>
          <cell r="J7407">
            <v>3809804.3041216834</v>
          </cell>
          <cell r="K7407">
            <v>2.4380000000000002</v>
          </cell>
          <cell r="L7407">
            <v>148835</v>
          </cell>
          <cell r="M7407">
            <v>13229</v>
          </cell>
          <cell r="N7407">
            <v>683926.05601571908</v>
          </cell>
          <cell r="O7407">
            <v>692380.00232629513</v>
          </cell>
          <cell r="P7407">
            <v>368.79259999999999</v>
          </cell>
        </row>
        <row r="7408">
          <cell r="B7408">
            <v>40185</v>
          </cell>
          <cell r="J7408">
            <v>3809804.3041216834</v>
          </cell>
          <cell r="K7408">
            <v>2.4380000000000002</v>
          </cell>
          <cell r="L7408">
            <v>148835</v>
          </cell>
          <cell r="M7408">
            <v>13229</v>
          </cell>
          <cell r="N7408">
            <v>683926.05601571908</v>
          </cell>
          <cell r="O7408">
            <v>692380.00232629513</v>
          </cell>
          <cell r="P7408">
            <v>368.79259999999999</v>
          </cell>
        </row>
        <row r="7409">
          <cell r="B7409">
            <v>40186</v>
          </cell>
          <cell r="J7409">
            <v>3809804.3041216834</v>
          </cell>
          <cell r="K7409">
            <v>2.4380000000000002</v>
          </cell>
          <cell r="L7409">
            <v>148835</v>
          </cell>
          <cell r="M7409">
            <v>13229</v>
          </cell>
          <cell r="N7409">
            <v>683926.05601571908</v>
          </cell>
          <cell r="O7409">
            <v>692380.00232629513</v>
          </cell>
          <cell r="P7409">
            <v>368.79259999999999</v>
          </cell>
        </row>
        <row r="7410">
          <cell r="B7410">
            <v>40187</v>
          </cell>
          <cell r="J7410">
            <v>3809804.3041216834</v>
          </cell>
          <cell r="K7410">
            <v>2.4380000000000002</v>
          </cell>
          <cell r="L7410">
            <v>148835</v>
          </cell>
          <cell r="M7410">
            <v>13229</v>
          </cell>
          <cell r="N7410">
            <v>683926.05601571908</v>
          </cell>
          <cell r="O7410">
            <v>692380.00232629513</v>
          </cell>
          <cell r="P7410">
            <v>368.79259999999999</v>
          </cell>
        </row>
        <row r="7411">
          <cell r="B7411">
            <v>40188</v>
          </cell>
          <cell r="J7411">
            <v>3809804.3041216834</v>
          </cell>
          <cell r="K7411">
            <v>2.4380000000000002</v>
          </cell>
          <cell r="L7411">
            <v>148835</v>
          </cell>
          <cell r="M7411">
            <v>13229</v>
          </cell>
          <cell r="N7411">
            <v>683926.05601571908</v>
          </cell>
          <cell r="O7411">
            <v>692380.00232629513</v>
          </cell>
          <cell r="P7411">
            <v>368.79259999999999</v>
          </cell>
        </row>
        <row r="7412">
          <cell r="B7412">
            <v>40189</v>
          </cell>
          <cell r="J7412">
            <v>3809804.3041216834</v>
          </cell>
          <cell r="K7412">
            <v>2.4380000000000002</v>
          </cell>
          <cell r="L7412">
            <v>148835</v>
          </cell>
          <cell r="M7412">
            <v>13229</v>
          </cell>
          <cell r="N7412">
            <v>683926.05601571908</v>
          </cell>
          <cell r="O7412">
            <v>692380.00232629513</v>
          </cell>
          <cell r="P7412">
            <v>368.79259999999999</v>
          </cell>
        </row>
        <row r="7413">
          <cell r="B7413">
            <v>40190</v>
          </cell>
          <cell r="J7413">
            <v>3809804.3041216834</v>
          </cell>
          <cell r="K7413">
            <v>2.4380000000000002</v>
          </cell>
          <cell r="L7413">
            <v>148835</v>
          </cell>
          <cell r="M7413">
            <v>13229</v>
          </cell>
          <cell r="N7413">
            <v>683926.05601571908</v>
          </cell>
          <cell r="O7413">
            <v>692380.00232629513</v>
          </cell>
          <cell r="P7413">
            <v>368.79259999999999</v>
          </cell>
        </row>
        <row r="7414">
          <cell r="B7414">
            <v>40191</v>
          </cell>
          <cell r="J7414">
            <v>3809804.3041216834</v>
          </cell>
          <cell r="K7414">
            <v>2.4380000000000002</v>
          </cell>
          <cell r="L7414">
            <v>148835</v>
          </cell>
          <cell r="M7414">
            <v>13229</v>
          </cell>
          <cell r="N7414">
            <v>683926.05601571908</v>
          </cell>
          <cell r="O7414">
            <v>692380.00232629513</v>
          </cell>
          <cell r="P7414">
            <v>368.79259999999999</v>
          </cell>
        </row>
        <row r="7415">
          <cell r="B7415">
            <v>40192</v>
          </cell>
          <cell r="J7415">
            <v>3809804.3041216834</v>
          </cell>
          <cell r="K7415">
            <v>2.4380000000000002</v>
          </cell>
          <cell r="L7415">
            <v>148835</v>
          </cell>
          <cell r="M7415">
            <v>13229</v>
          </cell>
          <cell r="N7415">
            <v>683926.05601571908</v>
          </cell>
          <cell r="O7415">
            <v>692380.00232629513</v>
          </cell>
          <cell r="P7415">
            <v>368.79259999999999</v>
          </cell>
        </row>
        <row r="7416">
          <cell r="B7416">
            <v>40193</v>
          </cell>
          <cell r="J7416">
            <v>3809804.3041216834</v>
          </cell>
          <cell r="K7416">
            <v>2.4380000000000002</v>
          </cell>
          <cell r="L7416">
            <v>148835</v>
          </cell>
          <cell r="M7416">
            <v>13229</v>
          </cell>
          <cell r="N7416">
            <v>683926.05601571908</v>
          </cell>
          <cell r="O7416">
            <v>692380.00232629513</v>
          </cell>
          <cell r="P7416">
            <v>368.79259999999999</v>
          </cell>
        </row>
        <row r="7417">
          <cell r="B7417">
            <v>40194</v>
          </cell>
          <cell r="J7417">
            <v>3809804.3041216834</v>
          </cell>
          <cell r="K7417">
            <v>2.4380000000000002</v>
          </cell>
          <cell r="L7417">
            <v>148835</v>
          </cell>
          <cell r="M7417">
            <v>13229</v>
          </cell>
          <cell r="N7417">
            <v>683926.05601571908</v>
          </cell>
          <cell r="O7417">
            <v>692380.00232629513</v>
          </cell>
          <cell r="P7417">
            <v>368.79259999999999</v>
          </cell>
        </row>
        <row r="7418">
          <cell r="B7418">
            <v>40195</v>
          </cell>
          <cell r="J7418">
            <v>3809804.3041216834</v>
          </cell>
          <cell r="K7418">
            <v>2.4380000000000002</v>
          </cell>
          <cell r="L7418">
            <v>148835</v>
          </cell>
          <cell r="M7418">
            <v>13229</v>
          </cell>
          <cell r="N7418">
            <v>683926.05601571908</v>
          </cell>
          <cell r="O7418">
            <v>692380.00232629513</v>
          </cell>
          <cell r="P7418">
            <v>368.79259999999999</v>
          </cell>
        </row>
        <row r="7419">
          <cell r="B7419">
            <v>40196</v>
          </cell>
          <cell r="J7419">
            <v>3809804.3041216834</v>
          </cell>
          <cell r="K7419">
            <v>2.4380000000000002</v>
          </cell>
          <cell r="L7419">
            <v>148835</v>
          </cell>
          <cell r="M7419">
            <v>13229</v>
          </cell>
          <cell r="N7419">
            <v>683926.05601571908</v>
          </cell>
          <cell r="O7419">
            <v>692380.00232629513</v>
          </cell>
          <cell r="P7419">
            <v>368.79259999999999</v>
          </cell>
        </row>
        <row r="7420">
          <cell r="B7420">
            <v>40197</v>
          </cell>
          <cell r="J7420">
            <v>3809804.3041216834</v>
          </cell>
          <cell r="K7420">
            <v>2.4380000000000002</v>
          </cell>
          <cell r="L7420">
            <v>148835</v>
          </cell>
          <cell r="M7420">
            <v>13229</v>
          </cell>
          <cell r="N7420">
            <v>683926.05601571908</v>
          </cell>
          <cell r="O7420">
            <v>692380.00232629513</v>
          </cell>
          <cell r="P7420">
            <v>368.79259999999999</v>
          </cell>
        </row>
        <row r="7421">
          <cell r="B7421">
            <v>40198</v>
          </cell>
          <cell r="J7421">
            <v>3809804.3041216834</v>
          </cell>
          <cell r="K7421">
            <v>2.4380000000000002</v>
          </cell>
          <cell r="L7421">
            <v>148835</v>
          </cell>
          <cell r="M7421">
            <v>13229</v>
          </cell>
          <cell r="N7421">
            <v>683926.05601571908</v>
          </cell>
          <cell r="O7421">
            <v>692380.00232629513</v>
          </cell>
          <cell r="P7421">
            <v>368.79259999999999</v>
          </cell>
        </row>
        <row r="7422">
          <cell r="B7422">
            <v>40199</v>
          </cell>
          <cell r="J7422">
            <v>3809804.3041216834</v>
          </cell>
          <cell r="K7422">
            <v>2.4380000000000002</v>
          </cell>
          <cell r="L7422">
            <v>148835</v>
          </cell>
          <cell r="M7422">
            <v>13229</v>
          </cell>
          <cell r="N7422">
            <v>683926.05601571908</v>
          </cell>
          <cell r="O7422">
            <v>692380.00232629513</v>
          </cell>
          <cell r="P7422">
            <v>368.79259999999999</v>
          </cell>
        </row>
        <row r="7423">
          <cell r="B7423">
            <v>40200</v>
          </cell>
          <cell r="J7423">
            <v>3809804.3041216834</v>
          </cell>
          <cell r="K7423">
            <v>2.4380000000000002</v>
          </cell>
          <cell r="L7423">
            <v>148835</v>
          </cell>
          <cell r="M7423">
            <v>13229</v>
          </cell>
          <cell r="N7423">
            <v>683926.05601571908</v>
          </cell>
          <cell r="O7423">
            <v>692380.00232629513</v>
          </cell>
          <cell r="P7423">
            <v>368.79259999999999</v>
          </cell>
        </row>
        <row r="7424">
          <cell r="B7424">
            <v>40201</v>
          </cell>
          <cell r="J7424">
            <v>3809804.3041216834</v>
          </cell>
          <cell r="K7424">
            <v>2.4380000000000002</v>
          </cell>
          <cell r="L7424">
            <v>148835</v>
          </cell>
          <cell r="M7424">
            <v>13229</v>
          </cell>
          <cell r="N7424">
            <v>683926.05601571908</v>
          </cell>
          <cell r="O7424">
            <v>692380.00232629513</v>
          </cell>
          <cell r="P7424">
            <v>368.79259999999999</v>
          </cell>
        </row>
        <row r="7425">
          <cell r="B7425">
            <v>40202</v>
          </cell>
          <cell r="J7425">
            <v>3809804.3041216834</v>
          </cell>
          <cell r="K7425">
            <v>2.4380000000000002</v>
          </cell>
          <cell r="L7425">
            <v>148835</v>
          </cell>
          <cell r="M7425">
            <v>13229</v>
          </cell>
          <cell r="N7425">
            <v>683926.05601571908</v>
          </cell>
          <cell r="O7425">
            <v>692380.00232629513</v>
          </cell>
          <cell r="P7425">
            <v>368.79259999999999</v>
          </cell>
        </row>
        <row r="7426">
          <cell r="B7426">
            <v>40203</v>
          </cell>
          <cell r="J7426">
            <v>3809804.3041216834</v>
          </cell>
          <cell r="K7426">
            <v>2.4380000000000002</v>
          </cell>
          <cell r="L7426">
            <v>148835</v>
          </cell>
          <cell r="M7426">
            <v>13229</v>
          </cell>
          <cell r="N7426">
            <v>683926.05601571908</v>
          </cell>
          <cell r="O7426">
            <v>692380.00232629513</v>
          </cell>
          <cell r="P7426">
            <v>368.79259999999999</v>
          </cell>
        </row>
        <row r="7427">
          <cell r="B7427">
            <v>40204</v>
          </cell>
          <cell r="J7427">
            <v>3809804.3041216834</v>
          </cell>
          <cell r="K7427">
            <v>2.4380000000000002</v>
          </cell>
          <cell r="L7427">
            <v>148835</v>
          </cell>
          <cell r="M7427">
            <v>13229</v>
          </cell>
          <cell r="N7427">
            <v>683926.05601571908</v>
          </cell>
          <cell r="O7427">
            <v>692380.00232629513</v>
          </cell>
          <cell r="P7427">
            <v>368.79259999999999</v>
          </cell>
        </row>
        <row r="7428">
          <cell r="B7428">
            <v>40205</v>
          </cell>
          <cell r="J7428">
            <v>3809804.3041216834</v>
          </cell>
          <cell r="K7428">
            <v>2.4380000000000002</v>
          </cell>
          <cell r="L7428">
            <v>148835</v>
          </cell>
          <cell r="M7428">
            <v>13229</v>
          </cell>
          <cell r="N7428">
            <v>683926.05601571908</v>
          </cell>
          <cell r="O7428">
            <v>692380.00232629513</v>
          </cell>
          <cell r="P7428">
            <v>368.79259999999999</v>
          </cell>
        </row>
        <row r="7429">
          <cell r="B7429">
            <v>40206</v>
          </cell>
          <cell r="J7429">
            <v>3809804.3041216834</v>
          </cell>
          <cell r="K7429">
            <v>2.4380000000000002</v>
          </cell>
          <cell r="L7429">
            <v>148835</v>
          </cell>
          <cell r="M7429">
            <v>13229</v>
          </cell>
          <cell r="N7429">
            <v>683926.05601571908</v>
          </cell>
          <cell r="O7429">
            <v>692380.00232629513</v>
          </cell>
          <cell r="P7429">
            <v>368.79259999999999</v>
          </cell>
        </row>
        <row r="7430">
          <cell r="B7430">
            <v>40207</v>
          </cell>
          <cell r="J7430">
            <v>3809804.3041216834</v>
          </cell>
          <cell r="K7430">
            <v>2.4380000000000002</v>
          </cell>
          <cell r="L7430">
            <v>148835</v>
          </cell>
          <cell r="M7430">
            <v>13229</v>
          </cell>
          <cell r="N7430">
            <v>683926.05601571908</v>
          </cell>
          <cell r="O7430">
            <v>692380.00232629513</v>
          </cell>
          <cell r="P7430">
            <v>368.79259999999999</v>
          </cell>
        </row>
        <row r="7431">
          <cell r="B7431">
            <v>40208</v>
          </cell>
          <cell r="J7431">
            <v>3809804.3041216834</v>
          </cell>
          <cell r="K7431">
            <v>2.4380000000000002</v>
          </cell>
          <cell r="L7431">
            <v>148835</v>
          </cell>
          <cell r="M7431">
            <v>13229</v>
          </cell>
          <cell r="N7431">
            <v>683926.05601571908</v>
          </cell>
          <cell r="O7431">
            <v>692380.00232629513</v>
          </cell>
          <cell r="P7431">
            <v>368.79259999999999</v>
          </cell>
        </row>
        <row r="7432">
          <cell r="B7432">
            <v>40209</v>
          </cell>
          <cell r="J7432">
            <v>3809804.3041216834</v>
          </cell>
          <cell r="K7432">
            <v>2.4380000000000002</v>
          </cell>
          <cell r="L7432">
            <v>148835</v>
          </cell>
          <cell r="M7432">
            <v>13229</v>
          </cell>
          <cell r="N7432">
            <v>683926.05601571908</v>
          </cell>
          <cell r="O7432">
            <v>692380.00232629513</v>
          </cell>
          <cell r="P7432">
            <v>368.79259999999999</v>
          </cell>
        </row>
        <row r="7433">
          <cell r="B7433">
            <v>40210</v>
          </cell>
          <cell r="J7433">
            <v>3809804.3041216834</v>
          </cell>
          <cell r="K7433">
            <v>2.4380000000000002</v>
          </cell>
          <cell r="L7433">
            <v>148835</v>
          </cell>
          <cell r="M7433">
            <v>13229</v>
          </cell>
          <cell r="N7433">
            <v>683926.05601571908</v>
          </cell>
          <cell r="O7433">
            <v>692380.00232629513</v>
          </cell>
          <cell r="P7433">
            <v>368.79259999999999</v>
          </cell>
        </row>
        <row r="7434">
          <cell r="B7434">
            <v>40211</v>
          </cell>
          <cell r="J7434">
            <v>3809804.3041216834</v>
          </cell>
          <cell r="K7434">
            <v>2.4380000000000002</v>
          </cell>
          <cell r="L7434">
            <v>148835</v>
          </cell>
          <cell r="M7434">
            <v>13229</v>
          </cell>
          <cell r="N7434">
            <v>683926.05601571908</v>
          </cell>
          <cell r="O7434">
            <v>692380.00232629513</v>
          </cell>
          <cell r="P7434">
            <v>368.79259999999999</v>
          </cell>
        </row>
        <row r="7435">
          <cell r="B7435">
            <v>40212</v>
          </cell>
          <cell r="J7435">
            <v>3809804.3041216834</v>
          </cell>
          <cell r="K7435">
            <v>2.4380000000000002</v>
          </cell>
          <cell r="L7435">
            <v>148835</v>
          </cell>
          <cell r="M7435">
            <v>13229</v>
          </cell>
          <cell r="N7435">
            <v>683926.05601571908</v>
          </cell>
          <cell r="O7435">
            <v>692380.00232629513</v>
          </cell>
          <cell r="P7435">
            <v>368.79259999999999</v>
          </cell>
        </row>
        <row r="7436">
          <cell r="B7436">
            <v>40213</v>
          </cell>
          <cell r="J7436">
            <v>3809804.3041216834</v>
          </cell>
          <cell r="K7436">
            <v>2.4380000000000002</v>
          </cell>
          <cell r="L7436">
            <v>148835</v>
          </cell>
          <cell r="M7436">
            <v>13229</v>
          </cell>
          <cell r="N7436">
            <v>683926.05601571908</v>
          </cell>
          <cell r="O7436">
            <v>692380.00232629513</v>
          </cell>
          <cell r="P7436">
            <v>368.79259999999999</v>
          </cell>
        </row>
        <row r="7437">
          <cell r="B7437">
            <v>40214</v>
          </cell>
          <cell r="J7437">
            <v>3809804.3041216834</v>
          </cell>
          <cell r="K7437">
            <v>2.4380000000000002</v>
          </cell>
          <cell r="L7437">
            <v>148835</v>
          </cell>
          <cell r="M7437">
            <v>13229</v>
          </cell>
          <cell r="N7437">
            <v>683926.05601571908</v>
          </cell>
          <cell r="O7437">
            <v>692380.00232629513</v>
          </cell>
          <cell r="P7437">
            <v>368.79259999999999</v>
          </cell>
        </row>
        <row r="7438">
          <cell r="B7438">
            <v>40215</v>
          </cell>
          <cell r="J7438">
            <v>3809804.3041216834</v>
          </cell>
          <cell r="K7438">
            <v>2.4380000000000002</v>
          </cell>
          <cell r="L7438">
            <v>148835</v>
          </cell>
          <cell r="M7438">
            <v>13229</v>
          </cell>
          <cell r="N7438">
            <v>683926.05601571908</v>
          </cell>
          <cell r="O7438">
            <v>692380.00232629513</v>
          </cell>
          <cell r="P7438">
            <v>368.79259999999999</v>
          </cell>
        </row>
        <row r="7439">
          <cell r="B7439">
            <v>40216</v>
          </cell>
          <cell r="J7439">
            <v>3809804.3041216834</v>
          </cell>
          <cell r="K7439">
            <v>2.4380000000000002</v>
          </cell>
          <cell r="L7439">
            <v>148835</v>
          </cell>
          <cell r="M7439">
            <v>13229</v>
          </cell>
          <cell r="N7439">
            <v>683926.05601571908</v>
          </cell>
          <cell r="O7439">
            <v>692380.00232629513</v>
          </cell>
          <cell r="P7439">
            <v>368.79259999999999</v>
          </cell>
        </row>
        <row r="7440">
          <cell r="B7440">
            <v>40217</v>
          </cell>
          <cell r="J7440">
            <v>3809804.3041216834</v>
          </cell>
          <cell r="K7440">
            <v>2.4380000000000002</v>
          </cell>
          <cell r="L7440">
            <v>148835</v>
          </cell>
          <cell r="M7440">
            <v>13229</v>
          </cell>
          <cell r="N7440">
            <v>683926.05601571908</v>
          </cell>
          <cell r="O7440">
            <v>692380.00232629513</v>
          </cell>
          <cell r="P7440">
            <v>368.79259999999999</v>
          </cell>
        </row>
        <row r="7441">
          <cell r="B7441">
            <v>40218</v>
          </cell>
          <cell r="J7441">
            <v>3809804.3041216834</v>
          </cell>
          <cell r="K7441">
            <v>2.4380000000000002</v>
          </cell>
          <cell r="L7441">
            <v>148835</v>
          </cell>
          <cell r="M7441">
            <v>13229</v>
          </cell>
          <cell r="N7441">
            <v>683926.05601571908</v>
          </cell>
          <cell r="O7441">
            <v>692380.00232629513</v>
          </cell>
          <cell r="P7441">
            <v>368.79259999999999</v>
          </cell>
        </row>
        <row r="7442">
          <cell r="B7442">
            <v>40219</v>
          </cell>
          <cell r="J7442">
            <v>3809804.3041216834</v>
          </cell>
          <cell r="K7442">
            <v>2.4380000000000002</v>
          </cell>
          <cell r="L7442">
            <v>148835</v>
          </cell>
          <cell r="M7442">
            <v>13229</v>
          </cell>
          <cell r="N7442">
            <v>683926.05601571908</v>
          </cell>
          <cell r="O7442">
            <v>692380.00232629513</v>
          </cell>
          <cell r="P7442">
            <v>368.79259999999999</v>
          </cell>
        </row>
        <row r="7443">
          <cell r="B7443">
            <v>40220</v>
          </cell>
          <cell r="J7443">
            <v>3809804.3041216834</v>
          </cell>
          <cell r="K7443">
            <v>2.4380000000000002</v>
          </cell>
          <cell r="L7443">
            <v>148835</v>
          </cell>
          <cell r="M7443">
            <v>13229</v>
          </cell>
          <cell r="N7443">
            <v>683926.05601571908</v>
          </cell>
          <cell r="O7443">
            <v>692380.00232629513</v>
          </cell>
          <cell r="P7443">
            <v>368.79259999999999</v>
          </cell>
        </row>
        <row r="7444">
          <cell r="B7444">
            <v>40221</v>
          </cell>
          <cell r="J7444">
            <v>3809804.3041216834</v>
          </cell>
          <cell r="K7444">
            <v>2.4380000000000002</v>
          </cell>
          <cell r="L7444">
            <v>148835</v>
          </cell>
          <cell r="M7444">
            <v>13229</v>
          </cell>
          <cell r="N7444">
            <v>683926.05601571908</v>
          </cell>
          <cell r="O7444">
            <v>692380.00232629513</v>
          </cell>
          <cell r="P7444">
            <v>368.79259999999999</v>
          </cell>
        </row>
        <row r="7445">
          <cell r="B7445">
            <v>40222</v>
          </cell>
          <cell r="J7445">
            <v>3809804.3041216834</v>
          </cell>
          <cell r="K7445">
            <v>2.4380000000000002</v>
          </cell>
          <cell r="L7445">
            <v>148835</v>
          </cell>
          <cell r="M7445">
            <v>13229</v>
          </cell>
          <cell r="N7445">
            <v>683926.05601571908</v>
          </cell>
          <cell r="O7445">
            <v>692380.00232629513</v>
          </cell>
          <cell r="P7445">
            <v>368.79259999999999</v>
          </cell>
        </row>
        <row r="7446">
          <cell r="B7446">
            <v>40223</v>
          </cell>
          <cell r="J7446">
            <v>3809804.3041216834</v>
          </cell>
          <cell r="K7446">
            <v>2.4380000000000002</v>
          </cell>
          <cell r="L7446">
            <v>148835</v>
          </cell>
          <cell r="M7446">
            <v>13229</v>
          </cell>
          <cell r="N7446">
            <v>683926.05601571908</v>
          </cell>
          <cell r="O7446">
            <v>692380.00232629513</v>
          </cell>
          <cell r="P7446">
            <v>368.79259999999999</v>
          </cell>
        </row>
        <row r="7447">
          <cell r="B7447">
            <v>40224</v>
          </cell>
          <cell r="J7447">
            <v>3809804.3041216834</v>
          </cell>
          <cell r="K7447">
            <v>2.4380000000000002</v>
          </cell>
          <cell r="L7447">
            <v>148835</v>
          </cell>
          <cell r="M7447">
            <v>13229</v>
          </cell>
          <cell r="N7447">
            <v>683926.05601571908</v>
          </cell>
          <cell r="O7447">
            <v>692380.00232629513</v>
          </cell>
          <cell r="P7447">
            <v>368.79259999999999</v>
          </cell>
        </row>
        <row r="7448">
          <cell r="B7448">
            <v>40225</v>
          </cell>
          <cell r="J7448">
            <v>3809804.3041216834</v>
          </cell>
          <cell r="K7448">
            <v>2.4380000000000002</v>
          </cell>
          <cell r="L7448">
            <v>148835</v>
          </cell>
          <cell r="M7448">
            <v>13229</v>
          </cell>
          <cell r="N7448">
            <v>683926.05601571908</v>
          </cell>
          <cell r="O7448">
            <v>692380.00232629513</v>
          </cell>
          <cell r="P7448">
            <v>368.79259999999999</v>
          </cell>
        </row>
        <row r="7449">
          <cell r="B7449">
            <v>40226</v>
          </cell>
          <cell r="J7449">
            <v>3809804.3041216834</v>
          </cell>
          <cell r="K7449">
            <v>2.4380000000000002</v>
          </cell>
          <cell r="L7449">
            <v>148835</v>
          </cell>
          <cell r="M7449">
            <v>13229</v>
          </cell>
          <cell r="N7449">
            <v>683926.05601571908</v>
          </cell>
          <cell r="O7449">
            <v>692380.00232629513</v>
          </cell>
          <cell r="P7449">
            <v>368.79259999999999</v>
          </cell>
        </row>
        <row r="7450">
          <cell r="B7450">
            <v>40227</v>
          </cell>
          <cell r="J7450">
            <v>3809804.3041216834</v>
          </cell>
          <cell r="K7450">
            <v>2.4380000000000002</v>
          </cell>
          <cell r="L7450">
            <v>148835</v>
          </cell>
          <cell r="M7450">
            <v>13229</v>
          </cell>
          <cell r="N7450">
            <v>683926.05601571908</v>
          </cell>
          <cell r="O7450">
            <v>692380.00232629513</v>
          </cell>
          <cell r="P7450">
            <v>368.79259999999999</v>
          </cell>
        </row>
        <row r="7451">
          <cell r="B7451">
            <v>40228</v>
          </cell>
          <cell r="J7451">
            <v>3809804.3041216834</v>
          </cell>
          <cell r="K7451">
            <v>2.4380000000000002</v>
          </cell>
          <cell r="L7451">
            <v>148835</v>
          </cell>
          <cell r="M7451">
            <v>13229</v>
          </cell>
          <cell r="N7451">
            <v>683926.05601571908</v>
          </cell>
          <cell r="O7451">
            <v>692380.00232629513</v>
          </cell>
          <cell r="P7451">
            <v>368.79259999999999</v>
          </cell>
        </row>
        <row r="7452">
          <cell r="B7452">
            <v>40229</v>
          </cell>
          <cell r="J7452">
            <v>3809804.3041216834</v>
          </cell>
          <cell r="K7452">
            <v>2.4380000000000002</v>
          </cell>
          <cell r="L7452">
            <v>148835</v>
          </cell>
          <cell r="M7452">
            <v>13229</v>
          </cell>
          <cell r="N7452">
            <v>683926.05601571908</v>
          </cell>
          <cell r="O7452">
            <v>692380.00232629513</v>
          </cell>
          <cell r="P7452">
            <v>368.79259999999999</v>
          </cell>
        </row>
        <row r="7453">
          <cell r="B7453">
            <v>40230</v>
          </cell>
          <cell r="J7453">
            <v>3809804.3041216834</v>
          </cell>
          <cell r="K7453">
            <v>2.4380000000000002</v>
          </cell>
          <cell r="L7453">
            <v>148835</v>
          </cell>
          <cell r="M7453">
            <v>13229</v>
          </cell>
          <cell r="N7453">
            <v>683926.05601571908</v>
          </cell>
          <cell r="O7453">
            <v>692380.00232629513</v>
          </cell>
          <cell r="P7453">
            <v>368.79259999999999</v>
          </cell>
        </row>
        <row r="7454">
          <cell r="B7454">
            <v>40231</v>
          </cell>
          <cell r="J7454">
            <v>3809804.3041216834</v>
          </cell>
          <cell r="K7454">
            <v>2.4380000000000002</v>
          </cell>
          <cell r="L7454">
            <v>148835</v>
          </cell>
          <cell r="M7454">
            <v>13229</v>
          </cell>
          <cell r="N7454">
            <v>683926.05601571908</v>
          </cell>
          <cell r="O7454">
            <v>692380.00232629513</v>
          </cell>
          <cell r="P7454">
            <v>368.79259999999999</v>
          </cell>
        </row>
        <row r="7455">
          <cell r="B7455">
            <v>40232</v>
          </cell>
          <cell r="J7455">
            <v>3809804.3041216834</v>
          </cell>
          <cell r="K7455">
            <v>2.4380000000000002</v>
          </cell>
          <cell r="L7455">
            <v>148835</v>
          </cell>
          <cell r="M7455">
            <v>13229</v>
          </cell>
          <cell r="N7455">
            <v>683926.05601571908</v>
          </cell>
          <cell r="O7455">
            <v>692380.00232629513</v>
          </cell>
          <cell r="P7455">
            <v>368.79259999999999</v>
          </cell>
        </row>
        <row r="7456">
          <cell r="B7456">
            <v>40233</v>
          </cell>
          <cell r="J7456">
            <v>3809804.3041216834</v>
          </cell>
          <cell r="K7456">
            <v>2.4380000000000002</v>
          </cell>
          <cell r="L7456">
            <v>148835</v>
          </cell>
          <cell r="M7456">
            <v>13229</v>
          </cell>
          <cell r="N7456">
            <v>683926.05601571908</v>
          </cell>
          <cell r="O7456">
            <v>692380.00232629513</v>
          </cell>
          <cell r="P7456">
            <v>368.79259999999999</v>
          </cell>
        </row>
        <row r="7457">
          <cell r="B7457">
            <v>40234</v>
          </cell>
          <cell r="J7457">
            <v>3809804.3041216834</v>
          </cell>
          <cell r="K7457">
            <v>2.4380000000000002</v>
          </cell>
          <cell r="L7457">
            <v>148835</v>
          </cell>
          <cell r="M7457">
            <v>13229</v>
          </cell>
          <cell r="N7457">
            <v>683926.05601571908</v>
          </cell>
          <cell r="O7457">
            <v>692380.00232629513</v>
          </cell>
          <cell r="P7457">
            <v>368.79259999999999</v>
          </cell>
        </row>
        <row r="7458">
          <cell r="B7458">
            <v>40235</v>
          </cell>
          <cell r="J7458">
            <v>3809804.3041216834</v>
          </cell>
          <cell r="K7458">
            <v>2.4380000000000002</v>
          </cell>
          <cell r="L7458">
            <v>148835</v>
          </cell>
          <cell r="M7458">
            <v>13229</v>
          </cell>
          <cell r="N7458">
            <v>683926.05601571908</v>
          </cell>
          <cell r="O7458">
            <v>692380.00232629513</v>
          </cell>
          <cell r="P7458">
            <v>368.79259999999999</v>
          </cell>
        </row>
        <row r="7459">
          <cell r="B7459">
            <v>40236</v>
          </cell>
          <cell r="J7459">
            <v>3809804.3041216834</v>
          </cell>
          <cell r="K7459">
            <v>2.4380000000000002</v>
          </cell>
          <cell r="L7459">
            <v>148835</v>
          </cell>
          <cell r="M7459">
            <v>13229</v>
          </cell>
          <cell r="N7459">
            <v>683926.05601571908</v>
          </cell>
          <cell r="O7459">
            <v>692380.00232629513</v>
          </cell>
          <cell r="P7459">
            <v>368.79259999999999</v>
          </cell>
        </row>
        <row r="7460">
          <cell r="B7460">
            <v>40237</v>
          </cell>
          <cell r="J7460">
            <v>3809804.3041216834</v>
          </cell>
          <cell r="K7460">
            <v>2.4380000000000002</v>
          </cell>
          <cell r="L7460">
            <v>148835</v>
          </cell>
          <cell r="M7460">
            <v>13229</v>
          </cell>
          <cell r="N7460">
            <v>683926.05601571908</v>
          </cell>
          <cell r="O7460">
            <v>692380.00232629513</v>
          </cell>
          <cell r="P7460">
            <v>368.79259999999999</v>
          </cell>
        </row>
        <row r="7461">
          <cell r="B7461">
            <v>40238</v>
          </cell>
          <cell r="J7461">
            <v>3809804.3041216834</v>
          </cell>
          <cell r="K7461">
            <v>2.4380000000000002</v>
          </cell>
          <cell r="L7461">
            <v>148835</v>
          </cell>
          <cell r="M7461">
            <v>13229</v>
          </cell>
          <cell r="N7461">
            <v>683926.05601571908</v>
          </cell>
          <cell r="O7461">
            <v>692380.00232629513</v>
          </cell>
          <cell r="P7461">
            <v>368.79259999999999</v>
          </cell>
        </row>
        <row r="7462">
          <cell r="B7462">
            <v>40239</v>
          </cell>
          <cell r="J7462">
            <v>3809804.3041216834</v>
          </cell>
          <cell r="K7462">
            <v>2.4380000000000002</v>
          </cell>
          <cell r="L7462">
            <v>148835</v>
          </cell>
          <cell r="M7462">
            <v>13229</v>
          </cell>
          <cell r="N7462">
            <v>683926.05601571908</v>
          </cell>
          <cell r="O7462">
            <v>692380.00232629513</v>
          </cell>
          <cell r="P7462">
            <v>368.79259999999999</v>
          </cell>
        </row>
        <row r="7463">
          <cell r="B7463">
            <v>40240</v>
          </cell>
          <cell r="J7463">
            <v>3809804.3041216834</v>
          </cell>
          <cell r="K7463">
            <v>2.4380000000000002</v>
          </cell>
          <cell r="L7463">
            <v>148835</v>
          </cell>
          <cell r="M7463">
            <v>13229</v>
          </cell>
          <cell r="N7463">
            <v>683926.05601571908</v>
          </cell>
          <cell r="O7463">
            <v>692380.00232629513</v>
          </cell>
          <cell r="P7463">
            <v>368.79259999999999</v>
          </cell>
        </row>
        <row r="7464">
          <cell r="B7464">
            <v>40241</v>
          </cell>
          <cell r="J7464">
            <v>3809804.3041216834</v>
          </cell>
          <cell r="K7464">
            <v>2.4380000000000002</v>
          </cell>
          <cell r="L7464">
            <v>148835</v>
          </cell>
          <cell r="M7464">
            <v>13229</v>
          </cell>
          <cell r="N7464">
            <v>683926.05601571908</v>
          </cell>
          <cell r="O7464">
            <v>692380.00232629513</v>
          </cell>
          <cell r="P7464">
            <v>368.79259999999999</v>
          </cell>
        </row>
        <row r="7465">
          <cell r="B7465">
            <v>40242</v>
          </cell>
          <cell r="J7465">
            <v>3809804.3041216834</v>
          </cell>
          <cell r="K7465">
            <v>2.4380000000000002</v>
          </cell>
          <cell r="L7465">
            <v>148835</v>
          </cell>
          <cell r="M7465">
            <v>13229</v>
          </cell>
          <cell r="N7465">
            <v>683926.05601571908</v>
          </cell>
          <cell r="O7465">
            <v>692380.00232629513</v>
          </cell>
          <cell r="P7465">
            <v>368.79259999999999</v>
          </cell>
        </row>
        <row r="7466">
          <cell r="B7466">
            <v>40243</v>
          </cell>
          <cell r="J7466">
            <v>3809804.3041216834</v>
          </cell>
          <cell r="K7466">
            <v>2.4380000000000002</v>
          </cell>
          <cell r="L7466">
            <v>148835</v>
          </cell>
          <cell r="M7466">
            <v>13229</v>
          </cell>
          <cell r="N7466">
            <v>683926.05601571908</v>
          </cell>
          <cell r="O7466">
            <v>692380.00232629513</v>
          </cell>
          <cell r="P7466">
            <v>368.79259999999999</v>
          </cell>
        </row>
        <row r="7467">
          <cell r="B7467">
            <v>40244</v>
          </cell>
          <cell r="J7467">
            <v>3809804.3041216834</v>
          </cell>
          <cell r="K7467">
            <v>2.4380000000000002</v>
          </cell>
          <cell r="L7467">
            <v>148835</v>
          </cell>
          <cell r="M7467">
            <v>13229</v>
          </cell>
          <cell r="N7467">
            <v>683926.05601571908</v>
          </cell>
          <cell r="O7467">
            <v>692380.00232629513</v>
          </cell>
          <cell r="P7467">
            <v>368.79259999999999</v>
          </cell>
        </row>
        <row r="7468">
          <cell r="B7468">
            <v>40245</v>
          </cell>
          <cell r="J7468">
            <v>3809804.3041216834</v>
          </cell>
          <cell r="K7468">
            <v>2.4380000000000002</v>
          </cell>
          <cell r="L7468">
            <v>148835</v>
          </cell>
          <cell r="M7468">
            <v>13229</v>
          </cell>
          <cell r="N7468">
            <v>683926.05601571908</v>
          </cell>
          <cell r="O7468">
            <v>692380.00232629513</v>
          </cell>
          <cell r="P7468">
            <v>368.79259999999999</v>
          </cell>
        </row>
        <row r="7469">
          <cell r="B7469">
            <v>40246</v>
          </cell>
          <cell r="J7469">
            <v>3809804.3041216834</v>
          </cell>
          <cell r="K7469">
            <v>2.4380000000000002</v>
          </cell>
          <cell r="L7469">
            <v>148835</v>
          </cell>
          <cell r="M7469">
            <v>13229</v>
          </cell>
          <cell r="N7469">
            <v>683926.05601571908</v>
          </cell>
          <cell r="O7469">
            <v>692380.00232629513</v>
          </cell>
          <cell r="P7469">
            <v>368.79259999999999</v>
          </cell>
        </row>
        <row r="7470">
          <cell r="B7470">
            <v>40247</v>
          </cell>
          <cell r="J7470">
            <v>3809804.3041216834</v>
          </cell>
          <cell r="K7470">
            <v>2.4380000000000002</v>
          </cell>
          <cell r="L7470">
            <v>148835</v>
          </cell>
          <cell r="M7470">
            <v>13229</v>
          </cell>
          <cell r="N7470">
            <v>683926.05601571908</v>
          </cell>
          <cell r="O7470">
            <v>692380.00232629513</v>
          </cell>
          <cell r="P7470">
            <v>368.79259999999999</v>
          </cell>
        </row>
        <row r="7471">
          <cell r="B7471">
            <v>40248</v>
          </cell>
          <cell r="J7471">
            <v>3809804.3041216834</v>
          </cell>
          <cell r="K7471">
            <v>2.4380000000000002</v>
          </cell>
          <cell r="L7471">
            <v>148835</v>
          </cell>
          <cell r="M7471">
            <v>13229</v>
          </cell>
          <cell r="N7471">
            <v>683926.05601571908</v>
          </cell>
          <cell r="O7471">
            <v>692380.00232629513</v>
          </cell>
          <cell r="P7471">
            <v>368.79259999999999</v>
          </cell>
        </row>
        <row r="7472">
          <cell r="B7472">
            <v>40249</v>
          </cell>
          <cell r="J7472">
            <v>3809804.3041216834</v>
          </cell>
          <cell r="K7472">
            <v>2.4380000000000002</v>
          </cell>
          <cell r="L7472">
            <v>148835</v>
          </cell>
          <cell r="M7472">
            <v>13229</v>
          </cell>
          <cell r="N7472">
            <v>683926.05601571908</v>
          </cell>
          <cell r="O7472">
            <v>692380.00232629513</v>
          </cell>
          <cell r="P7472">
            <v>368.79259999999999</v>
          </cell>
        </row>
        <row r="7473">
          <cell r="B7473">
            <v>40250</v>
          </cell>
          <cell r="J7473">
            <v>3809804.3041216834</v>
          </cell>
          <cell r="K7473">
            <v>2.4380000000000002</v>
          </cell>
          <cell r="L7473">
            <v>148835</v>
          </cell>
          <cell r="M7473">
            <v>13229</v>
          </cell>
          <cell r="N7473">
            <v>683926.05601571908</v>
          </cell>
          <cell r="O7473">
            <v>692380.00232629513</v>
          </cell>
          <cell r="P7473">
            <v>368.79259999999999</v>
          </cell>
        </row>
        <row r="7474">
          <cell r="B7474">
            <v>40251</v>
          </cell>
          <cell r="J7474">
            <v>3809804.3041216834</v>
          </cell>
          <cell r="K7474">
            <v>2.4380000000000002</v>
          </cell>
          <cell r="L7474">
            <v>148835</v>
          </cell>
          <cell r="M7474">
            <v>13229</v>
          </cell>
          <cell r="N7474">
            <v>683926.05601571908</v>
          </cell>
          <cell r="O7474">
            <v>692380.00232629513</v>
          </cell>
          <cell r="P7474">
            <v>368.79259999999999</v>
          </cell>
        </row>
        <row r="7475">
          <cell r="B7475">
            <v>40252</v>
          </cell>
          <cell r="J7475">
            <v>3809804.3041216834</v>
          </cell>
          <cell r="K7475">
            <v>2.4380000000000002</v>
          </cell>
          <cell r="L7475">
            <v>148835</v>
          </cell>
          <cell r="M7475">
            <v>13229</v>
          </cell>
          <cell r="N7475">
            <v>683926.05601571908</v>
          </cell>
          <cell r="O7475">
            <v>692380.00232629513</v>
          </cell>
          <cell r="P7475">
            <v>368.79259999999999</v>
          </cell>
        </row>
        <row r="7476">
          <cell r="B7476">
            <v>40253</v>
          </cell>
          <cell r="J7476">
            <v>3809804.3041216834</v>
          </cell>
          <cell r="K7476">
            <v>2.4380000000000002</v>
          </cell>
          <cell r="L7476">
            <v>148835</v>
          </cell>
          <cell r="M7476">
            <v>13229</v>
          </cell>
          <cell r="N7476">
            <v>683926.05601571908</v>
          </cell>
          <cell r="O7476">
            <v>692380.00232629513</v>
          </cell>
          <cell r="P7476">
            <v>368.79259999999999</v>
          </cell>
        </row>
        <row r="7477">
          <cell r="B7477">
            <v>40254</v>
          </cell>
          <cell r="J7477">
            <v>3809804.3041216834</v>
          </cell>
          <cell r="K7477">
            <v>2.4380000000000002</v>
          </cell>
          <cell r="L7477">
            <v>148835</v>
          </cell>
          <cell r="M7477">
            <v>13229</v>
          </cell>
          <cell r="N7477">
            <v>683926.05601571908</v>
          </cell>
          <cell r="O7477">
            <v>692380.00232629513</v>
          </cell>
          <cell r="P7477">
            <v>368.79259999999999</v>
          </cell>
        </row>
        <row r="7478">
          <cell r="B7478">
            <v>40255</v>
          </cell>
          <cell r="J7478">
            <v>3809804.3041216834</v>
          </cell>
          <cell r="K7478">
            <v>2.4380000000000002</v>
          </cell>
          <cell r="L7478">
            <v>148835</v>
          </cell>
          <cell r="M7478">
            <v>13229</v>
          </cell>
          <cell r="N7478">
            <v>683926.05601571908</v>
          </cell>
          <cell r="O7478">
            <v>692380.00232629513</v>
          </cell>
          <cell r="P7478">
            <v>368.79259999999999</v>
          </cell>
        </row>
        <row r="7479">
          <cell r="B7479">
            <v>40256</v>
          </cell>
          <cell r="J7479">
            <v>3809804.3041216834</v>
          </cell>
          <cell r="K7479">
            <v>2.4380000000000002</v>
          </cell>
          <cell r="L7479">
            <v>148835</v>
          </cell>
          <cell r="M7479">
            <v>13229</v>
          </cell>
          <cell r="N7479">
            <v>683926.05601571908</v>
          </cell>
          <cell r="O7479">
            <v>692380.00232629513</v>
          </cell>
          <cell r="P7479">
            <v>368.79259999999999</v>
          </cell>
        </row>
        <row r="7480">
          <cell r="B7480">
            <v>40257</v>
          </cell>
          <cell r="J7480">
            <v>3809804.3041216834</v>
          </cell>
          <cell r="K7480">
            <v>2.4380000000000002</v>
          </cell>
          <cell r="L7480">
            <v>148835</v>
          </cell>
          <cell r="M7480">
            <v>13229</v>
          </cell>
          <cell r="N7480">
            <v>683926.05601571908</v>
          </cell>
          <cell r="O7480">
            <v>692380.00232629513</v>
          </cell>
          <cell r="P7480">
            <v>368.79259999999999</v>
          </cell>
        </row>
        <row r="7481">
          <cell r="B7481">
            <v>40258</v>
          </cell>
          <cell r="J7481">
            <v>3809804.3041216834</v>
          </cell>
          <cell r="K7481">
            <v>2.4380000000000002</v>
          </cell>
          <cell r="L7481">
            <v>148835</v>
          </cell>
          <cell r="M7481">
            <v>13229</v>
          </cell>
          <cell r="N7481">
            <v>683926.05601571908</v>
          </cell>
          <cell r="O7481">
            <v>692380.00232629513</v>
          </cell>
          <cell r="P7481">
            <v>368.79259999999999</v>
          </cell>
        </row>
        <row r="7482">
          <cell r="B7482">
            <v>40259</v>
          </cell>
          <cell r="J7482">
            <v>3809804.3041216834</v>
          </cell>
          <cell r="K7482">
            <v>2.4380000000000002</v>
          </cell>
          <cell r="L7482">
            <v>148835</v>
          </cell>
          <cell r="M7482">
            <v>13229</v>
          </cell>
          <cell r="N7482">
            <v>683926.05601571908</v>
          </cell>
          <cell r="O7482">
            <v>692380.00232629513</v>
          </cell>
          <cell r="P7482">
            <v>368.79259999999999</v>
          </cell>
        </row>
        <row r="7483">
          <cell r="B7483">
            <v>40260</v>
          </cell>
          <cell r="J7483">
            <v>3809804.3041216834</v>
          </cell>
          <cell r="K7483">
            <v>2.4380000000000002</v>
          </cell>
          <cell r="L7483">
            <v>148835</v>
          </cell>
          <cell r="M7483">
            <v>13229</v>
          </cell>
          <cell r="N7483">
            <v>683926.05601571908</v>
          </cell>
          <cell r="O7483">
            <v>692380.00232629513</v>
          </cell>
          <cell r="P7483">
            <v>368.79259999999999</v>
          </cell>
        </row>
        <row r="7484">
          <cell r="B7484">
            <v>40261</v>
          </cell>
          <cell r="J7484">
            <v>3809804.3041216834</v>
          </cell>
          <cell r="K7484">
            <v>2.4380000000000002</v>
          </cell>
          <cell r="L7484">
            <v>148835</v>
          </cell>
          <cell r="M7484">
            <v>13229</v>
          </cell>
          <cell r="N7484">
            <v>683926.05601571908</v>
          </cell>
          <cell r="O7484">
            <v>692380.00232629513</v>
          </cell>
          <cell r="P7484">
            <v>368.79259999999999</v>
          </cell>
        </row>
        <row r="7485">
          <cell r="B7485">
            <v>40262</v>
          </cell>
          <cell r="J7485">
            <v>3809804.3041216834</v>
          </cell>
          <cell r="K7485">
            <v>2.4380000000000002</v>
          </cell>
          <cell r="L7485">
            <v>148835</v>
          </cell>
          <cell r="M7485">
            <v>13229</v>
          </cell>
          <cell r="N7485">
            <v>683926.05601571908</v>
          </cell>
          <cell r="O7485">
            <v>692380.00232629513</v>
          </cell>
          <cell r="P7485">
            <v>368.79259999999999</v>
          </cell>
        </row>
        <row r="7486">
          <cell r="B7486">
            <v>40263</v>
          </cell>
          <cell r="J7486">
            <v>3809804.3041216834</v>
          </cell>
          <cell r="K7486">
            <v>2.4380000000000002</v>
          </cell>
          <cell r="L7486">
            <v>148835</v>
          </cell>
          <cell r="M7486">
            <v>13229</v>
          </cell>
          <cell r="N7486">
            <v>683926.05601571908</v>
          </cell>
          <cell r="O7486">
            <v>692380.00232629513</v>
          </cell>
          <cell r="P7486">
            <v>368.79259999999999</v>
          </cell>
        </row>
        <row r="7487">
          <cell r="B7487">
            <v>40264</v>
          </cell>
          <cell r="J7487">
            <v>3809804.3041216834</v>
          </cell>
          <cell r="K7487">
            <v>2.4380000000000002</v>
          </cell>
          <cell r="L7487">
            <v>148835</v>
          </cell>
          <cell r="M7487">
            <v>13229</v>
          </cell>
          <cell r="N7487">
            <v>683926.05601571908</v>
          </cell>
          <cell r="O7487">
            <v>692380.00232629513</v>
          </cell>
          <cell r="P7487">
            <v>368.79259999999999</v>
          </cell>
        </row>
        <row r="7488">
          <cell r="B7488">
            <v>40265</v>
          </cell>
          <cell r="J7488">
            <v>3809804.3041216834</v>
          </cell>
          <cell r="K7488">
            <v>2.4380000000000002</v>
          </cell>
          <cell r="L7488">
            <v>148835</v>
          </cell>
          <cell r="M7488">
            <v>13229</v>
          </cell>
          <cell r="N7488">
            <v>683926.05601571908</v>
          </cell>
          <cell r="O7488">
            <v>692380.00232629513</v>
          </cell>
          <cell r="P7488">
            <v>368.79259999999999</v>
          </cell>
        </row>
        <row r="7489">
          <cell r="B7489">
            <v>40266</v>
          </cell>
          <cell r="J7489">
            <v>3809804.3041216834</v>
          </cell>
          <cell r="K7489">
            <v>2.4380000000000002</v>
          </cell>
          <cell r="L7489">
            <v>148835</v>
          </cell>
          <cell r="M7489">
            <v>13229</v>
          </cell>
          <cell r="N7489">
            <v>683926.05601571908</v>
          </cell>
          <cell r="O7489">
            <v>692380.00232629513</v>
          </cell>
          <cell r="P7489">
            <v>368.79259999999999</v>
          </cell>
        </row>
        <row r="7490">
          <cell r="B7490">
            <v>40267</v>
          </cell>
          <cell r="J7490">
            <v>3809804.3041216834</v>
          </cell>
          <cell r="K7490">
            <v>2.4380000000000002</v>
          </cell>
          <cell r="L7490">
            <v>148835</v>
          </cell>
          <cell r="M7490">
            <v>13229</v>
          </cell>
          <cell r="N7490">
            <v>683926.05601571908</v>
          </cell>
          <cell r="O7490">
            <v>692380.00232629513</v>
          </cell>
          <cell r="P7490">
            <v>368.79259999999999</v>
          </cell>
        </row>
        <row r="7491">
          <cell r="B7491">
            <v>40268</v>
          </cell>
          <cell r="J7491">
            <v>3809804.3041216834</v>
          </cell>
          <cell r="K7491">
            <v>2.4380000000000002</v>
          </cell>
          <cell r="L7491">
            <v>148835</v>
          </cell>
          <cell r="M7491">
            <v>13229</v>
          </cell>
          <cell r="N7491">
            <v>683926.05601571908</v>
          </cell>
          <cell r="O7491">
            <v>692380.00232629513</v>
          </cell>
          <cell r="P7491">
            <v>368.79259999999999</v>
          </cell>
        </row>
        <row r="7492">
          <cell r="B7492">
            <v>40269</v>
          </cell>
          <cell r="J7492">
            <v>3809804.3041216834</v>
          </cell>
          <cell r="K7492">
            <v>2.4380000000000002</v>
          </cell>
          <cell r="L7492">
            <v>148835</v>
          </cell>
          <cell r="M7492">
            <v>13229</v>
          </cell>
          <cell r="N7492">
            <v>683926.05601571908</v>
          </cell>
          <cell r="O7492">
            <v>692380.00232629513</v>
          </cell>
          <cell r="P7492">
            <v>368.79259999999999</v>
          </cell>
        </row>
        <row r="7493">
          <cell r="B7493">
            <v>40270</v>
          </cell>
          <cell r="J7493">
            <v>3809804.3041216834</v>
          </cell>
          <cell r="K7493">
            <v>2.4380000000000002</v>
          </cell>
          <cell r="L7493">
            <v>148835</v>
          </cell>
          <cell r="M7493">
            <v>13229</v>
          </cell>
          <cell r="N7493">
            <v>683926.05601571908</v>
          </cell>
          <cell r="O7493">
            <v>692380.00232629513</v>
          </cell>
          <cell r="P7493">
            <v>368.79259999999999</v>
          </cell>
        </row>
        <row r="7494">
          <cell r="B7494">
            <v>40271</v>
          </cell>
          <cell r="J7494">
            <v>3809804.3041216834</v>
          </cell>
          <cell r="K7494">
            <v>2.4380000000000002</v>
          </cell>
          <cell r="L7494">
            <v>148835</v>
          </cell>
          <cell r="M7494">
            <v>13229</v>
          </cell>
          <cell r="N7494">
            <v>683926.05601571908</v>
          </cell>
          <cell r="O7494">
            <v>692380.00232629513</v>
          </cell>
          <cell r="P7494">
            <v>368.79259999999999</v>
          </cell>
        </row>
        <row r="7495">
          <cell r="B7495">
            <v>40272</v>
          </cell>
          <cell r="J7495">
            <v>3809804.3041216834</v>
          </cell>
          <cell r="K7495">
            <v>2.4380000000000002</v>
          </cell>
          <cell r="L7495">
            <v>148835</v>
          </cell>
          <cell r="M7495">
            <v>13229</v>
          </cell>
          <cell r="N7495">
            <v>683926.05601571908</v>
          </cell>
          <cell r="O7495">
            <v>692380.00232629513</v>
          </cell>
          <cell r="P7495">
            <v>368.79259999999999</v>
          </cell>
        </row>
        <row r="7496">
          <cell r="B7496">
            <v>40273</v>
          </cell>
          <cell r="J7496">
            <v>3809804.3041216834</v>
          </cell>
          <cell r="K7496">
            <v>2.4380000000000002</v>
          </cell>
          <cell r="L7496">
            <v>148835</v>
          </cell>
          <cell r="M7496">
            <v>13229</v>
          </cell>
          <cell r="N7496">
            <v>683926.05601571908</v>
          </cell>
          <cell r="O7496">
            <v>692380.00232629513</v>
          </cell>
          <cell r="P7496">
            <v>368.79259999999999</v>
          </cell>
        </row>
        <row r="7497">
          <cell r="B7497">
            <v>40274</v>
          </cell>
          <cell r="J7497">
            <v>3809804.3041216834</v>
          </cell>
          <cell r="K7497">
            <v>2.4380000000000002</v>
          </cell>
          <cell r="L7497">
            <v>148835</v>
          </cell>
          <cell r="M7497">
            <v>13229</v>
          </cell>
          <cell r="N7497">
            <v>683926.05601571908</v>
          </cell>
          <cell r="O7497">
            <v>692380.00232629513</v>
          </cell>
          <cell r="P7497">
            <v>368.79259999999999</v>
          </cell>
        </row>
        <row r="7498">
          <cell r="B7498">
            <v>40275</v>
          </cell>
          <cell r="J7498">
            <v>3809804.3041216834</v>
          </cell>
          <cell r="K7498">
            <v>2.4380000000000002</v>
          </cell>
          <cell r="L7498">
            <v>148835</v>
          </cell>
          <cell r="M7498">
            <v>13229</v>
          </cell>
          <cell r="N7498">
            <v>683926.05601571908</v>
          </cell>
          <cell r="O7498">
            <v>692380.00232629513</v>
          </cell>
          <cell r="P7498">
            <v>368.79259999999999</v>
          </cell>
        </row>
        <row r="7499">
          <cell r="B7499">
            <v>40276</v>
          </cell>
          <cell r="J7499">
            <v>3809804.3041216834</v>
          </cell>
          <cell r="K7499">
            <v>2.4380000000000002</v>
          </cell>
          <cell r="L7499">
            <v>148835</v>
          </cell>
          <cell r="M7499">
            <v>13229</v>
          </cell>
          <cell r="N7499">
            <v>683926.05601571908</v>
          </cell>
          <cell r="O7499">
            <v>692380.00232629513</v>
          </cell>
          <cell r="P7499">
            <v>368.79259999999999</v>
          </cell>
        </row>
        <row r="7500">
          <cell r="B7500">
            <v>40277</v>
          </cell>
          <cell r="J7500">
            <v>3809804.3041216834</v>
          </cell>
          <cell r="K7500">
            <v>2.4380000000000002</v>
          </cell>
          <cell r="L7500">
            <v>148835</v>
          </cell>
          <cell r="M7500">
            <v>13229</v>
          </cell>
          <cell r="N7500">
            <v>683926.05601571908</v>
          </cell>
          <cell r="O7500">
            <v>692380.00232629513</v>
          </cell>
          <cell r="P7500">
            <v>368.79259999999999</v>
          </cell>
        </row>
        <row r="7501">
          <cell r="B7501">
            <v>40278</v>
          </cell>
          <cell r="J7501">
            <v>3809804.3041216834</v>
          </cell>
          <cell r="K7501">
            <v>2.4380000000000002</v>
          </cell>
          <cell r="L7501">
            <v>148835</v>
          </cell>
          <cell r="M7501">
            <v>13229</v>
          </cell>
          <cell r="N7501">
            <v>683926.05601571908</v>
          </cell>
          <cell r="O7501">
            <v>692380.00232629513</v>
          </cell>
          <cell r="P7501">
            <v>368.79259999999999</v>
          </cell>
        </row>
        <row r="7502">
          <cell r="B7502">
            <v>40279</v>
          </cell>
          <cell r="J7502">
            <v>3809804.3041216834</v>
          </cell>
          <cell r="K7502">
            <v>2.4380000000000002</v>
          </cell>
          <cell r="L7502">
            <v>148835</v>
          </cell>
          <cell r="M7502">
            <v>13229</v>
          </cell>
          <cell r="N7502">
            <v>683926.05601571908</v>
          </cell>
          <cell r="O7502">
            <v>692380.00232629513</v>
          </cell>
          <cell r="P7502">
            <v>368.79259999999999</v>
          </cell>
        </row>
        <row r="7503">
          <cell r="B7503">
            <v>40280</v>
          </cell>
          <cell r="J7503">
            <v>3809804.3041216834</v>
          </cell>
          <cell r="K7503">
            <v>2.4380000000000002</v>
          </cell>
          <cell r="L7503">
            <v>148835</v>
          </cell>
          <cell r="M7503">
            <v>13229</v>
          </cell>
          <cell r="N7503">
            <v>683926.05601571908</v>
          </cell>
          <cell r="O7503">
            <v>692380.00232629513</v>
          </cell>
          <cell r="P7503">
            <v>368.79259999999999</v>
          </cell>
        </row>
        <row r="7504">
          <cell r="B7504">
            <v>40281</v>
          </cell>
          <cell r="J7504">
            <v>3809804.3041216834</v>
          </cell>
          <cell r="K7504">
            <v>2.4380000000000002</v>
          </cell>
          <cell r="L7504">
            <v>148835</v>
          </cell>
          <cell r="M7504">
            <v>13229</v>
          </cell>
          <cell r="N7504">
            <v>683926.05601571908</v>
          </cell>
          <cell r="O7504">
            <v>692380.00232629513</v>
          </cell>
          <cell r="P7504">
            <v>368.79259999999999</v>
          </cell>
        </row>
        <row r="7505">
          <cell r="B7505">
            <v>40282</v>
          </cell>
          <cell r="J7505">
            <v>3809804.3041216834</v>
          </cell>
          <cell r="K7505">
            <v>2.4380000000000002</v>
          </cell>
          <cell r="L7505">
            <v>148835</v>
          </cell>
          <cell r="M7505">
            <v>13229</v>
          </cell>
          <cell r="N7505">
            <v>683926.05601571908</v>
          </cell>
          <cell r="O7505">
            <v>692380.00232629513</v>
          </cell>
          <cell r="P7505">
            <v>368.79259999999999</v>
          </cell>
        </row>
        <row r="7506">
          <cell r="B7506">
            <v>40283</v>
          </cell>
          <cell r="J7506">
            <v>3809804.3041216834</v>
          </cell>
          <cell r="K7506">
            <v>2.4380000000000002</v>
          </cell>
          <cell r="L7506">
            <v>148835</v>
          </cell>
          <cell r="M7506">
            <v>13229</v>
          </cell>
          <cell r="N7506">
            <v>683926.05601571908</v>
          </cell>
          <cell r="O7506">
            <v>692380.00232629513</v>
          </cell>
          <cell r="P7506">
            <v>368.79259999999999</v>
          </cell>
        </row>
        <row r="7507">
          <cell r="B7507">
            <v>40284</v>
          </cell>
          <cell r="J7507">
            <v>3809804.3041216834</v>
          </cell>
          <cell r="K7507">
            <v>2.4380000000000002</v>
          </cell>
          <cell r="L7507">
            <v>148835</v>
          </cell>
          <cell r="M7507">
            <v>13229</v>
          </cell>
          <cell r="N7507">
            <v>683926.05601571908</v>
          </cell>
          <cell r="O7507">
            <v>692380.00232629513</v>
          </cell>
          <cell r="P7507">
            <v>368.79259999999999</v>
          </cell>
        </row>
        <row r="7508">
          <cell r="B7508">
            <v>40285</v>
          </cell>
          <cell r="J7508">
            <v>3809804.3041216834</v>
          </cell>
          <cell r="K7508">
            <v>2.4380000000000002</v>
          </cell>
          <cell r="L7508">
            <v>148835</v>
          </cell>
          <cell r="M7508">
            <v>13229</v>
          </cell>
          <cell r="N7508">
            <v>683926.05601571908</v>
          </cell>
          <cell r="O7508">
            <v>692380.00232629513</v>
          </cell>
          <cell r="P7508">
            <v>368.79259999999999</v>
          </cell>
        </row>
        <row r="7509">
          <cell r="B7509">
            <v>40286</v>
          </cell>
          <cell r="J7509">
            <v>3809804.3041216834</v>
          </cell>
          <cell r="K7509">
            <v>2.4380000000000002</v>
          </cell>
          <cell r="L7509">
            <v>148835</v>
          </cell>
          <cell r="M7509">
            <v>13229</v>
          </cell>
          <cell r="N7509">
            <v>683926.05601571908</v>
          </cell>
          <cell r="O7509">
            <v>692380.00232629513</v>
          </cell>
          <cell r="P7509">
            <v>368.79259999999999</v>
          </cell>
        </row>
        <row r="7510">
          <cell r="B7510">
            <v>40287</v>
          </cell>
          <cell r="J7510">
            <v>3809804.3041216834</v>
          </cell>
          <cell r="K7510">
            <v>2.4380000000000002</v>
          </cell>
          <cell r="L7510">
            <v>148835</v>
          </cell>
          <cell r="M7510">
            <v>13229</v>
          </cell>
          <cell r="N7510">
            <v>683926.05601571908</v>
          </cell>
          <cell r="O7510">
            <v>692380.00232629513</v>
          </cell>
          <cell r="P7510">
            <v>368.79259999999999</v>
          </cell>
        </row>
        <row r="7511">
          <cell r="B7511">
            <v>40288</v>
          </cell>
          <cell r="J7511">
            <v>3809804.3041216834</v>
          </cell>
          <cell r="K7511">
            <v>2.4380000000000002</v>
          </cell>
          <cell r="L7511">
            <v>148835</v>
          </cell>
          <cell r="M7511">
            <v>13229</v>
          </cell>
          <cell r="N7511">
            <v>683926.05601571908</v>
          </cell>
          <cell r="O7511">
            <v>692380.00232629513</v>
          </cell>
          <cell r="P7511">
            <v>368.79259999999999</v>
          </cell>
        </row>
        <row r="7512">
          <cell r="B7512">
            <v>40289</v>
          </cell>
          <cell r="J7512">
            <v>3809804.3041216834</v>
          </cell>
          <cell r="K7512">
            <v>2.4380000000000002</v>
          </cell>
          <cell r="L7512">
            <v>148835</v>
          </cell>
          <cell r="M7512">
            <v>13229</v>
          </cell>
          <cell r="N7512">
            <v>683926.05601571908</v>
          </cell>
          <cell r="O7512">
            <v>692380.00232629513</v>
          </cell>
          <cell r="P7512">
            <v>368.79259999999999</v>
          </cell>
        </row>
        <row r="7513">
          <cell r="B7513">
            <v>40290</v>
          </cell>
          <cell r="J7513">
            <v>3809804.3041216834</v>
          </cell>
          <cell r="K7513">
            <v>2.4380000000000002</v>
          </cell>
          <cell r="L7513">
            <v>148835</v>
          </cell>
          <cell r="M7513">
            <v>13229</v>
          </cell>
          <cell r="N7513">
            <v>683926.05601571908</v>
          </cell>
          <cell r="O7513">
            <v>692380.00232629513</v>
          </cell>
          <cell r="P7513">
            <v>368.79259999999999</v>
          </cell>
        </row>
        <row r="7514">
          <cell r="B7514">
            <v>40291</v>
          </cell>
          <cell r="J7514">
            <v>3809804.3041216834</v>
          </cell>
          <cell r="K7514">
            <v>2.4380000000000002</v>
          </cell>
          <cell r="L7514">
            <v>148835</v>
          </cell>
          <cell r="M7514">
            <v>13229</v>
          </cell>
          <cell r="N7514">
            <v>683926.05601571908</v>
          </cell>
          <cell r="O7514">
            <v>692380.00232629513</v>
          </cell>
          <cell r="P7514">
            <v>368.79259999999999</v>
          </cell>
        </row>
        <row r="7515">
          <cell r="B7515">
            <v>40292</v>
          </cell>
          <cell r="J7515">
            <v>3809804.3041216834</v>
          </cell>
          <cell r="K7515">
            <v>2.4380000000000002</v>
          </cell>
          <cell r="L7515">
            <v>148835</v>
          </cell>
          <cell r="M7515">
            <v>13229</v>
          </cell>
          <cell r="N7515">
            <v>683926.05601571908</v>
          </cell>
          <cell r="O7515">
            <v>692380.00232629513</v>
          </cell>
          <cell r="P7515">
            <v>368.79259999999999</v>
          </cell>
        </row>
        <row r="7516">
          <cell r="B7516">
            <v>40293</v>
          </cell>
          <cell r="J7516">
            <v>3809804.3041216834</v>
          </cell>
          <cell r="K7516">
            <v>2.4380000000000002</v>
          </cell>
          <cell r="L7516">
            <v>148835</v>
          </cell>
          <cell r="M7516">
            <v>13229</v>
          </cell>
          <cell r="N7516">
            <v>683926.05601571908</v>
          </cell>
          <cell r="O7516">
            <v>692380.00232629513</v>
          </cell>
          <cell r="P7516">
            <v>368.79259999999999</v>
          </cell>
        </row>
        <row r="7517">
          <cell r="B7517">
            <v>40294</v>
          </cell>
          <cell r="J7517">
            <v>3809804.3041216834</v>
          </cell>
          <cell r="K7517">
            <v>2.4380000000000002</v>
          </cell>
          <cell r="L7517">
            <v>148835</v>
          </cell>
          <cell r="M7517">
            <v>13229</v>
          </cell>
          <cell r="N7517">
            <v>683926.05601571908</v>
          </cell>
          <cell r="O7517">
            <v>692380.00232629513</v>
          </cell>
          <cell r="P7517">
            <v>368.79259999999999</v>
          </cell>
        </row>
        <row r="7518">
          <cell r="B7518">
            <v>40295</v>
          </cell>
          <cell r="J7518">
            <v>3809804.3041216834</v>
          </cell>
          <cell r="K7518">
            <v>2.4380000000000002</v>
          </cell>
          <cell r="L7518">
            <v>148835</v>
          </cell>
          <cell r="M7518">
            <v>13229</v>
          </cell>
          <cell r="N7518">
            <v>683926.05601571908</v>
          </cell>
          <cell r="O7518">
            <v>692380.00232629513</v>
          </cell>
          <cell r="P7518">
            <v>368.79259999999999</v>
          </cell>
        </row>
        <row r="7519">
          <cell r="B7519">
            <v>40296</v>
          </cell>
          <cell r="J7519">
            <v>3809804.3041216834</v>
          </cell>
          <cell r="K7519">
            <v>2.4380000000000002</v>
          </cell>
          <cell r="L7519">
            <v>148835</v>
          </cell>
          <cell r="M7519">
            <v>13229</v>
          </cell>
          <cell r="N7519">
            <v>683926.05601571908</v>
          </cell>
          <cell r="O7519">
            <v>692380.00232629513</v>
          </cell>
          <cell r="P7519">
            <v>368.79259999999999</v>
          </cell>
        </row>
        <row r="7520">
          <cell r="B7520">
            <v>40297</v>
          </cell>
          <cell r="J7520">
            <v>3809804.3041216834</v>
          </cell>
          <cell r="K7520">
            <v>2.4380000000000002</v>
          </cell>
          <cell r="L7520">
            <v>148835</v>
          </cell>
          <cell r="M7520">
            <v>13229</v>
          </cell>
          <cell r="N7520">
            <v>683926.05601571908</v>
          </cell>
          <cell r="O7520">
            <v>692380.00232629513</v>
          </cell>
          <cell r="P7520">
            <v>368.79259999999999</v>
          </cell>
        </row>
        <row r="7521">
          <cell r="B7521">
            <v>40298</v>
          </cell>
          <cell r="J7521">
            <v>3809804.3041216834</v>
          </cell>
          <cell r="K7521">
            <v>2.4380000000000002</v>
          </cell>
          <cell r="L7521">
            <v>148835</v>
          </cell>
          <cell r="M7521">
            <v>13229</v>
          </cell>
          <cell r="N7521">
            <v>683926.05601571908</v>
          </cell>
          <cell r="O7521">
            <v>692380.00232629513</v>
          </cell>
          <cell r="P7521">
            <v>368.79259999999999</v>
          </cell>
        </row>
        <row r="7522">
          <cell r="B7522">
            <v>40299</v>
          </cell>
          <cell r="J7522">
            <v>3809804.3041216834</v>
          </cell>
          <cell r="K7522">
            <v>2.4380000000000002</v>
          </cell>
          <cell r="L7522">
            <v>148835</v>
          </cell>
          <cell r="M7522">
            <v>13229</v>
          </cell>
          <cell r="N7522">
            <v>683926.05601571908</v>
          </cell>
          <cell r="O7522">
            <v>692380.00232629513</v>
          </cell>
          <cell r="P7522">
            <v>368.79259999999999</v>
          </cell>
        </row>
        <row r="7523">
          <cell r="B7523">
            <v>40300</v>
          </cell>
          <cell r="J7523">
            <v>3809804.3041216834</v>
          </cell>
          <cell r="K7523">
            <v>2.4380000000000002</v>
          </cell>
          <cell r="L7523">
            <v>148835</v>
          </cell>
          <cell r="M7523">
            <v>13229</v>
          </cell>
          <cell r="N7523">
            <v>683926.05601571908</v>
          </cell>
          <cell r="O7523">
            <v>692380.00232629513</v>
          </cell>
          <cell r="P7523">
            <v>368.79259999999999</v>
          </cell>
        </row>
        <row r="7524">
          <cell r="B7524">
            <v>40301</v>
          </cell>
          <cell r="J7524">
            <v>3809804.3041216834</v>
          </cell>
          <cell r="K7524">
            <v>2.4380000000000002</v>
          </cell>
          <cell r="L7524">
            <v>148835</v>
          </cell>
          <cell r="M7524">
            <v>13229</v>
          </cell>
          <cell r="N7524">
            <v>683926.05601571908</v>
          </cell>
          <cell r="O7524">
            <v>692380.00232629513</v>
          </cell>
          <cell r="P7524">
            <v>368.79259999999999</v>
          </cell>
        </row>
        <row r="7525">
          <cell r="B7525">
            <v>40302</v>
          </cell>
          <cell r="J7525">
            <v>3809804.3041216834</v>
          </cell>
          <cell r="K7525">
            <v>2.4380000000000002</v>
          </cell>
          <cell r="L7525">
            <v>148835</v>
          </cell>
          <cell r="M7525">
            <v>13229</v>
          </cell>
          <cell r="N7525">
            <v>683926.05601571908</v>
          </cell>
          <cell r="O7525">
            <v>692380.00232629513</v>
          </cell>
          <cell r="P7525">
            <v>368.79259999999999</v>
          </cell>
        </row>
        <row r="7526">
          <cell r="B7526">
            <v>40303</v>
          </cell>
          <cell r="J7526">
            <v>3809804.3041216834</v>
          </cell>
          <cell r="K7526">
            <v>2.4380000000000002</v>
          </cell>
          <cell r="L7526">
            <v>148835</v>
          </cell>
          <cell r="M7526">
            <v>13229</v>
          </cell>
          <cell r="N7526">
            <v>683926.05601571908</v>
          </cell>
          <cell r="O7526">
            <v>692380.00232629513</v>
          </cell>
          <cell r="P7526">
            <v>368.79259999999999</v>
          </cell>
        </row>
        <row r="7527">
          <cell r="B7527">
            <v>40304</v>
          </cell>
          <cell r="J7527">
            <v>3809804.3041216834</v>
          </cell>
          <cell r="K7527">
            <v>2.4380000000000002</v>
          </cell>
          <cell r="L7527">
            <v>148835</v>
          </cell>
          <cell r="M7527">
            <v>13229</v>
          </cell>
          <cell r="N7527">
            <v>683926.05601571908</v>
          </cell>
          <cell r="O7527">
            <v>692380.00232629513</v>
          </cell>
          <cell r="P7527">
            <v>368.79259999999999</v>
          </cell>
        </row>
        <row r="7528">
          <cell r="B7528">
            <v>40305</v>
          </cell>
          <cell r="J7528">
            <v>3809804.3041216834</v>
          </cell>
          <cell r="K7528">
            <v>2.4380000000000002</v>
          </cell>
          <cell r="L7528">
            <v>148835</v>
          </cell>
          <cell r="M7528">
            <v>13229</v>
          </cell>
          <cell r="N7528">
            <v>683926.05601571908</v>
          </cell>
          <cell r="O7528">
            <v>692380.00232629513</v>
          </cell>
          <cell r="P7528">
            <v>368.79259999999999</v>
          </cell>
        </row>
        <row r="7529">
          <cell r="B7529">
            <v>40306</v>
          </cell>
          <cell r="J7529">
            <v>3809804.3041216834</v>
          </cell>
          <cell r="K7529">
            <v>2.4380000000000002</v>
          </cell>
          <cell r="L7529">
            <v>148835</v>
          </cell>
          <cell r="M7529">
            <v>13229</v>
          </cell>
          <cell r="N7529">
            <v>683926.05601571908</v>
          </cell>
          <cell r="O7529">
            <v>692380.00232629513</v>
          </cell>
          <cell r="P7529">
            <v>368.79259999999999</v>
          </cell>
        </row>
        <row r="7530">
          <cell r="B7530">
            <v>40307</v>
          </cell>
          <cell r="J7530">
            <v>3809804.3041216834</v>
          </cell>
          <cell r="K7530">
            <v>2.4380000000000002</v>
          </cell>
          <cell r="L7530">
            <v>148835</v>
          </cell>
          <cell r="M7530">
            <v>13229</v>
          </cell>
          <cell r="N7530">
            <v>683926.05601571908</v>
          </cell>
          <cell r="O7530">
            <v>692380.00232629513</v>
          </cell>
          <cell r="P7530">
            <v>368.79259999999999</v>
          </cell>
        </row>
        <row r="7531">
          <cell r="B7531">
            <v>40308</v>
          </cell>
          <cell r="J7531">
            <v>3809804.3041216834</v>
          </cell>
          <cell r="K7531">
            <v>2.4380000000000002</v>
          </cell>
          <cell r="L7531">
            <v>148835</v>
          </cell>
          <cell r="M7531">
            <v>13229</v>
          </cell>
          <cell r="N7531">
            <v>683926.05601571908</v>
          </cell>
          <cell r="O7531">
            <v>692380.00232629513</v>
          </cell>
          <cell r="P7531">
            <v>368.79259999999999</v>
          </cell>
        </row>
        <row r="7532">
          <cell r="B7532">
            <v>40309</v>
          </cell>
          <cell r="J7532">
            <v>3809804.3041216834</v>
          </cell>
          <cell r="K7532">
            <v>2.4380000000000002</v>
          </cell>
          <cell r="L7532">
            <v>148835</v>
          </cell>
          <cell r="M7532">
            <v>13229</v>
          </cell>
          <cell r="N7532">
            <v>683926.05601571908</v>
          </cell>
          <cell r="O7532">
            <v>692380.00232629513</v>
          </cell>
          <cell r="P7532">
            <v>368.79259999999999</v>
          </cell>
        </row>
        <row r="7533">
          <cell r="B7533">
            <v>40310</v>
          </cell>
          <cell r="J7533">
            <v>3809804.3041216834</v>
          </cell>
          <cell r="K7533">
            <v>2.4380000000000002</v>
          </cell>
          <cell r="L7533">
            <v>148835</v>
          </cell>
          <cell r="M7533">
            <v>13229</v>
          </cell>
          <cell r="N7533">
            <v>683926.05601571908</v>
          </cell>
          <cell r="O7533">
            <v>692380.00232629513</v>
          </cell>
          <cell r="P7533">
            <v>368.79259999999999</v>
          </cell>
        </row>
        <row r="7534">
          <cell r="B7534">
            <v>40311</v>
          </cell>
          <cell r="J7534">
            <v>3809804.3041216834</v>
          </cell>
          <cell r="K7534">
            <v>2.4380000000000002</v>
          </cell>
          <cell r="L7534">
            <v>148835</v>
          </cell>
          <cell r="M7534">
            <v>13229</v>
          </cell>
          <cell r="N7534">
            <v>683926.05601571908</v>
          </cell>
          <cell r="O7534">
            <v>692380.00232629513</v>
          </cell>
          <cell r="P7534">
            <v>368.79259999999999</v>
          </cell>
        </row>
        <row r="7535">
          <cell r="B7535">
            <v>40312</v>
          </cell>
          <cell r="J7535">
            <v>3809804.3041216834</v>
          </cell>
          <cell r="K7535">
            <v>2.4380000000000002</v>
          </cell>
          <cell r="L7535">
            <v>148835</v>
          </cell>
          <cell r="M7535">
            <v>13229</v>
          </cell>
          <cell r="N7535">
            <v>683926.05601571908</v>
          </cell>
          <cell r="O7535">
            <v>692380.00232629513</v>
          </cell>
          <cell r="P7535">
            <v>368.79259999999999</v>
          </cell>
        </row>
        <row r="7536">
          <cell r="B7536">
            <v>40313</v>
          </cell>
          <cell r="J7536">
            <v>3809804.3041216834</v>
          </cell>
          <cell r="K7536">
            <v>2.4380000000000002</v>
          </cell>
          <cell r="L7536">
            <v>148835</v>
          </cell>
          <cell r="M7536">
            <v>13229</v>
          </cell>
          <cell r="N7536">
            <v>683926.05601571908</v>
          </cell>
          <cell r="O7536">
            <v>692380.00232629513</v>
          </cell>
          <cell r="P7536">
            <v>368.79259999999999</v>
          </cell>
        </row>
        <row r="7537">
          <cell r="B7537">
            <v>40314</v>
          </cell>
          <cell r="J7537">
            <v>3809804.3041216834</v>
          </cell>
          <cell r="K7537">
            <v>2.4380000000000002</v>
          </cell>
          <cell r="L7537">
            <v>148835</v>
          </cell>
          <cell r="M7537">
            <v>13229</v>
          </cell>
          <cell r="N7537">
            <v>683926.05601571908</v>
          </cell>
          <cell r="O7537">
            <v>692380.00232629513</v>
          </cell>
          <cell r="P7537">
            <v>368.79259999999999</v>
          </cell>
        </row>
        <row r="7538">
          <cell r="B7538">
            <v>40315</v>
          </cell>
          <cell r="J7538">
            <v>3809804.3041216834</v>
          </cell>
          <cell r="K7538">
            <v>2.4380000000000002</v>
          </cell>
          <cell r="L7538">
            <v>148835</v>
          </cell>
          <cell r="M7538">
            <v>13229</v>
          </cell>
          <cell r="N7538">
            <v>683926.05601571908</v>
          </cell>
          <cell r="O7538">
            <v>692380.00232629513</v>
          </cell>
          <cell r="P7538">
            <v>368.79259999999999</v>
          </cell>
        </row>
        <row r="7539">
          <cell r="B7539">
            <v>40316</v>
          </cell>
          <cell r="J7539">
            <v>3809804.3041216834</v>
          </cell>
          <cell r="K7539">
            <v>2.4380000000000002</v>
          </cell>
          <cell r="L7539">
            <v>148835</v>
          </cell>
          <cell r="M7539">
            <v>13229</v>
          </cell>
          <cell r="N7539">
            <v>683926.05601571908</v>
          </cell>
          <cell r="O7539">
            <v>692380.00232629513</v>
          </cell>
          <cell r="P7539">
            <v>368.79259999999999</v>
          </cell>
        </row>
        <row r="7540">
          <cell r="B7540">
            <v>40317</v>
          </cell>
          <cell r="J7540">
            <v>3809804.3041216834</v>
          </cell>
          <cell r="K7540">
            <v>2.4380000000000002</v>
          </cell>
          <cell r="L7540">
            <v>148835</v>
          </cell>
          <cell r="M7540">
            <v>13229</v>
          </cell>
          <cell r="N7540">
            <v>683926.05601571908</v>
          </cell>
          <cell r="O7540">
            <v>692380.00232629513</v>
          </cell>
          <cell r="P7540">
            <v>368.79259999999999</v>
          </cell>
        </row>
        <row r="7541">
          <cell r="B7541">
            <v>40318</v>
          </cell>
          <cell r="J7541">
            <v>3809804.3041216834</v>
          </cell>
          <cell r="K7541">
            <v>2.4380000000000002</v>
          </cell>
          <cell r="L7541">
            <v>148835</v>
          </cell>
          <cell r="M7541">
            <v>13229</v>
          </cell>
          <cell r="N7541">
            <v>683926.05601571908</v>
          </cell>
          <cell r="O7541">
            <v>692380.00232629513</v>
          </cell>
          <cell r="P7541">
            <v>368.79259999999999</v>
          </cell>
        </row>
        <row r="7542">
          <cell r="B7542">
            <v>40319</v>
          </cell>
          <cell r="J7542">
            <v>3809804.3041216834</v>
          </cell>
          <cell r="K7542">
            <v>2.4380000000000002</v>
          </cell>
          <cell r="L7542">
            <v>148835</v>
          </cell>
          <cell r="M7542">
            <v>13229</v>
          </cell>
          <cell r="N7542">
            <v>683926.05601571908</v>
          </cell>
          <cell r="O7542">
            <v>692380.00232629513</v>
          </cell>
          <cell r="P7542">
            <v>368.79259999999999</v>
          </cell>
        </row>
        <row r="7543">
          <cell r="B7543">
            <v>40320</v>
          </cell>
          <cell r="J7543">
            <v>3809804.3041216834</v>
          </cell>
          <cell r="K7543">
            <v>2.4380000000000002</v>
          </cell>
          <cell r="L7543">
            <v>148835</v>
          </cell>
          <cell r="M7543">
            <v>13229</v>
          </cell>
          <cell r="N7543">
            <v>683926.05601571908</v>
          </cell>
          <cell r="O7543">
            <v>692380.00232629513</v>
          </cell>
          <cell r="P7543">
            <v>368.79259999999999</v>
          </cell>
        </row>
        <row r="7544">
          <cell r="B7544">
            <v>40321</v>
          </cell>
          <cell r="J7544">
            <v>3809804.3041216834</v>
          </cell>
          <cell r="K7544">
            <v>2.4380000000000002</v>
          </cell>
          <cell r="L7544">
            <v>148835</v>
          </cell>
          <cell r="M7544">
            <v>13229</v>
          </cell>
          <cell r="N7544">
            <v>683926.05601571908</v>
          </cell>
          <cell r="O7544">
            <v>692380.00232629513</v>
          </cell>
          <cell r="P7544">
            <v>368.79259999999999</v>
          </cell>
        </row>
        <row r="7545">
          <cell r="B7545">
            <v>40322</v>
          </cell>
          <cell r="J7545">
            <v>3809804.3041216834</v>
          </cell>
          <cell r="K7545">
            <v>2.4380000000000002</v>
          </cell>
          <cell r="L7545">
            <v>148835</v>
          </cell>
          <cell r="M7545">
            <v>13229</v>
          </cell>
          <cell r="N7545">
            <v>683926.05601571908</v>
          </cell>
          <cell r="O7545">
            <v>692380.00232629513</v>
          </cell>
          <cell r="P7545">
            <v>368.79259999999999</v>
          </cell>
        </row>
        <row r="7546">
          <cell r="B7546">
            <v>40323</v>
          </cell>
          <cell r="J7546">
            <v>3809804.3041216834</v>
          </cell>
          <cell r="K7546">
            <v>2.4380000000000002</v>
          </cell>
          <cell r="L7546">
            <v>148835</v>
          </cell>
          <cell r="M7546">
            <v>13229</v>
          </cell>
          <cell r="N7546">
            <v>683926.05601571908</v>
          </cell>
          <cell r="O7546">
            <v>692380.00232629513</v>
          </cell>
          <cell r="P7546">
            <v>368.79259999999999</v>
          </cell>
        </row>
        <row r="7547">
          <cell r="B7547">
            <v>40324</v>
          </cell>
          <cell r="J7547">
            <v>3809804.3041216834</v>
          </cell>
          <cell r="K7547">
            <v>2.4380000000000002</v>
          </cell>
          <cell r="L7547">
            <v>148835</v>
          </cell>
          <cell r="M7547">
            <v>13229</v>
          </cell>
          <cell r="N7547">
            <v>683926.05601571908</v>
          </cell>
          <cell r="O7547">
            <v>692380.00232629513</v>
          </cell>
          <cell r="P7547">
            <v>368.79259999999999</v>
          </cell>
        </row>
        <row r="7548">
          <cell r="B7548">
            <v>40325</v>
          </cell>
          <cell r="J7548">
            <v>3809804.3041216834</v>
          </cell>
          <cell r="K7548">
            <v>2.4380000000000002</v>
          </cell>
          <cell r="L7548">
            <v>148835</v>
          </cell>
          <cell r="M7548">
            <v>13229</v>
          </cell>
          <cell r="N7548">
            <v>683926.05601571908</v>
          </cell>
          <cell r="O7548">
            <v>692380.00232629513</v>
          </cell>
          <cell r="P7548">
            <v>368.79259999999999</v>
          </cell>
        </row>
        <row r="7549">
          <cell r="B7549">
            <v>40326</v>
          </cell>
          <cell r="J7549">
            <v>3809804.3041216834</v>
          </cell>
          <cell r="K7549">
            <v>2.4380000000000002</v>
          </cell>
          <cell r="L7549">
            <v>148835</v>
          </cell>
          <cell r="M7549">
            <v>13229</v>
          </cell>
          <cell r="N7549">
            <v>683926.05601571908</v>
          </cell>
          <cell r="O7549">
            <v>692380.00232629513</v>
          </cell>
          <cell r="P7549">
            <v>368.79259999999999</v>
          </cell>
        </row>
        <row r="7550">
          <cell r="B7550">
            <v>40327</v>
          </cell>
          <cell r="J7550">
            <v>3809804.3041216834</v>
          </cell>
          <cell r="K7550">
            <v>2.4380000000000002</v>
          </cell>
          <cell r="L7550">
            <v>148835</v>
          </cell>
          <cell r="M7550">
            <v>13229</v>
          </cell>
          <cell r="N7550">
            <v>683926.05601571908</v>
          </cell>
          <cell r="O7550">
            <v>692380.00232629513</v>
          </cell>
          <cell r="P7550">
            <v>368.79259999999999</v>
          </cell>
        </row>
        <row r="7551">
          <cell r="B7551">
            <v>40328</v>
          </cell>
          <cell r="J7551">
            <v>3809804.3041216834</v>
          </cell>
          <cell r="K7551">
            <v>2.4380000000000002</v>
          </cell>
          <cell r="L7551">
            <v>148835</v>
          </cell>
          <cell r="M7551">
            <v>13229</v>
          </cell>
          <cell r="N7551">
            <v>683926.05601571908</v>
          </cell>
          <cell r="O7551">
            <v>692380.00232629513</v>
          </cell>
          <cell r="P7551">
            <v>368.79259999999999</v>
          </cell>
        </row>
        <row r="7552">
          <cell r="B7552">
            <v>40329</v>
          </cell>
          <cell r="J7552">
            <v>3809804.3041216834</v>
          </cell>
          <cell r="K7552">
            <v>2.4380000000000002</v>
          </cell>
          <cell r="L7552">
            <v>148835</v>
          </cell>
          <cell r="M7552">
            <v>13229</v>
          </cell>
          <cell r="N7552">
            <v>683926.05601571908</v>
          </cell>
          <cell r="O7552">
            <v>692380.00232629513</v>
          </cell>
          <cell r="P7552">
            <v>368.79259999999999</v>
          </cell>
        </row>
        <row r="7553">
          <cell r="B7553">
            <v>40330</v>
          </cell>
          <cell r="J7553">
            <v>3809804.3041216834</v>
          </cell>
          <cell r="K7553">
            <v>2.4380000000000002</v>
          </cell>
          <cell r="L7553">
            <v>148835</v>
          </cell>
          <cell r="M7553">
            <v>13229</v>
          </cell>
          <cell r="N7553">
            <v>683926.05601571908</v>
          </cell>
          <cell r="O7553">
            <v>692380.00232629513</v>
          </cell>
          <cell r="P7553">
            <v>368.79259999999999</v>
          </cell>
        </row>
        <row r="7554">
          <cell r="B7554">
            <v>40331</v>
          </cell>
          <cell r="J7554">
            <v>3809804.3041216834</v>
          </cell>
          <cell r="K7554">
            <v>2.4380000000000002</v>
          </cell>
          <cell r="L7554">
            <v>148835</v>
          </cell>
          <cell r="M7554">
            <v>13229</v>
          </cell>
          <cell r="N7554">
            <v>683926.05601571908</v>
          </cell>
          <cell r="O7554">
            <v>692380.00232629513</v>
          </cell>
          <cell r="P7554">
            <v>368.79259999999999</v>
          </cell>
        </row>
        <row r="7555">
          <cell r="B7555">
            <v>40332</v>
          </cell>
          <cell r="J7555">
            <v>3809804.3041216834</v>
          </cell>
          <cell r="K7555">
            <v>2.4380000000000002</v>
          </cell>
          <cell r="L7555">
            <v>148835</v>
          </cell>
          <cell r="M7555">
            <v>13229</v>
          </cell>
          <cell r="N7555">
            <v>683926.05601571908</v>
          </cell>
          <cell r="O7555">
            <v>692380.00232629513</v>
          </cell>
          <cell r="P7555">
            <v>368.79259999999999</v>
          </cell>
        </row>
        <row r="7556">
          <cell r="B7556">
            <v>40333</v>
          </cell>
          <cell r="J7556">
            <v>3809804.3041216834</v>
          </cell>
          <cell r="K7556">
            <v>2.4380000000000002</v>
          </cell>
          <cell r="L7556">
            <v>148835</v>
          </cell>
          <cell r="M7556">
            <v>13229</v>
          </cell>
          <cell r="N7556">
            <v>683926.05601571908</v>
          </cell>
          <cell r="O7556">
            <v>692380.00232629513</v>
          </cell>
          <cell r="P7556">
            <v>368.79259999999999</v>
          </cell>
        </row>
        <row r="7557">
          <cell r="B7557">
            <v>40334</v>
          </cell>
          <cell r="J7557">
            <v>3809804.3041216834</v>
          </cell>
          <cell r="K7557">
            <v>2.4380000000000002</v>
          </cell>
          <cell r="L7557">
            <v>148835</v>
          </cell>
          <cell r="M7557">
            <v>13229</v>
          </cell>
          <cell r="N7557">
            <v>683926.05601571908</v>
          </cell>
          <cell r="O7557">
            <v>692380.00232629513</v>
          </cell>
          <cell r="P7557">
            <v>368.79259999999999</v>
          </cell>
        </row>
        <row r="7558">
          <cell r="B7558">
            <v>40335</v>
          </cell>
          <cell r="J7558">
            <v>3809804.3041216834</v>
          </cell>
          <cell r="K7558">
            <v>2.4380000000000002</v>
          </cell>
          <cell r="L7558">
            <v>148835</v>
          </cell>
          <cell r="M7558">
            <v>13229</v>
          </cell>
          <cell r="N7558">
            <v>683926.05601571908</v>
          </cell>
          <cell r="O7558">
            <v>692380.00232629513</v>
          </cell>
          <cell r="P7558">
            <v>368.79259999999999</v>
          </cell>
        </row>
        <row r="7559">
          <cell r="B7559">
            <v>40336</v>
          </cell>
          <cell r="J7559">
            <v>3809804.3041216834</v>
          </cell>
          <cell r="K7559">
            <v>2.4380000000000002</v>
          </cell>
          <cell r="L7559">
            <v>148835</v>
          </cell>
          <cell r="M7559">
            <v>13229</v>
          </cell>
          <cell r="N7559">
            <v>683926.05601571908</v>
          </cell>
          <cell r="O7559">
            <v>692380.00232629513</v>
          </cell>
          <cell r="P7559">
            <v>368.79259999999999</v>
          </cell>
        </row>
        <row r="7560">
          <cell r="B7560">
            <v>40337</v>
          </cell>
          <cell r="J7560">
            <v>3809804.3041216834</v>
          </cell>
          <cell r="K7560">
            <v>2.4380000000000002</v>
          </cell>
          <cell r="L7560">
            <v>148835</v>
          </cell>
          <cell r="M7560">
            <v>13229</v>
          </cell>
          <cell r="N7560">
            <v>683926.05601571908</v>
          </cell>
          <cell r="O7560">
            <v>692380.00232629513</v>
          </cell>
          <cell r="P7560">
            <v>368.79259999999999</v>
          </cell>
        </row>
        <row r="7561">
          <cell r="B7561">
            <v>40338</v>
          </cell>
          <cell r="J7561">
            <v>3809804.3041216834</v>
          </cell>
          <cell r="K7561">
            <v>2.4380000000000002</v>
          </cell>
          <cell r="L7561">
            <v>148835</v>
          </cell>
          <cell r="M7561">
            <v>13229</v>
          </cell>
          <cell r="N7561">
            <v>683926.05601571908</v>
          </cell>
          <cell r="O7561">
            <v>692380.00232629513</v>
          </cell>
          <cell r="P7561">
            <v>368.79259999999999</v>
          </cell>
        </row>
        <row r="7562">
          <cell r="B7562">
            <v>40339</v>
          </cell>
          <cell r="J7562">
            <v>3809804.3041216834</v>
          </cell>
          <cell r="K7562">
            <v>2.4380000000000002</v>
          </cell>
          <cell r="L7562">
            <v>148835</v>
          </cell>
          <cell r="M7562">
            <v>13229</v>
          </cell>
          <cell r="N7562">
            <v>683926.05601571908</v>
          </cell>
          <cell r="O7562">
            <v>692380.00232629513</v>
          </cell>
          <cell r="P7562">
            <v>368.79259999999999</v>
          </cell>
        </row>
        <row r="7563">
          <cell r="B7563">
            <v>40340</v>
          </cell>
          <cell r="J7563">
            <v>3809804.3041216834</v>
          </cell>
          <cell r="K7563">
            <v>2.4380000000000002</v>
          </cell>
          <cell r="L7563">
            <v>148835</v>
          </cell>
          <cell r="M7563">
            <v>13229</v>
          </cell>
          <cell r="N7563">
            <v>683926.05601571908</v>
          </cell>
          <cell r="O7563">
            <v>692380.00232629513</v>
          </cell>
          <cell r="P7563">
            <v>368.79259999999999</v>
          </cell>
        </row>
        <row r="7564">
          <cell r="B7564">
            <v>40341</v>
          </cell>
          <cell r="J7564">
            <v>3809804.3041216834</v>
          </cell>
          <cell r="K7564">
            <v>2.4380000000000002</v>
          </cell>
          <cell r="L7564">
            <v>148835</v>
          </cell>
          <cell r="M7564">
            <v>13229</v>
          </cell>
          <cell r="N7564">
            <v>683926.05601571908</v>
          </cell>
          <cell r="O7564">
            <v>692380.00232629513</v>
          </cell>
          <cell r="P7564">
            <v>368.79259999999999</v>
          </cell>
        </row>
        <row r="7565">
          <cell r="B7565">
            <v>40342</v>
          </cell>
          <cell r="J7565">
            <v>3809804.3041216834</v>
          </cell>
          <cell r="K7565">
            <v>2.4380000000000002</v>
          </cell>
          <cell r="L7565">
            <v>148835</v>
          </cell>
          <cell r="M7565">
            <v>13229</v>
          </cell>
          <cell r="N7565">
            <v>683926.05601571908</v>
          </cell>
          <cell r="O7565">
            <v>692380.00232629513</v>
          </cell>
          <cell r="P7565">
            <v>368.79259999999999</v>
          </cell>
        </row>
        <row r="7566">
          <cell r="B7566">
            <v>40343</v>
          </cell>
          <cell r="J7566">
            <v>3809804.3041216834</v>
          </cell>
          <cell r="K7566">
            <v>2.4380000000000002</v>
          </cell>
          <cell r="L7566">
            <v>148835</v>
          </cell>
          <cell r="M7566">
            <v>13229</v>
          </cell>
          <cell r="N7566">
            <v>683926.05601571908</v>
          </cell>
          <cell r="O7566">
            <v>692380.00232629513</v>
          </cell>
          <cell r="P7566">
            <v>368.79259999999999</v>
          </cell>
        </row>
        <row r="7567">
          <cell r="B7567">
            <v>40344</v>
          </cell>
          <cell r="J7567">
            <v>3809804.3041216834</v>
          </cell>
          <cell r="K7567">
            <v>2.4380000000000002</v>
          </cell>
          <cell r="L7567">
            <v>148835</v>
          </cell>
          <cell r="M7567">
            <v>13229</v>
          </cell>
          <cell r="N7567">
            <v>683926.05601571908</v>
          </cell>
          <cell r="O7567">
            <v>692380.00232629513</v>
          </cell>
          <cell r="P7567">
            <v>368.79259999999999</v>
          </cell>
        </row>
        <row r="7568">
          <cell r="B7568">
            <v>40345</v>
          </cell>
          <cell r="J7568">
            <v>3809804.3041216834</v>
          </cell>
          <cell r="K7568">
            <v>2.4380000000000002</v>
          </cell>
          <cell r="L7568">
            <v>148835</v>
          </cell>
          <cell r="M7568">
            <v>13229</v>
          </cell>
          <cell r="N7568">
            <v>683926.05601571908</v>
          </cell>
          <cell r="O7568">
            <v>692380.00232629513</v>
          </cell>
          <cell r="P7568">
            <v>368.79259999999999</v>
          </cell>
        </row>
        <row r="7569">
          <cell r="B7569">
            <v>40346</v>
          </cell>
          <cell r="J7569">
            <v>3809804.3041216834</v>
          </cell>
          <cell r="K7569">
            <v>2.4380000000000002</v>
          </cell>
          <cell r="L7569">
            <v>148835</v>
          </cell>
          <cell r="M7569">
            <v>13229</v>
          </cell>
          <cell r="N7569">
            <v>683926.05601571908</v>
          </cell>
          <cell r="O7569">
            <v>692380.00232629513</v>
          </cell>
          <cell r="P7569">
            <v>368.79259999999999</v>
          </cell>
        </row>
        <row r="7570">
          <cell r="B7570">
            <v>40347</v>
          </cell>
          <cell r="J7570">
            <v>3809804.3041216834</v>
          </cell>
          <cell r="K7570">
            <v>2.4380000000000002</v>
          </cell>
          <cell r="L7570">
            <v>148835</v>
          </cell>
          <cell r="M7570">
            <v>13229</v>
          </cell>
          <cell r="N7570">
            <v>683926.05601571908</v>
          </cell>
          <cell r="O7570">
            <v>692380.00232629513</v>
          </cell>
          <cell r="P7570">
            <v>368.79259999999999</v>
          </cell>
        </row>
        <row r="7571">
          <cell r="B7571">
            <v>40348</v>
          </cell>
          <cell r="J7571">
            <v>3809804.3041216834</v>
          </cell>
          <cell r="K7571">
            <v>2.4380000000000002</v>
          </cell>
          <cell r="L7571">
            <v>148835</v>
          </cell>
          <cell r="M7571">
            <v>13229</v>
          </cell>
          <cell r="N7571">
            <v>683926.05601571908</v>
          </cell>
          <cell r="O7571">
            <v>692380.00232629513</v>
          </cell>
          <cell r="P7571">
            <v>368.79259999999999</v>
          </cell>
        </row>
        <row r="7572">
          <cell r="B7572">
            <v>40349</v>
          </cell>
          <cell r="J7572">
            <v>3809804.3041216834</v>
          </cell>
          <cell r="K7572">
            <v>2.4380000000000002</v>
          </cell>
          <cell r="L7572">
            <v>148835</v>
          </cell>
          <cell r="M7572">
            <v>13229</v>
          </cell>
          <cell r="N7572">
            <v>683926.05601571908</v>
          </cell>
          <cell r="O7572">
            <v>692380.00232629513</v>
          </cell>
          <cell r="P7572">
            <v>368.79259999999999</v>
          </cell>
        </row>
        <row r="7573">
          <cell r="B7573">
            <v>40350</v>
          </cell>
          <cell r="J7573">
            <v>3809804.3041216834</v>
          </cell>
          <cell r="K7573">
            <v>2.4380000000000002</v>
          </cell>
          <cell r="L7573">
            <v>148835</v>
          </cell>
          <cell r="M7573">
            <v>13229</v>
          </cell>
          <cell r="N7573">
            <v>683926.05601571908</v>
          </cell>
          <cell r="O7573">
            <v>692380.00232629513</v>
          </cell>
          <cell r="P7573">
            <v>368.79259999999999</v>
          </cell>
        </row>
        <row r="7574">
          <cell r="B7574">
            <v>40351</v>
          </cell>
          <cell r="J7574">
            <v>3809804.3041216834</v>
          </cell>
          <cell r="K7574">
            <v>2.4380000000000002</v>
          </cell>
          <cell r="L7574">
            <v>148835</v>
          </cell>
          <cell r="M7574">
            <v>13229</v>
          </cell>
          <cell r="N7574">
            <v>683926.05601571908</v>
          </cell>
          <cell r="O7574">
            <v>692380.00232629513</v>
          </cell>
          <cell r="P7574">
            <v>368.79259999999999</v>
          </cell>
        </row>
        <row r="7575">
          <cell r="B7575">
            <v>40352</v>
          </cell>
          <cell r="J7575">
            <v>3809804.3041216834</v>
          </cell>
          <cell r="K7575">
            <v>2.4380000000000002</v>
          </cell>
          <cell r="L7575">
            <v>148835</v>
          </cell>
          <cell r="M7575">
            <v>13229</v>
          </cell>
          <cell r="N7575">
            <v>683926.05601571908</v>
          </cell>
          <cell r="O7575">
            <v>692380.00232629513</v>
          </cell>
          <cell r="P7575">
            <v>368.79259999999999</v>
          </cell>
        </row>
        <row r="7576">
          <cell r="B7576">
            <v>40353</v>
          </cell>
          <cell r="J7576">
            <v>3809804.3041216834</v>
          </cell>
          <cell r="K7576">
            <v>2.4380000000000002</v>
          </cell>
          <cell r="L7576">
            <v>148835</v>
          </cell>
          <cell r="M7576">
            <v>13229</v>
          </cell>
          <cell r="N7576">
            <v>683926.05601571908</v>
          </cell>
          <cell r="O7576">
            <v>692380.00232629513</v>
          </cell>
          <cell r="P7576">
            <v>368.79259999999999</v>
          </cell>
        </row>
        <row r="7577">
          <cell r="B7577">
            <v>40354</v>
          </cell>
          <cell r="J7577">
            <v>3809804.3041216834</v>
          </cell>
          <cell r="K7577">
            <v>2.4380000000000002</v>
          </cell>
          <cell r="L7577">
            <v>148835</v>
          </cell>
          <cell r="M7577">
            <v>13229</v>
          </cell>
          <cell r="N7577">
            <v>683926.05601571908</v>
          </cell>
          <cell r="O7577">
            <v>692380.00232629513</v>
          </cell>
          <cell r="P7577">
            <v>368.79259999999999</v>
          </cell>
        </row>
        <row r="7578">
          <cell r="B7578">
            <v>40355</v>
          </cell>
          <cell r="J7578">
            <v>3809804.3041216834</v>
          </cell>
          <cell r="K7578">
            <v>2.4380000000000002</v>
          </cell>
          <cell r="L7578">
            <v>148835</v>
          </cell>
          <cell r="M7578">
            <v>13229</v>
          </cell>
          <cell r="N7578">
            <v>683926.05601571908</v>
          </cell>
          <cell r="O7578">
            <v>692380.00232629513</v>
          </cell>
          <cell r="P7578">
            <v>368.79259999999999</v>
          </cell>
        </row>
        <row r="7579">
          <cell r="B7579">
            <v>40356</v>
          </cell>
          <cell r="J7579">
            <v>3809804.3041216834</v>
          </cell>
          <cell r="K7579">
            <v>2.4380000000000002</v>
          </cell>
          <cell r="L7579">
            <v>148835</v>
          </cell>
          <cell r="M7579">
            <v>13229</v>
          </cell>
          <cell r="N7579">
            <v>683926.05601571908</v>
          </cell>
          <cell r="O7579">
            <v>692380.00232629513</v>
          </cell>
          <cell r="P7579">
            <v>368.79259999999999</v>
          </cell>
        </row>
        <row r="7580">
          <cell r="B7580">
            <v>40357</v>
          </cell>
          <cell r="J7580">
            <v>3809804.3041216834</v>
          </cell>
          <cell r="K7580">
            <v>2.4380000000000002</v>
          </cell>
          <cell r="L7580">
            <v>148835</v>
          </cell>
          <cell r="M7580">
            <v>13229</v>
          </cell>
          <cell r="N7580">
            <v>683926.05601571908</v>
          </cell>
          <cell r="O7580">
            <v>692380.00232629513</v>
          </cell>
          <cell r="P7580">
            <v>368.79259999999999</v>
          </cell>
        </row>
        <row r="7581">
          <cell r="B7581">
            <v>40358</v>
          </cell>
          <cell r="J7581">
            <v>3809804.3041216834</v>
          </cell>
          <cell r="K7581">
            <v>2.4380000000000002</v>
          </cell>
          <cell r="L7581">
            <v>148835</v>
          </cell>
          <cell r="M7581">
            <v>13229</v>
          </cell>
          <cell r="N7581">
            <v>683926.05601571908</v>
          </cell>
          <cell r="O7581">
            <v>692380.00232629513</v>
          </cell>
          <cell r="P7581">
            <v>368.79259999999999</v>
          </cell>
        </row>
        <row r="7582">
          <cell r="B7582">
            <v>40359</v>
          </cell>
          <cell r="J7582">
            <v>3809804.3041216834</v>
          </cell>
          <cell r="K7582">
            <v>2.4380000000000002</v>
          </cell>
          <cell r="L7582">
            <v>148835</v>
          </cell>
          <cell r="M7582">
            <v>13229</v>
          </cell>
          <cell r="N7582">
            <v>683926.05601571908</v>
          </cell>
          <cell r="O7582">
            <v>692380.00232629513</v>
          </cell>
          <cell r="P7582">
            <v>368.79259999999999</v>
          </cell>
        </row>
        <row r="7583">
          <cell r="B7583">
            <v>40360</v>
          </cell>
          <cell r="J7583">
            <v>3809804.3041216834</v>
          </cell>
          <cell r="K7583">
            <v>2.4380000000000002</v>
          </cell>
          <cell r="L7583">
            <v>148835</v>
          </cell>
          <cell r="M7583">
            <v>13229</v>
          </cell>
          <cell r="N7583">
            <v>683926.05601571908</v>
          </cell>
          <cell r="O7583">
            <v>692380.00232629513</v>
          </cell>
          <cell r="P7583">
            <v>368.79259999999999</v>
          </cell>
        </row>
        <row r="7584">
          <cell r="B7584">
            <v>40361</v>
          </cell>
          <cell r="J7584">
            <v>3809804.3041216834</v>
          </cell>
          <cell r="K7584">
            <v>2.4380000000000002</v>
          </cell>
          <cell r="L7584">
            <v>148835</v>
          </cell>
          <cell r="M7584">
            <v>13229</v>
          </cell>
          <cell r="N7584">
            <v>683926.05601571908</v>
          </cell>
          <cell r="O7584">
            <v>692380.00232629513</v>
          </cell>
          <cell r="P7584">
            <v>368.79259999999999</v>
          </cell>
        </row>
        <row r="7585">
          <cell r="B7585">
            <v>40362</v>
          </cell>
          <cell r="J7585">
            <v>3809804.3041216834</v>
          </cell>
          <cell r="K7585">
            <v>2.4380000000000002</v>
          </cell>
          <cell r="L7585">
            <v>148835</v>
          </cell>
          <cell r="M7585">
            <v>13229</v>
          </cell>
          <cell r="N7585">
            <v>683926.05601571908</v>
          </cell>
          <cell r="O7585">
            <v>692380.00232629513</v>
          </cell>
          <cell r="P7585">
            <v>368.79259999999999</v>
          </cell>
        </row>
        <row r="7586">
          <cell r="B7586">
            <v>40363</v>
          </cell>
          <cell r="J7586">
            <v>3809804.3041216834</v>
          </cell>
          <cell r="K7586">
            <v>2.4380000000000002</v>
          </cell>
          <cell r="L7586">
            <v>148835</v>
          </cell>
          <cell r="M7586">
            <v>13229</v>
          </cell>
          <cell r="N7586">
            <v>683926.05601571908</v>
          </cell>
          <cell r="O7586">
            <v>692380.00232629513</v>
          </cell>
          <cell r="P7586">
            <v>368.79259999999999</v>
          </cell>
        </row>
        <row r="7587">
          <cell r="B7587">
            <v>40364</v>
          </cell>
          <cell r="J7587">
            <v>3809804.3041216834</v>
          </cell>
          <cell r="K7587">
            <v>2.4380000000000002</v>
          </cell>
          <cell r="L7587">
            <v>148835</v>
          </cell>
          <cell r="M7587">
            <v>13229</v>
          </cell>
          <cell r="N7587">
            <v>683926.05601571908</v>
          </cell>
          <cell r="O7587">
            <v>692380.00232629513</v>
          </cell>
          <cell r="P7587">
            <v>368.79259999999999</v>
          </cell>
        </row>
        <row r="7588">
          <cell r="B7588">
            <v>40365</v>
          </cell>
          <cell r="J7588">
            <v>3809804.3041216834</v>
          </cell>
          <cell r="K7588">
            <v>2.4380000000000002</v>
          </cell>
          <cell r="L7588">
            <v>148835</v>
          </cell>
          <cell r="M7588">
            <v>13229</v>
          </cell>
          <cell r="N7588">
            <v>683926.05601571908</v>
          </cell>
          <cell r="O7588">
            <v>692380.00232629513</v>
          </cell>
          <cell r="P7588">
            <v>368.79259999999999</v>
          </cell>
        </row>
        <row r="7589">
          <cell r="B7589">
            <v>40366</v>
          </cell>
          <cell r="J7589">
            <v>3809804.3041216834</v>
          </cell>
          <cell r="K7589">
            <v>2.4380000000000002</v>
          </cell>
          <cell r="L7589">
            <v>148835</v>
          </cell>
          <cell r="M7589">
            <v>13229</v>
          </cell>
          <cell r="N7589">
            <v>683926.05601571908</v>
          </cell>
          <cell r="O7589">
            <v>692380.00232629513</v>
          </cell>
          <cell r="P7589">
            <v>368.79259999999999</v>
          </cell>
        </row>
        <row r="7590">
          <cell r="B7590">
            <v>40367</v>
          </cell>
          <cell r="J7590">
            <v>3809804.3041216834</v>
          </cell>
          <cell r="K7590">
            <v>2.4380000000000002</v>
          </cell>
          <cell r="L7590">
            <v>148835</v>
          </cell>
          <cell r="M7590">
            <v>13229</v>
          </cell>
          <cell r="N7590">
            <v>683926.05601571908</v>
          </cell>
          <cell r="O7590">
            <v>692380.00232629513</v>
          </cell>
          <cell r="P7590">
            <v>368.79259999999999</v>
          </cell>
        </row>
        <row r="7591">
          <cell r="B7591">
            <v>40368</v>
          </cell>
          <cell r="J7591">
            <v>3809804.3041216834</v>
          </cell>
          <cell r="K7591">
            <v>2.4380000000000002</v>
          </cell>
          <cell r="L7591">
            <v>148835</v>
          </cell>
          <cell r="M7591">
            <v>13229</v>
          </cell>
          <cell r="N7591">
            <v>683926.05601571908</v>
          </cell>
          <cell r="O7591">
            <v>692380.00232629513</v>
          </cell>
          <cell r="P7591">
            <v>368.79259999999999</v>
          </cell>
        </row>
        <row r="7592">
          <cell r="B7592">
            <v>40369</v>
          </cell>
          <cell r="J7592">
            <v>3809804.3041216834</v>
          </cell>
          <cell r="K7592">
            <v>2.4380000000000002</v>
          </cell>
          <cell r="L7592">
            <v>148835</v>
          </cell>
          <cell r="M7592">
            <v>13229</v>
          </cell>
          <cell r="N7592">
            <v>683926.05601571908</v>
          </cell>
          <cell r="O7592">
            <v>692380.00232629513</v>
          </cell>
          <cell r="P7592">
            <v>368.79259999999999</v>
          </cell>
        </row>
        <row r="7593">
          <cell r="B7593">
            <v>40370</v>
          </cell>
          <cell r="J7593">
            <v>3809804.3041216834</v>
          </cell>
          <cell r="K7593">
            <v>2.4380000000000002</v>
          </cell>
          <cell r="L7593">
            <v>148835</v>
          </cell>
          <cell r="M7593">
            <v>13229</v>
          </cell>
          <cell r="N7593">
            <v>683926.05601571908</v>
          </cell>
          <cell r="O7593">
            <v>692380.00232629513</v>
          </cell>
          <cell r="P7593">
            <v>368.79259999999999</v>
          </cell>
        </row>
        <row r="7594">
          <cell r="B7594">
            <v>40371</v>
          </cell>
          <cell r="J7594">
            <v>3809804.3041216834</v>
          </cell>
          <cell r="K7594">
            <v>2.4380000000000002</v>
          </cell>
          <cell r="L7594">
            <v>148835</v>
          </cell>
          <cell r="M7594">
            <v>13229</v>
          </cell>
          <cell r="N7594">
            <v>683926.05601571908</v>
          </cell>
          <cell r="O7594">
            <v>692380.00232629513</v>
          </cell>
          <cell r="P7594">
            <v>368.79259999999999</v>
          </cell>
        </row>
        <row r="7595">
          <cell r="B7595">
            <v>40372</v>
          </cell>
          <cell r="J7595">
            <v>3809804.3041216834</v>
          </cell>
          <cell r="K7595">
            <v>2.4380000000000002</v>
          </cell>
          <cell r="L7595">
            <v>148835</v>
          </cell>
          <cell r="M7595">
            <v>13229</v>
          </cell>
          <cell r="N7595">
            <v>683926.05601571908</v>
          </cell>
          <cell r="O7595">
            <v>692380.00232629513</v>
          </cell>
          <cell r="P7595">
            <v>368.79259999999999</v>
          </cell>
        </row>
        <row r="7596">
          <cell r="B7596">
            <v>40373</v>
          </cell>
          <cell r="J7596">
            <v>3809804.3041216834</v>
          </cell>
          <cell r="K7596">
            <v>2.4380000000000002</v>
          </cell>
          <cell r="L7596">
            <v>148835</v>
          </cell>
          <cell r="M7596">
            <v>13229</v>
          </cell>
          <cell r="N7596">
            <v>683926.05601571908</v>
          </cell>
          <cell r="O7596">
            <v>692380.00232629513</v>
          </cell>
          <cell r="P7596">
            <v>368.79259999999999</v>
          </cell>
        </row>
        <row r="7597">
          <cell r="B7597">
            <v>40374</v>
          </cell>
          <cell r="J7597">
            <v>3809804.3041216834</v>
          </cell>
          <cell r="K7597">
            <v>2.4380000000000002</v>
          </cell>
          <cell r="L7597">
            <v>148835</v>
          </cell>
          <cell r="M7597">
            <v>13229</v>
          </cell>
          <cell r="N7597">
            <v>683926.05601571908</v>
          </cell>
          <cell r="O7597">
            <v>692380.00232629513</v>
          </cell>
          <cell r="P7597">
            <v>368.79259999999999</v>
          </cell>
        </row>
        <row r="7598">
          <cell r="B7598">
            <v>40375</v>
          </cell>
          <cell r="J7598">
            <v>3809804.3041216834</v>
          </cell>
          <cell r="K7598">
            <v>2.4380000000000002</v>
          </cell>
          <cell r="L7598">
            <v>148835</v>
          </cell>
          <cell r="M7598">
            <v>13229</v>
          </cell>
          <cell r="N7598">
            <v>683926.05601571908</v>
          </cell>
          <cell r="O7598">
            <v>692380.00232629513</v>
          </cell>
          <cell r="P7598">
            <v>368.79259999999999</v>
          </cell>
        </row>
        <row r="7599">
          <cell r="B7599">
            <v>40376</v>
          </cell>
          <cell r="J7599">
            <v>3809804.3041216834</v>
          </cell>
          <cell r="K7599">
            <v>2.4380000000000002</v>
          </cell>
          <cell r="L7599">
            <v>148835</v>
          </cell>
          <cell r="M7599">
            <v>13229</v>
          </cell>
          <cell r="N7599">
            <v>683926.05601571908</v>
          </cell>
          <cell r="O7599">
            <v>692380.00232629513</v>
          </cell>
          <cell r="P7599">
            <v>368.79259999999999</v>
          </cell>
        </row>
        <row r="7600">
          <cell r="B7600">
            <v>40377</v>
          </cell>
          <cell r="J7600">
            <v>3809804.3041216834</v>
          </cell>
          <cell r="K7600">
            <v>2.4380000000000002</v>
          </cell>
          <cell r="L7600">
            <v>148835</v>
          </cell>
          <cell r="M7600">
            <v>13229</v>
          </cell>
          <cell r="N7600">
            <v>683926.05601571908</v>
          </cell>
          <cell r="O7600">
            <v>692380.00232629513</v>
          </cell>
          <cell r="P7600">
            <v>368.79259999999999</v>
          </cell>
        </row>
        <row r="7601">
          <cell r="B7601">
            <v>40378</v>
          </cell>
          <cell r="J7601">
            <v>3809804.3041216834</v>
          </cell>
          <cell r="K7601">
            <v>2.4380000000000002</v>
          </cell>
          <cell r="L7601">
            <v>148835</v>
          </cell>
          <cell r="M7601">
            <v>13229</v>
          </cell>
          <cell r="N7601">
            <v>683926.05601571908</v>
          </cell>
          <cell r="O7601">
            <v>692380.00232629513</v>
          </cell>
          <cell r="P7601">
            <v>368.79259999999999</v>
          </cell>
        </row>
        <row r="7602">
          <cell r="B7602">
            <v>40379</v>
          </cell>
          <cell r="J7602">
            <v>3809804.3041216834</v>
          </cell>
          <cell r="K7602">
            <v>2.4380000000000002</v>
          </cell>
          <cell r="L7602">
            <v>148835</v>
          </cell>
          <cell r="M7602">
            <v>13229</v>
          </cell>
          <cell r="N7602">
            <v>683926.05601571908</v>
          </cell>
          <cell r="O7602">
            <v>692380.00232629513</v>
          </cell>
          <cell r="P7602">
            <v>368.79259999999999</v>
          </cell>
        </row>
        <row r="7603">
          <cell r="B7603">
            <v>40380</v>
          </cell>
          <cell r="J7603">
            <v>3809804.3041216834</v>
          </cell>
          <cell r="K7603">
            <v>2.4380000000000002</v>
          </cell>
          <cell r="L7603">
            <v>148835</v>
          </cell>
          <cell r="M7603">
            <v>13229</v>
          </cell>
          <cell r="N7603">
            <v>683926.05601571908</v>
          </cell>
          <cell r="O7603">
            <v>692380.00232629513</v>
          </cell>
          <cell r="P7603">
            <v>368.79259999999999</v>
          </cell>
        </row>
        <row r="7604">
          <cell r="B7604">
            <v>40381</v>
          </cell>
          <cell r="J7604">
            <v>3809804.3041216834</v>
          </cell>
          <cell r="K7604">
            <v>2.4380000000000002</v>
          </cell>
          <cell r="L7604">
            <v>148835</v>
          </cell>
          <cell r="M7604">
            <v>13229</v>
          </cell>
          <cell r="N7604">
            <v>683926.05601571908</v>
          </cell>
          <cell r="O7604">
            <v>692380.00232629513</v>
          </cell>
          <cell r="P7604">
            <v>368.79259999999999</v>
          </cell>
        </row>
        <row r="7605">
          <cell r="B7605">
            <v>40382</v>
          </cell>
          <cell r="J7605">
            <v>3809804.3041216834</v>
          </cell>
          <cell r="K7605">
            <v>2.4380000000000002</v>
          </cell>
          <cell r="L7605">
            <v>148835</v>
          </cell>
          <cell r="M7605">
            <v>13229</v>
          </cell>
          <cell r="N7605">
            <v>683926.05601571908</v>
          </cell>
          <cell r="O7605">
            <v>692380.00232629513</v>
          </cell>
          <cell r="P7605">
            <v>368.79259999999999</v>
          </cell>
        </row>
        <row r="7606">
          <cell r="B7606">
            <v>40383</v>
          </cell>
          <cell r="J7606">
            <v>3809804.3041216834</v>
          </cell>
          <cell r="K7606">
            <v>2.4380000000000002</v>
          </cell>
          <cell r="L7606">
            <v>148835</v>
          </cell>
          <cell r="M7606">
            <v>13229</v>
          </cell>
          <cell r="N7606">
            <v>683926.05601571908</v>
          </cell>
          <cell r="O7606">
            <v>692380.00232629513</v>
          </cell>
          <cell r="P7606">
            <v>368.79259999999999</v>
          </cell>
        </row>
        <row r="7607">
          <cell r="B7607">
            <v>40384</v>
          </cell>
          <cell r="J7607">
            <v>3809804.3041216834</v>
          </cell>
          <cell r="K7607">
            <v>2.4380000000000002</v>
          </cell>
          <cell r="L7607">
            <v>148835</v>
          </cell>
          <cell r="M7607">
            <v>13229</v>
          </cell>
          <cell r="N7607">
            <v>683926.05601571908</v>
          </cell>
          <cell r="O7607">
            <v>692380.00232629513</v>
          </cell>
          <cell r="P7607">
            <v>368.79259999999999</v>
          </cell>
        </row>
        <row r="7608">
          <cell r="B7608">
            <v>40385</v>
          </cell>
          <cell r="J7608">
            <v>3809804.3041216834</v>
          </cell>
          <cell r="K7608">
            <v>2.4380000000000002</v>
          </cell>
          <cell r="L7608">
            <v>148835</v>
          </cell>
          <cell r="M7608">
            <v>13229</v>
          </cell>
          <cell r="N7608">
            <v>683926.05601571908</v>
          </cell>
          <cell r="O7608">
            <v>692380.00232629513</v>
          </cell>
          <cell r="P7608">
            <v>368.79259999999999</v>
          </cell>
        </row>
        <row r="7609">
          <cell r="B7609">
            <v>40386</v>
          </cell>
          <cell r="J7609">
            <v>3809804.3041216834</v>
          </cell>
          <cell r="K7609">
            <v>2.4380000000000002</v>
          </cell>
          <cell r="L7609">
            <v>148835</v>
          </cell>
          <cell r="M7609">
            <v>13229</v>
          </cell>
          <cell r="N7609">
            <v>683926.05601571908</v>
          </cell>
          <cell r="O7609">
            <v>692380.00232629513</v>
          </cell>
          <cell r="P7609">
            <v>368.79259999999999</v>
          </cell>
        </row>
        <row r="7610">
          <cell r="B7610">
            <v>40387</v>
          </cell>
          <cell r="J7610">
            <v>3809804.3041216834</v>
          </cell>
          <cell r="K7610">
            <v>2.4380000000000002</v>
          </cell>
          <cell r="L7610">
            <v>148835</v>
          </cell>
          <cell r="M7610">
            <v>13229</v>
          </cell>
          <cell r="N7610">
            <v>683926.05601571908</v>
          </cell>
          <cell r="O7610">
            <v>692380.00232629513</v>
          </cell>
          <cell r="P7610">
            <v>368.79259999999999</v>
          </cell>
        </row>
        <row r="7611">
          <cell r="B7611">
            <v>40388</v>
          </cell>
          <cell r="J7611">
            <v>3809804.3041216834</v>
          </cell>
          <cell r="K7611">
            <v>2.4380000000000002</v>
          </cell>
          <cell r="L7611">
            <v>148835</v>
          </cell>
          <cell r="M7611">
            <v>13229</v>
          </cell>
          <cell r="N7611">
            <v>683926.05601571908</v>
          </cell>
          <cell r="O7611">
            <v>692380.00232629513</v>
          </cell>
          <cell r="P7611">
            <v>368.79259999999999</v>
          </cell>
        </row>
        <row r="7612">
          <cell r="B7612">
            <v>40389</v>
          </cell>
          <cell r="J7612">
            <v>3809804.3041216834</v>
          </cell>
          <cell r="K7612">
            <v>2.4380000000000002</v>
          </cell>
          <cell r="L7612">
            <v>148835</v>
          </cell>
          <cell r="M7612">
            <v>13229</v>
          </cell>
          <cell r="N7612">
            <v>683926.05601571908</v>
          </cell>
          <cell r="O7612">
            <v>692380.00232629513</v>
          </cell>
          <cell r="P7612">
            <v>368.79259999999999</v>
          </cell>
        </row>
        <row r="7613">
          <cell r="B7613">
            <v>40390</v>
          </cell>
          <cell r="J7613">
            <v>3809804.3041216834</v>
          </cell>
          <cell r="K7613">
            <v>2.4380000000000002</v>
          </cell>
          <cell r="L7613">
            <v>148835</v>
          </cell>
          <cell r="M7613">
            <v>13229</v>
          </cell>
          <cell r="N7613">
            <v>683926.05601571908</v>
          </cell>
          <cell r="O7613">
            <v>692380.00232629513</v>
          </cell>
          <cell r="P7613">
            <v>368.79259999999999</v>
          </cell>
        </row>
        <row r="7614">
          <cell r="B7614">
            <v>40391</v>
          </cell>
          <cell r="J7614">
            <v>3809804.3041216834</v>
          </cell>
          <cell r="K7614">
            <v>2.4380000000000002</v>
          </cell>
          <cell r="L7614">
            <v>148835</v>
          </cell>
          <cell r="M7614">
            <v>13229</v>
          </cell>
          <cell r="N7614">
            <v>683926.05601571908</v>
          </cell>
          <cell r="O7614">
            <v>692380.00232629513</v>
          </cell>
          <cell r="P7614">
            <v>368.79259999999999</v>
          </cell>
        </row>
        <row r="7615">
          <cell r="B7615">
            <v>40392</v>
          </cell>
          <cell r="J7615">
            <v>3809804.3041216834</v>
          </cell>
          <cell r="K7615">
            <v>2.4380000000000002</v>
          </cell>
          <cell r="L7615">
            <v>148835</v>
          </cell>
          <cell r="M7615">
            <v>13229</v>
          </cell>
          <cell r="N7615">
            <v>683926.05601571908</v>
          </cell>
          <cell r="O7615">
            <v>692380.00232629513</v>
          </cell>
          <cell r="P7615">
            <v>368.79259999999999</v>
          </cell>
        </row>
        <row r="7616">
          <cell r="B7616">
            <v>40393</v>
          </cell>
          <cell r="J7616">
            <v>3809804.3041216834</v>
          </cell>
          <cell r="K7616">
            <v>2.4380000000000002</v>
          </cell>
          <cell r="L7616">
            <v>148835</v>
          </cell>
          <cell r="M7616">
            <v>13229</v>
          </cell>
          <cell r="N7616">
            <v>683926.05601571908</v>
          </cell>
          <cell r="O7616">
            <v>692380.00232629513</v>
          </cell>
          <cell r="P7616">
            <v>368.79259999999999</v>
          </cell>
        </row>
        <row r="7617">
          <cell r="B7617">
            <v>40394</v>
          </cell>
          <cell r="J7617">
            <v>3809804.3041216834</v>
          </cell>
          <cell r="K7617">
            <v>2.4380000000000002</v>
          </cell>
          <cell r="L7617">
            <v>148835</v>
          </cell>
          <cell r="M7617">
            <v>13229</v>
          </cell>
          <cell r="N7617">
            <v>683926.05601571908</v>
          </cell>
          <cell r="O7617">
            <v>692380.00232629513</v>
          </cell>
          <cell r="P7617">
            <v>368.79259999999999</v>
          </cell>
        </row>
        <row r="7618">
          <cell r="B7618">
            <v>40395</v>
          </cell>
          <cell r="J7618">
            <v>3809804.3041216834</v>
          </cell>
          <cell r="K7618">
            <v>2.4380000000000002</v>
          </cell>
          <cell r="L7618">
            <v>148835</v>
          </cell>
          <cell r="M7618">
            <v>13229</v>
          </cell>
          <cell r="N7618">
            <v>683926.05601571908</v>
          </cell>
          <cell r="O7618">
            <v>692380.00232629513</v>
          </cell>
          <cell r="P7618">
            <v>368.79259999999999</v>
          </cell>
        </row>
        <row r="7619">
          <cell r="B7619">
            <v>40396</v>
          </cell>
          <cell r="J7619">
            <v>3809804.3041216834</v>
          </cell>
          <cell r="K7619">
            <v>2.4380000000000002</v>
          </cell>
          <cell r="L7619">
            <v>148835</v>
          </cell>
          <cell r="M7619">
            <v>13229</v>
          </cell>
          <cell r="N7619">
            <v>683926.05601571908</v>
          </cell>
          <cell r="O7619">
            <v>692380.00232629513</v>
          </cell>
          <cell r="P7619">
            <v>368.79259999999999</v>
          </cell>
        </row>
        <row r="7620">
          <cell r="B7620">
            <v>40397</v>
          </cell>
          <cell r="J7620">
            <v>3809804.3041216834</v>
          </cell>
          <cell r="K7620">
            <v>2.4380000000000002</v>
          </cell>
          <cell r="L7620">
            <v>148835</v>
          </cell>
          <cell r="M7620">
            <v>13229</v>
          </cell>
          <cell r="N7620">
            <v>683926.05601571908</v>
          </cell>
          <cell r="O7620">
            <v>692380.00232629513</v>
          </cell>
          <cell r="P7620">
            <v>368.79259999999999</v>
          </cell>
        </row>
        <row r="7621">
          <cell r="B7621">
            <v>40398</v>
          </cell>
          <cell r="J7621">
            <v>3809804.3041216834</v>
          </cell>
          <cell r="K7621">
            <v>2.4380000000000002</v>
          </cell>
          <cell r="L7621">
            <v>148835</v>
          </cell>
          <cell r="M7621">
            <v>13229</v>
          </cell>
          <cell r="N7621">
            <v>683926.05601571908</v>
          </cell>
          <cell r="O7621">
            <v>692380.00232629513</v>
          </cell>
          <cell r="P7621">
            <v>368.79259999999999</v>
          </cell>
        </row>
        <row r="7622">
          <cell r="B7622">
            <v>40399</v>
          </cell>
          <cell r="J7622">
            <v>3809804.3041216834</v>
          </cell>
          <cell r="K7622">
            <v>2.4380000000000002</v>
          </cell>
          <cell r="L7622">
            <v>148835</v>
          </cell>
          <cell r="M7622">
            <v>13229</v>
          </cell>
          <cell r="N7622">
            <v>683926.05601571908</v>
          </cell>
          <cell r="O7622">
            <v>692380.00232629513</v>
          </cell>
          <cell r="P7622">
            <v>368.79259999999999</v>
          </cell>
        </row>
        <row r="7623">
          <cell r="B7623">
            <v>40400</v>
          </cell>
          <cell r="J7623">
            <v>3809804.3041216834</v>
          </cell>
          <cell r="K7623">
            <v>2.4380000000000002</v>
          </cell>
          <cell r="L7623">
            <v>148835</v>
          </cell>
          <cell r="M7623">
            <v>13229</v>
          </cell>
          <cell r="N7623">
            <v>683926.05601571908</v>
          </cell>
          <cell r="O7623">
            <v>692380.00232629513</v>
          </cell>
          <cell r="P7623">
            <v>368.79259999999999</v>
          </cell>
        </row>
        <row r="7624">
          <cell r="B7624">
            <v>40401</v>
          </cell>
          <cell r="J7624">
            <v>3809804.3041216834</v>
          </cell>
          <cell r="K7624">
            <v>2.4380000000000002</v>
          </cell>
          <cell r="L7624">
            <v>148835</v>
          </cell>
          <cell r="M7624">
            <v>13229</v>
          </cell>
          <cell r="N7624">
            <v>683926.05601571908</v>
          </cell>
          <cell r="O7624">
            <v>692380.00232629513</v>
          </cell>
          <cell r="P7624">
            <v>368.79259999999999</v>
          </cell>
        </row>
        <row r="7625">
          <cell r="B7625">
            <v>40402</v>
          </cell>
          <cell r="J7625">
            <v>3809804.3041216834</v>
          </cell>
          <cell r="K7625">
            <v>2.4380000000000002</v>
          </cell>
          <cell r="L7625">
            <v>148835</v>
          </cell>
          <cell r="M7625">
            <v>13229</v>
          </cell>
          <cell r="N7625">
            <v>683926.05601571908</v>
          </cell>
          <cell r="O7625">
            <v>692380.00232629513</v>
          </cell>
          <cell r="P7625">
            <v>368.79259999999999</v>
          </cell>
        </row>
        <row r="7626">
          <cell r="B7626">
            <v>40403</v>
          </cell>
          <cell r="J7626">
            <v>3809804.3041216834</v>
          </cell>
          <cell r="K7626">
            <v>2.4380000000000002</v>
          </cell>
          <cell r="L7626">
            <v>148835</v>
          </cell>
          <cell r="M7626">
            <v>13229</v>
          </cell>
          <cell r="N7626">
            <v>683926.05601571908</v>
          </cell>
          <cell r="O7626">
            <v>692380.00232629513</v>
          </cell>
          <cell r="P7626">
            <v>368.79259999999999</v>
          </cell>
        </row>
        <row r="7627">
          <cell r="B7627">
            <v>40404</v>
          </cell>
          <cell r="J7627">
            <v>3809804.3041216834</v>
          </cell>
          <cell r="K7627">
            <v>2.4380000000000002</v>
          </cell>
          <cell r="L7627">
            <v>148835</v>
          </cell>
          <cell r="M7627">
            <v>13229</v>
          </cell>
          <cell r="N7627">
            <v>683926.05601571908</v>
          </cell>
          <cell r="O7627">
            <v>692380.00232629513</v>
          </cell>
          <cell r="P7627">
            <v>368.79259999999999</v>
          </cell>
        </row>
        <row r="7628">
          <cell r="B7628">
            <v>40405</v>
          </cell>
          <cell r="J7628">
            <v>3809804.3041216834</v>
          </cell>
          <cell r="K7628">
            <v>2.4380000000000002</v>
          </cell>
          <cell r="L7628">
            <v>148835</v>
          </cell>
          <cell r="M7628">
            <v>13229</v>
          </cell>
          <cell r="N7628">
            <v>683926.05601571908</v>
          </cell>
          <cell r="O7628">
            <v>692380.00232629513</v>
          </cell>
          <cell r="P7628">
            <v>368.79259999999999</v>
          </cell>
        </row>
        <row r="7629">
          <cell r="B7629">
            <v>40406</v>
          </cell>
          <cell r="J7629">
            <v>3809804.3041216834</v>
          </cell>
          <cell r="K7629">
            <v>2.4380000000000002</v>
          </cell>
          <cell r="L7629">
            <v>148835</v>
          </cell>
          <cell r="M7629">
            <v>13229</v>
          </cell>
          <cell r="N7629">
            <v>683926.05601571908</v>
          </cell>
          <cell r="O7629">
            <v>692380.00232629513</v>
          </cell>
          <cell r="P7629">
            <v>368.79259999999999</v>
          </cell>
        </row>
        <row r="7630">
          <cell r="B7630">
            <v>40407</v>
          </cell>
          <cell r="J7630">
            <v>3809804.3041216834</v>
          </cell>
          <cell r="K7630">
            <v>2.4380000000000002</v>
          </cell>
          <cell r="L7630">
            <v>148835</v>
          </cell>
          <cell r="M7630">
            <v>13229</v>
          </cell>
          <cell r="N7630">
            <v>683926.05601571908</v>
          </cell>
          <cell r="O7630">
            <v>692380.00232629513</v>
          </cell>
          <cell r="P7630">
            <v>368.79259999999999</v>
          </cell>
        </row>
        <row r="7631">
          <cell r="B7631">
            <v>40408</v>
          </cell>
          <cell r="J7631">
            <v>3809804.3041216834</v>
          </cell>
          <cell r="K7631">
            <v>2.4380000000000002</v>
          </cell>
          <cell r="L7631">
            <v>148835</v>
          </cell>
          <cell r="M7631">
            <v>13229</v>
          </cell>
          <cell r="N7631">
            <v>683926.05601571908</v>
          </cell>
          <cell r="O7631">
            <v>692380.00232629513</v>
          </cell>
          <cell r="P7631">
            <v>368.79259999999999</v>
          </cell>
        </row>
        <row r="7632">
          <cell r="B7632">
            <v>40409</v>
          </cell>
          <cell r="J7632">
            <v>3809804.3041216834</v>
          </cell>
          <cell r="K7632">
            <v>2.4380000000000002</v>
          </cell>
          <cell r="L7632">
            <v>148835</v>
          </cell>
          <cell r="M7632">
            <v>13229</v>
          </cell>
          <cell r="N7632">
            <v>683926.05601571908</v>
          </cell>
          <cell r="O7632">
            <v>692380.00232629513</v>
          </cell>
          <cell r="P7632">
            <v>368.79259999999999</v>
          </cell>
        </row>
        <row r="7633">
          <cell r="B7633">
            <v>40410</v>
          </cell>
          <cell r="J7633">
            <v>3809804.3041216834</v>
          </cell>
          <cell r="K7633">
            <v>2.4380000000000002</v>
          </cell>
          <cell r="L7633">
            <v>148835</v>
          </cell>
          <cell r="M7633">
            <v>13229</v>
          </cell>
          <cell r="N7633">
            <v>683926.05601571908</v>
          </cell>
          <cell r="O7633">
            <v>692380.00232629513</v>
          </cell>
          <cell r="P7633">
            <v>368.79259999999999</v>
          </cell>
        </row>
        <row r="7634">
          <cell r="B7634">
            <v>40411</v>
          </cell>
          <cell r="J7634">
            <v>3809804.3041216834</v>
          </cell>
          <cell r="K7634">
            <v>2.4380000000000002</v>
          </cell>
          <cell r="L7634">
            <v>148835</v>
          </cell>
          <cell r="M7634">
            <v>13229</v>
          </cell>
          <cell r="N7634">
            <v>683926.05601571908</v>
          </cell>
          <cell r="O7634">
            <v>692380.00232629513</v>
          </cell>
          <cell r="P7634">
            <v>368.79259999999999</v>
          </cell>
        </row>
        <row r="7635">
          <cell r="B7635">
            <v>40412</v>
          </cell>
          <cell r="J7635">
            <v>3809804.3041216834</v>
          </cell>
          <cell r="K7635">
            <v>2.4380000000000002</v>
          </cell>
          <cell r="L7635">
            <v>148835</v>
          </cell>
          <cell r="M7635">
            <v>13229</v>
          </cell>
          <cell r="N7635">
            <v>683926.05601571908</v>
          </cell>
          <cell r="O7635">
            <v>692380.00232629513</v>
          </cell>
          <cell r="P7635">
            <v>368.79259999999999</v>
          </cell>
        </row>
        <row r="7636">
          <cell r="B7636">
            <v>40413</v>
          </cell>
          <cell r="J7636">
            <v>3809804.3041216834</v>
          </cell>
          <cell r="K7636">
            <v>2.4380000000000002</v>
          </cell>
          <cell r="L7636">
            <v>148835</v>
          </cell>
          <cell r="M7636">
            <v>13229</v>
          </cell>
          <cell r="N7636">
            <v>683926.05601571908</v>
          </cell>
          <cell r="O7636">
            <v>692380.00232629513</v>
          </cell>
          <cell r="P7636">
            <v>368.79259999999999</v>
          </cell>
        </row>
        <row r="7637">
          <cell r="B7637">
            <v>40414</v>
          </cell>
          <cell r="J7637">
            <v>3809804.3041216834</v>
          </cell>
          <cell r="K7637">
            <v>2.4380000000000002</v>
          </cell>
          <cell r="L7637">
            <v>148835</v>
          </cell>
          <cell r="M7637">
            <v>13229</v>
          </cell>
          <cell r="N7637">
            <v>683926.05601571908</v>
          </cell>
          <cell r="O7637">
            <v>692380.00232629513</v>
          </cell>
          <cell r="P7637">
            <v>368.79259999999999</v>
          </cell>
        </row>
        <row r="7638">
          <cell r="B7638">
            <v>40415</v>
          </cell>
          <cell r="J7638">
            <v>3809804.3041216834</v>
          </cell>
          <cell r="K7638">
            <v>2.4380000000000002</v>
          </cell>
          <cell r="L7638">
            <v>148835</v>
          </cell>
          <cell r="M7638">
            <v>13229</v>
          </cell>
          <cell r="N7638">
            <v>683926.05601571908</v>
          </cell>
          <cell r="O7638">
            <v>692380.00232629513</v>
          </cell>
          <cell r="P7638">
            <v>368.79259999999999</v>
          </cell>
        </row>
        <row r="7639">
          <cell r="B7639">
            <v>40416</v>
          </cell>
          <cell r="J7639">
            <v>3809804.3041216834</v>
          </cell>
          <cell r="K7639">
            <v>2.4380000000000002</v>
          </cell>
          <cell r="L7639">
            <v>148835</v>
          </cell>
          <cell r="M7639">
            <v>13229</v>
          </cell>
          <cell r="N7639">
            <v>683926.05601571908</v>
          </cell>
          <cell r="O7639">
            <v>692380.00232629513</v>
          </cell>
          <cell r="P7639">
            <v>368.79259999999999</v>
          </cell>
        </row>
        <row r="7640">
          <cell r="B7640">
            <v>40417</v>
          </cell>
          <cell r="J7640">
            <v>3809804.3041216834</v>
          </cell>
          <cell r="K7640">
            <v>2.4380000000000002</v>
          </cell>
          <cell r="L7640">
            <v>148835</v>
          </cell>
          <cell r="M7640">
            <v>13229</v>
          </cell>
          <cell r="N7640">
            <v>683926.05601571908</v>
          </cell>
          <cell r="O7640">
            <v>692380.00232629513</v>
          </cell>
          <cell r="P7640">
            <v>368.79259999999999</v>
          </cell>
        </row>
        <row r="7641">
          <cell r="B7641">
            <v>40418</v>
          </cell>
          <cell r="J7641">
            <v>3809804.3041216834</v>
          </cell>
          <cell r="K7641">
            <v>2.4380000000000002</v>
          </cell>
          <cell r="L7641">
            <v>148835</v>
          </cell>
          <cell r="M7641">
            <v>13229</v>
          </cell>
          <cell r="N7641">
            <v>683926.05601571908</v>
          </cell>
          <cell r="O7641">
            <v>692380.00232629513</v>
          </cell>
          <cell r="P7641">
            <v>368.79259999999999</v>
          </cell>
        </row>
        <row r="7642">
          <cell r="B7642">
            <v>40419</v>
          </cell>
          <cell r="J7642">
            <v>3809804.3041216834</v>
          </cell>
          <cell r="K7642">
            <v>2.4380000000000002</v>
          </cell>
          <cell r="L7642">
            <v>148835</v>
          </cell>
          <cell r="M7642">
            <v>13229</v>
          </cell>
          <cell r="N7642">
            <v>683926.05601571908</v>
          </cell>
          <cell r="O7642">
            <v>692380.00232629513</v>
          </cell>
          <cell r="P7642">
            <v>368.79259999999999</v>
          </cell>
        </row>
        <row r="7643">
          <cell r="B7643">
            <v>40420</v>
          </cell>
          <cell r="J7643">
            <v>3809804.3041216834</v>
          </cell>
          <cell r="K7643">
            <v>2.4380000000000002</v>
          </cell>
          <cell r="L7643">
            <v>148835</v>
          </cell>
          <cell r="M7643">
            <v>13229</v>
          </cell>
          <cell r="N7643">
            <v>683926.05601571908</v>
          </cell>
          <cell r="O7643">
            <v>692380.00232629513</v>
          </cell>
          <cell r="P7643">
            <v>368.79259999999999</v>
          </cell>
        </row>
        <row r="7644">
          <cell r="B7644">
            <v>40421</v>
          </cell>
          <cell r="J7644">
            <v>3809804.3041216834</v>
          </cell>
          <cell r="K7644">
            <v>2.4380000000000002</v>
          </cell>
          <cell r="L7644">
            <v>148835</v>
          </cell>
          <cell r="M7644">
            <v>13229</v>
          </cell>
          <cell r="N7644">
            <v>683926.05601571908</v>
          </cell>
          <cell r="O7644">
            <v>692380.00232629513</v>
          </cell>
          <cell r="P7644">
            <v>368.79259999999999</v>
          </cell>
        </row>
        <row r="7645">
          <cell r="B7645">
            <v>40422</v>
          </cell>
          <cell r="J7645">
            <v>3809804.3041216834</v>
          </cell>
          <cell r="K7645">
            <v>2.4380000000000002</v>
          </cell>
          <cell r="L7645">
            <v>148835</v>
          </cell>
          <cell r="M7645">
            <v>13229</v>
          </cell>
          <cell r="N7645">
            <v>683926.05601571908</v>
          </cell>
          <cell r="O7645">
            <v>692380.00232629513</v>
          </cell>
          <cell r="P7645">
            <v>368.79259999999999</v>
          </cell>
        </row>
        <row r="7646">
          <cell r="B7646">
            <v>40423</v>
          </cell>
          <cell r="J7646">
            <v>3809804.3041216834</v>
          </cell>
          <cell r="K7646">
            <v>2.4380000000000002</v>
          </cell>
          <cell r="L7646">
            <v>148835</v>
          </cell>
          <cell r="M7646">
            <v>13229</v>
          </cell>
          <cell r="N7646">
            <v>683926.05601571908</v>
          </cell>
          <cell r="O7646">
            <v>692380.00232629513</v>
          </cell>
          <cell r="P7646">
            <v>368.79259999999999</v>
          </cell>
        </row>
        <row r="7647">
          <cell r="B7647">
            <v>40424</v>
          </cell>
          <cell r="J7647">
            <v>3809804.3041216834</v>
          </cell>
          <cell r="K7647">
            <v>2.4380000000000002</v>
          </cell>
          <cell r="L7647">
            <v>148835</v>
          </cell>
          <cell r="M7647">
            <v>13229</v>
          </cell>
          <cell r="N7647">
            <v>683926.05601571908</v>
          </cell>
          <cell r="O7647">
            <v>692380.00232629513</v>
          </cell>
          <cell r="P7647">
            <v>368.79259999999999</v>
          </cell>
        </row>
        <row r="7648">
          <cell r="B7648">
            <v>40425</v>
          </cell>
          <cell r="J7648">
            <v>3809804.3041216834</v>
          </cell>
          <cell r="K7648">
            <v>2.4380000000000002</v>
          </cell>
          <cell r="L7648">
            <v>148835</v>
          </cell>
          <cell r="M7648">
            <v>13229</v>
          </cell>
          <cell r="N7648">
            <v>683926.05601571908</v>
          </cell>
          <cell r="O7648">
            <v>692380.00232629513</v>
          </cell>
          <cell r="P7648">
            <v>368.79259999999999</v>
          </cell>
        </row>
        <row r="7649">
          <cell r="B7649">
            <v>40426</v>
          </cell>
          <cell r="J7649">
            <v>3809804.3041216834</v>
          </cell>
          <cell r="K7649">
            <v>2.4380000000000002</v>
          </cell>
          <cell r="L7649">
            <v>148835</v>
          </cell>
          <cell r="M7649">
            <v>13229</v>
          </cell>
          <cell r="N7649">
            <v>683926.05601571908</v>
          </cell>
          <cell r="O7649">
            <v>692380.00232629513</v>
          </cell>
          <cell r="P7649">
            <v>368.79259999999999</v>
          </cell>
        </row>
        <row r="7650">
          <cell r="B7650">
            <v>40427</v>
          </cell>
          <cell r="J7650">
            <v>3809804.3041216834</v>
          </cell>
          <cell r="K7650">
            <v>2.4380000000000002</v>
          </cell>
          <cell r="L7650">
            <v>148835</v>
          </cell>
          <cell r="M7650">
            <v>13229</v>
          </cell>
          <cell r="N7650">
            <v>683926.05601571908</v>
          </cell>
          <cell r="O7650">
            <v>692380.00232629513</v>
          </cell>
          <cell r="P7650">
            <v>368.79259999999999</v>
          </cell>
        </row>
        <row r="7651">
          <cell r="B7651">
            <v>40428</v>
          </cell>
          <cell r="J7651">
            <v>3809804.3041216834</v>
          </cell>
          <cell r="K7651">
            <v>2.4380000000000002</v>
          </cell>
          <cell r="L7651">
            <v>148835</v>
          </cell>
          <cell r="M7651">
            <v>13229</v>
          </cell>
          <cell r="N7651">
            <v>683926.05601571908</v>
          </cell>
          <cell r="O7651">
            <v>692380.00232629513</v>
          </cell>
          <cell r="P7651">
            <v>368.79259999999999</v>
          </cell>
        </row>
        <row r="7652">
          <cell r="B7652">
            <v>40429</v>
          </cell>
          <cell r="J7652">
            <v>3809804.3041216834</v>
          </cell>
          <cell r="K7652">
            <v>2.4380000000000002</v>
          </cell>
          <cell r="L7652">
            <v>148835</v>
          </cell>
          <cell r="M7652">
            <v>13229</v>
          </cell>
          <cell r="N7652">
            <v>683926.05601571908</v>
          </cell>
          <cell r="O7652">
            <v>692380.00232629513</v>
          </cell>
          <cell r="P7652">
            <v>368.79259999999999</v>
          </cell>
        </row>
        <row r="7653">
          <cell r="B7653">
            <v>40430</v>
          </cell>
          <cell r="J7653">
            <v>3809804.3041216834</v>
          </cell>
          <cell r="K7653">
            <v>2.4380000000000002</v>
          </cell>
          <cell r="L7653">
            <v>148835</v>
          </cell>
          <cell r="M7653">
            <v>13229</v>
          </cell>
          <cell r="N7653">
            <v>683926.05601571908</v>
          </cell>
          <cell r="O7653">
            <v>692380.00232629513</v>
          </cell>
          <cell r="P7653">
            <v>368.79259999999999</v>
          </cell>
        </row>
        <row r="7654">
          <cell r="B7654">
            <v>40431</v>
          </cell>
          <cell r="J7654">
            <v>3809804.3041216834</v>
          </cell>
          <cell r="K7654">
            <v>2.4380000000000002</v>
          </cell>
          <cell r="L7654">
            <v>148835</v>
          </cell>
          <cell r="M7654">
            <v>13229</v>
          </cell>
          <cell r="N7654">
            <v>683926.05601571908</v>
          </cell>
          <cell r="O7654">
            <v>692380.00232629513</v>
          </cell>
          <cell r="P7654">
            <v>368.79259999999999</v>
          </cell>
        </row>
        <row r="7655">
          <cell r="B7655">
            <v>40432</v>
          </cell>
          <cell r="J7655">
            <v>3809804.3041216834</v>
          </cell>
          <cell r="K7655">
            <v>2.4380000000000002</v>
          </cell>
          <cell r="L7655">
            <v>148835</v>
          </cell>
          <cell r="M7655">
            <v>13229</v>
          </cell>
          <cell r="N7655">
            <v>683926.05601571908</v>
          </cell>
          <cell r="O7655">
            <v>692380.00232629513</v>
          </cell>
          <cell r="P7655">
            <v>368.79259999999999</v>
          </cell>
        </row>
        <row r="7656">
          <cell r="B7656">
            <v>40433</v>
          </cell>
          <cell r="J7656">
            <v>3809804.3041216834</v>
          </cell>
          <cell r="K7656">
            <v>2.4380000000000002</v>
          </cell>
          <cell r="L7656">
            <v>148835</v>
          </cell>
          <cell r="M7656">
            <v>13229</v>
          </cell>
          <cell r="N7656">
            <v>683926.05601571908</v>
          </cell>
          <cell r="O7656">
            <v>692380.00232629513</v>
          </cell>
          <cell r="P7656">
            <v>368.79259999999999</v>
          </cell>
        </row>
        <row r="7657">
          <cell r="B7657">
            <v>40434</v>
          </cell>
          <cell r="J7657">
            <v>3809804.3041216834</v>
          </cell>
          <cell r="K7657">
            <v>2.4380000000000002</v>
          </cell>
          <cell r="L7657">
            <v>148835</v>
          </cell>
          <cell r="M7657">
            <v>13229</v>
          </cell>
          <cell r="N7657">
            <v>683926.05601571908</v>
          </cell>
          <cell r="O7657">
            <v>692380.00232629513</v>
          </cell>
          <cell r="P7657">
            <v>368.79259999999999</v>
          </cell>
        </row>
        <row r="7658">
          <cell r="B7658">
            <v>40435</v>
          </cell>
          <cell r="J7658">
            <v>3809804.3041216834</v>
          </cell>
          <cell r="K7658">
            <v>2.4380000000000002</v>
          </cell>
          <cell r="L7658">
            <v>148835</v>
          </cell>
          <cell r="M7658">
            <v>13229</v>
          </cell>
          <cell r="N7658">
            <v>683926.05601571908</v>
          </cell>
          <cell r="O7658">
            <v>692380.00232629513</v>
          </cell>
          <cell r="P7658">
            <v>368.79259999999999</v>
          </cell>
        </row>
        <row r="7659">
          <cell r="B7659">
            <v>40436</v>
          </cell>
          <cell r="J7659">
            <v>3809804.3041216834</v>
          </cell>
          <cell r="K7659">
            <v>2.4380000000000002</v>
          </cell>
          <cell r="L7659">
            <v>148835</v>
          </cell>
          <cell r="M7659">
            <v>13229</v>
          </cell>
          <cell r="N7659">
            <v>683926.05601571908</v>
          </cell>
          <cell r="O7659">
            <v>692380.00232629513</v>
          </cell>
          <cell r="P7659">
            <v>368.79259999999999</v>
          </cell>
        </row>
        <row r="7660">
          <cell r="B7660">
            <v>40437</v>
          </cell>
          <cell r="J7660">
            <v>3809804.3041216834</v>
          </cell>
          <cell r="K7660">
            <v>2.4380000000000002</v>
          </cell>
          <cell r="L7660">
            <v>148835</v>
          </cell>
          <cell r="M7660">
            <v>13229</v>
          </cell>
          <cell r="N7660">
            <v>683926.05601571908</v>
          </cell>
          <cell r="O7660">
            <v>692380.00232629513</v>
          </cell>
          <cell r="P7660">
            <v>368.79259999999999</v>
          </cell>
        </row>
        <row r="7661">
          <cell r="B7661">
            <v>40438</v>
          </cell>
          <cell r="J7661">
            <v>3809804.3041216834</v>
          </cell>
          <cell r="K7661">
            <v>2.4380000000000002</v>
          </cell>
          <cell r="L7661">
            <v>148835</v>
          </cell>
          <cell r="M7661">
            <v>13229</v>
          </cell>
          <cell r="N7661">
            <v>683926.05601571908</v>
          </cell>
          <cell r="O7661">
            <v>692380.00232629513</v>
          </cell>
          <cell r="P7661">
            <v>368.79259999999999</v>
          </cell>
        </row>
        <row r="7662">
          <cell r="B7662">
            <v>40439</v>
          </cell>
          <cell r="J7662">
            <v>3809804.3041216834</v>
          </cell>
          <cell r="K7662">
            <v>2.4380000000000002</v>
          </cell>
          <cell r="L7662">
            <v>148835</v>
          </cell>
          <cell r="M7662">
            <v>13229</v>
          </cell>
          <cell r="N7662">
            <v>683926.05601571908</v>
          </cell>
          <cell r="O7662">
            <v>692380.00232629513</v>
          </cell>
          <cell r="P7662">
            <v>368.79259999999999</v>
          </cell>
        </row>
        <row r="7663">
          <cell r="B7663">
            <v>40440</v>
          </cell>
          <cell r="J7663">
            <v>3809804.3041216834</v>
          </cell>
          <cell r="K7663">
            <v>2.4380000000000002</v>
          </cell>
          <cell r="L7663">
            <v>148835</v>
          </cell>
          <cell r="M7663">
            <v>13229</v>
          </cell>
          <cell r="N7663">
            <v>683926.05601571908</v>
          </cell>
          <cell r="O7663">
            <v>692380.00232629513</v>
          </cell>
          <cell r="P7663">
            <v>368.79259999999999</v>
          </cell>
        </row>
        <row r="7664">
          <cell r="B7664">
            <v>40441</v>
          </cell>
          <cell r="J7664">
            <v>3809804.3041216834</v>
          </cell>
          <cell r="K7664">
            <v>2.4380000000000002</v>
          </cell>
          <cell r="L7664">
            <v>148835</v>
          </cell>
          <cell r="M7664">
            <v>13229</v>
          </cell>
          <cell r="N7664">
            <v>683926.05601571908</v>
          </cell>
          <cell r="O7664">
            <v>692380.00232629513</v>
          </cell>
          <cell r="P7664">
            <v>368.79259999999999</v>
          </cell>
        </row>
        <row r="7665">
          <cell r="B7665">
            <v>40442</v>
          </cell>
          <cell r="J7665">
            <v>3809804.3041216834</v>
          </cell>
          <cell r="K7665">
            <v>2.4380000000000002</v>
          </cell>
          <cell r="L7665">
            <v>148835</v>
          </cell>
          <cell r="M7665">
            <v>13229</v>
          </cell>
          <cell r="N7665">
            <v>683926.05601571908</v>
          </cell>
          <cell r="O7665">
            <v>692380.00232629513</v>
          </cell>
          <cell r="P7665">
            <v>368.79259999999999</v>
          </cell>
        </row>
        <row r="7666">
          <cell r="B7666">
            <v>40443</v>
          </cell>
          <cell r="J7666">
            <v>3809804.3041216834</v>
          </cell>
          <cell r="K7666">
            <v>2.4380000000000002</v>
          </cell>
          <cell r="L7666">
            <v>148835</v>
          </cell>
          <cell r="M7666">
            <v>13229</v>
          </cell>
          <cell r="N7666">
            <v>683926.05601571908</v>
          </cell>
          <cell r="O7666">
            <v>692380.00232629513</v>
          </cell>
          <cell r="P7666">
            <v>368.79259999999999</v>
          </cell>
        </row>
        <row r="7667">
          <cell r="B7667">
            <v>40444</v>
          </cell>
          <cell r="J7667">
            <v>3809804.3041216834</v>
          </cell>
          <cell r="K7667">
            <v>2.4380000000000002</v>
          </cell>
          <cell r="L7667">
            <v>148835</v>
          </cell>
          <cell r="M7667">
            <v>13229</v>
          </cell>
          <cell r="N7667">
            <v>683926.05601571908</v>
          </cell>
          <cell r="O7667">
            <v>692380.00232629513</v>
          </cell>
          <cell r="P7667">
            <v>368.79259999999999</v>
          </cell>
        </row>
        <row r="7668">
          <cell r="B7668">
            <v>40445</v>
          </cell>
          <cell r="J7668">
            <v>3809804.3041216834</v>
          </cell>
          <cell r="K7668">
            <v>2.4380000000000002</v>
          </cell>
          <cell r="L7668">
            <v>148835</v>
          </cell>
          <cell r="M7668">
            <v>13229</v>
          </cell>
          <cell r="N7668">
            <v>683926.05601571908</v>
          </cell>
          <cell r="O7668">
            <v>692380.00232629513</v>
          </cell>
          <cell r="P7668">
            <v>368.79259999999999</v>
          </cell>
        </row>
        <row r="7669">
          <cell r="B7669">
            <v>40446</v>
          </cell>
          <cell r="J7669">
            <v>3809804.3041216834</v>
          </cell>
          <cell r="K7669">
            <v>2.4380000000000002</v>
          </cell>
          <cell r="L7669">
            <v>148835</v>
          </cell>
          <cell r="M7669">
            <v>13229</v>
          </cell>
          <cell r="N7669">
            <v>683926.05601571908</v>
          </cell>
          <cell r="O7669">
            <v>692380.00232629513</v>
          </cell>
          <cell r="P7669">
            <v>368.79259999999999</v>
          </cell>
        </row>
        <row r="7670">
          <cell r="B7670">
            <v>40447</v>
          </cell>
          <cell r="J7670">
            <v>3809804.3041216834</v>
          </cell>
          <cell r="K7670">
            <v>2.4380000000000002</v>
          </cell>
          <cell r="L7670">
            <v>148835</v>
          </cell>
          <cell r="M7670">
            <v>13229</v>
          </cell>
          <cell r="N7670">
            <v>683926.05601571908</v>
          </cell>
          <cell r="O7670">
            <v>692380.00232629513</v>
          </cell>
          <cell r="P7670">
            <v>368.79259999999999</v>
          </cell>
        </row>
        <row r="7671">
          <cell r="B7671">
            <v>40448</v>
          </cell>
          <cell r="J7671">
            <v>3809804.3041216834</v>
          </cell>
          <cell r="K7671">
            <v>2.4380000000000002</v>
          </cell>
          <cell r="L7671">
            <v>148835</v>
          </cell>
          <cell r="M7671">
            <v>13229</v>
          </cell>
          <cell r="N7671">
            <v>683926.05601571908</v>
          </cell>
          <cell r="O7671">
            <v>692380.00232629513</v>
          </cell>
          <cell r="P7671">
            <v>368.79259999999999</v>
          </cell>
        </row>
        <row r="7672">
          <cell r="B7672">
            <v>40449</v>
          </cell>
          <cell r="J7672">
            <v>3809804.3041216834</v>
          </cell>
          <cell r="K7672">
            <v>2.4380000000000002</v>
          </cell>
          <cell r="L7672">
            <v>148835</v>
          </cell>
          <cell r="M7672">
            <v>13229</v>
          </cell>
          <cell r="N7672">
            <v>683926.05601571908</v>
          </cell>
          <cell r="O7672">
            <v>692380.00232629513</v>
          </cell>
          <cell r="P7672">
            <v>368.79259999999999</v>
          </cell>
        </row>
        <row r="7673">
          <cell r="B7673">
            <v>40450</v>
          </cell>
          <cell r="J7673">
            <v>3809804.3041216834</v>
          </cell>
          <cell r="K7673">
            <v>2.4380000000000002</v>
          </cell>
          <cell r="L7673">
            <v>148835</v>
          </cell>
          <cell r="M7673">
            <v>13229</v>
          </cell>
          <cell r="N7673">
            <v>683926.05601571908</v>
          </cell>
          <cell r="O7673">
            <v>692380.00232629513</v>
          </cell>
          <cell r="P7673">
            <v>368.79259999999999</v>
          </cell>
        </row>
        <row r="7674">
          <cell r="B7674">
            <v>40451</v>
          </cell>
          <cell r="J7674">
            <v>3809804.3041216834</v>
          </cell>
          <cell r="K7674">
            <v>2.4380000000000002</v>
          </cell>
          <cell r="L7674">
            <v>148835</v>
          </cell>
          <cell r="M7674">
            <v>13229</v>
          </cell>
          <cell r="N7674">
            <v>683926.05601571908</v>
          </cell>
          <cell r="O7674">
            <v>692380.00232629513</v>
          </cell>
          <cell r="P7674">
            <v>368.79259999999999</v>
          </cell>
        </row>
        <row r="7675">
          <cell r="B7675">
            <v>40452</v>
          </cell>
          <cell r="J7675">
            <v>3809804.3041216834</v>
          </cell>
          <cell r="K7675">
            <v>2.4380000000000002</v>
          </cell>
          <cell r="L7675">
            <v>148835</v>
          </cell>
          <cell r="M7675">
            <v>13229</v>
          </cell>
          <cell r="N7675">
            <v>683926.05601571908</v>
          </cell>
          <cell r="O7675">
            <v>692380.00232629513</v>
          </cell>
          <cell r="P7675">
            <v>368.79259999999999</v>
          </cell>
        </row>
        <row r="7676">
          <cell r="B7676">
            <v>40453</v>
          </cell>
          <cell r="J7676">
            <v>3809804.3041216834</v>
          </cell>
          <cell r="K7676">
            <v>2.4380000000000002</v>
          </cell>
          <cell r="L7676">
            <v>148835</v>
          </cell>
          <cell r="M7676">
            <v>13229</v>
          </cell>
          <cell r="N7676">
            <v>683926.05601571908</v>
          </cell>
          <cell r="O7676">
            <v>692380.00232629513</v>
          </cell>
          <cell r="P7676">
            <v>368.79259999999999</v>
          </cell>
        </row>
        <row r="7677">
          <cell r="B7677">
            <v>40454</v>
          </cell>
          <cell r="J7677">
            <v>3809804.3041216834</v>
          </cell>
          <cell r="K7677">
            <v>2.4380000000000002</v>
          </cell>
          <cell r="L7677">
            <v>148835</v>
          </cell>
          <cell r="M7677">
            <v>13229</v>
          </cell>
          <cell r="N7677">
            <v>683926.05601571908</v>
          </cell>
          <cell r="O7677">
            <v>692380.00232629513</v>
          </cell>
          <cell r="P7677">
            <v>368.79259999999999</v>
          </cell>
        </row>
        <row r="7678">
          <cell r="B7678">
            <v>40455</v>
          </cell>
          <cell r="J7678">
            <v>3809804.3041216834</v>
          </cell>
          <cell r="K7678">
            <v>2.4380000000000002</v>
          </cell>
          <cell r="L7678">
            <v>148835</v>
          </cell>
          <cell r="M7678">
            <v>13229</v>
          </cell>
          <cell r="N7678">
            <v>683926.05601571908</v>
          </cell>
          <cell r="O7678">
            <v>692380.00232629513</v>
          </cell>
          <cell r="P7678">
            <v>368.79259999999999</v>
          </cell>
        </row>
        <row r="7679">
          <cell r="B7679">
            <v>40456</v>
          </cell>
          <cell r="J7679">
            <v>3809804.3041216834</v>
          </cell>
          <cell r="K7679">
            <v>2.4380000000000002</v>
          </cell>
          <cell r="L7679">
            <v>148835</v>
          </cell>
          <cell r="M7679">
            <v>13229</v>
          </cell>
          <cell r="N7679">
            <v>683926.05601571908</v>
          </cell>
          <cell r="O7679">
            <v>692380.00232629513</v>
          </cell>
          <cell r="P7679">
            <v>368.79259999999999</v>
          </cell>
        </row>
        <row r="7680">
          <cell r="B7680">
            <v>40457</v>
          </cell>
          <cell r="J7680">
            <v>3809804.3041216834</v>
          </cell>
          <cell r="K7680">
            <v>2.4380000000000002</v>
          </cell>
          <cell r="L7680">
            <v>148835</v>
          </cell>
          <cell r="M7680">
            <v>13229</v>
          </cell>
          <cell r="N7680">
            <v>683926.05601571908</v>
          </cell>
          <cell r="O7680">
            <v>692380.00232629513</v>
          </cell>
          <cell r="P7680">
            <v>368.79259999999999</v>
          </cell>
        </row>
        <row r="7681">
          <cell r="B7681">
            <v>40458</v>
          </cell>
          <cell r="J7681">
            <v>3809804.3041216834</v>
          </cell>
          <cell r="K7681">
            <v>2.4380000000000002</v>
          </cell>
          <cell r="L7681">
            <v>148835</v>
          </cell>
          <cell r="M7681">
            <v>13229</v>
          </cell>
          <cell r="N7681">
            <v>683926.05601571908</v>
          </cell>
          <cell r="O7681">
            <v>692380.00232629513</v>
          </cell>
          <cell r="P7681">
            <v>368.79259999999999</v>
          </cell>
        </row>
        <row r="7682">
          <cell r="B7682">
            <v>40459</v>
          </cell>
          <cell r="J7682">
            <v>3809804.3041216834</v>
          </cell>
          <cell r="K7682">
            <v>2.4380000000000002</v>
          </cell>
          <cell r="L7682">
            <v>148835</v>
          </cell>
          <cell r="M7682">
            <v>13229</v>
          </cell>
          <cell r="N7682">
            <v>683926.05601571908</v>
          </cell>
          <cell r="O7682">
            <v>692380.00232629513</v>
          </cell>
          <cell r="P7682">
            <v>368.79259999999999</v>
          </cell>
        </row>
        <row r="7683">
          <cell r="B7683">
            <v>40460</v>
          </cell>
          <cell r="J7683">
            <v>3809804.3041216834</v>
          </cell>
          <cell r="K7683">
            <v>2.4380000000000002</v>
          </cell>
          <cell r="L7683">
            <v>148835</v>
          </cell>
          <cell r="M7683">
            <v>13229</v>
          </cell>
          <cell r="N7683">
            <v>683926.05601571908</v>
          </cell>
          <cell r="O7683">
            <v>692380.00232629513</v>
          </cell>
          <cell r="P7683">
            <v>368.79259999999999</v>
          </cell>
        </row>
        <row r="7684">
          <cell r="B7684">
            <v>40461</v>
          </cell>
          <cell r="J7684">
            <v>3809804.3041216834</v>
          </cell>
          <cell r="K7684">
            <v>2.4380000000000002</v>
          </cell>
          <cell r="L7684">
            <v>148835</v>
          </cell>
          <cell r="M7684">
            <v>13229</v>
          </cell>
          <cell r="N7684">
            <v>683926.05601571908</v>
          </cell>
          <cell r="O7684">
            <v>692380.00232629513</v>
          </cell>
          <cell r="P7684">
            <v>368.79259999999999</v>
          </cell>
        </row>
        <row r="7685">
          <cell r="B7685">
            <v>40462</v>
          </cell>
          <cell r="J7685">
            <v>3809804.3041216834</v>
          </cell>
          <cell r="K7685">
            <v>2.4380000000000002</v>
          </cell>
          <cell r="L7685">
            <v>148835</v>
          </cell>
          <cell r="M7685">
            <v>13229</v>
          </cell>
          <cell r="N7685">
            <v>683926.05601571908</v>
          </cell>
          <cell r="O7685">
            <v>692380.00232629513</v>
          </cell>
          <cell r="P7685">
            <v>368.79259999999999</v>
          </cell>
        </row>
        <row r="7686">
          <cell r="B7686">
            <v>40463</v>
          </cell>
          <cell r="J7686">
            <v>3809804.3041216834</v>
          </cell>
          <cell r="K7686">
            <v>2.4380000000000002</v>
          </cell>
          <cell r="L7686">
            <v>148835</v>
          </cell>
          <cell r="M7686">
            <v>13229</v>
          </cell>
          <cell r="N7686">
            <v>683926.05601571908</v>
          </cell>
          <cell r="O7686">
            <v>692380.00232629513</v>
          </cell>
          <cell r="P7686">
            <v>368.79259999999999</v>
          </cell>
        </row>
        <row r="7687">
          <cell r="B7687">
            <v>40464</v>
          </cell>
          <cell r="J7687">
            <v>3809804.3041216834</v>
          </cell>
          <cell r="K7687">
            <v>2.4380000000000002</v>
          </cell>
          <cell r="L7687">
            <v>148835</v>
          </cell>
          <cell r="M7687">
            <v>13229</v>
          </cell>
          <cell r="N7687">
            <v>683926.05601571908</v>
          </cell>
          <cell r="O7687">
            <v>692380.00232629513</v>
          </cell>
          <cell r="P7687">
            <v>368.79259999999999</v>
          </cell>
        </row>
        <row r="7688">
          <cell r="B7688">
            <v>40465</v>
          </cell>
          <cell r="J7688">
            <v>3809804.3041216834</v>
          </cell>
          <cell r="K7688">
            <v>2.4380000000000002</v>
          </cell>
          <cell r="L7688">
            <v>148835</v>
          </cell>
          <cell r="M7688">
            <v>13229</v>
          </cell>
          <cell r="N7688">
            <v>683926.05601571908</v>
          </cell>
          <cell r="O7688">
            <v>692380.00232629513</v>
          </cell>
          <cell r="P7688">
            <v>368.79259999999999</v>
          </cell>
        </row>
        <row r="7689">
          <cell r="B7689">
            <v>40466</v>
          </cell>
          <cell r="J7689">
            <v>3809804.3041216834</v>
          </cell>
          <cell r="K7689">
            <v>2.4380000000000002</v>
          </cell>
          <cell r="L7689">
            <v>148835</v>
          </cell>
          <cell r="M7689">
            <v>13229</v>
          </cell>
          <cell r="N7689">
            <v>683926.05601571908</v>
          </cell>
          <cell r="O7689">
            <v>692380.00232629513</v>
          </cell>
          <cell r="P7689">
            <v>368.79259999999999</v>
          </cell>
        </row>
        <row r="7690">
          <cell r="B7690">
            <v>40467</v>
          </cell>
          <cell r="J7690">
            <v>3809804.3041216834</v>
          </cell>
          <cell r="K7690">
            <v>2.4380000000000002</v>
          </cell>
          <cell r="L7690">
            <v>148835</v>
          </cell>
          <cell r="M7690">
            <v>13229</v>
          </cell>
          <cell r="N7690">
            <v>683926.05601571908</v>
          </cell>
          <cell r="O7690">
            <v>692380.00232629513</v>
          </cell>
          <cell r="P7690">
            <v>368.79259999999999</v>
          </cell>
        </row>
        <row r="7691">
          <cell r="B7691">
            <v>40468</v>
          </cell>
          <cell r="J7691">
            <v>3809804.3041216834</v>
          </cell>
          <cell r="K7691">
            <v>2.4380000000000002</v>
          </cell>
          <cell r="L7691">
            <v>148835</v>
          </cell>
          <cell r="M7691">
            <v>13229</v>
          </cell>
          <cell r="N7691">
            <v>683926.05601571908</v>
          </cell>
          <cell r="O7691">
            <v>692380.00232629513</v>
          </cell>
          <cell r="P7691">
            <v>368.79259999999999</v>
          </cell>
        </row>
        <row r="7692">
          <cell r="B7692">
            <v>40469</v>
          </cell>
          <cell r="J7692">
            <v>3809804.3041216834</v>
          </cell>
          <cell r="K7692">
            <v>2.4380000000000002</v>
          </cell>
          <cell r="L7692">
            <v>148835</v>
          </cell>
          <cell r="M7692">
            <v>13229</v>
          </cell>
          <cell r="N7692">
            <v>683926.05601571908</v>
          </cell>
          <cell r="O7692">
            <v>692380.00232629513</v>
          </cell>
          <cell r="P7692">
            <v>368.79259999999999</v>
          </cell>
        </row>
        <row r="7693">
          <cell r="B7693">
            <v>40470</v>
          </cell>
          <cell r="J7693">
            <v>3809804.3041216834</v>
          </cell>
          <cell r="K7693">
            <v>2.4380000000000002</v>
          </cell>
          <cell r="L7693">
            <v>148835</v>
          </cell>
          <cell r="M7693">
            <v>13229</v>
          </cell>
          <cell r="N7693">
            <v>683926.05601571908</v>
          </cell>
          <cell r="O7693">
            <v>692380.00232629513</v>
          </cell>
          <cell r="P7693">
            <v>368.79259999999999</v>
          </cell>
        </row>
        <row r="7694">
          <cell r="B7694">
            <v>40471</v>
          </cell>
          <cell r="J7694">
            <v>3809804.3041216834</v>
          </cell>
          <cell r="K7694">
            <v>2.4380000000000002</v>
          </cell>
          <cell r="L7694">
            <v>148835</v>
          </cell>
          <cell r="M7694">
            <v>13229</v>
          </cell>
          <cell r="N7694">
            <v>683926.05601571908</v>
          </cell>
          <cell r="O7694">
            <v>692380.00232629513</v>
          </cell>
          <cell r="P7694">
            <v>368.79259999999999</v>
          </cell>
        </row>
        <row r="7695">
          <cell r="B7695">
            <v>40472</v>
          </cell>
          <cell r="J7695">
            <v>3809804.3041216834</v>
          </cell>
          <cell r="K7695">
            <v>2.4380000000000002</v>
          </cell>
          <cell r="L7695">
            <v>148835</v>
          </cell>
          <cell r="M7695">
            <v>13229</v>
          </cell>
          <cell r="N7695">
            <v>683926.05601571908</v>
          </cell>
          <cell r="O7695">
            <v>692380.00232629513</v>
          </cell>
          <cell r="P7695">
            <v>368.79259999999999</v>
          </cell>
        </row>
        <row r="7696">
          <cell r="B7696">
            <v>40473</v>
          </cell>
          <cell r="J7696">
            <v>3809804.3041216834</v>
          </cell>
          <cell r="K7696">
            <v>2.4380000000000002</v>
          </cell>
          <cell r="L7696">
            <v>148835</v>
          </cell>
          <cell r="M7696">
            <v>13229</v>
          </cell>
          <cell r="N7696">
            <v>683926.05601571908</v>
          </cell>
          <cell r="O7696">
            <v>692380.00232629513</v>
          </cell>
          <cell r="P7696">
            <v>368.79259999999999</v>
          </cell>
        </row>
        <row r="7697">
          <cell r="B7697">
            <v>40474</v>
          </cell>
          <cell r="J7697">
            <v>3809804.3041216834</v>
          </cell>
          <cell r="K7697">
            <v>2.4380000000000002</v>
          </cell>
          <cell r="L7697">
            <v>148835</v>
          </cell>
          <cell r="M7697">
            <v>13229</v>
          </cell>
          <cell r="N7697">
            <v>683926.05601571908</v>
          </cell>
          <cell r="O7697">
            <v>692380.00232629513</v>
          </cell>
          <cell r="P7697">
            <v>368.79259999999999</v>
          </cell>
        </row>
        <row r="7698">
          <cell r="B7698">
            <v>40475</v>
          </cell>
          <cell r="J7698">
            <v>3809804.3041216834</v>
          </cell>
          <cell r="K7698">
            <v>2.4380000000000002</v>
          </cell>
          <cell r="L7698">
            <v>148835</v>
          </cell>
          <cell r="M7698">
            <v>13229</v>
          </cell>
          <cell r="N7698">
            <v>683926.05601571908</v>
          </cell>
          <cell r="O7698">
            <v>692380.00232629513</v>
          </cell>
          <cell r="P7698">
            <v>368.79259999999999</v>
          </cell>
        </row>
        <row r="7699">
          <cell r="B7699">
            <v>40476</v>
          </cell>
          <cell r="J7699">
            <v>3809804.3041216834</v>
          </cell>
          <cell r="K7699">
            <v>2.4380000000000002</v>
          </cell>
          <cell r="L7699">
            <v>148835</v>
          </cell>
          <cell r="M7699">
            <v>13229</v>
          </cell>
          <cell r="N7699">
            <v>683926.05601571908</v>
          </cell>
          <cell r="O7699">
            <v>692380.00232629513</v>
          </cell>
          <cell r="P7699">
            <v>368.79259999999999</v>
          </cell>
        </row>
        <row r="7700">
          <cell r="B7700">
            <v>40477</v>
          </cell>
          <cell r="J7700">
            <v>3809804.3041216834</v>
          </cell>
          <cell r="K7700">
            <v>2.4380000000000002</v>
          </cell>
          <cell r="L7700">
            <v>148835</v>
          </cell>
          <cell r="M7700">
            <v>13229</v>
          </cell>
          <cell r="N7700">
            <v>683926.05601571908</v>
          </cell>
          <cell r="O7700">
            <v>692380.00232629513</v>
          </cell>
          <cell r="P7700">
            <v>368.79259999999999</v>
          </cell>
        </row>
        <row r="7701">
          <cell r="B7701">
            <v>40478</v>
          </cell>
          <cell r="J7701">
            <v>3809804.3041216834</v>
          </cell>
          <cell r="K7701">
            <v>2.4380000000000002</v>
          </cell>
          <cell r="L7701">
            <v>148835</v>
          </cell>
          <cell r="M7701">
            <v>13229</v>
          </cell>
          <cell r="N7701">
            <v>683926.05601571908</v>
          </cell>
          <cell r="O7701">
            <v>692380.00232629513</v>
          </cell>
          <cell r="P7701">
            <v>368.79259999999999</v>
          </cell>
        </row>
        <row r="7702">
          <cell r="B7702">
            <v>40479</v>
          </cell>
          <cell r="J7702">
            <v>3809804.3041216834</v>
          </cell>
          <cell r="K7702">
            <v>2.4380000000000002</v>
          </cell>
          <cell r="L7702">
            <v>148835</v>
          </cell>
          <cell r="M7702">
            <v>13229</v>
          </cell>
          <cell r="N7702">
            <v>683926.05601571908</v>
          </cell>
          <cell r="O7702">
            <v>692380.00232629513</v>
          </cell>
          <cell r="P7702">
            <v>368.79259999999999</v>
          </cell>
        </row>
        <row r="7703">
          <cell r="B7703">
            <v>40480</v>
          </cell>
          <cell r="J7703">
            <v>3809804.3041216834</v>
          </cell>
          <cell r="K7703">
            <v>2.4380000000000002</v>
          </cell>
          <cell r="L7703">
            <v>148835</v>
          </cell>
          <cell r="M7703">
            <v>13229</v>
          </cell>
          <cell r="N7703">
            <v>683926.05601571908</v>
          </cell>
          <cell r="O7703">
            <v>692380.00232629513</v>
          </cell>
          <cell r="P7703">
            <v>368.79259999999999</v>
          </cell>
        </row>
        <row r="7704">
          <cell r="B7704">
            <v>40481</v>
          </cell>
          <cell r="J7704">
            <v>3809804.3041216834</v>
          </cell>
          <cell r="K7704">
            <v>2.4380000000000002</v>
          </cell>
          <cell r="L7704">
            <v>148835</v>
          </cell>
          <cell r="M7704">
            <v>13229</v>
          </cell>
          <cell r="N7704">
            <v>683926.05601571908</v>
          </cell>
          <cell r="O7704">
            <v>692380.00232629513</v>
          </cell>
          <cell r="P7704">
            <v>368.79259999999999</v>
          </cell>
        </row>
        <row r="7705">
          <cell r="B7705">
            <v>40482</v>
          </cell>
          <cell r="J7705">
            <v>3809804.3041216834</v>
          </cell>
          <cell r="K7705">
            <v>2.4380000000000002</v>
          </cell>
          <cell r="L7705">
            <v>148835</v>
          </cell>
          <cell r="M7705">
            <v>13229</v>
          </cell>
          <cell r="N7705">
            <v>683926.05601571908</v>
          </cell>
          <cell r="O7705">
            <v>692380.00232629513</v>
          </cell>
          <cell r="P7705">
            <v>368.79259999999999</v>
          </cell>
        </row>
        <row r="7706">
          <cell r="B7706">
            <v>40483</v>
          </cell>
          <cell r="J7706">
            <v>3809804.3041216834</v>
          </cell>
          <cell r="K7706">
            <v>2.4380000000000002</v>
          </cell>
          <cell r="L7706">
            <v>148835</v>
          </cell>
          <cell r="M7706">
            <v>13229</v>
          </cell>
          <cell r="N7706">
            <v>683926.05601571908</v>
          </cell>
          <cell r="O7706">
            <v>692380.00232629513</v>
          </cell>
          <cell r="P7706">
            <v>368.79259999999999</v>
          </cell>
        </row>
        <row r="7707">
          <cell r="B7707">
            <v>40484</v>
          </cell>
          <cell r="J7707">
            <v>3809804.3041216834</v>
          </cell>
          <cell r="K7707">
            <v>2.4380000000000002</v>
          </cell>
          <cell r="L7707">
            <v>148835</v>
          </cell>
          <cell r="M7707">
            <v>13229</v>
          </cell>
          <cell r="N7707">
            <v>683926.05601571908</v>
          </cell>
          <cell r="O7707">
            <v>692380.00232629513</v>
          </cell>
          <cell r="P7707">
            <v>368.79259999999999</v>
          </cell>
        </row>
        <row r="7708">
          <cell r="B7708">
            <v>40485</v>
          </cell>
          <cell r="J7708">
            <v>3809804.3041216834</v>
          </cell>
          <cell r="K7708">
            <v>2.4380000000000002</v>
          </cell>
          <cell r="L7708">
            <v>148835</v>
          </cell>
          <cell r="M7708">
            <v>13229</v>
          </cell>
          <cell r="N7708">
            <v>683926.05601571908</v>
          </cell>
          <cell r="O7708">
            <v>692380.00232629513</v>
          </cell>
          <cell r="P7708">
            <v>368.79259999999999</v>
          </cell>
        </row>
        <row r="7709">
          <cell r="B7709">
            <v>40486</v>
          </cell>
          <cell r="J7709">
            <v>3809804.3041216834</v>
          </cell>
          <cell r="K7709">
            <v>2.4380000000000002</v>
          </cell>
          <cell r="L7709">
            <v>148835</v>
          </cell>
          <cell r="M7709">
            <v>13229</v>
          </cell>
          <cell r="N7709">
            <v>683926.05601571908</v>
          </cell>
          <cell r="O7709">
            <v>692380.00232629513</v>
          </cell>
          <cell r="P7709">
            <v>368.79259999999999</v>
          </cell>
        </row>
        <row r="7710">
          <cell r="B7710">
            <v>40487</v>
          </cell>
          <cell r="J7710">
            <v>3809804.3041216834</v>
          </cell>
          <cell r="K7710">
            <v>2.4380000000000002</v>
          </cell>
          <cell r="L7710">
            <v>148835</v>
          </cell>
          <cell r="M7710">
            <v>13229</v>
          </cell>
          <cell r="N7710">
            <v>683926.05601571908</v>
          </cell>
          <cell r="O7710">
            <v>692380.00232629513</v>
          </cell>
          <cell r="P7710">
            <v>368.79259999999999</v>
          </cell>
        </row>
        <row r="7711">
          <cell r="B7711">
            <v>40488</v>
          </cell>
          <cell r="J7711">
            <v>3809804.3041216834</v>
          </cell>
          <cell r="K7711">
            <v>2.4380000000000002</v>
          </cell>
          <cell r="L7711">
            <v>148835</v>
          </cell>
          <cell r="M7711">
            <v>13229</v>
          </cell>
          <cell r="N7711">
            <v>683926.05601571908</v>
          </cell>
          <cell r="O7711">
            <v>692380.00232629513</v>
          </cell>
          <cell r="P7711">
            <v>368.79259999999999</v>
          </cell>
        </row>
        <row r="7712">
          <cell r="B7712">
            <v>40489</v>
          </cell>
          <cell r="J7712">
            <v>3809804.3041216834</v>
          </cell>
          <cell r="K7712">
            <v>2.4380000000000002</v>
          </cell>
          <cell r="L7712">
            <v>148835</v>
          </cell>
          <cell r="M7712">
            <v>13229</v>
          </cell>
          <cell r="N7712">
            <v>683926.05601571908</v>
          </cell>
          <cell r="O7712">
            <v>692380.00232629513</v>
          </cell>
          <cell r="P7712">
            <v>368.79259999999999</v>
          </cell>
        </row>
        <row r="7713">
          <cell r="B7713">
            <v>40490</v>
          </cell>
          <cell r="J7713">
            <v>3809804.3041216834</v>
          </cell>
          <cell r="K7713">
            <v>2.4380000000000002</v>
          </cell>
          <cell r="L7713">
            <v>148835</v>
          </cell>
          <cell r="M7713">
            <v>13229</v>
          </cell>
          <cell r="N7713">
            <v>683926.05601571908</v>
          </cell>
          <cell r="O7713">
            <v>692380.00232629513</v>
          </cell>
          <cell r="P7713">
            <v>368.79259999999999</v>
          </cell>
        </row>
        <row r="7714">
          <cell r="B7714">
            <v>40491</v>
          </cell>
          <cell r="J7714">
            <v>3809804.3041216834</v>
          </cell>
          <cell r="K7714">
            <v>2.4380000000000002</v>
          </cell>
          <cell r="L7714">
            <v>148835</v>
          </cell>
          <cell r="M7714">
            <v>13229</v>
          </cell>
          <cell r="N7714">
            <v>683926.05601571908</v>
          </cell>
          <cell r="O7714">
            <v>692380.00232629513</v>
          </cell>
          <cell r="P7714">
            <v>368.79259999999999</v>
          </cell>
        </row>
        <row r="7715">
          <cell r="B7715">
            <v>40492</v>
          </cell>
          <cell r="J7715">
            <v>3809804.3041216834</v>
          </cell>
          <cell r="K7715">
            <v>2.4380000000000002</v>
          </cell>
          <cell r="L7715">
            <v>148835</v>
          </cell>
          <cell r="M7715">
            <v>13229</v>
          </cell>
          <cell r="N7715">
            <v>683926.05601571908</v>
          </cell>
          <cell r="O7715">
            <v>692380.00232629513</v>
          </cell>
          <cell r="P7715">
            <v>368.79259999999999</v>
          </cell>
        </row>
        <row r="7716">
          <cell r="B7716">
            <v>40493</v>
          </cell>
          <cell r="J7716">
            <v>3809804.3041216834</v>
          </cell>
          <cell r="K7716">
            <v>2.4380000000000002</v>
          </cell>
          <cell r="L7716">
            <v>148835</v>
          </cell>
          <cell r="M7716">
            <v>13229</v>
          </cell>
          <cell r="N7716">
            <v>683926.05601571908</v>
          </cell>
          <cell r="O7716">
            <v>692380.00232629513</v>
          </cell>
          <cell r="P7716">
            <v>368.79259999999999</v>
          </cell>
        </row>
        <row r="7717">
          <cell r="B7717">
            <v>40494</v>
          </cell>
          <cell r="J7717">
            <v>3809804.3041216834</v>
          </cell>
          <cell r="K7717">
            <v>2.4380000000000002</v>
          </cell>
          <cell r="L7717">
            <v>148835</v>
          </cell>
          <cell r="M7717">
            <v>13229</v>
          </cell>
          <cell r="N7717">
            <v>683926.05601571908</v>
          </cell>
          <cell r="O7717">
            <v>692380.00232629513</v>
          </cell>
          <cell r="P7717">
            <v>368.79259999999999</v>
          </cell>
        </row>
        <row r="7718">
          <cell r="B7718">
            <v>40495</v>
          </cell>
          <cell r="J7718">
            <v>3809804.3041216834</v>
          </cell>
          <cell r="K7718">
            <v>2.4380000000000002</v>
          </cell>
          <cell r="L7718">
            <v>148835</v>
          </cell>
          <cell r="M7718">
            <v>13229</v>
          </cell>
          <cell r="N7718">
            <v>683926.05601571908</v>
          </cell>
          <cell r="O7718">
            <v>692380.00232629513</v>
          </cell>
          <cell r="P7718">
            <v>368.79259999999999</v>
          </cell>
        </row>
        <row r="7719">
          <cell r="B7719">
            <v>40496</v>
          </cell>
          <cell r="J7719">
            <v>3809804.3041216834</v>
          </cell>
          <cell r="K7719">
            <v>2.4380000000000002</v>
          </cell>
          <cell r="L7719">
            <v>148835</v>
          </cell>
          <cell r="M7719">
            <v>13229</v>
          </cell>
          <cell r="N7719">
            <v>683926.05601571908</v>
          </cell>
          <cell r="O7719">
            <v>692380.00232629513</v>
          </cell>
          <cell r="P7719">
            <v>368.79259999999999</v>
          </cell>
        </row>
        <row r="7720">
          <cell r="B7720">
            <v>40497</v>
          </cell>
          <cell r="J7720">
            <v>3809804.3041216834</v>
          </cell>
          <cell r="K7720">
            <v>2.4380000000000002</v>
          </cell>
          <cell r="L7720">
            <v>148835</v>
          </cell>
          <cell r="M7720">
            <v>13229</v>
          </cell>
          <cell r="N7720">
            <v>683926.05601571908</v>
          </cell>
          <cell r="O7720">
            <v>692380.00232629513</v>
          </cell>
          <cell r="P7720">
            <v>368.79259999999999</v>
          </cell>
        </row>
        <row r="7721">
          <cell r="B7721">
            <v>40498</v>
          </cell>
          <cell r="J7721">
            <v>3809804.3041216834</v>
          </cell>
          <cell r="K7721">
            <v>2.4380000000000002</v>
          </cell>
          <cell r="L7721">
            <v>148835</v>
          </cell>
          <cell r="M7721">
            <v>13229</v>
          </cell>
          <cell r="N7721">
            <v>683926.05601571908</v>
          </cell>
          <cell r="O7721">
            <v>692380.00232629513</v>
          </cell>
          <cell r="P7721">
            <v>368.79259999999999</v>
          </cell>
        </row>
        <row r="7722">
          <cell r="B7722">
            <v>40499</v>
          </cell>
          <cell r="J7722">
            <v>3809804.3041216834</v>
          </cell>
          <cell r="K7722">
            <v>2.4380000000000002</v>
          </cell>
          <cell r="L7722">
            <v>148835</v>
          </cell>
          <cell r="M7722">
            <v>13229</v>
          </cell>
          <cell r="N7722">
            <v>683926.05601571908</v>
          </cell>
          <cell r="O7722">
            <v>692380.00232629513</v>
          </cell>
          <cell r="P7722">
            <v>368.79259999999999</v>
          </cell>
        </row>
        <row r="7723">
          <cell r="B7723">
            <v>40500</v>
          </cell>
          <cell r="J7723">
            <v>3809804.3041216834</v>
          </cell>
          <cell r="K7723">
            <v>2.4380000000000002</v>
          </cell>
          <cell r="L7723">
            <v>148835</v>
          </cell>
          <cell r="M7723">
            <v>13229</v>
          </cell>
          <cell r="N7723">
            <v>683926.05601571908</v>
          </cell>
          <cell r="O7723">
            <v>692380.00232629513</v>
          </cell>
          <cell r="P7723">
            <v>368.79259999999999</v>
          </cell>
        </row>
        <row r="7724">
          <cell r="B7724">
            <v>40501</v>
          </cell>
          <cell r="J7724">
            <v>3809804.3041216834</v>
          </cell>
          <cell r="K7724">
            <v>2.4380000000000002</v>
          </cell>
          <cell r="L7724">
            <v>148835</v>
          </cell>
          <cell r="M7724">
            <v>13229</v>
          </cell>
          <cell r="N7724">
            <v>683926.05601571908</v>
          </cell>
          <cell r="O7724">
            <v>692380.00232629513</v>
          </cell>
          <cell r="P7724">
            <v>368.79259999999999</v>
          </cell>
        </row>
        <row r="7725">
          <cell r="B7725">
            <v>40502</v>
          </cell>
          <cell r="J7725">
            <v>3809804.3041216834</v>
          </cell>
          <cell r="K7725">
            <v>2.4380000000000002</v>
          </cell>
          <cell r="L7725">
            <v>148835</v>
          </cell>
          <cell r="M7725">
            <v>13229</v>
          </cell>
          <cell r="N7725">
            <v>683926.05601571908</v>
          </cell>
          <cell r="O7725">
            <v>692380.00232629513</v>
          </cell>
          <cell r="P7725">
            <v>368.79259999999999</v>
          </cell>
        </row>
        <row r="7726">
          <cell r="B7726">
            <v>40503</v>
          </cell>
          <cell r="J7726">
            <v>3809804.3041216834</v>
          </cell>
          <cell r="K7726">
            <v>2.4380000000000002</v>
          </cell>
          <cell r="L7726">
            <v>148835</v>
          </cell>
          <cell r="M7726">
            <v>13229</v>
          </cell>
          <cell r="N7726">
            <v>683926.05601571908</v>
          </cell>
          <cell r="O7726">
            <v>692380.00232629513</v>
          </cell>
          <cell r="P7726">
            <v>368.79259999999999</v>
          </cell>
        </row>
        <row r="7727">
          <cell r="B7727">
            <v>40504</v>
          </cell>
          <cell r="J7727">
            <v>3809804.3041216834</v>
          </cell>
          <cell r="K7727">
            <v>2.4380000000000002</v>
          </cell>
          <cell r="L7727">
            <v>148835</v>
          </cell>
          <cell r="M7727">
            <v>13229</v>
          </cell>
          <cell r="N7727">
            <v>683926.05601571908</v>
          </cell>
          <cell r="O7727">
            <v>692380.00232629513</v>
          </cell>
          <cell r="P7727">
            <v>368.79259999999999</v>
          </cell>
        </row>
        <row r="7728">
          <cell r="B7728">
            <v>40505</v>
          </cell>
          <cell r="J7728">
            <v>3809804.3041216834</v>
          </cell>
          <cell r="K7728">
            <v>2.4380000000000002</v>
          </cell>
          <cell r="L7728">
            <v>148835</v>
          </cell>
          <cell r="M7728">
            <v>13229</v>
          </cell>
          <cell r="N7728">
            <v>683926.05601571908</v>
          </cell>
          <cell r="O7728">
            <v>692380.00232629513</v>
          </cell>
          <cell r="P7728">
            <v>368.79259999999999</v>
          </cell>
        </row>
        <row r="7729">
          <cell r="B7729">
            <v>40506</v>
          </cell>
          <cell r="J7729">
            <v>3809804.3041216834</v>
          </cell>
          <cell r="K7729">
            <v>2.4380000000000002</v>
          </cell>
          <cell r="L7729">
            <v>148835</v>
          </cell>
          <cell r="M7729">
            <v>13229</v>
          </cell>
          <cell r="N7729">
            <v>683926.05601571908</v>
          </cell>
          <cell r="O7729">
            <v>692380.00232629513</v>
          </cell>
          <cell r="P7729">
            <v>368.79259999999999</v>
          </cell>
        </row>
        <row r="7730">
          <cell r="B7730">
            <v>40507</v>
          </cell>
          <cell r="J7730">
            <v>3809804.3041216834</v>
          </cell>
          <cell r="K7730">
            <v>2.4380000000000002</v>
          </cell>
          <cell r="L7730">
            <v>148835</v>
          </cell>
          <cell r="M7730">
            <v>13229</v>
          </cell>
          <cell r="N7730">
            <v>683926.05601571908</v>
          </cell>
          <cell r="O7730">
            <v>692380.00232629513</v>
          </cell>
          <cell r="P7730">
            <v>368.79259999999999</v>
          </cell>
        </row>
        <row r="7731">
          <cell r="B7731">
            <v>40508</v>
          </cell>
          <cell r="J7731">
            <v>3809804.3041216834</v>
          </cell>
          <cell r="K7731">
            <v>2.4380000000000002</v>
          </cell>
          <cell r="L7731">
            <v>148835</v>
          </cell>
          <cell r="M7731">
            <v>13229</v>
          </cell>
          <cell r="N7731">
            <v>683926.05601571908</v>
          </cell>
          <cell r="O7731">
            <v>692380.00232629513</v>
          </cell>
          <cell r="P7731">
            <v>368.79259999999999</v>
          </cell>
        </row>
        <row r="7732">
          <cell r="B7732">
            <v>40509</v>
          </cell>
          <cell r="J7732">
            <v>3809804.3041216834</v>
          </cell>
          <cell r="K7732">
            <v>2.4380000000000002</v>
          </cell>
          <cell r="L7732">
            <v>148835</v>
          </cell>
          <cell r="M7732">
            <v>13229</v>
          </cell>
          <cell r="N7732">
            <v>683926.05601571908</v>
          </cell>
          <cell r="O7732">
            <v>692380.00232629513</v>
          </cell>
          <cell r="P7732">
            <v>368.79259999999999</v>
          </cell>
        </row>
        <row r="7733">
          <cell r="B7733">
            <v>40510</v>
          </cell>
          <cell r="J7733">
            <v>3809804.3041216834</v>
          </cell>
          <cell r="K7733">
            <v>2.4380000000000002</v>
          </cell>
          <cell r="L7733">
            <v>148835</v>
          </cell>
          <cell r="M7733">
            <v>13229</v>
          </cell>
          <cell r="N7733">
            <v>683926.05601571908</v>
          </cell>
          <cell r="O7733">
            <v>692380.00232629513</v>
          </cell>
          <cell r="P7733">
            <v>368.79259999999999</v>
          </cell>
        </row>
        <row r="7734">
          <cell r="B7734">
            <v>40511</v>
          </cell>
          <cell r="J7734">
            <v>3809804.3041216834</v>
          </cell>
          <cell r="K7734">
            <v>2.4380000000000002</v>
          </cell>
          <cell r="L7734">
            <v>148835</v>
          </cell>
          <cell r="M7734">
            <v>13229</v>
          </cell>
          <cell r="N7734">
            <v>683926.05601571908</v>
          </cell>
          <cell r="O7734">
            <v>692380.00232629513</v>
          </cell>
          <cell r="P7734">
            <v>368.79259999999999</v>
          </cell>
        </row>
        <row r="7735">
          <cell r="B7735">
            <v>40512</v>
          </cell>
          <cell r="J7735">
            <v>3809804.3041216834</v>
          </cell>
          <cell r="K7735">
            <v>2.4380000000000002</v>
          </cell>
          <cell r="L7735">
            <v>148835</v>
          </cell>
          <cell r="M7735">
            <v>13229</v>
          </cell>
          <cell r="N7735">
            <v>683926.05601571908</v>
          </cell>
          <cell r="O7735">
            <v>692380.00232629513</v>
          </cell>
          <cell r="P7735">
            <v>368.79259999999999</v>
          </cell>
        </row>
        <row r="7736">
          <cell r="B7736">
            <v>40513</v>
          </cell>
          <cell r="J7736">
            <v>3809804.3041216834</v>
          </cell>
          <cell r="K7736">
            <v>2.4380000000000002</v>
          </cell>
          <cell r="L7736">
            <v>148835</v>
          </cell>
          <cell r="M7736">
            <v>13229</v>
          </cell>
          <cell r="N7736">
            <v>683926.05601571908</v>
          </cell>
          <cell r="O7736">
            <v>692380.00232629513</v>
          </cell>
          <cell r="P7736">
            <v>368.79259999999999</v>
          </cell>
        </row>
        <row r="7737">
          <cell r="B7737">
            <v>40514</v>
          </cell>
          <cell r="J7737">
            <v>3809804.3041216834</v>
          </cell>
          <cell r="K7737">
            <v>2.4380000000000002</v>
          </cell>
          <cell r="L7737">
            <v>148835</v>
          </cell>
          <cell r="M7737">
            <v>13229</v>
          </cell>
          <cell r="N7737">
            <v>683926.05601571908</v>
          </cell>
          <cell r="O7737">
            <v>692380.00232629513</v>
          </cell>
          <cell r="P7737">
            <v>368.79259999999999</v>
          </cell>
        </row>
        <row r="7738">
          <cell r="B7738">
            <v>40515</v>
          </cell>
          <cell r="J7738">
            <v>3809804.3041216834</v>
          </cell>
          <cell r="K7738">
            <v>2.4380000000000002</v>
          </cell>
          <cell r="L7738">
            <v>148835</v>
          </cell>
          <cell r="M7738">
            <v>13229</v>
          </cell>
          <cell r="N7738">
            <v>683926.05601571908</v>
          </cell>
          <cell r="O7738">
            <v>692380.00232629513</v>
          </cell>
          <cell r="P7738">
            <v>368.79259999999999</v>
          </cell>
        </row>
        <row r="7739">
          <cell r="B7739">
            <v>40516</v>
          </cell>
          <cell r="J7739">
            <v>3809804.3041216834</v>
          </cell>
          <cell r="K7739">
            <v>2.4380000000000002</v>
          </cell>
          <cell r="L7739">
            <v>148835</v>
          </cell>
          <cell r="M7739">
            <v>13229</v>
          </cell>
          <cell r="N7739">
            <v>683926.05601571908</v>
          </cell>
          <cell r="O7739">
            <v>692380.00232629513</v>
          </cell>
          <cell r="P7739">
            <v>368.79259999999999</v>
          </cell>
        </row>
        <row r="7740">
          <cell r="B7740">
            <v>40517</v>
          </cell>
          <cell r="J7740">
            <v>3809804.3041216834</v>
          </cell>
          <cell r="K7740">
            <v>2.4380000000000002</v>
          </cell>
          <cell r="L7740">
            <v>148835</v>
          </cell>
          <cell r="M7740">
            <v>13229</v>
          </cell>
          <cell r="N7740">
            <v>683926.05601571908</v>
          </cell>
          <cell r="O7740">
            <v>692380.00232629513</v>
          </cell>
          <cell r="P7740">
            <v>368.79259999999999</v>
          </cell>
        </row>
        <row r="7741">
          <cell r="B7741">
            <v>40518</v>
          </cell>
          <cell r="J7741">
            <v>3809804.3041216834</v>
          </cell>
          <cell r="K7741">
            <v>2.4380000000000002</v>
          </cell>
          <cell r="L7741">
            <v>148835</v>
          </cell>
          <cell r="M7741">
            <v>13229</v>
          </cell>
          <cell r="N7741">
            <v>683926.05601571908</v>
          </cell>
          <cell r="O7741">
            <v>692380.00232629513</v>
          </cell>
          <cell r="P7741">
            <v>368.79259999999999</v>
          </cell>
        </row>
        <row r="7742">
          <cell r="B7742">
            <v>40519</v>
          </cell>
          <cell r="J7742">
            <v>3809804.3041216834</v>
          </cell>
          <cell r="K7742">
            <v>2.4380000000000002</v>
          </cell>
          <cell r="L7742">
            <v>148835</v>
          </cell>
          <cell r="M7742">
            <v>13229</v>
          </cell>
          <cell r="N7742">
            <v>683926.05601571908</v>
          </cell>
          <cell r="O7742">
            <v>692380.00232629513</v>
          </cell>
          <cell r="P7742">
            <v>368.79259999999999</v>
          </cell>
        </row>
        <row r="7743">
          <cell r="B7743">
            <v>40520</v>
          </cell>
          <cell r="J7743">
            <v>3809804.3041216834</v>
          </cell>
          <cell r="K7743">
            <v>2.4380000000000002</v>
          </cell>
          <cell r="L7743">
            <v>148835</v>
          </cell>
          <cell r="M7743">
            <v>13229</v>
          </cell>
          <cell r="N7743">
            <v>683926.05601571908</v>
          </cell>
          <cell r="O7743">
            <v>692380.00232629513</v>
          </cell>
          <cell r="P7743">
            <v>368.79259999999999</v>
          </cell>
        </row>
        <row r="7744">
          <cell r="B7744">
            <v>40521</v>
          </cell>
          <cell r="J7744">
            <v>3809804.3041216834</v>
          </cell>
          <cell r="K7744">
            <v>2.4380000000000002</v>
          </cell>
          <cell r="L7744">
            <v>148835</v>
          </cell>
          <cell r="M7744">
            <v>13229</v>
          </cell>
          <cell r="N7744">
            <v>683926.05601571908</v>
          </cell>
          <cell r="O7744">
            <v>692380.00232629513</v>
          </cell>
          <cell r="P7744">
            <v>368.79259999999999</v>
          </cell>
        </row>
        <row r="7745">
          <cell r="B7745">
            <v>40522</v>
          </cell>
          <cell r="J7745">
            <v>3809804.3041216834</v>
          </cell>
          <cell r="K7745">
            <v>2.4380000000000002</v>
          </cell>
          <cell r="L7745">
            <v>148835</v>
          </cell>
          <cell r="M7745">
            <v>13229</v>
          </cell>
          <cell r="N7745">
            <v>683926.05601571908</v>
          </cell>
          <cell r="O7745">
            <v>692380.00232629513</v>
          </cell>
          <cell r="P7745">
            <v>368.79259999999999</v>
          </cell>
        </row>
        <row r="7746">
          <cell r="B7746">
            <v>40523</v>
          </cell>
          <cell r="J7746">
            <v>3809804.3041216834</v>
          </cell>
          <cell r="K7746">
            <v>2.4380000000000002</v>
          </cell>
          <cell r="L7746">
            <v>148835</v>
          </cell>
          <cell r="M7746">
            <v>13229</v>
          </cell>
          <cell r="N7746">
            <v>683926.05601571908</v>
          </cell>
          <cell r="O7746">
            <v>692380.00232629513</v>
          </cell>
          <cell r="P7746">
            <v>368.79259999999999</v>
          </cell>
        </row>
        <row r="7747">
          <cell r="B7747">
            <v>40524</v>
          </cell>
          <cell r="J7747">
            <v>3809804.3041216834</v>
          </cell>
          <cell r="K7747">
            <v>2.4380000000000002</v>
          </cell>
          <cell r="L7747">
            <v>148835</v>
          </cell>
          <cell r="M7747">
            <v>13229</v>
          </cell>
          <cell r="N7747">
            <v>683926.05601571908</v>
          </cell>
          <cell r="O7747">
            <v>692380.00232629513</v>
          </cell>
          <cell r="P7747">
            <v>368.79259999999999</v>
          </cell>
        </row>
        <row r="7748">
          <cell r="B7748">
            <v>40525</v>
          </cell>
          <cell r="J7748">
            <v>3809804.3041216834</v>
          </cell>
          <cell r="K7748">
            <v>2.4380000000000002</v>
          </cell>
          <cell r="L7748">
            <v>148835</v>
          </cell>
          <cell r="M7748">
            <v>13229</v>
          </cell>
          <cell r="N7748">
            <v>683926.05601571908</v>
          </cell>
          <cell r="O7748">
            <v>692380.00232629513</v>
          </cell>
          <cell r="P7748">
            <v>368.79259999999999</v>
          </cell>
        </row>
        <row r="7749">
          <cell r="B7749">
            <v>40526</v>
          </cell>
          <cell r="J7749">
            <v>3809804.3041216834</v>
          </cell>
          <cell r="K7749">
            <v>2.4380000000000002</v>
          </cell>
          <cell r="L7749">
            <v>148835</v>
          </cell>
          <cell r="M7749">
            <v>13229</v>
          </cell>
          <cell r="N7749">
            <v>683926.05601571908</v>
          </cell>
          <cell r="O7749">
            <v>692380.00232629513</v>
          </cell>
          <cell r="P7749">
            <v>368.79259999999999</v>
          </cell>
        </row>
        <row r="7750">
          <cell r="B7750">
            <v>40527</v>
          </cell>
          <cell r="J7750">
            <v>3809804.3041216834</v>
          </cell>
          <cell r="K7750">
            <v>2.4380000000000002</v>
          </cell>
          <cell r="L7750">
            <v>148835</v>
          </cell>
          <cell r="M7750">
            <v>13229</v>
          </cell>
          <cell r="N7750">
            <v>683926.05601571908</v>
          </cell>
          <cell r="O7750">
            <v>692380.00232629513</v>
          </cell>
          <cell r="P7750">
            <v>368.79259999999999</v>
          </cell>
        </row>
        <row r="7751">
          <cell r="B7751">
            <v>40528</v>
          </cell>
          <cell r="J7751">
            <v>3809804.3041216834</v>
          </cell>
          <cell r="K7751">
            <v>2.4380000000000002</v>
          </cell>
          <cell r="L7751">
            <v>148835</v>
          </cell>
          <cell r="M7751">
            <v>13229</v>
          </cell>
          <cell r="N7751">
            <v>683926.05601571908</v>
          </cell>
          <cell r="O7751">
            <v>692380.00232629513</v>
          </cell>
          <cell r="P7751">
            <v>368.79259999999999</v>
          </cell>
        </row>
        <row r="7752">
          <cell r="B7752">
            <v>40529</v>
          </cell>
          <cell r="J7752">
            <v>3809804.3041216834</v>
          </cell>
          <cell r="K7752">
            <v>2.4380000000000002</v>
          </cell>
          <cell r="L7752">
            <v>148835</v>
          </cell>
          <cell r="M7752">
            <v>13229</v>
          </cell>
          <cell r="N7752">
            <v>683926.05601571908</v>
          </cell>
          <cell r="O7752">
            <v>692380.00232629513</v>
          </cell>
          <cell r="P7752">
            <v>368.79259999999999</v>
          </cell>
        </row>
        <row r="7753">
          <cell r="B7753">
            <v>40530</v>
          </cell>
          <cell r="J7753">
            <v>3809804.3041216834</v>
          </cell>
          <cell r="K7753">
            <v>2.4380000000000002</v>
          </cell>
          <cell r="L7753">
            <v>148835</v>
          </cell>
          <cell r="M7753">
            <v>13229</v>
          </cell>
          <cell r="N7753">
            <v>683926.05601571908</v>
          </cell>
          <cell r="O7753">
            <v>692380.00232629513</v>
          </cell>
          <cell r="P7753">
            <v>368.79259999999999</v>
          </cell>
        </row>
        <row r="7754">
          <cell r="B7754">
            <v>40531</v>
          </cell>
          <cell r="J7754">
            <v>3809804.3041216834</v>
          </cell>
          <cell r="K7754">
            <v>2.4380000000000002</v>
          </cell>
          <cell r="L7754">
            <v>148835</v>
          </cell>
          <cell r="M7754">
            <v>13229</v>
          </cell>
          <cell r="N7754">
            <v>683926.05601571908</v>
          </cell>
          <cell r="O7754">
            <v>692380.00232629513</v>
          </cell>
          <cell r="P7754">
            <v>368.79259999999999</v>
          </cell>
        </row>
        <row r="7755">
          <cell r="B7755">
            <v>40532</v>
          </cell>
          <cell r="J7755">
            <v>3809804.3041216834</v>
          </cell>
          <cell r="K7755">
            <v>2.4380000000000002</v>
          </cell>
          <cell r="L7755">
            <v>148835</v>
          </cell>
          <cell r="M7755">
            <v>13229</v>
          </cell>
          <cell r="N7755">
            <v>683926.05601571908</v>
          </cell>
          <cell r="O7755">
            <v>692380.00232629513</v>
          </cell>
          <cell r="P7755">
            <v>368.79259999999999</v>
          </cell>
        </row>
        <row r="7756">
          <cell r="B7756">
            <v>40533</v>
          </cell>
          <cell r="J7756">
            <v>3809804.3041216834</v>
          </cell>
          <cell r="K7756">
            <v>2.4380000000000002</v>
          </cell>
          <cell r="L7756">
            <v>148835</v>
          </cell>
          <cell r="M7756">
            <v>13229</v>
          </cell>
          <cell r="N7756">
            <v>683926.05601571908</v>
          </cell>
          <cell r="O7756">
            <v>692380.00232629513</v>
          </cell>
          <cell r="P7756">
            <v>368.79259999999999</v>
          </cell>
        </row>
        <row r="7757">
          <cell r="B7757">
            <v>40534</v>
          </cell>
          <cell r="J7757">
            <v>3809804.3041216834</v>
          </cell>
          <cell r="K7757">
            <v>2.4380000000000002</v>
          </cell>
          <cell r="L7757">
            <v>148835</v>
          </cell>
          <cell r="M7757">
            <v>13229</v>
          </cell>
          <cell r="N7757">
            <v>683926.05601571908</v>
          </cell>
          <cell r="O7757">
            <v>692380.00232629513</v>
          </cell>
          <cell r="P7757">
            <v>368.79259999999999</v>
          </cell>
        </row>
        <row r="7758">
          <cell r="B7758">
            <v>40535</v>
          </cell>
          <cell r="J7758">
            <v>3809804.3041216834</v>
          </cell>
          <cell r="K7758">
            <v>2.4380000000000002</v>
          </cell>
          <cell r="L7758">
            <v>148835</v>
          </cell>
          <cell r="M7758">
            <v>13229</v>
          </cell>
          <cell r="N7758">
            <v>683926.05601571908</v>
          </cell>
          <cell r="O7758">
            <v>692380.00232629513</v>
          </cell>
          <cell r="P7758">
            <v>368.79259999999999</v>
          </cell>
        </row>
        <row r="7759">
          <cell r="B7759">
            <v>40536</v>
          </cell>
          <cell r="J7759">
            <v>3809804.3041216834</v>
          </cell>
          <cell r="K7759">
            <v>2.4380000000000002</v>
          </cell>
          <cell r="L7759">
            <v>148835</v>
          </cell>
          <cell r="M7759">
            <v>13229</v>
          </cell>
          <cell r="N7759">
            <v>683926.05601571908</v>
          </cell>
          <cell r="O7759">
            <v>692380.00232629513</v>
          </cell>
          <cell r="P7759">
            <v>368.79259999999999</v>
          </cell>
        </row>
        <row r="7760">
          <cell r="B7760">
            <v>40537</v>
          </cell>
          <cell r="J7760">
            <v>3809804.3041216834</v>
          </cell>
          <cell r="K7760">
            <v>2.4380000000000002</v>
          </cell>
          <cell r="L7760">
            <v>148835</v>
          </cell>
          <cell r="M7760">
            <v>13229</v>
          </cell>
          <cell r="N7760">
            <v>683926.05601571908</v>
          </cell>
          <cell r="O7760">
            <v>692380.00232629513</v>
          </cell>
          <cell r="P7760">
            <v>368.79259999999999</v>
          </cell>
        </row>
        <row r="7761">
          <cell r="B7761">
            <v>40538</v>
          </cell>
          <cell r="J7761">
            <v>3809804.3041216834</v>
          </cell>
          <cell r="K7761">
            <v>2.4380000000000002</v>
          </cell>
          <cell r="L7761">
            <v>148835</v>
          </cell>
          <cell r="M7761">
            <v>13229</v>
          </cell>
          <cell r="N7761">
            <v>683926.05601571908</v>
          </cell>
          <cell r="O7761">
            <v>692380.00232629513</v>
          </cell>
          <cell r="P7761">
            <v>368.79259999999999</v>
          </cell>
        </row>
        <row r="7762">
          <cell r="B7762">
            <v>40539</v>
          </cell>
          <cell r="J7762">
            <v>3809804.3041216834</v>
          </cell>
          <cell r="K7762">
            <v>2.4380000000000002</v>
          </cell>
          <cell r="L7762">
            <v>148835</v>
          </cell>
          <cell r="M7762">
            <v>13229</v>
          </cell>
          <cell r="N7762">
            <v>683926.05601571908</v>
          </cell>
          <cell r="O7762">
            <v>692380.00232629513</v>
          </cell>
          <cell r="P7762">
            <v>368.79259999999999</v>
          </cell>
        </row>
        <row r="7763">
          <cell r="B7763">
            <v>40540</v>
          </cell>
          <cell r="J7763">
            <v>3809804.3041216834</v>
          </cell>
          <cell r="K7763">
            <v>2.4380000000000002</v>
          </cell>
          <cell r="L7763">
            <v>148835</v>
          </cell>
          <cell r="M7763">
            <v>13229</v>
          </cell>
          <cell r="N7763">
            <v>683926.05601571908</v>
          </cell>
          <cell r="O7763">
            <v>692380.00232629513</v>
          </cell>
          <cell r="P7763">
            <v>368.79259999999999</v>
          </cell>
        </row>
        <row r="7764">
          <cell r="B7764">
            <v>40541</v>
          </cell>
          <cell r="J7764">
            <v>3809804.3041216834</v>
          </cell>
          <cell r="K7764">
            <v>2.4380000000000002</v>
          </cell>
          <cell r="L7764">
            <v>148835</v>
          </cell>
          <cell r="M7764">
            <v>13229</v>
          </cell>
          <cell r="N7764">
            <v>683926.05601571908</v>
          </cell>
          <cell r="O7764">
            <v>692380.00232629513</v>
          </cell>
          <cell r="P7764">
            <v>368.79259999999999</v>
          </cell>
        </row>
        <row r="7765">
          <cell r="B7765">
            <v>40542</v>
          </cell>
          <cell r="J7765">
            <v>3809804.3041216834</v>
          </cell>
          <cell r="K7765">
            <v>2.4380000000000002</v>
          </cell>
          <cell r="L7765">
            <v>148835</v>
          </cell>
          <cell r="M7765">
            <v>13229</v>
          </cell>
          <cell r="N7765">
            <v>683926.05601571908</v>
          </cell>
          <cell r="O7765">
            <v>692380.00232629513</v>
          </cell>
          <cell r="P7765">
            <v>368.79259999999999</v>
          </cell>
        </row>
        <row r="7766">
          <cell r="B7766">
            <v>40543</v>
          </cell>
          <cell r="J7766">
            <v>3809804.3041216834</v>
          </cell>
          <cell r="K7766">
            <v>2.4380000000000002</v>
          </cell>
          <cell r="L7766">
            <v>148835</v>
          </cell>
          <cell r="M7766">
            <v>13229</v>
          </cell>
          <cell r="N7766">
            <v>683926.05601571908</v>
          </cell>
          <cell r="O7766">
            <v>692380.00232629513</v>
          </cell>
          <cell r="P7766">
            <v>368.79259999999999</v>
          </cell>
        </row>
        <row r="7767">
          <cell r="B7767">
            <v>40544</v>
          </cell>
          <cell r="J7767">
            <v>3809804.3041216834</v>
          </cell>
          <cell r="K7767">
            <v>2.4380000000000002</v>
          </cell>
          <cell r="L7767">
            <v>148835</v>
          </cell>
          <cell r="M7767">
            <v>13229</v>
          </cell>
          <cell r="N7767">
            <v>683926.05601571908</v>
          </cell>
          <cell r="O7767">
            <v>692380.00232629513</v>
          </cell>
          <cell r="P7767">
            <v>368.79259999999999</v>
          </cell>
        </row>
        <row r="7768">
          <cell r="B7768">
            <v>40545</v>
          </cell>
          <cell r="J7768">
            <v>3809804.3041216834</v>
          </cell>
          <cell r="K7768">
            <v>2.4380000000000002</v>
          </cell>
          <cell r="L7768">
            <v>148835</v>
          </cell>
          <cell r="M7768">
            <v>13229</v>
          </cell>
          <cell r="N7768">
            <v>683926.05601571908</v>
          </cell>
          <cell r="O7768">
            <v>692380.00232629513</v>
          </cell>
          <cell r="P7768">
            <v>368.79259999999999</v>
          </cell>
        </row>
        <row r="7769">
          <cell r="B7769">
            <v>40546</v>
          </cell>
          <cell r="J7769">
            <v>3809804.3041216834</v>
          </cell>
          <cell r="K7769">
            <v>2.4380000000000002</v>
          </cell>
          <cell r="L7769">
            <v>148835</v>
          </cell>
          <cell r="M7769">
            <v>13229</v>
          </cell>
          <cell r="N7769">
            <v>683926.05601571908</v>
          </cell>
          <cell r="O7769">
            <v>692380.00232629513</v>
          </cell>
          <cell r="P7769">
            <v>368.79259999999999</v>
          </cell>
        </row>
        <row r="7770">
          <cell r="B7770">
            <v>40547</v>
          </cell>
          <cell r="J7770">
            <v>3809804.3041216834</v>
          </cell>
          <cell r="K7770">
            <v>2.4380000000000002</v>
          </cell>
          <cell r="L7770">
            <v>148835</v>
          </cell>
          <cell r="M7770">
            <v>13229</v>
          </cell>
          <cell r="N7770">
            <v>683926.05601571908</v>
          </cell>
          <cell r="O7770">
            <v>692380.00232629513</v>
          </cell>
          <cell r="P7770">
            <v>368.79259999999999</v>
          </cell>
        </row>
        <row r="7771">
          <cell r="B7771">
            <v>40548</v>
          </cell>
          <cell r="J7771">
            <v>3809804.3041216834</v>
          </cell>
          <cell r="K7771">
            <v>2.4380000000000002</v>
          </cell>
          <cell r="L7771">
            <v>148835</v>
          </cell>
          <cell r="M7771">
            <v>13229</v>
          </cell>
          <cell r="N7771">
            <v>683926.05601571908</v>
          </cell>
          <cell r="O7771">
            <v>692380.00232629513</v>
          </cell>
          <cell r="P7771">
            <v>368.79259999999999</v>
          </cell>
        </row>
        <row r="7772">
          <cell r="B7772">
            <v>40549</v>
          </cell>
          <cell r="J7772">
            <v>3809804.3041216834</v>
          </cell>
          <cell r="K7772">
            <v>2.4380000000000002</v>
          </cell>
          <cell r="L7772">
            <v>148835</v>
          </cell>
          <cell r="M7772">
            <v>13229</v>
          </cell>
          <cell r="N7772">
            <v>683926.05601571908</v>
          </cell>
          <cell r="O7772">
            <v>692380.00232629513</v>
          </cell>
          <cell r="P7772">
            <v>368.79259999999999</v>
          </cell>
        </row>
        <row r="7773">
          <cell r="B7773">
            <v>40550</v>
          </cell>
          <cell r="J7773">
            <v>3809804.3041216834</v>
          </cell>
          <cell r="K7773">
            <v>2.4380000000000002</v>
          </cell>
          <cell r="L7773">
            <v>148835</v>
          </cell>
          <cell r="M7773">
            <v>13229</v>
          </cell>
          <cell r="N7773">
            <v>683926.05601571908</v>
          </cell>
          <cell r="O7773">
            <v>692380.00232629513</v>
          </cell>
          <cell r="P7773">
            <v>368.79259999999999</v>
          </cell>
        </row>
        <row r="7774">
          <cell r="B7774">
            <v>40551</v>
          </cell>
          <cell r="J7774">
            <v>3809804.3041216834</v>
          </cell>
          <cell r="K7774">
            <v>2.4380000000000002</v>
          </cell>
          <cell r="L7774">
            <v>148835</v>
          </cell>
          <cell r="M7774">
            <v>13229</v>
          </cell>
          <cell r="N7774">
            <v>683926.05601571908</v>
          </cell>
          <cell r="O7774">
            <v>692380.00232629513</v>
          </cell>
          <cell r="P7774">
            <v>368.79259999999999</v>
          </cell>
        </row>
        <row r="7775">
          <cell r="B7775">
            <v>40552</v>
          </cell>
          <cell r="J7775">
            <v>3809804.3041216834</v>
          </cell>
          <cell r="K7775">
            <v>2.4380000000000002</v>
          </cell>
          <cell r="L7775">
            <v>148835</v>
          </cell>
          <cell r="M7775">
            <v>13229</v>
          </cell>
          <cell r="N7775">
            <v>683926.05601571908</v>
          </cell>
          <cell r="O7775">
            <v>692380.00232629513</v>
          </cell>
          <cell r="P7775">
            <v>368.79259999999999</v>
          </cell>
        </row>
        <row r="7776">
          <cell r="B7776">
            <v>40553</v>
          </cell>
          <cell r="J7776">
            <v>3809804.3041216834</v>
          </cell>
          <cell r="K7776">
            <v>2.4380000000000002</v>
          </cell>
          <cell r="L7776">
            <v>148835</v>
          </cell>
          <cell r="M7776">
            <v>13229</v>
          </cell>
          <cell r="N7776">
            <v>683926.05601571908</v>
          </cell>
          <cell r="O7776">
            <v>692380.00232629513</v>
          </cell>
          <cell r="P7776">
            <v>368.79259999999999</v>
          </cell>
        </row>
        <row r="7777">
          <cell r="B7777">
            <v>40554</v>
          </cell>
          <cell r="J7777">
            <v>3809804.3041216834</v>
          </cell>
          <cell r="K7777">
            <v>2.4380000000000002</v>
          </cell>
          <cell r="L7777">
            <v>148835</v>
          </cell>
          <cell r="M7777">
            <v>13229</v>
          </cell>
          <cell r="N7777">
            <v>683926.05601571908</v>
          </cell>
          <cell r="O7777">
            <v>692380.00232629513</v>
          </cell>
          <cell r="P7777">
            <v>368.79259999999999</v>
          </cell>
        </row>
        <row r="7778">
          <cell r="B7778">
            <v>40555</v>
          </cell>
          <cell r="J7778">
            <v>3809804.3041216834</v>
          </cell>
          <cell r="K7778">
            <v>2.4380000000000002</v>
          </cell>
          <cell r="L7778">
            <v>148835</v>
          </cell>
          <cell r="M7778">
            <v>13229</v>
          </cell>
          <cell r="N7778">
            <v>683926.05601571908</v>
          </cell>
          <cell r="O7778">
            <v>692380.00232629513</v>
          </cell>
          <cell r="P7778">
            <v>368.79259999999999</v>
          </cell>
        </row>
        <row r="7779">
          <cell r="B7779">
            <v>40556</v>
          </cell>
          <cell r="J7779">
            <v>3809804.3041216834</v>
          </cell>
          <cell r="K7779">
            <v>2.4380000000000002</v>
          </cell>
          <cell r="L7779">
            <v>148835</v>
          </cell>
          <cell r="M7779">
            <v>13229</v>
          </cell>
          <cell r="N7779">
            <v>683926.05601571908</v>
          </cell>
          <cell r="O7779">
            <v>692380.00232629513</v>
          </cell>
          <cell r="P7779">
            <v>368.79259999999999</v>
          </cell>
        </row>
        <row r="7780">
          <cell r="B7780">
            <v>40557</v>
          </cell>
          <cell r="J7780">
            <v>3809804.3041216834</v>
          </cell>
          <cell r="K7780">
            <v>2.4380000000000002</v>
          </cell>
          <cell r="L7780">
            <v>148835</v>
          </cell>
          <cell r="M7780">
            <v>13229</v>
          </cell>
          <cell r="N7780">
            <v>683926.05601571908</v>
          </cell>
          <cell r="O7780">
            <v>692380.00232629513</v>
          </cell>
          <cell r="P7780">
            <v>368.79259999999999</v>
          </cell>
        </row>
        <row r="7781">
          <cell r="B7781">
            <v>40558</v>
          </cell>
          <cell r="J7781">
            <v>3809804.3041216834</v>
          </cell>
          <cell r="K7781">
            <v>2.4380000000000002</v>
          </cell>
          <cell r="L7781">
            <v>148835</v>
          </cell>
          <cell r="M7781">
            <v>13229</v>
          </cell>
          <cell r="N7781">
            <v>683926.05601571908</v>
          </cell>
          <cell r="O7781">
            <v>692380.00232629513</v>
          </cell>
          <cell r="P7781">
            <v>368.79259999999999</v>
          </cell>
        </row>
        <row r="7782">
          <cell r="B7782">
            <v>40559</v>
          </cell>
          <cell r="J7782">
            <v>3809804.3041216834</v>
          </cell>
          <cell r="K7782">
            <v>2.4380000000000002</v>
          </cell>
          <cell r="L7782">
            <v>148835</v>
          </cell>
          <cell r="M7782">
            <v>13229</v>
          </cell>
          <cell r="N7782">
            <v>683926.05601571908</v>
          </cell>
          <cell r="O7782">
            <v>692380.00232629513</v>
          </cell>
          <cell r="P7782">
            <v>368.79259999999999</v>
          </cell>
        </row>
        <row r="7783">
          <cell r="B7783">
            <v>40560</v>
          </cell>
          <cell r="J7783">
            <v>3809804.3041216834</v>
          </cell>
          <cell r="K7783">
            <v>2.4380000000000002</v>
          </cell>
          <cell r="L7783">
            <v>148835</v>
          </cell>
          <cell r="M7783">
            <v>13229</v>
          </cell>
          <cell r="N7783">
            <v>683926.05601571908</v>
          </cell>
          <cell r="O7783">
            <v>692380.00232629513</v>
          </cell>
          <cell r="P7783">
            <v>368.79259999999999</v>
          </cell>
        </row>
        <row r="7784">
          <cell r="B7784">
            <v>40561</v>
          </cell>
          <cell r="J7784">
            <v>3809804.3041216834</v>
          </cell>
          <cell r="K7784">
            <v>2.4380000000000002</v>
          </cell>
          <cell r="L7784">
            <v>148835</v>
          </cell>
          <cell r="M7784">
            <v>13229</v>
          </cell>
          <cell r="N7784">
            <v>683926.05601571908</v>
          </cell>
          <cell r="O7784">
            <v>692380.00232629513</v>
          </cell>
          <cell r="P7784">
            <v>368.79259999999999</v>
          </cell>
        </row>
        <row r="7785">
          <cell r="B7785">
            <v>40562</v>
          </cell>
          <cell r="J7785">
            <v>3809804.3041216834</v>
          </cell>
          <cell r="K7785">
            <v>2.4380000000000002</v>
          </cell>
          <cell r="L7785">
            <v>148835</v>
          </cell>
          <cell r="M7785">
            <v>13229</v>
          </cell>
          <cell r="N7785">
            <v>683926.05601571908</v>
          </cell>
          <cell r="O7785">
            <v>692380.00232629513</v>
          </cell>
          <cell r="P7785">
            <v>368.79259999999999</v>
          </cell>
        </row>
        <row r="7786">
          <cell r="B7786">
            <v>40563</v>
          </cell>
          <cell r="J7786">
            <v>3809804.3041216834</v>
          </cell>
          <cell r="K7786">
            <v>2.4380000000000002</v>
          </cell>
          <cell r="L7786">
            <v>148835</v>
          </cell>
          <cell r="M7786">
            <v>13229</v>
          </cell>
          <cell r="N7786">
            <v>683926.05601571908</v>
          </cell>
          <cell r="O7786">
            <v>692380.00232629513</v>
          </cell>
          <cell r="P7786">
            <v>368.79259999999999</v>
          </cell>
        </row>
        <row r="7787">
          <cell r="B7787">
            <v>40564</v>
          </cell>
          <cell r="J7787">
            <v>3809804.3041216834</v>
          </cell>
          <cell r="K7787">
            <v>2.4380000000000002</v>
          </cell>
          <cell r="L7787">
            <v>148835</v>
          </cell>
          <cell r="M7787">
            <v>13229</v>
          </cell>
          <cell r="N7787">
            <v>683926.05601571908</v>
          </cell>
          <cell r="O7787">
            <v>692380.00232629513</v>
          </cell>
          <cell r="P7787">
            <v>368.79259999999999</v>
          </cell>
        </row>
        <row r="7788">
          <cell r="B7788">
            <v>40565</v>
          </cell>
          <cell r="J7788">
            <v>3809804.3041216834</v>
          </cell>
          <cell r="K7788">
            <v>2.4380000000000002</v>
          </cell>
          <cell r="L7788">
            <v>148835</v>
          </cell>
          <cell r="M7788">
            <v>13229</v>
          </cell>
          <cell r="N7788">
            <v>683926.05601571908</v>
          </cell>
          <cell r="O7788">
            <v>692380.00232629513</v>
          </cell>
          <cell r="P7788">
            <v>368.79259999999999</v>
          </cell>
        </row>
        <row r="7789">
          <cell r="B7789">
            <v>40566</v>
          </cell>
          <cell r="J7789">
            <v>3809804.3041216834</v>
          </cell>
          <cell r="K7789">
            <v>2.4380000000000002</v>
          </cell>
          <cell r="L7789">
            <v>148835</v>
          </cell>
          <cell r="M7789">
            <v>13229</v>
          </cell>
          <cell r="N7789">
            <v>683926.05601571908</v>
          </cell>
          <cell r="O7789">
            <v>692380.00232629513</v>
          </cell>
          <cell r="P7789">
            <v>368.79259999999999</v>
          </cell>
        </row>
        <row r="7790">
          <cell r="B7790">
            <v>40567</v>
          </cell>
          <cell r="J7790">
            <v>3809804.3041216834</v>
          </cell>
          <cell r="K7790">
            <v>2.4380000000000002</v>
          </cell>
          <cell r="L7790">
            <v>148835</v>
          </cell>
          <cell r="M7790">
            <v>13229</v>
          </cell>
          <cell r="N7790">
            <v>683926.05601571908</v>
          </cell>
          <cell r="O7790">
            <v>692380.00232629513</v>
          </cell>
          <cell r="P7790">
            <v>368.79259999999999</v>
          </cell>
        </row>
        <row r="7791">
          <cell r="B7791">
            <v>40568</v>
          </cell>
          <cell r="J7791">
            <v>3809804.3041216834</v>
          </cell>
          <cell r="K7791">
            <v>2.4380000000000002</v>
          </cell>
          <cell r="L7791">
            <v>148835</v>
          </cell>
          <cell r="M7791">
            <v>13229</v>
          </cell>
          <cell r="N7791">
            <v>683926.05601571908</v>
          </cell>
          <cell r="O7791">
            <v>692380.00232629513</v>
          </cell>
          <cell r="P7791">
            <v>368.79259999999999</v>
          </cell>
        </row>
        <row r="7792">
          <cell r="B7792">
            <v>40569</v>
          </cell>
          <cell r="J7792">
            <v>3809804.3041216834</v>
          </cell>
          <cell r="K7792">
            <v>2.4380000000000002</v>
          </cell>
          <cell r="L7792">
            <v>148835</v>
          </cell>
          <cell r="M7792">
            <v>13229</v>
          </cell>
          <cell r="N7792">
            <v>683926.05601571908</v>
          </cell>
          <cell r="O7792">
            <v>692380.00232629513</v>
          </cell>
          <cell r="P7792">
            <v>368.79259999999999</v>
          </cell>
        </row>
        <row r="7793">
          <cell r="B7793">
            <v>40570</v>
          </cell>
          <cell r="J7793">
            <v>3809804.3041216834</v>
          </cell>
          <cell r="K7793">
            <v>2.4380000000000002</v>
          </cell>
          <cell r="L7793">
            <v>148835</v>
          </cell>
          <cell r="M7793">
            <v>13229</v>
          </cell>
          <cell r="N7793">
            <v>683926.05601571908</v>
          </cell>
          <cell r="O7793">
            <v>692380.00232629513</v>
          </cell>
          <cell r="P7793">
            <v>368.79259999999999</v>
          </cell>
        </row>
        <row r="7794">
          <cell r="B7794">
            <v>40571</v>
          </cell>
          <cell r="J7794">
            <v>3809804.3041216834</v>
          </cell>
          <cell r="K7794">
            <v>2.4380000000000002</v>
          </cell>
          <cell r="L7794">
            <v>148835</v>
          </cell>
          <cell r="M7794">
            <v>13229</v>
          </cell>
          <cell r="N7794">
            <v>683926.05601571908</v>
          </cell>
          <cell r="O7794">
            <v>692380.00232629513</v>
          </cell>
          <cell r="P7794">
            <v>368.79259999999999</v>
          </cell>
        </row>
        <row r="7795">
          <cell r="B7795">
            <v>40572</v>
          </cell>
          <cell r="J7795">
            <v>3809804.3041216834</v>
          </cell>
          <cell r="K7795">
            <v>2.4380000000000002</v>
          </cell>
          <cell r="L7795">
            <v>148835</v>
          </cell>
          <cell r="M7795">
            <v>13229</v>
          </cell>
          <cell r="N7795">
            <v>683926.05601571908</v>
          </cell>
          <cell r="O7795">
            <v>692380.00232629513</v>
          </cell>
          <cell r="P7795">
            <v>368.79259999999999</v>
          </cell>
        </row>
        <row r="7796">
          <cell r="B7796">
            <v>40573</v>
          </cell>
          <cell r="J7796">
            <v>3809804.3041216834</v>
          </cell>
          <cell r="K7796">
            <v>2.4380000000000002</v>
          </cell>
          <cell r="L7796">
            <v>148835</v>
          </cell>
          <cell r="M7796">
            <v>13229</v>
          </cell>
          <cell r="N7796">
            <v>683926.05601571908</v>
          </cell>
          <cell r="O7796">
            <v>692380.00232629513</v>
          </cell>
          <cell r="P7796">
            <v>368.79259999999999</v>
          </cell>
        </row>
        <row r="7797">
          <cell r="B7797">
            <v>40574</v>
          </cell>
          <cell r="J7797">
            <v>3809804.3041216834</v>
          </cell>
          <cell r="K7797">
            <v>2.4380000000000002</v>
          </cell>
          <cell r="L7797">
            <v>148835</v>
          </cell>
          <cell r="M7797">
            <v>13229</v>
          </cell>
          <cell r="N7797">
            <v>683926.05601571908</v>
          </cell>
          <cell r="O7797">
            <v>692380.00232629513</v>
          </cell>
          <cell r="P7797">
            <v>368.79259999999999</v>
          </cell>
        </row>
        <row r="7798">
          <cell r="B7798">
            <v>40575</v>
          </cell>
          <cell r="J7798">
            <v>3809804.3041216834</v>
          </cell>
          <cell r="K7798">
            <v>2.4380000000000002</v>
          </cell>
          <cell r="L7798">
            <v>148835</v>
          </cell>
          <cell r="M7798">
            <v>13229</v>
          </cell>
          <cell r="N7798">
            <v>683926.05601571908</v>
          </cell>
          <cell r="O7798">
            <v>692380.00232629513</v>
          </cell>
          <cell r="P7798">
            <v>368.79259999999999</v>
          </cell>
        </row>
        <row r="7799">
          <cell r="B7799">
            <v>40576</v>
          </cell>
          <cell r="J7799">
            <v>3809804.3041216834</v>
          </cell>
          <cell r="K7799">
            <v>2.4380000000000002</v>
          </cell>
          <cell r="L7799">
            <v>148835</v>
          </cell>
          <cell r="M7799">
            <v>13229</v>
          </cell>
          <cell r="N7799">
            <v>683926.05601571908</v>
          </cell>
          <cell r="O7799">
            <v>692380.00232629513</v>
          </cell>
          <cell r="P7799">
            <v>368.79259999999999</v>
          </cell>
        </row>
        <row r="7800">
          <cell r="B7800">
            <v>40577</v>
          </cell>
          <cell r="J7800">
            <v>3809804.3041216834</v>
          </cell>
          <cell r="K7800">
            <v>2.4380000000000002</v>
          </cell>
          <cell r="L7800">
            <v>148835</v>
          </cell>
          <cell r="M7800">
            <v>13229</v>
          </cell>
          <cell r="N7800">
            <v>683926.05601571908</v>
          </cell>
          <cell r="O7800">
            <v>692380.00232629513</v>
          </cell>
          <cell r="P7800">
            <v>368.79259999999999</v>
          </cell>
        </row>
        <row r="7801">
          <cell r="B7801">
            <v>40578</v>
          </cell>
          <cell r="J7801">
            <v>3809804.3041216834</v>
          </cell>
          <cell r="K7801">
            <v>2.4380000000000002</v>
          </cell>
          <cell r="L7801">
            <v>148835</v>
          </cell>
          <cell r="M7801">
            <v>13229</v>
          </cell>
          <cell r="N7801">
            <v>683926.05601571908</v>
          </cell>
          <cell r="O7801">
            <v>692380.00232629513</v>
          </cell>
          <cell r="P7801">
            <v>368.79259999999999</v>
          </cell>
        </row>
        <row r="7802">
          <cell r="B7802">
            <v>40579</v>
          </cell>
          <cell r="J7802">
            <v>3809804.3041216834</v>
          </cell>
          <cell r="K7802">
            <v>2.4380000000000002</v>
          </cell>
          <cell r="L7802">
            <v>148835</v>
          </cell>
          <cell r="M7802">
            <v>13229</v>
          </cell>
          <cell r="N7802">
            <v>683926.05601571908</v>
          </cell>
          <cell r="O7802">
            <v>692380.00232629513</v>
          </cell>
          <cell r="P7802">
            <v>368.79259999999999</v>
          </cell>
        </row>
        <row r="7803">
          <cell r="B7803">
            <v>40580</v>
          </cell>
          <cell r="J7803">
            <v>3809804.3041216834</v>
          </cell>
          <cell r="K7803">
            <v>2.4380000000000002</v>
          </cell>
          <cell r="L7803">
            <v>148835</v>
          </cell>
          <cell r="M7803">
            <v>13229</v>
          </cell>
          <cell r="N7803">
            <v>683926.05601571908</v>
          </cell>
          <cell r="O7803">
            <v>692380.00232629513</v>
          </cell>
          <cell r="P7803">
            <v>368.79259999999999</v>
          </cell>
        </row>
        <row r="7804">
          <cell r="B7804">
            <v>40581</v>
          </cell>
          <cell r="J7804">
            <v>3809804.3041216834</v>
          </cell>
          <cell r="K7804">
            <v>2.4380000000000002</v>
          </cell>
          <cell r="L7804">
            <v>148835</v>
          </cell>
          <cell r="M7804">
            <v>13229</v>
          </cell>
          <cell r="N7804">
            <v>683926.05601571908</v>
          </cell>
          <cell r="O7804">
            <v>692380.00232629513</v>
          </cell>
          <cell r="P7804">
            <v>368.79259999999999</v>
          </cell>
        </row>
        <row r="7805">
          <cell r="B7805">
            <v>40582</v>
          </cell>
          <cell r="J7805">
            <v>3809804.3041216834</v>
          </cell>
          <cell r="K7805">
            <v>2.4380000000000002</v>
          </cell>
          <cell r="L7805">
            <v>148835</v>
          </cell>
          <cell r="M7805">
            <v>13229</v>
          </cell>
          <cell r="N7805">
            <v>683926.05601571908</v>
          </cell>
          <cell r="O7805">
            <v>692380.00232629513</v>
          </cell>
          <cell r="P7805">
            <v>368.79259999999999</v>
          </cell>
        </row>
        <row r="7806">
          <cell r="B7806">
            <v>40583</v>
          </cell>
          <cell r="J7806">
            <v>3809804.3041216834</v>
          </cell>
          <cell r="K7806">
            <v>2.4380000000000002</v>
          </cell>
          <cell r="L7806">
            <v>148835</v>
          </cell>
          <cell r="M7806">
            <v>13229</v>
          </cell>
          <cell r="N7806">
            <v>683926.05601571908</v>
          </cell>
          <cell r="O7806">
            <v>692380.00232629513</v>
          </cell>
          <cell r="P7806">
            <v>368.79259999999999</v>
          </cell>
        </row>
        <row r="7807">
          <cell r="B7807">
            <v>40584</v>
          </cell>
          <cell r="J7807">
            <v>3809804.3041216834</v>
          </cell>
          <cell r="K7807">
            <v>2.4380000000000002</v>
          </cell>
          <cell r="L7807">
            <v>148835</v>
          </cell>
          <cell r="M7807">
            <v>13229</v>
          </cell>
          <cell r="N7807">
            <v>683926.05601571908</v>
          </cell>
          <cell r="O7807">
            <v>692380.00232629513</v>
          </cell>
          <cell r="P7807">
            <v>368.79259999999999</v>
          </cell>
        </row>
        <row r="7808">
          <cell r="B7808">
            <v>40585</v>
          </cell>
          <cell r="J7808">
            <v>3809804.3041216834</v>
          </cell>
          <cell r="K7808">
            <v>2.4380000000000002</v>
          </cell>
          <cell r="L7808">
            <v>148835</v>
          </cell>
          <cell r="M7808">
            <v>13229</v>
          </cell>
          <cell r="N7808">
            <v>683926.05601571908</v>
          </cell>
          <cell r="O7808">
            <v>692380.00232629513</v>
          </cell>
          <cell r="P7808">
            <v>368.79259999999999</v>
          </cell>
        </row>
        <row r="7809">
          <cell r="B7809">
            <v>40586</v>
          </cell>
          <cell r="J7809">
            <v>3809804.3041216834</v>
          </cell>
          <cell r="K7809">
            <v>2.4380000000000002</v>
          </cell>
          <cell r="L7809">
            <v>148835</v>
          </cell>
          <cell r="M7809">
            <v>13229</v>
          </cell>
          <cell r="N7809">
            <v>683926.05601571908</v>
          </cell>
          <cell r="O7809">
            <v>692380.00232629513</v>
          </cell>
          <cell r="P7809">
            <v>368.79259999999999</v>
          </cell>
        </row>
        <row r="7810">
          <cell r="B7810">
            <v>40587</v>
          </cell>
          <cell r="J7810">
            <v>3809804.3041216834</v>
          </cell>
          <cell r="K7810">
            <v>2.4380000000000002</v>
          </cell>
          <cell r="L7810">
            <v>148835</v>
          </cell>
          <cell r="M7810">
            <v>13229</v>
          </cell>
          <cell r="N7810">
            <v>683926.05601571908</v>
          </cell>
          <cell r="O7810">
            <v>692380.00232629513</v>
          </cell>
          <cell r="P7810">
            <v>368.79259999999999</v>
          </cell>
        </row>
        <row r="7811">
          <cell r="B7811">
            <v>40588</v>
          </cell>
          <cell r="J7811">
            <v>3809804.3041216834</v>
          </cell>
          <cell r="K7811">
            <v>2.4380000000000002</v>
          </cell>
          <cell r="L7811">
            <v>148835</v>
          </cell>
          <cell r="M7811">
            <v>13229</v>
          </cell>
          <cell r="N7811">
            <v>683926.05601571908</v>
          </cell>
          <cell r="O7811">
            <v>692380.00232629513</v>
          </cell>
          <cell r="P7811">
            <v>368.79259999999999</v>
          </cell>
        </row>
        <row r="7812">
          <cell r="B7812">
            <v>40589</v>
          </cell>
          <cell r="J7812">
            <v>3809804.3041216834</v>
          </cell>
          <cell r="K7812">
            <v>2.4380000000000002</v>
          </cell>
          <cell r="L7812">
            <v>148835</v>
          </cell>
          <cell r="M7812">
            <v>13229</v>
          </cell>
          <cell r="N7812">
            <v>683926.05601571908</v>
          </cell>
          <cell r="O7812">
            <v>692380.00232629513</v>
          </cell>
          <cell r="P7812">
            <v>368.79259999999999</v>
          </cell>
        </row>
        <row r="7813">
          <cell r="B7813">
            <v>40590</v>
          </cell>
          <cell r="J7813">
            <v>3809804.3041216834</v>
          </cell>
          <cell r="K7813">
            <v>2.4380000000000002</v>
          </cell>
          <cell r="L7813">
            <v>148835</v>
          </cell>
          <cell r="M7813">
            <v>13229</v>
          </cell>
          <cell r="N7813">
            <v>683926.05601571908</v>
          </cell>
          <cell r="O7813">
            <v>692380.00232629513</v>
          </cell>
          <cell r="P7813">
            <v>368.79259999999999</v>
          </cell>
        </row>
        <row r="7814">
          <cell r="B7814">
            <v>40591</v>
          </cell>
          <cell r="J7814">
            <v>3809804.3041216834</v>
          </cell>
          <cell r="K7814">
            <v>2.4380000000000002</v>
          </cell>
          <cell r="L7814">
            <v>148835</v>
          </cell>
          <cell r="M7814">
            <v>13229</v>
          </cell>
          <cell r="N7814">
            <v>683926.05601571908</v>
          </cell>
          <cell r="O7814">
            <v>692380.00232629513</v>
          </cell>
          <cell r="P7814">
            <v>368.79259999999999</v>
          </cell>
        </row>
        <row r="7815">
          <cell r="B7815">
            <v>40592</v>
          </cell>
          <cell r="J7815">
            <v>3809804.3041216834</v>
          </cell>
          <cell r="K7815">
            <v>2.4380000000000002</v>
          </cell>
          <cell r="L7815">
            <v>148835</v>
          </cell>
          <cell r="M7815">
            <v>13229</v>
          </cell>
          <cell r="N7815">
            <v>683926.05601571908</v>
          </cell>
          <cell r="O7815">
            <v>692380.00232629513</v>
          </cell>
          <cell r="P7815">
            <v>368.79259999999999</v>
          </cell>
        </row>
        <row r="7816">
          <cell r="B7816">
            <v>40593</v>
          </cell>
          <cell r="J7816">
            <v>3809804.3041216834</v>
          </cell>
          <cell r="K7816">
            <v>2.4380000000000002</v>
          </cell>
          <cell r="L7816">
            <v>148835</v>
          </cell>
          <cell r="M7816">
            <v>13229</v>
          </cell>
          <cell r="N7816">
            <v>683926.05601571908</v>
          </cell>
          <cell r="O7816">
            <v>692380.00232629513</v>
          </cell>
          <cell r="P7816">
            <v>368.79259999999999</v>
          </cell>
        </row>
        <row r="7817">
          <cell r="B7817">
            <v>40594</v>
          </cell>
          <cell r="J7817">
            <v>3809804.3041216834</v>
          </cell>
          <cell r="K7817">
            <v>2.4380000000000002</v>
          </cell>
          <cell r="L7817">
            <v>148835</v>
          </cell>
          <cell r="M7817">
            <v>13229</v>
          </cell>
          <cell r="N7817">
            <v>683926.05601571908</v>
          </cell>
          <cell r="O7817">
            <v>692380.00232629513</v>
          </cell>
          <cell r="P7817">
            <v>368.79259999999999</v>
          </cell>
        </row>
        <row r="7818">
          <cell r="B7818">
            <v>40595</v>
          </cell>
          <cell r="J7818">
            <v>3809804.3041216834</v>
          </cell>
          <cell r="K7818">
            <v>2.4380000000000002</v>
          </cell>
          <cell r="L7818">
            <v>148835</v>
          </cell>
          <cell r="M7818">
            <v>13229</v>
          </cell>
          <cell r="N7818">
            <v>683926.05601571908</v>
          </cell>
          <cell r="O7818">
            <v>692380.00232629513</v>
          </cell>
          <cell r="P7818">
            <v>368.79259999999999</v>
          </cell>
        </row>
        <row r="7819">
          <cell r="B7819">
            <v>40596</v>
          </cell>
          <cell r="J7819">
            <v>3809804.3041216834</v>
          </cell>
          <cell r="K7819">
            <v>2.4380000000000002</v>
          </cell>
          <cell r="L7819">
            <v>148835</v>
          </cell>
          <cell r="M7819">
            <v>13229</v>
          </cell>
          <cell r="N7819">
            <v>683926.05601571908</v>
          </cell>
          <cell r="O7819">
            <v>692380.00232629513</v>
          </cell>
          <cell r="P7819">
            <v>368.79259999999999</v>
          </cell>
        </row>
        <row r="7820">
          <cell r="B7820">
            <v>40597</v>
          </cell>
          <cell r="J7820">
            <v>3809804.3041216834</v>
          </cell>
          <cell r="K7820">
            <v>2.4380000000000002</v>
          </cell>
          <cell r="L7820">
            <v>148835</v>
          </cell>
          <cell r="M7820">
            <v>13229</v>
          </cell>
          <cell r="N7820">
            <v>683926.05601571908</v>
          </cell>
          <cell r="O7820">
            <v>692380.00232629513</v>
          </cell>
          <cell r="P7820">
            <v>368.79259999999999</v>
          </cell>
        </row>
        <row r="7821">
          <cell r="B7821">
            <v>40598</v>
          </cell>
          <cell r="J7821">
            <v>3809804.3041216834</v>
          </cell>
          <cell r="K7821">
            <v>2.4380000000000002</v>
          </cell>
          <cell r="L7821">
            <v>148835</v>
          </cell>
          <cell r="M7821">
            <v>13229</v>
          </cell>
          <cell r="N7821">
            <v>683926.05601571908</v>
          </cell>
          <cell r="O7821">
            <v>692380.00232629513</v>
          </cell>
          <cell r="P7821">
            <v>368.79259999999999</v>
          </cell>
        </row>
        <row r="7822">
          <cell r="B7822">
            <v>40599</v>
          </cell>
          <cell r="J7822">
            <v>3809804.3041216834</v>
          </cell>
          <cell r="K7822">
            <v>2.4380000000000002</v>
          </cell>
          <cell r="L7822">
            <v>148835</v>
          </cell>
          <cell r="M7822">
            <v>13229</v>
          </cell>
          <cell r="N7822">
            <v>683926.05601571908</v>
          </cell>
          <cell r="O7822">
            <v>692380.00232629513</v>
          </cell>
          <cell r="P7822">
            <v>368.79259999999999</v>
          </cell>
        </row>
        <row r="7823">
          <cell r="B7823">
            <v>40600</v>
          </cell>
          <cell r="J7823">
            <v>3809804.3041216834</v>
          </cell>
          <cell r="K7823">
            <v>2.4380000000000002</v>
          </cell>
          <cell r="L7823">
            <v>148835</v>
          </cell>
          <cell r="M7823">
            <v>13229</v>
          </cell>
          <cell r="N7823">
            <v>683926.05601571908</v>
          </cell>
          <cell r="O7823">
            <v>692380.00232629513</v>
          </cell>
          <cell r="P7823">
            <v>368.79259999999999</v>
          </cell>
        </row>
        <row r="7824">
          <cell r="B7824">
            <v>40601</v>
          </cell>
          <cell r="J7824">
            <v>3809804.3041216834</v>
          </cell>
          <cell r="K7824">
            <v>2.4380000000000002</v>
          </cell>
          <cell r="L7824">
            <v>148835</v>
          </cell>
          <cell r="M7824">
            <v>13229</v>
          </cell>
          <cell r="N7824">
            <v>683926.05601571908</v>
          </cell>
          <cell r="O7824">
            <v>692380.00232629513</v>
          </cell>
          <cell r="P7824">
            <v>368.79259999999999</v>
          </cell>
        </row>
        <row r="7825">
          <cell r="B7825">
            <v>40602</v>
          </cell>
          <cell r="J7825">
            <v>3809804.3041216834</v>
          </cell>
          <cell r="K7825">
            <v>2.4380000000000002</v>
          </cell>
          <cell r="L7825">
            <v>148835</v>
          </cell>
          <cell r="M7825">
            <v>13229</v>
          </cell>
          <cell r="N7825">
            <v>683926.05601571908</v>
          </cell>
          <cell r="O7825">
            <v>692380.00232629513</v>
          </cell>
          <cell r="P7825">
            <v>368.79259999999999</v>
          </cell>
        </row>
        <row r="7826">
          <cell r="B7826">
            <v>40603</v>
          </cell>
          <cell r="J7826">
            <v>3809804.3041216834</v>
          </cell>
          <cell r="K7826">
            <v>2.4380000000000002</v>
          </cell>
          <cell r="L7826">
            <v>148835</v>
          </cell>
          <cell r="M7826">
            <v>13229</v>
          </cell>
          <cell r="N7826">
            <v>683926.05601571908</v>
          </cell>
          <cell r="O7826">
            <v>692380.00232629513</v>
          </cell>
          <cell r="P7826">
            <v>368.79259999999999</v>
          </cell>
        </row>
        <row r="7827">
          <cell r="B7827">
            <v>40604</v>
          </cell>
          <cell r="J7827">
            <v>3809804.3041216834</v>
          </cell>
          <cell r="K7827">
            <v>2.4380000000000002</v>
          </cell>
          <cell r="L7827">
            <v>148835</v>
          </cell>
          <cell r="M7827">
            <v>13229</v>
          </cell>
          <cell r="N7827">
            <v>683926.05601571908</v>
          </cell>
          <cell r="O7827">
            <v>692380.00232629513</v>
          </cell>
          <cell r="P7827">
            <v>368.79259999999999</v>
          </cell>
        </row>
        <row r="7828">
          <cell r="B7828">
            <v>40605</v>
          </cell>
          <cell r="J7828">
            <v>3809804.3041216834</v>
          </cell>
          <cell r="K7828">
            <v>2.4380000000000002</v>
          </cell>
          <cell r="L7828">
            <v>148835</v>
          </cell>
          <cell r="M7828">
            <v>13229</v>
          </cell>
          <cell r="N7828">
            <v>683926.05601571908</v>
          </cell>
          <cell r="O7828">
            <v>692380.00232629513</v>
          </cell>
          <cell r="P7828">
            <v>368.79259999999999</v>
          </cell>
        </row>
        <row r="7829">
          <cell r="B7829">
            <v>40606</v>
          </cell>
          <cell r="J7829">
            <v>3809804.3041216834</v>
          </cell>
          <cell r="K7829">
            <v>2.4380000000000002</v>
          </cell>
          <cell r="L7829">
            <v>148835</v>
          </cell>
          <cell r="M7829">
            <v>13229</v>
          </cell>
          <cell r="N7829">
            <v>683926.05601571908</v>
          </cell>
          <cell r="O7829">
            <v>692380.00232629513</v>
          </cell>
          <cell r="P7829">
            <v>368.79259999999999</v>
          </cell>
        </row>
        <row r="7830">
          <cell r="B7830">
            <v>40607</v>
          </cell>
          <cell r="J7830">
            <v>3809804.3041216834</v>
          </cell>
          <cell r="K7830">
            <v>2.4380000000000002</v>
          </cell>
          <cell r="L7830">
            <v>148835</v>
          </cell>
          <cell r="M7830">
            <v>13229</v>
          </cell>
          <cell r="N7830">
            <v>683926.05601571908</v>
          </cell>
          <cell r="O7830">
            <v>692380.00232629513</v>
          </cell>
          <cell r="P7830">
            <v>368.79259999999999</v>
          </cell>
        </row>
        <row r="7831">
          <cell r="B7831">
            <v>40608</v>
          </cell>
          <cell r="J7831">
            <v>3809804.3041216834</v>
          </cell>
          <cell r="K7831">
            <v>2.4380000000000002</v>
          </cell>
          <cell r="L7831">
            <v>148835</v>
          </cell>
          <cell r="M7831">
            <v>13229</v>
          </cell>
          <cell r="N7831">
            <v>683926.05601571908</v>
          </cell>
          <cell r="O7831">
            <v>692380.00232629513</v>
          </cell>
          <cell r="P7831">
            <v>368.79259999999999</v>
          </cell>
        </row>
        <row r="7832">
          <cell r="B7832">
            <v>40609</v>
          </cell>
          <cell r="J7832">
            <v>3809804.3041216834</v>
          </cell>
          <cell r="K7832">
            <v>2.4380000000000002</v>
          </cell>
          <cell r="L7832">
            <v>148835</v>
          </cell>
          <cell r="M7832">
            <v>13229</v>
          </cell>
          <cell r="N7832">
            <v>683926.05601571908</v>
          </cell>
          <cell r="O7832">
            <v>692380.00232629513</v>
          </cell>
          <cell r="P7832">
            <v>368.79259999999999</v>
          </cell>
        </row>
        <row r="7833">
          <cell r="B7833">
            <v>40610</v>
          </cell>
          <cell r="J7833">
            <v>3809804.3041216834</v>
          </cell>
          <cell r="K7833">
            <v>2.4380000000000002</v>
          </cell>
          <cell r="L7833">
            <v>148835</v>
          </cell>
          <cell r="M7833">
            <v>13229</v>
          </cell>
          <cell r="N7833">
            <v>683926.05601571908</v>
          </cell>
          <cell r="O7833">
            <v>692380.00232629513</v>
          </cell>
          <cell r="P7833">
            <v>368.79259999999999</v>
          </cell>
        </row>
        <row r="7834">
          <cell r="B7834">
            <v>40611</v>
          </cell>
          <cell r="J7834">
            <v>3809804.3041216834</v>
          </cell>
          <cell r="K7834">
            <v>2.4380000000000002</v>
          </cell>
          <cell r="L7834">
            <v>148835</v>
          </cell>
          <cell r="M7834">
            <v>13229</v>
          </cell>
          <cell r="N7834">
            <v>683926.05601571908</v>
          </cell>
          <cell r="O7834">
            <v>692380.00232629513</v>
          </cell>
          <cell r="P7834">
            <v>368.79259999999999</v>
          </cell>
        </row>
        <row r="7835">
          <cell r="B7835">
            <v>40612</v>
          </cell>
          <cell r="J7835">
            <v>3809804.3041216834</v>
          </cell>
          <cell r="K7835">
            <v>2.4380000000000002</v>
          </cell>
          <cell r="L7835">
            <v>148835</v>
          </cell>
          <cell r="M7835">
            <v>13229</v>
          </cell>
          <cell r="N7835">
            <v>683926.05601571908</v>
          </cell>
          <cell r="O7835">
            <v>692380.00232629513</v>
          </cell>
          <cell r="P7835">
            <v>368.79259999999999</v>
          </cell>
        </row>
        <row r="7836">
          <cell r="B7836">
            <v>40613</v>
          </cell>
          <cell r="J7836">
            <v>3809804.3041216834</v>
          </cell>
          <cell r="K7836">
            <v>2.4380000000000002</v>
          </cell>
          <cell r="L7836">
            <v>148835</v>
          </cell>
          <cell r="M7836">
            <v>13229</v>
          </cell>
          <cell r="N7836">
            <v>683926.05601571908</v>
          </cell>
          <cell r="O7836">
            <v>692380.00232629513</v>
          </cell>
          <cell r="P7836">
            <v>368.79259999999999</v>
          </cell>
        </row>
        <row r="7837">
          <cell r="B7837">
            <v>40614</v>
          </cell>
          <cell r="J7837">
            <v>3809804.3041216834</v>
          </cell>
          <cell r="K7837">
            <v>2.4380000000000002</v>
          </cell>
          <cell r="L7837">
            <v>148835</v>
          </cell>
          <cell r="M7837">
            <v>13229</v>
          </cell>
          <cell r="N7837">
            <v>683926.05601571908</v>
          </cell>
          <cell r="O7837">
            <v>692380.00232629513</v>
          </cell>
          <cell r="P7837">
            <v>368.79259999999999</v>
          </cell>
        </row>
        <row r="7838">
          <cell r="B7838">
            <v>40615</v>
          </cell>
          <cell r="J7838">
            <v>3809804.3041216834</v>
          </cell>
          <cell r="K7838">
            <v>2.4380000000000002</v>
          </cell>
          <cell r="L7838">
            <v>148835</v>
          </cell>
          <cell r="M7838">
            <v>13229</v>
          </cell>
          <cell r="N7838">
            <v>683926.05601571908</v>
          </cell>
          <cell r="O7838">
            <v>692380.00232629513</v>
          </cell>
          <cell r="P7838">
            <v>368.79259999999999</v>
          </cell>
        </row>
        <row r="7839">
          <cell r="B7839">
            <v>40616</v>
          </cell>
          <cell r="J7839">
            <v>3809804.3041216834</v>
          </cell>
          <cell r="K7839">
            <v>2.4380000000000002</v>
          </cell>
          <cell r="L7839">
            <v>148835</v>
          </cell>
          <cell r="M7839">
            <v>13229</v>
          </cell>
          <cell r="N7839">
            <v>683926.05601571908</v>
          </cell>
          <cell r="O7839">
            <v>692380.00232629513</v>
          </cell>
          <cell r="P7839">
            <v>368.79259999999999</v>
          </cell>
        </row>
        <row r="7840">
          <cell r="B7840">
            <v>40617</v>
          </cell>
          <cell r="J7840">
            <v>3809804.3041216834</v>
          </cell>
          <cell r="K7840">
            <v>2.4380000000000002</v>
          </cell>
          <cell r="L7840">
            <v>148835</v>
          </cell>
          <cell r="M7840">
            <v>13229</v>
          </cell>
          <cell r="N7840">
            <v>683926.05601571908</v>
          </cell>
          <cell r="O7840">
            <v>692380.00232629513</v>
          </cell>
          <cell r="P7840">
            <v>368.79259999999999</v>
          </cell>
        </row>
        <row r="7841">
          <cell r="B7841">
            <v>40618</v>
          </cell>
          <cell r="J7841">
            <v>3809804.3041216834</v>
          </cell>
          <cell r="K7841">
            <v>2.4380000000000002</v>
          </cell>
          <cell r="L7841">
            <v>148835</v>
          </cell>
          <cell r="M7841">
            <v>13229</v>
          </cell>
          <cell r="N7841">
            <v>683926.05601571908</v>
          </cell>
          <cell r="O7841">
            <v>692380.00232629513</v>
          </cell>
          <cell r="P7841">
            <v>368.79259999999999</v>
          </cell>
        </row>
        <row r="7842">
          <cell r="B7842">
            <v>40619</v>
          </cell>
          <cell r="J7842">
            <v>3809804.3041216834</v>
          </cell>
          <cell r="K7842">
            <v>2.4380000000000002</v>
          </cell>
          <cell r="L7842">
            <v>148835</v>
          </cell>
          <cell r="M7842">
            <v>13229</v>
          </cell>
          <cell r="N7842">
            <v>683926.05601571908</v>
          </cell>
          <cell r="O7842">
            <v>692380.00232629513</v>
          </cell>
          <cell r="P7842">
            <v>368.79259999999999</v>
          </cell>
        </row>
        <row r="7843">
          <cell r="B7843">
            <v>40620</v>
          </cell>
          <cell r="J7843">
            <v>3809804.3041216834</v>
          </cell>
          <cell r="K7843">
            <v>2.4380000000000002</v>
          </cell>
          <cell r="L7843">
            <v>148835</v>
          </cell>
          <cell r="M7843">
            <v>13229</v>
          </cell>
          <cell r="N7843">
            <v>683926.05601571908</v>
          </cell>
          <cell r="O7843">
            <v>692380.00232629513</v>
          </cell>
          <cell r="P7843">
            <v>368.79259999999999</v>
          </cell>
        </row>
        <row r="7844">
          <cell r="B7844">
            <v>40621</v>
          </cell>
          <cell r="J7844">
            <v>3809804.3041216834</v>
          </cell>
          <cell r="K7844">
            <v>2.4380000000000002</v>
          </cell>
          <cell r="L7844">
            <v>148835</v>
          </cell>
          <cell r="M7844">
            <v>13229</v>
          </cell>
          <cell r="N7844">
            <v>683926.05601571908</v>
          </cell>
          <cell r="O7844">
            <v>692380.00232629513</v>
          </cell>
          <cell r="P7844">
            <v>368.79259999999999</v>
          </cell>
        </row>
        <row r="7845">
          <cell r="B7845">
            <v>40622</v>
          </cell>
          <cell r="J7845">
            <v>3809804.3041216834</v>
          </cell>
          <cell r="K7845">
            <v>2.4380000000000002</v>
          </cell>
          <cell r="L7845">
            <v>148835</v>
          </cell>
          <cell r="M7845">
            <v>13229</v>
          </cell>
          <cell r="N7845">
            <v>683926.05601571908</v>
          </cell>
          <cell r="O7845">
            <v>692380.00232629513</v>
          </cell>
          <cell r="P7845">
            <v>368.79259999999999</v>
          </cell>
        </row>
        <row r="7846">
          <cell r="B7846">
            <v>40623</v>
          </cell>
          <cell r="J7846">
            <v>3809804.3041216834</v>
          </cell>
          <cell r="K7846">
            <v>2.4380000000000002</v>
          </cell>
          <cell r="L7846">
            <v>148835</v>
          </cell>
          <cell r="M7846">
            <v>13229</v>
          </cell>
          <cell r="N7846">
            <v>683926.05601571908</v>
          </cell>
          <cell r="O7846">
            <v>692380.00232629513</v>
          </cell>
          <cell r="P7846">
            <v>368.79259999999999</v>
          </cell>
        </row>
        <row r="7847">
          <cell r="B7847">
            <v>40624</v>
          </cell>
          <cell r="J7847">
            <v>3809804.3041216834</v>
          </cell>
          <cell r="K7847">
            <v>2.4380000000000002</v>
          </cell>
          <cell r="L7847">
            <v>148835</v>
          </cell>
          <cell r="M7847">
            <v>13229</v>
          </cell>
          <cell r="N7847">
            <v>683926.05601571908</v>
          </cell>
          <cell r="O7847">
            <v>692380.00232629513</v>
          </cell>
          <cell r="P7847">
            <v>368.79259999999999</v>
          </cell>
        </row>
        <row r="7848">
          <cell r="B7848">
            <v>40625</v>
          </cell>
          <cell r="J7848">
            <v>3809804.3041216834</v>
          </cell>
          <cell r="K7848">
            <v>2.4380000000000002</v>
          </cell>
          <cell r="L7848">
            <v>148835</v>
          </cell>
          <cell r="M7848">
            <v>13229</v>
          </cell>
          <cell r="N7848">
            <v>683926.05601571908</v>
          </cell>
          <cell r="O7848">
            <v>692380.00232629513</v>
          </cell>
          <cell r="P7848">
            <v>368.79259999999999</v>
          </cell>
        </row>
        <row r="7849">
          <cell r="B7849">
            <v>40626</v>
          </cell>
          <cell r="J7849">
            <v>3809804.3041216834</v>
          </cell>
          <cell r="K7849">
            <v>2.4380000000000002</v>
          </cell>
          <cell r="L7849">
            <v>148835</v>
          </cell>
          <cell r="M7849">
            <v>13229</v>
          </cell>
          <cell r="N7849">
            <v>683926.05601571908</v>
          </cell>
          <cell r="O7849">
            <v>692380.00232629513</v>
          </cell>
          <cell r="P7849">
            <v>368.79259999999999</v>
          </cell>
        </row>
        <row r="7850">
          <cell r="B7850">
            <v>40627</v>
          </cell>
          <cell r="J7850">
            <v>3809804.3041216834</v>
          </cell>
          <cell r="K7850">
            <v>2.4380000000000002</v>
          </cell>
          <cell r="L7850">
            <v>148835</v>
          </cell>
          <cell r="M7850">
            <v>13229</v>
          </cell>
          <cell r="N7850">
            <v>683926.05601571908</v>
          </cell>
          <cell r="O7850">
            <v>692380.00232629513</v>
          </cell>
          <cell r="P7850">
            <v>368.79259999999999</v>
          </cell>
        </row>
        <row r="7851">
          <cell r="B7851">
            <v>40628</v>
          </cell>
          <cell r="J7851">
            <v>3809804.3041216834</v>
          </cell>
          <cell r="K7851">
            <v>2.4380000000000002</v>
          </cell>
          <cell r="L7851">
            <v>148835</v>
          </cell>
          <cell r="M7851">
            <v>13229</v>
          </cell>
          <cell r="N7851">
            <v>683926.05601571908</v>
          </cell>
          <cell r="O7851">
            <v>692380.00232629513</v>
          </cell>
          <cell r="P7851">
            <v>368.79259999999999</v>
          </cell>
        </row>
        <row r="7852">
          <cell r="B7852">
            <v>40629</v>
          </cell>
          <cell r="J7852">
            <v>3809804.3041216834</v>
          </cell>
          <cell r="K7852">
            <v>2.4380000000000002</v>
          </cell>
          <cell r="L7852">
            <v>148835</v>
          </cell>
          <cell r="M7852">
            <v>13229</v>
          </cell>
          <cell r="N7852">
            <v>683926.05601571908</v>
          </cell>
          <cell r="O7852">
            <v>692380.00232629513</v>
          </cell>
          <cell r="P7852">
            <v>368.79259999999999</v>
          </cell>
        </row>
        <row r="7853">
          <cell r="B7853">
            <v>40630</v>
          </cell>
          <cell r="J7853">
            <v>3809804.3041216834</v>
          </cell>
          <cell r="K7853">
            <v>2.4380000000000002</v>
          </cell>
          <cell r="L7853">
            <v>148835</v>
          </cell>
          <cell r="M7853">
            <v>13229</v>
          </cell>
          <cell r="N7853">
            <v>683926.05601571908</v>
          </cell>
          <cell r="O7853">
            <v>692380.00232629513</v>
          </cell>
          <cell r="P7853">
            <v>368.79259999999999</v>
          </cell>
        </row>
        <row r="7854">
          <cell r="B7854">
            <v>40631</v>
          </cell>
          <cell r="J7854">
            <v>3809804.3041216834</v>
          </cell>
          <cell r="K7854">
            <v>2.4380000000000002</v>
          </cell>
          <cell r="L7854">
            <v>148835</v>
          </cell>
          <cell r="M7854">
            <v>13229</v>
          </cell>
          <cell r="N7854">
            <v>683926.05601571908</v>
          </cell>
          <cell r="O7854">
            <v>692380.00232629513</v>
          </cell>
          <cell r="P7854">
            <v>368.79259999999999</v>
          </cell>
        </row>
        <row r="7855">
          <cell r="B7855">
            <v>40632</v>
          </cell>
          <cell r="J7855">
            <v>3809804.3041216834</v>
          </cell>
          <cell r="K7855">
            <v>2.4380000000000002</v>
          </cell>
          <cell r="L7855">
            <v>148835</v>
          </cell>
          <cell r="M7855">
            <v>13229</v>
          </cell>
          <cell r="N7855">
            <v>683926.05601571908</v>
          </cell>
          <cell r="O7855">
            <v>692380.00232629513</v>
          </cell>
          <cell r="P7855">
            <v>368.79259999999999</v>
          </cell>
        </row>
        <row r="7856">
          <cell r="B7856">
            <v>40633</v>
          </cell>
          <cell r="J7856">
            <v>3809804.3041216834</v>
          </cell>
          <cell r="K7856">
            <v>2.4380000000000002</v>
          </cell>
          <cell r="L7856">
            <v>148835</v>
          </cell>
          <cell r="M7856">
            <v>13229</v>
          </cell>
          <cell r="N7856">
            <v>683926.05601571908</v>
          </cell>
          <cell r="O7856">
            <v>692380.00232629513</v>
          </cell>
          <cell r="P7856">
            <v>368.79259999999999</v>
          </cell>
        </row>
        <row r="7857">
          <cell r="B7857">
            <v>40634</v>
          </cell>
          <cell r="J7857">
            <v>3809804.3041216834</v>
          </cell>
          <cell r="K7857">
            <v>2.4380000000000002</v>
          </cell>
          <cell r="L7857">
            <v>148835</v>
          </cell>
          <cell r="M7857">
            <v>13229</v>
          </cell>
          <cell r="N7857">
            <v>683926.05601571908</v>
          </cell>
          <cell r="O7857">
            <v>692380.00232629513</v>
          </cell>
          <cell r="P7857">
            <v>368.79259999999999</v>
          </cell>
        </row>
        <row r="7858">
          <cell r="B7858">
            <v>40635</v>
          </cell>
          <cell r="J7858">
            <v>3809804.3041216834</v>
          </cell>
          <cell r="K7858">
            <v>2.4380000000000002</v>
          </cell>
          <cell r="L7858">
            <v>148835</v>
          </cell>
          <cell r="M7858">
            <v>13229</v>
          </cell>
          <cell r="N7858">
            <v>683926.05601571908</v>
          </cell>
          <cell r="O7858">
            <v>692380.00232629513</v>
          </cell>
          <cell r="P7858">
            <v>368.79259999999999</v>
          </cell>
        </row>
        <row r="7859">
          <cell r="B7859">
            <v>40636</v>
          </cell>
          <cell r="J7859">
            <v>3809804.3041216834</v>
          </cell>
          <cell r="K7859">
            <v>2.4380000000000002</v>
          </cell>
          <cell r="L7859">
            <v>148835</v>
          </cell>
          <cell r="M7859">
            <v>13229</v>
          </cell>
          <cell r="N7859">
            <v>683926.05601571908</v>
          </cell>
          <cell r="O7859">
            <v>692380.00232629513</v>
          </cell>
          <cell r="P7859">
            <v>368.79259999999999</v>
          </cell>
        </row>
        <row r="7860">
          <cell r="B7860">
            <v>40637</v>
          </cell>
          <cell r="J7860">
            <v>3809804.3041216834</v>
          </cell>
          <cell r="K7860">
            <v>2.4380000000000002</v>
          </cell>
          <cell r="L7860">
            <v>148835</v>
          </cell>
          <cell r="M7860">
            <v>13229</v>
          </cell>
          <cell r="N7860">
            <v>683926.05601571908</v>
          </cell>
          <cell r="O7860">
            <v>692380.00232629513</v>
          </cell>
          <cell r="P7860">
            <v>368.79259999999999</v>
          </cell>
        </row>
        <row r="7861">
          <cell r="B7861">
            <v>40638</v>
          </cell>
          <cell r="J7861">
            <v>3809804.3041216834</v>
          </cell>
          <cell r="K7861">
            <v>2.4380000000000002</v>
          </cell>
          <cell r="L7861">
            <v>148835</v>
          </cell>
          <cell r="M7861">
            <v>13229</v>
          </cell>
          <cell r="N7861">
            <v>683926.05601571908</v>
          </cell>
          <cell r="O7861">
            <v>692380.00232629513</v>
          </cell>
          <cell r="P7861">
            <v>368.79259999999999</v>
          </cell>
        </row>
        <row r="7862">
          <cell r="B7862">
            <v>40639</v>
          </cell>
          <cell r="J7862">
            <v>3809804.3041216834</v>
          </cell>
          <cell r="K7862">
            <v>2.4380000000000002</v>
          </cell>
          <cell r="L7862">
            <v>148835</v>
          </cell>
          <cell r="M7862">
            <v>13229</v>
          </cell>
          <cell r="N7862">
            <v>683926.05601571908</v>
          </cell>
          <cell r="O7862">
            <v>692380.00232629513</v>
          </cell>
          <cell r="P7862">
            <v>368.79259999999999</v>
          </cell>
        </row>
        <row r="7863">
          <cell r="B7863">
            <v>40640</v>
          </cell>
          <cell r="J7863">
            <v>3809804.3041216834</v>
          </cell>
          <cell r="K7863">
            <v>2.4380000000000002</v>
          </cell>
          <cell r="L7863">
            <v>148835</v>
          </cell>
          <cell r="M7863">
            <v>13229</v>
          </cell>
          <cell r="N7863">
            <v>683926.05601571908</v>
          </cell>
          <cell r="O7863">
            <v>692380.00232629513</v>
          </cell>
          <cell r="P7863">
            <v>368.79259999999999</v>
          </cell>
        </row>
        <row r="7864">
          <cell r="B7864">
            <v>40641</v>
          </cell>
          <cell r="J7864">
            <v>3809804.3041216834</v>
          </cell>
          <cell r="K7864">
            <v>2.4380000000000002</v>
          </cell>
          <cell r="L7864">
            <v>148835</v>
          </cell>
          <cell r="M7864">
            <v>13229</v>
          </cell>
          <cell r="N7864">
            <v>683926.05601571908</v>
          </cell>
          <cell r="O7864">
            <v>692380.00232629513</v>
          </cell>
          <cell r="P7864">
            <v>368.79259999999999</v>
          </cell>
        </row>
        <row r="7865">
          <cell r="B7865">
            <v>40642</v>
          </cell>
          <cell r="J7865">
            <v>3809804.3041216834</v>
          </cell>
          <cell r="K7865">
            <v>2.4380000000000002</v>
          </cell>
          <cell r="L7865">
            <v>148835</v>
          </cell>
          <cell r="M7865">
            <v>13229</v>
          </cell>
          <cell r="N7865">
            <v>683926.05601571908</v>
          </cell>
          <cell r="O7865">
            <v>692380.00232629513</v>
          </cell>
          <cell r="P7865">
            <v>368.79259999999999</v>
          </cell>
        </row>
        <row r="7866">
          <cell r="B7866">
            <v>40643</v>
          </cell>
          <cell r="J7866">
            <v>3809804.3041216834</v>
          </cell>
          <cell r="K7866">
            <v>2.4380000000000002</v>
          </cell>
          <cell r="L7866">
            <v>148835</v>
          </cell>
          <cell r="M7866">
            <v>13229</v>
          </cell>
          <cell r="N7866">
            <v>683926.05601571908</v>
          </cell>
          <cell r="O7866">
            <v>692380.00232629513</v>
          </cell>
          <cell r="P7866">
            <v>368.79259999999999</v>
          </cell>
        </row>
        <row r="7867">
          <cell r="B7867">
            <v>40644</v>
          </cell>
          <cell r="J7867">
            <v>3809804.3041216834</v>
          </cell>
          <cell r="K7867">
            <v>2.4380000000000002</v>
          </cell>
          <cell r="L7867">
            <v>148835</v>
          </cell>
          <cell r="M7867">
            <v>13229</v>
          </cell>
          <cell r="N7867">
            <v>683926.05601571908</v>
          </cell>
          <cell r="O7867">
            <v>692380.00232629513</v>
          </cell>
          <cell r="P7867">
            <v>368.79259999999999</v>
          </cell>
        </row>
        <row r="7868">
          <cell r="B7868">
            <v>40645</v>
          </cell>
          <cell r="J7868">
            <v>3809804.3041216834</v>
          </cell>
          <cell r="K7868">
            <v>2.4380000000000002</v>
          </cell>
          <cell r="L7868">
            <v>148835</v>
          </cell>
          <cell r="M7868">
            <v>13229</v>
          </cell>
          <cell r="N7868">
            <v>683926.05601571908</v>
          </cell>
          <cell r="O7868">
            <v>692380.00232629513</v>
          </cell>
          <cell r="P7868">
            <v>368.79259999999999</v>
          </cell>
        </row>
        <row r="7869">
          <cell r="B7869">
            <v>40646</v>
          </cell>
          <cell r="J7869">
            <v>3809804.3041216834</v>
          </cell>
          <cell r="K7869">
            <v>2.4380000000000002</v>
          </cell>
          <cell r="L7869">
            <v>148835</v>
          </cell>
          <cell r="M7869">
            <v>13229</v>
          </cell>
          <cell r="N7869">
            <v>683926.05601571908</v>
          </cell>
          <cell r="O7869">
            <v>692380.00232629513</v>
          </cell>
          <cell r="P7869">
            <v>368.79259999999999</v>
          </cell>
        </row>
        <row r="7870">
          <cell r="B7870">
            <v>40647</v>
          </cell>
          <cell r="J7870">
            <v>3809804.3041216834</v>
          </cell>
          <cell r="K7870">
            <v>2.4380000000000002</v>
          </cell>
          <cell r="L7870">
            <v>148835</v>
          </cell>
          <cell r="M7870">
            <v>13229</v>
          </cell>
          <cell r="N7870">
            <v>683926.05601571908</v>
          </cell>
          <cell r="O7870">
            <v>692380.00232629513</v>
          </cell>
          <cell r="P7870">
            <v>368.79259999999999</v>
          </cell>
        </row>
        <row r="7871">
          <cell r="B7871">
            <v>40648</v>
          </cell>
          <cell r="J7871">
            <v>3809804.3041216834</v>
          </cell>
          <cell r="K7871">
            <v>2.4380000000000002</v>
          </cell>
          <cell r="L7871">
            <v>148835</v>
          </cell>
          <cell r="M7871">
            <v>13229</v>
          </cell>
          <cell r="N7871">
            <v>683926.05601571908</v>
          </cell>
          <cell r="O7871">
            <v>692380.00232629513</v>
          </cell>
          <cell r="P7871">
            <v>368.79259999999999</v>
          </cell>
        </row>
        <row r="7872">
          <cell r="B7872">
            <v>40649</v>
          </cell>
          <cell r="J7872">
            <v>3809804.3041216834</v>
          </cell>
          <cell r="K7872">
            <v>2.4380000000000002</v>
          </cell>
          <cell r="L7872">
            <v>148835</v>
          </cell>
          <cell r="M7872">
            <v>13229</v>
          </cell>
          <cell r="N7872">
            <v>683926.05601571908</v>
          </cell>
          <cell r="O7872">
            <v>692380.00232629513</v>
          </cell>
          <cell r="P7872">
            <v>368.79259999999999</v>
          </cell>
        </row>
        <row r="7873">
          <cell r="B7873">
            <v>40650</v>
          </cell>
          <cell r="J7873">
            <v>3809804.3041216834</v>
          </cell>
          <cell r="K7873">
            <v>2.4380000000000002</v>
          </cell>
          <cell r="L7873">
            <v>148835</v>
          </cell>
          <cell r="M7873">
            <v>13229</v>
          </cell>
          <cell r="N7873">
            <v>683926.05601571908</v>
          </cell>
          <cell r="O7873">
            <v>692380.00232629513</v>
          </cell>
          <cell r="P7873">
            <v>368.79259999999999</v>
          </cell>
        </row>
        <row r="7874">
          <cell r="B7874">
            <v>40651</v>
          </cell>
          <cell r="J7874">
            <v>3809804.3041216834</v>
          </cell>
          <cell r="K7874">
            <v>2.4380000000000002</v>
          </cell>
          <cell r="L7874">
            <v>148835</v>
          </cell>
          <cell r="M7874">
            <v>13229</v>
          </cell>
          <cell r="N7874">
            <v>683926.05601571908</v>
          </cell>
          <cell r="O7874">
            <v>692380.00232629513</v>
          </cell>
          <cell r="P7874">
            <v>368.79259999999999</v>
          </cell>
        </row>
        <row r="7875">
          <cell r="B7875">
            <v>40652</v>
          </cell>
          <cell r="J7875">
            <v>3809804.3041216834</v>
          </cell>
          <cell r="K7875">
            <v>2.4380000000000002</v>
          </cell>
          <cell r="L7875">
            <v>148835</v>
          </cell>
          <cell r="M7875">
            <v>13229</v>
          </cell>
          <cell r="N7875">
            <v>683926.05601571908</v>
          </cell>
          <cell r="O7875">
            <v>692380.00232629513</v>
          </cell>
          <cell r="P7875">
            <v>368.79259999999999</v>
          </cell>
        </row>
        <row r="7876">
          <cell r="B7876">
            <v>40653</v>
          </cell>
          <cell r="J7876">
            <v>3809804.3041216834</v>
          </cell>
          <cell r="K7876">
            <v>2.4380000000000002</v>
          </cell>
          <cell r="L7876">
            <v>148835</v>
          </cell>
          <cell r="M7876">
            <v>13229</v>
          </cell>
          <cell r="N7876">
            <v>683926.05601571908</v>
          </cell>
          <cell r="O7876">
            <v>692380.00232629513</v>
          </cell>
          <cell r="P7876">
            <v>368.79259999999999</v>
          </cell>
        </row>
        <row r="7877">
          <cell r="B7877">
            <v>40654</v>
          </cell>
          <cell r="J7877">
            <v>3809804.3041216834</v>
          </cell>
          <cell r="K7877">
            <v>2.4380000000000002</v>
          </cell>
          <cell r="L7877">
            <v>148835</v>
          </cell>
          <cell r="M7877">
            <v>13229</v>
          </cell>
          <cell r="N7877">
            <v>683926.05601571908</v>
          </cell>
          <cell r="O7877">
            <v>692380.00232629513</v>
          </cell>
          <cell r="P7877">
            <v>368.79259999999999</v>
          </cell>
        </row>
        <row r="7878">
          <cell r="B7878">
            <v>40655</v>
          </cell>
          <cell r="J7878">
            <v>3809804.3041216834</v>
          </cell>
          <cell r="K7878">
            <v>2.4380000000000002</v>
          </cell>
          <cell r="L7878">
            <v>148835</v>
          </cell>
          <cell r="M7878">
            <v>13229</v>
          </cell>
          <cell r="N7878">
            <v>683926.05601571908</v>
          </cell>
          <cell r="O7878">
            <v>692380.00232629513</v>
          </cell>
          <cell r="P7878">
            <v>368.79259999999999</v>
          </cell>
        </row>
        <row r="7879">
          <cell r="B7879">
            <v>40656</v>
          </cell>
          <cell r="J7879">
            <v>3809804.3041216834</v>
          </cell>
          <cell r="K7879">
            <v>2.4380000000000002</v>
          </cell>
          <cell r="L7879">
            <v>148835</v>
          </cell>
          <cell r="M7879">
            <v>13229</v>
          </cell>
          <cell r="N7879">
            <v>683926.05601571908</v>
          </cell>
          <cell r="O7879">
            <v>692380.00232629513</v>
          </cell>
          <cell r="P7879">
            <v>368.79259999999999</v>
          </cell>
        </row>
        <row r="7880">
          <cell r="B7880">
            <v>40657</v>
          </cell>
          <cell r="J7880">
            <v>3809804.3041216834</v>
          </cell>
          <cell r="K7880">
            <v>2.4380000000000002</v>
          </cell>
          <cell r="L7880">
            <v>148835</v>
          </cell>
          <cell r="M7880">
            <v>13229</v>
          </cell>
          <cell r="N7880">
            <v>683926.05601571908</v>
          </cell>
          <cell r="O7880">
            <v>692380.00232629513</v>
          </cell>
          <cell r="P7880">
            <v>368.79259999999999</v>
          </cell>
        </row>
        <row r="7881">
          <cell r="B7881">
            <v>40658</v>
          </cell>
          <cell r="J7881">
            <v>3809804.3041216834</v>
          </cell>
          <cell r="K7881">
            <v>2.4380000000000002</v>
          </cell>
          <cell r="L7881">
            <v>148835</v>
          </cell>
          <cell r="M7881">
            <v>13229</v>
          </cell>
          <cell r="N7881">
            <v>683926.05601571908</v>
          </cell>
          <cell r="O7881">
            <v>692380.00232629513</v>
          </cell>
          <cell r="P7881">
            <v>368.79259999999999</v>
          </cell>
        </row>
        <row r="7882">
          <cell r="B7882">
            <v>40659</v>
          </cell>
          <cell r="J7882">
            <v>3809804.3041216834</v>
          </cell>
          <cell r="K7882">
            <v>2.4380000000000002</v>
          </cell>
          <cell r="L7882">
            <v>148835</v>
          </cell>
          <cell r="M7882">
            <v>13229</v>
          </cell>
          <cell r="N7882">
            <v>683926.05601571908</v>
          </cell>
          <cell r="O7882">
            <v>692380.00232629513</v>
          </cell>
          <cell r="P7882">
            <v>368.79259999999999</v>
          </cell>
        </row>
        <row r="7883">
          <cell r="B7883">
            <v>40660</v>
          </cell>
          <cell r="J7883">
            <v>3809804.3041216834</v>
          </cell>
          <cell r="K7883">
            <v>2.4380000000000002</v>
          </cell>
          <cell r="L7883">
            <v>148835</v>
          </cell>
          <cell r="M7883">
            <v>13229</v>
          </cell>
          <cell r="N7883">
            <v>683926.05601571908</v>
          </cell>
          <cell r="O7883">
            <v>692380.00232629513</v>
          </cell>
          <cell r="P7883">
            <v>368.79259999999999</v>
          </cell>
        </row>
        <row r="7884">
          <cell r="B7884">
            <v>40661</v>
          </cell>
          <cell r="J7884">
            <v>3809804.3041216834</v>
          </cell>
          <cell r="K7884">
            <v>2.4380000000000002</v>
          </cell>
          <cell r="L7884">
            <v>148835</v>
          </cell>
          <cell r="M7884">
            <v>13229</v>
          </cell>
          <cell r="N7884">
            <v>683926.05601571908</v>
          </cell>
          <cell r="O7884">
            <v>692380.00232629513</v>
          </cell>
          <cell r="P7884">
            <v>368.79259999999999</v>
          </cell>
        </row>
        <row r="7885">
          <cell r="B7885">
            <v>40662</v>
          </cell>
          <cell r="J7885">
            <v>3809804.3041216834</v>
          </cell>
          <cell r="K7885">
            <v>2.4380000000000002</v>
          </cell>
          <cell r="L7885">
            <v>148835</v>
          </cell>
          <cell r="M7885">
            <v>13229</v>
          </cell>
          <cell r="N7885">
            <v>683926.05601571908</v>
          </cell>
          <cell r="O7885">
            <v>692380.00232629513</v>
          </cell>
          <cell r="P7885">
            <v>368.79259999999999</v>
          </cell>
        </row>
        <row r="7886">
          <cell r="B7886">
            <v>40663</v>
          </cell>
          <cell r="J7886">
            <v>3809804.3041216834</v>
          </cell>
          <cell r="K7886">
            <v>2.4380000000000002</v>
          </cell>
          <cell r="L7886">
            <v>148835</v>
          </cell>
          <cell r="M7886">
            <v>13229</v>
          </cell>
          <cell r="N7886">
            <v>683926.05601571908</v>
          </cell>
          <cell r="O7886">
            <v>692380.00232629513</v>
          </cell>
          <cell r="P7886">
            <v>368.79259999999999</v>
          </cell>
        </row>
        <row r="7887">
          <cell r="B7887">
            <v>40664</v>
          </cell>
          <cell r="J7887">
            <v>3809804.3041216834</v>
          </cell>
          <cell r="K7887">
            <v>2.4380000000000002</v>
          </cell>
          <cell r="L7887">
            <v>148835</v>
          </cell>
          <cell r="M7887">
            <v>13229</v>
          </cell>
          <cell r="N7887">
            <v>683926.05601571908</v>
          </cell>
          <cell r="O7887">
            <v>692380.00232629513</v>
          </cell>
          <cell r="P7887">
            <v>368.79259999999999</v>
          </cell>
        </row>
        <row r="7888">
          <cell r="B7888">
            <v>40665</v>
          </cell>
          <cell r="J7888">
            <v>3809804.3041216834</v>
          </cell>
          <cell r="K7888">
            <v>2.4380000000000002</v>
          </cell>
          <cell r="L7888">
            <v>148835</v>
          </cell>
          <cell r="M7888">
            <v>13229</v>
          </cell>
          <cell r="N7888">
            <v>683926.05601571908</v>
          </cell>
          <cell r="O7888">
            <v>692380.00232629513</v>
          </cell>
          <cell r="P7888">
            <v>368.79259999999999</v>
          </cell>
        </row>
        <row r="7889">
          <cell r="B7889">
            <v>40666</v>
          </cell>
          <cell r="J7889">
            <v>3809804.3041216834</v>
          </cell>
          <cell r="K7889">
            <v>2.4380000000000002</v>
          </cell>
          <cell r="L7889">
            <v>148835</v>
          </cell>
          <cell r="M7889">
            <v>13229</v>
          </cell>
          <cell r="N7889">
            <v>683926.05601571908</v>
          </cell>
          <cell r="O7889">
            <v>692380.00232629513</v>
          </cell>
          <cell r="P7889">
            <v>368.79259999999999</v>
          </cell>
        </row>
        <row r="7890">
          <cell r="B7890">
            <v>40667</v>
          </cell>
          <cell r="J7890">
            <v>3809804.3041216834</v>
          </cell>
          <cell r="K7890">
            <v>2.4380000000000002</v>
          </cell>
          <cell r="L7890">
            <v>148835</v>
          </cell>
          <cell r="M7890">
            <v>13229</v>
          </cell>
          <cell r="N7890">
            <v>683926.05601571908</v>
          </cell>
          <cell r="O7890">
            <v>692380.00232629513</v>
          </cell>
          <cell r="P7890">
            <v>368.79259999999999</v>
          </cell>
        </row>
        <row r="7891">
          <cell r="B7891">
            <v>40668</v>
          </cell>
          <cell r="J7891">
            <v>3809804.3041216834</v>
          </cell>
          <cell r="K7891">
            <v>2.4380000000000002</v>
          </cell>
          <cell r="L7891">
            <v>148835</v>
          </cell>
          <cell r="M7891">
            <v>13229</v>
          </cell>
          <cell r="N7891">
            <v>683926.05601571908</v>
          </cell>
          <cell r="O7891">
            <v>692380.00232629513</v>
          </cell>
          <cell r="P7891">
            <v>368.79259999999999</v>
          </cell>
        </row>
        <row r="7892">
          <cell r="B7892">
            <v>40669</v>
          </cell>
          <cell r="J7892">
            <v>3809804.3041216834</v>
          </cell>
          <cell r="K7892">
            <v>2.4380000000000002</v>
          </cell>
          <cell r="L7892">
            <v>148835</v>
          </cell>
          <cell r="M7892">
            <v>13229</v>
          </cell>
          <cell r="N7892">
            <v>683926.05601571908</v>
          </cell>
          <cell r="O7892">
            <v>692380.00232629513</v>
          </cell>
          <cell r="P7892">
            <v>368.79259999999999</v>
          </cell>
        </row>
        <row r="7893">
          <cell r="B7893">
            <v>40670</v>
          </cell>
          <cell r="J7893">
            <v>3809804.3041216834</v>
          </cell>
          <cell r="K7893">
            <v>2.4380000000000002</v>
          </cell>
          <cell r="L7893">
            <v>148835</v>
          </cell>
          <cell r="M7893">
            <v>13229</v>
          </cell>
          <cell r="N7893">
            <v>683926.05601571908</v>
          </cell>
          <cell r="O7893">
            <v>692380.00232629513</v>
          </cell>
          <cell r="P7893">
            <v>368.79259999999999</v>
          </cell>
        </row>
        <row r="7894">
          <cell r="B7894">
            <v>40671</v>
          </cell>
          <cell r="J7894">
            <v>3809804.3041216834</v>
          </cell>
          <cell r="K7894">
            <v>2.4380000000000002</v>
          </cell>
          <cell r="L7894">
            <v>148835</v>
          </cell>
          <cell r="M7894">
            <v>13229</v>
          </cell>
          <cell r="N7894">
            <v>683926.05601571908</v>
          </cell>
          <cell r="O7894">
            <v>692380.00232629513</v>
          </cell>
          <cell r="P7894">
            <v>368.79259999999999</v>
          </cell>
        </row>
        <row r="7895">
          <cell r="B7895">
            <v>40672</v>
          </cell>
          <cell r="J7895">
            <v>3809804.3041216834</v>
          </cell>
          <cell r="K7895">
            <v>2.4380000000000002</v>
          </cell>
          <cell r="L7895">
            <v>148835</v>
          </cell>
          <cell r="M7895">
            <v>13229</v>
          </cell>
          <cell r="N7895">
            <v>683926.05601571908</v>
          </cell>
          <cell r="O7895">
            <v>692380.00232629513</v>
          </cell>
          <cell r="P7895">
            <v>368.79259999999999</v>
          </cell>
        </row>
        <row r="7896">
          <cell r="B7896">
            <v>40673</v>
          </cell>
          <cell r="J7896">
            <v>3809804.3041216834</v>
          </cell>
          <cell r="K7896">
            <v>2.4380000000000002</v>
          </cell>
          <cell r="L7896">
            <v>148835</v>
          </cell>
          <cell r="M7896">
            <v>13229</v>
          </cell>
          <cell r="N7896">
            <v>683926.05601571908</v>
          </cell>
          <cell r="O7896">
            <v>692380.00232629513</v>
          </cell>
          <cell r="P7896">
            <v>368.79259999999999</v>
          </cell>
        </row>
        <row r="7897">
          <cell r="B7897">
            <v>40674</v>
          </cell>
          <cell r="J7897">
            <v>3809804.3041216834</v>
          </cell>
          <cell r="K7897">
            <v>2.4380000000000002</v>
          </cell>
          <cell r="L7897">
            <v>148835</v>
          </cell>
          <cell r="M7897">
            <v>13229</v>
          </cell>
          <cell r="N7897">
            <v>683926.05601571908</v>
          </cell>
          <cell r="O7897">
            <v>692380.00232629513</v>
          </cell>
          <cell r="P7897">
            <v>368.79259999999999</v>
          </cell>
        </row>
        <row r="7898">
          <cell r="B7898">
            <v>40675</v>
          </cell>
          <cell r="J7898">
            <v>3809804.3041216834</v>
          </cell>
          <cell r="K7898">
            <v>2.4380000000000002</v>
          </cell>
          <cell r="L7898">
            <v>148835</v>
          </cell>
          <cell r="M7898">
            <v>13229</v>
          </cell>
          <cell r="N7898">
            <v>683926.05601571908</v>
          </cell>
          <cell r="O7898">
            <v>692380.00232629513</v>
          </cell>
          <cell r="P7898">
            <v>368.79259999999999</v>
          </cell>
        </row>
        <row r="7899">
          <cell r="B7899">
            <v>40676</v>
          </cell>
          <cell r="J7899">
            <v>3809804.3041216834</v>
          </cell>
          <cell r="K7899">
            <v>2.4380000000000002</v>
          </cell>
          <cell r="L7899">
            <v>148835</v>
          </cell>
          <cell r="M7899">
            <v>13229</v>
          </cell>
          <cell r="N7899">
            <v>683926.05601571908</v>
          </cell>
          <cell r="O7899">
            <v>692380.00232629513</v>
          </cell>
          <cell r="P7899">
            <v>368.79259999999999</v>
          </cell>
        </row>
        <row r="7900">
          <cell r="B7900">
            <v>40677</v>
          </cell>
          <cell r="J7900">
            <v>3809804.3041216834</v>
          </cell>
          <cell r="K7900">
            <v>2.4380000000000002</v>
          </cell>
          <cell r="L7900">
            <v>148835</v>
          </cell>
          <cell r="M7900">
            <v>13229</v>
          </cell>
          <cell r="N7900">
            <v>683926.05601571908</v>
          </cell>
          <cell r="O7900">
            <v>692380.00232629513</v>
          </cell>
          <cell r="P7900">
            <v>368.79259999999999</v>
          </cell>
        </row>
        <row r="7901">
          <cell r="B7901">
            <v>40678</v>
          </cell>
          <cell r="J7901">
            <v>3809804.3041216834</v>
          </cell>
          <cell r="K7901">
            <v>2.4380000000000002</v>
          </cell>
          <cell r="L7901">
            <v>148835</v>
          </cell>
          <cell r="M7901">
            <v>13229</v>
          </cell>
          <cell r="N7901">
            <v>683926.05601571908</v>
          </cell>
          <cell r="O7901">
            <v>692380.00232629513</v>
          </cell>
          <cell r="P7901">
            <v>368.79259999999999</v>
          </cell>
        </row>
        <row r="7902">
          <cell r="B7902">
            <v>40679</v>
          </cell>
          <cell r="J7902">
            <v>3809804.3041216834</v>
          </cell>
          <cell r="K7902">
            <v>2.4380000000000002</v>
          </cell>
          <cell r="L7902">
            <v>148835</v>
          </cell>
          <cell r="M7902">
            <v>13229</v>
          </cell>
          <cell r="N7902">
            <v>683926.05601571908</v>
          </cell>
          <cell r="O7902">
            <v>692380.00232629513</v>
          </cell>
          <cell r="P7902">
            <v>368.79259999999999</v>
          </cell>
        </row>
        <row r="7903">
          <cell r="B7903">
            <v>40680</v>
          </cell>
          <cell r="J7903">
            <v>3809804.3041216834</v>
          </cell>
          <cell r="K7903">
            <v>2.4380000000000002</v>
          </cell>
          <cell r="L7903">
            <v>148835</v>
          </cell>
          <cell r="M7903">
            <v>13229</v>
          </cell>
          <cell r="N7903">
            <v>683926.05601571908</v>
          </cell>
          <cell r="O7903">
            <v>692380.00232629513</v>
          </cell>
          <cell r="P7903">
            <v>368.79259999999999</v>
          </cell>
        </row>
        <row r="7904">
          <cell r="B7904">
            <v>40681</v>
          </cell>
          <cell r="J7904">
            <v>3809804.3041216834</v>
          </cell>
          <cell r="K7904">
            <v>2.4380000000000002</v>
          </cell>
          <cell r="L7904">
            <v>148835</v>
          </cell>
          <cell r="M7904">
            <v>13229</v>
          </cell>
          <cell r="N7904">
            <v>683926.05601571908</v>
          </cell>
          <cell r="O7904">
            <v>692380.00232629513</v>
          </cell>
          <cell r="P7904">
            <v>368.79259999999999</v>
          </cell>
        </row>
        <row r="7905">
          <cell r="B7905">
            <v>40682</v>
          </cell>
          <cell r="J7905">
            <v>3809804.3041216834</v>
          </cell>
          <cell r="K7905">
            <v>2.4380000000000002</v>
          </cell>
          <cell r="L7905">
            <v>148835</v>
          </cell>
          <cell r="M7905">
            <v>13229</v>
          </cell>
          <cell r="N7905">
            <v>683926.05601571908</v>
          </cell>
          <cell r="O7905">
            <v>692380.00232629513</v>
          </cell>
          <cell r="P7905">
            <v>368.79259999999999</v>
          </cell>
        </row>
        <row r="7906">
          <cell r="B7906">
            <v>40683</v>
          </cell>
          <cell r="J7906">
            <v>3809804.3041216834</v>
          </cell>
          <cell r="K7906">
            <v>2.4380000000000002</v>
          </cell>
          <cell r="L7906">
            <v>148835</v>
          </cell>
          <cell r="M7906">
            <v>13229</v>
          </cell>
          <cell r="N7906">
            <v>683926.05601571908</v>
          </cell>
          <cell r="O7906">
            <v>692380.00232629513</v>
          </cell>
          <cell r="P7906">
            <v>368.79259999999999</v>
          </cell>
        </row>
        <row r="7907">
          <cell r="B7907">
            <v>40684</v>
          </cell>
          <cell r="J7907">
            <v>3809804.3041216834</v>
          </cell>
          <cell r="K7907">
            <v>2.4380000000000002</v>
          </cell>
          <cell r="L7907">
            <v>148835</v>
          </cell>
          <cell r="M7907">
            <v>13229</v>
          </cell>
          <cell r="N7907">
            <v>683926.05601571908</v>
          </cell>
          <cell r="O7907">
            <v>692380.00232629513</v>
          </cell>
          <cell r="P7907">
            <v>368.79259999999999</v>
          </cell>
        </row>
        <row r="7908">
          <cell r="B7908">
            <v>40685</v>
          </cell>
          <cell r="J7908">
            <v>3809804.3041216834</v>
          </cell>
          <cell r="K7908">
            <v>2.4380000000000002</v>
          </cell>
          <cell r="L7908">
            <v>148835</v>
          </cell>
          <cell r="M7908">
            <v>13229</v>
          </cell>
          <cell r="N7908">
            <v>683926.05601571908</v>
          </cell>
          <cell r="O7908">
            <v>692380.00232629513</v>
          </cell>
          <cell r="P7908">
            <v>368.79259999999999</v>
          </cell>
        </row>
        <row r="7909">
          <cell r="B7909">
            <v>40686</v>
          </cell>
          <cell r="J7909">
            <v>3809804.3041216834</v>
          </cell>
          <cell r="K7909">
            <v>2.4380000000000002</v>
          </cell>
          <cell r="L7909">
            <v>148835</v>
          </cell>
          <cell r="M7909">
            <v>13229</v>
          </cell>
          <cell r="N7909">
            <v>683926.05601571908</v>
          </cell>
          <cell r="O7909">
            <v>692380.00232629513</v>
          </cell>
          <cell r="P7909">
            <v>368.79259999999999</v>
          </cell>
        </row>
        <row r="7910">
          <cell r="B7910">
            <v>40687</v>
          </cell>
          <cell r="J7910">
            <v>3809804.3041216834</v>
          </cell>
          <cell r="K7910">
            <v>2.4380000000000002</v>
          </cell>
          <cell r="L7910">
            <v>148835</v>
          </cell>
          <cell r="M7910">
            <v>13229</v>
          </cell>
          <cell r="N7910">
            <v>683926.05601571908</v>
          </cell>
          <cell r="O7910">
            <v>692380.00232629513</v>
          </cell>
          <cell r="P7910">
            <v>368.79259999999999</v>
          </cell>
        </row>
        <row r="7911">
          <cell r="B7911">
            <v>40688</v>
          </cell>
          <cell r="J7911">
            <v>3809804.3041216834</v>
          </cell>
          <cell r="K7911">
            <v>2.4380000000000002</v>
          </cell>
          <cell r="L7911">
            <v>148835</v>
          </cell>
          <cell r="M7911">
            <v>13229</v>
          </cell>
          <cell r="N7911">
            <v>683926.05601571908</v>
          </cell>
          <cell r="O7911">
            <v>692380.00232629513</v>
          </cell>
          <cell r="P7911">
            <v>368.79259999999999</v>
          </cell>
        </row>
        <row r="7912">
          <cell r="B7912">
            <v>40689</v>
          </cell>
          <cell r="J7912">
            <v>3809804.3041216834</v>
          </cell>
          <cell r="K7912">
            <v>2.4380000000000002</v>
          </cell>
          <cell r="L7912">
            <v>148835</v>
          </cell>
          <cell r="M7912">
            <v>13229</v>
          </cell>
          <cell r="N7912">
            <v>683926.05601571908</v>
          </cell>
          <cell r="O7912">
            <v>692380.00232629513</v>
          </cell>
          <cell r="P7912">
            <v>368.79259999999999</v>
          </cell>
        </row>
        <row r="7913">
          <cell r="B7913">
            <v>40690</v>
          </cell>
          <cell r="J7913">
            <v>3809804.3041216834</v>
          </cell>
          <cell r="K7913">
            <v>2.4380000000000002</v>
          </cell>
          <cell r="L7913">
            <v>148835</v>
          </cell>
          <cell r="M7913">
            <v>13229</v>
          </cell>
          <cell r="N7913">
            <v>683926.05601571908</v>
          </cell>
          <cell r="O7913">
            <v>692380.00232629513</v>
          </cell>
          <cell r="P7913">
            <v>368.79259999999999</v>
          </cell>
        </row>
        <row r="7914">
          <cell r="B7914">
            <v>40691</v>
          </cell>
          <cell r="J7914">
            <v>3809804.3041216834</v>
          </cell>
          <cell r="K7914">
            <v>2.4380000000000002</v>
          </cell>
          <cell r="L7914">
            <v>148835</v>
          </cell>
          <cell r="M7914">
            <v>13229</v>
          </cell>
          <cell r="N7914">
            <v>683926.05601571908</v>
          </cell>
          <cell r="O7914">
            <v>692380.00232629513</v>
          </cell>
          <cell r="P7914">
            <v>368.79259999999999</v>
          </cell>
        </row>
        <row r="7915">
          <cell r="B7915">
            <v>40692</v>
          </cell>
          <cell r="J7915">
            <v>3809804.3041216834</v>
          </cell>
          <cell r="K7915">
            <v>2.4380000000000002</v>
          </cell>
          <cell r="L7915">
            <v>148835</v>
          </cell>
          <cell r="M7915">
            <v>13229</v>
          </cell>
          <cell r="N7915">
            <v>683926.05601571908</v>
          </cell>
          <cell r="O7915">
            <v>692380.00232629513</v>
          </cell>
          <cell r="P7915">
            <v>368.79259999999999</v>
          </cell>
        </row>
        <row r="7916">
          <cell r="B7916">
            <v>40693</v>
          </cell>
          <cell r="J7916">
            <v>3809804.3041216834</v>
          </cell>
          <cell r="K7916">
            <v>2.4380000000000002</v>
          </cell>
          <cell r="L7916">
            <v>148835</v>
          </cell>
          <cell r="M7916">
            <v>13229</v>
          </cell>
          <cell r="N7916">
            <v>683926.05601571908</v>
          </cell>
          <cell r="O7916">
            <v>692380.00232629513</v>
          </cell>
          <cell r="P7916">
            <v>368.79259999999999</v>
          </cell>
        </row>
        <row r="7917">
          <cell r="B7917">
            <v>40694</v>
          </cell>
          <cell r="J7917">
            <v>3809804.3041216834</v>
          </cell>
          <cell r="K7917">
            <v>2.4380000000000002</v>
          </cell>
          <cell r="L7917">
            <v>148835</v>
          </cell>
          <cell r="M7917">
            <v>13229</v>
          </cell>
          <cell r="N7917">
            <v>683926.05601571908</v>
          </cell>
          <cell r="O7917">
            <v>692380.00232629513</v>
          </cell>
          <cell r="P7917">
            <v>368.79259999999999</v>
          </cell>
        </row>
        <row r="7918">
          <cell r="B7918">
            <v>40695</v>
          </cell>
          <cell r="J7918">
            <v>3809804.3041216834</v>
          </cell>
          <cell r="K7918">
            <v>2.4380000000000002</v>
          </cell>
          <cell r="L7918">
            <v>148835</v>
          </cell>
          <cell r="M7918">
            <v>13229</v>
          </cell>
          <cell r="N7918">
            <v>683926.05601571908</v>
          </cell>
          <cell r="O7918">
            <v>692380.00232629513</v>
          </cell>
          <cell r="P7918">
            <v>368.79259999999999</v>
          </cell>
        </row>
        <row r="7919">
          <cell r="B7919">
            <v>40696</v>
          </cell>
          <cell r="J7919">
            <v>3809804.3041216834</v>
          </cell>
          <cell r="K7919">
            <v>2.4380000000000002</v>
          </cell>
          <cell r="L7919">
            <v>148835</v>
          </cell>
          <cell r="M7919">
            <v>13229</v>
          </cell>
          <cell r="N7919">
            <v>683926.05601571908</v>
          </cell>
          <cell r="O7919">
            <v>692380.00232629513</v>
          </cell>
          <cell r="P7919">
            <v>368.79259999999999</v>
          </cell>
        </row>
        <row r="7920">
          <cell r="B7920">
            <v>40697</v>
          </cell>
          <cell r="J7920">
            <v>3809804.3041216834</v>
          </cell>
          <cell r="K7920">
            <v>2.4380000000000002</v>
          </cell>
          <cell r="L7920">
            <v>148835</v>
          </cell>
          <cell r="M7920">
            <v>13229</v>
          </cell>
          <cell r="N7920">
            <v>683926.05601571908</v>
          </cell>
          <cell r="O7920">
            <v>692380.00232629513</v>
          </cell>
          <cell r="P7920">
            <v>368.79259999999999</v>
          </cell>
        </row>
        <row r="7921">
          <cell r="B7921">
            <v>40698</v>
          </cell>
          <cell r="J7921">
            <v>3809804.3041216834</v>
          </cell>
          <cell r="K7921">
            <v>2.4380000000000002</v>
          </cell>
          <cell r="L7921">
            <v>148835</v>
          </cell>
          <cell r="M7921">
            <v>13229</v>
          </cell>
          <cell r="N7921">
            <v>683926.05601571908</v>
          </cell>
          <cell r="O7921">
            <v>692380.00232629513</v>
          </cell>
          <cell r="P7921">
            <v>368.79259999999999</v>
          </cell>
        </row>
        <row r="7922">
          <cell r="B7922">
            <v>40699</v>
          </cell>
          <cell r="J7922">
            <v>3809804.3041216834</v>
          </cell>
          <cell r="K7922">
            <v>2.4380000000000002</v>
          </cell>
          <cell r="L7922">
            <v>148835</v>
          </cell>
          <cell r="M7922">
            <v>13229</v>
          </cell>
          <cell r="N7922">
            <v>683926.05601571908</v>
          </cell>
          <cell r="O7922">
            <v>692380.00232629513</v>
          </cell>
          <cell r="P7922">
            <v>368.79259999999999</v>
          </cell>
        </row>
        <row r="7923">
          <cell r="B7923">
            <v>40700</v>
          </cell>
          <cell r="J7923">
            <v>3809804.3041216834</v>
          </cell>
          <cell r="K7923">
            <v>2.4380000000000002</v>
          </cell>
          <cell r="L7923">
            <v>148835</v>
          </cell>
          <cell r="M7923">
            <v>13229</v>
          </cell>
          <cell r="N7923">
            <v>683926.05601571908</v>
          </cell>
          <cell r="O7923">
            <v>692380.00232629513</v>
          </cell>
          <cell r="P7923">
            <v>368.79259999999999</v>
          </cell>
        </row>
        <row r="7924">
          <cell r="B7924">
            <v>40701</v>
          </cell>
          <cell r="J7924">
            <v>3809804.3041216834</v>
          </cell>
          <cell r="K7924">
            <v>2.4380000000000002</v>
          </cell>
          <cell r="L7924">
            <v>148835</v>
          </cell>
          <cell r="M7924">
            <v>13229</v>
          </cell>
          <cell r="N7924">
            <v>683926.05601571908</v>
          </cell>
          <cell r="O7924">
            <v>692380.00232629513</v>
          </cell>
          <cell r="P7924">
            <v>368.79259999999999</v>
          </cell>
        </row>
        <row r="7925">
          <cell r="B7925">
            <v>40702</v>
          </cell>
          <cell r="J7925">
            <v>3809804.3041216834</v>
          </cell>
          <cell r="K7925">
            <v>2.4380000000000002</v>
          </cell>
          <cell r="L7925">
            <v>148835</v>
          </cell>
          <cell r="M7925">
            <v>13229</v>
          </cell>
          <cell r="N7925">
            <v>683926.05601571908</v>
          </cell>
          <cell r="O7925">
            <v>692380.00232629513</v>
          </cell>
          <cell r="P7925">
            <v>368.79259999999999</v>
          </cell>
        </row>
        <row r="7926">
          <cell r="B7926">
            <v>40703</v>
          </cell>
          <cell r="J7926">
            <v>3809804.3041216834</v>
          </cell>
          <cell r="K7926">
            <v>2.4380000000000002</v>
          </cell>
          <cell r="L7926">
            <v>148835</v>
          </cell>
          <cell r="M7926">
            <v>13229</v>
          </cell>
          <cell r="N7926">
            <v>683926.05601571908</v>
          </cell>
          <cell r="O7926">
            <v>692380.00232629513</v>
          </cell>
          <cell r="P7926">
            <v>368.79259999999999</v>
          </cell>
        </row>
        <row r="7927">
          <cell r="B7927">
            <v>40704</v>
          </cell>
          <cell r="J7927">
            <v>3809804.3041216834</v>
          </cell>
          <cell r="K7927">
            <v>2.4380000000000002</v>
          </cell>
          <cell r="L7927">
            <v>148835</v>
          </cell>
          <cell r="M7927">
            <v>13229</v>
          </cell>
          <cell r="N7927">
            <v>683926.05601571908</v>
          </cell>
          <cell r="O7927">
            <v>692380.00232629513</v>
          </cell>
          <cell r="P7927">
            <v>368.79259999999999</v>
          </cell>
        </row>
        <row r="7928">
          <cell r="B7928">
            <v>40705</v>
          </cell>
          <cell r="J7928">
            <v>3809804.3041216834</v>
          </cell>
          <cell r="K7928">
            <v>2.4380000000000002</v>
          </cell>
          <cell r="L7928">
            <v>148835</v>
          </cell>
          <cell r="M7928">
            <v>13229</v>
          </cell>
          <cell r="N7928">
            <v>683926.05601571908</v>
          </cell>
          <cell r="O7928">
            <v>692380.00232629513</v>
          </cell>
          <cell r="P7928">
            <v>368.79259999999999</v>
          </cell>
        </row>
        <row r="7929">
          <cell r="B7929">
            <v>40706</v>
          </cell>
          <cell r="J7929">
            <v>3809804.3041216834</v>
          </cell>
          <cell r="K7929">
            <v>2.4380000000000002</v>
          </cell>
          <cell r="L7929">
            <v>148835</v>
          </cell>
          <cell r="M7929">
            <v>13229</v>
          </cell>
          <cell r="N7929">
            <v>683926.05601571908</v>
          </cell>
          <cell r="O7929">
            <v>692380.00232629513</v>
          </cell>
          <cell r="P7929">
            <v>368.79259999999999</v>
          </cell>
        </row>
        <row r="7930">
          <cell r="B7930">
            <v>40707</v>
          </cell>
          <cell r="J7930">
            <v>3809804.3041216834</v>
          </cell>
          <cell r="K7930">
            <v>2.4380000000000002</v>
          </cell>
          <cell r="L7930">
            <v>148835</v>
          </cell>
          <cell r="M7930">
            <v>13229</v>
          </cell>
          <cell r="N7930">
            <v>683926.05601571908</v>
          </cell>
          <cell r="O7930">
            <v>692380.00232629513</v>
          </cell>
          <cell r="P7930">
            <v>368.79259999999999</v>
          </cell>
        </row>
        <row r="7931">
          <cell r="B7931">
            <v>40708</v>
          </cell>
          <cell r="J7931">
            <v>3809804.3041216834</v>
          </cell>
          <cell r="K7931">
            <v>2.4380000000000002</v>
          </cell>
          <cell r="L7931">
            <v>148835</v>
          </cell>
          <cell r="M7931">
            <v>13229</v>
          </cell>
          <cell r="N7931">
            <v>683926.05601571908</v>
          </cell>
          <cell r="O7931">
            <v>692380.00232629513</v>
          </cell>
          <cell r="P7931">
            <v>368.79259999999999</v>
          </cell>
        </row>
        <row r="7932">
          <cell r="B7932">
            <v>40709</v>
          </cell>
          <cell r="J7932">
            <v>3809804.3041216834</v>
          </cell>
          <cell r="K7932">
            <v>2.4380000000000002</v>
          </cell>
          <cell r="L7932">
            <v>148835</v>
          </cell>
          <cell r="M7932">
            <v>13229</v>
          </cell>
          <cell r="N7932">
            <v>683926.05601571908</v>
          </cell>
          <cell r="O7932">
            <v>692380.00232629513</v>
          </cell>
          <cell r="P7932">
            <v>368.79259999999999</v>
          </cell>
        </row>
        <row r="7933">
          <cell r="B7933">
            <v>40710</v>
          </cell>
          <cell r="J7933">
            <v>3809804.3041216834</v>
          </cell>
          <cell r="K7933">
            <v>2.4380000000000002</v>
          </cell>
          <cell r="L7933">
            <v>148835</v>
          </cell>
          <cell r="M7933">
            <v>13229</v>
          </cell>
          <cell r="N7933">
            <v>683926.05601571908</v>
          </cell>
          <cell r="O7933">
            <v>692380.00232629513</v>
          </cell>
          <cell r="P7933">
            <v>368.79259999999999</v>
          </cell>
        </row>
        <row r="7934">
          <cell r="B7934">
            <v>40711</v>
          </cell>
          <cell r="J7934">
            <v>3809804.3041216834</v>
          </cell>
          <cell r="K7934">
            <v>2.4380000000000002</v>
          </cell>
          <cell r="L7934">
            <v>148835</v>
          </cell>
          <cell r="M7934">
            <v>13229</v>
          </cell>
          <cell r="N7934">
            <v>683926.05601571908</v>
          </cell>
          <cell r="O7934">
            <v>692380.00232629513</v>
          </cell>
          <cell r="P7934">
            <v>368.79259999999999</v>
          </cell>
        </row>
        <row r="7935">
          <cell r="B7935">
            <v>40712</v>
          </cell>
          <cell r="J7935">
            <v>3809804.3041216834</v>
          </cell>
          <cell r="K7935">
            <v>2.4380000000000002</v>
          </cell>
          <cell r="L7935">
            <v>148835</v>
          </cell>
          <cell r="M7935">
            <v>13229</v>
          </cell>
          <cell r="N7935">
            <v>683926.05601571908</v>
          </cell>
          <cell r="O7935">
            <v>692380.00232629513</v>
          </cell>
          <cell r="P7935">
            <v>368.79259999999999</v>
          </cell>
        </row>
        <row r="7936">
          <cell r="B7936">
            <v>40713</v>
          </cell>
          <cell r="J7936">
            <v>3809804.3041216834</v>
          </cell>
          <cell r="K7936">
            <v>2.4380000000000002</v>
          </cell>
          <cell r="L7936">
            <v>148835</v>
          </cell>
          <cell r="M7936">
            <v>13229</v>
          </cell>
          <cell r="N7936">
            <v>683926.05601571908</v>
          </cell>
          <cell r="O7936">
            <v>692380.00232629513</v>
          </cell>
          <cell r="P7936">
            <v>368.79259999999999</v>
          </cell>
        </row>
        <row r="7937">
          <cell r="B7937">
            <v>40714</v>
          </cell>
          <cell r="J7937">
            <v>3809804.3041216834</v>
          </cell>
          <cell r="K7937">
            <v>2.4380000000000002</v>
          </cell>
          <cell r="L7937">
            <v>148835</v>
          </cell>
          <cell r="M7937">
            <v>13229</v>
          </cell>
          <cell r="N7937">
            <v>683926.05601571908</v>
          </cell>
          <cell r="O7937">
            <v>692380.00232629513</v>
          </cell>
          <cell r="P7937">
            <v>368.79259999999999</v>
          </cell>
        </row>
        <row r="7938">
          <cell r="B7938">
            <v>40715</v>
          </cell>
          <cell r="J7938">
            <v>3809804.3041216834</v>
          </cell>
          <cell r="K7938">
            <v>2.4380000000000002</v>
          </cell>
          <cell r="L7938">
            <v>148835</v>
          </cell>
          <cell r="M7938">
            <v>13229</v>
          </cell>
          <cell r="N7938">
            <v>683926.05601571908</v>
          </cell>
          <cell r="O7938">
            <v>692380.00232629513</v>
          </cell>
          <cell r="P7938">
            <v>368.79259999999999</v>
          </cell>
        </row>
        <row r="7939">
          <cell r="B7939">
            <v>40716</v>
          </cell>
          <cell r="J7939">
            <v>3809804.3041216834</v>
          </cell>
          <cell r="K7939">
            <v>2.4380000000000002</v>
          </cell>
          <cell r="L7939">
            <v>148835</v>
          </cell>
          <cell r="M7939">
            <v>13229</v>
          </cell>
          <cell r="N7939">
            <v>683926.05601571908</v>
          </cell>
          <cell r="O7939">
            <v>692380.00232629513</v>
          </cell>
          <cell r="P7939">
            <v>368.79259999999999</v>
          </cell>
        </row>
        <row r="7940">
          <cell r="B7940">
            <v>40717</v>
          </cell>
          <cell r="J7940">
            <v>3809804.3041216834</v>
          </cell>
          <cell r="K7940">
            <v>2.4380000000000002</v>
          </cell>
          <cell r="L7940">
            <v>148835</v>
          </cell>
          <cell r="M7940">
            <v>13229</v>
          </cell>
          <cell r="N7940">
            <v>683926.05601571908</v>
          </cell>
          <cell r="O7940">
            <v>692380.00232629513</v>
          </cell>
          <cell r="P7940">
            <v>368.79259999999999</v>
          </cell>
        </row>
        <row r="7941">
          <cell r="B7941">
            <v>40718</v>
          </cell>
          <cell r="J7941">
            <v>3809804.3041216834</v>
          </cell>
          <cell r="K7941">
            <v>2.4380000000000002</v>
          </cell>
          <cell r="L7941">
            <v>148835</v>
          </cell>
          <cell r="M7941">
            <v>13229</v>
          </cell>
          <cell r="N7941">
            <v>683926.05601571908</v>
          </cell>
          <cell r="O7941">
            <v>692380.00232629513</v>
          </cell>
          <cell r="P7941">
            <v>368.79259999999999</v>
          </cell>
        </row>
        <row r="7942">
          <cell r="B7942">
            <v>40719</v>
          </cell>
          <cell r="J7942">
            <v>3809804.3041216834</v>
          </cell>
          <cell r="K7942">
            <v>2.4380000000000002</v>
          </cell>
          <cell r="L7942">
            <v>148835</v>
          </cell>
          <cell r="M7942">
            <v>13229</v>
          </cell>
          <cell r="N7942">
            <v>683926.05601571908</v>
          </cell>
          <cell r="O7942">
            <v>692380.00232629513</v>
          </cell>
          <cell r="P7942">
            <v>368.79259999999999</v>
          </cell>
        </row>
        <row r="7943">
          <cell r="B7943">
            <v>40720</v>
          </cell>
          <cell r="J7943">
            <v>3809804.3041216834</v>
          </cell>
          <cell r="K7943">
            <v>2.4380000000000002</v>
          </cell>
          <cell r="L7943">
            <v>148835</v>
          </cell>
          <cell r="M7943">
            <v>13229</v>
          </cell>
          <cell r="N7943">
            <v>683926.05601571908</v>
          </cell>
          <cell r="O7943">
            <v>692380.00232629513</v>
          </cell>
          <cell r="P7943">
            <v>368.79259999999999</v>
          </cell>
        </row>
        <row r="7944">
          <cell r="B7944">
            <v>40721</v>
          </cell>
          <cell r="J7944">
            <v>3809804.3041216834</v>
          </cell>
          <cell r="K7944">
            <v>2.4380000000000002</v>
          </cell>
          <cell r="L7944">
            <v>148835</v>
          </cell>
          <cell r="M7944">
            <v>13229</v>
          </cell>
          <cell r="N7944">
            <v>683926.05601571908</v>
          </cell>
          <cell r="O7944">
            <v>692380.00232629513</v>
          </cell>
          <cell r="P7944">
            <v>368.79259999999999</v>
          </cell>
        </row>
        <row r="7945">
          <cell r="B7945">
            <v>40722</v>
          </cell>
          <cell r="J7945">
            <v>3809804.3041216834</v>
          </cell>
          <cell r="K7945">
            <v>2.4380000000000002</v>
          </cell>
          <cell r="L7945">
            <v>148835</v>
          </cell>
          <cell r="M7945">
            <v>13229</v>
          </cell>
          <cell r="N7945">
            <v>683926.05601571908</v>
          </cell>
          <cell r="O7945">
            <v>692380.00232629513</v>
          </cell>
          <cell r="P7945">
            <v>368.79259999999999</v>
          </cell>
        </row>
        <row r="7946">
          <cell r="B7946">
            <v>40723</v>
          </cell>
          <cell r="J7946">
            <v>3809804.3041216834</v>
          </cell>
          <cell r="K7946">
            <v>2.4380000000000002</v>
          </cell>
          <cell r="L7946">
            <v>148835</v>
          </cell>
          <cell r="M7946">
            <v>13229</v>
          </cell>
          <cell r="N7946">
            <v>683926.05601571908</v>
          </cell>
          <cell r="O7946">
            <v>692380.00232629513</v>
          </cell>
          <cell r="P7946">
            <v>368.79259999999999</v>
          </cell>
        </row>
        <row r="7947">
          <cell r="B7947">
            <v>40724</v>
          </cell>
          <cell r="J7947">
            <v>3809804.3041216834</v>
          </cell>
          <cell r="K7947">
            <v>2.4380000000000002</v>
          </cell>
          <cell r="L7947">
            <v>148835</v>
          </cell>
          <cell r="M7947">
            <v>13229</v>
          </cell>
          <cell r="N7947">
            <v>683926.05601571908</v>
          </cell>
          <cell r="O7947">
            <v>692380.00232629513</v>
          </cell>
          <cell r="P7947">
            <v>368.79259999999999</v>
          </cell>
        </row>
        <row r="7948">
          <cell r="B7948">
            <v>40725</v>
          </cell>
          <cell r="J7948">
            <v>3809804.3041216834</v>
          </cell>
          <cell r="K7948">
            <v>2.4380000000000002</v>
          </cell>
          <cell r="L7948">
            <v>148835</v>
          </cell>
          <cell r="M7948">
            <v>13229</v>
          </cell>
          <cell r="N7948">
            <v>683926.05601571908</v>
          </cell>
          <cell r="O7948">
            <v>692380.00232629513</v>
          </cell>
          <cell r="P7948">
            <v>368.79259999999999</v>
          </cell>
        </row>
        <row r="7949">
          <cell r="B7949">
            <v>40726</v>
          </cell>
          <cell r="J7949">
            <v>3809804.3041216834</v>
          </cell>
          <cell r="K7949">
            <v>2.4380000000000002</v>
          </cell>
          <cell r="L7949">
            <v>148835</v>
          </cell>
          <cell r="M7949">
            <v>13229</v>
          </cell>
          <cell r="N7949">
            <v>683926.05601571908</v>
          </cell>
          <cell r="O7949">
            <v>692380.00232629513</v>
          </cell>
          <cell r="P7949">
            <v>368.79259999999999</v>
          </cell>
        </row>
        <row r="7950">
          <cell r="B7950">
            <v>40727</v>
          </cell>
          <cell r="J7950">
            <v>3809804.3041216834</v>
          </cell>
          <cell r="K7950">
            <v>2.4380000000000002</v>
          </cell>
          <cell r="L7950">
            <v>148835</v>
          </cell>
          <cell r="M7950">
            <v>13229</v>
          </cell>
          <cell r="N7950">
            <v>683926.05601571908</v>
          </cell>
          <cell r="O7950">
            <v>692380.00232629513</v>
          </cell>
          <cell r="P7950">
            <v>368.79259999999999</v>
          </cell>
        </row>
        <row r="7951">
          <cell r="B7951">
            <v>40728</v>
          </cell>
          <cell r="J7951">
            <v>3809804.3041216834</v>
          </cell>
          <cell r="K7951">
            <v>2.4380000000000002</v>
          </cell>
          <cell r="L7951">
            <v>148835</v>
          </cell>
          <cell r="M7951">
            <v>13229</v>
          </cell>
          <cell r="N7951">
            <v>683926.05601571908</v>
          </cell>
          <cell r="O7951">
            <v>692380.00232629513</v>
          </cell>
          <cell r="P7951">
            <v>368.79259999999999</v>
          </cell>
        </row>
        <row r="7952">
          <cell r="B7952">
            <v>40729</v>
          </cell>
          <cell r="J7952">
            <v>3809804.3041216834</v>
          </cell>
          <cell r="K7952">
            <v>2.4380000000000002</v>
          </cell>
          <cell r="L7952">
            <v>148835</v>
          </cell>
          <cell r="M7952">
            <v>13229</v>
          </cell>
          <cell r="N7952">
            <v>683926.05601571908</v>
          </cell>
          <cell r="O7952">
            <v>692380.00232629513</v>
          </cell>
          <cell r="P7952">
            <v>368.79259999999999</v>
          </cell>
        </row>
        <row r="7953">
          <cell r="B7953">
            <v>40730</v>
          </cell>
          <cell r="J7953">
            <v>3809804.3041216834</v>
          </cell>
          <cell r="K7953">
            <v>2.4380000000000002</v>
          </cell>
          <cell r="L7953">
            <v>148835</v>
          </cell>
          <cell r="M7953">
            <v>13229</v>
          </cell>
          <cell r="N7953">
            <v>683926.05601571908</v>
          </cell>
          <cell r="O7953">
            <v>692380.00232629513</v>
          </cell>
          <cell r="P7953">
            <v>368.79259999999999</v>
          </cell>
        </row>
        <row r="7954">
          <cell r="B7954">
            <v>40731</v>
          </cell>
          <cell r="J7954">
            <v>3809804.3041216834</v>
          </cell>
          <cell r="K7954">
            <v>2.4380000000000002</v>
          </cell>
          <cell r="L7954">
            <v>148835</v>
          </cell>
          <cell r="M7954">
            <v>13229</v>
          </cell>
          <cell r="N7954">
            <v>683926.05601571908</v>
          </cell>
          <cell r="O7954">
            <v>692380.00232629513</v>
          </cell>
          <cell r="P7954">
            <v>368.79259999999999</v>
          </cell>
        </row>
        <row r="7955">
          <cell r="B7955">
            <v>40732</v>
          </cell>
          <cell r="J7955">
            <v>3809804.3041216834</v>
          </cell>
          <cell r="K7955">
            <v>2.4380000000000002</v>
          </cell>
          <cell r="L7955">
            <v>148835</v>
          </cell>
          <cell r="M7955">
            <v>13229</v>
          </cell>
          <cell r="N7955">
            <v>683926.05601571908</v>
          </cell>
          <cell r="O7955">
            <v>692380.00232629513</v>
          </cell>
          <cell r="P7955">
            <v>368.79259999999999</v>
          </cell>
        </row>
        <row r="7956">
          <cell r="B7956">
            <v>40733</v>
          </cell>
          <cell r="J7956">
            <v>3809804.3041216834</v>
          </cell>
          <cell r="K7956">
            <v>2.4380000000000002</v>
          </cell>
          <cell r="L7956">
            <v>148835</v>
          </cell>
          <cell r="M7956">
            <v>13229</v>
          </cell>
          <cell r="N7956">
            <v>683926.05601571908</v>
          </cell>
          <cell r="O7956">
            <v>692380.00232629513</v>
          </cell>
          <cell r="P7956">
            <v>368.79259999999999</v>
          </cell>
        </row>
        <row r="7957">
          <cell r="B7957">
            <v>40734</v>
          </cell>
          <cell r="J7957">
            <v>3809804.3041216834</v>
          </cell>
          <cell r="K7957">
            <v>2.4380000000000002</v>
          </cell>
          <cell r="L7957">
            <v>148835</v>
          </cell>
          <cell r="M7957">
            <v>13229</v>
          </cell>
          <cell r="N7957">
            <v>683926.05601571908</v>
          </cell>
          <cell r="O7957">
            <v>692380.00232629513</v>
          </cell>
          <cell r="P7957">
            <v>368.79259999999999</v>
          </cell>
        </row>
        <row r="7958">
          <cell r="B7958">
            <v>40735</v>
          </cell>
          <cell r="J7958">
            <v>3809804.3041216834</v>
          </cell>
          <cell r="K7958">
            <v>2.4380000000000002</v>
          </cell>
          <cell r="L7958">
            <v>148835</v>
          </cell>
          <cell r="M7958">
            <v>13229</v>
          </cell>
          <cell r="N7958">
            <v>683926.05601571908</v>
          </cell>
          <cell r="O7958">
            <v>692380.00232629513</v>
          </cell>
          <cell r="P7958">
            <v>368.79259999999999</v>
          </cell>
        </row>
        <row r="7959">
          <cell r="B7959">
            <v>40736</v>
          </cell>
          <cell r="J7959">
            <v>3809804.3041216834</v>
          </cell>
          <cell r="K7959">
            <v>2.4380000000000002</v>
          </cell>
          <cell r="L7959">
            <v>148835</v>
          </cell>
          <cell r="M7959">
            <v>13229</v>
          </cell>
          <cell r="N7959">
            <v>683926.05601571908</v>
          </cell>
          <cell r="O7959">
            <v>692380.00232629513</v>
          </cell>
          <cell r="P7959">
            <v>368.79259999999999</v>
          </cell>
        </row>
        <row r="7960">
          <cell r="B7960">
            <v>40737</v>
          </cell>
          <cell r="J7960">
            <v>3809804.3041216834</v>
          </cell>
          <cell r="K7960">
            <v>2.4380000000000002</v>
          </cell>
          <cell r="L7960">
            <v>148835</v>
          </cell>
          <cell r="M7960">
            <v>13229</v>
          </cell>
          <cell r="N7960">
            <v>683926.05601571908</v>
          </cell>
          <cell r="O7960">
            <v>692380.00232629513</v>
          </cell>
          <cell r="P7960">
            <v>368.79259999999999</v>
          </cell>
        </row>
        <row r="7961">
          <cell r="B7961">
            <v>40738</v>
          </cell>
          <cell r="J7961">
            <v>3809804.3041216834</v>
          </cell>
          <cell r="K7961">
            <v>2.4380000000000002</v>
          </cell>
          <cell r="L7961">
            <v>148835</v>
          </cell>
          <cell r="M7961">
            <v>13229</v>
          </cell>
          <cell r="N7961">
            <v>683926.05601571908</v>
          </cell>
          <cell r="O7961">
            <v>692380.00232629513</v>
          </cell>
          <cell r="P7961">
            <v>368.79259999999999</v>
          </cell>
        </row>
        <row r="7962">
          <cell r="B7962">
            <v>40739</v>
          </cell>
          <cell r="J7962">
            <v>3809804.3041216834</v>
          </cell>
          <cell r="K7962">
            <v>2.4380000000000002</v>
          </cell>
          <cell r="L7962">
            <v>148835</v>
          </cell>
          <cell r="M7962">
            <v>13229</v>
          </cell>
          <cell r="N7962">
            <v>683926.05601571908</v>
          </cell>
          <cell r="O7962">
            <v>692380.00232629513</v>
          </cell>
          <cell r="P7962">
            <v>368.79259999999999</v>
          </cell>
        </row>
        <row r="7963">
          <cell r="B7963">
            <v>40740</v>
          </cell>
          <cell r="J7963">
            <v>3809804.3041216834</v>
          </cell>
          <cell r="K7963">
            <v>2.4380000000000002</v>
          </cell>
          <cell r="L7963">
            <v>148835</v>
          </cell>
          <cell r="M7963">
            <v>13229</v>
          </cell>
          <cell r="N7963">
            <v>683926.05601571908</v>
          </cell>
          <cell r="O7963">
            <v>692380.00232629513</v>
          </cell>
          <cell r="P7963">
            <v>368.79259999999999</v>
          </cell>
        </row>
        <row r="7964">
          <cell r="B7964">
            <v>40741</v>
          </cell>
          <cell r="J7964">
            <v>3809804.3041216834</v>
          </cell>
          <cell r="K7964">
            <v>2.4380000000000002</v>
          </cell>
          <cell r="L7964">
            <v>148835</v>
          </cell>
          <cell r="M7964">
            <v>13229</v>
          </cell>
          <cell r="N7964">
            <v>683926.05601571908</v>
          </cell>
          <cell r="O7964">
            <v>692380.00232629513</v>
          </cell>
          <cell r="P7964">
            <v>368.79259999999999</v>
          </cell>
        </row>
        <row r="7965">
          <cell r="B7965">
            <v>40742</v>
          </cell>
          <cell r="J7965">
            <v>3809804.3041216834</v>
          </cell>
          <cell r="K7965">
            <v>2.4380000000000002</v>
          </cell>
          <cell r="L7965">
            <v>148835</v>
          </cell>
          <cell r="M7965">
            <v>13229</v>
          </cell>
          <cell r="N7965">
            <v>683926.05601571908</v>
          </cell>
          <cell r="O7965">
            <v>692380.00232629513</v>
          </cell>
          <cell r="P7965">
            <v>368.79259999999999</v>
          </cell>
        </row>
        <row r="7966">
          <cell r="B7966">
            <v>40743</v>
          </cell>
          <cell r="J7966">
            <v>3809804.3041216834</v>
          </cell>
          <cell r="K7966">
            <v>2.4380000000000002</v>
          </cell>
          <cell r="L7966">
            <v>148835</v>
          </cell>
          <cell r="M7966">
            <v>13229</v>
          </cell>
          <cell r="N7966">
            <v>683926.05601571908</v>
          </cell>
          <cell r="O7966">
            <v>692380.00232629513</v>
          </cell>
          <cell r="P7966">
            <v>368.79259999999999</v>
          </cell>
        </row>
        <row r="7967">
          <cell r="B7967">
            <v>40744</v>
          </cell>
          <cell r="J7967">
            <v>3809804.3041216834</v>
          </cell>
          <cell r="K7967">
            <v>2.4380000000000002</v>
          </cell>
          <cell r="L7967">
            <v>148835</v>
          </cell>
          <cell r="M7967">
            <v>13229</v>
          </cell>
          <cell r="N7967">
            <v>683926.05601571908</v>
          </cell>
          <cell r="O7967">
            <v>692380.00232629513</v>
          </cell>
          <cell r="P7967">
            <v>368.79259999999999</v>
          </cell>
        </row>
        <row r="7968">
          <cell r="B7968">
            <v>40745</v>
          </cell>
          <cell r="J7968">
            <v>3809804.3041216834</v>
          </cell>
          <cell r="K7968">
            <v>2.4380000000000002</v>
          </cell>
          <cell r="L7968">
            <v>148835</v>
          </cell>
          <cell r="M7968">
            <v>13229</v>
          </cell>
          <cell r="N7968">
            <v>683926.05601571908</v>
          </cell>
          <cell r="O7968">
            <v>692380.00232629513</v>
          </cell>
          <cell r="P7968">
            <v>368.79259999999999</v>
          </cell>
        </row>
        <row r="7969">
          <cell r="B7969">
            <v>40746</v>
          </cell>
          <cell r="J7969">
            <v>3809804.3041216834</v>
          </cell>
          <cell r="K7969">
            <v>2.4380000000000002</v>
          </cell>
          <cell r="L7969">
            <v>148835</v>
          </cell>
          <cell r="M7969">
            <v>13229</v>
          </cell>
          <cell r="N7969">
            <v>683926.05601571908</v>
          </cell>
          <cell r="O7969">
            <v>692380.00232629513</v>
          </cell>
          <cell r="P7969">
            <v>368.79259999999999</v>
          </cell>
        </row>
        <row r="7970">
          <cell r="B7970">
            <v>40747</v>
          </cell>
          <cell r="J7970">
            <v>3809804.3041216834</v>
          </cell>
          <cell r="K7970">
            <v>2.4380000000000002</v>
          </cell>
          <cell r="L7970">
            <v>148835</v>
          </cell>
          <cell r="M7970">
            <v>13229</v>
          </cell>
          <cell r="N7970">
            <v>683926.05601571908</v>
          </cell>
          <cell r="O7970">
            <v>692380.00232629513</v>
          </cell>
          <cell r="P7970">
            <v>368.79259999999999</v>
          </cell>
        </row>
        <row r="7971">
          <cell r="B7971">
            <v>40748</v>
          </cell>
          <cell r="J7971">
            <v>3809804.3041216834</v>
          </cell>
          <cell r="K7971">
            <v>2.4380000000000002</v>
          </cell>
          <cell r="L7971">
            <v>148835</v>
          </cell>
          <cell r="M7971">
            <v>13229</v>
          </cell>
          <cell r="N7971">
            <v>683926.05601571908</v>
          </cell>
          <cell r="O7971">
            <v>692380.00232629513</v>
          </cell>
          <cell r="P7971">
            <v>368.79259999999999</v>
          </cell>
        </row>
        <row r="7972">
          <cell r="B7972">
            <v>40749</v>
          </cell>
          <cell r="J7972">
            <v>3809804.3041216834</v>
          </cell>
          <cell r="K7972">
            <v>2.4380000000000002</v>
          </cell>
          <cell r="L7972">
            <v>148835</v>
          </cell>
          <cell r="M7972">
            <v>13229</v>
          </cell>
          <cell r="N7972">
            <v>683926.05601571908</v>
          </cell>
          <cell r="O7972">
            <v>692380.00232629513</v>
          </cell>
          <cell r="P7972">
            <v>368.79259999999999</v>
          </cell>
        </row>
        <row r="7973">
          <cell r="B7973">
            <v>40750</v>
          </cell>
          <cell r="J7973">
            <v>3809804.3041216834</v>
          </cell>
          <cell r="K7973">
            <v>2.4380000000000002</v>
          </cell>
          <cell r="L7973">
            <v>148835</v>
          </cell>
          <cell r="M7973">
            <v>13229</v>
          </cell>
          <cell r="N7973">
            <v>683926.05601571908</v>
          </cell>
          <cell r="O7973">
            <v>692380.00232629513</v>
          </cell>
          <cell r="P7973">
            <v>368.79259999999999</v>
          </cell>
        </row>
        <row r="7974">
          <cell r="B7974">
            <v>40751</v>
          </cell>
          <cell r="J7974">
            <v>3809804.3041216834</v>
          </cell>
          <cell r="K7974">
            <v>2.4380000000000002</v>
          </cell>
          <cell r="L7974">
            <v>148835</v>
          </cell>
          <cell r="M7974">
            <v>13229</v>
          </cell>
          <cell r="N7974">
            <v>683926.05601571908</v>
          </cell>
          <cell r="O7974">
            <v>692380.00232629513</v>
          </cell>
          <cell r="P7974">
            <v>368.79259999999999</v>
          </cell>
        </row>
        <row r="7975">
          <cell r="B7975">
            <v>40752</v>
          </cell>
          <cell r="J7975">
            <v>3809804.3041216834</v>
          </cell>
          <cell r="K7975">
            <v>2.4380000000000002</v>
          </cell>
          <cell r="L7975">
            <v>148835</v>
          </cell>
          <cell r="M7975">
            <v>13229</v>
          </cell>
          <cell r="N7975">
            <v>683926.05601571908</v>
          </cell>
          <cell r="O7975">
            <v>692380.00232629513</v>
          </cell>
          <cell r="P7975">
            <v>368.79259999999999</v>
          </cell>
        </row>
        <row r="7976">
          <cell r="B7976">
            <v>40753</v>
          </cell>
          <cell r="J7976">
            <v>3809804.3041216834</v>
          </cell>
          <cell r="K7976">
            <v>2.4380000000000002</v>
          </cell>
          <cell r="L7976">
            <v>148835</v>
          </cell>
          <cell r="M7976">
            <v>13229</v>
          </cell>
          <cell r="N7976">
            <v>683926.05601571908</v>
          </cell>
          <cell r="O7976">
            <v>692380.00232629513</v>
          </cell>
          <cell r="P7976">
            <v>368.79259999999999</v>
          </cell>
        </row>
        <row r="7977">
          <cell r="B7977">
            <v>40754</v>
          </cell>
          <cell r="J7977">
            <v>3809804.3041216834</v>
          </cell>
          <cell r="K7977">
            <v>2.4380000000000002</v>
          </cell>
          <cell r="L7977">
            <v>148835</v>
          </cell>
          <cell r="M7977">
            <v>13229</v>
          </cell>
          <cell r="N7977">
            <v>683926.05601571908</v>
          </cell>
          <cell r="O7977">
            <v>692380.00232629513</v>
          </cell>
          <cell r="P7977">
            <v>368.79259999999999</v>
          </cell>
        </row>
        <row r="7978">
          <cell r="B7978">
            <v>40755</v>
          </cell>
          <cell r="J7978">
            <v>3809804.3041216834</v>
          </cell>
          <cell r="K7978">
            <v>2.4380000000000002</v>
          </cell>
          <cell r="L7978">
            <v>148835</v>
          </cell>
          <cell r="M7978">
            <v>13229</v>
          </cell>
          <cell r="N7978">
            <v>683926.05601571908</v>
          </cell>
          <cell r="O7978">
            <v>692380.00232629513</v>
          </cell>
          <cell r="P7978">
            <v>368.79259999999999</v>
          </cell>
        </row>
        <row r="7979">
          <cell r="B7979">
            <v>40756</v>
          </cell>
          <cell r="J7979">
            <v>3809804.3041216834</v>
          </cell>
          <cell r="K7979">
            <v>2.4380000000000002</v>
          </cell>
          <cell r="L7979">
            <v>148835</v>
          </cell>
          <cell r="M7979">
            <v>13229</v>
          </cell>
          <cell r="N7979">
            <v>683926.05601571908</v>
          </cell>
          <cell r="O7979">
            <v>692380.00232629513</v>
          </cell>
          <cell r="P7979">
            <v>368.79259999999999</v>
          </cell>
        </row>
        <row r="7980">
          <cell r="B7980">
            <v>40757</v>
          </cell>
          <cell r="J7980">
            <v>3809804.3041216834</v>
          </cell>
          <cell r="K7980">
            <v>2.4380000000000002</v>
          </cell>
          <cell r="L7980">
            <v>148835</v>
          </cell>
          <cell r="M7980">
            <v>13229</v>
          </cell>
          <cell r="N7980">
            <v>683926.05601571908</v>
          </cell>
          <cell r="O7980">
            <v>692380.00232629513</v>
          </cell>
          <cell r="P7980">
            <v>368.79259999999999</v>
          </cell>
        </row>
        <row r="7981">
          <cell r="B7981">
            <v>40758</v>
          </cell>
          <cell r="J7981">
            <v>3809804.3041216834</v>
          </cell>
          <cell r="K7981">
            <v>2.4380000000000002</v>
          </cell>
          <cell r="L7981">
            <v>148835</v>
          </cell>
          <cell r="M7981">
            <v>13229</v>
          </cell>
          <cell r="N7981">
            <v>683926.05601571908</v>
          </cell>
          <cell r="O7981">
            <v>692380.00232629513</v>
          </cell>
          <cell r="P7981">
            <v>368.79259999999999</v>
          </cell>
        </row>
        <row r="7982">
          <cell r="B7982">
            <v>40759</v>
          </cell>
          <cell r="J7982">
            <v>3809804.3041216834</v>
          </cell>
          <cell r="K7982">
            <v>2.4380000000000002</v>
          </cell>
          <cell r="L7982">
            <v>148835</v>
          </cell>
          <cell r="M7982">
            <v>13229</v>
          </cell>
          <cell r="N7982">
            <v>683926.05601571908</v>
          </cell>
          <cell r="O7982">
            <v>692380.00232629513</v>
          </cell>
          <cell r="P7982">
            <v>368.79259999999999</v>
          </cell>
        </row>
        <row r="7983">
          <cell r="B7983">
            <v>40760</v>
          </cell>
          <cell r="J7983">
            <v>3809804.3041216834</v>
          </cell>
          <cell r="K7983">
            <v>2.4380000000000002</v>
          </cell>
          <cell r="L7983">
            <v>148835</v>
          </cell>
          <cell r="M7983">
            <v>13229</v>
          </cell>
          <cell r="N7983">
            <v>683926.05601571908</v>
          </cell>
          <cell r="O7983">
            <v>692380.00232629513</v>
          </cell>
          <cell r="P7983">
            <v>368.79259999999999</v>
          </cell>
        </row>
        <row r="7984">
          <cell r="B7984">
            <v>40761</v>
          </cell>
          <cell r="J7984">
            <v>3809804.3041216834</v>
          </cell>
          <cell r="K7984">
            <v>2.4380000000000002</v>
          </cell>
          <cell r="L7984">
            <v>148835</v>
          </cell>
          <cell r="M7984">
            <v>13229</v>
          </cell>
          <cell r="N7984">
            <v>683926.05601571908</v>
          </cell>
          <cell r="O7984">
            <v>692380.00232629513</v>
          </cell>
          <cell r="P7984">
            <v>368.79259999999999</v>
          </cell>
        </row>
        <row r="7985">
          <cell r="B7985">
            <v>40762</v>
          </cell>
          <cell r="J7985">
            <v>3809804.3041216834</v>
          </cell>
          <cell r="K7985">
            <v>2.4380000000000002</v>
          </cell>
          <cell r="L7985">
            <v>148835</v>
          </cell>
          <cell r="M7985">
            <v>13229</v>
          </cell>
          <cell r="N7985">
            <v>683926.05601571908</v>
          </cell>
          <cell r="O7985">
            <v>692380.00232629513</v>
          </cell>
          <cell r="P7985">
            <v>368.79259999999999</v>
          </cell>
        </row>
        <row r="7986">
          <cell r="B7986">
            <v>40763</v>
          </cell>
          <cell r="J7986">
            <v>3809804.3041216834</v>
          </cell>
          <cell r="K7986">
            <v>2.4380000000000002</v>
          </cell>
          <cell r="L7986">
            <v>148835</v>
          </cell>
          <cell r="M7986">
            <v>13229</v>
          </cell>
          <cell r="N7986">
            <v>683926.05601571908</v>
          </cell>
          <cell r="O7986">
            <v>692380.00232629513</v>
          </cell>
          <cell r="P7986">
            <v>368.79259999999999</v>
          </cell>
        </row>
        <row r="7987">
          <cell r="B7987">
            <v>40764</v>
          </cell>
          <cell r="J7987">
            <v>3809804.3041216834</v>
          </cell>
          <cell r="K7987">
            <v>2.4380000000000002</v>
          </cell>
          <cell r="L7987">
            <v>148835</v>
          </cell>
          <cell r="M7987">
            <v>13229</v>
          </cell>
          <cell r="N7987">
            <v>683926.05601571908</v>
          </cell>
          <cell r="O7987">
            <v>692380.00232629513</v>
          </cell>
          <cell r="P7987">
            <v>368.79259999999999</v>
          </cell>
        </row>
        <row r="7988">
          <cell r="B7988">
            <v>40765</v>
          </cell>
          <cell r="J7988">
            <v>3809804.3041216834</v>
          </cell>
          <cell r="K7988">
            <v>2.4380000000000002</v>
          </cell>
          <cell r="L7988">
            <v>148835</v>
          </cell>
          <cell r="M7988">
            <v>13229</v>
          </cell>
          <cell r="N7988">
            <v>683926.05601571908</v>
          </cell>
          <cell r="O7988">
            <v>692380.00232629513</v>
          </cell>
          <cell r="P7988">
            <v>368.79259999999999</v>
          </cell>
        </row>
        <row r="7989">
          <cell r="B7989">
            <v>40766</v>
          </cell>
          <cell r="J7989">
            <v>3809804.3041216834</v>
          </cell>
          <cell r="K7989">
            <v>2.4380000000000002</v>
          </cell>
          <cell r="L7989">
            <v>148835</v>
          </cell>
          <cell r="M7989">
            <v>13229</v>
          </cell>
          <cell r="N7989">
            <v>683926.05601571908</v>
          </cell>
          <cell r="O7989">
            <v>692380.00232629513</v>
          </cell>
          <cell r="P7989">
            <v>368.79259999999999</v>
          </cell>
        </row>
        <row r="7990">
          <cell r="B7990">
            <v>40767</v>
          </cell>
          <cell r="J7990">
            <v>3809804.3041216834</v>
          </cell>
          <cell r="K7990">
            <v>2.4380000000000002</v>
          </cell>
          <cell r="L7990">
            <v>148835</v>
          </cell>
          <cell r="M7990">
            <v>13229</v>
          </cell>
          <cell r="N7990">
            <v>683926.05601571908</v>
          </cell>
          <cell r="O7990">
            <v>692380.00232629513</v>
          </cell>
          <cell r="P7990">
            <v>368.79259999999999</v>
          </cell>
        </row>
        <row r="7991">
          <cell r="B7991">
            <v>40768</v>
          </cell>
          <cell r="J7991">
            <v>3809804.3041216834</v>
          </cell>
          <cell r="K7991">
            <v>2.4380000000000002</v>
          </cell>
          <cell r="L7991">
            <v>148835</v>
          </cell>
          <cell r="M7991">
            <v>13229</v>
          </cell>
          <cell r="N7991">
            <v>683926.05601571908</v>
          </cell>
          <cell r="O7991">
            <v>692380.00232629513</v>
          </cell>
          <cell r="P7991">
            <v>368.79259999999999</v>
          </cell>
        </row>
        <row r="7992">
          <cell r="B7992">
            <v>40769</v>
          </cell>
          <cell r="J7992">
            <v>3809804.3041216834</v>
          </cell>
          <cell r="K7992">
            <v>2.4380000000000002</v>
          </cell>
          <cell r="L7992">
            <v>148835</v>
          </cell>
          <cell r="M7992">
            <v>13229</v>
          </cell>
          <cell r="N7992">
            <v>683926.05601571908</v>
          </cell>
          <cell r="O7992">
            <v>692380.00232629513</v>
          </cell>
          <cell r="P7992">
            <v>368.79259999999999</v>
          </cell>
        </row>
        <row r="7993">
          <cell r="B7993">
            <v>40770</v>
          </cell>
          <cell r="J7993">
            <v>3809804.3041216834</v>
          </cell>
          <cell r="K7993">
            <v>2.4380000000000002</v>
          </cell>
          <cell r="L7993">
            <v>148835</v>
          </cell>
          <cell r="M7993">
            <v>13229</v>
          </cell>
          <cell r="N7993">
            <v>683926.05601571908</v>
          </cell>
          <cell r="O7993">
            <v>692380.00232629513</v>
          </cell>
          <cell r="P7993">
            <v>368.79259999999999</v>
          </cell>
        </row>
        <row r="7994">
          <cell r="B7994">
            <v>40771</v>
          </cell>
          <cell r="J7994">
            <v>3809804.3041216834</v>
          </cell>
          <cell r="K7994">
            <v>2.4380000000000002</v>
          </cell>
          <cell r="L7994">
            <v>148835</v>
          </cell>
          <cell r="M7994">
            <v>13229</v>
          </cell>
          <cell r="N7994">
            <v>683926.05601571908</v>
          </cell>
          <cell r="O7994">
            <v>692380.00232629513</v>
          </cell>
          <cell r="P7994">
            <v>368.79259999999999</v>
          </cell>
        </row>
        <row r="7995">
          <cell r="B7995">
            <v>40772</v>
          </cell>
          <cell r="J7995">
            <v>3809804.3041216834</v>
          </cell>
          <cell r="K7995">
            <v>2.4380000000000002</v>
          </cell>
          <cell r="L7995">
            <v>148835</v>
          </cell>
          <cell r="M7995">
            <v>13229</v>
          </cell>
          <cell r="N7995">
            <v>683926.05601571908</v>
          </cell>
          <cell r="O7995">
            <v>692380.00232629513</v>
          </cell>
          <cell r="P7995">
            <v>368.79259999999999</v>
          </cell>
        </row>
        <row r="7996">
          <cell r="B7996">
            <v>40773</v>
          </cell>
          <cell r="J7996">
            <v>3809804.3041216834</v>
          </cell>
          <cell r="K7996">
            <v>2.4380000000000002</v>
          </cell>
          <cell r="L7996">
            <v>148835</v>
          </cell>
          <cell r="M7996">
            <v>13229</v>
          </cell>
          <cell r="N7996">
            <v>683926.05601571908</v>
          </cell>
          <cell r="O7996">
            <v>692380.00232629513</v>
          </cell>
          <cell r="P7996">
            <v>368.79259999999999</v>
          </cell>
        </row>
        <row r="7997">
          <cell r="B7997">
            <v>40774</v>
          </cell>
          <cell r="J7997">
            <v>3809804.3041216834</v>
          </cell>
          <cell r="K7997">
            <v>2.4380000000000002</v>
          </cell>
          <cell r="L7997">
            <v>148835</v>
          </cell>
          <cell r="M7997">
            <v>13229</v>
          </cell>
          <cell r="N7997">
            <v>683926.05601571908</v>
          </cell>
          <cell r="O7997">
            <v>692380.00232629513</v>
          </cell>
          <cell r="P7997">
            <v>368.79259999999999</v>
          </cell>
        </row>
        <row r="7998">
          <cell r="B7998">
            <v>40775</v>
          </cell>
          <cell r="J7998">
            <v>3809804.3041216834</v>
          </cell>
          <cell r="K7998">
            <v>2.4380000000000002</v>
          </cell>
          <cell r="L7998">
            <v>148835</v>
          </cell>
          <cell r="M7998">
            <v>13229</v>
          </cell>
          <cell r="N7998">
            <v>683926.05601571908</v>
          </cell>
          <cell r="O7998">
            <v>692380.00232629513</v>
          </cell>
          <cell r="P7998">
            <v>368.79259999999999</v>
          </cell>
        </row>
        <row r="7999">
          <cell r="B7999">
            <v>40776</v>
          </cell>
          <cell r="J7999">
            <v>3809804.3041216834</v>
          </cell>
          <cell r="K7999">
            <v>2.4380000000000002</v>
          </cell>
          <cell r="L7999">
            <v>148835</v>
          </cell>
          <cell r="M7999">
            <v>13229</v>
          </cell>
          <cell r="N7999">
            <v>683926.05601571908</v>
          </cell>
          <cell r="O7999">
            <v>692380.00232629513</v>
          </cell>
          <cell r="P7999">
            <v>368.79259999999999</v>
          </cell>
        </row>
        <row r="8000">
          <cell r="B8000">
            <v>40777</v>
          </cell>
          <cell r="J8000">
            <v>3809804.3041216834</v>
          </cell>
          <cell r="K8000">
            <v>2.4380000000000002</v>
          </cell>
          <cell r="L8000">
            <v>148835</v>
          </cell>
          <cell r="M8000">
            <v>13229</v>
          </cell>
          <cell r="N8000">
            <v>683926.05601571908</v>
          </cell>
          <cell r="O8000">
            <v>692380.00232629513</v>
          </cell>
          <cell r="P8000">
            <v>368.79259999999999</v>
          </cell>
        </row>
        <row r="8001">
          <cell r="B8001">
            <v>40778</v>
          </cell>
          <cell r="J8001">
            <v>3809804.3041216834</v>
          </cell>
          <cell r="K8001">
            <v>2.4380000000000002</v>
          </cell>
          <cell r="L8001">
            <v>148835</v>
          </cell>
          <cell r="M8001">
            <v>13229</v>
          </cell>
          <cell r="N8001">
            <v>683926.05601571908</v>
          </cell>
          <cell r="O8001">
            <v>692380.00232629513</v>
          </cell>
          <cell r="P8001">
            <v>368.79259999999999</v>
          </cell>
        </row>
        <row r="8002">
          <cell r="B8002">
            <v>40779</v>
          </cell>
          <cell r="J8002">
            <v>3809804.3041216834</v>
          </cell>
          <cell r="K8002">
            <v>2.4380000000000002</v>
          </cell>
          <cell r="L8002">
            <v>148835</v>
          </cell>
          <cell r="M8002">
            <v>13229</v>
          </cell>
          <cell r="N8002">
            <v>683926.05601571908</v>
          </cell>
          <cell r="O8002">
            <v>692380.00232629513</v>
          </cell>
          <cell r="P8002">
            <v>368.79259999999999</v>
          </cell>
        </row>
        <row r="8003">
          <cell r="B8003">
            <v>40780</v>
          </cell>
          <cell r="J8003">
            <v>3809804.3041216834</v>
          </cell>
          <cell r="K8003">
            <v>2.4380000000000002</v>
          </cell>
          <cell r="L8003">
            <v>148835</v>
          </cell>
          <cell r="M8003">
            <v>13229</v>
          </cell>
          <cell r="N8003">
            <v>683926.05601571908</v>
          </cell>
          <cell r="O8003">
            <v>692380.00232629513</v>
          </cell>
          <cell r="P8003">
            <v>368.79259999999999</v>
          </cell>
        </row>
        <row r="8004">
          <cell r="B8004">
            <v>40781</v>
          </cell>
          <cell r="J8004">
            <v>3809804.3041216834</v>
          </cell>
          <cell r="K8004">
            <v>2.4380000000000002</v>
          </cell>
          <cell r="L8004">
            <v>148835</v>
          </cell>
          <cell r="M8004">
            <v>13229</v>
          </cell>
          <cell r="N8004">
            <v>683926.05601571908</v>
          </cell>
          <cell r="O8004">
            <v>692380.00232629513</v>
          </cell>
          <cell r="P8004">
            <v>368.79259999999999</v>
          </cell>
        </row>
        <row r="8005">
          <cell r="B8005">
            <v>40782</v>
          </cell>
          <cell r="J8005">
            <v>3809804.3041216834</v>
          </cell>
          <cell r="K8005">
            <v>2.4380000000000002</v>
          </cell>
          <cell r="L8005">
            <v>148835</v>
          </cell>
          <cell r="M8005">
            <v>13229</v>
          </cell>
          <cell r="N8005">
            <v>683926.05601571908</v>
          </cell>
          <cell r="O8005">
            <v>692380.00232629513</v>
          </cell>
          <cell r="P8005">
            <v>368.79259999999999</v>
          </cell>
        </row>
        <row r="8006">
          <cell r="B8006">
            <v>40783</v>
          </cell>
          <cell r="J8006">
            <v>3809804.3041216834</v>
          </cell>
          <cell r="K8006">
            <v>2.4380000000000002</v>
          </cell>
          <cell r="L8006">
            <v>148835</v>
          </cell>
          <cell r="M8006">
            <v>13229</v>
          </cell>
          <cell r="N8006">
            <v>683926.05601571908</v>
          </cell>
          <cell r="O8006">
            <v>692380.00232629513</v>
          </cell>
          <cell r="P8006">
            <v>368.79259999999999</v>
          </cell>
        </row>
        <row r="8007">
          <cell r="B8007">
            <v>40784</v>
          </cell>
          <cell r="J8007">
            <v>3809804.3041216834</v>
          </cell>
          <cell r="K8007">
            <v>2.4380000000000002</v>
          </cell>
          <cell r="L8007">
            <v>148835</v>
          </cell>
          <cell r="M8007">
            <v>13229</v>
          </cell>
          <cell r="N8007">
            <v>683926.05601571908</v>
          </cell>
          <cell r="O8007">
            <v>692380.00232629513</v>
          </cell>
          <cell r="P8007">
            <v>368.79259999999999</v>
          </cell>
        </row>
        <row r="8008">
          <cell r="B8008">
            <v>40785</v>
          </cell>
          <cell r="J8008">
            <v>3809804.3041216834</v>
          </cell>
          <cell r="K8008">
            <v>2.4380000000000002</v>
          </cell>
          <cell r="L8008">
            <v>148835</v>
          </cell>
          <cell r="M8008">
            <v>13229</v>
          </cell>
          <cell r="N8008">
            <v>683926.05601571908</v>
          </cell>
          <cell r="O8008">
            <v>692380.00232629513</v>
          </cell>
          <cell r="P8008">
            <v>368.79259999999999</v>
          </cell>
        </row>
        <row r="8009">
          <cell r="B8009">
            <v>40786</v>
          </cell>
          <cell r="J8009">
            <v>3809804.3041216834</v>
          </cell>
          <cell r="K8009">
            <v>2.4380000000000002</v>
          </cell>
          <cell r="L8009">
            <v>148835</v>
          </cell>
          <cell r="M8009">
            <v>13229</v>
          </cell>
          <cell r="N8009">
            <v>683926.05601571908</v>
          </cell>
          <cell r="O8009">
            <v>692380.00232629513</v>
          </cell>
          <cell r="P8009">
            <v>368.79259999999999</v>
          </cell>
        </row>
        <row r="8010">
          <cell r="B8010">
            <v>40787</v>
          </cell>
          <cell r="J8010">
            <v>3809804.3041216834</v>
          </cell>
          <cell r="K8010">
            <v>2.4380000000000002</v>
          </cell>
          <cell r="L8010">
            <v>148835</v>
          </cell>
          <cell r="M8010">
            <v>13229</v>
          </cell>
          <cell r="N8010">
            <v>683926.05601571908</v>
          </cell>
          <cell r="O8010">
            <v>692380.00232629513</v>
          </cell>
          <cell r="P8010">
            <v>368.79259999999999</v>
          </cell>
        </row>
        <row r="8011">
          <cell r="B8011">
            <v>40788</v>
          </cell>
          <cell r="J8011">
            <v>3809804.3041216834</v>
          </cell>
          <cell r="K8011">
            <v>2.4380000000000002</v>
          </cell>
          <cell r="L8011">
            <v>148835</v>
          </cell>
          <cell r="M8011">
            <v>13229</v>
          </cell>
          <cell r="N8011">
            <v>683926.05601571908</v>
          </cell>
          <cell r="O8011">
            <v>692380.00232629513</v>
          </cell>
          <cell r="P8011">
            <v>368.79259999999999</v>
          </cell>
        </row>
        <row r="8012">
          <cell r="B8012">
            <v>40789</v>
          </cell>
          <cell r="J8012">
            <v>3809804.3041216834</v>
          </cell>
          <cell r="K8012">
            <v>2.4380000000000002</v>
          </cell>
          <cell r="L8012">
            <v>148835</v>
          </cell>
          <cell r="M8012">
            <v>13229</v>
          </cell>
          <cell r="N8012">
            <v>683926.05601571908</v>
          </cell>
          <cell r="O8012">
            <v>692380.00232629513</v>
          </cell>
          <cell r="P8012">
            <v>368.79259999999999</v>
          </cell>
        </row>
        <row r="8013">
          <cell r="B8013">
            <v>40790</v>
          </cell>
          <cell r="J8013">
            <v>3809804.3041216834</v>
          </cell>
          <cell r="K8013">
            <v>2.4380000000000002</v>
          </cell>
          <cell r="L8013">
            <v>148835</v>
          </cell>
          <cell r="M8013">
            <v>13229</v>
          </cell>
          <cell r="N8013">
            <v>683926.05601571908</v>
          </cell>
          <cell r="O8013">
            <v>692380.00232629513</v>
          </cell>
          <cell r="P8013">
            <v>368.79259999999999</v>
          </cell>
        </row>
        <row r="8014">
          <cell r="B8014">
            <v>40791</v>
          </cell>
          <cell r="J8014">
            <v>3809804.3041216834</v>
          </cell>
          <cell r="K8014">
            <v>2.4380000000000002</v>
          </cell>
          <cell r="L8014">
            <v>148835</v>
          </cell>
          <cell r="M8014">
            <v>13229</v>
          </cell>
          <cell r="N8014">
            <v>683926.05601571908</v>
          </cell>
          <cell r="O8014">
            <v>692380.00232629513</v>
          </cell>
          <cell r="P8014">
            <v>368.79259999999999</v>
          </cell>
        </row>
        <row r="8015">
          <cell r="B8015">
            <v>40792</v>
          </cell>
          <cell r="J8015">
            <v>3809804.3041216834</v>
          </cell>
          <cell r="K8015">
            <v>2.4380000000000002</v>
          </cell>
          <cell r="L8015">
            <v>148835</v>
          </cell>
          <cell r="M8015">
            <v>13229</v>
          </cell>
          <cell r="N8015">
            <v>683926.05601571908</v>
          </cell>
          <cell r="O8015">
            <v>692380.00232629513</v>
          </cell>
          <cell r="P8015">
            <v>368.79259999999999</v>
          </cell>
        </row>
        <row r="8016">
          <cell r="B8016">
            <v>40793</v>
          </cell>
          <cell r="J8016">
            <v>3809804.3041216834</v>
          </cell>
          <cell r="K8016">
            <v>2.4380000000000002</v>
          </cell>
          <cell r="L8016">
            <v>148835</v>
          </cell>
          <cell r="M8016">
            <v>13229</v>
          </cell>
          <cell r="N8016">
            <v>683926.05601571908</v>
          </cell>
          <cell r="O8016">
            <v>692380.00232629513</v>
          </cell>
          <cell r="P8016">
            <v>368.79259999999999</v>
          </cell>
        </row>
        <row r="8017">
          <cell r="B8017">
            <v>40794</v>
          </cell>
          <cell r="J8017">
            <v>3809804.3041216834</v>
          </cell>
          <cell r="K8017">
            <v>2.4380000000000002</v>
          </cell>
          <cell r="L8017">
            <v>148835</v>
          </cell>
          <cell r="M8017">
            <v>13229</v>
          </cell>
          <cell r="N8017">
            <v>683926.05601571908</v>
          </cell>
          <cell r="O8017">
            <v>692380.00232629513</v>
          </cell>
          <cell r="P8017">
            <v>368.79259999999999</v>
          </cell>
        </row>
        <row r="8018">
          <cell r="B8018">
            <v>40795</v>
          </cell>
          <cell r="J8018">
            <v>3809804.3041216834</v>
          </cell>
          <cell r="K8018">
            <v>2.4380000000000002</v>
          </cell>
          <cell r="L8018">
            <v>148835</v>
          </cell>
          <cell r="M8018">
            <v>13229</v>
          </cell>
          <cell r="N8018">
            <v>683926.05601571908</v>
          </cell>
          <cell r="O8018">
            <v>692380.00232629513</v>
          </cell>
          <cell r="P8018">
            <v>368.79259999999999</v>
          </cell>
        </row>
        <row r="8019">
          <cell r="B8019">
            <v>40796</v>
          </cell>
          <cell r="J8019">
            <v>3809804.3041216834</v>
          </cell>
          <cell r="K8019">
            <v>2.4380000000000002</v>
          </cell>
          <cell r="L8019">
            <v>148835</v>
          </cell>
          <cell r="M8019">
            <v>13229</v>
          </cell>
          <cell r="N8019">
            <v>683926.05601571908</v>
          </cell>
          <cell r="O8019">
            <v>692380.00232629513</v>
          </cell>
          <cell r="P8019">
            <v>368.79259999999999</v>
          </cell>
        </row>
        <row r="8020">
          <cell r="B8020">
            <v>40797</v>
          </cell>
          <cell r="J8020">
            <v>3809804.3041216834</v>
          </cell>
          <cell r="K8020">
            <v>2.4380000000000002</v>
          </cell>
          <cell r="L8020">
            <v>148835</v>
          </cell>
          <cell r="M8020">
            <v>13229</v>
          </cell>
          <cell r="N8020">
            <v>683926.05601571908</v>
          </cell>
          <cell r="O8020">
            <v>692380.00232629513</v>
          </cell>
          <cell r="P8020">
            <v>368.79259999999999</v>
          </cell>
        </row>
        <row r="8021">
          <cell r="B8021">
            <v>40798</v>
          </cell>
          <cell r="J8021">
            <v>3809804.3041216834</v>
          </cell>
          <cell r="K8021">
            <v>2.4380000000000002</v>
          </cell>
          <cell r="L8021">
            <v>148835</v>
          </cell>
          <cell r="M8021">
            <v>13229</v>
          </cell>
          <cell r="N8021">
            <v>683926.05601571908</v>
          </cell>
          <cell r="O8021">
            <v>692380.00232629513</v>
          </cell>
          <cell r="P8021">
            <v>368.79259999999999</v>
          </cell>
        </row>
        <row r="8022">
          <cell r="B8022">
            <v>40799</v>
          </cell>
          <cell r="J8022">
            <v>3809804.3041216834</v>
          </cell>
          <cell r="K8022">
            <v>2.4380000000000002</v>
          </cell>
          <cell r="L8022">
            <v>148835</v>
          </cell>
          <cell r="M8022">
            <v>13229</v>
          </cell>
          <cell r="N8022">
            <v>683926.05601571908</v>
          </cell>
          <cell r="O8022">
            <v>692380.00232629513</v>
          </cell>
          <cell r="P8022">
            <v>368.79259999999999</v>
          </cell>
        </row>
        <row r="8023">
          <cell r="B8023">
            <v>40800</v>
          </cell>
          <cell r="J8023">
            <v>3809804.3041216834</v>
          </cell>
          <cell r="K8023">
            <v>2.4380000000000002</v>
          </cell>
          <cell r="L8023">
            <v>148835</v>
          </cell>
          <cell r="M8023">
            <v>13229</v>
          </cell>
          <cell r="N8023">
            <v>683926.05601571908</v>
          </cell>
          <cell r="O8023">
            <v>692380.00232629513</v>
          </cell>
          <cell r="P8023">
            <v>368.79259999999999</v>
          </cell>
        </row>
        <row r="8024">
          <cell r="B8024">
            <v>40801</v>
          </cell>
          <cell r="J8024">
            <v>3809804.3041216834</v>
          </cell>
          <cell r="K8024">
            <v>2.4380000000000002</v>
          </cell>
          <cell r="L8024">
            <v>148835</v>
          </cell>
          <cell r="M8024">
            <v>13229</v>
          </cell>
          <cell r="N8024">
            <v>683926.05601571908</v>
          </cell>
          <cell r="O8024">
            <v>692380.00232629513</v>
          </cell>
          <cell r="P8024">
            <v>368.79259999999999</v>
          </cell>
        </row>
        <row r="8025">
          <cell r="B8025">
            <v>40802</v>
          </cell>
          <cell r="J8025">
            <v>3809804.3041216834</v>
          </cell>
          <cell r="K8025">
            <v>2.4380000000000002</v>
          </cell>
          <cell r="L8025">
            <v>148835</v>
          </cell>
          <cell r="M8025">
            <v>13229</v>
          </cell>
          <cell r="N8025">
            <v>683926.05601571908</v>
          </cell>
          <cell r="O8025">
            <v>692380.00232629513</v>
          </cell>
          <cell r="P8025">
            <v>368.79259999999999</v>
          </cell>
        </row>
        <row r="8026">
          <cell r="B8026">
            <v>40803</v>
          </cell>
          <cell r="J8026">
            <v>3809804.3041216834</v>
          </cell>
          <cell r="K8026">
            <v>2.4380000000000002</v>
          </cell>
          <cell r="L8026">
            <v>148835</v>
          </cell>
          <cell r="M8026">
            <v>13229</v>
          </cell>
          <cell r="N8026">
            <v>683926.05601571908</v>
          </cell>
          <cell r="O8026">
            <v>692380.00232629513</v>
          </cell>
          <cell r="P8026">
            <v>368.79259999999999</v>
          </cell>
        </row>
        <row r="8027">
          <cell r="B8027">
            <v>40804</v>
          </cell>
          <cell r="J8027">
            <v>3809804.3041216834</v>
          </cell>
          <cell r="K8027">
            <v>2.4380000000000002</v>
          </cell>
          <cell r="L8027">
            <v>148835</v>
          </cell>
          <cell r="M8027">
            <v>13229</v>
          </cell>
          <cell r="N8027">
            <v>683926.05601571908</v>
          </cell>
          <cell r="O8027">
            <v>692380.00232629513</v>
          </cell>
          <cell r="P8027">
            <v>368.79259999999999</v>
          </cell>
        </row>
        <row r="8028">
          <cell r="B8028">
            <v>40805</v>
          </cell>
          <cell r="J8028">
            <v>3809804.3041216834</v>
          </cell>
          <cell r="K8028">
            <v>2.4380000000000002</v>
          </cell>
          <cell r="L8028">
            <v>148835</v>
          </cell>
          <cell r="M8028">
            <v>13229</v>
          </cell>
          <cell r="N8028">
            <v>683926.05601571908</v>
          </cell>
          <cell r="O8028">
            <v>692380.00232629513</v>
          </cell>
          <cell r="P8028">
            <v>368.79259999999999</v>
          </cell>
        </row>
        <row r="8029">
          <cell r="B8029">
            <v>40806</v>
          </cell>
          <cell r="J8029">
            <v>3809804.3041216834</v>
          </cell>
          <cell r="K8029">
            <v>2.4380000000000002</v>
          </cell>
          <cell r="L8029">
            <v>148835</v>
          </cell>
          <cell r="M8029">
            <v>13229</v>
          </cell>
          <cell r="N8029">
            <v>683926.05601571908</v>
          </cell>
          <cell r="O8029">
            <v>692380.00232629513</v>
          </cell>
          <cell r="P8029">
            <v>368.79259999999999</v>
          </cell>
        </row>
        <row r="8030">
          <cell r="B8030">
            <v>40807</v>
          </cell>
          <cell r="J8030">
            <v>3809804.3041216834</v>
          </cell>
          <cell r="K8030">
            <v>2.4380000000000002</v>
          </cell>
          <cell r="L8030">
            <v>148835</v>
          </cell>
          <cell r="M8030">
            <v>13229</v>
          </cell>
          <cell r="N8030">
            <v>683926.05601571908</v>
          </cell>
          <cell r="O8030">
            <v>692380.00232629513</v>
          </cell>
          <cell r="P8030">
            <v>368.79259999999999</v>
          </cell>
        </row>
        <row r="8031">
          <cell r="B8031">
            <v>40808</v>
          </cell>
          <cell r="J8031">
            <v>3809804.3041216834</v>
          </cell>
          <cell r="K8031">
            <v>2.4380000000000002</v>
          </cell>
          <cell r="L8031">
            <v>148835</v>
          </cell>
          <cell r="M8031">
            <v>13229</v>
          </cell>
          <cell r="N8031">
            <v>683926.05601571908</v>
          </cell>
          <cell r="O8031">
            <v>692380.00232629513</v>
          </cell>
          <cell r="P8031">
            <v>368.79259999999999</v>
          </cell>
        </row>
        <row r="8032">
          <cell r="B8032">
            <v>40809</v>
          </cell>
          <cell r="J8032">
            <v>3809804.3041216834</v>
          </cell>
          <cell r="K8032">
            <v>2.4380000000000002</v>
          </cell>
          <cell r="L8032">
            <v>148835</v>
          </cell>
          <cell r="M8032">
            <v>13229</v>
          </cell>
          <cell r="N8032">
            <v>683926.05601571908</v>
          </cell>
          <cell r="O8032">
            <v>692380.00232629513</v>
          </cell>
          <cell r="P8032">
            <v>368.79259999999999</v>
          </cell>
        </row>
        <row r="8033">
          <cell r="B8033">
            <v>40810</v>
          </cell>
          <cell r="J8033">
            <v>3809804.3041216834</v>
          </cell>
          <cell r="K8033">
            <v>2.4380000000000002</v>
          </cell>
          <cell r="L8033">
            <v>148835</v>
          </cell>
          <cell r="M8033">
            <v>13229</v>
          </cell>
          <cell r="N8033">
            <v>683926.05601571908</v>
          </cell>
          <cell r="O8033">
            <v>692380.00232629513</v>
          </cell>
          <cell r="P8033">
            <v>368.79259999999999</v>
          </cell>
        </row>
        <row r="8034">
          <cell r="B8034">
            <v>40811</v>
          </cell>
          <cell r="J8034">
            <v>3809804.3041216834</v>
          </cell>
          <cell r="K8034">
            <v>2.4380000000000002</v>
          </cell>
          <cell r="L8034">
            <v>148835</v>
          </cell>
          <cell r="M8034">
            <v>13229</v>
          </cell>
          <cell r="N8034">
            <v>683926.05601571908</v>
          </cell>
          <cell r="O8034">
            <v>692380.00232629513</v>
          </cell>
          <cell r="P8034">
            <v>368.79259999999999</v>
          </cell>
        </row>
        <row r="8035">
          <cell r="B8035">
            <v>40812</v>
          </cell>
          <cell r="J8035">
            <v>3809804.3041216834</v>
          </cell>
          <cell r="K8035">
            <v>2.4380000000000002</v>
          </cell>
          <cell r="L8035">
            <v>148835</v>
          </cell>
          <cell r="M8035">
            <v>13229</v>
          </cell>
          <cell r="N8035">
            <v>683926.05601571908</v>
          </cell>
          <cell r="O8035">
            <v>692380.00232629513</v>
          </cell>
          <cell r="P8035">
            <v>368.79259999999999</v>
          </cell>
        </row>
        <row r="8036">
          <cell r="B8036">
            <v>40813</v>
          </cell>
          <cell r="J8036">
            <v>3809804.3041216834</v>
          </cell>
          <cell r="K8036">
            <v>2.4380000000000002</v>
          </cell>
          <cell r="L8036">
            <v>148835</v>
          </cell>
          <cell r="M8036">
            <v>13229</v>
          </cell>
          <cell r="N8036">
            <v>683926.05601571908</v>
          </cell>
          <cell r="O8036">
            <v>692380.00232629513</v>
          </cell>
          <cell r="P8036">
            <v>368.79259999999999</v>
          </cell>
        </row>
        <row r="8037">
          <cell r="B8037">
            <v>40814</v>
          </cell>
          <cell r="J8037">
            <v>3809804.3041216834</v>
          </cell>
          <cell r="K8037">
            <v>2.4380000000000002</v>
          </cell>
          <cell r="L8037">
            <v>148835</v>
          </cell>
          <cell r="M8037">
            <v>13229</v>
          </cell>
          <cell r="N8037">
            <v>683926.05601571908</v>
          </cell>
          <cell r="O8037">
            <v>692380.00232629513</v>
          </cell>
          <cell r="P8037">
            <v>368.79259999999999</v>
          </cell>
        </row>
        <row r="8038">
          <cell r="B8038">
            <v>40815</v>
          </cell>
          <cell r="J8038">
            <v>3809804.3041216834</v>
          </cell>
          <cell r="K8038">
            <v>2.4380000000000002</v>
          </cell>
          <cell r="L8038">
            <v>148835</v>
          </cell>
          <cell r="M8038">
            <v>13229</v>
          </cell>
          <cell r="N8038">
            <v>683926.05601571908</v>
          </cell>
          <cell r="O8038">
            <v>692380.00232629513</v>
          </cell>
          <cell r="P8038">
            <v>368.79259999999999</v>
          </cell>
        </row>
        <row r="8039">
          <cell r="B8039">
            <v>40816</v>
          </cell>
          <cell r="J8039">
            <v>3809804.3041216834</v>
          </cell>
          <cell r="K8039">
            <v>2.4380000000000002</v>
          </cell>
          <cell r="L8039">
            <v>148835</v>
          </cell>
          <cell r="M8039">
            <v>13229</v>
          </cell>
          <cell r="N8039">
            <v>683926.05601571908</v>
          </cell>
          <cell r="O8039">
            <v>692380.00232629513</v>
          </cell>
          <cell r="P8039">
            <v>368.79259999999999</v>
          </cell>
        </row>
        <row r="8040">
          <cell r="B8040">
            <v>40817</v>
          </cell>
          <cell r="J8040">
            <v>3809804.3041216834</v>
          </cell>
          <cell r="K8040">
            <v>2.4380000000000002</v>
          </cell>
          <cell r="L8040">
            <v>148835</v>
          </cell>
          <cell r="M8040">
            <v>13229</v>
          </cell>
          <cell r="N8040">
            <v>683926.05601571908</v>
          </cell>
          <cell r="O8040">
            <v>692380.00232629513</v>
          </cell>
          <cell r="P8040">
            <v>368.79259999999999</v>
          </cell>
        </row>
        <row r="8041">
          <cell r="B8041">
            <v>40818</v>
          </cell>
          <cell r="J8041">
            <v>3809804.3041216834</v>
          </cell>
          <cell r="K8041">
            <v>2.4380000000000002</v>
          </cell>
          <cell r="L8041">
            <v>148835</v>
          </cell>
          <cell r="M8041">
            <v>13229</v>
          </cell>
          <cell r="N8041">
            <v>683926.05601571908</v>
          </cell>
          <cell r="O8041">
            <v>692380.00232629513</v>
          </cell>
          <cell r="P8041">
            <v>368.79259999999999</v>
          </cell>
        </row>
        <row r="8042">
          <cell r="B8042">
            <v>40819</v>
          </cell>
          <cell r="J8042">
            <v>3809804.3041216834</v>
          </cell>
          <cell r="K8042">
            <v>2.4380000000000002</v>
          </cell>
          <cell r="L8042">
            <v>148835</v>
          </cell>
          <cell r="M8042">
            <v>13229</v>
          </cell>
          <cell r="N8042">
            <v>683926.05601571908</v>
          </cell>
          <cell r="O8042">
            <v>692380.00232629513</v>
          </cell>
          <cell r="P8042">
            <v>368.79259999999999</v>
          </cell>
        </row>
        <row r="8043">
          <cell r="B8043">
            <v>40820</v>
          </cell>
          <cell r="J8043">
            <v>3809804.3041216834</v>
          </cell>
          <cell r="K8043">
            <v>2.4380000000000002</v>
          </cell>
          <cell r="L8043">
            <v>148835</v>
          </cell>
          <cell r="M8043">
            <v>13229</v>
          </cell>
          <cell r="N8043">
            <v>683926.05601571908</v>
          </cell>
          <cell r="O8043">
            <v>692380.00232629513</v>
          </cell>
          <cell r="P8043">
            <v>368.79259999999999</v>
          </cell>
        </row>
        <row r="8044">
          <cell r="B8044">
            <v>40821</v>
          </cell>
          <cell r="J8044">
            <v>3809804.3041216834</v>
          </cell>
          <cell r="K8044">
            <v>2.4380000000000002</v>
          </cell>
          <cell r="L8044">
            <v>148835</v>
          </cell>
          <cell r="M8044">
            <v>13229</v>
          </cell>
          <cell r="N8044">
            <v>683926.05601571908</v>
          </cell>
          <cell r="O8044">
            <v>692380.00232629513</v>
          </cell>
          <cell r="P8044">
            <v>368.79259999999999</v>
          </cell>
        </row>
        <row r="8045">
          <cell r="B8045">
            <v>40822</v>
          </cell>
          <cell r="J8045">
            <v>3809804.3041216834</v>
          </cell>
          <cell r="K8045">
            <v>2.4380000000000002</v>
          </cell>
          <cell r="L8045">
            <v>148835</v>
          </cell>
          <cell r="M8045">
            <v>13229</v>
          </cell>
          <cell r="N8045">
            <v>683926.05601571908</v>
          </cell>
          <cell r="O8045">
            <v>692380.00232629513</v>
          </cell>
          <cell r="P8045">
            <v>368.79259999999999</v>
          </cell>
        </row>
        <row r="8046">
          <cell r="B8046">
            <v>40823</v>
          </cell>
          <cell r="J8046">
            <v>3809804.3041216834</v>
          </cell>
          <cell r="K8046">
            <v>2.4380000000000002</v>
          </cell>
          <cell r="L8046">
            <v>148835</v>
          </cell>
          <cell r="M8046">
            <v>13229</v>
          </cell>
          <cell r="N8046">
            <v>683926.05601571908</v>
          </cell>
          <cell r="O8046">
            <v>692380.00232629513</v>
          </cell>
          <cell r="P8046">
            <v>368.79259999999999</v>
          </cell>
        </row>
        <row r="8047">
          <cell r="B8047">
            <v>40824</v>
          </cell>
          <cell r="J8047">
            <v>3809804.3041216834</v>
          </cell>
          <cell r="K8047">
            <v>2.4380000000000002</v>
          </cell>
          <cell r="L8047">
            <v>148835</v>
          </cell>
          <cell r="M8047">
            <v>13229</v>
          </cell>
          <cell r="N8047">
            <v>683926.05601571908</v>
          </cell>
          <cell r="O8047">
            <v>692380.00232629513</v>
          </cell>
          <cell r="P8047">
            <v>368.79259999999999</v>
          </cell>
        </row>
        <row r="8048">
          <cell r="B8048">
            <v>40825</v>
          </cell>
          <cell r="J8048">
            <v>3809804.3041216834</v>
          </cell>
          <cell r="K8048">
            <v>2.4380000000000002</v>
          </cell>
          <cell r="L8048">
            <v>148835</v>
          </cell>
          <cell r="M8048">
            <v>13229</v>
          </cell>
          <cell r="N8048">
            <v>683926.05601571908</v>
          </cell>
          <cell r="O8048">
            <v>692380.00232629513</v>
          </cell>
          <cell r="P8048">
            <v>368.79259999999999</v>
          </cell>
        </row>
        <row r="8049">
          <cell r="B8049">
            <v>40826</v>
          </cell>
          <cell r="J8049">
            <v>3809804.3041216834</v>
          </cell>
          <cell r="K8049">
            <v>2.4380000000000002</v>
          </cell>
          <cell r="L8049">
            <v>148835</v>
          </cell>
          <cell r="M8049">
            <v>13229</v>
          </cell>
          <cell r="N8049">
            <v>683926.05601571908</v>
          </cell>
          <cell r="O8049">
            <v>692380.00232629513</v>
          </cell>
          <cell r="P8049">
            <v>368.79259999999999</v>
          </cell>
        </row>
        <row r="8050">
          <cell r="B8050">
            <v>40827</v>
          </cell>
          <cell r="J8050">
            <v>3809804.3041216834</v>
          </cell>
          <cell r="K8050">
            <v>2.4380000000000002</v>
          </cell>
          <cell r="L8050">
            <v>148835</v>
          </cell>
          <cell r="M8050">
            <v>13229</v>
          </cell>
          <cell r="N8050">
            <v>683926.05601571908</v>
          </cell>
          <cell r="O8050">
            <v>692380.00232629513</v>
          </cell>
          <cell r="P8050">
            <v>368.79259999999999</v>
          </cell>
        </row>
        <row r="8051">
          <cell r="B8051">
            <v>40828</v>
          </cell>
          <cell r="J8051">
            <v>3809804.3041216834</v>
          </cell>
          <cell r="K8051">
            <v>2.4380000000000002</v>
          </cell>
          <cell r="L8051">
            <v>148835</v>
          </cell>
          <cell r="M8051">
            <v>13229</v>
          </cell>
          <cell r="N8051">
            <v>683926.05601571908</v>
          </cell>
          <cell r="O8051">
            <v>692380.00232629513</v>
          </cell>
          <cell r="P8051">
            <v>368.79259999999999</v>
          </cell>
        </row>
        <row r="8052">
          <cell r="B8052">
            <v>40829</v>
          </cell>
          <cell r="J8052">
            <v>3809804.3041216834</v>
          </cell>
          <cell r="K8052">
            <v>2.4380000000000002</v>
          </cell>
          <cell r="L8052">
            <v>148835</v>
          </cell>
          <cell r="M8052">
            <v>13229</v>
          </cell>
          <cell r="N8052">
            <v>683926.05601571908</v>
          </cell>
          <cell r="O8052">
            <v>692380.00232629513</v>
          </cell>
          <cell r="P8052">
            <v>368.79259999999999</v>
          </cell>
        </row>
        <row r="8053">
          <cell r="B8053">
            <v>40830</v>
          </cell>
          <cell r="J8053">
            <v>3809804.3041216834</v>
          </cell>
          <cell r="K8053">
            <v>2.4380000000000002</v>
          </cell>
          <cell r="L8053">
            <v>148835</v>
          </cell>
          <cell r="M8053">
            <v>13229</v>
          </cell>
          <cell r="N8053">
            <v>683926.05601571908</v>
          </cell>
          <cell r="O8053">
            <v>692380.00232629513</v>
          </cell>
          <cell r="P8053">
            <v>368.79259999999999</v>
          </cell>
        </row>
        <row r="8054">
          <cell r="B8054">
            <v>40831</v>
          </cell>
          <cell r="J8054">
            <v>3809804.3041216834</v>
          </cell>
          <cell r="K8054">
            <v>2.4380000000000002</v>
          </cell>
          <cell r="L8054">
            <v>148835</v>
          </cell>
          <cell r="M8054">
            <v>13229</v>
          </cell>
          <cell r="N8054">
            <v>683926.05601571908</v>
          </cell>
          <cell r="O8054">
            <v>692380.00232629513</v>
          </cell>
          <cell r="P8054">
            <v>368.79259999999999</v>
          </cell>
        </row>
        <row r="8055">
          <cell r="B8055">
            <v>40832</v>
          </cell>
          <cell r="J8055">
            <v>3809804.3041216834</v>
          </cell>
          <cell r="K8055">
            <v>2.4380000000000002</v>
          </cell>
          <cell r="L8055">
            <v>148835</v>
          </cell>
          <cell r="M8055">
            <v>13229</v>
          </cell>
          <cell r="N8055">
            <v>683926.05601571908</v>
          </cell>
          <cell r="O8055">
            <v>692380.00232629513</v>
          </cell>
          <cell r="P8055">
            <v>368.79259999999999</v>
          </cell>
        </row>
        <row r="8056">
          <cell r="B8056">
            <v>40833</v>
          </cell>
          <cell r="J8056">
            <v>3809804.3041216834</v>
          </cell>
          <cell r="K8056">
            <v>2.4380000000000002</v>
          </cell>
          <cell r="L8056">
            <v>148835</v>
          </cell>
          <cell r="M8056">
            <v>13229</v>
          </cell>
          <cell r="N8056">
            <v>683926.05601571908</v>
          </cell>
          <cell r="O8056">
            <v>692380.00232629513</v>
          </cell>
          <cell r="P8056">
            <v>368.79259999999999</v>
          </cell>
        </row>
        <row r="8057">
          <cell r="B8057">
            <v>40834</v>
          </cell>
          <cell r="J8057">
            <v>3809804.3041216834</v>
          </cell>
          <cell r="K8057">
            <v>2.4380000000000002</v>
          </cell>
          <cell r="L8057">
            <v>148835</v>
          </cell>
          <cell r="M8057">
            <v>13229</v>
          </cell>
          <cell r="N8057">
            <v>683926.05601571908</v>
          </cell>
          <cell r="O8057">
            <v>692380.00232629513</v>
          </cell>
          <cell r="P8057">
            <v>368.79259999999999</v>
          </cell>
        </row>
        <row r="8058">
          <cell r="B8058">
            <v>40835</v>
          </cell>
          <cell r="J8058">
            <v>3809804.3041216834</v>
          </cell>
          <cell r="K8058">
            <v>2.4380000000000002</v>
          </cell>
          <cell r="L8058">
            <v>148835</v>
          </cell>
          <cell r="M8058">
            <v>13229</v>
          </cell>
          <cell r="N8058">
            <v>683926.05601571908</v>
          </cell>
          <cell r="O8058">
            <v>692380.00232629513</v>
          </cell>
          <cell r="P8058">
            <v>368.79259999999999</v>
          </cell>
        </row>
        <row r="8059">
          <cell r="B8059">
            <v>40836</v>
          </cell>
          <cell r="J8059">
            <v>3809804.3041216834</v>
          </cell>
          <cell r="K8059">
            <v>2.4380000000000002</v>
          </cell>
          <cell r="L8059">
            <v>148835</v>
          </cell>
          <cell r="M8059">
            <v>13229</v>
          </cell>
          <cell r="N8059">
            <v>683926.05601571908</v>
          </cell>
          <cell r="O8059">
            <v>692380.00232629513</v>
          </cell>
          <cell r="P8059">
            <v>368.79259999999999</v>
          </cell>
        </row>
        <row r="8060">
          <cell r="B8060">
            <v>40837</v>
          </cell>
          <cell r="J8060">
            <v>3809804.3041216834</v>
          </cell>
          <cell r="K8060">
            <v>2.4380000000000002</v>
          </cell>
          <cell r="L8060">
            <v>148835</v>
          </cell>
          <cell r="M8060">
            <v>13229</v>
          </cell>
          <cell r="N8060">
            <v>683926.05601571908</v>
          </cell>
          <cell r="O8060">
            <v>692380.00232629513</v>
          </cell>
          <cell r="P8060">
            <v>368.79259999999999</v>
          </cell>
        </row>
        <row r="8061">
          <cell r="B8061">
            <v>40838</v>
          </cell>
          <cell r="J8061">
            <v>3809804.3041216834</v>
          </cell>
          <cell r="K8061">
            <v>2.4380000000000002</v>
          </cell>
          <cell r="L8061">
            <v>148835</v>
          </cell>
          <cell r="M8061">
            <v>13229</v>
          </cell>
          <cell r="N8061">
            <v>683926.05601571908</v>
          </cell>
          <cell r="O8061">
            <v>692380.00232629513</v>
          </cell>
          <cell r="P8061">
            <v>368.79259999999999</v>
          </cell>
        </row>
        <row r="8062">
          <cell r="B8062">
            <v>40839</v>
          </cell>
          <cell r="J8062">
            <v>3809804.3041216834</v>
          </cell>
          <cell r="K8062">
            <v>2.4380000000000002</v>
          </cell>
          <cell r="L8062">
            <v>148835</v>
          </cell>
          <cell r="M8062">
            <v>13229</v>
          </cell>
          <cell r="N8062">
            <v>683926.05601571908</v>
          </cell>
          <cell r="O8062">
            <v>692380.00232629513</v>
          </cell>
          <cell r="P8062">
            <v>368.79259999999999</v>
          </cell>
        </row>
        <row r="8063">
          <cell r="B8063">
            <v>40840</v>
          </cell>
          <cell r="J8063">
            <v>3809804.3041216834</v>
          </cell>
          <cell r="K8063">
            <v>2.4380000000000002</v>
          </cell>
          <cell r="L8063">
            <v>148835</v>
          </cell>
          <cell r="M8063">
            <v>13229</v>
          </cell>
          <cell r="N8063">
            <v>683926.05601571908</v>
          </cell>
          <cell r="O8063">
            <v>692380.00232629513</v>
          </cell>
          <cell r="P8063">
            <v>368.79259999999999</v>
          </cell>
        </row>
        <row r="8064">
          <cell r="B8064">
            <v>40841</v>
          </cell>
          <cell r="J8064">
            <v>3809804.3041216834</v>
          </cell>
          <cell r="K8064">
            <v>2.4380000000000002</v>
          </cell>
          <cell r="L8064">
            <v>148835</v>
          </cell>
          <cell r="M8064">
            <v>13229</v>
          </cell>
          <cell r="N8064">
            <v>683926.05601571908</v>
          </cell>
          <cell r="O8064">
            <v>692380.00232629513</v>
          </cell>
          <cell r="P8064">
            <v>368.79259999999999</v>
          </cell>
        </row>
        <row r="8065">
          <cell r="B8065">
            <v>40842</v>
          </cell>
          <cell r="J8065">
            <v>3809804.3041216834</v>
          </cell>
          <cell r="K8065">
            <v>2.4380000000000002</v>
          </cell>
          <cell r="L8065">
            <v>148835</v>
          </cell>
          <cell r="M8065">
            <v>13229</v>
          </cell>
          <cell r="N8065">
            <v>683926.05601571908</v>
          </cell>
          <cell r="O8065">
            <v>692380.00232629513</v>
          </cell>
          <cell r="P8065">
            <v>368.79259999999999</v>
          </cell>
        </row>
        <row r="8066">
          <cell r="B8066">
            <v>40843</v>
          </cell>
          <cell r="J8066">
            <v>3809804.3041216834</v>
          </cell>
          <cell r="K8066">
            <v>2.4380000000000002</v>
          </cell>
          <cell r="L8066">
            <v>148835</v>
          </cell>
          <cell r="M8066">
            <v>13229</v>
          </cell>
          <cell r="N8066">
            <v>683926.05601571908</v>
          </cell>
          <cell r="O8066">
            <v>692380.00232629513</v>
          </cell>
          <cell r="P8066">
            <v>368.79259999999999</v>
          </cell>
        </row>
        <row r="8067">
          <cell r="B8067">
            <v>40844</v>
          </cell>
          <cell r="J8067">
            <v>3809804.3041216834</v>
          </cell>
          <cell r="K8067">
            <v>2.4380000000000002</v>
          </cell>
          <cell r="L8067">
            <v>148835</v>
          </cell>
          <cell r="M8067">
            <v>13229</v>
          </cell>
          <cell r="N8067">
            <v>683926.05601571908</v>
          </cell>
          <cell r="O8067">
            <v>692380.00232629513</v>
          </cell>
          <cell r="P8067">
            <v>368.79259999999999</v>
          </cell>
        </row>
        <row r="8068">
          <cell r="B8068">
            <v>40845</v>
          </cell>
          <cell r="J8068">
            <v>3809804.3041216834</v>
          </cell>
          <cell r="K8068">
            <v>2.4380000000000002</v>
          </cell>
          <cell r="L8068">
            <v>148835</v>
          </cell>
          <cell r="M8068">
            <v>13229</v>
          </cell>
          <cell r="N8068">
            <v>683926.05601571908</v>
          </cell>
          <cell r="O8068">
            <v>692380.00232629513</v>
          </cell>
          <cell r="P8068">
            <v>368.79259999999999</v>
          </cell>
        </row>
        <row r="8069">
          <cell r="B8069">
            <v>40846</v>
          </cell>
          <cell r="J8069">
            <v>3809804.3041216834</v>
          </cell>
          <cell r="K8069">
            <v>2.4380000000000002</v>
          </cell>
          <cell r="L8069">
            <v>148835</v>
          </cell>
          <cell r="M8069">
            <v>13229</v>
          </cell>
          <cell r="N8069">
            <v>683926.05601571908</v>
          </cell>
          <cell r="O8069">
            <v>692380.00232629513</v>
          </cell>
          <cell r="P8069">
            <v>368.79259999999999</v>
          </cell>
        </row>
        <row r="8070">
          <cell r="B8070">
            <v>40847</v>
          </cell>
          <cell r="J8070">
            <v>3809804.3041216834</v>
          </cell>
          <cell r="K8070">
            <v>2.4380000000000002</v>
          </cell>
          <cell r="L8070">
            <v>148835</v>
          </cell>
          <cell r="M8070">
            <v>13229</v>
          </cell>
          <cell r="N8070">
            <v>683926.05601571908</v>
          </cell>
          <cell r="O8070">
            <v>692380.00232629513</v>
          </cell>
          <cell r="P8070">
            <v>368.79259999999999</v>
          </cell>
        </row>
        <row r="8071">
          <cell r="B8071">
            <v>40848</v>
          </cell>
          <cell r="J8071">
            <v>3809804.3041216834</v>
          </cell>
          <cell r="K8071">
            <v>2.4380000000000002</v>
          </cell>
          <cell r="L8071">
            <v>148835</v>
          </cell>
          <cell r="M8071">
            <v>13229</v>
          </cell>
          <cell r="N8071">
            <v>683926.05601571908</v>
          </cell>
          <cell r="O8071">
            <v>692380.00232629513</v>
          </cell>
          <cell r="P8071">
            <v>368.79259999999999</v>
          </cell>
        </row>
        <row r="8072">
          <cell r="B8072">
            <v>40849</v>
          </cell>
          <cell r="J8072">
            <v>3809804.3041216834</v>
          </cell>
          <cell r="K8072">
            <v>2.4380000000000002</v>
          </cell>
          <cell r="L8072">
            <v>148835</v>
          </cell>
          <cell r="M8072">
            <v>13229</v>
          </cell>
          <cell r="N8072">
            <v>683926.05601571908</v>
          </cell>
          <cell r="O8072">
            <v>692380.00232629513</v>
          </cell>
          <cell r="P8072">
            <v>368.79259999999999</v>
          </cell>
        </row>
        <row r="8073">
          <cell r="B8073">
            <v>40850</v>
          </cell>
          <cell r="J8073">
            <v>3809804.3041216834</v>
          </cell>
          <cell r="K8073">
            <v>2.4380000000000002</v>
          </cell>
          <cell r="L8073">
            <v>148835</v>
          </cell>
          <cell r="M8073">
            <v>13229</v>
          </cell>
          <cell r="N8073">
            <v>683926.05601571908</v>
          </cell>
          <cell r="O8073">
            <v>692380.00232629513</v>
          </cell>
          <cell r="P8073">
            <v>368.79259999999999</v>
          </cell>
        </row>
        <row r="8074">
          <cell r="B8074">
            <v>40851</v>
          </cell>
          <cell r="J8074">
            <v>3809804.3041216834</v>
          </cell>
          <cell r="K8074">
            <v>2.4380000000000002</v>
          </cell>
          <cell r="L8074">
            <v>148835</v>
          </cell>
          <cell r="M8074">
            <v>13229</v>
          </cell>
          <cell r="N8074">
            <v>683926.05601571908</v>
          </cell>
          <cell r="O8074">
            <v>692380.00232629513</v>
          </cell>
          <cell r="P8074">
            <v>368.79259999999999</v>
          </cell>
        </row>
        <row r="8075">
          <cell r="B8075">
            <v>40852</v>
          </cell>
          <cell r="J8075">
            <v>3809804.3041216834</v>
          </cell>
          <cell r="K8075">
            <v>2.4380000000000002</v>
          </cell>
          <cell r="L8075">
            <v>148835</v>
          </cell>
          <cell r="M8075">
            <v>13229</v>
          </cell>
          <cell r="N8075">
            <v>683926.05601571908</v>
          </cell>
          <cell r="O8075">
            <v>692380.00232629513</v>
          </cell>
          <cell r="P8075">
            <v>368.79259999999999</v>
          </cell>
        </row>
        <row r="8076">
          <cell r="B8076">
            <v>40853</v>
          </cell>
          <cell r="J8076">
            <v>3809804.3041216834</v>
          </cell>
          <cell r="K8076">
            <v>2.4380000000000002</v>
          </cell>
          <cell r="L8076">
            <v>148835</v>
          </cell>
          <cell r="M8076">
            <v>13229</v>
          </cell>
          <cell r="N8076">
            <v>683926.05601571908</v>
          </cell>
          <cell r="O8076">
            <v>692380.00232629513</v>
          </cell>
          <cell r="P8076">
            <v>368.79259999999999</v>
          </cell>
        </row>
        <row r="8077">
          <cell r="B8077">
            <v>40854</v>
          </cell>
          <cell r="J8077">
            <v>3809804.3041216834</v>
          </cell>
          <cell r="K8077">
            <v>2.4380000000000002</v>
          </cell>
          <cell r="L8077">
            <v>148835</v>
          </cell>
          <cell r="M8077">
            <v>13229</v>
          </cell>
          <cell r="N8077">
            <v>683926.05601571908</v>
          </cell>
          <cell r="O8077">
            <v>692380.00232629513</v>
          </cell>
          <cell r="P8077">
            <v>368.79259999999999</v>
          </cell>
        </row>
        <row r="8078">
          <cell r="B8078">
            <v>40855</v>
          </cell>
          <cell r="J8078">
            <v>3809804.3041216834</v>
          </cell>
          <cell r="K8078">
            <v>2.4380000000000002</v>
          </cell>
          <cell r="L8078">
            <v>148835</v>
          </cell>
          <cell r="M8078">
            <v>13229</v>
          </cell>
          <cell r="N8078">
            <v>683926.05601571908</v>
          </cell>
          <cell r="O8078">
            <v>692380.00232629513</v>
          </cell>
          <cell r="P8078">
            <v>368.79259999999999</v>
          </cell>
        </row>
        <row r="8079">
          <cell r="B8079">
            <v>40856</v>
          </cell>
          <cell r="J8079">
            <v>3809804.3041216834</v>
          </cell>
          <cell r="K8079">
            <v>2.4380000000000002</v>
          </cell>
          <cell r="L8079">
            <v>148835</v>
          </cell>
          <cell r="M8079">
            <v>13229</v>
          </cell>
          <cell r="N8079">
            <v>683926.05601571908</v>
          </cell>
          <cell r="O8079">
            <v>692380.00232629513</v>
          </cell>
          <cell r="P8079">
            <v>368.79259999999999</v>
          </cell>
        </row>
        <row r="8080">
          <cell r="B8080">
            <v>40857</v>
          </cell>
          <cell r="J8080">
            <v>3809804.3041216834</v>
          </cell>
          <cell r="K8080">
            <v>2.4380000000000002</v>
          </cell>
          <cell r="L8080">
            <v>148835</v>
          </cell>
          <cell r="M8080">
            <v>13229</v>
          </cell>
          <cell r="N8080">
            <v>683926.05601571908</v>
          </cell>
          <cell r="O8080">
            <v>692380.00232629513</v>
          </cell>
          <cell r="P8080">
            <v>368.79259999999999</v>
          </cell>
        </row>
        <row r="8081">
          <cell r="B8081">
            <v>40858</v>
          </cell>
          <cell r="J8081">
            <v>3809804.3041216834</v>
          </cell>
          <cell r="K8081">
            <v>2.4380000000000002</v>
          </cell>
          <cell r="L8081">
            <v>148835</v>
          </cell>
          <cell r="M8081">
            <v>13229</v>
          </cell>
          <cell r="N8081">
            <v>683926.05601571908</v>
          </cell>
          <cell r="O8081">
            <v>692380.00232629513</v>
          </cell>
          <cell r="P8081">
            <v>368.79259999999999</v>
          </cell>
        </row>
        <row r="8082">
          <cell r="B8082">
            <v>40859</v>
          </cell>
          <cell r="J8082">
            <v>3809804.3041216834</v>
          </cell>
          <cell r="K8082">
            <v>2.4380000000000002</v>
          </cell>
          <cell r="L8082">
            <v>148835</v>
          </cell>
          <cell r="M8082">
            <v>13229</v>
          </cell>
          <cell r="N8082">
            <v>683926.05601571908</v>
          </cell>
          <cell r="O8082">
            <v>692380.00232629513</v>
          </cell>
          <cell r="P8082">
            <v>368.79259999999999</v>
          </cell>
        </row>
        <row r="8083">
          <cell r="B8083">
            <v>40860</v>
          </cell>
          <cell r="J8083">
            <v>3809804.3041216834</v>
          </cell>
          <cell r="K8083">
            <v>2.4380000000000002</v>
          </cell>
          <cell r="L8083">
            <v>148835</v>
          </cell>
          <cell r="M8083">
            <v>13229</v>
          </cell>
          <cell r="N8083">
            <v>683926.05601571908</v>
          </cell>
          <cell r="O8083">
            <v>692380.00232629513</v>
          </cell>
          <cell r="P8083">
            <v>368.79259999999999</v>
          </cell>
        </row>
        <row r="8084">
          <cell r="B8084">
            <v>40861</v>
          </cell>
          <cell r="J8084">
            <v>3809804.3041216834</v>
          </cell>
          <cell r="K8084">
            <v>2.4380000000000002</v>
          </cell>
          <cell r="L8084">
            <v>148835</v>
          </cell>
          <cell r="M8084">
            <v>13229</v>
          </cell>
          <cell r="N8084">
            <v>683926.05601571908</v>
          </cell>
          <cell r="O8084">
            <v>692380.00232629513</v>
          </cell>
          <cell r="P8084">
            <v>368.79259999999999</v>
          </cell>
        </row>
        <row r="8085">
          <cell r="B8085">
            <v>40862</v>
          </cell>
          <cell r="J8085">
            <v>3809804.3041216834</v>
          </cell>
          <cell r="K8085">
            <v>2.4380000000000002</v>
          </cell>
          <cell r="L8085">
            <v>148835</v>
          </cell>
          <cell r="M8085">
            <v>13229</v>
          </cell>
          <cell r="N8085">
            <v>683926.05601571908</v>
          </cell>
          <cell r="O8085">
            <v>692380.00232629513</v>
          </cell>
          <cell r="P8085">
            <v>368.79259999999999</v>
          </cell>
        </row>
        <row r="8086">
          <cell r="B8086">
            <v>40863</v>
          </cell>
          <cell r="J8086">
            <v>3809804.3041216834</v>
          </cell>
          <cell r="K8086">
            <v>2.4380000000000002</v>
          </cell>
          <cell r="L8086">
            <v>148835</v>
          </cell>
          <cell r="M8086">
            <v>13229</v>
          </cell>
          <cell r="N8086">
            <v>683926.05601571908</v>
          </cell>
          <cell r="O8086">
            <v>692380.00232629513</v>
          </cell>
          <cell r="P8086">
            <v>368.79259999999999</v>
          </cell>
        </row>
        <row r="8087">
          <cell r="B8087">
            <v>40864</v>
          </cell>
          <cell r="J8087">
            <v>3809804.3041216834</v>
          </cell>
          <cell r="K8087">
            <v>2.4380000000000002</v>
          </cell>
          <cell r="L8087">
            <v>148835</v>
          </cell>
          <cell r="M8087">
            <v>13229</v>
          </cell>
          <cell r="N8087">
            <v>683926.05601571908</v>
          </cell>
          <cell r="O8087">
            <v>692380.00232629513</v>
          </cell>
          <cell r="P8087">
            <v>368.79259999999999</v>
          </cell>
        </row>
        <row r="8088">
          <cell r="B8088">
            <v>40865</v>
          </cell>
          <cell r="J8088">
            <v>3809804.3041216834</v>
          </cell>
          <cell r="K8088">
            <v>2.4380000000000002</v>
          </cell>
          <cell r="L8088">
            <v>148835</v>
          </cell>
          <cell r="M8088">
            <v>13229</v>
          </cell>
          <cell r="N8088">
            <v>683926.05601571908</v>
          </cell>
          <cell r="O8088">
            <v>692380.00232629513</v>
          </cell>
          <cell r="P8088">
            <v>368.79259999999999</v>
          </cell>
        </row>
        <row r="8089">
          <cell r="B8089">
            <v>40866</v>
          </cell>
          <cell r="J8089">
            <v>3809804.3041216834</v>
          </cell>
          <cell r="K8089">
            <v>2.4380000000000002</v>
          </cell>
          <cell r="L8089">
            <v>148835</v>
          </cell>
          <cell r="M8089">
            <v>13229</v>
          </cell>
          <cell r="N8089">
            <v>683926.05601571908</v>
          </cell>
          <cell r="O8089">
            <v>692380.00232629513</v>
          </cell>
          <cell r="P8089">
            <v>368.79259999999999</v>
          </cell>
        </row>
        <row r="8090">
          <cell r="B8090">
            <v>40867</v>
          </cell>
          <cell r="J8090">
            <v>3809804.3041216834</v>
          </cell>
          <cell r="K8090">
            <v>2.4380000000000002</v>
          </cell>
          <cell r="L8090">
            <v>148835</v>
          </cell>
          <cell r="M8090">
            <v>13229</v>
          </cell>
          <cell r="N8090">
            <v>683926.05601571908</v>
          </cell>
          <cell r="O8090">
            <v>692380.00232629513</v>
          </cell>
          <cell r="P8090">
            <v>368.79259999999999</v>
          </cell>
        </row>
        <row r="8091">
          <cell r="B8091">
            <v>40868</v>
          </cell>
          <cell r="J8091">
            <v>3809804.3041216834</v>
          </cell>
          <cell r="K8091">
            <v>2.4380000000000002</v>
          </cell>
          <cell r="L8091">
            <v>148835</v>
          </cell>
          <cell r="M8091">
            <v>13229</v>
          </cell>
          <cell r="N8091">
            <v>683926.05601571908</v>
          </cell>
          <cell r="O8091">
            <v>692380.00232629513</v>
          </cell>
          <cell r="P8091">
            <v>368.79259999999999</v>
          </cell>
        </row>
        <row r="8092">
          <cell r="B8092">
            <v>40869</v>
          </cell>
          <cell r="J8092">
            <v>3809804.3041216834</v>
          </cell>
          <cell r="K8092">
            <v>2.4380000000000002</v>
          </cell>
          <cell r="L8092">
            <v>148835</v>
          </cell>
          <cell r="M8092">
            <v>13229</v>
          </cell>
          <cell r="N8092">
            <v>683926.05601571908</v>
          </cell>
          <cell r="O8092">
            <v>692380.00232629513</v>
          </cell>
          <cell r="P8092">
            <v>368.79259999999999</v>
          </cell>
        </row>
        <row r="8093">
          <cell r="B8093">
            <v>40870</v>
          </cell>
          <cell r="J8093">
            <v>3809804.3041216834</v>
          </cell>
          <cell r="K8093">
            <v>2.4380000000000002</v>
          </cell>
          <cell r="L8093">
            <v>148835</v>
          </cell>
          <cell r="M8093">
            <v>13229</v>
          </cell>
          <cell r="N8093">
            <v>683926.05601571908</v>
          </cell>
          <cell r="O8093">
            <v>692380.00232629513</v>
          </cell>
          <cell r="P8093">
            <v>368.79259999999999</v>
          </cell>
        </row>
        <row r="8094">
          <cell r="B8094">
            <v>40871</v>
          </cell>
          <cell r="J8094">
            <v>3809804.3041216834</v>
          </cell>
          <cell r="K8094">
            <v>2.4380000000000002</v>
          </cell>
          <cell r="L8094">
            <v>148835</v>
          </cell>
          <cell r="M8094">
            <v>13229</v>
          </cell>
          <cell r="N8094">
            <v>683926.05601571908</v>
          </cell>
          <cell r="O8094">
            <v>692380.00232629513</v>
          </cell>
          <cell r="P8094">
            <v>368.79259999999999</v>
          </cell>
        </row>
        <row r="8095">
          <cell r="B8095">
            <v>40872</v>
          </cell>
          <cell r="J8095">
            <v>3809804.3041216834</v>
          </cell>
          <cell r="K8095">
            <v>2.4380000000000002</v>
          </cell>
          <cell r="L8095">
            <v>148835</v>
          </cell>
          <cell r="M8095">
            <v>13229</v>
          </cell>
          <cell r="N8095">
            <v>683926.05601571908</v>
          </cell>
          <cell r="O8095">
            <v>692380.00232629513</v>
          </cell>
          <cell r="P8095">
            <v>368.79259999999999</v>
          </cell>
        </row>
        <row r="8096">
          <cell r="B8096">
            <v>40873</v>
          </cell>
          <cell r="J8096">
            <v>3809804.3041216834</v>
          </cell>
          <cell r="K8096">
            <v>2.4380000000000002</v>
          </cell>
          <cell r="L8096">
            <v>148835</v>
          </cell>
          <cell r="M8096">
            <v>13229</v>
          </cell>
          <cell r="N8096">
            <v>683926.05601571908</v>
          </cell>
          <cell r="O8096">
            <v>692380.00232629513</v>
          </cell>
          <cell r="P8096">
            <v>368.79259999999999</v>
          </cell>
        </row>
        <row r="8097">
          <cell r="B8097">
            <v>40874</v>
          </cell>
          <cell r="J8097">
            <v>3809804.3041216834</v>
          </cell>
          <cell r="K8097">
            <v>2.4380000000000002</v>
          </cell>
          <cell r="L8097">
            <v>148835</v>
          </cell>
          <cell r="M8097">
            <v>13229</v>
          </cell>
          <cell r="N8097">
            <v>683926.05601571908</v>
          </cell>
          <cell r="O8097">
            <v>692380.00232629513</v>
          </cell>
          <cell r="P8097">
            <v>368.79259999999999</v>
          </cell>
        </row>
        <row r="8098">
          <cell r="B8098">
            <v>40875</v>
          </cell>
          <cell r="J8098">
            <v>3809804.3041216834</v>
          </cell>
          <cell r="K8098">
            <v>2.4380000000000002</v>
          </cell>
          <cell r="L8098">
            <v>148835</v>
          </cell>
          <cell r="M8098">
            <v>13229</v>
          </cell>
          <cell r="N8098">
            <v>683926.05601571908</v>
          </cell>
          <cell r="O8098">
            <v>692380.00232629513</v>
          </cell>
          <cell r="P8098">
            <v>368.79259999999999</v>
          </cell>
        </row>
        <row r="8099">
          <cell r="B8099">
            <v>40876</v>
          </cell>
          <cell r="J8099">
            <v>3809804.3041216834</v>
          </cell>
          <cell r="K8099">
            <v>2.4380000000000002</v>
          </cell>
          <cell r="L8099">
            <v>148835</v>
          </cell>
          <cell r="M8099">
            <v>13229</v>
          </cell>
          <cell r="N8099">
            <v>683926.05601571908</v>
          </cell>
          <cell r="O8099">
            <v>692380.00232629513</v>
          </cell>
          <cell r="P8099">
            <v>368.79259999999999</v>
          </cell>
        </row>
        <row r="8100">
          <cell r="B8100">
            <v>40877</v>
          </cell>
          <cell r="J8100">
            <v>3809804.3041216834</v>
          </cell>
          <cell r="K8100">
            <v>2.4380000000000002</v>
          </cell>
          <cell r="L8100">
            <v>148835</v>
          </cell>
          <cell r="M8100">
            <v>13229</v>
          </cell>
          <cell r="N8100">
            <v>683926.05601571908</v>
          </cell>
          <cell r="O8100">
            <v>692380.00232629513</v>
          </cell>
          <cell r="P8100">
            <v>368.79259999999999</v>
          </cell>
        </row>
        <row r="8101">
          <cell r="B8101">
            <v>40878</v>
          </cell>
          <cell r="J8101">
            <v>3809804.3041216834</v>
          </cell>
          <cell r="K8101">
            <v>2.4380000000000002</v>
          </cell>
          <cell r="L8101">
            <v>148835</v>
          </cell>
          <cell r="M8101">
            <v>13229</v>
          </cell>
          <cell r="N8101">
            <v>683926.05601571908</v>
          </cell>
          <cell r="O8101">
            <v>692380.00232629513</v>
          </cell>
          <cell r="P8101">
            <v>368.79259999999999</v>
          </cell>
        </row>
        <row r="8102">
          <cell r="B8102">
            <v>40879</v>
          </cell>
          <cell r="J8102">
            <v>3809804.3041216834</v>
          </cell>
          <cell r="K8102">
            <v>2.4380000000000002</v>
          </cell>
          <cell r="L8102">
            <v>148835</v>
          </cell>
          <cell r="M8102">
            <v>13229</v>
          </cell>
          <cell r="N8102">
            <v>683926.05601571908</v>
          </cell>
          <cell r="O8102">
            <v>692380.00232629513</v>
          </cell>
          <cell r="P8102">
            <v>368.79259999999999</v>
          </cell>
        </row>
        <row r="8103">
          <cell r="B8103">
            <v>40880</v>
          </cell>
          <cell r="J8103">
            <v>3809804.3041216834</v>
          </cell>
          <cell r="K8103">
            <v>2.4380000000000002</v>
          </cell>
          <cell r="L8103">
            <v>148835</v>
          </cell>
          <cell r="M8103">
            <v>13229</v>
          </cell>
          <cell r="N8103">
            <v>683926.05601571908</v>
          </cell>
          <cell r="O8103">
            <v>692380.00232629513</v>
          </cell>
          <cell r="P8103">
            <v>368.79259999999999</v>
          </cell>
        </row>
        <row r="8104">
          <cell r="B8104">
            <v>40881</v>
          </cell>
          <cell r="J8104">
            <v>3809804.3041216834</v>
          </cell>
          <cell r="K8104">
            <v>2.4380000000000002</v>
          </cell>
          <cell r="L8104">
            <v>148835</v>
          </cell>
          <cell r="M8104">
            <v>13229</v>
          </cell>
          <cell r="N8104">
            <v>683926.05601571908</v>
          </cell>
          <cell r="O8104">
            <v>692380.00232629513</v>
          </cell>
          <cell r="P8104">
            <v>368.79259999999999</v>
          </cell>
        </row>
        <row r="8105">
          <cell r="B8105">
            <v>40882</v>
          </cell>
          <cell r="J8105">
            <v>3809804.3041216834</v>
          </cell>
          <cell r="K8105">
            <v>2.4380000000000002</v>
          </cell>
          <cell r="L8105">
            <v>148835</v>
          </cell>
          <cell r="M8105">
            <v>13229</v>
          </cell>
          <cell r="N8105">
            <v>683926.05601571908</v>
          </cell>
          <cell r="O8105">
            <v>692380.00232629513</v>
          </cell>
          <cell r="P8105">
            <v>368.79259999999999</v>
          </cell>
        </row>
        <row r="8106">
          <cell r="B8106">
            <v>40883</v>
          </cell>
          <cell r="J8106">
            <v>3809804.3041216834</v>
          </cell>
          <cell r="K8106">
            <v>2.4380000000000002</v>
          </cell>
          <cell r="L8106">
            <v>148835</v>
          </cell>
          <cell r="M8106">
            <v>13229</v>
          </cell>
          <cell r="N8106">
            <v>683926.05601571908</v>
          </cell>
          <cell r="O8106">
            <v>692380.00232629513</v>
          </cell>
          <cell r="P8106">
            <v>368.79259999999999</v>
          </cell>
        </row>
        <row r="8107">
          <cell r="B8107">
            <v>40884</v>
          </cell>
          <cell r="J8107">
            <v>3809804.3041216834</v>
          </cell>
          <cell r="K8107">
            <v>2.4380000000000002</v>
          </cell>
          <cell r="L8107">
            <v>148835</v>
          </cell>
          <cell r="M8107">
            <v>13229</v>
          </cell>
          <cell r="N8107">
            <v>683926.05601571908</v>
          </cell>
          <cell r="O8107">
            <v>692380.00232629513</v>
          </cell>
          <cell r="P8107">
            <v>368.79259999999999</v>
          </cell>
        </row>
        <row r="8108">
          <cell r="B8108">
            <v>40885</v>
          </cell>
          <cell r="J8108">
            <v>3809804.3041216834</v>
          </cell>
          <cell r="K8108">
            <v>2.4380000000000002</v>
          </cell>
          <cell r="L8108">
            <v>148835</v>
          </cell>
          <cell r="M8108">
            <v>13229</v>
          </cell>
          <cell r="N8108">
            <v>683926.05601571908</v>
          </cell>
          <cell r="O8108">
            <v>692380.00232629513</v>
          </cell>
          <cell r="P8108">
            <v>368.79259999999999</v>
          </cell>
        </row>
        <row r="8109">
          <cell r="B8109">
            <v>40886</v>
          </cell>
          <cell r="J8109">
            <v>3809804.3041216834</v>
          </cell>
          <cell r="K8109">
            <v>2.4380000000000002</v>
          </cell>
          <cell r="L8109">
            <v>148835</v>
          </cell>
          <cell r="M8109">
            <v>13229</v>
          </cell>
          <cell r="N8109">
            <v>683926.05601571908</v>
          </cell>
          <cell r="O8109">
            <v>692380.00232629513</v>
          </cell>
          <cell r="P8109">
            <v>368.79259999999999</v>
          </cell>
        </row>
        <row r="8110">
          <cell r="B8110">
            <v>40887</v>
          </cell>
          <cell r="J8110">
            <v>3809804.3041216834</v>
          </cell>
          <cell r="K8110">
            <v>2.4380000000000002</v>
          </cell>
          <cell r="L8110">
            <v>148835</v>
          </cell>
          <cell r="M8110">
            <v>13229</v>
          </cell>
          <cell r="N8110">
            <v>683926.05601571908</v>
          </cell>
          <cell r="O8110">
            <v>692380.00232629513</v>
          </cell>
          <cell r="P8110">
            <v>368.79259999999999</v>
          </cell>
        </row>
        <row r="8111">
          <cell r="B8111">
            <v>40888</v>
          </cell>
          <cell r="J8111">
            <v>3809804.3041216834</v>
          </cell>
          <cell r="K8111">
            <v>2.4380000000000002</v>
          </cell>
          <cell r="L8111">
            <v>148835</v>
          </cell>
          <cell r="M8111">
            <v>13229</v>
          </cell>
          <cell r="N8111">
            <v>683926.05601571908</v>
          </cell>
          <cell r="O8111">
            <v>692380.00232629513</v>
          </cell>
          <cell r="P8111">
            <v>368.79259999999999</v>
          </cell>
        </row>
        <row r="8112">
          <cell r="B8112">
            <v>40889</v>
          </cell>
          <cell r="J8112">
            <v>3809804.3041216834</v>
          </cell>
          <cell r="K8112">
            <v>2.4380000000000002</v>
          </cell>
          <cell r="L8112">
            <v>148835</v>
          </cell>
          <cell r="M8112">
            <v>13229</v>
          </cell>
          <cell r="N8112">
            <v>683926.05601571908</v>
          </cell>
          <cell r="O8112">
            <v>692380.00232629513</v>
          </cell>
          <cell r="P8112">
            <v>368.79259999999999</v>
          </cell>
        </row>
        <row r="8113">
          <cell r="B8113">
            <v>40890</v>
          </cell>
          <cell r="J8113">
            <v>3809804.3041216834</v>
          </cell>
          <cell r="K8113">
            <v>2.4380000000000002</v>
          </cell>
          <cell r="L8113">
            <v>148835</v>
          </cell>
          <cell r="M8113">
            <v>13229</v>
          </cell>
          <cell r="N8113">
            <v>683926.05601571908</v>
          </cell>
          <cell r="O8113">
            <v>692380.00232629513</v>
          </cell>
          <cell r="P8113">
            <v>368.79259999999999</v>
          </cell>
        </row>
        <row r="8114">
          <cell r="B8114">
            <v>40891</v>
          </cell>
          <cell r="J8114">
            <v>3809804.3041216834</v>
          </cell>
          <cell r="K8114">
            <v>2.4380000000000002</v>
          </cell>
          <cell r="L8114">
            <v>148835</v>
          </cell>
          <cell r="M8114">
            <v>13229</v>
          </cell>
          <cell r="N8114">
            <v>683926.05601571908</v>
          </cell>
          <cell r="O8114">
            <v>692380.00232629513</v>
          </cell>
          <cell r="P8114">
            <v>368.79259999999999</v>
          </cell>
        </row>
        <row r="8115">
          <cell r="B8115">
            <v>40892</v>
          </cell>
          <cell r="J8115">
            <v>3809804.3041216834</v>
          </cell>
          <cell r="K8115">
            <v>2.4380000000000002</v>
          </cell>
          <cell r="L8115">
            <v>148835</v>
          </cell>
          <cell r="M8115">
            <v>13229</v>
          </cell>
          <cell r="N8115">
            <v>683926.05601571908</v>
          </cell>
          <cell r="O8115">
            <v>692380.00232629513</v>
          </cell>
          <cell r="P8115">
            <v>368.79259999999999</v>
          </cell>
        </row>
        <row r="8116">
          <cell r="B8116">
            <v>40893</v>
          </cell>
          <cell r="J8116">
            <v>3809804.3041216834</v>
          </cell>
          <cell r="K8116">
            <v>2.4380000000000002</v>
          </cell>
          <cell r="L8116">
            <v>148835</v>
          </cell>
          <cell r="M8116">
            <v>13229</v>
          </cell>
          <cell r="N8116">
            <v>683926.05601571908</v>
          </cell>
          <cell r="O8116">
            <v>692380.00232629513</v>
          </cell>
          <cell r="P8116">
            <v>368.79259999999999</v>
          </cell>
        </row>
        <row r="8117">
          <cell r="B8117">
            <v>40894</v>
          </cell>
          <cell r="J8117">
            <v>3809804.3041216834</v>
          </cell>
          <cell r="K8117">
            <v>2.4380000000000002</v>
          </cell>
          <cell r="L8117">
            <v>148835</v>
          </cell>
          <cell r="M8117">
            <v>13229</v>
          </cell>
          <cell r="N8117">
            <v>683926.05601571908</v>
          </cell>
          <cell r="O8117">
            <v>692380.00232629513</v>
          </cell>
          <cell r="P8117">
            <v>368.79259999999999</v>
          </cell>
        </row>
        <row r="8118">
          <cell r="B8118">
            <v>40895</v>
          </cell>
          <cell r="J8118">
            <v>3809804.3041216834</v>
          </cell>
          <cell r="K8118">
            <v>2.4380000000000002</v>
          </cell>
          <cell r="L8118">
            <v>148835</v>
          </cell>
          <cell r="M8118">
            <v>13229</v>
          </cell>
          <cell r="N8118">
            <v>683926.05601571908</v>
          </cell>
          <cell r="O8118">
            <v>692380.00232629513</v>
          </cell>
          <cell r="P8118">
            <v>368.79259999999999</v>
          </cell>
        </row>
        <row r="8119">
          <cell r="B8119">
            <v>40896</v>
          </cell>
          <cell r="J8119">
            <v>3809804.3041216834</v>
          </cell>
          <cell r="K8119">
            <v>2.4380000000000002</v>
          </cell>
          <cell r="L8119">
            <v>148835</v>
          </cell>
          <cell r="M8119">
            <v>13229</v>
          </cell>
          <cell r="N8119">
            <v>683926.05601571908</v>
          </cell>
          <cell r="O8119">
            <v>692380.00232629513</v>
          </cell>
          <cell r="P8119">
            <v>368.79259999999999</v>
          </cell>
        </row>
        <row r="8120">
          <cell r="B8120">
            <v>40897</v>
          </cell>
          <cell r="J8120">
            <v>3809804.3041216834</v>
          </cell>
          <cell r="K8120">
            <v>2.4380000000000002</v>
          </cell>
          <cell r="L8120">
            <v>148835</v>
          </cell>
          <cell r="M8120">
            <v>13229</v>
          </cell>
          <cell r="N8120">
            <v>683926.05601571908</v>
          </cell>
          <cell r="O8120">
            <v>692380.00232629513</v>
          </cell>
          <cell r="P8120">
            <v>368.79259999999999</v>
          </cell>
        </row>
        <row r="8121">
          <cell r="B8121">
            <v>40898</v>
          </cell>
          <cell r="J8121">
            <v>3809804.3041216834</v>
          </cell>
          <cell r="K8121">
            <v>2.4380000000000002</v>
          </cell>
          <cell r="L8121">
            <v>148835</v>
          </cell>
          <cell r="M8121">
            <v>13229</v>
          </cell>
          <cell r="N8121">
            <v>683926.05601571908</v>
          </cell>
          <cell r="O8121">
            <v>692380.00232629513</v>
          </cell>
          <cell r="P8121">
            <v>368.79259999999999</v>
          </cell>
        </row>
        <row r="8122">
          <cell r="B8122">
            <v>40899</v>
          </cell>
          <cell r="J8122">
            <v>3809804.3041216834</v>
          </cell>
          <cell r="K8122">
            <v>2.4380000000000002</v>
          </cell>
          <cell r="L8122">
            <v>148835</v>
          </cell>
          <cell r="M8122">
            <v>13229</v>
          </cell>
          <cell r="N8122">
            <v>683926.05601571908</v>
          </cell>
          <cell r="O8122">
            <v>692380.00232629513</v>
          </cell>
          <cell r="P8122">
            <v>368.79259999999999</v>
          </cell>
        </row>
        <row r="8123">
          <cell r="B8123">
            <v>40900</v>
          </cell>
          <cell r="J8123">
            <v>3809804.3041216834</v>
          </cell>
          <cell r="K8123">
            <v>2.4380000000000002</v>
          </cell>
          <cell r="L8123">
            <v>148835</v>
          </cell>
          <cell r="M8123">
            <v>13229</v>
          </cell>
          <cell r="N8123">
            <v>683926.05601571908</v>
          </cell>
          <cell r="O8123">
            <v>692380.00232629513</v>
          </cell>
          <cell r="P8123">
            <v>368.79259999999999</v>
          </cell>
        </row>
        <row r="8124">
          <cell r="B8124">
            <v>40901</v>
          </cell>
          <cell r="J8124">
            <v>3809804.3041216834</v>
          </cell>
          <cell r="K8124">
            <v>2.4380000000000002</v>
          </cell>
          <cell r="L8124">
            <v>148835</v>
          </cell>
          <cell r="M8124">
            <v>13229</v>
          </cell>
          <cell r="N8124">
            <v>683926.05601571908</v>
          </cell>
          <cell r="O8124">
            <v>692380.00232629513</v>
          </cell>
          <cell r="P8124">
            <v>368.79259999999999</v>
          </cell>
        </row>
        <row r="8125">
          <cell r="B8125">
            <v>40902</v>
          </cell>
          <cell r="J8125">
            <v>3809804.3041216834</v>
          </cell>
          <cell r="K8125">
            <v>2.4380000000000002</v>
          </cell>
          <cell r="L8125">
            <v>148835</v>
          </cell>
          <cell r="M8125">
            <v>13229</v>
          </cell>
          <cell r="N8125">
            <v>683926.05601571908</v>
          </cell>
          <cell r="O8125">
            <v>692380.00232629513</v>
          </cell>
          <cell r="P8125">
            <v>368.79259999999999</v>
          </cell>
        </row>
        <row r="8126">
          <cell r="B8126">
            <v>40903</v>
          </cell>
          <cell r="J8126">
            <v>3809804.3041216834</v>
          </cell>
          <cell r="K8126">
            <v>2.4380000000000002</v>
          </cell>
          <cell r="L8126">
            <v>148835</v>
          </cell>
          <cell r="M8126">
            <v>13229</v>
          </cell>
          <cell r="N8126">
            <v>683926.05601571908</v>
          </cell>
          <cell r="O8126">
            <v>692380.00232629513</v>
          </cell>
          <cell r="P8126">
            <v>368.79259999999999</v>
          </cell>
        </row>
        <row r="8127">
          <cell r="B8127">
            <v>40904</v>
          </cell>
          <cell r="J8127">
            <v>3809804.3041216834</v>
          </cell>
          <cell r="K8127">
            <v>2.4380000000000002</v>
          </cell>
          <cell r="L8127">
            <v>148835</v>
          </cell>
          <cell r="M8127">
            <v>13229</v>
          </cell>
          <cell r="N8127">
            <v>683926.05601571908</v>
          </cell>
          <cell r="O8127">
            <v>692380.00232629513</v>
          </cell>
          <cell r="P8127">
            <v>368.79259999999999</v>
          </cell>
        </row>
        <row r="8128">
          <cell r="B8128">
            <v>40905</v>
          </cell>
          <cell r="J8128">
            <v>3809804.3041216834</v>
          </cell>
          <cell r="K8128">
            <v>2.4380000000000002</v>
          </cell>
          <cell r="L8128">
            <v>148835</v>
          </cell>
          <cell r="M8128">
            <v>13229</v>
          </cell>
          <cell r="N8128">
            <v>683926.05601571908</v>
          </cell>
          <cell r="O8128">
            <v>692380.00232629513</v>
          </cell>
          <cell r="P8128">
            <v>368.79259999999999</v>
          </cell>
        </row>
        <row r="8129">
          <cell r="B8129">
            <v>40906</v>
          </cell>
          <cell r="J8129">
            <v>3809804.3041216834</v>
          </cell>
          <cell r="K8129">
            <v>2.4380000000000002</v>
          </cell>
          <cell r="L8129">
            <v>148835</v>
          </cell>
          <cell r="M8129">
            <v>13229</v>
          </cell>
          <cell r="N8129">
            <v>683926.05601571908</v>
          </cell>
          <cell r="O8129">
            <v>692380.00232629513</v>
          </cell>
          <cell r="P8129">
            <v>368.79259999999999</v>
          </cell>
        </row>
        <row r="8130">
          <cell r="B8130">
            <v>40907</v>
          </cell>
          <cell r="J8130">
            <v>3809804.3041216834</v>
          </cell>
          <cell r="K8130">
            <v>2.4380000000000002</v>
          </cell>
          <cell r="L8130">
            <v>148835</v>
          </cell>
          <cell r="M8130">
            <v>13229</v>
          </cell>
          <cell r="N8130">
            <v>683926.05601571908</v>
          </cell>
          <cell r="O8130">
            <v>692380.00232629513</v>
          </cell>
          <cell r="P8130">
            <v>368.79259999999999</v>
          </cell>
        </row>
        <row r="8131">
          <cell r="B8131">
            <v>40908</v>
          </cell>
          <cell r="J8131">
            <v>3809804.3041216834</v>
          </cell>
          <cell r="K8131">
            <v>2.4380000000000002</v>
          </cell>
          <cell r="L8131">
            <v>148835</v>
          </cell>
          <cell r="M8131">
            <v>13229</v>
          </cell>
          <cell r="N8131">
            <v>683926.05601571908</v>
          </cell>
          <cell r="O8131">
            <v>692380.00232629513</v>
          </cell>
          <cell r="P8131">
            <v>368.79259999999999</v>
          </cell>
        </row>
        <row r="8132">
          <cell r="B8132">
            <v>40909</v>
          </cell>
          <cell r="J8132">
            <v>3809804.3041216834</v>
          </cell>
          <cell r="K8132">
            <v>2.4380000000000002</v>
          </cell>
          <cell r="L8132">
            <v>148835</v>
          </cell>
          <cell r="M8132">
            <v>13229</v>
          </cell>
          <cell r="N8132">
            <v>683926.05601571908</v>
          </cell>
          <cell r="O8132">
            <v>692380.00232629513</v>
          </cell>
          <cell r="P8132">
            <v>368.79259999999999</v>
          </cell>
        </row>
        <row r="8133">
          <cell r="B8133">
            <v>40910</v>
          </cell>
          <cell r="J8133">
            <v>3809804.3041216834</v>
          </cell>
          <cell r="K8133">
            <v>2.4380000000000002</v>
          </cell>
          <cell r="L8133">
            <v>148835</v>
          </cell>
          <cell r="M8133">
            <v>13229</v>
          </cell>
          <cell r="N8133">
            <v>683926.05601571908</v>
          </cell>
          <cell r="O8133">
            <v>692380.00232629513</v>
          </cell>
          <cell r="P8133">
            <v>368.79259999999999</v>
          </cell>
        </row>
        <row r="8134">
          <cell r="B8134">
            <v>40911</v>
          </cell>
          <cell r="J8134">
            <v>3809804.3041216834</v>
          </cell>
          <cell r="K8134">
            <v>2.4380000000000002</v>
          </cell>
          <cell r="L8134">
            <v>148835</v>
          </cell>
          <cell r="M8134">
            <v>13229</v>
          </cell>
          <cell r="N8134">
            <v>683926.05601571908</v>
          </cell>
          <cell r="O8134">
            <v>692380.00232629513</v>
          </cell>
          <cell r="P8134">
            <v>368.79259999999999</v>
          </cell>
        </row>
        <row r="8135">
          <cell r="B8135">
            <v>40912</v>
          </cell>
          <cell r="J8135">
            <v>3809804.3041216834</v>
          </cell>
          <cell r="K8135">
            <v>2.4380000000000002</v>
          </cell>
          <cell r="L8135">
            <v>148835</v>
          </cell>
          <cell r="M8135">
            <v>13229</v>
          </cell>
          <cell r="N8135">
            <v>683926.05601571908</v>
          </cell>
          <cell r="O8135">
            <v>692380.00232629513</v>
          </cell>
          <cell r="P8135">
            <v>368.79259999999999</v>
          </cell>
        </row>
        <row r="8136">
          <cell r="B8136">
            <v>40913</v>
          </cell>
          <cell r="J8136">
            <v>3809804.3041216834</v>
          </cell>
          <cell r="K8136">
            <v>2.4380000000000002</v>
          </cell>
          <cell r="L8136">
            <v>148835</v>
          </cell>
          <cell r="M8136">
            <v>13229</v>
          </cell>
          <cell r="N8136">
            <v>683926.05601571908</v>
          </cell>
          <cell r="O8136">
            <v>692380.00232629513</v>
          </cell>
          <cell r="P8136">
            <v>368.79259999999999</v>
          </cell>
        </row>
        <row r="8137">
          <cell r="B8137">
            <v>40914</v>
          </cell>
          <cell r="J8137">
            <v>3809804.3041216834</v>
          </cell>
          <cell r="K8137">
            <v>2.4380000000000002</v>
          </cell>
          <cell r="L8137">
            <v>148835</v>
          </cell>
          <cell r="M8137">
            <v>13229</v>
          </cell>
          <cell r="N8137">
            <v>683926.05601571908</v>
          </cell>
          <cell r="O8137">
            <v>692380.00232629513</v>
          </cell>
          <cell r="P8137">
            <v>368.79259999999999</v>
          </cell>
        </row>
        <row r="8138">
          <cell r="B8138">
            <v>40915</v>
          </cell>
          <cell r="J8138">
            <v>3809804.3041216834</v>
          </cell>
          <cell r="K8138">
            <v>2.4380000000000002</v>
          </cell>
          <cell r="L8138">
            <v>148835</v>
          </cell>
          <cell r="M8138">
            <v>13229</v>
          </cell>
          <cell r="N8138">
            <v>683926.05601571908</v>
          </cell>
          <cell r="O8138">
            <v>692380.00232629513</v>
          </cell>
          <cell r="P8138">
            <v>368.79259999999999</v>
          </cell>
        </row>
        <row r="8139">
          <cell r="B8139">
            <v>40916</v>
          </cell>
          <cell r="J8139">
            <v>3809804.3041216834</v>
          </cell>
          <cell r="K8139">
            <v>2.4380000000000002</v>
          </cell>
          <cell r="L8139">
            <v>148835</v>
          </cell>
          <cell r="M8139">
            <v>13229</v>
          </cell>
          <cell r="N8139">
            <v>683926.05601571908</v>
          </cell>
          <cell r="O8139">
            <v>692380.00232629513</v>
          </cell>
          <cell r="P8139">
            <v>368.79259999999999</v>
          </cell>
        </row>
        <row r="8140">
          <cell r="B8140">
            <v>40917</v>
          </cell>
          <cell r="J8140">
            <v>3809804.3041216834</v>
          </cell>
          <cell r="K8140">
            <v>2.4380000000000002</v>
          </cell>
          <cell r="L8140">
            <v>148835</v>
          </cell>
          <cell r="M8140">
            <v>13229</v>
          </cell>
          <cell r="N8140">
            <v>683926.05601571908</v>
          </cell>
          <cell r="O8140">
            <v>692380.00232629513</v>
          </cell>
          <cell r="P8140">
            <v>368.79259999999999</v>
          </cell>
        </row>
        <row r="8141">
          <cell r="B8141">
            <v>40918</v>
          </cell>
          <cell r="J8141">
            <v>3809804.3041216834</v>
          </cell>
          <cell r="K8141">
            <v>2.4380000000000002</v>
          </cell>
          <cell r="L8141">
            <v>148835</v>
          </cell>
          <cell r="M8141">
            <v>13229</v>
          </cell>
          <cell r="N8141">
            <v>683926.05601571908</v>
          </cell>
          <cell r="O8141">
            <v>692380.00232629513</v>
          </cell>
          <cell r="P8141">
            <v>368.79259999999999</v>
          </cell>
        </row>
        <row r="8142">
          <cell r="B8142">
            <v>40919</v>
          </cell>
          <cell r="J8142">
            <v>3809804.3041216834</v>
          </cell>
          <cell r="K8142">
            <v>2.4380000000000002</v>
          </cell>
          <cell r="L8142">
            <v>148835</v>
          </cell>
          <cell r="M8142">
            <v>13229</v>
          </cell>
          <cell r="N8142">
            <v>683926.05601571908</v>
          </cell>
          <cell r="O8142">
            <v>692380.00232629513</v>
          </cell>
          <cell r="P8142">
            <v>368.79259999999999</v>
          </cell>
        </row>
        <row r="8143">
          <cell r="B8143">
            <v>40920</v>
          </cell>
          <cell r="J8143">
            <v>3809804.3041216834</v>
          </cell>
          <cell r="K8143">
            <v>2.4380000000000002</v>
          </cell>
          <cell r="L8143">
            <v>148835</v>
          </cell>
          <cell r="M8143">
            <v>13229</v>
          </cell>
          <cell r="N8143">
            <v>683926.05601571908</v>
          </cell>
          <cell r="O8143">
            <v>692380.00232629513</v>
          </cell>
          <cell r="P8143">
            <v>368.79259999999999</v>
          </cell>
        </row>
        <row r="8144">
          <cell r="B8144">
            <v>40921</v>
          </cell>
          <cell r="J8144">
            <v>3809804.3041216834</v>
          </cell>
          <cell r="K8144">
            <v>2.4380000000000002</v>
          </cell>
          <cell r="L8144">
            <v>148835</v>
          </cell>
          <cell r="M8144">
            <v>13229</v>
          </cell>
          <cell r="N8144">
            <v>683926.05601571908</v>
          </cell>
          <cell r="O8144">
            <v>692380.00232629513</v>
          </cell>
          <cell r="P8144">
            <v>368.79259999999999</v>
          </cell>
        </row>
        <row r="8145">
          <cell r="B8145">
            <v>40922</v>
          </cell>
          <cell r="J8145">
            <v>3809804.3041216834</v>
          </cell>
          <cell r="K8145">
            <v>2.4380000000000002</v>
          </cell>
          <cell r="L8145">
            <v>148835</v>
          </cell>
          <cell r="M8145">
            <v>13229</v>
          </cell>
          <cell r="N8145">
            <v>683926.05601571908</v>
          </cell>
          <cell r="O8145">
            <v>692380.00232629513</v>
          </cell>
          <cell r="P8145">
            <v>368.79259999999999</v>
          </cell>
        </row>
        <row r="8146">
          <cell r="B8146">
            <v>40923</v>
          </cell>
          <cell r="J8146">
            <v>3809804.3041216834</v>
          </cell>
          <cell r="K8146">
            <v>2.4380000000000002</v>
          </cell>
          <cell r="L8146">
            <v>148835</v>
          </cell>
          <cell r="M8146">
            <v>13229</v>
          </cell>
          <cell r="N8146">
            <v>683926.05601571908</v>
          </cell>
          <cell r="O8146">
            <v>692380.00232629513</v>
          </cell>
          <cell r="P8146">
            <v>368.79259999999999</v>
          </cell>
        </row>
        <row r="8147">
          <cell r="B8147">
            <v>40924</v>
          </cell>
          <cell r="J8147">
            <v>3809804.3041216834</v>
          </cell>
          <cell r="K8147">
            <v>2.4380000000000002</v>
          </cell>
          <cell r="L8147">
            <v>148835</v>
          </cell>
          <cell r="M8147">
            <v>13229</v>
          </cell>
          <cell r="N8147">
            <v>683926.05601571908</v>
          </cell>
          <cell r="O8147">
            <v>692380.00232629513</v>
          </cell>
          <cell r="P8147">
            <v>368.79259999999999</v>
          </cell>
        </row>
        <row r="8148">
          <cell r="B8148">
            <v>40925</v>
          </cell>
          <cell r="J8148">
            <v>3809804.3041216834</v>
          </cell>
          <cell r="K8148">
            <v>2.4380000000000002</v>
          </cell>
          <cell r="L8148">
            <v>148835</v>
          </cell>
          <cell r="M8148">
            <v>13229</v>
          </cell>
          <cell r="N8148">
            <v>683926.05601571908</v>
          </cell>
          <cell r="O8148">
            <v>692380.00232629513</v>
          </cell>
          <cell r="P8148">
            <v>368.79259999999999</v>
          </cell>
        </row>
        <row r="8149">
          <cell r="B8149">
            <v>40926</v>
          </cell>
          <cell r="J8149">
            <v>3809804.3041216834</v>
          </cell>
          <cell r="K8149">
            <v>2.4380000000000002</v>
          </cell>
          <cell r="L8149">
            <v>148835</v>
          </cell>
          <cell r="M8149">
            <v>13229</v>
          </cell>
          <cell r="N8149">
            <v>683926.05601571908</v>
          </cell>
          <cell r="O8149">
            <v>692380.00232629513</v>
          </cell>
          <cell r="P8149">
            <v>368.79259999999999</v>
          </cell>
        </row>
        <row r="8150">
          <cell r="B8150">
            <v>40927</v>
          </cell>
          <cell r="J8150">
            <v>3809804.3041216834</v>
          </cell>
          <cell r="K8150">
            <v>2.4380000000000002</v>
          </cell>
          <cell r="L8150">
            <v>148835</v>
          </cell>
          <cell r="M8150">
            <v>13229</v>
          </cell>
          <cell r="N8150">
            <v>683926.05601571908</v>
          </cell>
          <cell r="O8150">
            <v>692380.00232629513</v>
          </cell>
          <cell r="P8150">
            <v>368.79259999999999</v>
          </cell>
        </row>
        <row r="8151">
          <cell r="B8151">
            <v>40928</v>
          </cell>
          <cell r="J8151">
            <v>3809804.3041216834</v>
          </cell>
          <cell r="K8151">
            <v>2.4380000000000002</v>
          </cell>
          <cell r="L8151">
            <v>148835</v>
          </cell>
          <cell r="M8151">
            <v>13229</v>
          </cell>
          <cell r="N8151">
            <v>683926.05601571908</v>
          </cell>
          <cell r="O8151">
            <v>692380.00232629513</v>
          </cell>
          <cell r="P8151">
            <v>368.79259999999999</v>
          </cell>
        </row>
        <row r="8152">
          <cell r="B8152">
            <v>40929</v>
          </cell>
          <cell r="J8152">
            <v>3809804.3041216834</v>
          </cell>
          <cell r="K8152">
            <v>2.4380000000000002</v>
          </cell>
          <cell r="L8152">
            <v>148835</v>
          </cell>
          <cell r="M8152">
            <v>13229</v>
          </cell>
          <cell r="N8152">
            <v>683926.05601571908</v>
          </cell>
          <cell r="O8152">
            <v>692380.00232629513</v>
          </cell>
          <cell r="P8152">
            <v>368.79259999999999</v>
          </cell>
        </row>
        <row r="8153">
          <cell r="B8153">
            <v>40930</v>
          </cell>
          <cell r="J8153">
            <v>3809804.3041216834</v>
          </cell>
          <cell r="K8153">
            <v>2.4380000000000002</v>
          </cell>
          <cell r="L8153">
            <v>148835</v>
          </cell>
          <cell r="M8153">
            <v>13229</v>
          </cell>
          <cell r="N8153">
            <v>683926.05601571908</v>
          </cell>
          <cell r="O8153">
            <v>692380.00232629513</v>
          </cell>
          <cell r="P8153">
            <v>368.79259999999999</v>
          </cell>
        </row>
        <row r="8154">
          <cell r="B8154">
            <v>40931</v>
          </cell>
          <cell r="J8154">
            <v>3809804.3041216834</v>
          </cell>
          <cell r="K8154">
            <v>2.4380000000000002</v>
          </cell>
          <cell r="L8154">
            <v>148835</v>
          </cell>
          <cell r="M8154">
            <v>13229</v>
          </cell>
          <cell r="N8154">
            <v>683926.05601571908</v>
          </cell>
          <cell r="O8154">
            <v>692380.00232629513</v>
          </cell>
          <cell r="P8154">
            <v>368.79259999999999</v>
          </cell>
        </row>
        <row r="8155">
          <cell r="B8155">
            <v>40932</v>
          </cell>
          <cell r="J8155">
            <v>3809804.3041216834</v>
          </cell>
          <cell r="K8155">
            <v>2.4380000000000002</v>
          </cell>
          <cell r="L8155">
            <v>148835</v>
          </cell>
          <cell r="M8155">
            <v>13229</v>
          </cell>
          <cell r="N8155">
            <v>683926.05601571908</v>
          </cell>
          <cell r="O8155">
            <v>692380.00232629513</v>
          </cell>
          <cell r="P8155">
            <v>368.79259999999999</v>
          </cell>
        </row>
        <row r="8156">
          <cell r="B8156">
            <v>40933</v>
          </cell>
          <cell r="J8156">
            <v>3809804.3041216834</v>
          </cell>
          <cell r="K8156">
            <v>2.4380000000000002</v>
          </cell>
          <cell r="L8156">
            <v>148835</v>
          </cell>
          <cell r="M8156">
            <v>13229</v>
          </cell>
          <cell r="N8156">
            <v>683926.05601571908</v>
          </cell>
          <cell r="O8156">
            <v>692380.00232629513</v>
          </cell>
          <cell r="P8156">
            <v>368.79259999999999</v>
          </cell>
        </row>
        <row r="8157">
          <cell r="B8157">
            <v>40934</v>
          </cell>
          <cell r="J8157">
            <v>3809804.3041216834</v>
          </cell>
          <cell r="K8157">
            <v>2.4380000000000002</v>
          </cell>
          <cell r="L8157">
            <v>148835</v>
          </cell>
          <cell r="M8157">
            <v>13229</v>
          </cell>
          <cell r="N8157">
            <v>683926.05601571908</v>
          </cell>
          <cell r="O8157">
            <v>692380.00232629513</v>
          </cell>
          <cell r="P8157">
            <v>368.79259999999999</v>
          </cell>
        </row>
        <row r="8158">
          <cell r="B8158">
            <v>40935</v>
          </cell>
          <cell r="J8158">
            <v>3809804.3041216834</v>
          </cell>
          <cell r="K8158">
            <v>2.4380000000000002</v>
          </cell>
          <cell r="L8158">
            <v>148835</v>
          </cell>
          <cell r="M8158">
            <v>13229</v>
          </cell>
          <cell r="N8158">
            <v>683926.05601571908</v>
          </cell>
          <cell r="O8158">
            <v>692380.00232629513</v>
          </cell>
          <cell r="P8158">
            <v>368.79259999999999</v>
          </cell>
        </row>
        <row r="8159">
          <cell r="B8159">
            <v>40936</v>
          </cell>
          <cell r="J8159">
            <v>3809804.3041216834</v>
          </cell>
          <cell r="K8159">
            <v>2.4380000000000002</v>
          </cell>
          <cell r="L8159">
            <v>148835</v>
          </cell>
          <cell r="M8159">
            <v>13229</v>
          </cell>
          <cell r="N8159">
            <v>683926.05601571908</v>
          </cell>
          <cell r="O8159">
            <v>692380.00232629513</v>
          </cell>
          <cell r="P8159">
            <v>368.79259999999999</v>
          </cell>
        </row>
        <row r="8160">
          <cell r="B8160">
            <v>40937</v>
          </cell>
          <cell r="J8160">
            <v>3809804.3041216834</v>
          </cell>
          <cell r="K8160">
            <v>2.4380000000000002</v>
          </cell>
          <cell r="L8160">
            <v>148835</v>
          </cell>
          <cell r="M8160">
            <v>13229</v>
          </cell>
          <cell r="N8160">
            <v>683926.05601571908</v>
          </cell>
          <cell r="O8160">
            <v>692380.00232629513</v>
          </cell>
          <cell r="P8160">
            <v>368.79259999999999</v>
          </cell>
        </row>
        <row r="8161">
          <cell r="B8161">
            <v>40938</v>
          </cell>
          <cell r="J8161">
            <v>3809804.3041216834</v>
          </cell>
          <cell r="K8161">
            <v>2.4380000000000002</v>
          </cell>
          <cell r="L8161">
            <v>148835</v>
          </cell>
          <cell r="M8161">
            <v>13229</v>
          </cell>
          <cell r="N8161">
            <v>683926.05601571908</v>
          </cell>
          <cell r="O8161">
            <v>692380.00232629513</v>
          </cell>
          <cell r="P8161">
            <v>368.79259999999999</v>
          </cell>
        </row>
        <row r="8162">
          <cell r="B8162">
            <v>40939</v>
          </cell>
          <cell r="J8162">
            <v>3809804.3041216834</v>
          </cell>
          <cell r="K8162">
            <v>2.4380000000000002</v>
          </cell>
          <cell r="L8162">
            <v>148835</v>
          </cell>
          <cell r="M8162">
            <v>13229</v>
          </cell>
          <cell r="N8162">
            <v>683926.05601571908</v>
          </cell>
          <cell r="O8162">
            <v>692380.00232629513</v>
          </cell>
          <cell r="P8162">
            <v>368.79259999999999</v>
          </cell>
        </row>
        <row r="8163">
          <cell r="B8163">
            <v>40940</v>
          </cell>
          <cell r="J8163">
            <v>3809804.3041216834</v>
          </cell>
          <cell r="K8163">
            <v>2.4380000000000002</v>
          </cell>
          <cell r="L8163">
            <v>148835</v>
          </cell>
          <cell r="M8163">
            <v>13229</v>
          </cell>
          <cell r="N8163">
            <v>683926.05601571908</v>
          </cell>
          <cell r="O8163">
            <v>692380.00232629513</v>
          </cell>
          <cell r="P8163">
            <v>368.79259999999999</v>
          </cell>
        </row>
        <row r="8164">
          <cell r="B8164">
            <v>40941</v>
          </cell>
          <cell r="J8164">
            <v>3809804.3041216834</v>
          </cell>
          <cell r="K8164">
            <v>2.4380000000000002</v>
          </cell>
          <cell r="L8164">
            <v>148835</v>
          </cell>
          <cell r="M8164">
            <v>13229</v>
          </cell>
          <cell r="N8164">
            <v>683926.05601571908</v>
          </cell>
          <cell r="O8164">
            <v>692380.00232629513</v>
          </cell>
          <cell r="P8164">
            <v>368.79259999999999</v>
          </cell>
        </row>
        <row r="8165">
          <cell r="B8165">
            <v>40942</v>
          </cell>
          <cell r="J8165">
            <v>3809804.3041216834</v>
          </cell>
          <cell r="K8165">
            <v>2.4380000000000002</v>
          </cell>
          <cell r="L8165">
            <v>148835</v>
          </cell>
          <cell r="M8165">
            <v>13229</v>
          </cell>
          <cell r="N8165">
            <v>683926.05601571908</v>
          </cell>
          <cell r="O8165">
            <v>692380.00232629513</v>
          </cell>
          <cell r="P8165">
            <v>368.79259999999999</v>
          </cell>
        </row>
        <row r="8166">
          <cell r="B8166">
            <v>40943</v>
          </cell>
          <cell r="J8166">
            <v>3809804.3041216834</v>
          </cell>
          <cell r="K8166">
            <v>2.4380000000000002</v>
          </cell>
          <cell r="L8166">
            <v>148835</v>
          </cell>
          <cell r="M8166">
            <v>13229</v>
          </cell>
          <cell r="N8166">
            <v>683926.05601571908</v>
          </cell>
          <cell r="O8166">
            <v>692380.00232629513</v>
          </cell>
          <cell r="P8166">
            <v>368.79259999999999</v>
          </cell>
        </row>
        <row r="8167">
          <cell r="B8167">
            <v>40944</v>
          </cell>
          <cell r="J8167">
            <v>3809804.3041216834</v>
          </cell>
          <cell r="K8167">
            <v>2.4380000000000002</v>
          </cell>
          <cell r="L8167">
            <v>148835</v>
          </cell>
          <cell r="M8167">
            <v>13229</v>
          </cell>
          <cell r="N8167">
            <v>683926.05601571908</v>
          </cell>
          <cell r="O8167">
            <v>692380.00232629513</v>
          </cell>
          <cell r="P8167">
            <v>368.79259999999999</v>
          </cell>
        </row>
        <row r="8168">
          <cell r="B8168">
            <v>40945</v>
          </cell>
          <cell r="J8168">
            <v>3809804.3041216834</v>
          </cell>
          <cell r="K8168">
            <v>2.4380000000000002</v>
          </cell>
          <cell r="L8168">
            <v>148835</v>
          </cell>
          <cell r="M8168">
            <v>13229</v>
          </cell>
          <cell r="N8168">
            <v>683926.05601571908</v>
          </cell>
          <cell r="O8168">
            <v>692380.00232629513</v>
          </cell>
          <cell r="P8168">
            <v>368.79259999999999</v>
          </cell>
        </row>
        <row r="8169">
          <cell r="B8169">
            <v>40946</v>
          </cell>
          <cell r="J8169">
            <v>3809804.3041216834</v>
          </cell>
          <cell r="K8169">
            <v>2.4380000000000002</v>
          </cell>
          <cell r="L8169">
            <v>148835</v>
          </cell>
          <cell r="M8169">
            <v>13229</v>
          </cell>
          <cell r="N8169">
            <v>683926.05601571908</v>
          </cell>
          <cell r="O8169">
            <v>692380.00232629513</v>
          </cell>
          <cell r="P8169">
            <v>368.79259999999999</v>
          </cell>
        </row>
        <row r="8170">
          <cell r="B8170">
            <v>40947</v>
          </cell>
          <cell r="J8170">
            <v>3809804.3041216834</v>
          </cell>
          <cell r="K8170">
            <v>2.4380000000000002</v>
          </cell>
          <cell r="L8170">
            <v>148835</v>
          </cell>
          <cell r="M8170">
            <v>13229</v>
          </cell>
          <cell r="N8170">
            <v>683926.05601571908</v>
          </cell>
          <cell r="O8170">
            <v>692380.00232629513</v>
          </cell>
          <cell r="P8170">
            <v>368.79259999999999</v>
          </cell>
        </row>
        <row r="8171">
          <cell r="B8171">
            <v>40948</v>
          </cell>
          <cell r="J8171">
            <v>3809804.3041216834</v>
          </cell>
          <cell r="K8171">
            <v>2.4380000000000002</v>
          </cell>
          <cell r="L8171">
            <v>148835</v>
          </cell>
          <cell r="M8171">
            <v>13229</v>
          </cell>
          <cell r="N8171">
            <v>683926.05601571908</v>
          </cell>
          <cell r="O8171">
            <v>692380.00232629513</v>
          </cell>
          <cell r="P8171">
            <v>368.79259999999999</v>
          </cell>
        </row>
        <row r="8172">
          <cell r="B8172">
            <v>40949</v>
          </cell>
          <cell r="J8172">
            <v>3809804.3041216834</v>
          </cell>
          <cell r="K8172">
            <v>2.4380000000000002</v>
          </cell>
          <cell r="L8172">
            <v>148835</v>
          </cell>
          <cell r="M8172">
            <v>13229</v>
          </cell>
          <cell r="N8172">
            <v>683926.05601571908</v>
          </cell>
          <cell r="O8172">
            <v>692380.00232629513</v>
          </cell>
          <cell r="P8172">
            <v>368.79259999999999</v>
          </cell>
        </row>
        <row r="8173">
          <cell r="B8173">
            <v>40950</v>
          </cell>
          <cell r="J8173">
            <v>3809804.3041216834</v>
          </cell>
          <cell r="K8173">
            <v>2.4380000000000002</v>
          </cell>
          <cell r="L8173">
            <v>148835</v>
          </cell>
          <cell r="M8173">
            <v>13229</v>
          </cell>
          <cell r="N8173">
            <v>683926.05601571908</v>
          </cell>
          <cell r="O8173">
            <v>692380.00232629513</v>
          </cell>
          <cell r="P8173">
            <v>368.79259999999999</v>
          </cell>
        </row>
        <row r="8174">
          <cell r="B8174">
            <v>40951</v>
          </cell>
          <cell r="J8174">
            <v>3809804.3041216834</v>
          </cell>
          <cell r="K8174">
            <v>2.4380000000000002</v>
          </cell>
          <cell r="L8174">
            <v>148835</v>
          </cell>
          <cell r="M8174">
            <v>13229</v>
          </cell>
          <cell r="N8174">
            <v>683926.05601571908</v>
          </cell>
          <cell r="O8174">
            <v>692380.00232629513</v>
          </cell>
          <cell r="P8174">
            <v>368.79259999999999</v>
          </cell>
        </row>
        <row r="8175">
          <cell r="B8175">
            <v>40952</v>
          </cell>
          <cell r="J8175">
            <v>3809804.3041216834</v>
          </cell>
          <cell r="K8175">
            <v>2.4380000000000002</v>
          </cell>
          <cell r="L8175">
            <v>148835</v>
          </cell>
          <cell r="M8175">
            <v>13229</v>
          </cell>
          <cell r="N8175">
            <v>683926.05601571908</v>
          </cell>
          <cell r="O8175">
            <v>692380.00232629513</v>
          </cell>
          <cell r="P8175">
            <v>368.79259999999999</v>
          </cell>
        </row>
        <row r="8176">
          <cell r="B8176">
            <v>40953</v>
          </cell>
          <cell r="J8176">
            <v>3809804.3041216834</v>
          </cell>
          <cell r="K8176">
            <v>2.4380000000000002</v>
          </cell>
          <cell r="L8176">
            <v>148835</v>
          </cell>
          <cell r="M8176">
            <v>13229</v>
          </cell>
          <cell r="N8176">
            <v>683926.05601571908</v>
          </cell>
          <cell r="O8176">
            <v>692380.00232629513</v>
          </cell>
          <cell r="P8176">
            <v>368.79259999999999</v>
          </cell>
        </row>
        <row r="8177">
          <cell r="B8177">
            <v>40954</v>
          </cell>
          <cell r="J8177">
            <v>3809804.3041216834</v>
          </cell>
          <cell r="K8177">
            <v>2.4380000000000002</v>
          </cell>
          <cell r="L8177">
            <v>148835</v>
          </cell>
          <cell r="M8177">
            <v>13229</v>
          </cell>
          <cell r="N8177">
            <v>683926.05601571908</v>
          </cell>
          <cell r="O8177">
            <v>692380.00232629513</v>
          </cell>
          <cell r="P8177">
            <v>368.79259999999999</v>
          </cell>
        </row>
        <row r="8178">
          <cell r="B8178">
            <v>40955</v>
          </cell>
          <cell r="J8178">
            <v>3809804.3041216834</v>
          </cell>
          <cell r="K8178">
            <v>2.4380000000000002</v>
          </cell>
          <cell r="L8178">
            <v>148835</v>
          </cell>
          <cell r="M8178">
            <v>13229</v>
          </cell>
          <cell r="N8178">
            <v>683926.05601571908</v>
          </cell>
          <cell r="O8178">
            <v>692380.00232629513</v>
          </cell>
          <cell r="P8178">
            <v>368.79259999999999</v>
          </cell>
        </row>
        <row r="8179">
          <cell r="B8179">
            <v>40956</v>
          </cell>
          <cell r="J8179">
            <v>3809804.3041216834</v>
          </cell>
          <cell r="K8179">
            <v>2.4380000000000002</v>
          </cell>
          <cell r="L8179">
            <v>148835</v>
          </cell>
          <cell r="M8179">
            <v>13229</v>
          </cell>
          <cell r="N8179">
            <v>683926.05601571908</v>
          </cell>
          <cell r="O8179">
            <v>692380.00232629513</v>
          </cell>
          <cell r="P8179">
            <v>368.79259999999999</v>
          </cell>
        </row>
        <row r="8180">
          <cell r="B8180">
            <v>40957</v>
          </cell>
          <cell r="J8180">
            <v>3809804.3041216834</v>
          </cell>
          <cell r="K8180">
            <v>2.4380000000000002</v>
          </cell>
          <cell r="L8180">
            <v>148835</v>
          </cell>
          <cell r="M8180">
            <v>13229</v>
          </cell>
          <cell r="N8180">
            <v>683926.05601571908</v>
          </cell>
          <cell r="O8180">
            <v>692380.00232629513</v>
          </cell>
          <cell r="P8180">
            <v>368.79259999999999</v>
          </cell>
        </row>
        <row r="8181">
          <cell r="B8181">
            <v>40958</v>
          </cell>
          <cell r="J8181">
            <v>3809804.3041216834</v>
          </cell>
          <cell r="K8181">
            <v>2.4380000000000002</v>
          </cell>
          <cell r="L8181">
            <v>148835</v>
          </cell>
          <cell r="M8181">
            <v>13229</v>
          </cell>
          <cell r="N8181">
            <v>683926.05601571908</v>
          </cell>
          <cell r="O8181">
            <v>692380.00232629513</v>
          </cell>
          <cell r="P8181">
            <v>368.79259999999999</v>
          </cell>
        </row>
        <row r="8182">
          <cell r="B8182">
            <v>40959</v>
          </cell>
          <cell r="J8182">
            <v>3809804.3041216834</v>
          </cell>
          <cell r="K8182">
            <v>2.4380000000000002</v>
          </cell>
          <cell r="L8182">
            <v>148835</v>
          </cell>
          <cell r="M8182">
            <v>13229</v>
          </cell>
          <cell r="N8182">
            <v>683926.05601571908</v>
          </cell>
          <cell r="O8182">
            <v>692380.00232629513</v>
          </cell>
          <cell r="P8182">
            <v>368.79259999999999</v>
          </cell>
        </row>
        <row r="8183">
          <cell r="B8183">
            <v>40960</v>
          </cell>
          <cell r="J8183">
            <v>3809804.3041216834</v>
          </cell>
          <cell r="K8183">
            <v>2.4380000000000002</v>
          </cell>
          <cell r="L8183">
            <v>148835</v>
          </cell>
          <cell r="M8183">
            <v>13229</v>
          </cell>
          <cell r="N8183">
            <v>683926.05601571908</v>
          </cell>
          <cell r="O8183">
            <v>692380.00232629513</v>
          </cell>
          <cell r="P8183">
            <v>368.79259999999999</v>
          </cell>
        </row>
        <row r="8184">
          <cell r="B8184">
            <v>40961</v>
          </cell>
          <cell r="J8184">
            <v>3809804.3041216834</v>
          </cell>
          <cell r="K8184">
            <v>2.4380000000000002</v>
          </cell>
          <cell r="L8184">
            <v>148835</v>
          </cell>
          <cell r="M8184">
            <v>13229</v>
          </cell>
          <cell r="N8184">
            <v>683926.05601571908</v>
          </cell>
          <cell r="O8184">
            <v>692380.00232629513</v>
          </cell>
          <cell r="P8184">
            <v>368.79259999999999</v>
          </cell>
        </row>
        <row r="8185">
          <cell r="B8185">
            <v>40962</v>
          </cell>
          <cell r="J8185">
            <v>3809804.3041216834</v>
          </cell>
          <cell r="K8185">
            <v>2.4380000000000002</v>
          </cell>
          <cell r="L8185">
            <v>148835</v>
          </cell>
          <cell r="M8185">
            <v>13229</v>
          </cell>
          <cell r="N8185">
            <v>683926.05601571908</v>
          </cell>
          <cell r="O8185">
            <v>692380.00232629513</v>
          </cell>
          <cell r="P8185">
            <v>368.79259999999999</v>
          </cell>
        </row>
        <row r="8186">
          <cell r="B8186">
            <v>40963</v>
          </cell>
          <cell r="J8186">
            <v>3809804.3041216834</v>
          </cell>
          <cell r="K8186">
            <v>2.4380000000000002</v>
          </cell>
          <cell r="L8186">
            <v>148835</v>
          </cell>
          <cell r="M8186">
            <v>13229</v>
          </cell>
          <cell r="N8186">
            <v>683926.05601571908</v>
          </cell>
          <cell r="O8186">
            <v>692380.00232629513</v>
          </cell>
          <cell r="P8186">
            <v>368.79259999999999</v>
          </cell>
        </row>
        <row r="8187">
          <cell r="B8187">
            <v>40964</v>
          </cell>
          <cell r="J8187">
            <v>3809804.3041216834</v>
          </cell>
          <cell r="K8187">
            <v>2.4380000000000002</v>
          </cell>
          <cell r="L8187">
            <v>148835</v>
          </cell>
          <cell r="M8187">
            <v>13229</v>
          </cell>
          <cell r="N8187">
            <v>683926.05601571908</v>
          </cell>
          <cell r="O8187">
            <v>692380.00232629513</v>
          </cell>
          <cell r="P8187">
            <v>368.79259999999999</v>
          </cell>
        </row>
        <row r="8188">
          <cell r="B8188">
            <v>40965</v>
          </cell>
          <cell r="J8188">
            <v>3809804.3041216834</v>
          </cell>
          <cell r="K8188">
            <v>2.4380000000000002</v>
          </cell>
          <cell r="L8188">
            <v>148835</v>
          </cell>
          <cell r="M8188">
            <v>13229</v>
          </cell>
          <cell r="N8188">
            <v>683926.05601571908</v>
          </cell>
          <cell r="O8188">
            <v>692380.00232629513</v>
          </cell>
          <cell r="P8188">
            <v>368.79259999999999</v>
          </cell>
        </row>
        <row r="8189">
          <cell r="B8189">
            <v>40966</v>
          </cell>
          <cell r="J8189">
            <v>3809804.3041216834</v>
          </cell>
          <cell r="K8189">
            <v>2.4380000000000002</v>
          </cell>
          <cell r="L8189">
            <v>148835</v>
          </cell>
          <cell r="M8189">
            <v>13229</v>
          </cell>
          <cell r="N8189">
            <v>683926.05601571908</v>
          </cell>
          <cell r="O8189">
            <v>692380.00232629513</v>
          </cell>
          <cell r="P8189">
            <v>368.79259999999999</v>
          </cell>
        </row>
        <row r="8190">
          <cell r="B8190">
            <v>40967</v>
          </cell>
          <cell r="J8190">
            <v>3809804.3041216834</v>
          </cell>
          <cell r="K8190">
            <v>2.4380000000000002</v>
          </cell>
          <cell r="L8190">
            <v>148835</v>
          </cell>
          <cell r="M8190">
            <v>13229</v>
          </cell>
          <cell r="N8190">
            <v>683926.05601571908</v>
          </cell>
          <cell r="O8190">
            <v>692380.00232629513</v>
          </cell>
          <cell r="P8190">
            <v>368.79259999999999</v>
          </cell>
        </row>
        <row r="8191">
          <cell r="B8191">
            <v>40968</v>
          </cell>
          <cell r="J8191">
            <v>3809804.3041216834</v>
          </cell>
          <cell r="K8191">
            <v>2.4380000000000002</v>
          </cell>
          <cell r="L8191">
            <v>148835</v>
          </cell>
          <cell r="M8191">
            <v>13229</v>
          </cell>
          <cell r="N8191">
            <v>683926.05601571908</v>
          </cell>
          <cell r="O8191">
            <v>692380.00232629513</v>
          </cell>
          <cell r="P8191">
            <v>368.79259999999999</v>
          </cell>
        </row>
        <row r="8192">
          <cell r="B8192">
            <v>40969</v>
          </cell>
          <cell r="J8192">
            <v>3809804.3041216834</v>
          </cell>
          <cell r="K8192">
            <v>2.4380000000000002</v>
          </cell>
          <cell r="L8192">
            <v>148835</v>
          </cell>
          <cell r="M8192">
            <v>13229</v>
          </cell>
          <cell r="N8192">
            <v>683926.05601571908</v>
          </cell>
          <cell r="O8192">
            <v>692380.00232629513</v>
          </cell>
          <cell r="P8192">
            <v>368.79259999999999</v>
          </cell>
        </row>
        <row r="8193">
          <cell r="B8193">
            <v>40970</v>
          </cell>
          <cell r="J8193">
            <v>3809804.3041216834</v>
          </cell>
          <cell r="K8193">
            <v>2.4380000000000002</v>
          </cell>
          <cell r="L8193">
            <v>148835</v>
          </cell>
          <cell r="M8193">
            <v>13229</v>
          </cell>
          <cell r="N8193">
            <v>683926.05601571908</v>
          </cell>
          <cell r="O8193">
            <v>692380.00232629513</v>
          </cell>
          <cell r="P8193">
            <v>368.79259999999999</v>
          </cell>
        </row>
        <row r="8194">
          <cell r="B8194">
            <v>40971</v>
          </cell>
          <cell r="J8194">
            <v>3809804.3041216834</v>
          </cell>
          <cell r="K8194">
            <v>2.4380000000000002</v>
          </cell>
          <cell r="L8194">
            <v>148835</v>
          </cell>
          <cell r="M8194">
            <v>13229</v>
          </cell>
          <cell r="N8194">
            <v>683926.05601571908</v>
          </cell>
          <cell r="O8194">
            <v>692380.00232629513</v>
          </cell>
          <cell r="P8194">
            <v>368.79259999999999</v>
          </cell>
        </row>
        <row r="8195">
          <cell r="B8195">
            <v>40972</v>
          </cell>
          <cell r="J8195">
            <v>3809804.3041216834</v>
          </cell>
          <cell r="K8195">
            <v>2.4380000000000002</v>
          </cell>
          <cell r="L8195">
            <v>148835</v>
          </cell>
          <cell r="M8195">
            <v>13229</v>
          </cell>
          <cell r="N8195">
            <v>683926.05601571908</v>
          </cell>
          <cell r="O8195">
            <v>692380.00232629513</v>
          </cell>
          <cell r="P8195">
            <v>368.79259999999999</v>
          </cell>
        </row>
        <row r="8196">
          <cell r="B8196">
            <v>40973</v>
          </cell>
          <cell r="J8196">
            <v>3809804.3041216834</v>
          </cell>
          <cell r="K8196">
            <v>2.4380000000000002</v>
          </cell>
          <cell r="L8196">
            <v>148835</v>
          </cell>
          <cell r="M8196">
            <v>13229</v>
          </cell>
          <cell r="N8196">
            <v>683926.05601571908</v>
          </cell>
          <cell r="O8196">
            <v>692380.00232629513</v>
          </cell>
          <cell r="P8196">
            <v>368.79259999999999</v>
          </cell>
        </row>
        <row r="8197">
          <cell r="B8197">
            <v>40974</v>
          </cell>
          <cell r="J8197">
            <v>3809804.3041216834</v>
          </cell>
          <cell r="K8197">
            <v>2.4380000000000002</v>
          </cell>
          <cell r="L8197">
            <v>148835</v>
          </cell>
          <cell r="M8197">
            <v>13229</v>
          </cell>
          <cell r="N8197">
            <v>683926.05601571908</v>
          </cell>
          <cell r="O8197">
            <v>692380.00232629513</v>
          </cell>
          <cell r="P8197">
            <v>368.79259999999999</v>
          </cell>
        </row>
        <row r="8198">
          <cell r="B8198">
            <v>40975</v>
          </cell>
          <cell r="J8198">
            <v>3809804.3041216834</v>
          </cell>
          <cell r="K8198">
            <v>2.4380000000000002</v>
          </cell>
          <cell r="L8198">
            <v>148835</v>
          </cell>
          <cell r="M8198">
            <v>13229</v>
          </cell>
          <cell r="N8198">
            <v>683926.05601571908</v>
          </cell>
          <cell r="O8198">
            <v>692380.00232629513</v>
          </cell>
          <cell r="P8198">
            <v>368.79259999999999</v>
          </cell>
        </row>
        <row r="8199">
          <cell r="B8199">
            <v>40976</v>
          </cell>
          <cell r="J8199">
            <v>3809804.3041216834</v>
          </cell>
          <cell r="K8199">
            <v>2.4380000000000002</v>
          </cell>
          <cell r="L8199">
            <v>148835</v>
          </cell>
          <cell r="M8199">
            <v>13229</v>
          </cell>
          <cell r="N8199">
            <v>683926.05601571908</v>
          </cell>
          <cell r="O8199">
            <v>692380.00232629513</v>
          </cell>
          <cell r="P8199">
            <v>368.79259999999999</v>
          </cell>
        </row>
        <row r="8200">
          <cell r="B8200">
            <v>40977</v>
          </cell>
          <cell r="J8200">
            <v>3809804.3041216834</v>
          </cell>
          <cell r="K8200">
            <v>2.4380000000000002</v>
          </cell>
          <cell r="L8200">
            <v>148835</v>
          </cell>
          <cell r="M8200">
            <v>13229</v>
          </cell>
          <cell r="N8200">
            <v>683926.05601571908</v>
          </cell>
          <cell r="O8200">
            <v>692380.00232629513</v>
          </cell>
          <cell r="P8200">
            <v>368.79259999999999</v>
          </cell>
        </row>
        <row r="8201">
          <cell r="B8201">
            <v>40978</v>
          </cell>
          <cell r="J8201">
            <v>3809804.3041216834</v>
          </cell>
          <cell r="K8201">
            <v>2.4380000000000002</v>
          </cell>
          <cell r="L8201">
            <v>148835</v>
          </cell>
          <cell r="M8201">
            <v>13229</v>
          </cell>
          <cell r="N8201">
            <v>683926.05601571908</v>
          </cell>
          <cell r="O8201">
            <v>692380.00232629513</v>
          </cell>
          <cell r="P8201">
            <v>368.79259999999999</v>
          </cell>
        </row>
        <row r="8202">
          <cell r="B8202">
            <v>40979</v>
          </cell>
          <cell r="J8202">
            <v>3809804.3041216834</v>
          </cell>
          <cell r="K8202">
            <v>2.4380000000000002</v>
          </cell>
          <cell r="L8202">
            <v>148835</v>
          </cell>
          <cell r="M8202">
            <v>13229</v>
          </cell>
          <cell r="N8202">
            <v>683926.05601571908</v>
          </cell>
          <cell r="O8202">
            <v>692380.00232629513</v>
          </cell>
          <cell r="P8202">
            <v>368.79259999999999</v>
          </cell>
        </row>
        <row r="8203">
          <cell r="B8203">
            <v>40980</v>
          </cell>
          <cell r="J8203">
            <v>3809804.3041216834</v>
          </cell>
          <cell r="K8203">
            <v>2.4380000000000002</v>
          </cell>
          <cell r="L8203">
            <v>148835</v>
          </cell>
          <cell r="M8203">
            <v>13229</v>
          </cell>
          <cell r="N8203">
            <v>683926.05601571908</v>
          </cell>
          <cell r="O8203">
            <v>692380.00232629513</v>
          </cell>
          <cell r="P8203">
            <v>368.79259999999999</v>
          </cell>
        </row>
        <row r="8204">
          <cell r="B8204">
            <v>40981</v>
          </cell>
          <cell r="J8204">
            <v>3809804.3041216834</v>
          </cell>
          <cell r="K8204">
            <v>2.4380000000000002</v>
          </cell>
          <cell r="L8204">
            <v>148835</v>
          </cell>
          <cell r="M8204">
            <v>13229</v>
          </cell>
          <cell r="N8204">
            <v>683926.05601571908</v>
          </cell>
          <cell r="O8204">
            <v>692380.00232629513</v>
          </cell>
          <cell r="P8204">
            <v>368.79259999999999</v>
          </cell>
        </row>
        <row r="8205">
          <cell r="B8205">
            <v>40982</v>
          </cell>
          <cell r="J8205">
            <v>3809804.3041216834</v>
          </cell>
          <cell r="K8205">
            <v>2.4380000000000002</v>
          </cell>
          <cell r="L8205">
            <v>148835</v>
          </cell>
          <cell r="M8205">
            <v>13229</v>
          </cell>
          <cell r="N8205">
            <v>683926.05601571908</v>
          </cell>
          <cell r="O8205">
            <v>692380.00232629513</v>
          </cell>
          <cell r="P8205">
            <v>368.79259999999999</v>
          </cell>
        </row>
        <row r="8206">
          <cell r="B8206">
            <v>40983</v>
          </cell>
          <cell r="J8206">
            <v>3809804.3041216834</v>
          </cell>
          <cell r="K8206">
            <v>2.4380000000000002</v>
          </cell>
          <cell r="L8206">
            <v>148835</v>
          </cell>
          <cell r="M8206">
            <v>13229</v>
          </cell>
          <cell r="N8206">
            <v>683926.05601571908</v>
          </cell>
          <cell r="O8206">
            <v>692380.00232629513</v>
          </cell>
          <cell r="P8206">
            <v>368.79259999999999</v>
          </cell>
        </row>
        <row r="8207">
          <cell r="B8207">
            <v>40984</v>
          </cell>
          <cell r="J8207">
            <v>3809804.3041216834</v>
          </cell>
          <cell r="K8207">
            <v>2.4380000000000002</v>
          </cell>
          <cell r="L8207">
            <v>148835</v>
          </cell>
          <cell r="M8207">
            <v>13229</v>
          </cell>
          <cell r="N8207">
            <v>683926.05601571908</v>
          </cell>
          <cell r="O8207">
            <v>692380.00232629513</v>
          </cell>
          <cell r="P8207">
            <v>368.79259999999999</v>
          </cell>
        </row>
        <row r="8208">
          <cell r="B8208">
            <v>40985</v>
          </cell>
          <cell r="J8208">
            <v>3809804.3041216834</v>
          </cell>
          <cell r="K8208">
            <v>2.4380000000000002</v>
          </cell>
          <cell r="L8208">
            <v>148835</v>
          </cell>
          <cell r="M8208">
            <v>13229</v>
          </cell>
          <cell r="N8208">
            <v>683926.05601571908</v>
          </cell>
          <cell r="O8208">
            <v>692380.00232629513</v>
          </cell>
          <cell r="P8208">
            <v>368.79259999999999</v>
          </cell>
        </row>
        <row r="8209">
          <cell r="B8209">
            <v>40986</v>
          </cell>
          <cell r="J8209">
            <v>3809804.3041216834</v>
          </cell>
          <cell r="K8209">
            <v>2.4380000000000002</v>
          </cell>
          <cell r="L8209">
            <v>148835</v>
          </cell>
          <cell r="M8209">
            <v>13229</v>
          </cell>
          <cell r="N8209">
            <v>683926.05601571908</v>
          </cell>
          <cell r="O8209">
            <v>692380.00232629513</v>
          </cell>
          <cell r="P8209">
            <v>368.79259999999999</v>
          </cell>
        </row>
        <row r="8210">
          <cell r="B8210">
            <v>40987</v>
          </cell>
          <cell r="J8210">
            <v>3809804.3041216834</v>
          </cell>
          <cell r="K8210">
            <v>2.4380000000000002</v>
          </cell>
          <cell r="L8210">
            <v>148835</v>
          </cell>
          <cell r="M8210">
            <v>13229</v>
          </cell>
          <cell r="N8210">
            <v>683926.05601571908</v>
          </cell>
          <cell r="O8210">
            <v>692380.00232629513</v>
          </cell>
          <cell r="P8210">
            <v>368.79259999999999</v>
          </cell>
        </row>
        <row r="8211">
          <cell r="B8211">
            <v>40988</v>
          </cell>
          <cell r="J8211">
            <v>3809804.3041216834</v>
          </cell>
          <cell r="K8211">
            <v>2.4380000000000002</v>
          </cell>
          <cell r="L8211">
            <v>148835</v>
          </cell>
          <cell r="M8211">
            <v>13229</v>
          </cell>
          <cell r="N8211">
            <v>683926.05601571908</v>
          </cell>
          <cell r="O8211">
            <v>692380.00232629513</v>
          </cell>
          <cell r="P8211">
            <v>368.79259999999999</v>
          </cell>
        </row>
        <row r="8212">
          <cell r="B8212">
            <v>40989</v>
          </cell>
          <cell r="J8212">
            <v>3809804.3041216834</v>
          </cell>
          <cell r="K8212">
            <v>2.4380000000000002</v>
          </cell>
          <cell r="L8212">
            <v>148835</v>
          </cell>
          <cell r="M8212">
            <v>13229</v>
          </cell>
          <cell r="N8212">
            <v>683926.05601571908</v>
          </cell>
          <cell r="O8212">
            <v>692380.00232629513</v>
          </cell>
          <cell r="P8212">
            <v>368.79259999999999</v>
          </cell>
        </row>
        <row r="8213">
          <cell r="B8213">
            <v>40990</v>
          </cell>
          <cell r="J8213">
            <v>3809804.3041216834</v>
          </cell>
          <cell r="K8213">
            <v>2.4380000000000002</v>
          </cell>
          <cell r="L8213">
            <v>148835</v>
          </cell>
          <cell r="M8213">
            <v>13229</v>
          </cell>
          <cell r="N8213">
            <v>683926.05601571908</v>
          </cell>
          <cell r="O8213">
            <v>692380.00232629513</v>
          </cell>
          <cell r="P8213">
            <v>368.79259999999999</v>
          </cell>
        </row>
        <row r="8214">
          <cell r="B8214">
            <v>40991</v>
          </cell>
          <cell r="J8214">
            <v>3809804.3041216834</v>
          </cell>
          <cell r="K8214">
            <v>2.4380000000000002</v>
          </cell>
          <cell r="L8214">
            <v>148835</v>
          </cell>
          <cell r="M8214">
            <v>13229</v>
          </cell>
          <cell r="N8214">
            <v>683926.05601571908</v>
          </cell>
          <cell r="O8214">
            <v>692380.00232629513</v>
          </cell>
          <cell r="P8214">
            <v>368.79259999999999</v>
          </cell>
        </row>
        <row r="8215">
          <cell r="B8215">
            <v>40992</v>
          </cell>
          <cell r="J8215">
            <v>3809804.3041216834</v>
          </cell>
          <cell r="K8215">
            <v>2.4380000000000002</v>
          </cell>
          <cell r="L8215">
            <v>148835</v>
          </cell>
          <cell r="M8215">
            <v>13229</v>
          </cell>
          <cell r="N8215">
            <v>683926.05601571908</v>
          </cell>
          <cell r="O8215">
            <v>692380.00232629513</v>
          </cell>
          <cell r="P8215">
            <v>368.79259999999999</v>
          </cell>
        </row>
        <row r="8216">
          <cell r="B8216">
            <v>40993</v>
          </cell>
          <cell r="J8216">
            <v>3809804.3041216834</v>
          </cell>
          <cell r="K8216">
            <v>2.4380000000000002</v>
          </cell>
          <cell r="L8216">
            <v>148835</v>
          </cell>
          <cell r="M8216">
            <v>13229</v>
          </cell>
          <cell r="N8216">
            <v>683926.05601571908</v>
          </cell>
          <cell r="O8216">
            <v>692380.00232629513</v>
          </cell>
          <cell r="P8216">
            <v>368.79259999999999</v>
          </cell>
        </row>
        <row r="8217">
          <cell r="B8217">
            <v>40994</v>
          </cell>
          <cell r="J8217">
            <v>3809804.3041216834</v>
          </cell>
          <cell r="K8217">
            <v>2.4380000000000002</v>
          </cell>
          <cell r="L8217">
            <v>148835</v>
          </cell>
          <cell r="M8217">
            <v>13229</v>
          </cell>
          <cell r="N8217">
            <v>683926.05601571908</v>
          </cell>
          <cell r="O8217">
            <v>692380.00232629513</v>
          </cell>
          <cell r="P8217">
            <v>368.79259999999999</v>
          </cell>
        </row>
        <row r="8218">
          <cell r="B8218">
            <v>40995</v>
          </cell>
          <cell r="J8218">
            <v>3809804.3041216834</v>
          </cell>
          <cell r="K8218">
            <v>2.4380000000000002</v>
          </cell>
          <cell r="L8218">
            <v>148835</v>
          </cell>
          <cell r="M8218">
            <v>13229</v>
          </cell>
          <cell r="N8218">
            <v>683926.05601571908</v>
          </cell>
          <cell r="O8218">
            <v>692380.00232629513</v>
          </cell>
          <cell r="P8218">
            <v>368.79259999999999</v>
          </cell>
        </row>
        <row r="8219">
          <cell r="B8219">
            <v>40996</v>
          </cell>
          <cell r="J8219">
            <v>3809804.3041216834</v>
          </cell>
          <cell r="K8219">
            <v>2.4380000000000002</v>
          </cell>
          <cell r="L8219">
            <v>148835</v>
          </cell>
          <cell r="M8219">
            <v>13229</v>
          </cell>
          <cell r="N8219">
            <v>683926.05601571908</v>
          </cell>
          <cell r="O8219">
            <v>692380.00232629513</v>
          </cell>
          <cell r="P8219">
            <v>368.79259999999999</v>
          </cell>
        </row>
        <row r="8220">
          <cell r="B8220">
            <v>40997</v>
          </cell>
          <cell r="J8220">
            <v>3809804.3041216834</v>
          </cell>
          <cell r="K8220">
            <v>2.4380000000000002</v>
          </cell>
          <cell r="L8220">
            <v>148835</v>
          </cell>
          <cell r="M8220">
            <v>13229</v>
          </cell>
          <cell r="N8220">
            <v>683926.05601571908</v>
          </cell>
          <cell r="O8220">
            <v>692380.00232629513</v>
          </cell>
          <cell r="P8220">
            <v>368.79259999999999</v>
          </cell>
        </row>
        <row r="8221">
          <cell r="B8221">
            <v>40998</v>
          </cell>
          <cell r="J8221">
            <v>3809804.3041216834</v>
          </cell>
          <cell r="K8221">
            <v>2.4380000000000002</v>
          </cell>
          <cell r="L8221">
            <v>148835</v>
          </cell>
          <cell r="M8221">
            <v>13229</v>
          </cell>
          <cell r="N8221">
            <v>683926.05601571908</v>
          </cell>
          <cell r="O8221">
            <v>692380.00232629513</v>
          </cell>
          <cell r="P8221">
            <v>368.79259999999999</v>
          </cell>
        </row>
        <row r="8222">
          <cell r="B8222">
            <v>40999</v>
          </cell>
          <cell r="J8222">
            <v>3809804.3041216834</v>
          </cell>
          <cell r="K8222">
            <v>2.4380000000000002</v>
          </cell>
          <cell r="L8222">
            <v>148835</v>
          </cell>
          <cell r="M8222">
            <v>13229</v>
          </cell>
          <cell r="N8222">
            <v>683926.05601571908</v>
          </cell>
          <cell r="O8222">
            <v>692380.00232629513</v>
          </cell>
          <cell r="P8222">
            <v>368.79259999999999</v>
          </cell>
        </row>
        <row r="8223">
          <cell r="B8223">
            <v>41000</v>
          </cell>
          <cell r="J8223">
            <v>3809804.3041216834</v>
          </cell>
          <cell r="K8223">
            <v>2.4380000000000002</v>
          </cell>
          <cell r="L8223">
            <v>148835</v>
          </cell>
          <cell r="M8223">
            <v>13229</v>
          </cell>
          <cell r="N8223">
            <v>683926.05601571908</v>
          </cell>
          <cell r="O8223">
            <v>692380.00232629513</v>
          </cell>
          <cell r="P8223">
            <v>368.79259999999999</v>
          </cell>
        </row>
        <row r="8224">
          <cell r="B8224">
            <v>41001</v>
          </cell>
          <cell r="J8224">
            <v>3809804.3041216834</v>
          </cell>
          <cell r="K8224">
            <v>2.4380000000000002</v>
          </cell>
          <cell r="L8224">
            <v>148835</v>
          </cell>
          <cell r="M8224">
            <v>13229</v>
          </cell>
          <cell r="N8224">
            <v>683926.05601571908</v>
          </cell>
          <cell r="O8224">
            <v>692380.00232629513</v>
          </cell>
          <cell r="P8224">
            <v>368.79259999999999</v>
          </cell>
        </row>
        <row r="8225">
          <cell r="B8225">
            <v>41002</v>
          </cell>
          <cell r="J8225">
            <v>3809804.3041216834</v>
          </cell>
          <cell r="K8225">
            <v>2.4380000000000002</v>
          </cell>
          <cell r="L8225">
            <v>148835</v>
          </cell>
          <cell r="M8225">
            <v>13229</v>
          </cell>
          <cell r="N8225">
            <v>683926.05601571908</v>
          </cell>
          <cell r="O8225">
            <v>692380.00232629513</v>
          </cell>
          <cell r="P8225">
            <v>368.79259999999999</v>
          </cell>
        </row>
        <row r="8226">
          <cell r="B8226">
            <v>41003</v>
          </cell>
          <cell r="J8226">
            <v>3809804.3041216834</v>
          </cell>
          <cell r="K8226">
            <v>2.4380000000000002</v>
          </cell>
          <cell r="L8226">
            <v>148835</v>
          </cell>
          <cell r="M8226">
            <v>13229</v>
          </cell>
          <cell r="N8226">
            <v>683926.05601571908</v>
          </cell>
          <cell r="O8226">
            <v>692380.00232629513</v>
          </cell>
          <cell r="P8226">
            <v>368.79259999999999</v>
          </cell>
        </row>
        <row r="8227">
          <cell r="B8227">
            <v>41004</v>
          </cell>
          <cell r="J8227">
            <v>3809804.3041216834</v>
          </cell>
          <cell r="K8227">
            <v>2.4380000000000002</v>
          </cell>
          <cell r="L8227">
            <v>148835</v>
          </cell>
          <cell r="M8227">
            <v>13229</v>
          </cell>
          <cell r="N8227">
            <v>683926.05601571908</v>
          </cell>
          <cell r="O8227">
            <v>692380.00232629513</v>
          </cell>
          <cell r="P8227">
            <v>368.79259999999999</v>
          </cell>
        </row>
        <row r="8228">
          <cell r="B8228">
            <v>41005</v>
          </cell>
          <cell r="J8228">
            <v>3809804.3041216834</v>
          </cell>
          <cell r="K8228">
            <v>2.4380000000000002</v>
          </cell>
          <cell r="L8228">
            <v>148835</v>
          </cell>
          <cell r="M8228">
            <v>13229</v>
          </cell>
          <cell r="N8228">
            <v>683926.05601571908</v>
          </cell>
          <cell r="O8228">
            <v>692380.00232629513</v>
          </cell>
          <cell r="P8228">
            <v>368.79259999999999</v>
          </cell>
        </row>
        <row r="8229">
          <cell r="B8229">
            <v>41006</v>
          </cell>
          <cell r="J8229">
            <v>3809804.3041216834</v>
          </cell>
          <cell r="K8229">
            <v>2.4380000000000002</v>
          </cell>
          <cell r="L8229">
            <v>148835</v>
          </cell>
          <cell r="M8229">
            <v>13229</v>
          </cell>
          <cell r="N8229">
            <v>683926.05601571908</v>
          </cell>
          <cell r="O8229">
            <v>692380.00232629513</v>
          </cell>
          <cell r="P8229">
            <v>368.79259999999999</v>
          </cell>
        </row>
        <row r="8230">
          <cell r="B8230">
            <v>41007</v>
          </cell>
          <cell r="J8230">
            <v>3809804.3041216834</v>
          </cell>
          <cell r="K8230">
            <v>2.4380000000000002</v>
          </cell>
          <cell r="L8230">
            <v>148835</v>
          </cell>
          <cell r="M8230">
            <v>13229</v>
          </cell>
          <cell r="N8230">
            <v>683926.05601571908</v>
          </cell>
          <cell r="O8230">
            <v>692380.00232629513</v>
          </cell>
          <cell r="P8230">
            <v>368.79259999999999</v>
          </cell>
        </row>
        <row r="8231">
          <cell r="B8231">
            <v>41008</v>
          </cell>
          <cell r="J8231">
            <v>3809804.3041216834</v>
          </cell>
          <cell r="K8231">
            <v>2.4380000000000002</v>
          </cell>
          <cell r="L8231">
            <v>148835</v>
          </cell>
          <cell r="M8231">
            <v>13229</v>
          </cell>
          <cell r="N8231">
            <v>683926.05601571908</v>
          </cell>
          <cell r="O8231">
            <v>692380.00232629513</v>
          </cell>
          <cell r="P8231">
            <v>368.79259999999999</v>
          </cell>
        </row>
        <row r="8232">
          <cell r="B8232">
            <v>41009</v>
          </cell>
          <cell r="J8232">
            <v>3809804.3041216834</v>
          </cell>
          <cell r="K8232">
            <v>2.4380000000000002</v>
          </cell>
          <cell r="L8232">
            <v>148835</v>
          </cell>
          <cell r="M8232">
            <v>13229</v>
          </cell>
          <cell r="N8232">
            <v>683926.05601571908</v>
          </cell>
          <cell r="O8232">
            <v>692380.00232629513</v>
          </cell>
          <cell r="P8232">
            <v>368.79259999999999</v>
          </cell>
        </row>
        <row r="8233">
          <cell r="B8233">
            <v>41010</v>
          </cell>
          <cell r="J8233">
            <v>3809804.3041216834</v>
          </cell>
          <cell r="K8233">
            <v>2.4380000000000002</v>
          </cell>
          <cell r="L8233">
            <v>148835</v>
          </cell>
          <cell r="M8233">
            <v>13229</v>
          </cell>
          <cell r="N8233">
            <v>683926.05601571908</v>
          </cell>
          <cell r="O8233">
            <v>692380.00232629513</v>
          </cell>
          <cell r="P8233">
            <v>368.79259999999999</v>
          </cell>
        </row>
        <row r="8234">
          <cell r="B8234">
            <v>41011</v>
          </cell>
          <cell r="J8234">
            <v>3809804.3041216834</v>
          </cell>
          <cell r="K8234">
            <v>2.4380000000000002</v>
          </cell>
          <cell r="L8234">
            <v>148835</v>
          </cell>
          <cell r="M8234">
            <v>13229</v>
          </cell>
          <cell r="N8234">
            <v>683926.05601571908</v>
          </cell>
          <cell r="O8234">
            <v>692380.00232629513</v>
          </cell>
          <cell r="P8234">
            <v>368.79259999999999</v>
          </cell>
        </row>
        <row r="8235">
          <cell r="B8235">
            <v>41012</v>
          </cell>
          <cell r="J8235">
            <v>3809804.3041216834</v>
          </cell>
          <cell r="K8235">
            <v>2.4380000000000002</v>
          </cell>
          <cell r="L8235">
            <v>148835</v>
          </cell>
          <cell r="M8235">
            <v>13229</v>
          </cell>
          <cell r="N8235">
            <v>683926.05601571908</v>
          </cell>
          <cell r="O8235">
            <v>692380.00232629513</v>
          </cell>
          <cell r="P8235">
            <v>368.79259999999999</v>
          </cell>
        </row>
        <row r="8236">
          <cell r="B8236">
            <v>41013</v>
          </cell>
          <cell r="J8236">
            <v>3809804.3041216834</v>
          </cell>
          <cell r="K8236">
            <v>2.4380000000000002</v>
          </cell>
          <cell r="L8236">
            <v>148835</v>
          </cell>
          <cell r="M8236">
            <v>13229</v>
          </cell>
          <cell r="N8236">
            <v>683926.05601571908</v>
          </cell>
          <cell r="O8236">
            <v>692380.00232629513</v>
          </cell>
          <cell r="P8236">
            <v>368.79259999999999</v>
          </cell>
        </row>
        <row r="8237">
          <cell r="B8237">
            <v>41014</v>
          </cell>
          <cell r="J8237">
            <v>3809804.3041216834</v>
          </cell>
          <cell r="K8237">
            <v>2.4380000000000002</v>
          </cell>
          <cell r="L8237">
            <v>148835</v>
          </cell>
          <cell r="M8237">
            <v>13229</v>
          </cell>
          <cell r="N8237">
            <v>683926.05601571908</v>
          </cell>
          <cell r="O8237">
            <v>692380.00232629513</v>
          </cell>
          <cell r="P8237">
            <v>368.79259999999999</v>
          </cell>
        </row>
        <row r="8238">
          <cell r="B8238">
            <v>41015</v>
          </cell>
          <cell r="J8238">
            <v>3809804.3041216834</v>
          </cell>
          <cell r="K8238">
            <v>2.4380000000000002</v>
          </cell>
          <cell r="L8238">
            <v>148835</v>
          </cell>
          <cell r="M8238">
            <v>13229</v>
          </cell>
          <cell r="N8238">
            <v>683926.05601571908</v>
          </cell>
          <cell r="O8238">
            <v>692380.00232629513</v>
          </cell>
          <cell r="P8238">
            <v>368.79259999999999</v>
          </cell>
        </row>
        <row r="8239">
          <cell r="B8239">
            <v>41016</v>
          </cell>
          <cell r="J8239">
            <v>3809804.3041216834</v>
          </cell>
          <cell r="K8239">
            <v>2.4380000000000002</v>
          </cell>
          <cell r="L8239">
            <v>148835</v>
          </cell>
          <cell r="M8239">
            <v>13229</v>
          </cell>
          <cell r="N8239">
            <v>683926.05601571908</v>
          </cell>
          <cell r="O8239">
            <v>692380.00232629513</v>
          </cell>
          <cell r="P8239">
            <v>368.79259999999999</v>
          </cell>
        </row>
        <row r="8240">
          <cell r="B8240">
            <v>41017</v>
          </cell>
          <cell r="J8240">
            <v>3809804.3041216834</v>
          </cell>
          <cell r="K8240">
            <v>2.4380000000000002</v>
          </cell>
          <cell r="L8240">
            <v>148835</v>
          </cell>
          <cell r="M8240">
            <v>13229</v>
          </cell>
          <cell r="N8240">
            <v>683926.05601571908</v>
          </cell>
          <cell r="O8240">
            <v>692380.00232629513</v>
          </cell>
          <cell r="P8240">
            <v>368.79259999999999</v>
          </cell>
        </row>
        <row r="8241">
          <cell r="B8241">
            <v>41018</v>
          </cell>
          <cell r="J8241">
            <v>3809804.3041216834</v>
          </cell>
          <cell r="K8241">
            <v>2.4380000000000002</v>
          </cell>
          <cell r="L8241">
            <v>148835</v>
          </cell>
          <cell r="M8241">
            <v>13229</v>
          </cell>
          <cell r="N8241">
            <v>683926.05601571908</v>
          </cell>
          <cell r="O8241">
            <v>692380.00232629513</v>
          </cell>
          <cell r="P8241">
            <v>368.79259999999999</v>
          </cell>
        </row>
        <row r="8242">
          <cell r="B8242">
            <v>41019</v>
          </cell>
          <cell r="J8242">
            <v>3809804.3041216834</v>
          </cell>
          <cell r="K8242">
            <v>2.4380000000000002</v>
          </cell>
          <cell r="L8242">
            <v>148835</v>
          </cell>
          <cell r="M8242">
            <v>13229</v>
          </cell>
          <cell r="N8242">
            <v>683926.05601571908</v>
          </cell>
          <cell r="O8242">
            <v>692380.00232629513</v>
          </cell>
          <cell r="P8242">
            <v>368.79259999999999</v>
          </cell>
        </row>
        <row r="8243">
          <cell r="B8243">
            <v>41020</v>
          </cell>
          <cell r="J8243">
            <v>3809804.3041216834</v>
          </cell>
          <cell r="K8243">
            <v>2.4380000000000002</v>
          </cell>
          <cell r="L8243">
            <v>148835</v>
          </cell>
          <cell r="M8243">
            <v>13229</v>
          </cell>
          <cell r="N8243">
            <v>683926.05601571908</v>
          </cell>
          <cell r="O8243">
            <v>692380.00232629513</v>
          </cell>
          <cell r="P8243">
            <v>368.79259999999999</v>
          </cell>
        </row>
        <row r="8244">
          <cell r="B8244">
            <v>41021</v>
          </cell>
          <cell r="J8244">
            <v>3809804.3041216834</v>
          </cell>
          <cell r="K8244">
            <v>2.4380000000000002</v>
          </cell>
          <cell r="L8244">
            <v>148835</v>
          </cell>
          <cell r="M8244">
            <v>13229</v>
          </cell>
          <cell r="N8244">
            <v>683926.05601571908</v>
          </cell>
          <cell r="O8244">
            <v>692380.00232629513</v>
          </cell>
          <cell r="P8244">
            <v>368.79259999999999</v>
          </cell>
        </row>
        <row r="8245">
          <cell r="B8245">
            <v>41022</v>
          </cell>
          <cell r="J8245">
            <v>3809804.3041216834</v>
          </cell>
          <cell r="K8245">
            <v>2.4380000000000002</v>
          </cell>
          <cell r="L8245">
            <v>148835</v>
          </cell>
          <cell r="M8245">
            <v>13229</v>
          </cell>
          <cell r="N8245">
            <v>683926.05601571908</v>
          </cell>
          <cell r="O8245">
            <v>692380.00232629513</v>
          </cell>
          <cell r="P8245">
            <v>368.79259999999999</v>
          </cell>
        </row>
        <row r="8246">
          <cell r="B8246">
            <v>41023</v>
          </cell>
          <cell r="J8246">
            <v>3809804.3041216834</v>
          </cell>
          <cell r="K8246">
            <v>2.4380000000000002</v>
          </cell>
          <cell r="L8246">
            <v>148835</v>
          </cell>
          <cell r="M8246">
            <v>13229</v>
          </cell>
          <cell r="N8246">
            <v>683926.05601571908</v>
          </cell>
          <cell r="O8246">
            <v>692380.00232629513</v>
          </cell>
          <cell r="P8246">
            <v>368.79259999999999</v>
          </cell>
        </row>
        <row r="8247">
          <cell r="B8247">
            <v>41024</v>
          </cell>
          <cell r="J8247">
            <v>3809804.3041216834</v>
          </cell>
          <cell r="K8247">
            <v>2.4380000000000002</v>
          </cell>
          <cell r="L8247">
            <v>148835</v>
          </cell>
          <cell r="M8247">
            <v>13229</v>
          </cell>
          <cell r="N8247">
            <v>683926.05601571908</v>
          </cell>
          <cell r="O8247">
            <v>692380.00232629513</v>
          </cell>
          <cell r="P8247">
            <v>368.79259999999999</v>
          </cell>
        </row>
        <row r="8248">
          <cell r="B8248">
            <v>41025</v>
          </cell>
          <cell r="J8248">
            <v>3809804.3041216834</v>
          </cell>
          <cell r="K8248">
            <v>2.4380000000000002</v>
          </cell>
          <cell r="L8248">
            <v>148835</v>
          </cell>
          <cell r="M8248">
            <v>13229</v>
          </cell>
          <cell r="N8248">
            <v>683926.05601571908</v>
          </cell>
          <cell r="O8248">
            <v>692380.00232629513</v>
          </cell>
          <cell r="P8248">
            <v>368.79259999999999</v>
          </cell>
        </row>
        <row r="8249">
          <cell r="B8249">
            <v>41026</v>
          </cell>
          <cell r="J8249">
            <v>3809804.3041216834</v>
          </cell>
          <cell r="K8249">
            <v>2.4380000000000002</v>
          </cell>
          <cell r="L8249">
            <v>148835</v>
          </cell>
          <cell r="M8249">
            <v>13229</v>
          </cell>
          <cell r="N8249">
            <v>683926.05601571908</v>
          </cell>
          <cell r="O8249">
            <v>692380.00232629513</v>
          </cell>
          <cell r="P8249">
            <v>368.79259999999999</v>
          </cell>
        </row>
        <row r="8250">
          <cell r="B8250">
            <v>41027</v>
          </cell>
          <cell r="J8250">
            <v>3809804.3041216834</v>
          </cell>
          <cell r="K8250">
            <v>2.4380000000000002</v>
          </cell>
          <cell r="L8250">
            <v>148835</v>
          </cell>
          <cell r="M8250">
            <v>13229</v>
          </cell>
          <cell r="N8250">
            <v>683926.05601571908</v>
          </cell>
          <cell r="O8250">
            <v>692380.00232629513</v>
          </cell>
          <cell r="P8250">
            <v>368.79259999999999</v>
          </cell>
        </row>
        <row r="8251">
          <cell r="B8251">
            <v>41028</v>
          </cell>
          <cell r="J8251">
            <v>3809804.3041216834</v>
          </cell>
          <cell r="K8251">
            <v>2.4380000000000002</v>
          </cell>
          <cell r="L8251">
            <v>148835</v>
          </cell>
          <cell r="M8251">
            <v>13229</v>
          </cell>
          <cell r="N8251">
            <v>683926.05601571908</v>
          </cell>
          <cell r="O8251">
            <v>692380.00232629513</v>
          </cell>
          <cell r="P8251">
            <v>368.79259999999999</v>
          </cell>
        </row>
        <row r="8252">
          <cell r="B8252">
            <v>41029</v>
          </cell>
          <cell r="J8252">
            <v>3809804.3041216834</v>
          </cell>
          <cell r="K8252">
            <v>2.4380000000000002</v>
          </cell>
          <cell r="L8252">
            <v>148835</v>
          </cell>
          <cell r="M8252">
            <v>13229</v>
          </cell>
          <cell r="N8252">
            <v>683926.05601571908</v>
          </cell>
          <cell r="O8252">
            <v>692380.00232629513</v>
          </cell>
          <cell r="P8252">
            <v>368.79259999999999</v>
          </cell>
        </row>
        <row r="8253">
          <cell r="B8253">
            <v>41030</v>
          </cell>
          <cell r="J8253">
            <v>3809804.3041216834</v>
          </cell>
          <cell r="K8253">
            <v>2.4380000000000002</v>
          </cell>
          <cell r="L8253">
            <v>148835</v>
          </cell>
          <cell r="M8253">
            <v>13229</v>
          </cell>
          <cell r="N8253">
            <v>683926.05601571908</v>
          </cell>
          <cell r="O8253">
            <v>692380.00232629513</v>
          </cell>
          <cell r="P8253">
            <v>368.79259999999999</v>
          </cell>
        </row>
        <row r="8254">
          <cell r="B8254">
            <v>41031</v>
          </cell>
          <cell r="J8254">
            <v>3809804.3041216834</v>
          </cell>
          <cell r="K8254">
            <v>2.4380000000000002</v>
          </cell>
          <cell r="L8254">
            <v>148835</v>
          </cell>
          <cell r="M8254">
            <v>13229</v>
          </cell>
          <cell r="N8254">
            <v>683926.05601571908</v>
          </cell>
          <cell r="O8254">
            <v>692380.00232629513</v>
          </cell>
          <cell r="P8254">
            <v>368.79259999999999</v>
          </cell>
        </row>
        <row r="8255">
          <cell r="B8255">
            <v>41032</v>
          </cell>
          <cell r="J8255">
            <v>3809804.3041216834</v>
          </cell>
          <cell r="K8255">
            <v>2.4380000000000002</v>
          </cell>
          <cell r="L8255">
            <v>148835</v>
          </cell>
          <cell r="M8255">
            <v>13229</v>
          </cell>
          <cell r="N8255">
            <v>683926.05601571908</v>
          </cell>
          <cell r="O8255">
            <v>692380.00232629513</v>
          </cell>
          <cell r="P8255">
            <v>368.79259999999999</v>
          </cell>
        </row>
        <row r="8256">
          <cell r="B8256">
            <v>41033</v>
          </cell>
          <cell r="J8256">
            <v>3809804.3041216834</v>
          </cell>
          <cell r="K8256">
            <v>2.4380000000000002</v>
          </cell>
          <cell r="L8256">
            <v>148835</v>
          </cell>
          <cell r="M8256">
            <v>13229</v>
          </cell>
          <cell r="N8256">
            <v>683926.05601571908</v>
          </cell>
          <cell r="O8256">
            <v>692380.00232629513</v>
          </cell>
          <cell r="P8256">
            <v>368.79259999999999</v>
          </cell>
        </row>
        <row r="8257">
          <cell r="B8257">
            <v>41034</v>
          </cell>
          <cell r="J8257">
            <v>3809804.3041216834</v>
          </cell>
          <cell r="K8257">
            <v>2.4380000000000002</v>
          </cell>
          <cell r="L8257">
            <v>148835</v>
          </cell>
          <cell r="M8257">
            <v>13229</v>
          </cell>
          <cell r="N8257">
            <v>683926.05601571908</v>
          </cell>
          <cell r="O8257">
            <v>692380.00232629513</v>
          </cell>
          <cell r="P8257">
            <v>368.79259999999999</v>
          </cell>
        </row>
      </sheetData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ual"/>
      <sheetName val="Feriados"/>
      <sheetName val="Aniversarios"/>
    </sheetNames>
    <sheetDataSet>
      <sheetData sheetId="0">
        <row r="2">
          <cell r="AC2" t="b">
            <v>1</v>
          </cell>
        </row>
      </sheetData>
      <sheetData sheetId="1">
        <row r="4">
          <cell r="B4">
            <v>37987</v>
          </cell>
        </row>
      </sheetData>
      <sheetData sheetId="2">
        <row r="5">
          <cell r="B5">
            <v>38023</v>
          </cell>
        </row>
        <row r="6">
          <cell r="B6">
            <v>38039</v>
          </cell>
        </row>
        <row r="7">
          <cell r="B7">
            <v>38041</v>
          </cell>
        </row>
        <row r="8">
          <cell r="B8">
            <v>38042</v>
          </cell>
        </row>
        <row r="9">
          <cell r="B9">
            <v>38054</v>
          </cell>
        </row>
        <row r="10">
          <cell r="B10">
            <v>38056</v>
          </cell>
        </row>
        <row r="11">
          <cell r="B11">
            <v>38064</v>
          </cell>
        </row>
        <row r="12">
          <cell r="B12">
            <v>38080</v>
          </cell>
        </row>
        <row r="13">
          <cell r="B13">
            <v>38094</v>
          </cell>
        </row>
        <row r="14">
          <cell r="B14">
            <v>38100</v>
          </cell>
        </row>
        <row r="15">
          <cell r="B15">
            <v>38106</v>
          </cell>
        </row>
        <row r="16">
          <cell r="B16">
            <v>38118</v>
          </cell>
        </row>
        <row r="17">
          <cell r="B17">
            <v>38140</v>
          </cell>
        </row>
        <row r="18">
          <cell r="B18">
            <v>38143</v>
          </cell>
        </row>
        <row r="19">
          <cell r="B19">
            <v>38148</v>
          </cell>
        </row>
        <row r="20">
          <cell r="B20">
            <v>38159</v>
          </cell>
        </row>
        <row r="21">
          <cell r="B21">
            <v>38172</v>
          </cell>
        </row>
        <row r="22">
          <cell r="B22">
            <v>38188</v>
          </cell>
        </row>
        <row r="23">
          <cell r="B23">
            <v>38237</v>
          </cell>
        </row>
        <row r="24">
          <cell r="B24">
            <v>38249</v>
          </cell>
        </row>
        <row r="25">
          <cell r="B25">
            <v>38274</v>
          </cell>
        </row>
        <row r="26">
          <cell r="B26">
            <v>38279</v>
          </cell>
        </row>
        <row r="27">
          <cell r="B27">
            <v>38288</v>
          </cell>
        </row>
        <row r="28">
          <cell r="B28">
            <v>38289</v>
          </cell>
        </row>
        <row r="29">
          <cell r="B29">
            <v>38299</v>
          </cell>
        </row>
        <row r="30">
          <cell r="B30">
            <v>38300</v>
          </cell>
        </row>
        <row r="31">
          <cell r="B31">
            <v>38301</v>
          </cell>
        </row>
        <row r="32">
          <cell r="B32">
            <v>38314</v>
          </cell>
        </row>
        <row r="33">
          <cell r="B33">
            <v>38326</v>
          </cell>
        </row>
        <row r="34">
          <cell r="B34">
            <v>38333</v>
          </cell>
        </row>
        <row r="35">
          <cell r="B35">
            <v>38339</v>
          </cell>
        </row>
        <row r="36">
          <cell r="B36">
            <v>38342</v>
          </cell>
        </row>
        <row r="37">
          <cell r="B37">
            <v>38351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ógio1"/>
      <sheetName val="Relógio2"/>
      <sheetName val="Relógio3"/>
      <sheetName val="Relógio no Menu"/>
    </sheetNames>
    <sheetDataSet>
      <sheetData sheetId="0">
        <row r="17">
          <cell r="B17">
            <v>39027.74690972222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Padrao"/>
      <sheetName val="Menu"/>
      <sheetName val="Pert.Cpm"/>
      <sheetName val="Pert.Cpm (2)"/>
      <sheetName val="Progr1"/>
      <sheetName val="Prazos"/>
      <sheetName val="Ex"/>
      <sheetName val="SolEx"/>
      <sheetName val="m1"/>
      <sheetName val="m2"/>
      <sheetName val="m3"/>
      <sheetName val="m4"/>
      <sheetName val="m5"/>
      <sheetName val="Geral"/>
      <sheetName val="MRP"/>
      <sheetName val="Est"/>
      <sheetName val="Exp"/>
      <sheetName val="Swot"/>
      <sheetName val="BOM.MRP"/>
      <sheetName val="1"/>
      <sheetName val="Alm"/>
      <sheetName val="Mrp.Bom"/>
      <sheetName val="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Padrao"/>
      <sheetName val="Menu"/>
      <sheetName val="Progr1"/>
      <sheetName val="Diagrama"/>
      <sheetName val="Prazos"/>
      <sheetName val="Pert.Cpm"/>
      <sheetName val="Pert.Cpm (2)"/>
      <sheetName val="Ex"/>
      <sheetName val="SolEx"/>
      <sheetName val="m1"/>
      <sheetName val="m2"/>
      <sheetName val="m3"/>
      <sheetName val="m4"/>
      <sheetName val="m5"/>
      <sheetName val="Geral"/>
      <sheetName val="MRP"/>
      <sheetName val="Est"/>
      <sheetName val="Exp"/>
      <sheetName val="Swot"/>
      <sheetName val="BOM.MRP"/>
      <sheetName val="1"/>
      <sheetName val="Alm"/>
      <sheetName val="Mrp.Bom"/>
      <sheetName val="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O"/>
      <sheetName val="Progr1 (3)"/>
      <sheetName val="Plan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applyStyles="1"/>
  </sheetPr>
  <dimension ref="A1:YS267"/>
  <sheetViews>
    <sheetView showGridLines="0" showZeros="0" tabSelected="1" showOutlineSymbols="0" defaultGridColor="0" colorId="23" zoomScale="90" zoomScaleNormal="90" workbookViewId="0">
      <pane xSplit="21" ySplit="5" topLeftCell="V6" activePane="bottomRight" state="frozen"/>
      <selection pane="topRight" activeCell="V1" sqref="V1"/>
      <selection pane="bottomLeft" activeCell="A6" sqref="A6"/>
      <selection pane="bottomRight" activeCell="EB25" sqref="EB25:EV25"/>
    </sheetView>
  </sheetViews>
  <sheetFormatPr defaultColWidth="8" defaultRowHeight="15" outlineLevelRow="1" outlineLevelCol="1" x14ac:dyDescent="0.25"/>
  <cols>
    <col min="1" max="1" width="10" style="65" bestFit="1" customWidth="1"/>
    <col min="2" max="2" width="20.7109375" style="65" customWidth="1"/>
    <col min="3" max="3" width="9.28515625" style="65" hidden="1" customWidth="1" outlineLevel="1"/>
    <col min="4" max="4" width="5.5703125" style="65" hidden="1" customWidth="1" outlineLevel="1"/>
    <col min="5" max="5" width="18" style="65" hidden="1" customWidth="1" outlineLevel="1"/>
    <col min="6" max="6" width="15.28515625" style="65" hidden="1" customWidth="1" outlineLevel="1"/>
    <col min="7" max="7" width="16.5703125" style="65" hidden="1" customWidth="1" outlineLevel="1"/>
    <col min="8" max="8" width="17" style="65" hidden="1" customWidth="1" outlineLevel="1"/>
    <col min="9" max="9" width="23" style="66" customWidth="1" collapsed="1"/>
    <col min="10" max="10" width="10.7109375" style="66" hidden="1" customWidth="1"/>
    <col min="11" max="11" width="3.42578125" style="65" customWidth="1"/>
    <col min="12" max="21" width="3.42578125" style="65" hidden="1" customWidth="1" outlineLevel="1"/>
    <col min="22" max="22" width="8.42578125" style="66" bestFit="1" customWidth="1"/>
    <col min="23" max="25" width="10" style="65" bestFit="1" customWidth="1"/>
    <col min="26" max="30" width="11.42578125" style="65" bestFit="1" customWidth="1"/>
    <col min="31" max="32" width="9.140625" style="65" bestFit="1" customWidth="1"/>
    <col min="33" max="33" width="9.140625" style="65" customWidth="1"/>
    <col min="34" max="36" width="9.140625" style="65" bestFit="1" customWidth="1"/>
    <col min="37" max="43" width="10.42578125" style="65" bestFit="1" customWidth="1"/>
    <col min="44" max="44" width="10.42578125" style="67" bestFit="1" customWidth="1"/>
    <col min="45" max="256" width="10.42578125" style="65" bestFit="1" customWidth="1"/>
    <col min="257" max="261" width="10.42578125" style="17" bestFit="1" customWidth="1"/>
    <col min="262" max="262" width="9.140625" style="17" bestFit="1" customWidth="1"/>
    <col min="263" max="263" width="9" style="17" bestFit="1" customWidth="1"/>
    <col min="264" max="265" width="9.140625" style="17" bestFit="1" customWidth="1"/>
    <col min="266" max="267" width="9.140625" style="65" bestFit="1" customWidth="1"/>
    <col min="268" max="268" width="8.28515625" style="65" customWidth="1"/>
    <col min="269" max="286" width="9.140625" style="65" bestFit="1" customWidth="1"/>
    <col min="287" max="287" width="8" style="65"/>
    <col min="288" max="292" width="15.7109375" style="65" customWidth="1"/>
    <col min="293" max="295" width="0.140625" style="65" customWidth="1"/>
    <col min="296" max="304" width="15.7109375" style="65" customWidth="1"/>
    <col min="305" max="307" width="0.140625" style="65" customWidth="1"/>
    <col min="308" max="316" width="15.7109375" style="65" customWidth="1"/>
    <col min="317" max="319" width="0.140625" style="65" customWidth="1"/>
    <col min="320" max="323" width="15.7109375" style="65" customWidth="1"/>
    <col min="324" max="16384" width="8" style="65"/>
  </cols>
  <sheetData>
    <row r="1" spans="1:669" s="17" customFormat="1" ht="20.100000000000001" customHeight="1" x14ac:dyDescent="0.25">
      <c r="A1" s="15"/>
      <c r="B1" s="15"/>
      <c r="C1" s="15"/>
      <c r="D1" s="15"/>
      <c r="E1" s="15"/>
      <c r="F1" s="15"/>
      <c r="G1" s="15"/>
      <c r="H1" s="15"/>
      <c r="I1" s="16"/>
      <c r="J1" s="16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6"/>
      <c r="W1" s="15"/>
      <c r="X1" s="15"/>
      <c r="Y1" s="15"/>
      <c r="Z1" s="15"/>
      <c r="AA1" s="15"/>
      <c r="AB1" s="15"/>
      <c r="AC1" s="15"/>
      <c r="AD1" s="15"/>
      <c r="AE1" s="15"/>
      <c r="AJ1" s="18"/>
      <c r="AL1" s="19"/>
      <c r="AP1" s="19"/>
      <c r="AR1" s="18"/>
    </row>
    <row r="2" spans="1:669" s="22" customFormat="1" ht="17.25" customHeight="1" thickBot="1" x14ac:dyDescent="0.25">
      <c r="A2" s="273" t="s">
        <v>0</v>
      </c>
      <c r="B2" s="253" t="s">
        <v>11</v>
      </c>
      <c r="C2" s="273" t="s">
        <v>12</v>
      </c>
      <c r="D2" s="273" t="s">
        <v>20</v>
      </c>
      <c r="E2" s="145"/>
      <c r="F2" s="145"/>
      <c r="G2" s="145"/>
      <c r="H2" s="145"/>
      <c r="I2" s="267"/>
      <c r="J2" s="270" t="s">
        <v>1</v>
      </c>
      <c r="K2" s="275" t="s">
        <v>1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74">
        <v>1</v>
      </c>
      <c r="W2" s="274"/>
      <c r="X2" s="274"/>
      <c r="Y2" s="274"/>
      <c r="Z2" s="274"/>
      <c r="AA2" s="274">
        <f>V2+1</f>
        <v>2</v>
      </c>
      <c r="AB2" s="274"/>
      <c r="AC2" s="274"/>
      <c r="AD2" s="274"/>
      <c r="AE2" s="274"/>
      <c r="AF2" s="262">
        <f>AA2+1</f>
        <v>3</v>
      </c>
      <c r="AG2" s="263"/>
      <c r="AH2" s="263"/>
      <c r="AI2" s="263"/>
      <c r="AJ2" s="264"/>
      <c r="AK2" s="262">
        <f>AF2+1</f>
        <v>4</v>
      </c>
      <c r="AL2" s="263"/>
      <c r="AM2" s="263"/>
      <c r="AN2" s="263"/>
      <c r="AO2" s="264"/>
      <c r="AP2" s="262">
        <f>AK2+1</f>
        <v>5</v>
      </c>
      <c r="AQ2" s="263"/>
      <c r="AR2" s="263"/>
      <c r="AS2" s="263"/>
      <c r="AT2" s="264"/>
      <c r="AU2" s="262">
        <f>AP2+1</f>
        <v>6</v>
      </c>
      <c r="AV2" s="263"/>
      <c r="AW2" s="263"/>
      <c r="AX2" s="263"/>
      <c r="AY2" s="264"/>
      <c r="AZ2" s="262">
        <f>AU2+1</f>
        <v>7</v>
      </c>
      <c r="BA2" s="263"/>
      <c r="BB2" s="263"/>
      <c r="BC2" s="263"/>
      <c r="BD2" s="264"/>
      <c r="BE2" s="262">
        <f>AZ2+1</f>
        <v>8</v>
      </c>
      <c r="BF2" s="263"/>
      <c r="BG2" s="263"/>
      <c r="BH2" s="263"/>
      <c r="BI2" s="264"/>
      <c r="BJ2" s="262">
        <f>BE2+1</f>
        <v>9</v>
      </c>
      <c r="BK2" s="263"/>
      <c r="BL2" s="263"/>
      <c r="BM2" s="263"/>
      <c r="BN2" s="264"/>
      <c r="BO2" s="262">
        <f>BJ2+1</f>
        <v>10</v>
      </c>
      <c r="BP2" s="263"/>
      <c r="BQ2" s="263"/>
      <c r="BR2" s="263"/>
      <c r="BS2" s="264"/>
      <c r="BT2" s="262">
        <f>BO2+1</f>
        <v>11</v>
      </c>
      <c r="BU2" s="263"/>
      <c r="BV2" s="263"/>
      <c r="BW2" s="263"/>
      <c r="BX2" s="264"/>
      <c r="BY2" s="262">
        <f>BT2+1</f>
        <v>12</v>
      </c>
      <c r="BZ2" s="263"/>
      <c r="CA2" s="263"/>
      <c r="CB2" s="263"/>
      <c r="CC2" s="264"/>
      <c r="CD2" s="262">
        <f>BY2+1</f>
        <v>13</v>
      </c>
      <c r="CE2" s="263"/>
      <c r="CF2" s="263"/>
      <c r="CG2" s="263"/>
      <c r="CH2" s="264"/>
      <c r="CI2" s="262">
        <f>CD2+1</f>
        <v>14</v>
      </c>
      <c r="CJ2" s="263"/>
      <c r="CK2" s="263"/>
      <c r="CL2" s="263"/>
      <c r="CM2" s="264"/>
      <c r="CN2" s="262">
        <f>CI2+1</f>
        <v>15</v>
      </c>
      <c r="CO2" s="263"/>
      <c r="CP2" s="263"/>
      <c r="CQ2" s="263"/>
      <c r="CR2" s="264"/>
      <c r="CS2" s="262">
        <f>CN2+1</f>
        <v>16</v>
      </c>
      <c r="CT2" s="263"/>
      <c r="CU2" s="263"/>
      <c r="CV2" s="263"/>
      <c r="CW2" s="264"/>
      <c r="CX2" s="262">
        <f>CS2+1</f>
        <v>17</v>
      </c>
      <c r="CY2" s="263"/>
      <c r="CZ2" s="263"/>
      <c r="DA2" s="263"/>
      <c r="DB2" s="264"/>
      <c r="DC2" s="262">
        <f>CX2+1</f>
        <v>18</v>
      </c>
      <c r="DD2" s="263"/>
      <c r="DE2" s="263"/>
      <c r="DF2" s="263"/>
      <c r="DG2" s="264"/>
      <c r="DH2" s="262">
        <f>DC2+1</f>
        <v>19</v>
      </c>
      <c r="DI2" s="263"/>
      <c r="DJ2" s="263"/>
      <c r="DK2" s="263"/>
      <c r="DL2" s="264"/>
      <c r="DM2" s="262">
        <f>DH2+1</f>
        <v>20</v>
      </c>
      <c r="DN2" s="263"/>
      <c r="DO2" s="263"/>
      <c r="DP2" s="263"/>
      <c r="DQ2" s="264"/>
      <c r="DR2" s="262">
        <f>DM2+1</f>
        <v>21</v>
      </c>
      <c r="DS2" s="263"/>
      <c r="DT2" s="263"/>
      <c r="DU2" s="263"/>
      <c r="DV2" s="264"/>
      <c r="DW2" s="262">
        <f>DR2+1</f>
        <v>22</v>
      </c>
      <c r="DX2" s="263"/>
      <c r="DY2" s="263"/>
      <c r="DZ2" s="263"/>
      <c r="EA2" s="264"/>
      <c r="EB2" s="262">
        <f>DW2+1</f>
        <v>23</v>
      </c>
      <c r="EC2" s="263"/>
      <c r="ED2" s="263"/>
      <c r="EE2" s="263"/>
      <c r="EF2" s="264"/>
      <c r="EG2" s="262">
        <f>EB2+1</f>
        <v>24</v>
      </c>
      <c r="EH2" s="263"/>
      <c r="EI2" s="263"/>
      <c r="EJ2" s="263"/>
      <c r="EK2" s="264"/>
      <c r="EL2" s="262">
        <f>EG2+1</f>
        <v>25</v>
      </c>
      <c r="EM2" s="263"/>
      <c r="EN2" s="263"/>
      <c r="EO2" s="263"/>
      <c r="EP2" s="264"/>
      <c r="EQ2" s="262">
        <f>EL2+1</f>
        <v>26</v>
      </c>
      <c r="ER2" s="263"/>
      <c r="ES2" s="263"/>
      <c r="ET2" s="263"/>
      <c r="EU2" s="264"/>
      <c r="EV2" s="262">
        <f>EQ2+1</f>
        <v>27</v>
      </c>
      <c r="EW2" s="263"/>
      <c r="EX2" s="263"/>
      <c r="EY2" s="263"/>
      <c r="EZ2" s="264"/>
      <c r="FA2" s="262">
        <f>EV2+1</f>
        <v>28</v>
      </c>
      <c r="FB2" s="263"/>
      <c r="FC2" s="263"/>
      <c r="FD2" s="263"/>
      <c r="FE2" s="264"/>
      <c r="FF2" s="262">
        <f>FA2+1</f>
        <v>29</v>
      </c>
      <c r="FG2" s="263"/>
      <c r="FH2" s="263"/>
      <c r="FI2" s="263"/>
      <c r="FJ2" s="264"/>
      <c r="FK2" s="262">
        <f>FF2+1</f>
        <v>30</v>
      </c>
      <c r="FL2" s="263"/>
      <c r="FM2" s="263"/>
      <c r="FN2" s="263"/>
      <c r="FO2" s="264"/>
      <c r="FP2" s="262">
        <f>FK2+1</f>
        <v>31</v>
      </c>
      <c r="FQ2" s="263"/>
      <c r="FR2" s="263"/>
      <c r="FS2" s="263"/>
      <c r="FT2" s="264"/>
      <c r="FU2" s="262">
        <f>FP2+1</f>
        <v>32</v>
      </c>
      <c r="FV2" s="263"/>
      <c r="FW2" s="263"/>
      <c r="FX2" s="263"/>
      <c r="FY2" s="264"/>
      <c r="FZ2" s="262">
        <f>FU2+1</f>
        <v>33</v>
      </c>
      <c r="GA2" s="263"/>
      <c r="GB2" s="263"/>
      <c r="GC2" s="263"/>
      <c r="GD2" s="264"/>
      <c r="GE2" s="262">
        <f>FZ2+1</f>
        <v>34</v>
      </c>
      <c r="GF2" s="263"/>
      <c r="GG2" s="263"/>
      <c r="GH2" s="263"/>
      <c r="GI2" s="264"/>
      <c r="GJ2" s="262">
        <f>GE2+1</f>
        <v>35</v>
      </c>
      <c r="GK2" s="263"/>
      <c r="GL2" s="263"/>
      <c r="GM2" s="263"/>
      <c r="GN2" s="264"/>
      <c r="GO2" s="262">
        <f>GJ2+1</f>
        <v>36</v>
      </c>
      <c r="GP2" s="263"/>
      <c r="GQ2" s="263"/>
      <c r="GR2" s="263"/>
      <c r="GS2" s="264"/>
      <c r="GT2" s="262">
        <f>GO2+1</f>
        <v>37</v>
      </c>
      <c r="GU2" s="263"/>
      <c r="GV2" s="263"/>
      <c r="GW2" s="263"/>
      <c r="GX2" s="264"/>
      <c r="GY2" s="262">
        <f>GT2+1</f>
        <v>38</v>
      </c>
      <c r="GZ2" s="263"/>
      <c r="HA2" s="263"/>
      <c r="HB2" s="263"/>
      <c r="HC2" s="264"/>
      <c r="HD2" s="262">
        <f>GY2+1</f>
        <v>39</v>
      </c>
      <c r="HE2" s="263"/>
      <c r="HF2" s="263"/>
      <c r="HG2" s="263"/>
      <c r="HH2" s="264"/>
      <c r="HI2" s="262">
        <f>HD2+1</f>
        <v>40</v>
      </c>
      <c r="HJ2" s="263"/>
      <c r="HK2" s="263"/>
      <c r="HL2" s="263"/>
      <c r="HM2" s="264"/>
      <c r="HN2" s="262">
        <f>HI2+1</f>
        <v>41</v>
      </c>
      <c r="HO2" s="263"/>
      <c r="HP2" s="263"/>
      <c r="HQ2" s="263"/>
      <c r="HR2" s="264"/>
      <c r="HS2" s="262">
        <f>HN2+1</f>
        <v>42</v>
      </c>
      <c r="HT2" s="263"/>
      <c r="HU2" s="263"/>
      <c r="HV2" s="263"/>
      <c r="HW2" s="264"/>
      <c r="HX2" s="262">
        <f>HS2+1</f>
        <v>43</v>
      </c>
      <c r="HY2" s="263"/>
      <c r="HZ2" s="263"/>
      <c r="IA2" s="263"/>
      <c r="IB2" s="264"/>
      <c r="IC2" s="262">
        <f>HX2+1</f>
        <v>44</v>
      </c>
      <c r="ID2" s="263"/>
      <c r="IE2" s="263"/>
      <c r="IF2" s="263"/>
      <c r="IG2" s="264"/>
      <c r="IH2" s="262">
        <f>IC2+1</f>
        <v>45</v>
      </c>
      <c r="II2" s="263"/>
      <c r="IJ2" s="263"/>
      <c r="IK2" s="263"/>
      <c r="IL2" s="264"/>
      <c r="IM2" s="262">
        <f>IH2+1</f>
        <v>46</v>
      </c>
      <c r="IN2" s="263"/>
      <c r="IO2" s="263"/>
      <c r="IP2" s="263"/>
      <c r="IQ2" s="264"/>
      <c r="IR2" s="262">
        <f>IM2+1</f>
        <v>47</v>
      </c>
      <c r="IS2" s="263"/>
      <c r="IT2" s="263"/>
      <c r="IU2" s="263"/>
      <c r="IV2" s="264"/>
      <c r="IW2" s="251">
        <f t="shared" ref="IW2" si="0">IR2+1</f>
        <v>48</v>
      </c>
      <c r="IX2" s="252"/>
      <c r="IY2" s="252"/>
      <c r="IZ2" s="252"/>
      <c r="JA2" s="252"/>
      <c r="JB2" s="251">
        <f t="shared" ref="JB2" si="1">IW2+1</f>
        <v>49</v>
      </c>
      <c r="JC2" s="252"/>
      <c r="JD2" s="252"/>
      <c r="JE2" s="252"/>
      <c r="JF2" s="252"/>
      <c r="JG2" s="251">
        <f t="shared" ref="JG2" si="2">JB2+1</f>
        <v>50</v>
      </c>
      <c r="JH2" s="252"/>
      <c r="JI2" s="252"/>
      <c r="JJ2" s="252"/>
      <c r="JK2" s="252"/>
      <c r="JL2" s="251">
        <f t="shared" ref="JL2" si="3">JG2+1</f>
        <v>51</v>
      </c>
      <c r="JM2" s="252"/>
      <c r="JN2" s="252"/>
      <c r="JO2" s="252"/>
      <c r="JP2" s="252"/>
      <c r="JQ2" s="251">
        <f t="shared" ref="JQ2" si="4">JL2+1</f>
        <v>52</v>
      </c>
      <c r="JR2" s="252"/>
      <c r="JS2" s="252"/>
      <c r="JT2" s="252"/>
      <c r="JU2" s="252"/>
      <c r="JV2" s="251">
        <f t="shared" ref="JV2" si="5">JQ2+1</f>
        <v>53</v>
      </c>
      <c r="JW2" s="252"/>
      <c r="JX2" s="252"/>
      <c r="JY2" s="252"/>
      <c r="JZ2" s="252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/>
      <c r="NM2" s="21"/>
      <c r="NN2" s="21"/>
      <c r="NO2" s="21"/>
      <c r="NP2" s="21"/>
      <c r="NQ2" s="21"/>
      <c r="NR2" s="21"/>
      <c r="NS2" s="21"/>
      <c r="NT2" s="21"/>
      <c r="NU2" s="21"/>
      <c r="NV2" s="21"/>
      <c r="NW2" s="21"/>
      <c r="NX2" s="21"/>
      <c r="NY2" s="21"/>
      <c r="NZ2" s="21"/>
      <c r="OA2" s="21"/>
      <c r="OB2" s="21"/>
      <c r="OC2" s="21"/>
      <c r="OD2" s="21"/>
      <c r="OE2" s="21"/>
      <c r="OF2" s="21"/>
      <c r="OG2" s="21"/>
      <c r="OH2" s="21"/>
      <c r="OI2" s="21"/>
      <c r="OJ2" s="21"/>
      <c r="OK2" s="21"/>
      <c r="OL2" s="21"/>
      <c r="OM2" s="21"/>
      <c r="ON2" s="21"/>
      <c r="OO2" s="21"/>
      <c r="OP2" s="21"/>
      <c r="OQ2" s="21"/>
      <c r="OR2" s="21"/>
      <c r="OS2" s="21"/>
      <c r="OT2" s="21"/>
      <c r="OU2" s="21"/>
      <c r="OV2" s="21"/>
      <c r="OW2" s="21"/>
      <c r="OX2" s="21"/>
      <c r="OY2" s="21"/>
      <c r="OZ2" s="21"/>
      <c r="PA2" s="21"/>
      <c r="PB2" s="21"/>
      <c r="PC2" s="21"/>
      <c r="PD2" s="21"/>
      <c r="PE2" s="21"/>
      <c r="PF2" s="21"/>
      <c r="PG2" s="21"/>
      <c r="PH2" s="21"/>
      <c r="PI2" s="21"/>
      <c r="PJ2" s="21"/>
      <c r="PK2" s="21"/>
      <c r="PL2" s="21"/>
      <c r="PM2" s="21"/>
      <c r="PN2" s="21"/>
      <c r="PO2" s="21"/>
      <c r="PP2" s="21"/>
      <c r="PQ2" s="21"/>
      <c r="PR2" s="21"/>
      <c r="PS2" s="21"/>
      <c r="PT2" s="21"/>
      <c r="PU2" s="21"/>
      <c r="PV2" s="21"/>
      <c r="PW2" s="21"/>
      <c r="PX2" s="21"/>
      <c r="PY2" s="21"/>
      <c r="PZ2" s="21"/>
      <c r="QA2" s="21"/>
      <c r="QB2" s="21"/>
      <c r="QC2" s="21"/>
      <c r="QD2" s="21"/>
      <c r="QE2" s="21"/>
      <c r="QF2" s="21"/>
      <c r="QG2" s="21"/>
      <c r="QH2" s="21"/>
      <c r="QI2" s="21"/>
      <c r="QJ2" s="21"/>
      <c r="QK2" s="21"/>
      <c r="QL2" s="21"/>
      <c r="QM2" s="21"/>
      <c r="QN2" s="21"/>
      <c r="QO2" s="21"/>
      <c r="QP2" s="21"/>
      <c r="QQ2" s="21"/>
      <c r="QR2" s="21"/>
      <c r="QS2" s="21"/>
      <c r="QT2" s="21"/>
      <c r="QU2" s="21"/>
      <c r="QV2" s="21"/>
      <c r="QW2" s="21"/>
      <c r="QX2" s="21"/>
      <c r="QY2" s="21"/>
      <c r="QZ2" s="21"/>
      <c r="RA2" s="21"/>
      <c r="RB2" s="21"/>
      <c r="RC2" s="21"/>
      <c r="RD2" s="21"/>
      <c r="RE2" s="21"/>
      <c r="RF2" s="21"/>
      <c r="RG2" s="21"/>
      <c r="RH2" s="21"/>
      <c r="RI2" s="21"/>
      <c r="RJ2" s="21"/>
      <c r="RK2" s="21"/>
      <c r="RL2" s="21"/>
      <c r="RM2" s="21"/>
      <c r="RN2" s="21"/>
      <c r="RO2" s="21"/>
      <c r="RP2" s="21"/>
      <c r="RQ2" s="21"/>
      <c r="RR2" s="21"/>
      <c r="RS2" s="21"/>
      <c r="RT2" s="21"/>
      <c r="RU2" s="21"/>
      <c r="RV2" s="21"/>
      <c r="RW2" s="21"/>
      <c r="RX2" s="21"/>
      <c r="RY2" s="21"/>
      <c r="RZ2" s="21"/>
      <c r="SA2" s="21"/>
      <c r="SB2" s="21"/>
      <c r="SC2" s="21"/>
      <c r="SD2" s="21"/>
      <c r="SE2" s="21"/>
      <c r="SF2" s="21"/>
      <c r="SG2" s="21"/>
      <c r="SH2" s="21"/>
      <c r="SI2" s="21"/>
      <c r="SJ2" s="21"/>
      <c r="SK2" s="21"/>
      <c r="SL2" s="21"/>
      <c r="SM2" s="21"/>
      <c r="SN2" s="21"/>
      <c r="SO2" s="21"/>
      <c r="SP2" s="21"/>
      <c r="SQ2" s="21"/>
      <c r="SR2" s="21"/>
      <c r="SS2" s="21"/>
      <c r="ST2" s="21"/>
      <c r="SU2" s="21"/>
      <c r="SV2" s="21"/>
      <c r="SW2" s="21"/>
      <c r="SX2" s="21"/>
      <c r="SY2" s="21"/>
      <c r="SZ2" s="21"/>
      <c r="TA2" s="21"/>
      <c r="TB2" s="21"/>
      <c r="TC2" s="21"/>
      <c r="TD2" s="21"/>
      <c r="TE2" s="21"/>
      <c r="TF2" s="21"/>
      <c r="TG2" s="21"/>
      <c r="TH2" s="21"/>
      <c r="TI2" s="21"/>
      <c r="TJ2" s="21"/>
      <c r="TK2" s="21"/>
      <c r="TL2" s="21"/>
      <c r="TM2" s="21"/>
      <c r="TN2" s="21"/>
      <c r="TO2" s="21"/>
      <c r="TP2" s="21"/>
      <c r="TQ2" s="21"/>
      <c r="TR2" s="21"/>
      <c r="TS2" s="21"/>
      <c r="TT2" s="21"/>
      <c r="TU2" s="21"/>
      <c r="TV2" s="21"/>
      <c r="TW2" s="21"/>
      <c r="TX2" s="21"/>
      <c r="TY2" s="21"/>
      <c r="TZ2" s="21"/>
      <c r="UA2" s="21"/>
      <c r="UB2" s="21"/>
      <c r="UC2" s="21"/>
      <c r="UD2" s="21"/>
      <c r="UE2" s="21"/>
      <c r="UF2" s="21"/>
      <c r="UG2" s="21"/>
      <c r="UH2" s="21"/>
      <c r="UI2" s="21"/>
      <c r="UJ2" s="21"/>
      <c r="UK2" s="21"/>
      <c r="UL2" s="21"/>
      <c r="UM2" s="21"/>
      <c r="UN2" s="21"/>
      <c r="UO2" s="21"/>
      <c r="UP2" s="21"/>
      <c r="UQ2" s="21"/>
      <c r="UR2" s="21"/>
      <c r="US2" s="21"/>
      <c r="UT2" s="21"/>
      <c r="UU2" s="21"/>
      <c r="UV2" s="21"/>
      <c r="UW2" s="21"/>
      <c r="UX2" s="21"/>
      <c r="UY2" s="21"/>
      <c r="UZ2" s="21"/>
      <c r="VA2" s="21"/>
      <c r="VB2" s="21"/>
      <c r="VC2" s="21"/>
      <c r="VD2" s="21"/>
      <c r="VE2" s="21"/>
      <c r="VF2" s="21"/>
      <c r="VG2" s="21"/>
      <c r="VH2" s="21"/>
      <c r="VI2" s="21"/>
      <c r="VJ2" s="21"/>
      <c r="VK2" s="21"/>
      <c r="VL2" s="21"/>
      <c r="VM2" s="21"/>
      <c r="VN2" s="21"/>
      <c r="VO2" s="21"/>
      <c r="VP2" s="21"/>
      <c r="VQ2" s="21"/>
      <c r="VR2" s="21"/>
      <c r="VS2" s="21"/>
      <c r="VT2" s="21"/>
      <c r="VU2" s="21"/>
      <c r="VV2" s="21"/>
      <c r="VW2" s="21"/>
      <c r="VX2" s="21"/>
      <c r="VY2" s="21"/>
      <c r="VZ2" s="21"/>
      <c r="WA2" s="21"/>
      <c r="WB2" s="21"/>
      <c r="WC2" s="21"/>
      <c r="WD2" s="21"/>
      <c r="WE2" s="21"/>
      <c r="WF2" s="21"/>
      <c r="WG2" s="21"/>
      <c r="WH2" s="21"/>
      <c r="WI2" s="21"/>
      <c r="WJ2" s="21"/>
      <c r="WK2" s="21"/>
      <c r="WL2" s="21"/>
      <c r="WM2" s="21"/>
      <c r="WN2" s="21"/>
      <c r="WO2" s="21"/>
      <c r="WP2" s="21"/>
      <c r="WQ2" s="21"/>
      <c r="WR2" s="21"/>
      <c r="WS2" s="21"/>
      <c r="WT2" s="21"/>
      <c r="WU2" s="21"/>
      <c r="WV2" s="21"/>
      <c r="WW2" s="21"/>
      <c r="WX2" s="21"/>
      <c r="WY2" s="21"/>
      <c r="WZ2" s="21"/>
      <c r="XA2" s="21"/>
      <c r="XB2" s="21"/>
      <c r="XC2" s="21"/>
      <c r="XD2" s="21"/>
      <c r="XE2" s="21"/>
      <c r="XF2" s="21"/>
      <c r="XG2" s="21"/>
      <c r="XH2" s="21"/>
      <c r="XI2" s="21"/>
      <c r="XJ2" s="21"/>
      <c r="XK2" s="21"/>
      <c r="XL2" s="21"/>
      <c r="XM2" s="21"/>
      <c r="XN2" s="21"/>
      <c r="XO2" s="21"/>
      <c r="XP2" s="21"/>
      <c r="XQ2" s="21"/>
      <c r="XR2" s="21"/>
      <c r="XS2" s="21"/>
      <c r="XT2" s="21"/>
      <c r="XU2" s="21"/>
      <c r="XV2" s="21"/>
      <c r="XW2" s="21"/>
      <c r="XX2" s="21"/>
      <c r="XY2" s="21"/>
      <c r="XZ2" s="21"/>
      <c r="YA2" s="21"/>
      <c r="YB2" s="21"/>
      <c r="YC2" s="21"/>
      <c r="YD2" s="21"/>
      <c r="YE2" s="21"/>
      <c r="YF2" s="21"/>
      <c r="YG2" s="21"/>
      <c r="YH2" s="21"/>
      <c r="YI2" s="21"/>
      <c r="YJ2" s="21"/>
      <c r="YK2" s="21"/>
      <c r="YL2" s="21"/>
      <c r="YM2" s="21"/>
      <c r="YN2" s="21"/>
      <c r="YO2" s="21"/>
      <c r="YP2" s="21"/>
      <c r="YQ2" s="21"/>
      <c r="YR2" s="21"/>
      <c r="YS2" s="21"/>
    </row>
    <row r="3" spans="1:669" s="25" customFormat="1" ht="15.95" customHeight="1" thickBot="1" x14ac:dyDescent="0.3">
      <c r="A3" s="273"/>
      <c r="B3" s="253"/>
      <c r="C3" s="273"/>
      <c r="D3" s="273"/>
      <c r="E3" s="146"/>
      <c r="F3" s="146"/>
      <c r="G3" s="146"/>
      <c r="H3" s="146"/>
      <c r="I3" s="268"/>
      <c r="J3" s="271"/>
      <c r="K3" s="276"/>
      <c r="L3" s="23"/>
      <c r="M3" s="23"/>
      <c r="N3" s="23"/>
      <c r="O3" s="23"/>
      <c r="P3" s="23"/>
      <c r="Q3" s="23"/>
      <c r="R3" s="23"/>
      <c r="S3" s="23"/>
      <c r="T3" s="23"/>
      <c r="U3" s="23"/>
      <c r="V3" s="71">
        <v>41638</v>
      </c>
      <c r="W3" s="72">
        <f>V3+1</f>
        <v>41639</v>
      </c>
      <c r="X3" s="72">
        <f>W3+1</f>
        <v>41640</v>
      </c>
      <c r="Y3" s="73">
        <f>X3+1</f>
        <v>41641</v>
      </c>
      <c r="Z3" s="74">
        <f>Y3+1</f>
        <v>41642</v>
      </c>
      <c r="AA3" s="75">
        <f>Z3+3</f>
        <v>41645</v>
      </c>
      <c r="AB3" s="76">
        <f>AA3+1</f>
        <v>41646</v>
      </c>
      <c r="AC3" s="76">
        <f>AB3+1</f>
        <v>41647</v>
      </c>
      <c r="AD3" s="76">
        <f>AC3+1</f>
        <v>41648</v>
      </c>
      <c r="AE3" s="74">
        <f>AD3+1</f>
        <v>41649</v>
      </c>
      <c r="AF3" s="77">
        <f>AE3+3</f>
        <v>41652</v>
      </c>
      <c r="AG3" s="78">
        <f>AF3+1</f>
        <v>41653</v>
      </c>
      <c r="AH3" s="78">
        <f>AG3+1</f>
        <v>41654</v>
      </c>
      <c r="AI3" s="78">
        <f>AH3+1</f>
        <v>41655</v>
      </c>
      <c r="AJ3" s="79">
        <f>AI3+1</f>
        <v>41656</v>
      </c>
      <c r="AK3" s="77">
        <f>AJ3+3</f>
        <v>41659</v>
      </c>
      <c r="AL3" s="78">
        <f>AK3+1</f>
        <v>41660</v>
      </c>
      <c r="AM3" s="78">
        <f>AL3+1</f>
        <v>41661</v>
      </c>
      <c r="AN3" s="78">
        <f>AM3+1</f>
        <v>41662</v>
      </c>
      <c r="AO3" s="79">
        <f>AN3+1</f>
        <v>41663</v>
      </c>
      <c r="AP3" s="77">
        <f>AO3+3</f>
        <v>41666</v>
      </c>
      <c r="AQ3" s="78">
        <f>AP3+1</f>
        <v>41667</v>
      </c>
      <c r="AR3" s="78">
        <f>AQ3+1</f>
        <v>41668</v>
      </c>
      <c r="AS3" s="78">
        <f>AR3+1</f>
        <v>41669</v>
      </c>
      <c r="AT3" s="79">
        <f>AS3+1</f>
        <v>41670</v>
      </c>
      <c r="AU3" s="77">
        <f>AT3+3</f>
        <v>41673</v>
      </c>
      <c r="AV3" s="78">
        <f>AU3+1</f>
        <v>41674</v>
      </c>
      <c r="AW3" s="78">
        <f>AV3+1</f>
        <v>41675</v>
      </c>
      <c r="AX3" s="78">
        <f>AW3+1</f>
        <v>41676</v>
      </c>
      <c r="AY3" s="79">
        <f>AX3+1</f>
        <v>41677</v>
      </c>
      <c r="AZ3" s="77">
        <f>AY3+3</f>
        <v>41680</v>
      </c>
      <c r="BA3" s="78">
        <f>AZ3+1</f>
        <v>41681</v>
      </c>
      <c r="BB3" s="78">
        <f>BA3+1</f>
        <v>41682</v>
      </c>
      <c r="BC3" s="78">
        <f>BB3+1</f>
        <v>41683</v>
      </c>
      <c r="BD3" s="79">
        <f>BC3+1</f>
        <v>41684</v>
      </c>
      <c r="BE3" s="77">
        <f>BD3+3</f>
        <v>41687</v>
      </c>
      <c r="BF3" s="78">
        <f>BE3+1</f>
        <v>41688</v>
      </c>
      <c r="BG3" s="78">
        <f>BF3+1</f>
        <v>41689</v>
      </c>
      <c r="BH3" s="78">
        <f>BG3+1</f>
        <v>41690</v>
      </c>
      <c r="BI3" s="79">
        <f>BH3+1</f>
        <v>41691</v>
      </c>
      <c r="BJ3" s="77">
        <f>BI3+3</f>
        <v>41694</v>
      </c>
      <c r="BK3" s="78">
        <f>BJ3+1</f>
        <v>41695</v>
      </c>
      <c r="BL3" s="78">
        <f>BK3+1</f>
        <v>41696</v>
      </c>
      <c r="BM3" s="78">
        <f>BL3+1</f>
        <v>41697</v>
      </c>
      <c r="BN3" s="79">
        <f>BM3+1</f>
        <v>41698</v>
      </c>
      <c r="BO3" s="77">
        <f>BN3+3</f>
        <v>41701</v>
      </c>
      <c r="BP3" s="78">
        <f>BO3+1</f>
        <v>41702</v>
      </c>
      <c r="BQ3" s="78">
        <f>BP3+1</f>
        <v>41703</v>
      </c>
      <c r="BR3" s="78">
        <f>BQ3+1</f>
        <v>41704</v>
      </c>
      <c r="BS3" s="79">
        <f>BR3+1</f>
        <v>41705</v>
      </c>
      <c r="BT3" s="77">
        <f>BS3+3</f>
        <v>41708</v>
      </c>
      <c r="BU3" s="78">
        <f>BT3+1</f>
        <v>41709</v>
      </c>
      <c r="BV3" s="78">
        <f>BU3+1</f>
        <v>41710</v>
      </c>
      <c r="BW3" s="78">
        <f>BV3+1</f>
        <v>41711</v>
      </c>
      <c r="BX3" s="79">
        <f>BW3+1</f>
        <v>41712</v>
      </c>
      <c r="BY3" s="77">
        <f>BX3+3</f>
        <v>41715</v>
      </c>
      <c r="BZ3" s="78">
        <f>BY3+1</f>
        <v>41716</v>
      </c>
      <c r="CA3" s="78">
        <f>BZ3+1</f>
        <v>41717</v>
      </c>
      <c r="CB3" s="78">
        <f>CA3+1</f>
        <v>41718</v>
      </c>
      <c r="CC3" s="79">
        <f>CB3+1</f>
        <v>41719</v>
      </c>
      <c r="CD3" s="77">
        <f>CC3+3</f>
        <v>41722</v>
      </c>
      <c r="CE3" s="78">
        <f>CD3+1</f>
        <v>41723</v>
      </c>
      <c r="CF3" s="78">
        <f>CE3+1</f>
        <v>41724</v>
      </c>
      <c r="CG3" s="78">
        <f>CF3+1</f>
        <v>41725</v>
      </c>
      <c r="CH3" s="79">
        <f>CG3+1</f>
        <v>41726</v>
      </c>
      <c r="CI3" s="77">
        <f>CH3+3</f>
        <v>41729</v>
      </c>
      <c r="CJ3" s="78">
        <f>CI3+1</f>
        <v>41730</v>
      </c>
      <c r="CK3" s="78">
        <f>CJ3+1</f>
        <v>41731</v>
      </c>
      <c r="CL3" s="78">
        <f>CK3+1</f>
        <v>41732</v>
      </c>
      <c r="CM3" s="79">
        <f>CL3+1</f>
        <v>41733</v>
      </c>
      <c r="CN3" s="77">
        <f>CM3+3</f>
        <v>41736</v>
      </c>
      <c r="CO3" s="78">
        <f>CN3+1</f>
        <v>41737</v>
      </c>
      <c r="CP3" s="78">
        <f>CO3+1</f>
        <v>41738</v>
      </c>
      <c r="CQ3" s="78">
        <f>CP3+1</f>
        <v>41739</v>
      </c>
      <c r="CR3" s="79">
        <f>CQ3+1</f>
        <v>41740</v>
      </c>
      <c r="CS3" s="77">
        <f>CR3+3</f>
        <v>41743</v>
      </c>
      <c r="CT3" s="78">
        <f>CS3+1</f>
        <v>41744</v>
      </c>
      <c r="CU3" s="78">
        <f>CT3+1</f>
        <v>41745</v>
      </c>
      <c r="CV3" s="78">
        <f>CU3+1</f>
        <v>41746</v>
      </c>
      <c r="CW3" s="79">
        <f>CV3+1</f>
        <v>41747</v>
      </c>
      <c r="CX3" s="77">
        <f>CW3+3</f>
        <v>41750</v>
      </c>
      <c r="CY3" s="78">
        <f>CX3+1</f>
        <v>41751</v>
      </c>
      <c r="CZ3" s="78">
        <f>CY3+1</f>
        <v>41752</v>
      </c>
      <c r="DA3" s="78">
        <f>CZ3+1</f>
        <v>41753</v>
      </c>
      <c r="DB3" s="79">
        <f>DA3+1</f>
        <v>41754</v>
      </c>
      <c r="DC3" s="77">
        <f>DB3+3</f>
        <v>41757</v>
      </c>
      <c r="DD3" s="78">
        <f>DC3+1</f>
        <v>41758</v>
      </c>
      <c r="DE3" s="78">
        <f>DD3+1</f>
        <v>41759</v>
      </c>
      <c r="DF3" s="78">
        <f>DE3+1</f>
        <v>41760</v>
      </c>
      <c r="DG3" s="79">
        <f>DF3+1</f>
        <v>41761</v>
      </c>
      <c r="DH3" s="77">
        <f>DG3+3</f>
        <v>41764</v>
      </c>
      <c r="DI3" s="78">
        <f>DH3+1</f>
        <v>41765</v>
      </c>
      <c r="DJ3" s="78">
        <f>DI3+1</f>
        <v>41766</v>
      </c>
      <c r="DK3" s="78">
        <f>DJ3+1</f>
        <v>41767</v>
      </c>
      <c r="DL3" s="79">
        <f>DK3+1</f>
        <v>41768</v>
      </c>
      <c r="DM3" s="77">
        <f>DL3+3</f>
        <v>41771</v>
      </c>
      <c r="DN3" s="78">
        <f>DM3+1</f>
        <v>41772</v>
      </c>
      <c r="DO3" s="78">
        <f>DN3+1</f>
        <v>41773</v>
      </c>
      <c r="DP3" s="78">
        <f>DO3+1</f>
        <v>41774</v>
      </c>
      <c r="DQ3" s="79">
        <f>DP3+1</f>
        <v>41775</v>
      </c>
      <c r="DR3" s="77">
        <f>DQ3+3</f>
        <v>41778</v>
      </c>
      <c r="DS3" s="78">
        <f>DR3+1</f>
        <v>41779</v>
      </c>
      <c r="DT3" s="78">
        <f>DS3+1</f>
        <v>41780</v>
      </c>
      <c r="DU3" s="78">
        <f>DT3+1</f>
        <v>41781</v>
      </c>
      <c r="DV3" s="79">
        <f>DU3+1</f>
        <v>41782</v>
      </c>
      <c r="DW3" s="77">
        <f>DV3+3</f>
        <v>41785</v>
      </c>
      <c r="DX3" s="78">
        <f>DW3+1</f>
        <v>41786</v>
      </c>
      <c r="DY3" s="78">
        <f>DX3+1</f>
        <v>41787</v>
      </c>
      <c r="DZ3" s="78">
        <f>DY3+1</f>
        <v>41788</v>
      </c>
      <c r="EA3" s="79">
        <f>DZ3+1</f>
        <v>41789</v>
      </c>
      <c r="EB3" s="77">
        <f>EA3+3</f>
        <v>41792</v>
      </c>
      <c r="EC3" s="78">
        <f>EB3+1</f>
        <v>41793</v>
      </c>
      <c r="ED3" s="78">
        <f>EC3+1</f>
        <v>41794</v>
      </c>
      <c r="EE3" s="78">
        <f>ED3+1</f>
        <v>41795</v>
      </c>
      <c r="EF3" s="79">
        <f>EE3+1</f>
        <v>41796</v>
      </c>
      <c r="EG3" s="77">
        <f>EF3+3</f>
        <v>41799</v>
      </c>
      <c r="EH3" s="78">
        <f>EG3+1</f>
        <v>41800</v>
      </c>
      <c r="EI3" s="78">
        <f>EH3+1</f>
        <v>41801</v>
      </c>
      <c r="EJ3" s="78">
        <f>EI3+1</f>
        <v>41802</v>
      </c>
      <c r="EK3" s="79">
        <f>EJ3+1</f>
        <v>41803</v>
      </c>
      <c r="EL3" s="77">
        <f>EK3+3</f>
        <v>41806</v>
      </c>
      <c r="EM3" s="78">
        <f>EL3+1</f>
        <v>41807</v>
      </c>
      <c r="EN3" s="78">
        <f>EM3+1</f>
        <v>41808</v>
      </c>
      <c r="EO3" s="78">
        <f>EN3+1</f>
        <v>41809</v>
      </c>
      <c r="EP3" s="79">
        <f>EO3+1</f>
        <v>41810</v>
      </c>
      <c r="EQ3" s="77">
        <f>EP3+3</f>
        <v>41813</v>
      </c>
      <c r="ER3" s="78">
        <f>EQ3+1</f>
        <v>41814</v>
      </c>
      <c r="ES3" s="78">
        <f>ER3+1</f>
        <v>41815</v>
      </c>
      <c r="ET3" s="78">
        <f>ES3+1</f>
        <v>41816</v>
      </c>
      <c r="EU3" s="79">
        <f>ET3+1</f>
        <v>41817</v>
      </c>
      <c r="EV3" s="77">
        <f>EU3+3</f>
        <v>41820</v>
      </c>
      <c r="EW3" s="78">
        <f>EV3+1</f>
        <v>41821</v>
      </c>
      <c r="EX3" s="78">
        <f>EW3+1</f>
        <v>41822</v>
      </c>
      <c r="EY3" s="78">
        <f>EX3+1</f>
        <v>41823</v>
      </c>
      <c r="EZ3" s="79">
        <f>EY3+1</f>
        <v>41824</v>
      </c>
      <c r="FA3" s="77">
        <f>EZ3+3</f>
        <v>41827</v>
      </c>
      <c r="FB3" s="78">
        <f>FA3+1</f>
        <v>41828</v>
      </c>
      <c r="FC3" s="78">
        <f>FB3+1</f>
        <v>41829</v>
      </c>
      <c r="FD3" s="78">
        <f>FC3+1</f>
        <v>41830</v>
      </c>
      <c r="FE3" s="79">
        <f>FD3+1</f>
        <v>41831</v>
      </c>
      <c r="FF3" s="77">
        <f>FE3+3</f>
        <v>41834</v>
      </c>
      <c r="FG3" s="78">
        <f>FF3+1</f>
        <v>41835</v>
      </c>
      <c r="FH3" s="78">
        <f>FG3+1</f>
        <v>41836</v>
      </c>
      <c r="FI3" s="78">
        <f>FH3+1</f>
        <v>41837</v>
      </c>
      <c r="FJ3" s="79">
        <f>FI3+1</f>
        <v>41838</v>
      </c>
      <c r="FK3" s="77">
        <f>FJ3+3</f>
        <v>41841</v>
      </c>
      <c r="FL3" s="78">
        <f>FK3+1</f>
        <v>41842</v>
      </c>
      <c r="FM3" s="78">
        <f>FL3+1</f>
        <v>41843</v>
      </c>
      <c r="FN3" s="78">
        <f>FM3+1</f>
        <v>41844</v>
      </c>
      <c r="FO3" s="79">
        <f>FN3+1</f>
        <v>41845</v>
      </c>
      <c r="FP3" s="77">
        <f>FO3+3</f>
        <v>41848</v>
      </c>
      <c r="FQ3" s="78">
        <f>FP3+1</f>
        <v>41849</v>
      </c>
      <c r="FR3" s="78">
        <f>FQ3+1</f>
        <v>41850</v>
      </c>
      <c r="FS3" s="78">
        <f>FR3+1</f>
        <v>41851</v>
      </c>
      <c r="FT3" s="79">
        <f>FS3+1</f>
        <v>41852</v>
      </c>
      <c r="FU3" s="77">
        <f>FT3+3</f>
        <v>41855</v>
      </c>
      <c r="FV3" s="78">
        <f>FU3+1</f>
        <v>41856</v>
      </c>
      <c r="FW3" s="78">
        <f>FV3+1</f>
        <v>41857</v>
      </c>
      <c r="FX3" s="78">
        <f>FW3+1</f>
        <v>41858</v>
      </c>
      <c r="FY3" s="79">
        <f>FX3+1</f>
        <v>41859</v>
      </c>
      <c r="FZ3" s="77">
        <f>FY3+3</f>
        <v>41862</v>
      </c>
      <c r="GA3" s="78">
        <f>FZ3+1</f>
        <v>41863</v>
      </c>
      <c r="GB3" s="78">
        <f>GA3+1</f>
        <v>41864</v>
      </c>
      <c r="GC3" s="78">
        <f>GB3+1</f>
        <v>41865</v>
      </c>
      <c r="GD3" s="79">
        <f>GC3+1</f>
        <v>41866</v>
      </c>
      <c r="GE3" s="77">
        <f>GD3+3</f>
        <v>41869</v>
      </c>
      <c r="GF3" s="78">
        <f>GE3+1</f>
        <v>41870</v>
      </c>
      <c r="GG3" s="78">
        <f>GF3+1</f>
        <v>41871</v>
      </c>
      <c r="GH3" s="78">
        <f>GG3+1</f>
        <v>41872</v>
      </c>
      <c r="GI3" s="79">
        <f>GH3+1</f>
        <v>41873</v>
      </c>
      <c r="GJ3" s="77">
        <f>GI3+3</f>
        <v>41876</v>
      </c>
      <c r="GK3" s="78">
        <f>GJ3+1</f>
        <v>41877</v>
      </c>
      <c r="GL3" s="78">
        <f>GK3+1</f>
        <v>41878</v>
      </c>
      <c r="GM3" s="78">
        <f>GL3+1</f>
        <v>41879</v>
      </c>
      <c r="GN3" s="79">
        <f>GM3+1</f>
        <v>41880</v>
      </c>
      <c r="GO3" s="77">
        <f>GN3+3</f>
        <v>41883</v>
      </c>
      <c r="GP3" s="78">
        <f>GO3+1</f>
        <v>41884</v>
      </c>
      <c r="GQ3" s="78">
        <f>GP3+1</f>
        <v>41885</v>
      </c>
      <c r="GR3" s="78">
        <f>GQ3+1</f>
        <v>41886</v>
      </c>
      <c r="GS3" s="79">
        <f>GR3+1</f>
        <v>41887</v>
      </c>
      <c r="GT3" s="77">
        <f>GS3+3</f>
        <v>41890</v>
      </c>
      <c r="GU3" s="78">
        <f>GT3+1</f>
        <v>41891</v>
      </c>
      <c r="GV3" s="78">
        <f>GU3+1</f>
        <v>41892</v>
      </c>
      <c r="GW3" s="78">
        <f>GV3+1</f>
        <v>41893</v>
      </c>
      <c r="GX3" s="79">
        <f>GW3+1</f>
        <v>41894</v>
      </c>
      <c r="GY3" s="77">
        <f>GX3+3</f>
        <v>41897</v>
      </c>
      <c r="GZ3" s="78">
        <f>GY3+1</f>
        <v>41898</v>
      </c>
      <c r="HA3" s="78">
        <f>GZ3+1</f>
        <v>41899</v>
      </c>
      <c r="HB3" s="78">
        <f>HA3+1</f>
        <v>41900</v>
      </c>
      <c r="HC3" s="79">
        <f>HB3+1</f>
        <v>41901</v>
      </c>
      <c r="HD3" s="77">
        <f>HC3+3</f>
        <v>41904</v>
      </c>
      <c r="HE3" s="78">
        <f>HD3+1</f>
        <v>41905</v>
      </c>
      <c r="HF3" s="78">
        <f>HE3+1</f>
        <v>41906</v>
      </c>
      <c r="HG3" s="78">
        <f>HF3+1</f>
        <v>41907</v>
      </c>
      <c r="HH3" s="79">
        <f>HG3+1</f>
        <v>41908</v>
      </c>
      <c r="HI3" s="77">
        <f>HH3+3</f>
        <v>41911</v>
      </c>
      <c r="HJ3" s="78">
        <f>HI3+1</f>
        <v>41912</v>
      </c>
      <c r="HK3" s="78">
        <f>HJ3+1</f>
        <v>41913</v>
      </c>
      <c r="HL3" s="78">
        <f>HK3+1</f>
        <v>41914</v>
      </c>
      <c r="HM3" s="79">
        <f>HL3+1</f>
        <v>41915</v>
      </c>
      <c r="HN3" s="77">
        <f>HM3+3</f>
        <v>41918</v>
      </c>
      <c r="HO3" s="78">
        <f>HN3+1</f>
        <v>41919</v>
      </c>
      <c r="HP3" s="78">
        <f>HO3+1</f>
        <v>41920</v>
      </c>
      <c r="HQ3" s="78">
        <f>HP3+1</f>
        <v>41921</v>
      </c>
      <c r="HR3" s="79">
        <f>HQ3+1</f>
        <v>41922</v>
      </c>
      <c r="HS3" s="77">
        <f>HR3+3</f>
        <v>41925</v>
      </c>
      <c r="HT3" s="78">
        <f>HS3+1</f>
        <v>41926</v>
      </c>
      <c r="HU3" s="78">
        <f>HT3+1</f>
        <v>41927</v>
      </c>
      <c r="HV3" s="78">
        <f>HU3+1</f>
        <v>41928</v>
      </c>
      <c r="HW3" s="79">
        <f>HV3+1</f>
        <v>41929</v>
      </c>
      <c r="HX3" s="77">
        <f>HW3+3</f>
        <v>41932</v>
      </c>
      <c r="HY3" s="78">
        <f>HX3+1</f>
        <v>41933</v>
      </c>
      <c r="HZ3" s="78">
        <f>HY3+1</f>
        <v>41934</v>
      </c>
      <c r="IA3" s="78">
        <f>HZ3+1</f>
        <v>41935</v>
      </c>
      <c r="IB3" s="79">
        <f>IA3+1</f>
        <v>41936</v>
      </c>
      <c r="IC3" s="77">
        <f>IB3+3</f>
        <v>41939</v>
      </c>
      <c r="ID3" s="78">
        <f>IC3+1</f>
        <v>41940</v>
      </c>
      <c r="IE3" s="78">
        <f>ID3+1</f>
        <v>41941</v>
      </c>
      <c r="IF3" s="78">
        <f>IE3+1</f>
        <v>41942</v>
      </c>
      <c r="IG3" s="79">
        <f>IF3+1</f>
        <v>41943</v>
      </c>
      <c r="IH3" s="77">
        <f>IG3+3</f>
        <v>41946</v>
      </c>
      <c r="II3" s="78">
        <f>IH3+1</f>
        <v>41947</v>
      </c>
      <c r="IJ3" s="78">
        <f>II3+1</f>
        <v>41948</v>
      </c>
      <c r="IK3" s="78">
        <f>IJ3+1</f>
        <v>41949</v>
      </c>
      <c r="IL3" s="79">
        <f>IK3+1</f>
        <v>41950</v>
      </c>
      <c r="IM3" s="77">
        <f>IL3+3</f>
        <v>41953</v>
      </c>
      <c r="IN3" s="78">
        <f>IM3+1</f>
        <v>41954</v>
      </c>
      <c r="IO3" s="78">
        <f>IN3+1</f>
        <v>41955</v>
      </c>
      <c r="IP3" s="78">
        <f>IO3+1</f>
        <v>41956</v>
      </c>
      <c r="IQ3" s="79">
        <f>IP3+1</f>
        <v>41957</v>
      </c>
      <c r="IR3" s="77">
        <f>IQ3+3</f>
        <v>41960</v>
      </c>
      <c r="IS3" s="78">
        <f>IR3+1</f>
        <v>41961</v>
      </c>
      <c r="IT3" s="78">
        <f>IS3+1</f>
        <v>41962</v>
      </c>
      <c r="IU3" s="78">
        <f>IT3+1</f>
        <v>41963</v>
      </c>
      <c r="IV3" s="80">
        <f>IU3+1</f>
        <v>41964</v>
      </c>
      <c r="IW3" s="77">
        <f t="shared" ref="IW3" si="6">IV3+3</f>
        <v>41967</v>
      </c>
      <c r="IX3" s="78">
        <f t="shared" ref="IX3:JA3" si="7">IW3+1</f>
        <v>41968</v>
      </c>
      <c r="IY3" s="78">
        <f t="shared" si="7"/>
        <v>41969</v>
      </c>
      <c r="IZ3" s="78">
        <f t="shared" si="7"/>
        <v>41970</v>
      </c>
      <c r="JA3" s="78">
        <f t="shared" si="7"/>
        <v>41971</v>
      </c>
      <c r="JB3" s="77">
        <f t="shared" ref="JB3" si="8">JA3+3</f>
        <v>41974</v>
      </c>
      <c r="JC3" s="78">
        <f t="shared" ref="JC3" si="9">JB3+1</f>
        <v>41975</v>
      </c>
      <c r="JD3" s="78">
        <f t="shared" ref="JD3" si="10">JC3+1</f>
        <v>41976</v>
      </c>
      <c r="JE3" s="78">
        <f t="shared" ref="JE3" si="11">JD3+1</f>
        <v>41977</v>
      </c>
      <c r="JF3" s="78">
        <f t="shared" ref="JF3" si="12">JE3+1</f>
        <v>41978</v>
      </c>
      <c r="JG3" s="77">
        <f t="shared" ref="JG3" si="13">JF3+3</f>
        <v>41981</v>
      </c>
      <c r="JH3" s="78">
        <f t="shared" ref="JH3" si="14">JG3+1</f>
        <v>41982</v>
      </c>
      <c r="JI3" s="78">
        <f t="shared" ref="JI3" si="15">JH3+1</f>
        <v>41983</v>
      </c>
      <c r="JJ3" s="78">
        <f t="shared" ref="JJ3" si="16">JI3+1</f>
        <v>41984</v>
      </c>
      <c r="JK3" s="78">
        <f t="shared" ref="JK3" si="17">JJ3+1</f>
        <v>41985</v>
      </c>
      <c r="JL3" s="77">
        <f t="shared" ref="JL3" si="18">JK3+3</f>
        <v>41988</v>
      </c>
      <c r="JM3" s="78">
        <f t="shared" ref="JM3" si="19">JL3+1</f>
        <v>41989</v>
      </c>
      <c r="JN3" s="78">
        <f t="shared" ref="JN3" si="20">JM3+1</f>
        <v>41990</v>
      </c>
      <c r="JO3" s="78">
        <f t="shared" ref="JO3" si="21">JN3+1</f>
        <v>41991</v>
      </c>
      <c r="JP3" s="78">
        <f t="shared" ref="JP3" si="22">JO3+1</f>
        <v>41992</v>
      </c>
      <c r="JQ3" s="77">
        <f t="shared" ref="JQ3" si="23">JP3+3</f>
        <v>41995</v>
      </c>
      <c r="JR3" s="78">
        <f t="shared" ref="JR3" si="24">JQ3+1</f>
        <v>41996</v>
      </c>
      <c r="JS3" s="78">
        <f t="shared" ref="JS3" si="25">JR3+1</f>
        <v>41997</v>
      </c>
      <c r="JT3" s="78">
        <f t="shared" ref="JT3" si="26">JS3+1</f>
        <v>41998</v>
      </c>
      <c r="JU3" s="78">
        <f t="shared" ref="JU3" si="27">JT3+1</f>
        <v>41999</v>
      </c>
      <c r="JV3" s="77">
        <f t="shared" ref="JV3" si="28">JU3+3</f>
        <v>42002</v>
      </c>
      <c r="JW3" s="78">
        <f t="shared" ref="JW3" si="29">JV3+1</f>
        <v>42003</v>
      </c>
      <c r="JX3" s="78">
        <f t="shared" ref="JX3" si="30">JW3+1</f>
        <v>42004</v>
      </c>
      <c r="JY3" s="78">
        <f t="shared" ref="JY3" si="31">JX3+1</f>
        <v>42005</v>
      </c>
      <c r="JZ3" s="78">
        <f t="shared" ref="JZ3" si="32">JY3+1</f>
        <v>42006</v>
      </c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</row>
    <row r="4" spans="1:669" s="37" customFormat="1" ht="15" customHeight="1" x14ac:dyDescent="0.25">
      <c r="A4" s="273"/>
      <c r="B4" s="253"/>
      <c r="C4" s="273"/>
      <c r="D4" s="273"/>
      <c r="E4" s="147"/>
      <c r="F4" s="147"/>
      <c r="G4" s="147"/>
      <c r="H4" s="147"/>
      <c r="I4" s="269"/>
      <c r="J4" s="272"/>
      <c r="K4" s="277"/>
      <c r="L4" s="26"/>
      <c r="M4" s="26"/>
      <c r="N4" s="26"/>
      <c r="O4" s="26"/>
      <c r="P4" s="26"/>
      <c r="Q4" s="26"/>
      <c r="R4" s="26"/>
      <c r="S4" s="26"/>
      <c r="T4" s="26"/>
      <c r="U4" s="26"/>
      <c r="V4" s="27"/>
      <c r="W4" s="28" t="s">
        <v>3</v>
      </c>
      <c r="X4" s="28" t="s">
        <v>4</v>
      </c>
      <c r="Y4" s="28" t="s">
        <v>5</v>
      </c>
      <c r="Z4" s="29" t="s">
        <v>6</v>
      </c>
      <c r="AA4" s="30" t="s">
        <v>2</v>
      </c>
      <c r="AB4" s="31" t="str">
        <f>$W$4</f>
        <v>3ª</v>
      </c>
      <c r="AC4" s="31" t="str">
        <f>$X$4</f>
        <v>4ª</v>
      </c>
      <c r="AD4" s="31" t="str">
        <f>$Y$4</f>
        <v>5ª</v>
      </c>
      <c r="AE4" s="32" t="str">
        <f>$Z$4</f>
        <v>6ª</v>
      </c>
      <c r="AF4" s="33">
        <f>$V$4</f>
        <v>0</v>
      </c>
      <c r="AG4" s="31" t="str">
        <f>$W$4</f>
        <v>3ª</v>
      </c>
      <c r="AH4" s="31" t="str">
        <f>$X$4</f>
        <v>4ª</v>
      </c>
      <c r="AI4" s="31" t="str">
        <f>$Y$4</f>
        <v>5ª</v>
      </c>
      <c r="AJ4" s="32" t="str">
        <f>$Z$4</f>
        <v>6ª</v>
      </c>
      <c r="AK4" s="33">
        <f>$V$4</f>
        <v>0</v>
      </c>
      <c r="AL4" s="31" t="str">
        <f>$W$4</f>
        <v>3ª</v>
      </c>
      <c r="AM4" s="31" t="str">
        <f>$X$4</f>
        <v>4ª</v>
      </c>
      <c r="AN4" s="31" t="str">
        <f>$Y$4</f>
        <v>5ª</v>
      </c>
      <c r="AO4" s="32" t="str">
        <f>$Z$4</f>
        <v>6ª</v>
      </c>
      <c r="AP4" s="33">
        <f>$V$4</f>
        <v>0</v>
      </c>
      <c r="AQ4" s="31" t="str">
        <f>$W$4</f>
        <v>3ª</v>
      </c>
      <c r="AR4" s="31" t="str">
        <f>$X$4</f>
        <v>4ª</v>
      </c>
      <c r="AS4" s="31" t="str">
        <f>$Y$4</f>
        <v>5ª</v>
      </c>
      <c r="AT4" s="32" t="str">
        <f>$Z$4</f>
        <v>6ª</v>
      </c>
      <c r="AU4" s="33">
        <f>$V$4</f>
        <v>0</v>
      </c>
      <c r="AV4" s="31" t="str">
        <f>$W$4</f>
        <v>3ª</v>
      </c>
      <c r="AW4" s="31" t="str">
        <f>$X$4</f>
        <v>4ª</v>
      </c>
      <c r="AX4" s="31" t="str">
        <f>$Y$4</f>
        <v>5ª</v>
      </c>
      <c r="AY4" s="32" t="str">
        <f>$Z$4</f>
        <v>6ª</v>
      </c>
      <c r="AZ4" s="33">
        <f>$V$4</f>
        <v>0</v>
      </c>
      <c r="BA4" s="31" t="str">
        <f>$W$4</f>
        <v>3ª</v>
      </c>
      <c r="BB4" s="31" t="str">
        <f>$X$4</f>
        <v>4ª</v>
      </c>
      <c r="BC4" s="31" t="str">
        <f>$Y$4</f>
        <v>5ª</v>
      </c>
      <c r="BD4" s="32" t="str">
        <f>$Z$4</f>
        <v>6ª</v>
      </c>
      <c r="BE4" s="33">
        <f>$V$4</f>
        <v>0</v>
      </c>
      <c r="BF4" s="31" t="str">
        <f>$W$4</f>
        <v>3ª</v>
      </c>
      <c r="BG4" s="31" t="str">
        <f>$X$4</f>
        <v>4ª</v>
      </c>
      <c r="BH4" s="31" t="str">
        <f>$Y$4</f>
        <v>5ª</v>
      </c>
      <c r="BI4" s="32" t="str">
        <f>$Z$4</f>
        <v>6ª</v>
      </c>
      <c r="BJ4" s="33">
        <f>$V$4</f>
        <v>0</v>
      </c>
      <c r="BK4" s="31" t="str">
        <f>$W$4</f>
        <v>3ª</v>
      </c>
      <c r="BL4" s="31" t="str">
        <f>$X$4</f>
        <v>4ª</v>
      </c>
      <c r="BM4" s="31" t="str">
        <f>$Y$4</f>
        <v>5ª</v>
      </c>
      <c r="BN4" s="32" t="str">
        <f>$Z$4</f>
        <v>6ª</v>
      </c>
      <c r="BO4" s="33">
        <f>$V$4</f>
        <v>0</v>
      </c>
      <c r="BP4" s="31" t="str">
        <f>$W$4</f>
        <v>3ª</v>
      </c>
      <c r="BQ4" s="31" t="str">
        <f>$X$4</f>
        <v>4ª</v>
      </c>
      <c r="BR4" s="31" t="str">
        <f>$Y$4</f>
        <v>5ª</v>
      </c>
      <c r="BS4" s="32" t="str">
        <f>$Z$4</f>
        <v>6ª</v>
      </c>
      <c r="BT4" s="33">
        <f>$V$4</f>
        <v>0</v>
      </c>
      <c r="BU4" s="31" t="str">
        <f>$W$4</f>
        <v>3ª</v>
      </c>
      <c r="BV4" s="31" t="str">
        <f>$X$4</f>
        <v>4ª</v>
      </c>
      <c r="BW4" s="31" t="str">
        <f>$Y$4</f>
        <v>5ª</v>
      </c>
      <c r="BX4" s="32" t="str">
        <f>$Z$4</f>
        <v>6ª</v>
      </c>
      <c r="BY4" s="33">
        <f>$V$4</f>
        <v>0</v>
      </c>
      <c r="BZ4" s="31" t="str">
        <f>$W$4</f>
        <v>3ª</v>
      </c>
      <c r="CA4" s="31" t="str">
        <f>$X$4</f>
        <v>4ª</v>
      </c>
      <c r="CB4" s="31" t="str">
        <f>$Y$4</f>
        <v>5ª</v>
      </c>
      <c r="CC4" s="32" t="str">
        <f>$Z$4</f>
        <v>6ª</v>
      </c>
      <c r="CD4" s="33">
        <f>$V$4</f>
        <v>0</v>
      </c>
      <c r="CE4" s="31" t="str">
        <f>$W$4</f>
        <v>3ª</v>
      </c>
      <c r="CF4" s="31" t="str">
        <f>$X$4</f>
        <v>4ª</v>
      </c>
      <c r="CG4" s="31" t="str">
        <f>$Y$4</f>
        <v>5ª</v>
      </c>
      <c r="CH4" s="32" t="str">
        <f>$Z$4</f>
        <v>6ª</v>
      </c>
      <c r="CI4" s="33">
        <f>$V$4</f>
        <v>0</v>
      </c>
      <c r="CJ4" s="31" t="str">
        <f>$W$4</f>
        <v>3ª</v>
      </c>
      <c r="CK4" s="31" t="str">
        <f>$X$4</f>
        <v>4ª</v>
      </c>
      <c r="CL4" s="31" t="str">
        <f>$Y$4</f>
        <v>5ª</v>
      </c>
      <c r="CM4" s="32" t="str">
        <f>$Z$4</f>
        <v>6ª</v>
      </c>
      <c r="CN4" s="33">
        <f>$V$4</f>
        <v>0</v>
      </c>
      <c r="CO4" s="31" t="str">
        <f>$W$4</f>
        <v>3ª</v>
      </c>
      <c r="CP4" s="31" t="str">
        <f>$X$4</f>
        <v>4ª</v>
      </c>
      <c r="CQ4" s="31" t="str">
        <f>$Y$4</f>
        <v>5ª</v>
      </c>
      <c r="CR4" s="32" t="str">
        <f>$Z$4</f>
        <v>6ª</v>
      </c>
      <c r="CS4" s="33">
        <f>$V$4</f>
        <v>0</v>
      </c>
      <c r="CT4" s="31" t="str">
        <f>$W$4</f>
        <v>3ª</v>
      </c>
      <c r="CU4" s="31" t="str">
        <f>$X$4</f>
        <v>4ª</v>
      </c>
      <c r="CV4" s="31" t="str">
        <f>$Y$4</f>
        <v>5ª</v>
      </c>
      <c r="CW4" s="32" t="str">
        <f>$Z$4</f>
        <v>6ª</v>
      </c>
      <c r="CX4" s="33">
        <f>$V$4</f>
        <v>0</v>
      </c>
      <c r="CY4" s="31" t="str">
        <f>$W$4</f>
        <v>3ª</v>
      </c>
      <c r="CZ4" s="31" t="str">
        <f>$X$4</f>
        <v>4ª</v>
      </c>
      <c r="DA4" s="31" t="str">
        <f>$Y$4</f>
        <v>5ª</v>
      </c>
      <c r="DB4" s="32" t="str">
        <f>$Z$4</f>
        <v>6ª</v>
      </c>
      <c r="DC4" s="33">
        <f>$V$4</f>
        <v>0</v>
      </c>
      <c r="DD4" s="31" t="str">
        <f>$W$4</f>
        <v>3ª</v>
      </c>
      <c r="DE4" s="31" t="str">
        <f>$X$4</f>
        <v>4ª</v>
      </c>
      <c r="DF4" s="31" t="str">
        <f>$Y$4</f>
        <v>5ª</v>
      </c>
      <c r="DG4" s="32" t="str">
        <f>$Z$4</f>
        <v>6ª</v>
      </c>
      <c r="DH4" s="33">
        <f>$V$4</f>
        <v>0</v>
      </c>
      <c r="DI4" s="31" t="str">
        <f>$W$4</f>
        <v>3ª</v>
      </c>
      <c r="DJ4" s="31" t="str">
        <f>$X$4</f>
        <v>4ª</v>
      </c>
      <c r="DK4" s="31" t="str">
        <f>$Y$4</f>
        <v>5ª</v>
      </c>
      <c r="DL4" s="32" t="str">
        <f>$Z$4</f>
        <v>6ª</v>
      </c>
      <c r="DM4" s="33">
        <f>$V$4</f>
        <v>0</v>
      </c>
      <c r="DN4" s="31" t="str">
        <f>$W$4</f>
        <v>3ª</v>
      </c>
      <c r="DO4" s="31" t="str">
        <f>$X$4</f>
        <v>4ª</v>
      </c>
      <c r="DP4" s="31" t="str">
        <f>$Y$4</f>
        <v>5ª</v>
      </c>
      <c r="DQ4" s="32" t="str">
        <f>$Z$4</f>
        <v>6ª</v>
      </c>
      <c r="DR4" s="33">
        <f>$V$4</f>
        <v>0</v>
      </c>
      <c r="DS4" s="31" t="str">
        <f>$W$4</f>
        <v>3ª</v>
      </c>
      <c r="DT4" s="31" t="str">
        <f>$X$4</f>
        <v>4ª</v>
      </c>
      <c r="DU4" s="31" t="str">
        <f>$Y$4</f>
        <v>5ª</v>
      </c>
      <c r="DV4" s="32" t="str">
        <f>$Z$4</f>
        <v>6ª</v>
      </c>
      <c r="DW4" s="33">
        <f>$V$4</f>
        <v>0</v>
      </c>
      <c r="DX4" s="31" t="str">
        <f>$W$4</f>
        <v>3ª</v>
      </c>
      <c r="DY4" s="31" t="str">
        <f>$X$4</f>
        <v>4ª</v>
      </c>
      <c r="DZ4" s="31" t="str">
        <f>$Y$4</f>
        <v>5ª</v>
      </c>
      <c r="EA4" s="32" t="str">
        <f>$Z$4</f>
        <v>6ª</v>
      </c>
      <c r="EB4" s="33">
        <f>$V$4</f>
        <v>0</v>
      </c>
      <c r="EC4" s="31" t="str">
        <f>$W$4</f>
        <v>3ª</v>
      </c>
      <c r="ED4" s="31" t="str">
        <f>$X$4</f>
        <v>4ª</v>
      </c>
      <c r="EE4" s="31" t="str">
        <f>$Y$4</f>
        <v>5ª</v>
      </c>
      <c r="EF4" s="32" t="str">
        <f>$Z$4</f>
        <v>6ª</v>
      </c>
      <c r="EG4" s="33">
        <f>$V$4</f>
        <v>0</v>
      </c>
      <c r="EH4" s="31" t="str">
        <f>$W$4</f>
        <v>3ª</v>
      </c>
      <c r="EI4" s="31" t="str">
        <f>$X$4</f>
        <v>4ª</v>
      </c>
      <c r="EJ4" s="31" t="str">
        <f>$Y$4</f>
        <v>5ª</v>
      </c>
      <c r="EK4" s="32" t="str">
        <f>$Z$4</f>
        <v>6ª</v>
      </c>
      <c r="EL4" s="33">
        <f>$V$4</f>
        <v>0</v>
      </c>
      <c r="EM4" s="31" t="str">
        <f>$W$4</f>
        <v>3ª</v>
      </c>
      <c r="EN4" s="31" t="str">
        <f>$X$4</f>
        <v>4ª</v>
      </c>
      <c r="EO4" s="31" t="str">
        <f>$Y$4</f>
        <v>5ª</v>
      </c>
      <c r="EP4" s="32" t="str">
        <f>$Z$4</f>
        <v>6ª</v>
      </c>
      <c r="EQ4" s="33">
        <f>$V$4</f>
        <v>0</v>
      </c>
      <c r="ER4" s="31" t="str">
        <f>$W$4</f>
        <v>3ª</v>
      </c>
      <c r="ES4" s="31" t="str">
        <f>$X$4</f>
        <v>4ª</v>
      </c>
      <c r="ET4" s="31" t="str">
        <f>$Y$4</f>
        <v>5ª</v>
      </c>
      <c r="EU4" s="32" t="str">
        <f>$Z$4</f>
        <v>6ª</v>
      </c>
      <c r="EV4" s="33">
        <f>$V$4</f>
        <v>0</v>
      </c>
      <c r="EW4" s="31" t="str">
        <f>$W$4</f>
        <v>3ª</v>
      </c>
      <c r="EX4" s="31" t="str">
        <f>$X$4</f>
        <v>4ª</v>
      </c>
      <c r="EY4" s="31" t="str">
        <f>$Y$4</f>
        <v>5ª</v>
      </c>
      <c r="EZ4" s="32" t="str">
        <f>$Z$4</f>
        <v>6ª</v>
      </c>
      <c r="FA4" s="33">
        <f>$V$4</f>
        <v>0</v>
      </c>
      <c r="FB4" s="31" t="str">
        <f>$W$4</f>
        <v>3ª</v>
      </c>
      <c r="FC4" s="31" t="str">
        <f>$X$4</f>
        <v>4ª</v>
      </c>
      <c r="FD4" s="31" t="str">
        <f>$Y$4</f>
        <v>5ª</v>
      </c>
      <c r="FE4" s="32" t="str">
        <f>$Z$4</f>
        <v>6ª</v>
      </c>
      <c r="FF4" s="33">
        <f>$V$4</f>
        <v>0</v>
      </c>
      <c r="FG4" s="31" t="str">
        <f>$W$4</f>
        <v>3ª</v>
      </c>
      <c r="FH4" s="31" t="str">
        <f>$X$4</f>
        <v>4ª</v>
      </c>
      <c r="FI4" s="31" t="str">
        <f>$Y$4</f>
        <v>5ª</v>
      </c>
      <c r="FJ4" s="32" t="str">
        <f>$Z$4</f>
        <v>6ª</v>
      </c>
      <c r="FK4" s="33">
        <f>$V$4</f>
        <v>0</v>
      </c>
      <c r="FL4" s="31" t="str">
        <f>$W$4</f>
        <v>3ª</v>
      </c>
      <c r="FM4" s="31" t="str">
        <f>$X$4</f>
        <v>4ª</v>
      </c>
      <c r="FN4" s="31" t="str">
        <f>$Y$4</f>
        <v>5ª</v>
      </c>
      <c r="FO4" s="32" t="str">
        <f>$Z$4</f>
        <v>6ª</v>
      </c>
      <c r="FP4" s="33">
        <f>$V$4</f>
        <v>0</v>
      </c>
      <c r="FQ4" s="31" t="str">
        <f>$W$4</f>
        <v>3ª</v>
      </c>
      <c r="FR4" s="31" t="str">
        <f>$X$4</f>
        <v>4ª</v>
      </c>
      <c r="FS4" s="31" t="str">
        <f>$Y$4</f>
        <v>5ª</v>
      </c>
      <c r="FT4" s="32" t="str">
        <f>$Z$4</f>
        <v>6ª</v>
      </c>
      <c r="FU4" s="33">
        <f>$V$4</f>
        <v>0</v>
      </c>
      <c r="FV4" s="31" t="str">
        <f>$W$4</f>
        <v>3ª</v>
      </c>
      <c r="FW4" s="31" t="str">
        <f>$X$4</f>
        <v>4ª</v>
      </c>
      <c r="FX4" s="31" t="str">
        <f>$Y$4</f>
        <v>5ª</v>
      </c>
      <c r="FY4" s="32" t="str">
        <f>$Z$4</f>
        <v>6ª</v>
      </c>
      <c r="FZ4" s="33">
        <f>$V$4</f>
        <v>0</v>
      </c>
      <c r="GA4" s="31" t="str">
        <f>$W$4</f>
        <v>3ª</v>
      </c>
      <c r="GB4" s="31" t="str">
        <f>$X$4</f>
        <v>4ª</v>
      </c>
      <c r="GC4" s="31" t="str">
        <f>$Y$4</f>
        <v>5ª</v>
      </c>
      <c r="GD4" s="32" t="str">
        <f>$Z$4</f>
        <v>6ª</v>
      </c>
      <c r="GE4" s="33">
        <f>$V$4</f>
        <v>0</v>
      </c>
      <c r="GF4" s="31" t="str">
        <f>$W$4</f>
        <v>3ª</v>
      </c>
      <c r="GG4" s="31" t="str">
        <f>$X$4</f>
        <v>4ª</v>
      </c>
      <c r="GH4" s="31" t="str">
        <f>$Y$4</f>
        <v>5ª</v>
      </c>
      <c r="GI4" s="32" t="str">
        <f>$Z$4</f>
        <v>6ª</v>
      </c>
      <c r="GJ4" s="33">
        <f>$V$4</f>
        <v>0</v>
      </c>
      <c r="GK4" s="31" t="str">
        <f>$W$4</f>
        <v>3ª</v>
      </c>
      <c r="GL4" s="31" t="str">
        <f>$X$4</f>
        <v>4ª</v>
      </c>
      <c r="GM4" s="31" t="str">
        <f>$Y$4</f>
        <v>5ª</v>
      </c>
      <c r="GN4" s="32" t="str">
        <f>$Z$4</f>
        <v>6ª</v>
      </c>
      <c r="GO4" s="33">
        <f>$V$4</f>
        <v>0</v>
      </c>
      <c r="GP4" s="31" t="str">
        <f>$W$4</f>
        <v>3ª</v>
      </c>
      <c r="GQ4" s="31" t="str">
        <f>$X$4</f>
        <v>4ª</v>
      </c>
      <c r="GR4" s="31" t="str">
        <f>$Y$4</f>
        <v>5ª</v>
      </c>
      <c r="GS4" s="32" t="str">
        <f>$Z$4</f>
        <v>6ª</v>
      </c>
      <c r="GT4" s="33">
        <f>$V$4</f>
        <v>0</v>
      </c>
      <c r="GU4" s="31" t="str">
        <f>$W$4</f>
        <v>3ª</v>
      </c>
      <c r="GV4" s="31" t="str">
        <f>$X$4</f>
        <v>4ª</v>
      </c>
      <c r="GW4" s="31" t="str">
        <f>$Y$4</f>
        <v>5ª</v>
      </c>
      <c r="GX4" s="32" t="str">
        <f>$Z$4</f>
        <v>6ª</v>
      </c>
      <c r="GY4" s="33">
        <f>$V$4</f>
        <v>0</v>
      </c>
      <c r="GZ4" s="31" t="str">
        <f>$W$4</f>
        <v>3ª</v>
      </c>
      <c r="HA4" s="31" t="str">
        <f>$X$4</f>
        <v>4ª</v>
      </c>
      <c r="HB4" s="31" t="str">
        <f>$Y$4</f>
        <v>5ª</v>
      </c>
      <c r="HC4" s="32" t="str">
        <f>$Z$4</f>
        <v>6ª</v>
      </c>
      <c r="HD4" s="33">
        <f>$V$4</f>
        <v>0</v>
      </c>
      <c r="HE4" s="31" t="str">
        <f>$W$4</f>
        <v>3ª</v>
      </c>
      <c r="HF4" s="31" t="str">
        <f>$X$4</f>
        <v>4ª</v>
      </c>
      <c r="HG4" s="31" t="str">
        <f>$Y$4</f>
        <v>5ª</v>
      </c>
      <c r="HH4" s="32" t="str">
        <f>$Z$4</f>
        <v>6ª</v>
      </c>
      <c r="HI4" s="33">
        <f>$V$4</f>
        <v>0</v>
      </c>
      <c r="HJ4" s="31" t="str">
        <f>$W$4</f>
        <v>3ª</v>
      </c>
      <c r="HK4" s="31" t="str">
        <f>$X$4</f>
        <v>4ª</v>
      </c>
      <c r="HL4" s="31" t="str">
        <f>$Y$4</f>
        <v>5ª</v>
      </c>
      <c r="HM4" s="32" t="str">
        <f>$Z$4</f>
        <v>6ª</v>
      </c>
      <c r="HN4" s="33">
        <f>$V$4</f>
        <v>0</v>
      </c>
      <c r="HO4" s="31" t="str">
        <f>$W$4</f>
        <v>3ª</v>
      </c>
      <c r="HP4" s="31" t="str">
        <f>$X$4</f>
        <v>4ª</v>
      </c>
      <c r="HQ4" s="31" t="str">
        <f>$Y$4</f>
        <v>5ª</v>
      </c>
      <c r="HR4" s="32" t="str">
        <f>$Z$4</f>
        <v>6ª</v>
      </c>
      <c r="HS4" s="33">
        <f>$V$4</f>
        <v>0</v>
      </c>
      <c r="HT4" s="31" t="str">
        <f>$W$4</f>
        <v>3ª</v>
      </c>
      <c r="HU4" s="31" t="str">
        <f>$X$4</f>
        <v>4ª</v>
      </c>
      <c r="HV4" s="31" t="str">
        <f>$Y$4</f>
        <v>5ª</v>
      </c>
      <c r="HW4" s="32" t="str">
        <f>$Z$4</f>
        <v>6ª</v>
      </c>
      <c r="HX4" s="33">
        <f>$V$4</f>
        <v>0</v>
      </c>
      <c r="HY4" s="31" t="str">
        <f>$W$4</f>
        <v>3ª</v>
      </c>
      <c r="HZ4" s="31" t="str">
        <f>$X$4</f>
        <v>4ª</v>
      </c>
      <c r="IA4" s="31" t="str">
        <f>$Y$4</f>
        <v>5ª</v>
      </c>
      <c r="IB4" s="32" t="str">
        <f>$Z$4</f>
        <v>6ª</v>
      </c>
      <c r="IC4" s="33">
        <f>$V$4</f>
        <v>0</v>
      </c>
      <c r="ID4" s="31" t="str">
        <f>$W$4</f>
        <v>3ª</v>
      </c>
      <c r="IE4" s="31" t="str">
        <f>$X$4</f>
        <v>4ª</v>
      </c>
      <c r="IF4" s="31" t="str">
        <f>$Y$4</f>
        <v>5ª</v>
      </c>
      <c r="IG4" s="32" t="str">
        <f>$Z$4</f>
        <v>6ª</v>
      </c>
      <c r="IH4" s="33">
        <f>$V$4</f>
        <v>0</v>
      </c>
      <c r="II4" s="31" t="str">
        <f>$W$4</f>
        <v>3ª</v>
      </c>
      <c r="IJ4" s="31" t="str">
        <f>$X$4</f>
        <v>4ª</v>
      </c>
      <c r="IK4" s="31" t="str">
        <f>$Y$4</f>
        <v>5ª</v>
      </c>
      <c r="IL4" s="32" t="str">
        <f>$Z$4</f>
        <v>6ª</v>
      </c>
      <c r="IM4" s="33">
        <f>$V$4</f>
        <v>0</v>
      </c>
      <c r="IN4" s="31" t="str">
        <f>$W$4</f>
        <v>3ª</v>
      </c>
      <c r="IO4" s="31" t="str">
        <f>$X$4</f>
        <v>4ª</v>
      </c>
      <c r="IP4" s="31" t="str">
        <f>$Y$4</f>
        <v>5ª</v>
      </c>
      <c r="IQ4" s="32" t="str">
        <f>$Z$4</f>
        <v>6ª</v>
      </c>
      <c r="IR4" s="33">
        <f>$V$4</f>
        <v>0</v>
      </c>
      <c r="IS4" s="31" t="str">
        <f>$W$4</f>
        <v>3ª</v>
      </c>
      <c r="IT4" s="31" t="str">
        <f>$X$4</f>
        <v>4ª</v>
      </c>
      <c r="IU4" s="31" t="str">
        <f>$Y$4</f>
        <v>5ª</v>
      </c>
      <c r="IV4" s="31" t="str">
        <f>$Z$4</f>
        <v>6ª</v>
      </c>
      <c r="IW4" s="33">
        <f t="shared" ref="IW4" si="33">$V$4</f>
        <v>0</v>
      </c>
      <c r="IX4" s="31" t="str">
        <f t="shared" ref="IX4" si="34">$W$4</f>
        <v>3ª</v>
      </c>
      <c r="IY4" s="31" t="str">
        <f t="shared" ref="IY4" si="35">$X$4</f>
        <v>4ª</v>
      </c>
      <c r="IZ4" s="31" t="str">
        <f t="shared" ref="IZ4" si="36">$Y$4</f>
        <v>5ª</v>
      </c>
      <c r="JA4" s="34" t="str">
        <f t="shared" ref="JA4" si="37">$Z$4</f>
        <v>6ª</v>
      </c>
      <c r="JB4" s="33">
        <f t="shared" ref="JB4" si="38">$V$4</f>
        <v>0</v>
      </c>
      <c r="JC4" s="31" t="str">
        <f t="shared" ref="JC4" si="39">$W$4</f>
        <v>3ª</v>
      </c>
      <c r="JD4" s="31" t="str">
        <f t="shared" ref="JD4" si="40">$X$4</f>
        <v>4ª</v>
      </c>
      <c r="JE4" s="31" t="str">
        <f t="shared" ref="JE4" si="41">$Y$4</f>
        <v>5ª</v>
      </c>
      <c r="JF4" s="34" t="str">
        <f t="shared" ref="JF4" si="42">$Z$4</f>
        <v>6ª</v>
      </c>
      <c r="JG4" s="33">
        <f t="shared" ref="JG4" si="43">$V$4</f>
        <v>0</v>
      </c>
      <c r="JH4" s="31" t="str">
        <f t="shared" ref="JH4" si="44">$W$4</f>
        <v>3ª</v>
      </c>
      <c r="JI4" s="31" t="str">
        <f t="shared" ref="JI4" si="45">$X$4</f>
        <v>4ª</v>
      </c>
      <c r="JJ4" s="31" t="str">
        <f t="shared" ref="JJ4" si="46">$Y$4</f>
        <v>5ª</v>
      </c>
      <c r="JK4" s="34" t="str">
        <f t="shared" ref="JK4" si="47">$Z$4</f>
        <v>6ª</v>
      </c>
      <c r="JL4" s="33">
        <f t="shared" ref="JL4" si="48">$V$4</f>
        <v>0</v>
      </c>
      <c r="JM4" s="31" t="str">
        <f t="shared" ref="JM4" si="49">$W$4</f>
        <v>3ª</v>
      </c>
      <c r="JN4" s="31" t="str">
        <f t="shared" ref="JN4" si="50">$X$4</f>
        <v>4ª</v>
      </c>
      <c r="JO4" s="31" t="str">
        <f t="shared" ref="JO4" si="51">$Y$4</f>
        <v>5ª</v>
      </c>
      <c r="JP4" s="34" t="str">
        <f t="shared" ref="JP4" si="52">$Z$4</f>
        <v>6ª</v>
      </c>
      <c r="JQ4" s="33">
        <f t="shared" ref="JQ4" si="53">$V$4</f>
        <v>0</v>
      </c>
      <c r="JR4" s="31" t="str">
        <f t="shared" ref="JR4" si="54">$W$4</f>
        <v>3ª</v>
      </c>
      <c r="JS4" s="31" t="str">
        <f t="shared" ref="JS4" si="55">$X$4</f>
        <v>4ª</v>
      </c>
      <c r="JT4" s="31" t="str">
        <f t="shared" ref="JT4" si="56">$Y$4</f>
        <v>5ª</v>
      </c>
      <c r="JU4" s="34" t="str">
        <f t="shared" ref="JU4" si="57">$Z$4</f>
        <v>6ª</v>
      </c>
      <c r="JV4" s="33">
        <f t="shared" ref="JV4" si="58">$V$4</f>
        <v>0</v>
      </c>
      <c r="JW4" s="31" t="str">
        <f t="shared" ref="JW4" si="59">$W$4</f>
        <v>3ª</v>
      </c>
      <c r="JX4" s="31" t="str">
        <f t="shared" ref="JX4" si="60">$X$4</f>
        <v>4ª</v>
      </c>
      <c r="JY4" s="31" t="str">
        <f t="shared" ref="JY4" si="61">$Y$4</f>
        <v>5ª</v>
      </c>
      <c r="JZ4" s="34" t="str">
        <f t="shared" ref="JZ4" si="62">$Z$4</f>
        <v>6ª</v>
      </c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  <c r="NK4" s="36"/>
      <c r="NL4" s="36"/>
      <c r="NM4" s="36"/>
      <c r="NN4" s="36"/>
      <c r="NO4" s="36"/>
      <c r="NP4" s="36"/>
      <c r="NQ4" s="36"/>
      <c r="NR4" s="36"/>
      <c r="NS4" s="36"/>
      <c r="NT4" s="36"/>
      <c r="NU4" s="36"/>
      <c r="NV4" s="36"/>
      <c r="NW4" s="36"/>
      <c r="NX4" s="36"/>
      <c r="NY4" s="36"/>
      <c r="NZ4" s="36"/>
      <c r="OA4" s="36"/>
      <c r="OB4" s="36"/>
      <c r="OC4" s="36"/>
      <c r="OD4" s="36"/>
      <c r="OE4" s="36"/>
      <c r="OF4" s="36"/>
      <c r="OG4" s="36"/>
      <c r="OH4" s="36"/>
      <c r="OI4" s="36"/>
      <c r="OJ4" s="36"/>
      <c r="OK4" s="36"/>
      <c r="OL4" s="36"/>
      <c r="OM4" s="36"/>
      <c r="ON4" s="36"/>
      <c r="OO4" s="36"/>
      <c r="OP4" s="36"/>
      <c r="OQ4" s="36"/>
      <c r="OR4" s="36"/>
      <c r="OS4" s="36"/>
      <c r="OT4" s="36"/>
      <c r="OU4" s="36"/>
      <c r="OV4" s="36"/>
      <c r="OW4" s="36"/>
      <c r="OX4" s="36"/>
      <c r="OY4" s="36"/>
      <c r="OZ4" s="36"/>
      <c r="PA4" s="36"/>
      <c r="PB4" s="36"/>
      <c r="PC4" s="36"/>
      <c r="PD4" s="36"/>
      <c r="PE4" s="36"/>
      <c r="PF4" s="36"/>
      <c r="PG4" s="36"/>
      <c r="PH4" s="36"/>
      <c r="PI4" s="36"/>
      <c r="PJ4" s="36"/>
      <c r="PK4" s="36"/>
      <c r="PL4" s="36"/>
      <c r="PM4" s="36"/>
      <c r="PN4" s="36"/>
      <c r="PO4" s="36"/>
      <c r="PP4" s="36"/>
      <c r="PQ4" s="36"/>
      <c r="PR4" s="36"/>
      <c r="PS4" s="36"/>
      <c r="PT4" s="36"/>
      <c r="PU4" s="36"/>
      <c r="PV4" s="36"/>
      <c r="PW4" s="36"/>
      <c r="PX4" s="36"/>
      <c r="PY4" s="36"/>
      <c r="PZ4" s="36"/>
      <c r="QA4" s="36"/>
      <c r="QB4" s="36"/>
      <c r="QC4" s="36"/>
      <c r="QD4" s="36"/>
      <c r="QE4" s="36"/>
      <c r="QF4" s="36"/>
      <c r="QG4" s="36"/>
      <c r="QH4" s="36"/>
      <c r="QI4" s="36"/>
      <c r="QJ4" s="36"/>
      <c r="QK4" s="36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  <c r="RD4" s="36"/>
      <c r="RE4" s="36"/>
      <c r="RF4" s="36"/>
      <c r="RG4" s="36"/>
      <c r="RH4" s="36"/>
      <c r="RI4" s="36"/>
      <c r="RJ4" s="36"/>
      <c r="RK4" s="36"/>
      <c r="RL4" s="36"/>
      <c r="RM4" s="36"/>
      <c r="RN4" s="36"/>
      <c r="RO4" s="36"/>
      <c r="RP4" s="36"/>
      <c r="RQ4" s="36"/>
      <c r="RR4" s="36"/>
      <c r="RS4" s="36"/>
      <c r="RT4" s="36"/>
      <c r="RU4" s="36"/>
      <c r="RV4" s="36"/>
      <c r="RW4" s="36"/>
      <c r="RX4" s="36"/>
      <c r="RY4" s="36"/>
      <c r="RZ4" s="36"/>
      <c r="SA4" s="36"/>
      <c r="SB4" s="36"/>
      <c r="SC4" s="36"/>
      <c r="SD4" s="36"/>
      <c r="SE4" s="36"/>
      <c r="SF4" s="36"/>
      <c r="SG4" s="36"/>
      <c r="SH4" s="36"/>
      <c r="SI4" s="36"/>
      <c r="SJ4" s="36"/>
      <c r="SK4" s="36"/>
      <c r="SL4" s="36"/>
      <c r="SM4" s="36"/>
      <c r="SN4" s="36"/>
      <c r="SO4" s="36"/>
      <c r="SP4" s="36"/>
      <c r="SQ4" s="36"/>
      <c r="SR4" s="36"/>
      <c r="SS4" s="36"/>
      <c r="ST4" s="36"/>
      <c r="SU4" s="36"/>
      <c r="SV4" s="36"/>
      <c r="SW4" s="36"/>
      <c r="SX4" s="36"/>
      <c r="SY4" s="36"/>
      <c r="SZ4" s="36"/>
      <c r="TA4" s="36"/>
      <c r="TB4" s="36"/>
      <c r="TC4" s="36"/>
      <c r="TD4" s="36"/>
      <c r="TE4" s="36"/>
      <c r="TF4" s="36"/>
      <c r="TG4" s="36"/>
      <c r="TH4" s="36"/>
      <c r="TI4" s="36"/>
      <c r="TJ4" s="36"/>
      <c r="TK4" s="36"/>
      <c r="TL4" s="36"/>
      <c r="TM4" s="36"/>
      <c r="TN4" s="36"/>
      <c r="TO4" s="36"/>
      <c r="TP4" s="36"/>
      <c r="TQ4" s="36"/>
      <c r="TR4" s="36"/>
      <c r="TS4" s="36"/>
      <c r="TT4" s="36"/>
      <c r="TU4" s="36"/>
      <c r="TV4" s="36"/>
      <c r="TW4" s="36"/>
      <c r="TX4" s="36"/>
      <c r="TY4" s="36"/>
      <c r="TZ4" s="36"/>
      <c r="UA4" s="36"/>
      <c r="UB4" s="36"/>
      <c r="UC4" s="36"/>
      <c r="UD4" s="36"/>
      <c r="UE4" s="36"/>
      <c r="UF4" s="36"/>
      <c r="UG4" s="36"/>
      <c r="UH4" s="36"/>
      <c r="UI4" s="36"/>
      <c r="UJ4" s="36"/>
      <c r="UK4" s="36"/>
      <c r="UL4" s="36"/>
      <c r="UM4" s="36"/>
      <c r="UN4" s="36"/>
      <c r="UO4" s="36"/>
      <c r="UP4" s="36"/>
      <c r="UQ4" s="36"/>
      <c r="UR4" s="36"/>
      <c r="US4" s="36"/>
      <c r="UT4" s="36"/>
      <c r="UU4" s="36"/>
      <c r="UV4" s="36"/>
      <c r="UW4" s="36"/>
      <c r="UX4" s="36"/>
      <c r="UY4" s="36"/>
      <c r="UZ4" s="36"/>
      <c r="VA4" s="36"/>
      <c r="VB4" s="36"/>
      <c r="VC4" s="36"/>
      <c r="VD4" s="36"/>
      <c r="VE4" s="36"/>
      <c r="VF4" s="36"/>
      <c r="VG4" s="36"/>
      <c r="VH4" s="36"/>
      <c r="VI4" s="36"/>
      <c r="VJ4" s="36"/>
      <c r="VK4" s="36"/>
      <c r="VL4" s="36"/>
      <c r="VM4" s="36"/>
      <c r="VN4" s="36"/>
      <c r="VO4" s="36"/>
      <c r="VP4" s="36"/>
      <c r="VQ4" s="36"/>
      <c r="VR4" s="36"/>
      <c r="VS4" s="36"/>
      <c r="VT4" s="36"/>
      <c r="VU4" s="36"/>
      <c r="VV4" s="36"/>
      <c r="VW4" s="36"/>
      <c r="VX4" s="36"/>
      <c r="VY4" s="36"/>
      <c r="VZ4" s="36"/>
      <c r="WA4" s="36"/>
      <c r="WB4" s="36"/>
      <c r="WC4" s="36"/>
      <c r="WD4" s="36"/>
      <c r="WE4" s="36"/>
      <c r="WF4" s="36"/>
      <c r="WG4" s="36"/>
      <c r="WH4" s="36"/>
      <c r="WI4" s="36"/>
      <c r="WJ4" s="36"/>
      <c r="WK4" s="36"/>
      <c r="WL4" s="36"/>
      <c r="WM4" s="36"/>
      <c r="WN4" s="36"/>
      <c r="WO4" s="36"/>
      <c r="WP4" s="36"/>
      <c r="WQ4" s="36"/>
      <c r="WR4" s="36"/>
      <c r="WS4" s="36"/>
      <c r="WT4" s="36"/>
      <c r="WU4" s="36"/>
      <c r="WV4" s="36"/>
      <c r="WW4" s="36"/>
      <c r="WX4" s="36"/>
      <c r="WY4" s="36"/>
      <c r="WZ4" s="36"/>
      <c r="XA4" s="36"/>
      <c r="XB4" s="36"/>
      <c r="XC4" s="36"/>
      <c r="XD4" s="36"/>
      <c r="XE4" s="36"/>
      <c r="XF4" s="36"/>
      <c r="XG4" s="36"/>
      <c r="XH4" s="36"/>
      <c r="XI4" s="36"/>
      <c r="XJ4" s="36"/>
      <c r="XK4" s="36"/>
      <c r="XL4" s="36"/>
      <c r="XM4" s="36"/>
      <c r="XN4" s="36"/>
      <c r="XO4" s="36"/>
      <c r="XP4" s="36"/>
      <c r="XQ4" s="36"/>
      <c r="XR4" s="36"/>
      <c r="XS4" s="36"/>
      <c r="XT4" s="36"/>
      <c r="XU4" s="36"/>
      <c r="XV4" s="36"/>
      <c r="XW4" s="36"/>
      <c r="XX4" s="36"/>
      <c r="XY4" s="36"/>
      <c r="XZ4" s="36"/>
      <c r="YA4" s="36"/>
      <c r="YB4" s="36"/>
      <c r="YC4" s="36"/>
      <c r="YD4" s="36"/>
      <c r="YE4" s="36"/>
      <c r="YF4" s="36"/>
      <c r="YG4" s="36"/>
      <c r="YH4" s="36"/>
      <c r="YI4" s="36"/>
      <c r="YJ4" s="36"/>
      <c r="YK4" s="36"/>
      <c r="YL4" s="36"/>
      <c r="YM4" s="36"/>
      <c r="YN4" s="36"/>
      <c r="YO4" s="36"/>
      <c r="YP4" s="36"/>
      <c r="YQ4" s="36"/>
      <c r="YR4" s="36"/>
      <c r="YS4" s="36"/>
    </row>
    <row r="5" spans="1:669" s="36" customFormat="1" ht="12" customHeight="1" x14ac:dyDescent="0.25">
      <c r="A5" s="38"/>
      <c r="B5" s="38"/>
      <c r="C5" s="38"/>
      <c r="D5" s="38"/>
      <c r="E5" s="38"/>
      <c r="F5" s="38"/>
      <c r="G5" s="38"/>
      <c r="H5" s="38"/>
      <c r="I5" s="234"/>
      <c r="J5" s="278">
        <f ca="1">TODAY()</f>
        <v>41901</v>
      </c>
      <c r="K5" s="27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35"/>
      <c r="X5" s="35" t="s">
        <v>7</v>
      </c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41"/>
      <c r="JB5" s="35"/>
      <c r="JC5" s="35"/>
      <c r="JD5" s="35"/>
      <c r="JE5" s="35"/>
      <c r="JF5" s="41"/>
      <c r="JG5" s="35"/>
      <c r="JH5" s="35"/>
      <c r="JI5" s="35"/>
      <c r="JJ5" s="35"/>
      <c r="JK5" s="41"/>
      <c r="JL5" s="35"/>
      <c r="JM5" s="35"/>
      <c r="JN5" s="35"/>
      <c r="JO5" s="35"/>
      <c r="JP5" s="41"/>
      <c r="JQ5" s="35"/>
      <c r="JR5" s="35"/>
      <c r="JS5" s="35"/>
      <c r="JT5" s="35"/>
      <c r="JU5" s="41"/>
      <c r="JV5" s="35"/>
      <c r="JW5" s="35"/>
      <c r="JX5" s="35"/>
      <c r="JY5" s="35"/>
      <c r="JZ5" s="41"/>
    </row>
    <row r="6" spans="1:669" s="48" customFormat="1" ht="3.95" customHeight="1" x14ac:dyDescent="0.2">
      <c r="A6" s="42"/>
      <c r="B6" s="42"/>
      <c r="C6" s="42"/>
      <c r="D6" s="42"/>
      <c r="E6" s="42"/>
      <c r="F6" s="42"/>
      <c r="G6" s="42"/>
      <c r="H6" s="42"/>
      <c r="I6" s="265"/>
      <c r="J6" s="265" t="s">
        <v>8</v>
      </c>
      <c r="K6" s="43"/>
      <c r="L6" s="44"/>
      <c r="M6" s="44"/>
      <c r="N6" s="44"/>
      <c r="O6" s="44"/>
      <c r="P6" s="44"/>
      <c r="Q6" s="44"/>
      <c r="R6" s="44"/>
      <c r="S6" s="44"/>
      <c r="T6" s="44"/>
      <c r="U6" s="44"/>
      <c r="V6" s="45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6"/>
      <c r="JB6" s="44"/>
      <c r="JC6" s="44"/>
      <c r="JD6" s="44"/>
      <c r="JE6" s="44"/>
      <c r="JF6" s="46"/>
      <c r="JG6" s="44"/>
      <c r="JH6" s="44"/>
      <c r="JI6" s="44"/>
      <c r="JJ6" s="44"/>
      <c r="JK6" s="106"/>
      <c r="JL6" s="44"/>
      <c r="JM6" s="44"/>
      <c r="JN6" s="44"/>
      <c r="JO6" s="44"/>
      <c r="JP6" s="106"/>
      <c r="JQ6" s="44"/>
      <c r="JR6" s="44"/>
      <c r="JS6" s="44"/>
      <c r="JT6" s="44"/>
      <c r="JU6" s="106"/>
      <c r="JV6" s="44"/>
      <c r="JW6" s="44"/>
      <c r="JX6" s="44"/>
      <c r="JY6" s="44"/>
      <c r="JZ6" s="10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</row>
    <row r="7" spans="1:669" s="48" customFormat="1" ht="3.95" hidden="1" customHeight="1" outlineLevel="1" x14ac:dyDescent="0.2">
      <c r="A7" s="49"/>
      <c r="B7" s="49"/>
      <c r="C7" s="49"/>
      <c r="D7" s="49"/>
      <c r="E7" s="49"/>
      <c r="F7" s="49"/>
      <c r="G7" s="49"/>
      <c r="H7" s="49"/>
      <c r="I7" s="266"/>
      <c r="J7" s="266"/>
      <c r="K7" s="50"/>
      <c r="L7" s="47"/>
      <c r="M7" s="47"/>
      <c r="N7" s="47"/>
      <c r="O7" s="47"/>
      <c r="P7" s="47"/>
      <c r="Q7" s="47"/>
      <c r="R7" s="47"/>
      <c r="S7" s="47"/>
      <c r="T7" s="47"/>
      <c r="U7" s="47"/>
      <c r="V7" s="51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143"/>
      <c r="JB7" s="47"/>
      <c r="JC7" s="47"/>
      <c r="JD7" s="47"/>
      <c r="JE7" s="47"/>
      <c r="JF7" s="143"/>
      <c r="JG7" s="47"/>
      <c r="JH7" s="47"/>
      <c r="JI7" s="47"/>
      <c r="JJ7" s="47"/>
      <c r="JK7" s="143"/>
      <c r="JL7" s="47"/>
      <c r="JM7" s="47"/>
      <c r="JN7" s="47"/>
      <c r="JO7" s="47"/>
      <c r="JP7" s="143"/>
      <c r="JQ7" s="47"/>
      <c r="JR7" s="47"/>
      <c r="JS7" s="47"/>
      <c r="JT7" s="47"/>
      <c r="JU7" s="143"/>
      <c r="JV7" s="47"/>
      <c r="JW7" s="47"/>
      <c r="JX7" s="47"/>
      <c r="JY7" s="47"/>
      <c r="JZ7" s="107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</row>
    <row r="8" spans="1:669" s="48" customFormat="1" ht="3.95" hidden="1" customHeight="1" outlineLevel="1" thickBot="1" x14ac:dyDescent="0.25">
      <c r="A8" s="49"/>
      <c r="B8" s="49"/>
      <c r="C8" s="49"/>
      <c r="D8" s="49"/>
      <c r="E8" s="49"/>
      <c r="F8" s="49"/>
      <c r="G8" s="49"/>
      <c r="H8" s="49"/>
      <c r="I8" s="266"/>
      <c r="J8" s="266"/>
      <c r="K8" s="50"/>
      <c r="L8" s="54"/>
      <c r="M8" s="54"/>
      <c r="N8" s="54"/>
      <c r="O8" s="54"/>
      <c r="P8" s="54"/>
      <c r="Q8" s="54"/>
      <c r="R8" s="54"/>
      <c r="S8" s="54"/>
      <c r="T8" s="54"/>
      <c r="U8" s="54"/>
      <c r="V8" s="53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144"/>
      <c r="JB8" s="54"/>
      <c r="JC8" s="54"/>
      <c r="JD8" s="54"/>
      <c r="JE8" s="54"/>
      <c r="JF8" s="144"/>
      <c r="JG8" s="54"/>
      <c r="JH8" s="54"/>
      <c r="JI8" s="54"/>
      <c r="JJ8" s="54"/>
      <c r="JK8" s="144"/>
      <c r="JL8" s="54"/>
      <c r="JM8" s="54"/>
      <c r="JN8" s="54"/>
      <c r="JO8" s="54"/>
      <c r="JP8" s="144"/>
      <c r="JQ8" s="54"/>
      <c r="JR8" s="54"/>
      <c r="JS8" s="54"/>
      <c r="JT8" s="54"/>
      <c r="JU8" s="144"/>
      <c r="JV8" s="54"/>
      <c r="JW8" s="54"/>
      <c r="JX8" s="54"/>
      <c r="JY8" s="54"/>
      <c r="JZ8" s="108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</row>
    <row r="9" spans="1:669" s="47" customFormat="1" ht="15" hidden="1" customHeight="1" outlineLevel="1" x14ac:dyDescent="0.25">
      <c r="A9" s="149" t="str">
        <f>B9</f>
        <v>BATERIA</v>
      </c>
      <c r="B9" s="254" t="s">
        <v>47</v>
      </c>
      <c r="C9" s="152" t="s">
        <v>48</v>
      </c>
      <c r="D9" s="257" t="s">
        <v>14</v>
      </c>
      <c r="E9" s="172" t="s">
        <v>42</v>
      </c>
      <c r="F9" s="180">
        <v>0</v>
      </c>
      <c r="G9" s="172" t="s">
        <v>37</v>
      </c>
      <c r="H9" s="169">
        <f>STDEVPA(V12:GN12)</f>
        <v>3.2976317259512169</v>
      </c>
      <c r="I9" s="235" t="s">
        <v>15</v>
      </c>
      <c r="J9" s="148" t="str">
        <f>J6</f>
        <v>CORTE</v>
      </c>
      <c r="K9" s="290" t="s">
        <v>10</v>
      </c>
      <c r="L9" s="89"/>
      <c r="M9" s="87"/>
      <c r="N9" s="87"/>
      <c r="O9" s="87"/>
      <c r="P9" s="87"/>
      <c r="Q9" s="87"/>
      <c r="R9" s="87"/>
      <c r="S9" s="87"/>
      <c r="T9" s="87"/>
      <c r="U9" s="87"/>
      <c r="V9" s="88">
        <v>300</v>
      </c>
      <c r="W9" s="69">
        <v>250</v>
      </c>
      <c r="X9" s="69">
        <v>0</v>
      </c>
      <c r="Y9" s="69">
        <v>0</v>
      </c>
      <c r="Z9" s="189">
        <v>20</v>
      </c>
      <c r="AA9" s="69">
        <v>0</v>
      </c>
      <c r="AB9" s="69">
        <v>25</v>
      </c>
      <c r="AC9" s="69">
        <v>0</v>
      </c>
      <c r="AD9" s="88">
        <v>0</v>
      </c>
      <c r="AE9" s="69">
        <v>0</v>
      </c>
      <c r="AF9" s="69">
        <v>0</v>
      </c>
      <c r="AG9" s="69">
        <v>0</v>
      </c>
      <c r="AH9" s="88">
        <v>0</v>
      </c>
      <c r="AI9" s="69">
        <v>0</v>
      </c>
      <c r="AJ9" s="69">
        <v>0</v>
      </c>
      <c r="AK9" s="69">
        <v>0</v>
      </c>
      <c r="AL9" s="88">
        <v>0</v>
      </c>
      <c r="AM9" s="69">
        <v>0</v>
      </c>
      <c r="AN9" s="69">
        <v>0</v>
      </c>
      <c r="AO9" s="69">
        <v>0</v>
      </c>
      <c r="AP9" s="88">
        <v>0</v>
      </c>
      <c r="AQ9" s="69">
        <v>0</v>
      </c>
      <c r="AR9" s="69">
        <v>0</v>
      </c>
      <c r="AS9" s="69">
        <v>0</v>
      </c>
      <c r="AT9" s="88">
        <v>0</v>
      </c>
      <c r="AU9" s="69"/>
      <c r="AV9" s="69"/>
      <c r="AW9" s="69">
        <v>150</v>
      </c>
      <c r="AX9" s="88"/>
      <c r="AY9" s="69"/>
      <c r="AZ9" s="69"/>
      <c r="BA9" s="69"/>
      <c r="BB9" s="88"/>
      <c r="BC9" s="69"/>
      <c r="BD9" s="69"/>
      <c r="BE9" s="69"/>
      <c r="BF9" s="88"/>
      <c r="BG9" s="69"/>
      <c r="BH9" s="69"/>
      <c r="BI9" s="69"/>
      <c r="BJ9" s="88"/>
      <c r="BK9" s="69"/>
      <c r="BL9" s="69"/>
      <c r="BM9" s="69"/>
      <c r="BN9" s="88"/>
      <c r="BO9" s="69"/>
      <c r="BP9" s="69"/>
      <c r="BQ9" s="69"/>
      <c r="BR9" s="88"/>
      <c r="BS9" s="69"/>
      <c r="BT9" s="69"/>
      <c r="BU9" s="69"/>
      <c r="BV9" s="88"/>
      <c r="BW9" s="69">
        <v>100</v>
      </c>
      <c r="BX9" s="69"/>
      <c r="BY9" s="69"/>
      <c r="BZ9" s="88"/>
      <c r="CA9" s="69"/>
      <c r="CB9" s="69"/>
      <c r="CC9" s="69"/>
      <c r="CD9" s="88"/>
      <c r="CE9" s="69"/>
      <c r="CF9" s="69"/>
      <c r="CG9" s="69"/>
      <c r="CH9" s="88"/>
      <c r="CI9" s="69">
        <v>70</v>
      </c>
      <c r="CJ9" s="69"/>
      <c r="CK9" s="69"/>
      <c r="CL9" s="88"/>
      <c r="CM9" s="69"/>
      <c r="CN9" s="69"/>
      <c r="CO9" s="69"/>
      <c r="CP9" s="88"/>
      <c r="CQ9" s="69"/>
      <c r="CR9" s="69">
        <v>12</v>
      </c>
      <c r="CS9" s="69"/>
      <c r="CT9" s="88"/>
      <c r="CU9" s="69"/>
      <c r="CV9" s="69"/>
      <c r="CW9" s="69"/>
      <c r="CX9" s="88"/>
      <c r="CY9" s="69"/>
      <c r="CZ9" s="69"/>
      <c r="DA9" s="69"/>
      <c r="DB9" s="88"/>
      <c r="DC9" s="69"/>
      <c r="DD9" s="69"/>
      <c r="DE9" s="69"/>
      <c r="DF9" s="88"/>
      <c r="DG9" s="69"/>
      <c r="DH9" s="69"/>
      <c r="DI9" s="69"/>
      <c r="DJ9" s="88"/>
      <c r="DK9" s="69"/>
      <c r="DL9" s="69"/>
      <c r="DM9" s="69"/>
      <c r="DN9" s="88"/>
      <c r="DO9" s="69"/>
      <c r="DP9" s="69"/>
      <c r="DQ9" s="69"/>
      <c r="DR9" s="88"/>
      <c r="DS9" s="69"/>
      <c r="DT9" s="69"/>
      <c r="DU9" s="69"/>
      <c r="DV9" s="88"/>
      <c r="DW9" s="69"/>
      <c r="DX9" s="69"/>
      <c r="DY9" s="69"/>
      <c r="DZ9" s="88"/>
      <c r="EA9" s="69"/>
      <c r="EB9" s="69"/>
      <c r="EC9" s="69"/>
      <c r="ED9" s="88"/>
      <c r="EE9" s="69"/>
      <c r="EF9" s="69"/>
      <c r="EG9" s="69"/>
      <c r="EH9" s="88"/>
      <c r="EI9" s="69"/>
      <c r="EJ9" s="69"/>
      <c r="EK9" s="69"/>
      <c r="EL9" s="88"/>
      <c r="EM9" s="69"/>
      <c r="EN9" s="69"/>
      <c r="EO9" s="69"/>
      <c r="EP9" s="88"/>
      <c r="EQ9" s="69"/>
      <c r="ER9" s="69"/>
      <c r="ES9" s="69"/>
      <c r="ET9" s="88"/>
      <c r="EU9" s="69"/>
      <c r="EV9" s="69"/>
      <c r="EW9" s="69"/>
      <c r="EX9" s="88"/>
      <c r="EY9" s="69"/>
      <c r="EZ9" s="69"/>
      <c r="FA9" s="69"/>
      <c r="FB9" s="88"/>
      <c r="FC9" s="69"/>
      <c r="FD9" s="69"/>
      <c r="FE9" s="69"/>
      <c r="FF9" s="88"/>
      <c r="FG9" s="69"/>
      <c r="FH9" s="69"/>
      <c r="FI9" s="69"/>
      <c r="FJ9" s="88"/>
      <c r="FK9" s="69"/>
      <c r="FL9" s="69"/>
      <c r="FM9" s="69"/>
      <c r="FN9" s="88"/>
      <c r="FO9" s="69"/>
      <c r="FP9" s="69"/>
      <c r="FQ9" s="69"/>
      <c r="FR9" s="88"/>
      <c r="FS9" s="69"/>
      <c r="FT9" s="69"/>
      <c r="FU9" s="69"/>
      <c r="FV9" s="88"/>
      <c r="FW9" s="69"/>
      <c r="FX9" s="69"/>
      <c r="FY9" s="69"/>
      <c r="FZ9" s="88"/>
      <c r="GA9" s="69"/>
      <c r="GB9" s="69"/>
      <c r="GC9" s="69"/>
      <c r="GD9" s="88"/>
      <c r="GE9" s="69"/>
      <c r="GF9" s="69"/>
      <c r="GG9" s="69"/>
      <c r="GH9" s="88"/>
      <c r="GI9" s="69"/>
      <c r="GJ9" s="69"/>
      <c r="GK9" s="69">
        <v>40</v>
      </c>
      <c r="GL9" s="69"/>
      <c r="GM9" s="69"/>
      <c r="GN9" s="69"/>
      <c r="GO9" s="69"/>
      <c r="GP9" s="69"/>
      <c r="GQ9" s="69"/>
      <c r="GR9" s="69"/>
      <c r="GS9" s="69"/>
      <c r="GT9" s="69"/>
      <c r="GU9" s="69"/>
      <c r="GV9" s="69"/>
      <c r="GW9" s="69"/>
      <c r="GX9" s="69"/>
      <c r="GY9" s="69"/>
      <c r="GZ9" s="69"/>
      <c r="HA9" s="69"/>
      <c r="HB9" s="69"/>
      <c r="HC9" s="69"/>
      <c r="HD9" s="69"/>
      <c r="HE9" s="69"/>
      <c r="HF9" s="69"/>
      <c r="HG9" s="69"/>
      <c r="HH9" s="69"/>
      <c r="HI9" s="69"/>
      <c r="HJ9" s="69"/>
      <c r="HK9" s="69"/>
      <c r="HL9" s="69"/>
      <c r="HM9" s="69"/>
      <c r="HN9" s="69"/>
      <c r="HO9" s="69"/>
      <c r="HP9" s="69"/>
      <c r="HQ9" s="69"/>
      <c r="HR9" s="69"/>
      <c r="HS9" s="69"/>
      <c r="HT9" s="69"/>
      <c r="HU9" s="69"/>
      <c r="HV9" s="69"/>
      <c r="HW9" s="69"/>
      <c r="HX9" s="69"/>
      <c r="HY9" s="69"/>
      <c r="HZ9" s="69"/>
      <c r="IA9" s="69"/>
      <c r="IB9" s="69"/>
      <c r="IC9" s="69"/>
      <c r="ID9" s="69"/>
      <c r="IE9" s="69"/>
      <c r="IF9" s="69"/>
      <c r="IG9" s="69"/>
      <c r="IH9" s="69"/>
      <c r="II9" s="69"/>
      <c r="IJ9" s="69"/>
      <c r="IK9" s="69"/>
      <c r="IL9" s="69"/>
      <c r="IM9" s="69"/>
      <c r="IN9" s="69"/>
      <c r="IO9" s="69"/>
      <c r="IP9" s="69"/>
      <c r="IQ9" s="69"/>
      <c r="IR9" s="69"/>
      <c r="IS9" s="69"/>
      <c r="IT9" s="69"/>
      <c r="IU9" s="69"/>
      <c r="IV9" s="69"/>
      <c r="IW9" s="69"/>
      <c r="IX9" s="69"/>
      <c r="IY9" s="69"/>
      <c r="IZ9" s="69"/>
      <c r="JA9" s="69"/>
      <c r="JB9" s="69"/>
      <c r="JC9" s="69"/>
      <c r="JD9" s="69"/>
      <c r="JE9" s="69"/>
      <c r="JF9" s="69"/>
      <c r="JG9" s="69"/>
      <c r="JH9" s="69"/>
      <c r="JI9" s="69"/>
      <c r="JJ9" s="69"/>
      <c r="JK9" s="69"/>
      <c r="JL9" s="69"/>
      <c r="JM9" s="69"/>
      <c r="JN9" s="69"/>
      <c r="JO9" s="69"/>
      <c r="JP9" s="69"/>
      <c r="JQ9" s="69"/>
      <c r="JR9" s="69"/>
      <c r="JS9" s="69"/>
      <c r="JT9" s="69"/>
      <c r="JU9" s="69"/>
      <c r="JV9" s="69"/>
      <c r="JW9" s="69"/>
      <c r="JX9" s="69"/>
      <c r="JY9" s="69"/>
      <c r="JZ9" s="109"/>
      <c r="KA9" s="165"/>
    </row>
    <row r="10" spans="1:669" s="59" customFormat="1" ht="15" hidden="1" customHeight="1" outlineLevel="1" x14ac:dyDescent="0.25">
      <c r="A10" s="150" t="str">
        <f>B9</f>
        <v>BATERIA</v>
      </c>
      <c r="B10" s="255"/>
      <c r="C10" s="153" t="str">
        <f>$C$9</f>
        <v>GOPE</v>
      </c>
      <c r="D10" s="258"/>
      <c r="E10" s="173" t="s">
        <v>44</v>
      </c>
      <c r="F10" s="181">
        <f ca="1">AVERAGE(V13:GN13)</f>
        <v>186.48</v>
      </c>
      <c r="G10" s="174" t="s">
        <v>38</v>
      </c>
      <c r="H10" s="170">
        <v>0.5</v>
      </c>
      <c r="I10" s="236" t="s">
        <v>16</v>
      </c>
      <c r="J10" s="148" t="str">
        <f>J9</f>
        <v>CORTE</v>
      </c>
      <c r="K10" s="291"/>
      <c r="L10" s="57"/>
      <c r="M10" s="58"/>
      <c r="N10" s="58"/>
      <c r="O10" s="58"/>
      <c r="P10" s="58"/>
      <c r="Q10" s="58"/>
      <c r="R10" s="58"/>
      <c r="S10" s="58"/>
      <c r="T10" s="58"/>
      <c r="U10" s="58"/>
      <c r="V10" s="84">
        <v>0</v>
      </c>
      <c r="W10" s="70">
        <v>100</v>
      </c>
      <c r="X10" s="70">
        <v>0</v>
      </c>
      <c r="Y10" s="70">
        <v>0</v>
      </c>
      <c r="Z10" s="84">
        <v>0</v>
      </c>
      <c r="AA10" s="70">
        <v>15</v>
      </c>
      <c r="AB10" s="70">
        <v>25</v>
      </c>
      <c r="AC10" s="70">
        <v>0</v>
      </c>
      <c r="AD10" s="84">
        <v>0</v>
      </c>
      <c r="AE10" s="70">
        <v>0</v>
      </c>
      <c r="AF10" s="70">
        <v>0</v>
      </c>
      <c r="AG10" s="70">
        <v>0</v>
      </c>
      <c r="AH10" s="84">
        <v>0</v>
      </c>
      <c r="AI10" s="70">
        <v>0</v>
      </c>
      <c r="AJ10" s="70">
        <v>0</v>
      </c>
      <c r="AK10" s="70">
        <v>0</v>
      </c>
      <c r="AL10" s="84">
        <v>0</v>
      </c>
      <c r="AM10" s="70">
        <v>0</v>
      </c>
      <c r="AN10" s="70">
        <v>0</v>
      </c>
      <c r="AO10" s="70">
        <v>0</v>
      </c>
      <c r="AP10" s="84">
        <v>0</v>
      </c>
      <c r="AQ10" s="70">
        <v>0</v>
      </c>
      <c r="AR10" s="70">
        <v>0</v>
      </c>
      <c r="AS10" s="70">
        <v>0</v>
      </c>
      <c r="AT10" s="84">
        <v>0</v>
      </c>
      <c r="AU10" s="70"/>
      <c r="AV10" s="70"/>
      <c r="AW10" s="70"/>
      <c r="AX10" s="84">
        <v>125</v>
      </c>
      <c r="AY10" s="70"/>
      <c r="AZ10" s="70"/>
      <c r="BA10" s="70"/>
      <c r="BB10" s="84"/>
      <c r="BC10" s="70"/>
      <c r="BD10" s="70"/>
      <c r="BE10" s="70"/>
      <c r="BF10" s="84"/>
      <c r="BG10" s="70"/>
      <c r="BH10" s="70"/>
      <c r="BI10" s="70"/>
      <c r="BJ10" s="84"/>
      <c r="BK10" s="70"/>
      <c r="BL10" s="70"/>
      <c r="BM10" s="70"/>
      <c r="BN10" s="84"/>
      <c r="BO10" s="70"/>
      <c r="BP10" s="70"/>
      <c r="BQ10" s="70"/>
      <c r="BR10" s="84"/>
      <c r="BS10" s="70"/>
      <c r="BT10" s="70"/>
      <c r="BU10" s="70"/>
      <c r="BV10" s="84"/>
      <c r="BW10" s="70"/>
      <c r="BX10" s="70">
        <v>80</v>
      </c>
      <c r="BY10" s="70"/>
      <c r="BZ10" s="84"/>
      <c r="CA10" s="70"/>
      <c r="CB10" s="70"/>
      <c r="CC10" s="70"/>
      <c r="CD10" s="84"/>
      <c r="CE10" s="70"/>
      <c r="CF10" s="70"/>
      <c r="CG10" s="70"/>
      <c r="CH10" s="84"/>
      <c r="CI10" s="70"/>
      <c r="CJ10" s="70">
        <v>60</v>
      </c>
      <c r="CK10" s="70"/>
      <c r="CL10" s="84"/>
      <c r="CM10" s="70"/>
      <c r="CN10" s="70"/>
      <c r="CO10" s="70"/>
      <c r="CP10" s="84"/>
      <c r="CQ10" s="70"/>
      <c r="CR10" s="70"/>
      <c r="CS10" s="70">
        <v>10</v>
      </c>
      <c r="CT10" s="84"/>
      <c r="CU10" s="70"/>
      <c r="CV10" s="70"/>
      <c r="CW10" s="70"/>
      <c r="CX10" s="84"/>
      <c r="CY10" s="70"/>
      <c r="CZ10" s="70"/>
      <c r="DA10" s="70"/>
      <c r="DB10" s="84"/>
      <c r="DC10" s="70"/>
      <c r="DD10" s="70"/>
      <c r="DE10" s="70"/>
      <c r="DF10" s="84"/>
      <c r="DG10" s="70"/>
      <c r="DH10" s="70"/>
      <c r="DI10" s="70"/>
      <c r="DJ10" s="84"/>
      <c r="DK10" s="70"/>
      <c r="DL10" s="70"/>
      <c r="DM10" s="70"/>
      <c r="DN10" s="84"/>
      <c r="DO10" s="70"/>
      <c r="DP10" s="70"/>
      <c r="DQ10" s="70"/>
      <c r="DR10" s="84"/>
      <c r="DS10" s="70"/>
      <c r="DT10" s="70"/>
      <c r="DU10" s="70"/>
      <c r="DV10" s="84"/>
      <c r="DW10" s="70"/>
      <c r="DX10" s="70"/>
      <c r="DY10" s="70"/>
      <c r="DZ10" s="84"/>
      <c r="EA10" s="70"/>
      <c r="EB10" s="70"/>
      <c r="EC10" s="70"/>
      <c r="ED10" s="84"/>
      <c r="EE10" s="70"/>
      <c r="EF10" s="70"/>
      <c r="EG10" s="70"/>
      <c r="EH10" s="84"/>
      <c r="EI10" s="70"/>
      <c r="EJ10" s="70"/>
      <c r="EK10" s="70"/>
      <c r="EL10" s="84"/>
      <c r="EM10" s="70"/>
      <c r="EN10" s="70"/>
      <c r="EO10" s="70"/>
      <c r="EP10" s="84"/>
      <c r="EQ10" s="70"/>
      <c r="ER10" s="70"/>
      <c r="ES10" s="70"/>
      <c r="ET10" s="84"/>
      <c r="EU10" s="70"/>
      <c r="EV10" s="70"/>
      <c r="EW10" s="70"/>
      <c r="EX10" s="84"/>
      <c r="EY10" s="70"/>
      <c r="EZ10" s="70"/>
      <c r="FA10" s="70"/>
      <c r="FB10" s="84"/>
      <c r="FC10" s="70"/>
      <c r="FD10" s="70"/>
      <c r="FE10" s="70"/>
      <c r="FF10" s="84"/>
      <c r="FG10" s="70"/>
      <c r="FH10" s="70"/>
      <c r="FI10" s="70"/>
      <c r="FJ10" s="84"/>
      <c r="FK10" s="70"/>
      <c r="FL10" s="70"/>
      <c r="FM10" s="70"/>
      <c r="FN10" s="84"/>
      <c r="FO10" s="70"/>
      <c r="FP10" s="70"/>
      <c r="FQ10" s="70"/>
      <c r="FR10" s="84"/>
      <c r="FS10" s="70"/>
      <c r="FT10" s="70"/>
      <c r="FU10" s="70"/>
      <c r="FV10" s="84"/>
      <c r="FW10" s="70"/>
      <c r="FX10" s="70"/>
      <c r="FY10" s="70"/>
      <c r="FZ10" s="84"/>
      <c r="GA10" s="70"/>
      <c r="GB10" s="70"/>
      <c r="GC10" s="70"/>
      <c r="GD10" s="84"/>
      <c r="GE10" s="70"/>
      <c r="GF10" s="70"/>
      <c r="GG10" s="70"/>
      <c r="GH10" s="84"/>
      <c r="GI10" s="70"/>
      <c r="GJ10" s="70"/>
      <c r="GK10" s="70"/>
      <c r="GL10" s="70">
        <v>30</v>
      </c>
      <c r="GM10" s="70"/>
      <c r="GN10" s="70"/>
      <c r="GO10" s="70"/>
      <c r="GP10" s="70"/>
      <c r="GQ10" s="70"/>
      <c r="GR10" s="70"/>
      <c r="GS10" s="70"/>
      <c r="GT10" s="70"/>
      <c r="GU10" s="70"/>
      <c r="GV10" s="70"/>
      <c r="GW10" s="70"/>
      <c r="GX10" s="70"/>
      <c r="GY10" s="70"/>
      <c r="GZ10" s="70"/>
      <c r="HA10" s="70"/>
      <c r="HB10" s="70"/>
      <c r="HC10" s="70"/>
      <c r="HD10" s="70"/>
      <c r="HE10" s="70"/>
      <c r="HF10" s="70"/>
      <c r="HG10" s="70"/>
      <c r="HH10" s="70"/>
      <c r="HI10" s="70"/>
      <c r="HJ10" s="70"/>
      <c r="HK10" s="70"/>
      <c r="HL10" s="70"/>
      <c r="HM10" s="70"/>
      <c r="HN10" s="70"/>
      <c r="HO10" s="70"/>
      <c r="HP10" s="70"/>
      <c r="HQ10" s="70"/>
      <c r="HR10" s="70"/>
      <c r="HS10" s="70"/>
      <c r="HT10" s="70"/>
      <c r="HU10" s="70"/>
      <c r="HV10" s="70"/>
      <c r="HW10" s="70"/>
      <c r="HX10" s="70"/>
      <c r="HY10" s="70"/>
      <c r="HZ10" s="70"/>
      <c r="IA10" s="70"/>
      <c r="IB10" s="70"/>
      <c r="IC10" s="70"/>
      <c r="ID10" s="70"/>
      <c r="IE10" s="70"/>
      <c r="IF10" s="70"/>
      <c r="IG10" s="70"/>
      <c r="IH10" s="70"/>
      <c r="II10" s="70"/>
      <c r="IJ10" s="70"/>
      <c r="IK10" s="70"/>
      <c r="IL10" s="70"/>
      <c r="IM10" s="70"/>
      <c r="IN10" s="70"/>
      <c r="IO10" s="70"/>
      <c r="IP10" s="70"/>
      <c r="IQ10" s="70"/>
      <c r="IR10" s="70"/>
      <c r="IS10" s="70"/>
      <c r="IT10" s="70"/>
      <c r="IU10" s="70"/>
      <c r="IV10" s="70"/>
      <c r="IW10" s="70"/>
      <c r="IX10" s="70"/>
      <c r="IY10" s="70"/>
      <c r="IZ10" s="70"/>
      <c r="JA10" s="70"/>
      <c r="JB10" s="70"/>
      <c r="JC10" s="70"/>
      <c r="JD10" s="70"/>
      <c r="JE10" s="70"/>
      <c r="JF10" s="70"/>
      <c r="JG10" s="70"/>
      <c r="JH10" s="70"/>
      <c r="JI10" s="70"/>
      <c r="JJ10" s="70"/>
      <c r="JK10" s="70"/>
      <c r="JL10" s="70"/>
      <c r="JM10" s="70"/>
      <c r="JN10" s="70"/>
      <c r="JO10" s="70"/>
      <c r="JP10" s="70"/>
      <c r="JQ10" s="70"/>
      <c r="JR10" s="70"/>
      <c r="JS10" s="70"/>
      <c r="JT10" s="70"/>
      <c r="JU10" s="70"/>
      <c r="JV10" s="70"/>
      <c r="JW10" s="70"/>
      <c r="JX10" s="70"/>
      <c r="JY10" s="70"/>
      <c r="JZ10" s="99"/>
      <c r="KA10" s="166"/>
    </row>
    <row r="11" spans="1:669" s="47" customFormat="1" ht="15" hidden="1" customHeight="1" outlineLevel="1" x14ac:dyDescent="0.25">
      <c r="A11" s="150" t="str">
        <f>B9</f>
        <v>BATERIA</v>
      </c>
      <c r="B11" s="255"/>
      <c r="C11" s="153" t="str">
        <f t="shared" ref="C11:C13" si="63">$C$9</f>
        <v>GOPE</v>
      </c>
      <c r="D11" s="258"/>
      <c r="E11" s="173" t="s">
        <v>41</v>
      </c>
      <c r="F11" s="181">
        <v>0</v>
      </c>
      <c r="G11" s="175" t="s">
        <v>39</v>
      </c>
      <c r="H11" s="170">
        <v>1</v>
      </c>
      <c r="I11" s="236" t="s">
        <v>17</v>
      </c>
      <c r="J11" s="148" t="str">
        <f t="shared" ref="J11:J18" si="64">J10</f>
        <v>CORTE</v>
      </c>
      <c r="K11" s="291"/>
      <c r="L11" s="57"/>
      <c r="M11" s="58"/>
      <c r="N11" s="58"/>
      <c r="O11" s="58"/>
      <c r="P11" s="58"/>
      <c r="Q11" s="58"/>
      <c r="R11" s="58"/>
      <c r="S11" s="58"/>
      <c r="T11" s="58"/>
      <c r="U11" s="58"/>
      <c r="V11" s="85">
        <f>V9</f>
        <v>300</v>
      </c>
      <c r="W11" s="68">
        <f ca="1">IF(W3&gt;$J$5,"",V11+W9-W10)</f>
        <v>450</v>
      </c>
      <c r="X11" s="68">
        <f t="shared" ref="X11:CI11" ca="1" si="65">IF(X3&gt;$J$5,"",W11+X9-X10)</f>
        <v>450</v>
      </c>
      <c r="Y11" s="68">
        <f t="shared" ca="1" si="65"/>
        <v>450</v>
      </c>
      <c r="Z11" s="85">
        <f t="shared" ca="1" si="65"/>
        <v>470</v>
      </c>
      <c r="AA11" s="68">
        <f t="shared" ca="1" si="65"/>
        <v>455</v>
      </c>
      <c r="AB11" s="68">
        <f t="shared" ca="1" si="65"/>
        <v>455</v>
      </c>
      <c r="AC11" s="68">
        <f t="shared" ca="1" si="65"/>
        <v>455</v>
      </c>
      <c r="AD11" s="85">
        <f t="shared" ca="1" si="65"/>
        <v>455</v>
      </c>
      <c r="AE11" s="68">
        <f t="shared" ca="1" si="65"/>
        <v>455</v>
      </c>
      <c r="AF11" s="68">
        <f t="shared" ca="1" si="65"/>
        <v>455</v>
      </c>
      <c r="AG11" s="68">
        <f t="shared" ca="1" si="65"/>
        <v>455</v>
      </c>
      <c r="AH11" s="85">
        <f t="shared" ca="1" si="65"/>
        <v>455</v>
      </c>
      <c r="AI11" s="68">
        <f t="shared" ca="1" si="65"/>
        <v>455</v>
      </c>
      <c r="AJ11" s="68">
        <f t="shared" ca="1" si="65"/>
        <v>455</v>
      </c>
      <c r="AK11" s="68">
        <f t="shared" ca="1" si="65"/>
        <v>455</v>
      </c>
      <c r="AL11" s="85">
        <f t="shared" ca="1" si="65"/>
        <v>455</v>
      </c>
      <c r="AM11" s="68">
        <f t="shared" ca="1" si="65"/>
        <v>455</v>
      </c>
      <c r="AN11" s="68">
        <f t="shared" ca="1" si="65"/>
        <v>455</v>
      </c>
      <c r="AO11" s="68">
        <f t="shared" ca="1" si="65"/>
        <v>455</v>
      </c>
      <c r="AP11" s="85">
        <f t="shared" ca="1" si="65"/>
        <v>455</v>
      </c>
      <c r="AQ11" s="68">
        <f t="shared" ca="1" si="65"/>
        <v>455</v>
      </c>
      <c r="AR11" s="68">
        <f t="shared" ca="1" si="65"/>
        <v>455</v>
      </c>
      <c r="AS11" s="68">
        <f t="shared" ca="1" si="65"/>
        <v>455</v>
      </c>
      <c r="AT11" s="85">
        <f t="shared" ca="1" si="65"/>
        <v>455</v>
      </c>
      <c r="AU11" s="68">
        <f t="shared" ca="1" si="65"/>
        <v>455</v>
      </c>
      <c r="AV11" s="68">
        <f t="shared" ca="1" si="65"/>
        <v>455</v>
      </c>
      <c r="AW11" s="68">
        <f t="shared" ca="1" si="65"/>
        <v>605</v>
      </c>
      <c r="AX11" s="85">
        <f t="shared" ca="1" si="65"/>
        <v>480</v>
      </c>
      <c r="AY11" s="68">
        <f t="shared" ca="1" si="65"/>
        <v>480</v>
      </c>
      <c r="AZ11" s="68">
        <f t="shared" ca="1" si="65"/>
        <v>480</v>
      </c>
      <c r="BA11" s="68">
        <f t="shared" ca="1" si="65"/>
        <v>480</v>
      </c>
      <c r="BB11" s="85">
        <f t="shared" ca="1" si="65"/>
        <v>480</v>
      </c>
      <c r="BC11" s="68">
        <f t="shared" ca="1" si="65"/>
        <v>480</v>
      </c>
      <c r="BD11" s="68">
        <f t="shared" ca="1" si="65"/>
        <v>480</v>
      </c>
      <c r="BE11" s="68">
        <f t="shared" ca="1" si="65"/>
        <v>480</v>
      </c>
      <c r="BF11" s="85">
        <f t="shared" ca="1" si="65"/>
        <v>480</v>
      </c>
      <c r="BG11" s="68">
        <f t="shared" ca="1" si="65"/>
        <v>480</v>
      </c>
      <c r="BH11" s="68">
        <f t="shared" ca="1" si="65"/>
        <v>480</v>
      </c>
      <c r="BI11" s="68">
        <f t="shared" ca="1" si="65"/>
        <v>480</v>
      </c>
      <c r="BJ11" s="85">
        <f t="shared" ca="1" si="65"/>
        <v>480</v>
      </c>
      <c r="BK11" s="68">
        <f t="shared" ca="1" si="65"/>
        <v>480</v>
      </c>
      <c r="BL11" s="68">
        <f t="shared" ca="1" si="65"/>
        <v>480</v>
      </c>
      <c r="BM11" s="68">
        <f t="shared" ca="1" si="65"/>
        <v>480</v>
      </c>
      <c r="BN11" s="85">
        <f t="shared" ca="1" si="65"/>
        <v>480</v>
      </c>
      <c r="BO11" s="68">
        <f t="shared" ca="1" si="65"/>
        <v>480</v>
      </c>
      <c r="BP11" s="68">
        <f t="shared" ca="1" si="65"/>
        <v>480</v>
      </c>
      <c r="BQ11" s="68">
        <f t="shared" ca="1" si="65"/>
        <v>480</v>
      </c>
      <c r="BR11" s="85">
        <f t="shared" ca="1" si="65"/>
        <v>480</v>
      </c>
      <c r="BS11" s="68">
        <f t="shared" ca="1" si="65"/>
        <v>480</v>
      </c>
      <c r="BT11" s="68">
        <f t="shared" ca="1" si="65"/>
        <v>480</v>
      </c>
      <c r="BU11" s="68">
        <f t="shared" ca="1" si="65"/>
        <v>480</v>
      </c>
      <c r="BV11" s="85">
        <f t="shared" ca="1" si="65"/>
        <v>480</v>
      </c>
      <c r="BW11" s="68">
        <f t="shared" ca="1" si="65"/>
        <v>580</v>
      </c>
      <c r="BX11" s="68">
        <f t="shared" ca="1" si="65"/>
        <v>500</v>
      </c>
      <c r="BY11" s="68">
        <f t="shared" ca="1" si="65"/>
        <v>500</v>
      </c>
      <c r="BZ11" s="85">
        <f t="shared" ca="1" si="65"/>
        <v>500</v>
      </c>
      <c r="CA11" s="68">
        <f t="shared" ca="1" si="65"/>
        <v>500</v>
      </c>
      <c r="CB11" s="68">
        <f t="shared" ca="1" si="65"/>
        <v>500</v>
      </c>
      <c r="CC11" s="68">
        <f t="shared" ca="1" si="65"/>
        <v>500</v>
      </c>
      <c r="CD11" s="85">
        <f t="shared" ca="1" si="65"/>
        <v>500</v>
      </c>
      <c r="CE11" s="68">
        <f t="shared" ca="1" si="65"/>
        <v>500</v>
      </c>
      <c r="CF11" s="68">
        <f t="shared" ca="1" si="65"/>
        <v>500</v>
      </c>
      <c r="CG11" s="68">
        <f t="shared" ca="1" si="65"/>
        <v>500</v>
      </c>
      <c r="CH11" s="85">
        <f t="shared" ca="1" si="65"/>
        <v>500</v>
      </c>
      <c r="CI11" s="68">
        <f t="shared" ca="1" si="65"/>
        <v>570</v>
      </c>
      <c r="CJ11" s="68">
        <f t="shared" ref="CJ11:EU11" ca="1" si="66">IF(CJ3&gt;$J$5,"",CI11+CJ9-CJ10)</f>
        <v>510</v>
      </c>
      <c r="CK11" s="68">
        <f t="shared" ca="1" si="66"/>
        <v>510</v>
      </c>
      <c r="CL11" s="85">
        <f t="shared" ca="1" si="66"/>
        <v>510</v>
      </c>
      <c r="CM11" s="68">
        <f t="shared" ca="1" si="66"/>
        <v>510</v>
      </c>
      <c r="CN11" s="68">
        <f t="shared" ca="1" si="66"/>
        <v>510</v>
      </c>
      <c r="CO11" s="68">
        <f t="shared" ca="1" si="66"/>
        <v>510</v>
      </c>
      <c r="CP11" s="85">
        <f t="shared" ca="1" si="66"/>
        <v>510</v>
      </c>
      <c r="CQ11" s="68">
        <f t="shared" ca="1" si="66"/>
        <v>510</v>
      </c>
      <c r="CR11" s="68">
        <f t="shared" ca="1" si="66"/>
        <v>522</v>
      </c>
      <c r="CS11" s="68">
        <f t="shared" ca="1" si="66"/>
        <v>512</v>
      </c>
      <c r="CT11" s="85">
        <f t="shared" ca="1" si="66"/>
        <v>512</v>
      </c>
      <c r="CU11" s="68">
        <f t="shared" ca="1" si="66"/>
        <v>512</v>
      </c>
      <c r="CV11" s="68">
        <f t="shared" ca="1" si="66"/>
        <v>512</v>
      </c>
      <c r="CW11" s="68">
        <f t="shared" ca="1" si="66"/>
        <v>512</v>
      </c>
      <c r="CX11" s="85">
        <f t="shared" ca="1" si="66"/>
        <v>512</v>
      </c>
      <c r="CY11" s="68">
        <f t="shared" ca="1" si="66"/>
        <v>512</v>
      </c>
      <c r="CZ11" s="68">
        <f t="shared" ca="1" si="66"/>
        <v>512</v>
      </c>
      <c r="DA11" s="68">
        <f t="shared" ca="1" si="66"/>
        <v>512</v>
      </c>
      <c r="DB11" s="85">
        <f t="shared" ca="1" si="66"/>
        <v>512</v>
      </c>
      <c r="DC11" s="68">
        <f t="shared" ca="1" si="66"/>
        <v>512</v>
      </c>
      <c r="DD11" s="68">
        <f t="shared" ca="1" si="66"/>
        <v>512</v>
      </c>
      <c r="DE11" s="68">
        <f t="shared" ca="1" si="66"/>
        <v>512</v>
      </c>
      <c r="DF11" s="85">
        <f t="shared" ca="1" si="66"/>
        <v>512</v>
      </c>
      <c r="DG11" s="68">
        <f t="shared" ca="1" si="66"/>
        <v>512</v>
      </c>
      <c r="DH11" s="68">
        <f t="shared" ca="1" si="66"/>
        <v>512</v>
      </c>
      <c r="DI11" s="68">
        <f t="shared" ca="1" si="66"/>
        <v>512</v>
      </c>
      <c r="DJ11" s="85">
        <f t="shared" ca="1" si="66"/>
        <v>512</v>
      </c>
      <c r="DK11" s="68">
        <f t="shared" ca="1" si="66"/>
        <v>512</v>
      </c>
      <c r="DL11" s="68">
        <f t="shared" ca="1" si="66"/>
        <v>512</v>
      </c>
      <c r="DM11" s="68">
        <f t="shared" ca="1" si="66"/>
        <v>512</v>
      </c>
      <c r="DN11" s="85">
        <f t="shared" ca="1" si="66"/>
        <v>512</v>
      </c>
      <c r="DO11" s="68">
        <f t="shared" ca="1" si="66"/>
        <v>512</v>
      </c>
      <c r="DP11" s="68">
        <f t="shared" ca="1" si="66"/>
        <v>512</v>
      </c>
      <c r="DQ11" s="68">
        <f t="shared" ca="1" si="66"/>
        <v>512</v>
      </c>
      <c r="DR11" s="85">
        <f t="shared" ca="1" si="66"/>
        <v>512</v>
      </c>
      <c r="DS11" s="68">
        <f t="shared" ca="1" si="66"/>
        <v>512</v>
      </c>
      <c r="DT11" s="68">
        <f t="shared" ca="1" si="66"/>
        <v>512</v>
      </c>
      <c r="DU11" s="68">
        <f t="shared" ca="1" si="66"/>
        <v>512</v>
      </c>
      <c r="DV11" s="85">
        <f t="shared" ca="1" si="66"/>
        <v>512</v>
      </c>
      <c r="DW11" s="68">
        <f t="shared" ca="1" si="66"/>
        <v>512</v>
      </c>
      <c r="DX11" s="68">
        <f t="shared" ca="1" si="66"/>
        <v>512</v>
      </c>
      <c r="DY11" s="68">
        <f t="shared" ca="1" si="66"/>
        <v>512</v>
      </c>
      <c r="DZ11" s="85">
        <f t="shared" ca="1" si="66"/>
        <v>512</v>
      </c>
      <c r="EA11" s="68">
        <f t="shared" ca="1" si="66"/>
        <v>512</v>
      </c>
      <c r="EB11" s="68">
        <f t="shared" ca="1" si="66"/>
        <v>512</v>
      </c>
      <c r="EC11" s="68">
        <f t="shared" ca="1" si="66"/>
        <v>512</v>
      </c>
      <c r="ED11" s="85">
        <f t="shared" ca="1" si="66"/>
        <v>512</v>
      </c>
      <c r="EE11" s="68">
        <f t="shared" ca="1" si="66"/>
        <v>512</v>
      </c>
      <c r="EF11" s="68">
        <f t="shared" ca="1" si="66"/>
        <v>512</v>
      </c>
      <c r="EG11" s="68">
        <f t="shared" ca="1" si="66"/>
        <v>512</v>
      </c>
      <c r="EH11" s="85">
        <f t="shared" ca="1" si="66"/>
        <v>512</v>
      </c>
      <c r="EI11" s="68">
        <f t="shared" ca="1" si="66"/>
        <v>512</v>
      </c>
      <c r="EJ11" s="68">
        <f t="shared" ca="1" si="66"/>
        <v>512</v>
      </c>
      <c r="EK11" s="68">
        <f t="shared" ca="1" si="66"/>
        <v>512</v>
      </c>
      <c r="EL11" s="85">
        <f t="shared" ca="1" si="66"/>
        <v>512</v>
      </c>
      <c r="EM11" s="68">
        <f t="shared" ca="1" si="66"/>
        <v>512</v>
      </c>
      <c r="EN11" s="68">
        <f t="shared" ca="1" si="66"/>
        <v>512</v>
      </c>
      <c r="EO11" s="68">
        <f t="shared" ca="1" si="66"/>
        <v>512</v>
      </c>
      <c r="EP11" s="85">
        <f t="shared" ca="1" si="66"/>
        <v>512</v>
      </c>
      <c r="EQ11" s="68">
        <f t="shared" ca="1" si="66"/>
        <v>512</v>
      </c>
      <c r="ER11" s="68">
        <f t="shared" ca="1" si="66"/>
        <v>512</v>
      </c>
      <c r="ES11" s="68">
        <f t="shared" ca="1" si="66"/>
        <v>512</v>
      </c>
      <c r="ET11" s="85">
        <f t="shared" ca="1" si="66"/>
        <v>512</v>
      </c>
      <c r="EU11" s="68">
        <f t="shared" ca="1" si="66"/>
        <v>512</v>
      </c>
      <c r="EV11" s="68">
        <f t="shared" ref="EV11:GJ11" ca="1" si="67">IF(EV3&gt;$J$5,"",EU11+EV9-EV10)</f>
        <v>512</v>
      </c>
      <c r="EW11" s="68">
        <f t="shared" ca="1" si="67"/>
        <v>512</v>
      </c>
      <c r="EX11" s="85">
        <f t="shared" ca="1" si="67"/>
        <v>512</v>
      </c>
      <c r="EY11" s="68">
        <f t="shared" ca="1" si="67"/>
        <v>512</v>
      </c>
      <c r="EZ11" s="68">
        <f t="shared" ca="1" si="67"/>
        <v>512</v>
      </c>
      <c r="FA11" s="68">
        <f t="shared" ca="1" si="67"/>
        <v>512</v>
      </c>
      <c r="FB11" s="85">
        <f t="shared" ca="1" si="67"/>
        <v>512</v>
      </c>
      <c r="FC11" s="68">
        <f t="shared" ca="1" si="67"/>
        <v>512</v>
      </c>
      <c r="FD11" s="68">
        <f t="shared" ca="1" si="67"/>
        <v>512</v>
      </c>
      <c r="FE11" s="68">
        <f t="shared" ca="1" si="67"/>
        <v>512</v>
      </c>
      <c r="FF11" s="85">
        <f t="shared" ca="1" si="67"/>
        <v>512</v>
      </c>
      <c r="FG11" s="68">
        <f t="shared" ca="1" si="67"/>
        <v>512</v>
      </c>
      <c r="FH11" s="68">
        <f t="shared" ca="1" si="67"/>
        <v>512</v>
      </c>
      <c r="FI11" s="68">
        <f t="shared" ca="1" si="67"/>
        <v>512</v>
      </c>
      <c r="FJ11" s="85">
        <f t="shared" ca="1" si="67"/>
        <v>512</v>
      </c>
      <c r="FK11" s="68">
        <f t="shared" ca="1" si="67"/>
        <v>512</v>
      </c>
      <c r="FL11" s="68">
        <f t="shared" ca="1" si="67"/>
        <v>512</v>
      </c>
      <c r="FM11" s="68">
        <f t="shared" ca="1" si="67"/>
        <v>512</v>
      </c>
      <c r="FN11" s="85">
        <f t="shared" ca="1" si="67"/>
        <v>512</v>
      </c>
      <c r="FO11" s="68">
        <f t="shared" ca="1" si="67"/>
        <v>512</v>
      </c>
      <c r="FP11" s="68">
        <f t="shared" ca="1" si="67"/>
        <v>512</v>
      </c>
      <c r="FQ11" s="68">
        <f t="shared" ca="1" si="67"/>
        <v>512</v>
      </c>
      <c r="FR11" s="85">
        <f t="shared" ca="1" si="67"/>
        <v>512</v>
      </c>
      <c r="FS11" s="68">
        <f t="shared" ca="1" si="67"/>
        <v>512</v>
      </c>
      <c r="FT11" s="68">
        <f t="shared" ca="1" si="67"/>
        <v>512</v>
      </c>
      <c r="FU11" s="68">
        <f t="shared" ca="1" si="67"/>
        <v>512</v>
      </c>
      <c r="FV11" s="85">
        <f t="shared" ca="1" si="67"/>
        <v>512</v>
      </c>
      <c r="FW11" s="68">
        <f t="shared" ca="1" si="67"/>
        <v>512</v>
      </c>
      <c r="FX11" s="68">
        <f t="shared" ca="1" si="67"/>
        <v>512</v>
      </c>
      <c r="FY11" s="68">
        <f t="shared" ca="1" si="67"/>
        <v>512</v>
      </c>
      <c r="FZ11" s="85">
        <f t="shared" ca="1" si="67"/>
        <v>512</v>
      </c>
      <c r="GA11" s="68">
        <f t="shared" ca="1" si="67"/>
        <v>512</v>
      </c>
      <c r="GB11" s="68">
        <f t="shared" ca="1" si="67"/>
        <v>512</v>
      </c>
      <c r="GC11" s="68">
        <f t="shared" ca="1" si="67"/>
        <v>512</v>
      </c>
      <c r="GD11" s="85">
        <f t="shared" ca="1" si="67"/>
        <v>512</v>
      </c>
      <c r="GE11" s="68">
        <f t="shared" ca="1" si="67"/>
        <v>512</v>
      </c>
      <c r="GF11" s="68">
        <f t="shared" ca="1" si="67"/>
        <v>512</v>
      </c>
      <c r="GG11" s="68">
        <f t="shared" ca="1" si="67"/>
        <v>512</v>
      </c>
      <c r="GH11" s="85">
        <f t="shared" ca="1" si="67"/>
        <v>512</v>
      </c>
      <c r="GI11" s="68">
        <f t="shared" ca="1" si="67"/>
        <v>512</v>
      </c>
      <c r="GJ11" s="68">
        <f t="shared" ca="1" si="67"/>
        <v>512</v>
      </c>
      <c r="GK11" s="68">
        <f t="shared" ref="GK11" ca="1" si="68">IF(GK3&gt;$J$5,"",GJ11+GK9-GK10)</f>
        <v>552</v>
      </c>
      <c r="GL11" s="68">
        <f t="shared" ref="GL11" ca="1" si="69">IF(GL3&gt;$J$5,"",GK11+GL9-GL10)</f>
        <v>522</v>
      </c>
      <c r="GM11" s="68">
        <f t="shared" ref="GM11" ca="1" si="70">IF(GM3&gt;$J$5,"",GL11+GM9-GM10)</f>
        <v>522</v>
      </c>
      <c r="GN11" s="68">
        <f t="shared" ref="GN11" ca="1" si="71">IF(GN3&gt;$J$5,"",GM11+GN9-GN10)</f>
        <v>522</v>
      </c>
      <c r="GO11" s="68">
        <f t="shared" ref="GO11" ca="1" si="72">IF(GO3&gt;$J$5,"",GN11+GO9-GO10)</f>
        <v>522</v>
      </c>
      <c r="GP11" s="68">
        <f t="shared" ref="GP11" ca="1" si="73">IF(GP3&gt;$J$5,"",GO11+GP9-GP10)</f>
        <v>522</v>
      </c>
      <c r="GQ11" s="68">
        <f t="shared" ref="GQ11" ca="1" si="74">IF(GQ3&gt;$J$5,"",GP11+GQ9-GQ10)</f>
        <v>522</v>
      </c>
      <c r="GR11" s="68">
        <f t="shared" ref="GR11" ca="1" si="75">IF(GR3&gt;$J$5,"",GQ11+GR9-GR10)</f>
        <v>522</v>
      </c>
      <c r="GS11" s="68">
        <f t="shared" ref="GS11" ca="1" si="76">IF(GS3&gt;$J$5,"",GR11+GS9-GS10)</f>
        <v>522</v>
      </c>
      <c r="GT11" s="68">
        <f t="shared" ref="GT11" ca="1" si="77">IF(GT3&gt;$J$5,"",GS11+GT9-GT10)</f>
        <v>522</v>
      </c>
      <c r="GU11" s="68">
        <f t="shared" ref="GU11" ca="1" si="78">IF(GU3&gt;$J$5,"",GT11+GU9-GU10)</f>
        <v>522</v>
      </c>
      <c r="GV11" s="68">
        <f t="shared" ref="GV11" ca="1" si="79">IF(GV3&gt;$J$5,"",GU11+GV9-GV10)</f>
        <v>522</v>
      </c>
      <c r="GW11" s="68">
        <f t="shared" ref="GW11" ca="1" si="80">IF(GW3&gt;$J$5,"",GV11+GW9-GW10)</f>
        <v>522</v>
      </c>
      <c r="GX11" s="68">
        <f t="shared" ref="GX11" ca="1" si="81">IF(GX3&gt;$J$5,"",GW11+GX9-GX10)</f>
        <v>522</v>
      </c>
      <c r="GY11" s="68">
        <f t="shared" ref="GY11" ca="1" si="82">IF(GY3&gt;$J$5,"",GX11+GY9-GY10)</f>
        <v>522</v>
      </c>
      <c r="GZ11" s="68">
        <f t="shared" ref="GZ11" ca="1" si="83">IF(GZ3&gt;$J$5,"",GY11+GZ9-GZ10)</f>
        <v>522</v>
      </c>
      <c r="HA11" s="68">
        <f t="shared" ref="HA11" ca="1" si="84">IF(HA3&gt;$J$5,"",GZ11+HA9-HA10)</f>
        <v>522</v>
      </c>
      <c r="HB11" s="68">
        <f t="shared" ref="HB11" ca="1" si="85">IF(HB3&gt;$J$5,"",HA11+HB9-HB10)</f>
        <v>522</v>
      </c>
      <c r="HC11" s="68">
        <f t="shared" ref="HC11" ca="1" si="86">IF(HC3&gt;$J$5,"",HB11+HC9-HC10)</f>
        <v>522</v>
      </c>
      <c r="HD11" s="68" t="str">
        <f t="shared" ref="HD11" ca="1" si="87">IF(HD3&gt;$J$5,"",HC11+HD9-HD10)</f>
        <v/>
      </c>
      <c r="HE11" s="68" t="str">
        <f t="shared" ref="HE11" ca="1" si="88">IF(HE3&gt;$J$5,"",HD11+HE9-HE10)</f>
        <v/>
      </c>
      <c r="HF11" s="68" t="str">
        <f t="shared" ref="HF11" ca="1" si="89">IF(HF3&gt;$J$5,"",HE11+HF9-HF10)</f>
        <v/>
      </c>
      <c r="HG11" s="68" t="str">
        <f t="shared" ref="HG11" ca="1" si="90">IF(HG3&gt;$J$5,"",HF11+HG9-HG10)</f>
        <v/>
      </c>
      <c r="HH11" s="68" t="str">
        <f t="shared" ref="HH11" ca="1" si="91">IF(HH3&gt;$J$5,"",HG11+HH9-HH10)</f>
        <v/>
      </c>
      <c r="HI11" s="68" t="str">
        <f t="shared" ref="HI11" ca="1" si="92">IF(HI3&gt;$J$5,"",HH11+HI9-HI10)</f>
        <v/>
      </c>
      <c r="HJ11" s="68" t="str">
        <f t="shared" ref="HJ11" ca="1" si="93">IF(HJ3&gt;$J$5,"",HI11+HJ9-HJ10)</f>
        <v/>
      </c>
      <c r="HK11" s="68" t="str">
        <f t="shared" ref="HK11" ca="1" si="94">IF(HK3&gt;$J$5,"",HJ11+HK9-HK10)</f>
        <v/>
      </c>
      <c r="HL11" s="68" t="str">
        <f t="shared" ref="HL11" ca="1" si="95">IF(HL3&gt;$J$5,"",HK11+HL9-HL10)</f>
        <v/>
      </c>
      <c r="HM11" s="68" t="str">
        <f t="shared" ref="HM11" ca="1" si="96">IF(HM3&gt;$J$5,"",HL11+HM9-HM10)</f>
        <v/>
      </c>
      <c r="HN11" s="68" t="str">
        <f t="shared" ref="HN11" ca="1" si="97">IF(HN3&gt;$J$5,"",HM11+HN9-HN10)</f>
        <v/>
      </c>
      <c r="HO11" s="68" t="str">
        <f t="shared" ref="HO11" ca="1" si="98">IF(HO3&gt;$J$5,"",HN11+HO9-HO10)</f>
        <v/>
      </c>
      <c r="HP11" s="68" t="str">
        <f t="shared" ref="HP11" ca="1" si="99">IF(HP3&gt;$J$5,"",HO11+HP9-HP10)</f>
        <v/>
      </c>
      <c r="HQ11" s="68" t="str">
        <f t="shared" ref="HQ11" ca="1" si="100">IF(HQ3&gt;$J$5,"",HP11+HQ9-HQ10)</f>
        <v/>
      </c>
      <c r="HR11" s="68" t="str">
        <f t="shared" ref="HR11" ca="1" si="101">IF(HR3&gt;$J$5,"",HQ11+HR9-HR10)</f>
        <v/>
      </c>
      <c r="HS11" s="68" t="str">
        <f t="shared" ref="HS11" ca="1" si="102">IF(HS3&gt;$J$5,"",HR11+HS9-HS10)</f>
        <v/>
      </c>
      <c r="HT11" s="68" t="str">
        <f t="shared" ref="HT11" ca="1" si="103">IF(HT3&gt;$J$5,"",HS11+HT9-HT10)</f>
        <v/>
      </c>
      <c r="HU11" s="68" t="str">
        <f t="shared" ref="HU11" ca="1" si="104">IF(HU3&gt;$J$5,"",HT11+HU9-HU10)</f>
        <v/>
      </c>
      <c r="HV11" s="68" t="str">
        <f t="shared" ref="HV11" ca="1" si="105">IF(HV3&gt;$J$5,"",HU11+HV9-HV10)</f>
        <v/>
      </c>
      <c r="HW11" s="68" t="str">
        <f t="shared" ref="HW11" ca="1" si="106">IF(HW3&gt;$J$5,"",HV11+HW9-HW10)</f>
        <v/>
      </c>
      <c r="HX11" s="68" t="str">
        <f t="shared" ref="HX11" ca="1" si="107">IF(HX3&gt;$J$5,"",HW11+HX9-HX10)</f>
        <v/>
      </c>
      <c r="HY11" s="68" t="str">
        <f t="shared" ref="HY11" ca="1" si="108">IF(HY3&gt;$J$5,"",HX11+HY9-HY10)</f>
        <v/>
      </c>
      <c r="HZ11" s="68" t="str">
        <f t="shared" ref="HZ11" ca="1" si="109">IF(HZ3&gt;$J$5,"",HY11+HZ9-HZ10)</f>
        <v/>
      </c>
      <c r="IA11" s="68" t="str">
        <f t="shared" ref="IA11" ca="1" si="110">IF(IA3&gt;$J$5,"",HZ11+IA9-IA10)</f>
        <v/>
      </c>
      <c r="IB11" s="68" t="str">
        <f t="shared" ref="IB11" ca="1" si="111">IF(IB3&gt;$J$5,"",IA11+IB9-IB10)</f>
        <v/>
      </c>
      <c r="IC11" s="68" t="str">
        <f t="shared" ref="IC11" ca="1" si="112">IF(IC3&gt;$J$5,"",IB11+IC9-IC10)</f>
        <v/>
      </c>
      <c r="ID11" s="68" t="str">
        <f t="shared" ref="ID11" ca="1" si="113">IF(ID3&gt;$J$5,"",IC11+ID9-ID10)</f>
        <v/>
      </c>
      <c r="IE11" s="68" t="str">
        <f t="shared" ref="IE11" ca="1" si="114">IF(IE3&gt;$J$5,"",ID11+IE9-IE10)</f>
        <v/>
      </c>
      <c r="IF11" s="68" t="str">
        <f t="shared" ref="IF11" ca="1" si="115">IF(IF3&gt;$J$5,"",IE11+IF9-IF10)</f>
        <v/>
      </c>
      <c r="IG11" s="68" t="str">
        <f t="shared" ref="IG11" ca="1" si="116">IF(IG3&gt;$J$5,"",IF11+IG9-IG10)</f>
        <v/>
      </c>
      <c r="IH11" s="68" t="str">
        <f t="shared" ref="IH11" ca="1" si="117">IF(IH3&gt;$J$5,"",IG11+IH9-IH10)</f>
        <v/>
      </c>
      <c r="II11" s="68" t="str">
        <f t="shared" ref="II11" ca="1" si="118">IF(II3&gt;$J$5,"",IH11+II9-II10)</f>
        <v/>
      </c>
      <c r="IJ11" s="68" t="str">
        <f t="shared" ref="IJ11" ca="1" si="119">IF(IJ3&gt;$J$5,"",II11+IJ9-IJ10)</f>
        <v/>
      </c>
      <c r="IK11" s="68" t="str">
        <f t="shared" ref="IK11" ca="1" si="120">IF(IK3&gt;$J$5,"",IJ11+IK9-IK10)</f>
        <v/>
      </c>
      <c r="IL11" s="68" t="str">
        <f t="shared" ref="IL11" ca="1" si="121">IF(IL3&gt;$J$5,"",IK11+IL9-IL10)</f>
        <v/>
      </c>
      <c r="IM11" s="68" t="str">
        <f t="shared" ref="IM11" ca="1" si="122">IF(IM3&gt;$J$5,"",IL11+IM9-IM10)</f>
        <v/>
      </c>
      <c r="IN11" s="68" t="str">
        <f t="shared" ref="IN11" ca="1" si="123">IF(IN3&gt;$J$5,"",IM11+IN9-IN10)</f>
        <v/>
      </c>
      <c r="IO11" s="68" t="str">
        <f t="shared" ref="IO11" ca="1" si="124">IF(IO3&gt;$J$5,"",IN11+IO9-IO10)</f>
        <v/>
      </c>
      <c r="IP11" s="68" t="str">
        <f t="shared" ref="IP11" ca="1" si="125">IF(IP3&gt;$J$5,"",IO11+IP9-IP10)</f>
        <v/>
      </c>
      <c r="IQ11" s="68" t="str">
        <f t="shared" ref="IQ11" ca="1" si="126">IF(IQ3&gt;$J$5,"",IP11+IQ9-IQ10)</f>
        <v/>
      </c>
      <c r="IR11" s="68" t="str">
        <f t="shared" ref="IR11" ca="1" si="127">IF(IR3&gt;$J$5,"",IQ11+IR9-IR10)</f>
        <v/>
      </c>
      <c r="IS11" s="68" t="str">
        <f t="shared" ref="IS11" ca="1" si="128">IF(IS3&gt;$J$5,"",IR11+IS9-IS10)</f>
        <v/>
      </c>
      <c r="IT11" s="68" t="str">
        <f t="shared" ref="IT11" ca="1" si="129">IF(IT3&gt;$J$5,"",IS11+IT9-IT10)</f>
        <v/>
      </c>
      <c r="IU11" s="68" t="str">
        <f t="shared" ref="IU11" ca="1" si="130">IF(IU3&gt;$J$5,"",IT11+IU9-IU10)</f>
        <v/>
      </c>
      <c r="IV11" s="68" t="str">
        <f t="shared" ref="IV11" ca="1" si="131">IF(IV3&gt;$J$5,"",IU11+IV9-IV10)</f>
        <v/>
      </c>
      <c r="IW11" s="68" t="str">
        <f t="shared" ref="IW11" ca="1" si="132">IF(IW3&gt;$J$5,"",IV11+IW9-IW10)</f>
        <v/>
      </c>
      <c r="IX11" s="68" t="str">
        <f t="shared" ref="IX11" ca="1" si="133">IF(IX3&gt;$J$5,"",IW11+IX9-IX10)</f>
        <v/>
      </c>
      <c r="IY11" s="68" t="str">
        <f t="shared" ref="IY11" ca="1" si="134">IF(IY3&gt;$J$5,"",IX11+IY9-IY10)</f>
        <v/>
      </c>
      <c r="IZ11" s="68" t="str">
        <f t="shared" ref="IZ11" ca="1" si="135">IF(IZ3&gt;$J$5,"",IY11+IZ9-IZ10)</f>
        <v/>
      </c>
      <c r="JA11" s="68" t="str">
        <f t="shared" ref="JA11" ca="1" si="136">IF(JA3&gt;$J$5,"",IZ11+JA9-JA10)</f>
        <v/>
      </c>
      <c r="JB11" s="68" t="str">
        <f t="shared" ref="JB11" ca="1" si="137">IF(JB3&gt;$J$5,"",JA11+JB9-JB10)</f>
        <v/>
      </c>
      <c r="JC11" s="68" t="str">
        <f t="shared" ref="JC11" ca="1" si="138">IF(JC3&gt;$J$5,"",JB11+JC9-JC10)</f>
        <v/>
      </c>
      <c r="JD11" s="68" t="str">
        <f t="shared" ref="JD11" ca="1" si="139">IF(JD3&gt;$J$5,"",JC11+JD9-JD10)</f>
        <v/>
      </c>
      <c r="JE11" s="68" t="str">
        <f t="shared" ref="JE11" ca="1" si="140">IF(JE3&gt;$J$5,"",JD11+JE9-JE10)</f>
        <v/>
      </c>
      <c r="JF11" s="68" t="str">
        <f t="shared" ref="JF11" ca="1" si="141">IF(JF3&gt;$J$5,"",JE11+JF9-JF10)</f>
        <v/>
      </c>
      <c r="JG11" s="68" t="str">
        <f t="shared" ref="JG11" ca="1" si="142">IF(JG3&gt;$J$5,"",JF11+JG9-JG10)</f>
        <v/>
      </c>
      <c r="JH11" s="68" t="str">
        <f t="shared" ref="JH11" ca="1" si="143">IF(JH3&gt;$J$5,"",JG11+JH9-JH10)</f>
        <v/>
      </c>
      <c r="JI11" s="68" t="str">
        <f t="shared" ref="JI11" ca="1" si="144">IF(JI3&gt;$J$5,"",JH11+JI9-JI10)</f>
        <v/>
      </c>
      <c r="JJ11" s="68" t="str">
        <f t="shared" ref="JJ11" ca="1" si="145">IF(JJ3&gt;$J$5,"",JI11+JJ9-JJ10)</f>
        <v/>
      </c>
      <c r="JK11" s="68" t="str">
        <f t="shared" ref="JK11" ca="1" si="146">IF(JK3&gt;$J$5,"",JJ11+JK9-JK10)</f>
        <v/>
      </c>
      <c r="JL11" s="68" t="str">
        <f t="shared" ref="JL11" ca="1" si="147">IF(JL3&gt;$J$5,"",JK11+JL9-JL10)</f>
        <v/>
      </c>
      <c r="JM11" s="68" t="str">
        <f t="shared" ref="JM11" ca="1" si="148">IF(JM3&gt;$J$5,"",JL11+JM9-JM10)</f>
        <v/>
      </c>
      <c r="JN11" s="68" t="str">
        <f t="shared" ref="JN11" ca="1" si="149">IF(JN3&gt;$J$5,"",JM11+JN9-JN10)</f>
        <v/>
      </c>
      <c r="JO11" s="68" t="str">
        <f t="shared" ref="JO11" ca="1" si="150">IF(JO3&gt;$J$5,"",JN11+JO9-JO10)</f>
        <v/>
      </c>
      <c r="JP11" s="68" t="str">
        <f t="shared" ref="JP11" ca="1" si="151">IF(JP3&gt;$J$5,"",JO11+JP9-JP10)</f>
        <v/>
      </c>
      <c r="JQ11" s="68" t="str">
        <f t="shared" ref="JQ11" ca="1" si="152">IF(JQ3&gt;$J$5,"",JP11+JQ9-JQ10)</f>
        <v/>
      </c>
      <c r="JR11" s="68" t="str">
        <f t="shared" ref="JR11" ca="1" si="153">IF(JR3&gt;$J$5,"",JQ11+JR9-JR10)</f>
        <v/>
      </c>
      <c r="JS11" s="68" t="str">
        <f t="shared" ref="JS11" ca="1" si="154">IF(JS3&gt;$J$5,"",JR11+JS9-JS10)</f>
        <v/>
      </c>
      <c r="JT11" s="68" t="str">
        <f t="shared" ref="JT11" ca="1" si="155">IF(JT3&gt;$J$5,"",JS11+JT9-JT10)</f>
        <v/>
      </c>
      <c r="JU11" s="68" t="str">
        <f t="shared" ref="JU11" ca="1" si="156">IF(JU3&gt;$J$5,"",JT11+JU9-JU10)</f>
        <v/>
      </c>
      <c r="JV11" s="68" t="str">
        <f t="shared" ref="JV11" ca="1" si="157">IF(JV3&gt;$J$5,"",JU11+JV9-JV10)</f>
        <v/>
      </c>
      <c r="JW11" s="68" t="str">
        <f t="shared" ref="JW11" ca="1" si="158">IF(JW3&gt;$J$5,"",JV11+JW9-JW10)</f>
        <v/>
      </c>
      <c r="JX11" s="68" t="str">
        <f t="shared" ref="JX11" ca="1" si="159">IF(JX3&gt;$J$5,"",JW11+JX9-JX10)</f>
        <v/>
      </c>
      <c r="JY11" s="68" t="str">
        <f t="shared" ref="JY11" ca="1" si="160">IF(JY3&gt;$J$5,"",JX11+JY9-JY10)</f>
        <v/>
      </c>
      <c r="JZ11" s="100" t="str">
        <f t="shared" ref="JZ11" ca="1" si="161">IF(JZ3&gt;$J$5,"",JY11+JZ9-JZ10)</f>
        <v/>
      </c>
      <c r="KA11" s="167"/>
    </row>
    <row r="12" spans="1:669" s="47" customFormat="1" ht="15" hidden="1" customHeight="1" outlineLevel="1" x14ac:dyDescent="0.25">
      <c r="A12" s="150" t="str">
        <f>B9</f>
        <v>BATERIA</v>
      </c>
      <c r="B12" s="255"/>
      <c r="C12" s="153" t="str">
        <f t="shared" si="63"/>
        <v>GOPE</v>
      </c>
      <c r="D12" s="258"/>
      <c r="E12" s="173" t="s">
        <v>40</v>
      </c>
      <c r="F12" s="182">
        <f>(H13*H9)*SQRT(H10/H11)</f>
        <v>3.8357744074290276</v>
      </c>
      <c r="G12" s="176" t="s">
        <v>45</v>
      </c>
      <c r="H12" s="171">
        <v>0.95</v>
      </c>
      <c r="I12" s="236" t="s">
        <v>18</v>
      </c>
      <c r="J12" s="148" t="str">
        <f t="shared" si="64"/>
        <v>CORTE</v>
      </c>
      <c r="K12" s="291"/>
      <c r="L12" s="60"/>
      <c r="M12" s="61"/>
      <c r="N12" s="61"/>
      <c r="O12" s="61"/>
      <c r="P12" s="61"/>
      <c r="Q12" s="61"/>
      <c r="R12" s="61"/>
      <c r="S12" s="61"/>
      <c r="T12" s="61"/>
      <c r="U12" s="61"/>
      <c r="V12" s="84">
        <v>0</v>
      </c>
      <c r="W12" s="70">
        <v>0</v>
      </c>
      <c r="X12" s="70">
        <v>5</v>
      </c>
      <c r="Y12" s="70">
        <v>10</v>
      </c>
      <c r="Z12" s="84">
        <v>0</v>
      </c>
      <c r="AA12" s="70">
        <v>5</v>
      </c>
      <c r="AB12" s="70">
        <v>3</v>
      </c>
      <c r="AC12" s="70">
        <v>0</v>
      </c>
      <c r="AD12" s="84">
        <v>1</v>
      </c>
      <c r="AE12" s="70">
        <v>0</v>
      </c>
      <c r="AF12" s="70">
        <v>1</v>
      </c>
      <c r="AG12" s="70">
        <v>0</v>
      </c>
      <c r="AH12" s="84">
        <v>3</v>
      </c>
      <c r="AI12" s="70">
        <v>0</v>
      </c>
      <c r="AJ12" s="70">
        <v>0</v>
      </c>
      <c r="AK12" s="70">
        <v>4</v>
      </c>
      <c r="AL12" s="84">
        <v>0</v>
      </c>
      <c r="AM12" s="70">
        <v>2</v>
      </c>
      <c r="AN12" s="70">
        <v>0</v>
      </c>
      <c r="AO12" s="70">
        <v>0</v>
      </c>
      <c r="AP12" s="84">
        <v>3</v>
      </c>
      <c r="AQ12" s="70">
        <v>1</v>
      </c>
      <c r="AR12" s="70">
        <v>0</v>
      </c>
      <c r="AS12" s="70">
        <v>1</v>
      </c>
      <c r="AT12" s="84">
        <v>0</v>
      </c>
      <c r="AU12" s="70">
        <v>10</v>
      </c>
      <c r="AV12" s="70">
        <v>5</v>
      </c>
      <c r="AW12" s="70"/>
      <c r="AX12" s="84"/>
      <c r="AY12" s="70"/>
      <c r="AZ12" s="70">
        <v>10</v>
      </c>
      <c r="BA12" s="70"/>
      <c r="BB12" s="84">
        <v>2</v>
      </c>
      <c r="BC12" s="70"/>
      <c r="BD12" s="70"/>
      <c r="BE12" s="70">
        <v>1</v>
      </c>
      <c r="BF12" s="84"/>
      <c r="BG12" s="70">
        <v>5</v>
      </c>
      <c r="BH12" s="70"/>
      <c r="BI12" s="70">
        <v>2</v>
      </c>
      <c r="BJ12" s="84"/>
      <c r="BK12" s="70">
        <v>5</v>
      </c>
      <c r="BL12" s="70"/>
      <c r="BM12" s="70">
        <v>5</v>
      </c>
      <c r="BN12" s="84"/>
      <c r="BO12" s="70">
        <v>10</v>
      </c>
      <c r="BP12" s="70"/>
      <c r="BQ12" s="70">
        <v>8</v>
      </c>
      <c r="BR12" s="84"/>
      <c r="BS12" s="70"/>
      <c r="BT12" s="70">
        <v>1</v>
      </c>
      <c r="BU12" s="70"/>
      <c r="BV12" s="84"/>
      <c r="BW12" s="70"/>
      <c r="BX12" s="70"/>
      <c r="BY12" s="70">
        <v>5</v>
      </c>
      <c r="BZ12" s="84"/>
      <c r="CA12" s="70">
        <v>2</v>
      </c>
      <c r="CB12" s="70"/>
      <c r="CC12" s="70">
        <v>1</v>
      </c>
      <c r="CD12" s="84"/>
      <c r="CE12" s="70">
        <v>5</v>
      </c>
      <c r="CF12" s="70"/>
      <c r="CG12" s="70">
        <v>8</v>
      </c>
      <c r="CH12" s="84">
        <v>2</v>
      </c>
      <c r="CI12" s="70"/>
      <c r="CJ12" s="70"/>
      <c r="CK12" s="70">
        <v>3</v>
      </c>
      <c r="CL12" s="84"/>
      <c r="CM12" s="70">
        <v>1</v>
      </c>
      <c r="CN12" s="70"/>
      <c r="CO12" s="70"/>
      <c r="CP12" s="84">
        <v>2</v>
      </c>
      <c r="CQ12" s="70"/>
      <c r="CR12" s="70">
        <v>5</v>
      </c>
      <c r="CS12" s="70"/>
      <c r="CT12" s="84">
        <v>12</v>
      </c>
      <c r="CU12" s="70"/>
      <c r="CV12" s="70">
        <v>5</v>
      </c>
      <c r="CW12" s="70"/>
      <c r="CX12" s="84">
        <v>9</v>
      </c>
      <c r="CY12" s="70"/>
      <c r="CZ12" s="70"/>
      <c r="DA12" s="70"/>
      <c r="DB12" s="84"/>
      <c r="DC12" s="70">
        <v>5</v>
      </c>
      <c r="DD12" s="70"/>
      <c r="DE12" s="70"/>
      <c r="DF12" s="84">
        <v>1</v>
      </c>
      <c r="DG12" s="70"/>
      <c r="DH12" s="70"/>
      <c r="DI12" s="70">
        <v>3</v>
      </c>
      <c r="DJ12" s="84"/>
      <c r="DK12" s="70"/>
      <c r="DL12" s="70">
        <v>6</v>
      </c>
      <c r="DM12" s="70"/>
      <c r="DN12" s="84"/>
      <c r="DO12" s="70">
        <v>3</v>
      </c>
      <c r="DP12" s="70"/>
      <c r="DQ12" s="70">
        <v>5</v>
      </c>
      <c r="DR12" s="84"/>
      <c r="DS12" s="70"/>
      <c r="DT12" s="70">
        <v>8</v>
      </c>
      <c r="DU12" s="70"/>
      <c r="DV12" s="84"/>
      <c r="DW12" s="70">
        <v>2</v>
      </c>
      <c r="DX12" s="70"/>
      <c r="DY12" s="70">
        <v>2</v>
      </c>
      <c r="DZ12" s="84"/>
      <c r="EA12" s="70">
        <v>2</v>
      </c>
      <c r="EB12" s="70">
        <v>1</v>
      </c>
      <c r="EC12" s="70"/>
      <c r="ED12" s="84">
        <v>2</v>
      </c>
      <c r="EE12" s="70"/>
      <c r="EF12" s="70">
        <v>2</v>
      </c>
      <c r="EG12" s="70"/>
      <c r="EH12" s="84">
        <v>3</v>
      </c>
      <c r="EI12" s="70"/>
      <c r="EJ12" s="70"/>
      <c r="EK12" s="70">
        <v>5</v>
      </c>
      <c r="EL12" s="84"/>
      <c r="EM12" s="70">
        <v>2</v>
      </c>
      <c r="EN12" s="70"/>
      <c r="EO12" s="70">
        <v>2</v>
      </c>
      <c r="EP12" s="84"/>
      <c r="EQ12" s="70">
        <v>15</v>
      </c>
      <c r="ER12" s="70"/>
      <c r="ES12" s="70">
        <v>1</v>
      </c>
      <c r="ET12" s="84"/>
      <c r="EU12" s="70"/>
      <c r="EV12" s="70">
        <v>5</v>
      </c>
      <c r="EW12" s="70"/>
      <c r="EX12" s="84"/>
      <c r="EY12" s="70"/>
      <c r="EZ12" s="70"/>
      <c r="FA12" s="70"/>
      <c r="FB12" s="84"/>
      <c r="FC12" s="70"/>
      <c r="FD12" s="70"/>
      <c r="FE12" s="70"/>
      <c r="FF12" s="84">
        <v>5</v>
      </c>
      <c r="FG12" s="70"/>
      <c r="FH12" s="70"/>
      <c r="FI12" s="70">
        <v>1</v>
      </c>
      <c r="FJ12" s="84"/>
      <c r="FK12" s="70"/>
      <c r="FL12" s="70">
        <v>2</v>
      </c>
      <c r="FM12" s="70"/>
      <c r="FN12" s="84"/>
      <c r="FO12" s="70"/>
      <c r="FP12" s="70">
        <v>2</v>
      </c>
      <c r="FQ12" s="70"/>
      <c r="FR12" s="84"/>
      <c r="FS12" s="70"/>
      <c r="FT12" s="70"/>
      <c r="FU12" s="70"/>
      <c r="FV12" s="84">
        <v>3</v>
      </c>
      <c r="FW12" s="70"/>
      <c r="FX12" s="70">
        <v>5</v>
      </c>
      <c r="FY12" s="70"/>
      <c r="FZ12" s="84"/>
      <c r="GA12" s="70">
        <v>7</v>
      </c>
      <c r="GB12" s="70"/>
      <c r="GC12" s="70"/>
      <c r="GD12" s="84"/>
      <c r="GE12" s="70"/>
      <c r="GF12" s="70">
        <v>12</v>
      </c>
      <c r="GG12" s="70"/>
      <c r="GH12" s="84"/>
      <c r="GI12" s="70">
        <v>2</v>
      </c>
      <c r="GJ12" s="70"/>
      <c r="GK12" s="70">
        <v>1</v>
      </c>
      <c r="GL12" s="70"/>
      <c r="GM12" s="70"/>
      <c r="GN12" s="70"/>
      <c r="GO12" s="70"/>
      <c r="GP12" s="70"/>
      <c r="GQ12" s="70"/>
      <c r="GR12" s="70"/>
      <c r="GS12" s="70"/>
      <c r="GT12" s="70"/>
      <c r="GU12" s="70"/>
      <c r="GV12" s="70"/>
      <c r="GW12" s="70"/>
      <c r="GX12" s="70"/>
      <c r="GY12" s="70"/>
      <c r="GZ12" s="70"/>
      <c r="HA12" s="70"/>
      <c r="HB12" s="70"/>
      <c r="HC12" s="70"/>
      <c r="HD12" s="70"/>
      <c r="HE12" s="70"/>
      <c r="HF12" s="70"/>
      <c r="HG12" s="70"/>
      <c r="HH12" s="70"/>
      <c r="HI12" s="70"/>
      <c r="HJ12" s="70"/>
      <c r="HK12" s="70"/>
      <c r="HL12" s="70"/>
      <c r="HM12" s="70"/>
      <c r="HN12" s="70"/>
      <c r="HO12" s="70"/>
      <c r="HP12" s="70"/>
      <c r="HQ12" s="70"/>
      <c r="HR12" s="70"/>
      <c r="HS12" s="70"/>
      <c r="HT12" s="70"/>
      <c r="HU12" s="70"/>
      <c r="HV12" s="70"/>
      <c r="HW12" s="70"/>
      <c r="HX12" s="70"/>
      <c r="HY12" s="70"/>
      <c r="HZ12" s="70"/>
      <c r="IA12" s="70"/>
      <c r="IB12" s="70"/>
      <c r="IC12" s="70"/>
      <c r="ID12" s="70"/>
      <c r="IE12" s="70"/>
      <c r="IF12" s="70"/>
      <c r="IG12" s="70"/>
      <c r="IH12" s="70"/>
      <c r="II12" s="70"/>
      <c r="IJ12" s="70"/>
      <c r="IK12" s="70"/>
      <c r="IL12" s="70"/>
      <c r="IM12" s="70"/>
      <c r="IN12" s="70"/>
      <c r="IO12" s="70"/>
      <c r="IP12" s="70"/>
      <c r="IQ12" s="70"/>
      <c r="IR12" s="70"/>
      <c r="IS12" s="70"/>
      <c r="IT12" s="70"/>
      <c r="IU12" s="70"/>
      <c r="IV12" s="70"/>
      <c r="IW12" s="70"/>
      <c r="IX12" s="70"/>
      <c r="IY12" s="70"/>
      <c r="IZ12" s="70"/>
      <c r="JA12" s="70"/>
      <c r="JB12" s="70"/>
      <c r="JC12" s="70"/>
      <c r="JD12" s="70"/>
      <c r="JE12" s="70"/>
      <c r="JF12" s="70"/>
      <c r="JG12" s="70"/>
      <c r="JH12" s="70"/>
      <c r="JI12" s="70"/>
      <c r="JJ12" s="70"/>
      <c r="JK12" s="70"/>
      <c r="JL12" s="70"/>
      <c r="JM12" s="70"/>
      <c r="JN12" s="70"/>
      <c r="JO12" s="70"/>
      <c r="JP12" s="70"/>
      <c r="JQ12" s="70"/>
      <c r="JR12" s="70"/>
      <c r="JS12" s="70"/>
      <c r="JT12" s="70"/>
      <c r="JU12" s="70"/>
      <c r="JV12" s="70"/>
      <c r="JW12" s="70"/>
      <c r="JX12" s="70"/>
      <c r="JY12" s="70"/>
      <c r="JZ12" s="99"/>
      <c r="KA12" s="167"/>
    </row>
    <row r="13" spans="1:669" s="47" customFormat="1" ht="15" hidden="1" customHeight="1" outlineLevel="1" thickBot="1" x14ac:dyDescent="0.3">
      <c r="A13" s="151" t="str">
        <f>B9</f>
        <v>BATERIA</v>
      </c>
      <c r="B13" s="256"/>
      <c r="C13" s="154" t="str">
        <f t="shared" si="63"/>
        <v>GOPE</v>
      </c>
      <c r="D13" s="259"/>
      <c r="E13" s="177" t="s">
        <v>46</v>
      </c>
      <c r="F13" s="183"/>
      <c r="G13" s="178" t="s">
        <v>43</v>
      </c>
      <c r="H13" s="179">
        <v>1.645</v>
      </c>
      <c r="I13" s="237" t="s">
        <v>19</v>
      </c>
      <c r="J13" s="148" t="str">
        <f>J12</f>
        <v>CORTE</v>
      </c>
      <c r="K13" s="292"/>
      <c r="L13" s="62"/>
      <c r="M13" s="63"/>
      <c r="N13" s="63"/>
      <c r="O13" s="63"/>
      <c r="P13" s="63"/>
      <c r="Q13" s="63"/>
      <c r="R13" s="63"/>
      <c r="S13" s="63"/>
      <c r="T13" s="63"/>
      <c r="U13" s="63"/>
      <c r="V13" s="91">
        <f>U13+V10-V12</f>
        <v>0</v>
      </c>
      <c r="W13" s="91">
        <f t="shared" ref="W13:CH13" ca="1" si="162">IF(W3&gt;$J$5,"",V13+W10-W12)</f>
        <v>100</v>
      </c>
      <c r="X13" s="91">
        <f t="shared" ca="1" si="162"/>
        <v>95</v>
      </c>
      <c r="Y13" s="91">
        <f t="shared" ca="1" si="162"/>
        <v>85</v>
      </c>
      <c r="Z13" s="91">
        <f t="shared" ca="1" si="162"/>
        <v>85</v>
      </c>
      <c r="AA13" s="91">
        <f t="shared" ca="1" si="162"/>
        <v>95</v>
      </c>
      <c r="AB13" s="91">
        <f t="shared" ca="1" si="162"/>
        <v>117</v>
      </c>
      <c r="AC13" s="91">
        <f t="shared" ca="1" si="162"/>
        <v>117</v>
      </c>
      <c r="AD13" s="91">
        <f t="shared" ca="1" si="162"/>
        <v>116</v>
      </c>
      <c r="AE13" s="91">
        <f t="shared" ca="1" si="162"/>
        <v>116</v>
      </c>
      <c r="AF13" s="91">
        <f t="shared" ca="1" si="162"/>
        <v>115</v>
      </c>
      <c r="AG13" s="91">
        <f t="shared" ca="1" si="162"/>
        <v>115</v>
      </c>
      <c r="AH13" s="91">
        <f t="shared" ca="1" si="162"/>
        <v>112</v>
      </c>
      <c r="AI13" s="91">
        <f t="shared" ca="1" si="162"/>
        <v>112</v>
      </c>
      <c r="AJ13" s="91">
        <f t="shared" ca="1" si="162"/>
        <v>112</v>
      </c>
      <c r="AK13" s="91">
        <f t="shared" ca="1" si="162"/>
        <v>108</v>
      </c>
      <c r="AL13" s="91">
        <f t="shared" ca="1" si="162"/>
        <v>108</v>
      </c>
      <c r="AM13" s="91">
        <f t="shared" ca="1" si="162"/>
        <v>106</v>
      </c>
      <c r="AN13" s="91">
        <f t="shared" ca="1" si="162"/>
        <v>106</v>
      </c>
      <c r="AO13" s="91">
        <f t="shared" ca="1" si="162"/>
        <v>106</v>
      </c>
      <c r="AP13" s="91">
        <f t="shared" ca="1" si="162"/>
        <v>103</v>
      </c>
      <c r="AQ13" s="91">
        <f t="shared" ca="1" si="162"/>
        <v>102</v>
      </c>
      <c r="AR13" s="91">
        <f t="shared" ca="1" si="162"/>
        <v>102</v>
      </c>
      <c r="AS13" s="91">
        <f t="shared" ca="1" si="162"/>
        <v>101</v>
      </c>
      <c r="AT13" s="91">
        <f t="shared" ca="1" si="162"/>
        <v>101</v>
      </c>
      <c r="AU13" s="91">
        <f t="shared" ca="1" si="162"/>
        <v>91</v>
      </c>
      <c r="AV13" s="91">
        <f t="shared" ca="1" si="162"/>
        <v>86</v>
      </c>
      <c r="AW13" s="91">
        <f t="shared" ca="1" si="162"/>
        <v>86</v>
      </c>
      <c r="AX13" s="91">
        <f t="shared" ca="1" si="162"/>
        <v>211</v>
      </c>
      <c r="AY13" s="91">
        <f t="shared" ca="1" si="162"/>
        <v>211</v>
      </c>
      <c r="AZ13" s="91">
        <f t="shared" ca="1" si="162"/>
        <v>201</v>
      </c>
      <c r="BA13" s="91">
        <f t="shared" ca="1" si="162"/>
        <v>201</v>
      </c>
      <c r="BB13" s="91">
        <f t="shared" ca="1" si="162"/>
        <v>199</v>
      </c>
      <c r="BC13" s="91">
        <f t="shared" ca="1" si="162"/>
        <v>199</v>
      </c>
      <c r="BD13" s="91">
        <f t="shared" ca="1" si="162"/>
        <v>199</v>
      </c>
      <c r="BE13" s="91">
        <f t="shared" ca="1" si="162"/>
        <v>198</v>
      </c>
      <c r="BF13" s="91">
        <f t="shared" ca="1" si="162"/>
        <v>198</v>
      </c>
      <c r="BG13" s="91">
        <f t="shared" ca="1" si="162"/>
        <v>193</v>
      </c>
      <c r="BH13" s="91">
        <f t="shared" ca="1" si="162"/>
        <v>193</v>
      </c>
      <c r="BI13" s="91">
        <f t="shared" ca="1" si="162"/>
        <v>191</v>
      </c>
      <c r="BJ13" s="91">
        <f t="shared" ca="1" si="162"/>
        <v>191</v>
      </c>
      <c r="BK13" s="91">
        <f t="shared" ca="1" si="162"/>
        <v>186</v>
      </c>
      <c r="BL13" s="91">
        <f t="shared" ca="1" si="162"/>
        <v>186</v>
      </c>
      <c r="BM13" s="91">
        <f t="shared" ca="1" si="162"/>
        <v>181</v>
      </c>
      <c r="BN13" s="91">
        <f t="shared" ca="1" si="162"/>
        <v>181</v>
      </c>
      <c r="BO13" s="91">
        <f t="shared" ca="1" si="162"/>
        <v>171</v>
      </c>
      <c r="BP13" s="91">
        <f t="shared" ca="1" si="162"/>
        <v>171</v>
      </c>
      <c r="BQ13" s="91">
        <f t="shared" ca="1" si="162"/>
        <v>163</v>
      </c>
      <c r="BR13" s="91">
        <f t="shared" ca="1" si="162"/>
        <v>163</v>
      </c>
      <c r="BS13" s="91">
        <f t="shared" ca="1" si="162"/>
        <v>163</v>
      </c>
      <c r="BT13" s="91">
        <f t="shared" ca="1" si="162"/>
        <v>162</v>
      </c>
      <c r="BU13" s="91">
        <f t="shared" ca="1" si="162"/>
        <v>162</v>
      </c>
      <c r="BV13" s="91">
        <f t="shared" ca="1" si="162"/>
        <v>162</v>
      </c>
      <c r="BW13" s="91">
        <f t="shared" ca="1" si="162"/>
        <v>162</v>
      </c>
      <c r="BX13" s="91">
        <f t="shared" ca="1" si="162"/>
        <v>242</v>
      </c>
      <c r="BY13" s="91">
        <f t="shared" ca="1" si="162"/>
        <v>237</v>
      </c>
      <c r="BZ13" s="91">
        <f t="shared" ca="1" si="162"/>
        <v>237</v>
      </c>
      <c r="CA13" s="91">
        <f t="shared" ca="1" si="162"/>
        <v>235</v>
      </c>
      <c r="CB13" s="91">
        <f t="shared" ca="1" si="162"/>
        <v>235</v>
      </c>
      <c r="CC13" s="91">
        <f t="shared" ca="1" si="162"/>
        <v>234</v>
      </c>
      <c r="CD13" s="91">
        <f t="shared" ca="1" si="162"/>
        <v>234</v>
      </c>
      <c r="CE13" s="91">
        <f t="shared" ca="1" si="162"/>
        <v>229</v>
      </c>
      <c r="CF13" s="91">
        <f t="shared" ca="1" si="162"/>
        <v>229</v>
      </c>
      <c r="CG13" s="91">
        <f t="shared" ca="1" si="162"/>
        <v>221</v>
      </c>
      <c r="CH13" s="91">
        <f t="shared" ca="1" si="162"/>
        <v>219</v>
      </c>
      <c r="CI13" s="91">
        <f t="shared" ref="CI13:ET13" ca="1" si="163">IF(CI3&gt;$J$5,"",CH13+CI10-CI12)</f>
        <v>219</v>
      </c>
      <c r="CJ13" s="91">
        <f t="shared" ca="1" si="163"/>
        <v>279</v>
      </c>
      <c r="CK13" s="91">
        <f t="shared" ca="1" si="163"/>
        <v>276</v>
      </c>
      <c r="CL13" s="91">
        <f t="shared" ca="1" si="163"/>
        <v>276</v>
      </c>
      <c r="CM13" s="91">
        <f t="shared" ca="1" si="163"/>
        <v>275</v>
      </c>
      <c r="CN13" s="91">
        <f t="shared" ca="1" si="163"/>
        <v>275</v>
      </c>
      <c r="CO13" s="91">
        <f t="shared" ca="1" si="163"/>
        <v>275</v>
      </c>
      <c r="CP13" s="91">
        <f t="shared" ca="1" si="163"/>
        <v>273</v>
      </c>
      <c r="CQ13" s="91">
        <f t="shared" ca="1" si="163"/>
        <v>273</v>
      </c>
      <c r="CR13" s="91">
        <f t="shared" ca="1" si="163"/>
        <v>268</v>
      </c>
      <c r="CS13" s="91">
        <f t="shared" ca="1" si="163"/>
        <v>278</v>
      </c>
      <c r="CT13" s="91">
        <f t="shared" ca="1" si="163"/>
        <v>266</v>
      </c>
      <c r="CU13" s="91">
        <f t="shared" ca="1" si="163"/>
        <v>266</v>
      </c>
      <c r="CV13" s="91">
        <f t="shared" ca="1" si="163"/>
        <v>261</v>
      </c>
      <c r="CW13" s="91">
        <f t="shared" ca="1" si="163"/>
        <v>261</v>
      </c>
      <c r="CX13" s="91">
        <f t="shared" ca="1" si="163"/>
        <v>252</v>
      </c>
      <c r="CY13" s="91">
        <f t="shared" ca="1" si="163"/>
        <v>252</v>
      </c>
      <c r="CZ13" s="91">
        <f t="shared" ca="1" si="163"/>
        <v>252</v>
      </c>
      <c r="DA13" s="91">
        <f t="shared" ca="1" si="163"/>
        <v>252</v>
      </c>
      <c r="DB13" s="91">
        <f t="shared" ca="1" si="163"/>
        <v>252</v>
      </c>
      <c r="DC13" s="91">
        <f t="shared" ca="1" si="163"/>
        <v>247</v>
      </c>
      <c r="DD13" s="91">
        <f t="shared" ca="1" si="163"/>
        <v>247</v>
      </c>
      <c r="DE13" s="91">
        <f t="shared" ca="1" si="163"/>
        <v>247</v>
      </c>
      <c r="DF13" s="91">
        <f t="shared" ca="1" si="163"/>
        <v>246</v>
      </c>
      <c r="DG13" s="91">
        <f t="shared" ca="1" si="163"/>
        <v>246</v>
      </c>
      <c r="DH13" s="91">
        <f t="shared" ca="1" si="163"/>
        <v>246</v>
      </c>
      <c r="DI13" s="91">
        <f t="shared" ca="1" si="163"/>
        <v>243</v>
      </c>
      <c r="DJ13" s="91">
        <f t="shared" ca="1" si="163"/>
        <v>243</v>
      </c>
      <c r="DK13" s="91">
        <f t="shared" ca="1" si="163"/>
        <v>243</v>
      </c>
      <c r="DL13" s="91">
        <f t="shared" ca="1" si="163"/>
        <v>237</v>
      </c>
      <c r="DM13" s="91">
        <f t="shared" ca="1" si="163"/>
        <v>237</v>
      </c>
      <c r="DN13" s="91">
        <f t="shared" ca="1" si="163"/>
        <v>237</v>
      </c>
      <c r="DO13" s="91">
        <f t="shared" ca="1" si="163"/>
        <v>234</v>
      </c>
      <c r="DP13" s="91">
        <f t="shared" ca="1" si="163"/>
        <v>234</v>
      </c>
      <c r="DQ13" s="91">
        <f t="shared" ca="1" si="163"/>
        <v>229</v>
      </c>
      <c r="DR13" s="91">
        <f t="shared" ca="1" si="163"/>
        <v>229</v>
      </c>
      <c r="DS13" s="91">
        <f t="shared" ca="1" si="163"/>
        <v>229</v>
      </c>
      <c r="DT13" s="91">
        <f t="shared" ca="1" si="163"/>
        <v>221</v>
      </c>
      <c r="DU13" s="91">
        <f t="shared" ca="1" si="163"/>
        <v>221</v>
      </c>
      <c r="DV13" s="91">
        <f t="shared" ca="1" si="163"/>
        <v>221</v>
      </c>
      <c r="DW13" s="91">
        <f t="shared" ca="1" si="163"/>
        <v>219</v>
      </c>
      <c r="DX13" s="91">
        <f t="shared" ca="1" si="163"/>
        <v>219</v>
      </c>
      <c r="DY13" s="91">
        <f t="shared" ca="1" si="163"/>
        <v>217</v>
      </c>
      <c r="DZ13" s="91">
        <f t="shared" ca="1" si="163"/>
        <v>217</v>
      </c>
      <c r="EA13" s="91">
        <f t="shared" ca="1" si="163"/>
        <v>215</v>
      </c>
      <c r="EB13" s="91">
        <f t="shared" ca="1" si="163"/>
        <v>214</v>
      </c>
      <c r="EC13" s="91">
        <f t="shared" ca="1" si="163"/>
        <v>214</v>
      </c>
      <c r="ED13" s="91">
        <f t="shared" ca="1" si="163"/>
        <v>212</v>
      </c>
      <c r="EE13" s="91">
        <f t="shared" ca="1" si="163"/>
        <v>212</v>
      </c>
      <c r="EF13" s="91">
        <f t="shared" ca="1" si="163"/>
        <v>210</v>
      </c>
      <c r="EG13" s="91">
        <f t="shared" ca="1" si="163"/>
        <v>210</v>
      </c>
      <c r="EH13" s="91">
        <f t="shared" ca="1" si="163"/>
        <v>207</v>
      </c>
      <c r="EI13" s="91">
        <f t="shared" ca="1" si="163"/>
        <v>207</v>
      </c>
      <c r="EJ13" s="91">
        <f t="shared" ca="1" si="163"/>
        <v>207</v>
      </c>
      <c r="EK13" s="91">
        <f t="shared" ca="1" si="163"/>
        <v>202</v>
      </c>
      <c r="EL13" s="91">
        <f t="shared" ca="1" si="163"/>
        <v>202</v>
      </c>
      <c r="EM13" s="91">
        <f t="shared" ca="1" si="163"/>
        <v>200</v>
      </c>
      <c r="EN13" s="91">
        <f t="shared" ca="1" si="163"/>
        <v>200</v>
      </c>
      <c r="EO13" s="91">
        <f t="shared" ca="1" si="163"/>
        <v>198</v>
      </c>
      <c r="EP13" s="91">
        <f t="shared" ca="1" si="163"/>
        <v>198</v>
      </c>
      <c r="EQ13" s="91">
        <f t="shared" ca="1" si="163"/>
        <v>183</v>
      </c>
      <c r="ER13" s="91">
        <f t="shared" ca="1" si="163"/>
        <v>183</v>
      </c>
      <c r="ES13" s="91">
        <f t="shared" ca="1" si="163"/>
        <v>182</v>
      </c>
      <c r="ET13" s="91">
        <f t="shared" ca="1" si="163"/>
        <v>182</v>
      </c>
      <c r="EU13" s="91">
        <f t="shared" ref="EU13:HF13" ca="1" si="164">IF(EU3&gt;$J$5,"",ET13+EU10-EU12)</f>
        <v>182</v>
      </c>
      <c r="EV13" s="91">
        <f t="shared" ca="1" si="164"/>
        <v>177</v>
      </c>
      <c r="EW13" s="91">
        <f t="shared" ca="1" si="164"/>
        <v>177</v>
      </c>
      <c r="EX13" s="91">
        <f t="shared" ca="1" si="164"/>
        <v>177</v>
      </c>
      <c r="EY13" s="91">
        <f t="shared" ca="1" si="164"/>
        <v>177</v>
      </c>
      <c r="EZ13" s="91">
        <f t="shared" ca="1" si="164"/>
        <v>177</v>
      </c>
      <c r="FA13" s="91">
        <f t="shared" ca="1" si="164"/>
        <v>177</v>
      </c>
      <c r="FB13" s="91">
        <f t="shared" ca="1" si="164"/>
        <v>177</v>
      </c>
      <c r="FC13" s="91">
        <f t="shared" ca="1" si="164"/>
        <v>177</v>
      </c>
      <c r="FD13" s="91">
        <f t="shared" ca="1" si="164"/>
        <v>177</v>
      </c>
      <c r="FE13" s="91">
        <f t="shared" ca="1" si="164"/>
        <v>177</v>
      </c>
      <c r="FF13" s="91">
        <f t="shared" ca="1" si="164"/>
        <v>172</v>
      </c>
      <c r="FG13" s="91">
        <f t="shared" ca="1" si="164"/>
        <v>172</v>
      </c>
      <c r="FH13" s="91">
        <f t="shared" ca="1" si="164"/>
        <v>172</v>
      </c>
      <c r="FI13" s="91">
        <f t="shared" ca="1" si="164"/>
        <v>171</v>
      </c>
      <c r="FJ13" s="91">
        <f t="shared" ca="1" si="164"/>
        <v>171</v>
      </c>
      <c r="FK13" s="91">
        <f t="shared" ca="1" si="164"/>
        <v>171</v>
      </c>
      <c r="FL13" s="91">
        <f t="shared" ca="1" si="164"/>
        <v>169</v>
      </c>
      <c r="FM13" s="91">
        <f t="shared" ca="1" si="164"/>
        <v>169</v>
      </c>
      <c r="FN13" s="91">
        <f t="shared" ca="1" si="164"/>
        <v>169</v>
      </c>
      <c r="FO13" s="91">
        <f t="shared" ca="1" si="164"/>
        <v>169</v>
      </c>
      <c r="FP13" s="91">
        <f t="shared" ca="1" si="164"/>
        <v>167</v>
      </c>
      <c r="FQ13" s="91">
        <f t="shared" ca="1" si="164"/>
        <v>167</v>
      </c>
      <c r="FR13" s="91">
        <f t="shared" ca="1" si="164"/>
        <v>167</v>
      </c>
      <c r="FS13" s="91">
        <f t="shared" ca="1" si="164"/>
        <v>167</v>
      </c>
      <c r="FT13" s="91">
        <f t="shared" ca="1" si="164"/>
        <v>167</v>
      </c>
      <c r="FU13" s="91">
        <f t="shared" ca="1" si="164"/>
        <v>167</v>
      </c>
      <c r="FV13" s="91">
        <f t="shared" ca="1" si="164"/>
        <v>164</v>
      </c>
      <c r="FW13" s="91">
        <f t="shared" ca="1" si="164"/>
        <v>164</v>
      </c>
      <c r="FX13" s="91">
        <f t="shared" ca="1" si="164"/>
        <v>159</v>
      </c>
      <c r="FY13" s="91">
        <f t="shared" ca="1" si="164"/>
        <v>159</v>
      </c>
      <c r="FZ13" s="91">
        <f t="shared" ca="1" si="164"/>
        <v>159</v>
      </c>
      <c r="GA13" s="91">
        <f t="shared" ca="1" si="164"/>
        <v>152</v>
      </c>
      <c r="GB13" s="91">
        <f t="shared" ca="1" si="164"/>
        <v>152</v>
      </c>
      <c r="GC13" s="91">
        <f t="shared" ca="1" si="164"/>
        <v>152</v>
      </c>
      <c r="GD13" s="91">
        <f t="shared" ca="1" si="164"/>
        <v>152</v>
      </c>
      <c r="GE13" s="91">
        <f t="shared" ca="1" si="164"/>
        <v>152</v>
      </c>
      <c r="GF13" s="91">
        <f t="shared" ca="1" si="164"/>
        <v>140</v>
      </c>
      <c r="GG13" s="91">
        <f t="shared" ca="1" si="164"/>
        <v>140</v>
      </c>
      <c r="GH13" s="91">
        <f t="shared" ca="1" si="164"/>
        <v>140</v>
      </c>
      <c r="GI13" s="91">
        <f t="shared" ca="1" si="164"/>
        <v>138</v>
      </c>
      <c r="GJ13" s="91">
        <f t="shared" ca="1" si="164"/>
        <v>138</v>
      </c>
      <c r="GK13" s="91">
        <f t="shared" ca="1" si="164"/>
        <v>137</v>
      </c>
      <c r="GL13" s="91">
        <f t="shared" ca="1" si="164"/>
        <v>167</v>
      </c>
      <c r="GM13" s="91">
        <f t="shared" ca="1" si="164"/>
        <v>167</v>
      </c>
      <c r="GN13" s="91">
        <f t="shared" ca="1" si="164"/>
        <v>167</v>
      </c>
      <c r="GO13" s="91">
        <f t="shared" ca="1" si="164"/>
        <v>167</v>
      </c>
      <c r="GP13" s="91">
        <f t="shared" ca="1" si="164"/>
        <v>167</v>
      </c>
      <c r="GQ13" s="91">
        <f t="shared" ca="1" si="164"/>
        <v>167</v>
      </c>
      <c r="GR13" s="91">
        <f t="shared" ca="1" si="164"/>
        <v>167</v>
      </c>
      <c r="GS13" s="91">
        <f t="shared" ca="1" si="164"/>
        <v>167</v>
      </c>
      <c r="GT13" s="91">
        <f t="shared" ca="1" si="164"/>
        <v>167</v>
      </c>
      <c r="GU13" s="91">
        <f t="shared" ca="1" si="164"/>
        <v>167</v>
      </c>
      <c r="GV13" s="91">
        <f t="shared" ca="1" si="164"/>
        <v>167</v>
      </c>
      <c r="GW13" s="91">
        <f t="shared" ca="1" si="164"/>
        <v>167</v>
      </c>
      <c r="GX13" s="91">
        <f t="shared" ca="1" si="164"/>
        <v>167</v>
      </c>
      <c r="GY13" s="91">
        <f t="shared" ca="1" si="164"/>
        <v>167</v>
      </c>
      <c r="GZ13" s="91">
        <f t="shared" ca="1" si="164"/>
        <v>167</v>
      </c>
      <c r="HA13" s="91">
        <f t="shared" ca="1" si="164"/>
        <v>167</v>
      </c>
      <c r="HB13" s="91">
        <f t="shared" ca="1" si="164"/>
        <v>167</v>
      </c>
      <c r="HC13" s="91">
        <f t="shared" ca="1" si="164"/>
        <v>167</v>
      </c>
      <c r="HD13" s="91" t="str">
        <f t="shared" ca="1" si="164"/>
        <v/>
      </c>
      <c r="HE13" s="91" t="str">
        <f t="shared" ca="1" si="164"/>
        <v/>
      </c>
      <c r="HF13" s="91" t="str">
        <f t="shared" ca="1" si="164"/>
        <v/>
      </c>
      <c r="HG13" s="91" t="str">
        <f t="shared" ref="HG13:JR13" ca="1" si="165">IF(HG3&gt;$J$5,"",HF13+HG10-HG12)</f>
        <v/>
      </c>
      <c r="HH13" s="91" t="str">
        <f t="shared" ca="1" si="165"/>
        <v/>
      </c>
      <c r="HI13" s="91" t="str">
        <f t="shared" ca="1" si="165"/>
        <v/>
      </c>
      <c r="HJ13" s="91" t="str">
        <f t="shared" ca="1" si="165"/>
        <v/>
      </c>
      <c r="HK13" s="91" t="str">
        <f t="shared" ca="1" si="165"/>
        <v/>
      </c>
      <c r="HL13" s="91" t="str">
        <f t="shared" ca="1" si="165"/>
        <v/>
      </c>
      <c r="HM13" s="91" t="str">
        <f t="shared" ca="1" si="165"/>
        <v/>
      </c>
      <c r="HN13" s="91" t="str">
        <f t="shared" ca="1" si="165"/>
        <v/>
      </c>
      <c r="HO13" s="91" t="str">
        <f t="shared" ca="1" si="165"/>
        <v/>
      </c>
      <c r="HP13" s="91" t="str">
        <f t="shared" ca="1" si="165"/>
        <v/>
      </c>
      <c r="HQ13" s="91" t="str">
        <f t="shared" ca="1" si="165"/>
        <v/>
      </c>
      <c r="HR13" s="91" t="str">
        <f t="shared" ca="1" si="165"/>
        <v/>
      </c>
      <c r="HS13" s="91" t="str">
        <f t="shared" ca="1" si="165"/>
        <v/>
      </c>
      <c r="HT13" s="91" t="str">
        <f t="shared" ca="1" si="165"/>
        <v/>
      </c>
      <c r="HU13" s="91" t="str">
        <f t="shared" ca="1" si="165"/>
        <v/>
      </c>
      <c r="HV13" s="91" t="str">
        <f t="shared" ca="1" si="165"/>
        <v/>
      </c>
      <c r="HW13" s="91" t="str">
        <f t="shared" ca="1" si="165"/>
        <v/>
      </c>
      <c r="HX13" s="91" t="str">
        <f t="shared" ca="1" si="165"/>
        <v/>
      </c>
      <c r="HY13" s="91" t="str">
        <f t="shared" ca="1" si="165"/>
        <v/>
      </c>
      <c r="HZ13" s="91" t="str">
        <f t="shared" ca="1" si="165"/>
        <v/>
      </c>
      <c r="IA13" s="91" t="str">
        <f t="shared" ca="1" si="165"/>
        <v/>
      </c>
      <c r="IB13" s="91" t="str">
        <f t="shared" ca="1" si="165"/>
        <v/>
      </c>
      <c r="IC13" s="91" t="str">
        <f t="shared" ca="1" si="165"/>
        <v/>
      </c>
      <c r="ID13" s="91" t="str">
        <f t="shared" ca="1" si="165"/>
        <v/>
      </c>
      <c r="IE13" s="91" t="str">
        <f t="shared" ca="1" si="165"/>
        <v/>
      </c>
      <c r="IF13" s="91" t="str">
        <f t="shared" ca="1" si="165"/>
        <v/>
      </c>
      <c r="IG13" s="91" t="str">
        <f t="shared" ca="1" si="165"/>
        <v/>
      </c>
      <c r="IH13" s="91" t="str">
        <f t="shared" ca="1" si="165"/>
        <v/>
      </c>
      <c r="II13" s="91" t="str">
        <f t="shared" ca="1" si="165"/>
        <v/>
      </c>
      <c r="IJ13" s="91" t="str">
        <f t="shared" ca="1" si="165"/>
        <v/>
      </c>
      <c r="IK13" s="91" t="str">
        <f t="shared" ca="1" si="165"/>
        <v/>
      </c>
      <c r="IL13" s="91" t="str">
        <f t="shared" ca="1" si="165"/>
        <v/>
      </c>
      <c r="IM13" s="91" t="str">
        <f t="shared" ca="1" si="165"/>
        <v/>
      </c>
      <c r="IN13" s="91" t="str">
        <f t="shared" ca="1" si="165"/>
        <v/>
      </c>
      <c r="IO13" s="91" t="str">
        <f t="shared" ca="1" si="165"/>
        <v/>
      </c>
      <c r="IP13" s="91" t="str">
        <f t="shared" ca="1" si="165"/>
        <v/>
      </c>
      <c r="IQ13" s="91" t="str">
        <f t="shared" ca="1" si="165"/>
        <v/>
      </c>
      <c r="IR13" s="91" t="str">
        <f t="shared" ca="1" si="165"/>
        <v/>
      </c>
      <c r="IS13" s="91" t="str">
        <f t="shared" ca="1" si="165"/>
        <v/>
      </c>
      <c r="IT13" s="91" t="str">
        <f t="shared" ca="1" si="165"/>
        <v/>
      </c>
      <c r="IU13" s="91" t="str">
        <f t="shared" ca="1" si="165"/>
        <v/>
      </c>
      <c r="IV13" s="91" t="str">
        <f t="shared" ca="1" si="165"/>
        <v/>
      </c>
      <c r="IW13" s="91" t="str">
        <f t="shared" ca="1" si="165"/>
        <v/>
      </c>
      <c r="IX13" s="91" t="str">
        <f t="shared" ca="1" si="165"/>
        <v/>
      </c>
      <c r="IY13" s="91" t="str">
        <f t="shared" ca="1" si="165"/>
        <v/>
      </c>
      <c r="IZ13" s="91" t="str">
        <f t="shared" ca="1" si="165"/>
        <v/>
      </c>
      <c r="JA13" s="91" t="str">
        <f t="shared" ca="1" si="165"/>
        <v/>
      </c>
      <c r="JB13" s="91" t="str">
        <f t="shared" ca="1" si="165"/>
        <v/>
      </c>
      <c r="JC13" s="91" t="str">
        <f t="shared" ca="1" si="165"/>
        <v/>
      </c>
      <c r="JD13" s="91" t="str">
        <f t="shared" ca="1" si="165"/>
        <v/>
      </c>
      <c r="JE13" s="91" t="str">
        <f t="shared" ca="1" si="165"/>
        <v/>
      </c>
      <c r="JF13" s="91" t="str">
        <f t="shared" ca="1" si="165"/>
        <v/>
      </c>
      <c r="JG13" s="91" t="str">
        <f t="shared" ca="1" si="165"/>
        <v/>
      </c>
      <c r="JH13" s="91" t="str">
        <f t="shared" ca="1" si="165"/>
        <v/>
      </c>
      <c r="JI13" s="91" t="str">
        <f t="shared" ca="1" si="165"/>
        <v/>
      </c>
      <c r="JJ13" s="91" t="str">
        <f t="shared" ca="1" si="165"/>
        <v/>
      </c>
      <c r="JK13" s="91" t="str">
        <f t="shared" ca="1" si="165"/>
        <v/>
      </c>
      <c r="JL13" s="91" t="str">
        <f t="shared" ca="1" si="165"/>
        <v/>
      </c>
      <c r="JM13" s="91" t="str">
        <f t="shared" ca="1" si="165"/>
        <v/>
      </c>
      <c r="JN13" s="91" t="str">
        <f t="shared" ca="1" si="165"/>
        <v/>
      </c>
      <c r="JO13" s="91" t="str">
        <f t="shared" ca="1" si="165"/>
        <v/>
      </c>
      <c r="JP13" s="91" t="str">
        <f t="shared" ca="1" si="165"/>
        <v/>
      </c>
      <c r="JQ13" s="91" t="str">
        <f t="shared" ca="1" si="165"/>
        <v/>
      </c>
      <c r="JR13" s="91" t="str">
        <f t="shared" ca="1" si="165"/>
        <v/>
      </c>
      <c r="JS13" s="91" t="str">
        <f t="shared" ref="JS13:JZ13" ca="1" si="166">IF(JS3&gt;$J$5,"",JR13+JS10-JS12)</f>
        <v/>
      </c>
      <c r="JT13" s="91" t="str">
        <f t="shared" ca="1" si="166"/>
        <v/>
      </c>
      <c r="JU13" s="91" t="str">
        <f t="shared" ca="1" si="166"/>
        <v/>
      </c>
      <c r="JV13" s="91" t="str">
        <f t="shared" ca="1" si="166"/>
        <v/>
      </c>
      <c r="JW13" s="91" t="str">
        <f t="shared" ca="1" si="166"/>
        <v/>
      </c>
      <c r="JX13" s="91" t="str">
        <f t="shared" ca="1" si="166"/>
        <v/>
      </c>
      <c r="JY13" s="91" t="str">
        <f t="shared" ca="1" si="166"/>
        <v/>
      </c>
      <c r="JZ13" s="110" t="str">
        <f t="shared" ca="1" si="166"/>
        <v/>
      </c>
      <c r="KA13" s="167"/>
    </row>
    <row r="14" spans="1:669" s="47" customFormat="1" ht="15" hidden="1" customHeight="1" outlineLevel="1" thickTop="1" x14ac:dyDescent="0.25">
      <c r="A14" s="161" t="str">
        <f>B14</f>
        <v>SAX ALTO</v>
      </c>
      <c r="B14" s="260" t="s">
        <v>49</v>
      </c>
      <c r="C14" s="162" t="s">
        <v>50</v>
      </c>
      <c r="D14" s="261" t="s">
        <v>14</v>
      </c>
      <c r="E14" s="172" t="s">
        <v>42</v>
      </c>
      <c r="F14" s="180">
        <v>0</v>
      </c>
      <c r="G14" s="172" t="s">
        <v>37</v>
      </c>
      <c r="H14" s="169">
        <f>STDEVPA(V17:GN17)</f>
        <v>2.8005245967726755</v>
      </c>
      <c r="I14" s="238" t="s">
        <v>15</v>
      </c>
      <c r="J14" s="163" t="str">
        <f t="shared" si="64"/>
        <v>CORTE</v>
      </c>
      <c r="K14" s="293"/>
      <c r="L14" s="95"/>
      <c r="M14" s="96"/>
      <c r="N14" s="96"/>
      <c r="O14" s="96"/>
      <c r="P14" s="96"/>
      <c r="Q14" s="96"/>
      <c r="R14" s="96"/>
      <c r="S14" s="96"/>
      <c r="T14" s="96"/>
      <c r="U14" s="96"/>
      <c r="V14" s="97">
        <v>200</v>
      </c>
      <c r="W14" s="97">
        <v>0</v>
      </c>
      <c r="X14" s="97">
        <v>0</v>
      </c>
      <c r="Y14" s="97">
        <v>0</v>
      </c>
      <c r="Z14" s="97">
        <v>0</v>
      </c>
      <c r="AA14" s="97">
        <v>0</v>
      </c>
      <c r="AB14" s="97">
        <v>0</v>
      </c>
      <c r="AC14" s="97">
        <v>0</v>
      </c>
      <c r="AD14" s="97">
        <v>0</v>
      </c>
      <c r="AE14" s="97">
        <v>0</v>
      </c>
      <c r="AF14" s="97">
        <v>0</v>
      </c>
      <c r="AG14" s="97">
        <v>0</v>
      </c>
      <c r="AH14" s="97">
        <v>0</v>
      </c>
      <c r="AI14" s="97">
        <v>0</v>
      </c>
      <c r="AJ14" s="97">
        <v>0</v>
      </c>
      <c r="AK14" s="97">
        <v>0</v>
      </c>
      <c r="AL14" s="97">
        <v>0</v>
      </c>
      <c r="AM14" s="97">
        <v>100</v>
      </c>
      <c r="AN14" s="97">
        <v>0</v>
      </c>
      <c r="AO14" s="97">
        <v>0</v>
      </c>
      <c r="AP14" s="97">
        <v>0</v>
      </c>
      <c r="AQ14" s="97">
        <v>0</v>
      </c>
      <c r="AR14" s="97">
        <v>0</v>
      </c>
      <c r="AS14" s="97">
        <v>0</v>
      </c>
      <c r="AT14" s="97">
        <v>0</v>
      </c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>
        <v>225</v>
      </c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7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7"/>
      <c r="ED14" s="97"/>
      <c r="EE14" s="97"/>
      <c r="EF14" s="97"/>
      <c r="EG14" s="97"/>
      <c r="EH14" s="97"/>
      <c r="EI14" s="97"/>
      <c r="EJ14" s="97"/>
      <c r="EK14" s="97"/>
      <c r="EL14" s="97"/>
      <c r="EM14" s="97"/>
      <c r="EN14" s="97"/>
      <c r="EO14" s="97"/>
      <c r="EP14" s="97"/>
      <c r="EQ14" s="97"/>
      <c r="ER14" s="97"/>
      <c r="ES14" s="97"/>
      <c r="ET14" s="97"/>
      <c r="EU14" s="97"/>
      <c r="EV14" s="97"/>
      <c r="EW14" s="97"/>
      <c r="EX14" s="97"/>
      <c r="EY14" s="97"/>
      <c r="EZ14" s="97"/>
      <c r="FA14" s="97"/>
      <c r="FB14" s="97"/>
      <c r="FC14" s="97"/>
      <c r="FD14" s="97"/>
      <c r="FE14" s="97"/>
      <c r="FF14" s="97"/>
      <c r="FG14" s="97"/>
      <c r="FH14" s="97"/>
      <c r="FI14" s="97"/>
      <c r="FJ14" s="97"/>
      <c r="FK14" s="97"/>
      <c r="FL14" s="97"/>
      <c r="FM14" s="97"/>
      <c r="FN14" s="97"/>
      <c r="FO14" s="97"/>
      <c r="FP14" s="97"/>
      <c r="FQ14" s="97"/>
      <c r="FR14" s="97"/>
      <c r="FS14" s="97"/>
      <c r="FT14" s="97"/>
      <c r="FU14" s="97"/>
      <c r="FV14" s="97"/>
      <c r="FW14" s="97"/>
      <c r="FX14" s="97"/>
      <c r="FY14" s="97"/>
      <c r="FZ14" s="97"/>
      <c r="GA14" s="97"/>
      <c r="GB14" s="97"/>
      <c r="GC14" s="97"/>
      <c r="GD14" s="97"/>
      <c r="GE14" s="97"/>
      <c r="GF14" s="97"/>
      <c r="GG14" s="97"/>
      <c r="GH14" s="97"/>
      <c r="GI14" s="97"/>
      <c r="GJ14" s="97"/>
      <c r="GK14" s="97"/>
      <c r="GL14" s="97"/>
      <c r="GM14" s="97"/>
      <c r="GN14" s="97"/>
      <c r="GO14" s="97"/>
      <c r="GP14" s="97"/>
      <c r="GQ14" s="97"/>
      <c r="GR14" s="97"/>
      <c r="GS14" s="97"/>
      <c r="GT14" s="97"/>
      <c r="GU14" s="97"/>
      <c r="GV14" s="97"/>
      <c r="GW14" s="97"/>
      <c r="GX14" s="97"/>
      <c r="GY14" s="97"/>
      <c r="GZ14" s="97"/>
      <c r="HA14" s="97"/>
      <c r="HB14" s="97"/>
      <c r="HC14" s="97"/>
      <c r="HD14" s="97"/>
      <c r="HE14" s="97"/>
      <c r="HF14" s="97"/>
      <c r="HG14" s="97"/>
      <c r="HH14" s="97"/>
      <c r="HI14" s="97"/>
      <c r="HJ14" s="97"/>
      <c r="HK14" s="97"/>
      <c r="HL14" s="97"/>
      <c r="HM14" s="97"/>
      <c r="HN14" s="97"/>
      <c r="HO14" s="97"/>
      <c r="HP14" s="97"/>
      <c r="HQ14" s="97"/>
      <c r="HR14" s="97"/>
      <c r="HS14" s="97"/>
      <c r="HT14" s="97"/>
      <c r="HU14" s="97"/>
      <c r="HV14" s="97"/>
      <c r="HW14" s="97"/>
      <c r="HX14" s="97"/>
      <c r="HY14" s="97"/>
      <c r="HZ14" s="97"/>
      <c r="IA14" s="97"/>
      <c r="IB14" s="97"/>
      <c r="IC14" s="97"/>
      <c r="ID14" s="97"/>
      <c r="IE14" s="97"/>
      <c r="IF14" s="97"/>
      <c r="IG14" s="97"/>
      <c r="IH14" s="97"/>
      <c r="II14" s="97"/>
      <c r="IJ14" s="97"/>
      <c r="IK14" s="97"/>
      <c r="IL14" s="97"/>
      <c r="IM14" s="97"/>
      <c r="IN14" s="97"/>
      <c r="IO14" s="97"/>
      <c r="IP14" s="97"/>
      <c r="IQ14" s="97"/>
      <c r="IR14" s="97"/>
      <c r="IS14" s="97"/>
      <c r="IT14" s="97"/>
      <c r="IU14" s="97"/>
      <c r="IV14" s="97"/>
      <c r="IW14" s="97"/>
      <c r="IX14" s="97"/>
      <c r="IY14" s="97"/>
      <c r="IZ14" s="97"/>
      <c r="JA14" s="97"/>
      <c r="JB14" s="97"/>
      <c r="JC14" s="97"/>
      <c r="JD14" s="97"/>
      <c r="JE14" s="97"/>
      <c r="JF14" s="97"/>
      <c r="JG14" s="97"/>
      <c r="JH14" s="97"/>
      <c r="JI14" s="97"/>
      <c r="JJ14" s="97"/>
      <c r="JK14" s="97"/>
      <c r="JL14" s="97"/>
      <c r="JM14" s="97"/>
      <c r="JN14" s="97"/>
      <c r="JO14" s="97"/>
      <c r="JP14" s="97"/>
      <c r="JQ14" s="97"/>
      <c r="JR14" s="97"/>
      <c r="JS14" s="97"/>
      <c r="JT14" s="97"/>
      <c r="JU14" s="97"/>
      <c r="JV14" s="97"/>
      <c r="JW14" s="97"/>
      <c r="JX14" s="97"/>
      <c r="JY14" s="97"/>
      <c r="JZ14" s="98"/>
      <c r="KA14" s="167"/>
    </row>
    <row r="15" spans="1:669" s="47" customFormat="1" ht="15" hidden="1" customHeight="1" outlineLevel="1" x14ac:dyDescent="0.25">
      <c r="A15" s="150" t="str">
        <f>B14</f>
        <v>SAX ALTO</v>
      </c>
      <c r="B15" s="255"/>
      <c r="C15" s="153" t="str">
        <f>$C$14</f>
        <v>YAMAHA</v>
      </c>
      <c r="D15" s="258"/>
      <c r="E15" s="173" t="s">
        <v>44</v>
      </c>
      <c r="F15" s="181">
        <v>0</v>
      </c>
      <c r="G15" s="174" t="s">
        <v>38</v>
      </c>
      <c r="H15" s="170">
        <v>1</v>
      </c>
      <c r="I15" s="239" t="s">
        <v>16</v>
      </c>
      <c r="J15" s="148" t="str">
        <f t="shared" si="64"/>
        <v>CORTE</v>
      </c>
      <c r="K15" s="293"/>
      <c r="L15" s="57"/>
      <c r="M15" s="58"/>
      <c r="N15" s="58"/>
      <c r="O15" s="58"/>
      <c r="P15" s="58"/>
      <c r="Q15" s="58"/>
      <c r="R15" s="58"/>
      <c r="S15" s="58"/>
      <c r="T15" s="58"/>
      <c r="U15" s="58"/>
      <c r="V15" s="70">
        <v>0</v>
      </c>
      <c r="W15" s="70">
        <v>150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83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/>
      <c r="AV15" s="70"/>
      <c r="AW15" s="70"/>
      <c r="AX15" s="70"/>
      <c r="AY15" s="70">
        <v>20</v>
      </c>
      <c r="AZ15" s="70"/>
      <c r="BA15" s="70">
        <v>0</v>
      </c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>
        <v>200</v>
      </c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  <c r="FU15" s="70"/>
      <c r="FV15" s="70"/>
      <c r="FW15" s="70"/>
      <c r="FX15" s="70"/>
      <c r="FY15" s="70"/>
      <c r="FZ15" s="70"/>
      <c r="GA15" s="70"/>
      <c r="GB15" s="70"/>
      <c r="GC15" s="70"/>
      <c r="GD15" s="70"/>
      <c r="GE15" s="70"/>
      <c r="GF15" s="70"/>
      <c r="GG15" s="70"/>
      <c r="GH15" s="70"/>
      <c r="GI15" s="70"/>
      <c r="GJ15" s="70"/>
      <c r="GK15" s="70"/>
      <c r="GL15" s="70"/>
      <c r="GM15" s="70"/>
      <c r="GN15" s="70"/>
      <c r="GO15" s="70"/>
      <c r="GP15" s="70"/>
      <c r="GQ15" s="70"/>
      <c r="GR15" s="70"/>
      <c r="GS15" s="70"/>
      <c r="GT15" s="70"/>
      <c r="GU15" s="70"/>
      <c r="GV15" s="70"/>
      <c r="GW15" s="70"/>
      <c r="GX15" s="70"/>
      <c r="GY15" s="70"/>
      <c r="GZ15" s="70"/>
      <c r="HA15" s="70"/>
      <c r="HB15" s="70"/>
      <c r="HC15" s="70"/>
      <c r="HD15" s="70"/>
      <c r="HE15" s="70"/>
      <c r="HF15" s="70"/>
      <c r="HG15" s="70"/>
      <c r="HH15" s="70"/>
      <c r="HI15" s="70"/>
      <c r="HJ15" s="70"/>
      <c r="HK15" s="70"/>
      <c r="HL15" s="70"/>
      <c r="HM15" s="70"/>
      <c r="HN15" s="70"/>
      <c r="HO15" s="70"/>
      <c r="HP15" s="70"/>
      <c r="HQ15" s="70"/>
      <c r="HR15" s="70"/>
      <c r="HS15" s="70"/>
      <c r="HT15" s="70"/>
      <c r="HU15" s="70"/>
      <c r="HV15" s="70"/>
      <c r="HW15" s="70"/>
      <c r="HX15" s="70"/>
      <c r="HY15" s="70"/>
      <c r="HZ15" s="70"/>
      <c r="IA15" s="70"/>
      <c r="IB15" s="70"/>
      <c r="IC15" s="70"/>
      <c r="ID15" s="70"/>
      <c r="IE15" s="70"/>
      <c r="IF15" s="70"/>
      <c r="IG15" s="70"/>
      <c r="IH15" s="70"/>
      <c r="II15" s="70"/>
      <c r="IJ15" s="70"/>
      <c r="IK15" s="70"/>
      <c r="IL15" s="70"/>
      <c r="IM15" s="70"/>
      <c r="IN15" s="70"/>
      <c r="IO15" s="70"/>
      <c r="IP15" s="70"/>
      <c r="IQ15" s="70"/>
      <c r="IR15" s="70"/>
      <c r="IS15" s="70"/>
      <c r="IT15" s="70"/>
      <c r="IU15" s="70"/>
      <c r="IV15" s="70"/>
      <c r="IW15" s="70"/>
      <c r="IX15" s="70"/>
      <c r="IY15" s="70"/>
      <c r="IZ15" s="70"/>
      <c r="JA15" s="70"/>
      <c r="JB15" s="70"/>
      <c r="JC15" s="70"/>
      <c r="JD15" s="70"/>
      <c r="JE15" s="70"/>
      <c r="JF15" s="70"/>
      <c r="JG15" s="70"/>
      <c r="JH15" s="70"/>
      <c r="JI15" s="70"/>
      <c r="JJ15" s="70"/>
      <c r="JK15" s="70"/>
      <c r="JL15" s="70"/>
      <c r="JM15" s="70"/>
      <c r="JN15" s="70"/>
      <c r="JO15" s="70"/>
      <c r="JP15" s="70"/>
      <c r="JQ15" s="70"/>
      <c r="JR15" s="70"/>
      <c r="JS15" s="70"/>
      <c r="JT15" s="70"/>
      <c r="JU15" s="70"/>
      <c r="JV15" s="70"/>
      <c r="JW15" s="70"/>
      <c r="JX15" s="70"/>
      <c r="JY15" s="70"/>
      <c r="JZ15" s="99"/>
      <c r="KA15" s="168"/>
    </row>
    <row r="16" spans="1:669" s="47" customFormat="1" ht="15" hidden="1" customHeight="1" outlineLevel="1" x14ac:dyDescent="0.25">
      <c r="A16" s="150" t="str">
        <f>B14</f>
        <v>SAX ALTO</v>
      </c>
      <c r="B16" s="255"/>
      <c r="C16" s="153" t="str">
        <f t="shared" ref="C16:C18" si="167">$C$14</f>
        <v>YAMAHA</v>
      </c>
      <c r="D16" s="258"/>
      <c r="E16" s="173" t="s">
        <v>41</v>
      </c>
      <c r="F16" s="181">
        <v>0</v>
      </c>
      <c r="G16" s="175" t="s">
        <v>39</v>
      </c>
      <c r="H16" s="170">
        <v>1</v>
      </c>
      <c r="I16" s="239" t="s">
        <v>17</v>
      </c>
      <c r="J16" s="148" t="str">
        <f t="shared" si="64"/>
        <v>CORTE</v>
      </c>
      <c r="K16" s="293"/>
      <c r="L16" s="57"/>
      <c r="M16" s="58"/>
      <c r="N16" s="58"/>
      <c r="O16" s="58"/>
      <c r="P16" s="58"/>
      <c r="Q16" s="58"/>
      <c r="R16" s="58"/>
      <c r="S16" s="58"/>
      <c r="T16" s="58"/>
      <c r="U16" s="58"/>
      <c r="V16" s="68">
        <f t="shared" ref="V16:AI16" ca="1" si="168">IF(V3&gt;$J$5,"",U16+V14-V15)</f>
        <v>200</v>
      </c>
      <c r="W16" s="68">
        <f t="shared" ca="1" si="168"/>
        <v>50</v>
      </c>
      <c r="X16" s="68">
        <f t="shared" ca="1" si="168"/>
        <v>50</v>
      </c>
      <c r="Y16" s="68">
        <f t="shared" ca="1" si="168"/>
        <v>50</v>
      </c>
      <c r="Z16" s="68">
        <f t="shared" ca="1" si="168"/>
        <v>50</v>
      </c>
      <c r="AA16" s="68">
        <f t="shared" ca="1" si="168"/>
        <v>50</v>
      </c>
      <c r="AB16" s="68">
        <f t="shared" ca="1" si="168"/>
        <v>50</v>
      </c>
      <c r="AC16" s="68">
        <f t="shared" ca="1" si="168"/>
        <v>50</v>
      </c>
      <c r="AD16" s="68">
        <f t="shared" ca="1" si="168"/>
        <v>50</v>
      </c>
      <c r="AE16" s="68">
        <f t="shared" ca="1" si="168"/>
        <v>50</v>
      </c>
      <c r="AF16" s="68">
        <f t="shared" ca="1" si="168"/>
        <v>50</v>
      </c>
      <c r="AG16" s="68">
        <f t="shared" ca="1" si="168"/>
        <v>50</v>
      </c>
      <c r="AH16" s="68">
        <f t="shared" ca="1" si="168"/>
        <v>50</v>
      </c>
      <c r="AI16" s="68">
        <f t="shared" ca="1" si="168"/>
        <v>50</v>
      </c>
      <c r="AJ16" s="68">
        <v>0</v>
      </c>
      <c r="AK16" s="68">
        <f t="shared" ref="AK16:CV16" ca="1" si="169">IF(AK3&gt;$J$5,"",AJ16+AK14-AK15)</f>
        <v>0</v>
      </c>
      <c r="AL16" s="68">
        <f t="shared" ca="1" si="169"/>
        <v>0</v>
      </c>
      <c r="AM16" s="68">
        <f t="shared" ca="1" si="169"/>
        <v>100</v>
      </c>
      <c r="AN16" s="68">
        <f t="shared" ca="1" si="169"/>
        <v>17</v>
      </c>
      <c r="AO16" s="68">
        <f t="shared" ca="1" si="169"/>
        <v>17</v>
      </c>
      <c r="AP16" s="68">
        <f t="shared" ca="1" si="169"/>
        <v>17</v>
      </c>
      <c r="AQ16" s="68">
        <f t="shared" ca="1" si="169"/>
        <v>17</v>
      </c>
      <c r="AR16" s="68">
        <f t="shared" ca="1" si="169"/>
        <v>17</v>
      </c>
      <c r="AS16" s="68">
        <f t="shared" ca="1" si="169"/>
        <v>17</v>
      </c>
      <c r="AT16" s="68">
        <f t="shared" ca="1" si="169"/>
        <v>17</v>
      </c>
      <c r="AU16" s="68">
        <f t="shared" ca="1" si="169"/>
        <v>17</v>
      </c>
      <c r="AV16" s="68">
        <f t="shared" ca="1" si="169"/>
        <v>17</v>
      </c>
      <c r="AW16" s="68">
        <f t="shared" ca="1" si="169"/>
        <v>17</v>
      </c>
      <c r="AX16" s="68">
        <f t="shared" ca="1" si="169"/>
        <v>17</v>
      </c>
      <c r="AY16" s="68">
        <f t="shared" ca="1" si="169"/>
        <v>-3</v>
      </c>
      <c r="AZ16" s="68">
        <f t="shared" ca="1" si="169"/>
        <v>-3</v>
      </c>
      <c r="BA16" s="68">
        <f t="shared" ca="1" si="169"/>
        <v>-3</v>
      </c>
      <c r="BB16" s="68">
        <f t="shared" ca="1" si="169"/>
        <v>-3</v>
      </c>
      <c r="BC16" s="68">
        <f t="shared" ca="1" si="169"/>
        <v>-3</v>
      </c>
      <c r="BD16" s="68">
        <f t="shared" ca="1" si="169"/>
        <v>-3</v>
      </c>
      <c r="BE16" s="68">
        <f t="shared" ca="1" si="169"/>
        <v>-3</v>
      </c>
      <c r="BF16" s="68">
        <f t="shared" ca="1" si="169"/>
        <v>-3</v>
      </c>
      <c r="BG16" s="68">
        <f t="shared" ca="1" si="169"/>
        <v>-3</v>
      </c>
      <c r="BH16" s="68">
        <f t="shared" ca="1" si="169"/>
        <v>-3</v>
      </c>
      <c r="BI16" s="68">
        <f t="shared" ca="1" si="169"/>
        <v>-3</v>
      </c>
      <c r="BJ16" s="68">
        <f t="shared" ca="1" si="169"/>
        <v>-3</v>
      </c>
      <c r="BK16" s="68">
        <f t="shared" ca="1" si="169"/>
        <v>222</v>
      </c>
      <c r="BL16" s="68">
        <f t="shared" ca="1" si="169"/>
        <v>22</v>
      </c>
      <c r="BM16" s="68">
        <f t="shared" ca="1" si="169"/>
        <v>22</v>
      </c>
      <c r="BN16" s="68">
        <f t="shared" ca="1" si="169"/>
        <v>22</v>
      </c>
      <c r="BO16" s="68">
        <f t="shared" ca="1" si="169"/>
        <v>22</v>
      </c>
      <c r="BP16" s="68">
        <f t="shared" ca="1" si="169"/>
        <v>22</v>
      </c>
      <c r="BQ16" s="68">
        <f t="shared" ca="1" si="169"/>
        <v>22</v>
      </c>
      <c r="BR16" s="68">
        <f t="shared" ca="1" si="169"/>
        <v>22</v>
      </c>
      <c r="BS16" s="68">
        <f t="shared" ca="1" si="169"/>
        <v>22</v>
      </c>
      <c r="BT16" s="68">
        <f t="shared" ca="1" si="169"/>
        <v>22</v>
      </c>
      <c r="BU16" s="68">
        <f t="shared" ca="1" si="169"/>
        <v>22</v>
      </c>
      <c r="BV16" s="68">
        <f t="shared" ca="1" si="169"/>
        <v>22</v>
      </c>
      <c r="BW16" s="68">
        <f t="shared" ca="1" si="169"/>
        <v>22</v>
      </c>
      <c r="BX16" s="68">
        <f t="shared" ca="1" si="169"/>
        <v>22</v>
      </c>
      <c r="BY16" s="68">
        <f t="shared" ca="1" si="169"/>
        <v>22</v>
      </c>
      <c r="BZ16" s="68">
        <f t="shared" ca="1" si="169"/>
        <v>22</v>
      </c>
      <c r="CA16" s="68">
        <f t="shared" ca="1" si="169"/>
        <v>22</v>
      </c>
      <c r="CB16" s="68">
        <f t="shared" ca="1" si="169"/>
        <v>22</v>
      </c>
      <c r="CC16" s="68">
        <f t="shared" ca="1" si="169"/>
        <v>22</v>
      </c>
      <c r="CD16" s="68">
        <f t="shared" ca="1" si="169"/>
        <v>22</v>
      </c>
      <c r="CE16" s="68">
        <f t="shared" ca="1" si="169"/>
        <v>22</v>
      </c>
      <c r="CF16" s="68">
        <f t="shared" ca="1" si="169"/>
        <v>22</v>
      </c>
      <c r="CG16" s="68">
        <f t="shared" ca="1" si="169"/>
        <v>22</v>
      </c>
      <c r="CH16" s="68">
        <f t="shared" ca="1" si="169"/>
        <v>22</v>
      </c>
      <c r="CI16" s="68">
        <f t="shared" ca="1" si="169"/>
        <v>22</v>
      </c>
      <c r="CJ16" s="68">
        <f t="shared" ca="1" si="169"/>
        <v>22</v>
      </c>
      <c r="CK16" s="68">
        <f t="shared" ca="1" si="169"/>
        <v>22</v>
      </c>
      <c r="CL16" s="68">
        <f t="shared" ca="1" si="169"/>
        <v>22</v>
      </c>
      <c r="CM16" s="68">
        <f t="shared" ca="1" si="169"/>
        <v>22</v>
      </c>
      <c r="CN16" s="68">
        <f t="shared" ca="1" si="169"/>
        <v>22</v>
      </c>
      <c r="CO16" s="68">
        <f t="shared" ca="1" si="169"/>
        <v>22</v>
      </c>
      <c r="CP16" s="68">
        <f t="shared" ca="1" si="169"/>
        <v>22</v>
      </c>
      <c r="CQ16" s="68">
        <f t="shared" ca="1" si="169"/>
        <v>22</v>
      </c>
      <c r="CR16" s="68">
        <f t="shared" ca="1" si="169"/>
        <v>22</v>
      </c>
      <c r="CS16" s="68">
        <f t="shared" ca="1" si="169"/>
        <v>22</v>
      </c>
      <c r="CT16" s="68">
        <f t="shared" ca="1" si="169"/>
        <v>22</v>
      </c>
      <c r="CU16" s="68">
        <f t="shared" ca="1" si="169"/>
        <v>22</v>
      </c>
      <c r="CV16" s="68">
        <f t="shared" ca="1" si="169"/>
        <v>22</v>
      </c>
      <c r="CW16" s="68">
        <f t="shared" ref="CW16:FH16" ca="1" si="170">IF(CW3&gt;$J$5,"",CV16+CW14-CW15)</f>
        <v>22</v>
      </c>
      <c r="CX16" s="68">
        <f t="shared" ca="1" si="170"/>
        <v>22</v>
      </c>
      <c r="CY16" s="68">
        <f t="shared" ca="1" si="170"/>
        <v>22</v>
      </c>
      <c r="CZ16" s="68">
        <f t="shared" ca="1" si="170"/>
        <v>22</v>
      </c>
      <c r="DA16" s="68">
        <f t="shared" ca="1" si="170"/>
        <v>22</v>
      </c>
      <c r="DB16" s="68">
        <f t="shared" ca="1" si="170"/>
        <v>22</v>
      </c>
      <c r="DC16" s="68">
        <f t="shared" ca="1" si="170"/>
        <v>22</v>
      </c>
      <c r="DD16" s="68">
        <f t="shared" ca="1" si="170"/>
        <v>22</v>
      </c>
      <c r="DE16" s="68">
        <f t="shared" ca="1" si="170"/>
        <v>22</v>
      </c>
      <c r="DF16" s="68">
        <f t="shared" ca="1" si="170"/>
        <v>22</v>
      </c>
      <c r="DG16" s="68">
        <f t="shared" ca="1" si="170"/>
        <v>22</v>
      </c>
      <c r="DH16" s="68">
        <f t="shared" ca="1" si="170"/>
        <v>22</v>
      </c>
      <c r="DI16" s="68">
        <f t="shared" ca="1" si="170"/>
        <v>22</v>
      </c>
      <c r="DJ16" s="68">
        <f t="shared" ca="1" si="170"/>
        <v>22</v>
      </c>
      <c r="DK16" s="68">
        <f t="shared" ca="1" si="170"/>
        <v>22</v>
      </c>
      <c r="DL16" s="68">
        <f t="shared" ca="1" si="170"/>
        <v>22</v>
      </c>
      <c r="DM16" s="68">
        <f t="shared" ca="1" si="170"/>
        <v>22</v>
      </c>
      <c r="DN16" s="68">
        <f t="shared" ca="1" si="170"/>
        <v>22</v>
      </c>
      <c r="DO16" s="68">
        <f t="shared" ca="1" si="170"/>
        <v>22</v>
      </c>
      <c r="DP16" s="68">
        <f t="shared" ca="1" si="170"/>
        <v>22</v>
      </c>
      <c r="DQ16" s="68">
        <f t="shared" ca="1" si="170"/>
        <v>22</v>
      </c>
      <c r="DR16" s="68">
        <f t="shared" ca="1" si="170"/>
        <v>22</v>
      </c>
      <c r="DS16" s="68">
        <f t="shared" ca="1" si="170"/>
        <v>22</v>
      </c>
      <c r="DT16" s="68">
        <f t="shared" ca="1" si="170"/>
        <v>22</v>
      </c>
      <c r="DU16" s="68">
        <f t="shared" ca="1" si="170"/>
        <v>22</v>
      </c>
      <c r="DV16" s="68">
        <f t="shared" ca="1" si="170"/>
        <v>22</v>
      </c>
      <c r="DW16" s="68">
        <f t="shared" ca="1" si="170"/>
        <v>22</v>
      </c>
      <c r="DX16" s="68">
        <f t="shared" ca="1" si="170"/>
        <v>22</v>
      </c>
      <c r="DY16" s="68">
        <f t="shared" ca="1" si="170"/>
        <v>22</v>
      </c>
      <c r="DZ16" s="68">
        <f t="shared" ca="1" si="170"/>
        <v>22</v>
      </c>
      <c r="EA16" s="68">
        <f t="shared" ca="1" si="170"/>
        <v>22</v>
      </c>
      <c r="EB16" s="68">
        <f t="shared" ca="1" si="170"/>
        <v>22</v>
      </c>
      <c r="EC16" s="68">
        <f t="shared" ca="1" si="170"/>
        <v>22</v>
      </c>
      <c r="ED16" s="68">
        <f t="shared" ca="1" si="170"/>
        <v>22</v>
      </c>
      <c r="EE16" s="68">
        <f t="shared" ca="1" si="170"/>
        <v>22</v>
      </c>
      <c r="EF16" s="68">
        <f t="shared" ca="1" si="170"/>
        <v>22</v>
      </c>
      <c r="EG16" s="68">
        <f t="shared" ca="1" si="170"/>
        <v>22</v>
      </c>
      <c r="EH16" s="68">
        <f t="shared" ca="1" si="170"/>
        <v>22</v>
      </c>
      <c r="EI16" s="68">
        <f t="shared" ca="1" si="170"/>
        <v>22</v>
      </c>
      <c r="EJ16" s="68">
        <f t="shared" ca="1" si="170"/>
        <v>22</v>
      </c>
      <c r="EK16" s="68">
        <f t="shared" ca="1" si="170"/>
        <v>22</v>
      </c>
      <c r="EL16" s="68">
        <f t="shared" ca="1" si="170"/>
        <v>22</v>
      </c>
      <c r="EM16" s="68">
        <f t="shared" ca="1" si="170"/>
        <v>22</v>
      </c>
      <c r="EN16" s="68">
        <f t="shared" ca="1" si="170"/>
        <v>22</v>
      </c>
      <c r="EO16" s="68">
        <f t="shared" ca="1" si="170"/>
        <v>22</v>
      </c>
      <c r="EP16" s="68">
        <f t="shared" ca="1" si="170"/>
        <v>22</v>
      </c>
      <c r="EQ16" s="68">
        <f t="shared" ca="1" si="170"/>
        <v>22</v>
      </c>
      <c r="ER16" s="68">
        <f t="shared" ca="1" si="170"/>
        <v>22</v>
      </c>
      <c r="ES16" s="68">
        <f t="shared" ca="1" si="170"/>
        <v>22</v>
      </c>
      <c r="ET16" s="68">
        <f t="shared" ca="1" si="170"/>
        <v>22</v>
      </c>
      <c r="EU16" s="68">
        <f t="shared" ca="1" si="170"/>
        <v>22</v>
      </c>
      <c r="EV16" s="68">
        <f t="shared" ca="1" si="170"/>
        <v>22</v>
      </c>
      <c r="EW16" s="68">
        <f t="shared" ca="1" si="170"/>
        <v>22</v>
      </c>
      <c r="EX16" s="68">
        <f t="shared" ca="1" si="170"/>
        <v>22</v>
      </c>
      <c r="EY16" s="68">
        <f t="shared" ca="1" si="170"/>
        <v>22</v>
      </c>
      <c r="EZ16" s="68">
        <f t="shared" ca="1" si="170"/>
        <v>22</v>
      </c>
      <c r="FA16" s="68">
        <f t="shared" ca="1" si="170"/>
        <v>22</v>
      </c>
      <c r="FB16" s="68">
        <f t="shared" ca="1" si="170"/>
        <v>22</v>
      </c>
      <c r="FC16" s="68">
        <f t="shared" ca="1" si="170"/>
        <v>22</v>
      </c>
      <c r="FD16" s="68">
        <f t="shared" ca="1" si="170"/>
        <v>22</v>
      </c>
      <c r="FE16" s="68">
        <f t="shared" ca="1" si="170"/>
        <v>22</v>
      </c>
      <c r="FF16" s="68">
        <f t="shared" ca="1" si="170"/>
        <v>22</v>
      </c>
      <c r="FG16" s="68">
        <f t="shared" ca="1" si="170"/>
        <v>22</v>
      </c>
      <c r="FH16" s="68">
        <f t="shared" ca="1" si="170"/>
        <v>22</v>
      </c>
      <c r="FI16" s="68">
        <f t="shared" ref="FI16:HT16" ca="1" si="171">IF(FI3&gt;$J$5,"",FH16+FI14-FI15)</f>
        <v>22</v>
      </c>
      <c r="FJ16" s="68">
        <f t="shared" ca="1" si="171"/>
        <v>22</v>
      </c>
      <c r="FK16" s="68">
        <f t="shared" ca="1" si="171"/>
        <v>22</v>
      </c>
      <c r="FL16" s="68">
        <f t="shared" ca="1" si="171"/>
        <v>22</v>
      </c>
      <c r="FM16" s="68">
        <f t="shared" ca="1" si="171"/>
        <v>22</v>
      </c>
      <c r="FN16" s="68">
        <f t="shared" ca="1" si="171"/>
        <v>22</v>
      </c>
      <c r="FO16" s="68">
        <f t="shared" ca="1" si="171"/>
        <v>22</v>
      </c>
      <c r="FP16" s="68">
        <f t="shared" ca="1" si="171"/>
        <v>22</v>
      </c>
      <c r="FQ16" s="68">
        <f t="shared" ca="1" si="171"/>
        <v>22</v>
      </c>
      <c r="FR16" s="68">
        <f t="shared" ca="1" si="171"/>
        <v>22</v>
      </c>
      <c r="FS16" s="68">
        <f t="shared" ca="1" si="171"/>
        <v>22</v>
      </c>
      <c r="FT16" s="68">
        <f t="shared" ca="1" si="171"/>
        <v>22</v>
      </c>
      <c r="FU16" s="68">
        <f t="shared" ca="1" si="171"/>
        <v>22</v>
      </c>
      <c r="FV16" s="68">
        <f t="shared" ca="1" si="171"/>
        <v>22</v>
      </c>
      <c r="FW16" s="68">
        <f t="shared" ca="1" si="171"/>
        <v>22</v>
      </c>
      <c r="FX16" s="68">
        <f t="shared" ca="1" si="171"/>
        <v>22</v>
      </c>
      <c r="FY16" s="68">
        <f t="shared" ca="1" si="171"/>
        <v>22</v>
      </c>
      <c r="FZ16" s="68">
        <f t="shared" ca="1" si="171"/>
        <v>22</v>
      </c>
      <c r="GA16" s="68">
        <f t="shared" ca="1" si="171"/>
        <v>22</v>
      </c>
      <c r="GB16" s="68">
        <f t="shared" ca="1" si="171"/>
        <v>22</v>
      </c>
      <c r="GC16" s="68">
        <f t="shared" ca="1" si="171"/>
        <v>22</v>
      </c>
      <c r="GD16" s="68">
        <f t="shared" ca="1" si="171"/>
        <v>22</v>
      </c>
      <c r="GE16" s="68">
        <f t="shared" ca="1" si="171"/>
        <v>22</v>
      </c>
      <c r="GF16" s="68">
        <f t="shared" ca="1" si="171"/>
        <v>22</v>
      </c>
      <c r="GG16" s="68">
        <f t="shared" ca="1" si="171"/>
        <v>22</v>
      </c>
      <c r="GH16" s="68">
        <f t="shared" ca="1" si="171"/>
        <v>22</v>
      </c>
      <c r="GI16" s="68">
        <f t="shared" ca="1" si="171"/>
        <v>22</v>
      </c>
      <c r="GJ16" s="68">
        <f t="shared" ca="1" si="171"/>
        <v>22</v>
      </c>
      <c r="GK16" s="68">
        <f t="shared" ca="1" si="171"/>
        <v>22</v>
      </c>
      <c r="GL16" s="68">
        <f t="shared" ca="1" si="171"/>
        <v>22</v>
      </c>
      <c r="GM16" s="68">
        <f t="shared" ca="1" si="171"/>
        <v>22</v>
      </c>
      <c r="GN16" s="68">
        <f t="shared" ca="1" si="171"/>
        <v>22</v>
      </c>
      <c r="GO16" s="68">
        <f t="shared" ca="1" si="171"/>
        <v>22</v>
      </c>
      <c r="GP16" s="68">
        <f t="shared" ca="1" si="171"/>
        <v>22</v>
      </c>
      <c r="GQ16" s="68">
        <f t="shared" ca="1" si="171"/>
        <v>22</v>
      </c>
      <c r="GR16" s="68">
        <f t="shared" ca="1" si="171"/>
        <v>22</v>
      </c>
      <c r="GS16" s="68">
        <f t="shared" ca="1" si="171"/>
        <v>22</v>
      </c>
      <c r="GT16" s="68">
        <f t="shared" ca="1" si="171"/>
        <v>22</v>
      </c>
      <c r="GU16" s="68">
        <f t="shared" ca="1" si="171"/>
        <v>22</v>
      </c>
      <c r="GV16" s="68">
        <f t="shared" ca="1" si="171"/>
        <v>22</v>
      </c>
      <c r="GW16" s="68">
        <f t="shared" ca="1" si="171"/>
        <v>22</v>
      </c>
      <c r="GX16" s="68">
        <f t="shared" ca="1" si="171"/>
        <v>22</v>
      </c>
      <c r="GY16" s="68">
        <f t="shared" ca="1" si="171"/>
        <v>22</v>
      </c>
      <c r="GZ16" s="68">
        <f t="shared" ca="1" si="171"/>
        <v>22</v>
      </c>
      <c r="HA16" s="68">
        <f t="shared" ca="1" si="171"/>
        <v>22</v>
      </c>
      <c r="HB16" s="68">
        <f t="shared" ca="1" si="171"/>
        <v>22</v>
      </c>
      <c r="HC16" s="68">
        <f t="shared" ca="1" si="171"/>
        <v>22</v>
      </c>
      <c r="HD16" s="68" t="str">
        <f t="shared" ca="1" si="171"/>
        <v/>
      </c>
      <c r="HE16" s="68" t="str">
        <f t="shared" ca="1" si="171"/>
        <v/>
      </c>
      <c r="HF16" s="68" t="str">
        <f t="shared" ca="1" si="171"/>
        <v/>
      </c>
      <c r="HG16" s="68" t="str">
        <f t="shared" ca="1" si="171"/>
        <v/>
      </c>
      <c r="HH16" s="68" t="str">
        <f t="shared" ca="1" si="171"/>
        <v/>
      </c>
      <c r="HI16" s="68" t="str">
        <f t="shared" ca="1" si="171"/>
        <v/>
      </c>
      <c r="HJ16" s="68" t="str">
        <f t="shared" ca="1" si="171"/>
        <v/>
      </c>
      <c r="HK16" s="68" t="str">
        <f t="shared" ca="1" si="171"/>
        <v/>
      </c>
      <c r="HL16" s="68" t="str">
        <f t="shared" ca="1" si="171"/>
        <v/>
      </c>
      <c r="HM16" s="68" t="str">
        <f t="shared" ca="1" si="171"/>
        <v/>
      </c>
      <c r="HN16" s="68" t="str">
        <f t="shared" ca="1" si="171"/>
        <v/>
      </c>
      <c r="HO16" s="68" t="str">
        <f t="shared" ca="1" si="171"/>
        <v/>
      </c>
      <c r="HP16" s="68" t="str">
        <f t="shared" ca="1" si="171"/>
        <v/>
      </c>
      <c r="HQ16" s="68" t="str">
        <f t="shared" ca="1" si="171"/>
        <v/>
      </c>
      <c r="HR16" s="68" t="str">
        <f t="shared" ca="1" si="171"/>
        <v/>
      </c>
      <c r="HS16" s="68" t="str">
        <f t="shared" ca="1" si="171"/>
        <v/>
      </c>
      <c r="HT16" s="68" t="str">
        <f t="shared" ca="1" si="171"/>
        <v/>
      </c>
      <c r="HU16" s="68" t="str">
        <f t="shared" ref="HU16:JZ16" ca="1" si="172">IF(HU3&gt;$J$5,"",HT16+HU14-HU15)</f>
        <v/>
      </c>
      <c r="HV16" s="68" t="str">
        <f t="shared" ca="1" si="172"/>
        <v/>
      </c>
      <c r="HW16" s="68" t="str">
        <f t="shared" ca="1" si="172"/>
        <v/>
      </c>
      <c r="HX16" s="68" t="str">
        <f t="shared" ca="1" si="172"/>
        <v/>
      </c>
      <c r="HY16" s="68" t="str">
        <f t="shared" ca="1" si="172"/>
        <v/>
      </c>
      <c r="HZ16" s="68" t="str">
        <f t="shared" ca="1" si="172"/>
        <v/>
      </c>
      <c r="IA16" s="68" t="str">
        <f t="shared" ca="1" si="172"/>
        <v/>
      </c>
      <c r="IB16" s="68" t="str">
        <f t="shared" ca="1" si="172"/>
        <v/>
      </c>
      <c r="IC16" s="68" t="str">
        <f t="shared" ca="1" si="172"/>
        <v/>
      </c>
      <c r="ID16" s="68" t="str">
        <f t="shared" ca="1" si="172"/>
        <v/>
      </c>
      <c r="IE16" s="68" t="str">
        <f t="shared" ca="1" si="172"/>
        <v/>
      </c>
      <c r="IF16" s="68" t="str">
        <f t="shared" ca="1" si="172"/>
        <v/>
      </c>
      <c r="IG16" s="68" t="str">
        <f t="shared" ca="1" si="172"/>
        <v/>
      </c>
      <c r="IH16" s="68" t="str">
        <f t="shared" ca="1" si="172"/>
        <v/>
      </c>
      <c r="II16" s="68" t="str">
        <f t="shared" ca="1" si="172"/>
        <v/>
      </c>
      <c r="IJ16" s="68" t="str">
        <f t="shared" ca="1" si="172"/>
        <v/>
      </c>
      <c r="IK16" s="68" t="str">
        <f t="shared" ca="1" si="172"/>
        <v/>
      </c>
      <c r="IL16" s="68" t="str">
        <f t="shared" ca="1" si="172"/>
        <v/>
      </c>
      <c r="IM16" s="68" t="str">
        <f t="shared" ca="1" si="172"/>
        <v/>
      </c>
      <c r="IN16" s="68" t="str">
        <f t="shared" ca="1" si="172"/>
        <v/>
      </c>
      <c r="IO16" s="68" t="str">
        <f t="shared" ca="1" si="172"/>
        <v/>
      </c>
      <c r="IP16" s="68" t="str">
        <f t="shared" ca="1" si="172"/>
        <v/>
      </c>
      <c r="IQ16" s="68" t="str">
        <f t="shared" ca="1" si="172"/>
        <v/>
      </c>
      <c r="IR16" s="68" t="str">
        <f t="shared" ca="1" si="172"/>
        <v/>
      </c>
      <c r="IS16" s="68" t="str">
        <f t="shared" ca="1" si="172"/>
        <v/>
      </c>
      <c r="IT16" s="68" t="str">
        <f t="shared" ca="1" si="172"/>
        <v/>
      </c>
      <c r="IU16" s="68" t="str">
        <f t="shared" ca="1" si="172"/>
        <v/>
      </c>
      <c r="IV16" s="68" t="str">
        <f t="shared" ca="1" si="172"/>
        <v/>
      </c>
      <c r="IW16" s="68" t="str">
        <f t="shared" ca="1" si="172"/>
        <v/>
      </c>
      <c r="IX16" s="68" t="str">
        <f t="shared" ca="1" si="172"/>
        <v/>
      </c>
      <c r="IY16" s="68" t="str">
        <f t="shared" ca="1" si="172"/>
        <v/>
      </c>
      <c r="IZ16" s="68" t="str">
        <f t="shared" ca="1" si="172"/>
        <v/>
      </c>
      <c r="JA16" s="68" t="str">
        <f t="shared" ca="1" si="172"/>
        <v/>
      </c>
      <c r="JB16" s="68" t="str">
        <f t="shared" ca="1" si="172"/>
        <v/>
      </c>
      <c r="JC16" s="68" t="str">
        <f t="shared" ca="1" si="172"/>
        <v/>
      </c>
      <c r="JD16" s="68" t="str">
        <f t="shared" ca="1" si="172"/>
        <v/>
      </c>
      <c r="JE16" s="68" t="str">
        <f t="shared" ca="1" si="172"/>
        <v/>
      </c>
      <c r="JF16" s="68" t="str">
        <f t="shared" ca="1" si="172"/>
        <v/>
      </c>
      <c r="JG16" s="68" t="str">
        <f t="shared" ca="1" si="172"/>
        <v/>
      </c>
      <c r="JH16" s="68" t="str">
        <f t="shared" ca="1" si="172"/>
        <v/>
      </c>
      <c r="JI16" s="68" t="str">
        <f t="shared" ca="1" si="172"/>
        <v/>
      </c>
      <c r="JJ16" s="68" t="str">
        <f t="shared" ca="1" si="172"/>
        <v/>
      </c>
      <c r="JK16" s="68" t="str">
        <f t="shared" ca="1" si="172"/>
        <v/>
      </c>
      <c r="JL16" s="68" t="str">
        <f t="shared" ca="1" si="172"/>
        <v/>
      </c>
      <c r="JM16" s="68" t="str">
        <f t="shared" ca="1" si="172"/>
        <v/>
      </c>
      <c r="JN16" s="68" t="str">
        <f t="shared" ca="1" si="172"/>
        <v/>
      </c>
      <c r="JO16" s="68" t="str">
        <f t="shared" ca="1" si="172"/>
        <v/>
      </c>
      <c r="JP16" s="68" t="str">
        <f t="shared" ca="1" si="172"/>
        <v/>
      </c>
      <c r="JQ16" s="68" t="str">
        <f t="shared" ca="1" si="172"/>
        <v/>
      </c>
      <c r="JR16" s="68" t="str">
        <f t="shared" ca="1" si="172"/>
        <v/>
      </c>
      <c r="JS16" s="68" t="str">
        <f t="shared" ca="1" si="172"/>
        <v/>
      </c>
      <c r="JT16" s="68" t="str">
        <f t="shared" ca="1" si="172"/>
        <v/>
      </c>
      <c r="JU16" s="68" t="str">
        <f t="shared" ca="1" si="172"/>
        <v/>
      </c>
      <c r="JV16" s="68" t="str">
        <f t="shared" ca="1" si="172"/>
        <v/>
      </c>
      <c r="JW16" s="68" t="str">
        <f t="shared" ca="1" si="172"/>
        <v/>
      </c>
      <c r="JX16" s="68" t="str">
        <f t="shared" ca="1" si="172"/>
        <v/>
      </c>
      <c r="JY16" s="68" t="str">
        <f t="shared" ca="1" si="172"/>
        <v/>
      </c>
      <c r="JZ16" s="100" t="str">
        <f t="shared" ca="1" si="172"/>
        <v/>
      </c>
      <c r="KA16" s="165"/>
    </row>
    <row r="17" spans="1:669" s="47" customFormat="1" ht="15" hidden="1" customHeight="1" outlineLevel="1" x14ac:dyDescent="0.25">
      <c r="A17" s="150" t="str">
        <f>B14</f>
        <v>SAX ALTO</v>
      </c>
      <c r="B17" s="255"/>
      <c r="C17" s="153" t="str">
        <f t="shared" si="167"/>
        <v>YAMAHA</v>
      </c>
      <c r="D17" s="258"/>
      <c r="E17" s="173" t="s">
        <v>40</v>
      </c>
      <c r="F17" s="182">
        <f>(H18*H14)*SQRT(H15/H16)</f>
        <v>4.6068629616910517</v>
      </c>
      <c r="G17" s="176" t="s">
        <v>45</v>
      </c>
      <c r="H17" s="171">
        <v>0.95</v>
      </c>
      <c r="I17" s="239" t="s">
        <v>18</v>
      </c>
      <c r="J17" s="148" t="str">
        <f t="shared" si="64"/>
        <v>CORTE</v>
      </c>
      <c r="K17" s="293"/>
      <c r="L17" s="60"/>
      <c r="M17" s="61"/>
      <c r="N17" s="61"/>
      <c r="O17" s="61"/>
      <c r="P17" s="61"/>
      <c r="Q17" s="61"/>
      <c r="R17" s="61"/>
      <c r="S17" s="61"/>
      <c r="T17" s="61"/>
      <c r="U17" s="61"/>
      <c r="V17" s="70">
        <v>0</v>
      </c>
      <c r="W17" s="70">
        <v>0</v>
      </c>
      <c r="X17" s="70">
        <v>5</v>
      </c>
      <c r="Y17" s="70">
        <v>0</v>
      </c>
      <c r="Z17" s="70">
        <v>2</v>
      </c>
      <c r="AA17" s="70">
        <v>3</v>
      </c>
      <c r="AB17" s="70">
        <v>0</v>
      </c>
      <c r="AC17" s="70">
        <v>3</v>
      </c>
      <c r="AD17" s="70">
        <v>0</v>
      </c>
      <c r="AE17" s="70">
        <v>2</v>
      </c>
      <c r="AF17" s="70">
        <v>0</v>
      </c>
      <c r="AG17" s="70">
        <v>5</v>
      </c>
      <c r="AH17" s="70">
        <v>2</v>
      </c>
      <c r="AI17" s="70">
        <v>0</v>
      </c>
      <c r="AJ17" s="70">
        <v>3</v>
      </c>
      <c r="AK17" s="70">
        <v>0</v>
      </c>
      <c r="AL17" s="70">
        <v>5</v>
      </c>
      <c r="AM17" s="70">
        <v>0</v>
      </c>
      <c r="AN17" s="70">
        <v>0</v>
      </c>
      <c r="AO17" s="70">
        <v>1</v>
      </c>
      <c r="AP17" s="70">
        <v>0</v>
      </c>
      <c r="AQ17" s="70">
        <v>2</v>
      </c>
      <c r="AR17" s="70">
        <v>0</v>
      </c>
      <c r="AS17" s="70">
        <v>3</v>
      </c>
      <c r="AT17" s="70">
        <v>0</v>
      </c>
      <c r="AU17" s="70">
        <v>5</v>
      </c>
      <c r="AV17" s="70"/>
      <c r="AW17" s="70">
        <v>9</v>
      </c>
      <c r="AX17" s="70"/>
      <c r="AY17" s="70"/>
      <c r="AZ17" s="70"/>
      <c r="BA17" s="70">
        <v>2</v>
      </c>
      <c r="BB17" s="70"/>
      <c r="BC17" s="70">
        <v>3</v>
      </c>
      <c r="BD17" s="70"/>
      <c r="BE17" s="70">
        <v>5</v>
      </c>
      <c r="BF17" s="70"/>
      <c r="BG17" s="70"/>
      <c r="BH17" s="70">
        <v>7</v>
      </c>
      <c r="BI17" s="70"/>
      <c r="BJ17" s="70">
        <v>8</v>
      </c>
      <c r="BK17" s="70"/>
      <c r="BL17" s="70"/>
      <c r="BM17" s="70">
        <v>9</v>
      </c>
      <c r="BN17" s="70"/>
      <c r="BO17" s="70">
        <v>2</v>
      </c>
      <c r="BP17" s="70"/>
      <c r="BQ17" s="70">
        <v>3</v>
      </c>
      <c r="BR17" s="70"/>
      <c r="BS17" s="70"/>
      <c r="BT17" s="70">
        <v>3</v>
      </c>
      <c r="BU17" s="70"/>
      <c r="BV17" s="70">
        <v>2</v>
      </c>
      <c r="BW17" s="70"/>
      <c r="BX17" s="70"/>
      <c r="BY17" s="70">
        <v>3</v>
      </c>
      <c r="BZ17" s="70"/>
      <c r="CA17" s="70">
        <v>2</v>
      </c>
      <c r="CB17" s="70"/>
      <c r="CC17" s="70"/>
      <c r="CD17" s="70">
        <v>3</v>
      </c>
      <c r="CE17" s="70"/>
      <c r="CF17" s="70"/>
      <c r="CG17" s="70">
        <v>3</v>
      </c>
      <c r="CH17" s="70"/>
      <c r="CI17" s="70">
        <v>6</v>
      </c>
      <c r="CJ17" s="70"/>
      <c r="CK17" s="70">
        <v>5</v>
      </c>
      <c r="CL17" s="70"/>
      <c r="CM17" s="70">
        <v>8</v>
      </c>
      <c r="CN17" s="70"/>
      <c r="CO17" s="70">
        <v>6</v>
      </c>
      <c r="CP17" s="70">
        <v>1</v>
      </c>
      <c r="CQ17" s="70"/>
      <c r="CR17" s="70"/>
      <c r="CS17" s="70">
        <v>1</v>
      </c>
      <c r="CT17" s="70"/>
      <c r="CU17" s="70"/>
      <c r="CV17" s="70"/>
      <c r="CW17" s="70"/>
      <c r="CX17" s="70"/>
      <c r="CY17" s="70">
        <v>4</v>
      </c>
      <c r="CZ17" s="70"/>
      <c r="DA17" s="70"/>
      <c r="DB17" s="70"/>
      <c r="DC17" s="70">
        <v>6</v>
      </c>
      <c r="DD17" s="70"/>
      <c r="DE17" s="70"/>
      <c r="DF17" s="70"/>
      <c r="DG17" s="70"/>
      <c r="DH17" s="70">
        <v>1</v>
      </c>
      <c r="DI17" s="70"/>
      <c r="DJ17" s="70"/>
      <c r="DK17" s="70"/>
      <c r="DL17" s="70"/>
      <c r="DM17" s="70"/>
      <c r="DN17" s="70">
        <v>0</v>
      </c>
      <c r="DO17" s="70"/>
      <c r="DP17" s="70"/>
      <c r="DQ17" s="70">
        <v>0</v>
      </c>
      <c r="DR17" s="70">
        <v>3</v>
      </c>
      <c r="DS17" s="70"/>
      <c r="DT17" s="70"/>
      <c r="DU17" s="70">
        <v>2</v>
      </c>
      <c r="DV17" s="70"/>
      <c r="DW17" s="70">
        <v>5</v>
      </c>
      <c r="DX17" s="70"/>
      <c r="DY17" s="70"/>
      <c r="DZ17" s="70">
        <v>6</v>
      </c>
      <c r="EA17" s="70"/>
      <c r="EB17" s="70">
        <v>8</v>
      </c>
      <c r="EC17" s="70"/>
      <c r="ED17" s="70"/>
      <c r="EE17" s="70">
        <v>12</v>
      </c>
      <c r="EF17" s="70"/>
      <c r="EG17" s="70"/>
      <c r="EH17" s="70">
        <v>2</v>
      </c>
      <c r="EI17" s="70"/>
      <c r="EJ17" s="70"/>
      <c r="EK17" s="70"/>
      <c r="EL17" s="70">
        <v>1</v>
      </c>
      <c r="EM17" s="70"/>
      <c r="EN17" s="70"/>
      <c r="EO17" s="70">
        <v>2</v>
      </c>
      <c r="EP17" s="70"/>
      <c r="EQ17" s="70"/>
      <c r="ER17" s="70">
        <v>0</v>
      </c>
      <c r="ES17" s="70"/>
      <c r="ET17" s="70"/>
      <c r="EU17" s="70">
        <v>0</v>
      </c>
      <c r="EV17" s="70"/>
      <c r="EW17" s="70"/>
      <c r="EX17" s="70">
        <v>1</v>
      </c>
      <c r="EY17" s="70"/>
      <c r="EZ17" s="70"/>
      <c r="FA17" s="70">
        <v>2</v>
      </c>
      <c r="FB17" s="70"/>
      <c r="FC17" s="70">
        <v>7</v>
      </c>
      <c r="FD17" s="70"/>
      <c r="FE17" s="70"/>
      <c r="FF17" s="70">
        <v>0</v>
      </c>
      <c r="FG17" s="70"/>
      <c r="FH17" s="70">
        <v>5</v>
      </c>
      <c r="FI17" s="70"/>
      <c r="FJ17" s="70">
        <v>1</v>
      </c>
      <c r="FK17" s="70"/>
      <c r="FL17" s="70">
        <v>1</v>
      </c>
      <c r="FM17" s="70"/>
      <c r="FN17" s="70"/>
      <c r="FO17" s="70"/>
      <c r="FP17" s="70"/>
      <c r="FQ17" s="70">
        <v>0</v>
      </c>
      <c r="FR17" s="70"/>
      <c r="FS17" s="70">
        <v>0</v>
      </c>
      <c r="FT17" s="70"/>
      <c r="FU17" s="70"/>
      <c r="FV17" s="70">
        <v>5</v>
      </c>
      <c r="FW17" s="70"/>
      <c r="FX17" s="70"/>
      <c r="FY17" s="70"/>
      <c r="FZ17" s="70">
        <v>3</v>
      </c>
      <c r="GA17" s="70"/>
      <c r="GB17" s="70">
        <v>8</v>
      </c>
      <c r="GC17" s="70"/>
      <c r="GD17" s="70">
        <v>1</v>
      </c>
      <c r="GE17" s="70"/>
      <c r="GF17" s="70">
        <v>9</v>
      </c>
      <c r="GG17" s="70"/>
      <c r="GH17" s="70">
        <v>2</v>
      </c>
      <c r="GI17" s="70">
        <v>1</v>
      </c>
      <c r="GJ17" s="70">
        <v>1</v>
      </c>
      <c r="GK17" s="70"/>
      <c r="GL17" s="70">
        <v>5</v>
      </c>
      <c r="GM17" s="70">
        <v>0</v>
      </c>
      <c r="GN17" s="70">
        <v>0</v>
      </c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  <c r="IT17" s="70"/>
      <c r="IU17" s="70"/>
      <c r="IV17" s="70"/>
      <c r="IW17" s="70"/>
      <c r="IX17" s="70"/>
      <c r="IY17" s="70"/>
      <c r="IZ17" s="70"/>
      <c r="JA17" s="70"/>
      <c r="JB17" s="70"/>
      <c r="JC17" s="70"/>
      <c r="JD17" s="70"/>
      <c r="JE17" s="70"/>
      <c r="JF17" s="70"/>
      <c r="JG17" s="70"/>
      <c r="JH17" s="70"/>
      <c r="JI17" s="70"/>
      <c r="JJ17" s="70"/>
      <c r="JK17" s="70"/>
      <c r="JL17" s="70"/>
      <c r="JM17" s="70"/>
      <c r="JN17" s="70"/>
      <c r="JO17" s="70"/>
      <c r="JP17" s="70"/>
      <c r="JQ17" s="70"/>
      <c r="JR17" s="70"/>
      <c r="JS17" s="70"/>
      <c r="JT17" s="70"/>
      <c r="JU17" s="70"/>
      <c r="JV17" s="70"/>
      <c r="JW17" s="70"/>
      <c r="JX17" s="70"/>
      <c r="JY17" s="70"/>
      <c r="JZ17" s="99"/>
      <c r="KA17" s="165"/>
    </row>
    <row r="18" spans="1:669" s="47" customFormat="1" ht="15" hidden="1" customHeight="1" outlineLevel="1" thickBot="1" x14ac:dyDescent="0.3">
      <c r="A18" s="151" t="str">
        <f>B14</f>
        <v>SAX ALTO</v>
      </c>
      <c r="B18" s="256"/>
      <c r="C18" s="154" t="str">
        <f t="shared" si="167"/>
        <v>YAMAHA</v>
      </c>
      <c r="D18" s="259"/>
      <c r="E18" s="177" t="s">
        <v>46</v>
      </c>
      <c r="F18" s="183"/>
      <c r="G18" s="178" t="s">
        <v>43</v>
      </c>
      <c r="H18" s="179">
        <v>1.645</v>
      </c>
      <c r="I18" s="237" t="s">
        <v>19</v>
      </c>
      <c r="J18" s="160" t="str">
        <f t="shared" si="64"/>
        <v>CORTE</v>
      </c>
      <c r="K18" s="294"/>
      <c r="L18" s="102"/>
      <c r="M18" s="103"/>
      <c r="N18" s="103"/>
      <c r="O18" s="103"/>
      <c r="P18" s="103"/>
      <c r="Q18" s="103"/>
      <c r="R18" s="103"/>
      <c r="S18" s="103"/>
      <c r="T18" s="103"/>
      <c r="U18" s="103"/>
      <c r="V18" s="104">
        <f t="shared" ref="V18:CG18" ca="1" si="173">IF(V3&gt;$J$5,"",U18+V15-V17)</f>
        <v>0</v>
      </c>
      <c r="W18" s="104">
        <f t="shared" ca="1" si="173"/>
        <v>150</v>
      </c>
      <c r="X18" s="104">
        <f t="shared" ca="1" si="173"/>
        <v>145</v>
      </c>
      <c r="Y18" s="104">
        <f t="shared" ca="1" si="173"/>
        <v>145</v>
      </c>
      <c r="Z18" s="104">
        <f t="shared" ca="1" si="173"/>
        <v>143</v>
      </c>
      <c r="AA18" s="104">
        <f t="shared" ca="1" si="173"/>
        <v>140</v>
      </c>
      <c r="AB18" s="104">
        <f t="shared" ca="1" si="173"/>
        <v>140</v>
      </c>
      <c r="AC18" s="104">
        <f t="shared" ca="1" si="173"/>
        <v>137</v>
      </c>
      <c r="AD18" s="104">
        <f t="shared" ca="1" si="173"/>
        <v>137</v>
      </c>
      <c r="AE18" s="104">
        <f t="shared" ca="1" si="173"/>
        <v>135</v>
      </c>
      <c r="AF18" s="104">
        <f t="shared" ca="1" si="173"/>
        <v>135</v>
      </c>
      <c r="AG18" s="104">
        <f t="shared" ca="1" si="173"/>
        <v>130</v>
      </c>
      <c r="AH18" s="104">
        <f t="shared" ca="1" si="173"/>
        <v>128</v>
      </c>
      <c r="AI18" s="104">
        <f t="shared" ca="1" si="173"/>
        <v>128</v>
      </c>
      <c r="AJ18" s="104">
        <f t="shared" ca="1" si="173"/>
        <v>125</v>
      </c>
      <c r="AK18" s="104">
        <f t="shared" ca="1" si="173"/>
        <v>125</v>
      </c>
      <c r="AL18" s="104">
        <f t="shared" ca="1" si="173"/>
        <v>120</v>
      </c>
      <c r="AM18" s="104">
        <f t="shared" ca="1" si="173"/>
        <v>120</v>
      </c>
      <c r="AN18" s="104">
        <f t="shared" ca="1" si="173"/>
        <v>203</v>
      </c>
      <c r="AO18" s="104">
        <f t="shared" ca="1" si="173"/>
        <v>202</v>
      </c>
      <c r="AP18" s="104">
        <f t="shared" ca="1" si="173"/>
        <v>202</v>
      </c>
      <c r="AQ18" s="104">
        <f t="shared" ca="1" si="173"/>
        <v>200</v>
      </c>
      <c r="AR18" s="104">
        <f t="shared" ca="1" si="173"/>
        <v>200</v>
      </c>
      <c r="AS18" s="104">
        <f t="shared" ca="1" si="173"/>
        <v>197</v>
      </c>
      <c r="AT18" s="104">
        <f t="shared" ca="1" si="173"/>
        <v>197</v>
      </c>
      <c r="AU18" s="104">
        <f t="shared" ca="1" si="173"/>
        <v>192</v>
      </c>
      <c r="AV18" s="104">
        <f t="shared" ca="1" si="173"/>
        <v>192</v>
      </c>
      <c r="AW18" s="104">
        <f t="shared" ca="1" si="173"/>
        <v>183</v>
      </c>
      <c r="AX18" s="104">
        <f t="shared" ca="1" si="173"/>
        <v>183</v>
      </c>
      <c r="AY18" s="104">
        <f t="shared" ca="1" si="173"/>
        <v>203</v>
      </c>
      <c r="AZ18" s="104">
        <f t="shared" ca="1" si="173"/>
        <v>203</v>
      </c>
      <c r="BA18" s="104">
        <f t="shared" ca="1" si="173"/>
        <v>201</v>
      </c>
      <c r="BB18" s="104">
        <f t="shared" ca="1" si="173"/>
        <v>201</v>
      </c>
      <c r="BC18" s="104">
        <f t="shared" ca="1" si="173"/>
        <v>198</v>
      </c>
      <c r="BD18" s="104">
        <f t="shared" ca="1" si="173"/>
        <v>198</v>
      </c>
      <c r="BE18" s="104">
        <f t="shared" ca="1" si="173"/>
        <v>193</v>
      </c>
      <c r="BF18" s="104">
        <f t="shared" ca="1" si="173"/>
        <v>193</v>
      </c>
      <c r="BG18" s="104">
        <f t="shared" ca="1" si="173"/>
        <v>193</v>
      </c>
      <c r="BH18" s="104">
        <f t="shared" ca="1" si="173"/>
        <v>186</v>
      </c>
      <c r="BI18" s="104">
        <f t="shared" ca="1" si="173"/>
        <v>186</v>
      </c>
      <c r="BJ18" s="104">
        <f t="shared" ca="1" si="173"/>
        <v>178</v>
      </c>
      <c r="BK18" s="104">
        <f t="shared" ca="1" si="173"/>
        <v>178</v>
      </c>
      <c r="BL18" s="104">
        <f t="shared" ca="1" si="173"/>
        <v>378</v>
      </c>
      <c r="BM18" s="104">
        <f t="shared" ca="1" si="173"/>
        <v>369</v>
      </c>
      <c r="BN18" s="104">
        <f t="shared" ca="1" si="173"/>
        <v>369</v>
      </c>
      <c r="BO18" s="104">
        <f t="shared" ca="1" si="173"/>
        <v>367</v>
      </c>
      <c r="BP18" s="104">
        <f t="shared" ca="1" si="173"/>
        <v>367</v>
      </c>
      <c r="BQ18" s="104">
        <f t="shared" ca="1" si="173"/>
        <v>364</v>
      </c>
      <c r="BR18" s="104">
        <f t="shared" ca="1" si="173"/>
        <v>364</v>
      </c>
      <c r="BS18" s="104">
        <f t="shared" ca="1" si="173"/>
        <v>364</v>
      </c>
      <c r="BT18" s="104">
        <f t="shared" ca="1" si="173"/>
        <v>361</v>
      </c>
      <c r="BU18" s="104">
        <f t="shared" ca="1" si="173"/>
        <v>361</v>
      </c>
      <c r="BV18" s="104">
        <f t="shared" ca="1" si="173"/>
        <v>359</v>
      </c>
      <c r="BW18" s="104">
        <f t="shared" ca="1" si="173"/>
        <v>359</v>
      </c>
      <c r="BX18" s="104">
        <f t="shared" ca="1" si="173"/>
        <v>359</v>
      </c>
      <c r="BY18" s="104">
        <f t="shared" ca="1" si="173"/>
        <v>356</v>
      </c>
      <c r="BZ18" s="104">
        <f t="shared" ca="1" si="173"/>
        <v>356</v>
      </c>
      <c r="CA18" s="104">
        <f t="shared" ca="1" si="173"/>
        <v>354</v>
      </c>
      <c r="CB18" s="104">
        <f t="shared" ca="1" si="173"/>
        <v>354</v>
      </c>
      <c r="CC18" s="104">
        <f t="shared" ca="1" si="173"/>
        <v>354</v>
      </c>
      <c r="CD18" s="104">
        <f t="shared" ca="1" si="173"/>
        <v>351</v>
      </c>
      <c r="CE18" s="104">
        <f t="shared" ca="1" si="173"/>
        <v>351</v>
      </c>
      <c r="CF18" s="104">
        <f t="shared" ca="1" si="173"/>
        <v>351</v>
      </c>
      <c r="CG18" s="104">
        <f t="shared" ca="1" si="173"/>
        <v>348</v>
      </c>
      <c r="CH18" s="104">
        <f t="shared" ref="CH18:ES18" ca="1" si="174">IF(CH3&gt;$J$5,"",CG18+CH15-CH17)</f>
        <v>348</v>
      </c>
      <c r="CI18" s="104">
        <f t="shared" ca="1" si="174"/>
        <v>342</v>
      </c>
      <c r="CJ18" s="104">
        <f t="shared" ca="1" si="174"/>
        <v>342</v>
      </c>
      <c r="CK18" s="104">
        <f t="shared" ca="1" si="174"/>
        <v>337</v>
      </c>
      <c r="CL18" s="104">
        <f t="shared" ca="1" si="174"/>
        <v>337</v>
      </c>
      <c r="CM18" s="104">
        <f t="shared" ca="1" si="174"/>
        <v>329</v>
      </c>
      <c r="CN18" s="104">
        <f t="shared" ca="1" si="174"/>
        <v>329</v>
      </c>
      <c r="CO18" s="104">
        <f t="shared" ca="1" si="174"/>
        <v>323</v>
      </c>
      <c r="CP18" s="104">
        <f t="shared" ca="1" si="174"/>
        <v>322</v>
      </c>
      <c r="CQ18" s="104">
        <f t="shared" ca="1" si="174"/>
        <v>322</v>
      </c>
      <c r="CR18" s="104">
        <f t="shared" ca="1" si="174"/>
        <v>322</v>
      </c>
      <c r="CS18" s="104">
        <f t="shared" ca="1" si="174"/>
        <v>321</v>
      </c>
      <c r="CT18" s="104">
        <f t="shared" ca="1" si="174"/>
        <v>321</v>
      </c>
      <c r="CU18" s="104">
        <f t="shared" ca="1" si="174"/>
        <v>321</v>
      </c>
      <c r="CV18" s="104">
        <f t="shared" ca="1" si="174"/>
        <v>321</v>
      </c>
      <c r="CW18" s="104">
        <f t="shared" ca="1" si="174"/>
        <v>321</v>
      </c>
      <c r="CX18" s="104">
        <f t="shared" ca="1" si="174"/>
        <v>321</v>
      </c>
      <c r="CY18" s="104">
        <f t="shared" ca="1" si="174"/>
        <v>317</v>
      </c>
      <c r="CZ18" s="104">
        <f t="shared" ca="1" si="174"/>
        <v>317</v>
      </c>
      <c r="DA18" s="104">
        <f t="shared" ca="1" si="174"/>
        <v>317</v>
      </c>
      <c r="DB18" s="104">
        <f t="shared" ca="1" si="174"/>
        <v>317</v>
      </c>
      <c r="DC18" s="104">
        <f t="shared" ca="1" si="174"/>
        <v>311</v>
      </c>
      <c r="DD18" s="104">
        <f t="shared" ca="1" si="174"/>
        <v>311</v>
      </c>
      <c r="DE18" s="104">
        <f t="shared" ca="1" si="174"/>
        <v>311</v>
      </c>
      <c r="DF18" s="104">
        <f t="shared" ca="1" si="174"/>
        <v>311</v>
      </c>
      <c r="DG18" s="104">
        <f t="shared" ca="1" si="174"/>
        <v>311</v>
      </c>
      <c r="DH18" s="104">
        <f t="shared" ca="1" si="174"/>
        <v>310</v>
      </c>
      <c r="DI18" s="104">
        <f t="shared" ca="1" si="174"/>
        <v>310</v>
      </c>
      <c r="DJ18" s="104">
        <f t="shared" ca="1" si="174"/>
        <v>310</v>
      </c>
      <c r="DK18" s="104">
        <f t="shared" ca="1" si="174"/>
        <v>310</v>
      </c>
      <c r="DL18" s="104">
        <f t="shared" ca="1" si="174"/>
        <v>310</v>
      </c>
      <c r="DM18" s="104">
        <f t="shared" ca="1" si="174"/>
        <v>310</v>
      </c>
      <c r="DN18" s="104">
        <f t="shared" ca="1" si="174"/>
        <v>310</v>
      </c>
      <c r="DO18" s="104">
        <f t="shared" ca="1" si="174"/>
        <v>310</v>
      </c>
      <c r="DP18" s="104">
        <f t="shared" ca="1" si="174"/>
        <v>310</v>
      </c>
      <c r="DQ18" s="104">
        <f t="shared" ca="1" si="174"/>
        <v>310</v>
      </c>
      <c r="DR18" s="104">
        <f t="shared" ca="1" si="174"/>
        <v>307</v>
      </c>
      <c r="DS18" s="104">
        <f t="shared" ca="1" si="174"/>
        <v>307</v>
      </c>
      <c r="DT18" s="104">
        <f t="shared" ca="1" si="174"/>
        <v>307</v>
      </c>
      <c r="DU18" s="104">
        <f t="shared" ca="1" si="174"/>
        <v>305</v>
      </c>
      <c r="DV18" s="104">
        <f t="shared" ca="1" si="174"/>
        <v>305</v>
      </c>
      <c r="DW18" s="104">
        <f t="shared" ca="1" si="174"/>
        <v>300</v>
      </c>
      <c r="DX18" s="104">
        <f t="shared" ca="1" si="174"/>
        <v>300</v>
      </c>
      <c r="DY18" s="104">
        <f t="shared" ca="1" si="174"/>
        <v>300</v>
      </c>
      <c r="DZ18" s="104">
        <f t="shared" ca="1" si="174"/>
        <v>294</v>
      </c>
      <c r="EA18" s="104">
        <f t="shared" ca="1" si="174"/>
        <v>294</v>
      </c>
      <c r="EB18" s="104">
        <f t="shared" ca="1" si="174"/>
        <v>286</v>
      </c>
      <c r="EC18" s="104">
        <f t="shared" ca="1" si="174"/>
        <v>286</v>
      </c>
      <c r="ED18" s="104">
        <f t="shared" ca="1" si="174"/>
        <v>286</v>
      </c>
      <c r="EE18" s="104">
        <f t="shared" ca="1" si="174"/>
        <v>274</v>
      </c>
      <c r="EF18" s="104">
        <f t="shared" ca="1" si="174"/>
        <v>274</v>
      </c>
      <c r="EG18" s="104">
        <f t="shared" ca="1" si="174"/>
        <v>274</v>
      </c>
      <c r="EH18" s="104">
        <f t="shared" ca="1" si="174"/>
        <v>272</v>
      </c>
      <c r="EI18" s="104">
        <f t="shared" ca="1" si="174"/>
        <v>272</v>
      </c>
      <c r="EJ18" s="104">
        <f t="shared" ca="1" si="174"/>
        <v>272</v>
      </c>
      <c r="EK18" s="104">
        <f t="shared" ca="1" si="174"/>
        <v>272</v>
      </c>
      <c r="EL18" s="104">
        <f t="shared" ca="1" si="174"/>
        <v>271</v>
      </c>
      <c r="EM18" s="104">
        <f t="shared" ca="1" si="174"/>
        <v>271</v>
      </c>
      <c r="EN18" s="104">
        <f t="shared" ca="1" si="174"/>
        <v>271</v>
      </c>
      <c r="EO18" s="104">
        <f t="shared" ca="1" si="174"/>
        <v>269</v>
      </c>
      <c r="EP18" s="104">
        <f t="shared" ca="1" si="174"/>
        <v>269</v>
      </c>
      <c r="EQ18" s="104">
        <f t="shared" ca="1" si="174"/>
        <v>269</v>
      </c>
      <c r="ER18" s="104">
        <f t="shared" ca="1" si="174"/>
        <v>269</v>
      </c>
      <c r="ES18" s="104">
        <f t="shared" ca="1" si="174"/>
        <v>269</v>
      </c>
      <c r="ET18" s="104">
        <f t="shared" ref="ET18:HE18" ca="1" si="175">IF(ET3&gt;$J$5,"",ES18+ET15-ET17)</f>
        <v>269</v>
      </c>
      <c r="EU18" s="104">
        <f t="shared" ca="1" si="175"/>
        <v>269</v>
      </c>
      <c r="EV18" s="104">
        <f t="shared" ca="1" si="175"/>
        <v>269</v>
      </c>
      <c r="EW18" s="104">
        <f t="shared" ca="1" si="175"/>
        <v>269</v>
      </c>
      <c r="EX18" s="104">
        <f t="shared" ca="1" si="175"/>
        <v>268</v>
      </c>
      <c r="EY18" s="104">
        <f t="shared" ca="1" si="175"/>
        <v>268</v>
      </c>
      <c r="EZ18" s="104">
        <f t="shared" ca="1" si="175"/>
        <v>268</v>
      </c>
      <c r="FA18" s="104">
        <f t="shared" ca="1" si="175"/>
        <v>266</v>
      </c>
      <c r="FB18" s="104">
        <f t="shared" ca="1" si="175"/>
        <v>266</v>
      </c>
      <c r="FC18" s="104">
        <f t="shared" ca="1" si="175"/>
        <v>259</v>
      </c>
      <c r="FD18" s="104">
        <f t="shared" ca="1" si="175"/>
        <v>259</v>
      </c>
      <c r="FE18" s="104">
        <f t="shared" ca="1" si="175"/>
        <v>259</v>
      </c>
      <c r="FF18" s="104">
        <f t="shared" ca="1" si="175"/>
        <v>259</v>
      </c>
      <c r="FG18" s="104">
        <f t="shared" ca="1" si="175"/>
        <v>259</v>
      </c>
      <c r="FH18" s="104">
        <f t="shared" ca="1" si="175"/>
        <v>254</v>
      </c>
      <c r="FI18" s="104">
        <f t="shared" ca="1" si="175"/>
        <v>254</v>
      </c>
      <c r="FJ18" s="104">
        <f t="shared" ca="1" si="175"/>
        <v>253</v>
      </c>
      <c r="FK18" s="104">
        <f t="shared" ca="1" si="175"/>
        <v>253</v>
      </c>
      <c r="FL18" s="104">
        <f t="shared" ca="1" si="175"/>
        <v>252</v>
      </c>
      <c r="FM18" s="104">
        <f t="shared" ca="1" si="175"/>
        <v>252</v>
      </c>
      <c r="FN18" s="104">
        <f t="shared" ca="1" si="175"/>
        <v>252</v>
      </c>
      <c r="FO18" s="104">
        <f t="shared" ca="1" si="175"/>
        <v>252</v>
      </c>
      <c r="FP18" s="104">
        <f t="shared" ca="1" si="175"/>
        <v>252</v>
      </c>
      <c r="FQ18" s="104">
        <f t="shared" ca="1" si="175"/>
        <v>252</v>
      </c>
      <c r="FR18" s="104">
        <f t="shared" ca="1" si="175"/>
        <v>252</v>
      </c>
      <c r="FS18" s="104">
        <f t="shared" ca="1" si="175"/>
        <v>252</v>
      </c>
      <c r="FT18" s="104">
        <f t="shared" ca="1" si="175"/>
        <v>252</v>
      </c>
      <c r="FU18" s="104">
        <f t="shared" ca="1" si="175"/>
        <v>252</v>
      </c>
      <c r="FV18" s="104">
        <f t="shared" ca="1" si="175"/>
        <v>247</v>
      </c>
      <c r="FW18" s="104">
        <f t="shared" ca="1" si="175"/>
        <v>247</v>
      </c>
      <c r="FX18" s="104">
        <f t="shared" ca="1" si="175"/>
        <v>247</v>
      </c>
      <c r="FY18" s="104">
        <f t="shared" ca="1" si="175"/>
        <v>247</v>
      </c>
      <c r="FZ18" s="104">
        <f t="shared" ca="1" si="175"/>
        <v>244</v>
      </c>
      <c r="GA18" s="104">
        <f t="shared" ca="1" si="175"/>
        <v>244</v>
      </c>
      <c r="GB18" s="104">
        <f t="shared" ca="1" si="175"/>
        <v>236</v>
      </c>
      <c r="GC18" s="104">
        <f t="shared" ca="1" si="175"/>
        <v>236</v>
      </c>
      <c r="GD18" s="104">
        <f t="shared" ca="1" si="175"/>
        <v>235</v>
      </c>
      <c r="GE18" s="104">
        <f t="shared" ca="1" si="175"/>
        <v>235</v>
      </c>
      <c r="GF18" s="104">
        <f t="shared" ca="1" si="175"/>
        <v>226</v>
      </c>
      <c r="GG18" s="104">
        <f t="shared" ca="1" si="175"/>
        <v>226</v>
      </c>
      <c r="GH18" s="104">
        <f t="shared" ca="1" si="175"/>
        <v>224</v>
      </c>
      <c r="GI18" s="104">
        <f t="shared" ca="1" si="175"/>
        <v>223</v>
      </c>
      <c r="GJ18" s="104">
        <f t="shared" ca="1" si="175"/>
        <v>222</v>
      </c>
      <c r="GK18" s="104">
        <f t="shared" ca="1" si="175"/>
        <v>222</v>
      </c>
      <c r="GL18" s="104">
        <f t="shared" ca="1" si="175"/>
        <v>217</v>
      </c>
      <c r="GM18" s="104">
        <f t="shared" ca="1" si="175"/>
        <v>217</v>
      </c>
      <c r="GN18" s="104">
        <f t="shared" ca="1" si="175"/>
        <v>217</v>
      </c>
      <c r="GO18" s="104">
        <f t="shared" ca="1" si="175"/>
        <v>217</v>
      </c>
      <c r="GP18" s="104">
        <f t="shared" ca="1" si="175"/>
        <v>217</v>
      </c>
      <c r="GQ18" s="104">
        <f t="shared" ca="1" si="175"/>
        <v>217</v>
      </c>
      <c r="GR18" s="104">
        <f t="shared" ca="1" si="175"/>
        <v>217</v>
      </c>
      <c r="GS18" s="104">
        <f t="shared" ca="1" si="175"/>
        <v>217</v>
      </c>
      <c r="GT18" s="104">
        <f t="shared" ca="1" si="175"/>
        <v>217</v>
      </c>
      <c r="GU18" s="104">
        <f t="shared" ca="1" si="175"/>
        <v>217</v>
      </c>
      <c r="GV18" s="104">
        <f t="shared" ca="1" si="175"/>
        <v>217</v>
      </c>
      <c r="GW18" s="104">
        <f t="shared" ca="1" si="175"/>
        <v>217</v>
      </c>
      <c r="GX18" s="104">
        <f t="shared" ca="1" si="175"/>
        <v>217</v>
      </c>
      <c r="GY18" s="104">
        <f t="shared" ca="1" si="175"/>
        <v>217</v>
      </c>
      <c r="GZ18" s="104">
        <f t="shared" ca="1" si="175"/>
        <v>217</v>
      </c>
      <c r="HA18" s="104">
        <f t="shared" ca="1" si="175"/>
        <v>217</v>
      </c>
      <c r="HB18" s="104">
        <f t="shared" ca="1" si="175"/>
        <v>217</v>
      </c>
      <c r="HC18" s="104">
        <f t="shared" ca="1" si="175"/>
        <v>217</v>
      </c>
      <c r="HD18" s="104" t="str">
        <f t="shared" ca="1" si="175"/>
        <v/>
      </c>
      <c r="HE18" s="104" t="str">
        <f t="shared" ca="1" si="175"/>
        <v/>
      </c>
      <c r="HF18" s="104" t="str">
        <f t="shared" ref="HF18:JQ18" ca="1" si="176">IF(HF3&gt;$J$5,"",HE18+HF15-HF17)</f>
        <v/>
      </c>
      <c r="HG18" s="104" t="str">
        <f t="shared" ca="1" si="176"/>
        <v/>
      </c>
      <c r="HH18" s="104" t="str">
        <f t="shared" ca="1" si="176"/>
        <v/>
      </c>
      <c r="HI18" s="104" t="str">
        <f t="shared" ca="1" si="176"/>
        <v/>
      </c>
      <c r="HJ18" s="104" t="str">
        <f t="shared" ca="1" si="176"/>
        <v/>
      </c>
      <c r="HK18" s="104" t="str">
        <f t="shared" ca="1" si="176"/>
        <v/>
      </c>
      <c r="HL18" s="104" t="str">
        <f t="shared" ca="1" si="176"/>
        <v/>
      </c>
      <c r="HM18" s="104" t="str">
        <f t="shared" ca="1" si="176"/>
        <v/>
      </c>
      <c r="HN18" s="104" t="str">
        <f t="shared" ca="1" si="176"/>
        <v/>
      </c>
      <c r="HO18" s="104" t="str">
        <f t="shared" ca="1" si="176"/>
        <v/>
      </c>
      <c r="HP18" s="104" t="str">
        <f t="shared" ca="1" si="176"/>
        <v/>
      </c>
      <c r="HQ18" s="104" t="str">
        <f t="shared" ca="1" si="176"/>
        <v/>
      </c>
      <c r="HR18" s="104" t="str">
        <f t="shared" ca="1" si="176"/>
        <v/>
      </c>
      <c r="HS18" s="104" t="str">
        <f t="shared" ca="1" si="176"/>
        <v/>
      </c>
      <c r="HT18" s="104" t="str">
        <f t="shared" ca="1" si="176"/>
        <v/>
      </c>
      <c r="HU18" s="104" t="str">
        <f t="shared" ca="1" si="176"/>
        <v/>
      </c>
      <c r="HV18" s="104" t="str">
        <f t="shared" ca="1" si="176"/>
        <v/>
      </c>
      <c r="HW18" s="104" t="str">
        <f t="shared" ca="1" si="176"/>
        <v/>
      </c>
      <c r="HX18" s="104" t="str">
        <f t="shared" ca="1" si="176"/>
        <v/>
      </c>
      <c r="HY18" s="104" t="str">
        <f t="shared" ca="1" si="176"/>
        <v/>
      </c>
      <c r="HZ18" s="104" t="str">
        <f t="shared" ca="1" si="176"/>
        <v/>
      </c>
      <c r="IA18" s="104" t="str">
        <f t="shared" ca="1" si="176"/>
        <v/>
      </c>
      <c r="IB18" s="104" t="str">
        <f t="shared" ca="1" si="176"/>
        <v/>
      </c>
      <c r="IC18" s="104" t="str">
        <f t="shared" ca="1" si="176"/>
        <v/>
      </c>
      <c r="ID18" s="104" t="str">
        <f t="shared" ca="1" si="176"/>
        <v/>
      </c>
      <c r="IE18" s="104" t="str">
        <f t="shared" ca="1" si="176"/>
        <v/>
      </c>
      <c r="IF18" s="104" t="str">
        <f t="shared" ca="1" si="176"/>
        <v/>
      </c>
      <c r="IG18" s="104" t="str">
        <f t="shared" ca="1" si="176"/>
        <v/>
      </c>
      <c r="IH18" s="104" t="str">
        <f t="shared" ca="1" si="176"/>
        <v/>
      </c>
      <c r="II18" s="104" t="str">
        <f t="shared" ca="1" si="176"/>
        <v/>
      </c>
      <c r="IJ18" s="104" t="str">
        <f t="shared" ca="1" si="176"/>
        <v/>
      </c>
      <c r="IK18" s="104" t="str">
        <f t="shared" ca="1" si="176"/>
        <v/>
      </c>
      <c r="IL18" s="104" t="str">
        <f t="shared" ca="1" si="176"/>
        <v/>
      </c>
      <c r="IM18" s="104" t="str">
        <f t="shared" ca="1" si="176"/>
        <v/>
      </c>
      <c r="IN18" s="104" t="str">
        <f t="shared" ca="1" si="176"/>
        <v/>
      </c>
      <c r="IO18" s="104" t="str">
        <f t="shared" ca="1" si="176"/>
        <v/>
      </c>
      <c r="IP18" s="104" t="str">
        <f t="shared" ca="1" si="176"/>
        <v/>
      </c>
      <c r="IQ18" s="104" t="str">
        <f t="shared" ca="1" si="176"/>
        <v/>
      </c>
      <c r="IR18" s="104" t="str">
        <f t="shared" ca="1" si="176"/>
        <v/>
      </c>
      <c r="IS18" s="104" t="str">
        <f t="shared" ca="1" si="176"/>
        <v/>
      </c>
      <c r="IT18" s="104" t="str">
        <f t="shared" ca="1" si="176"/>
        <v/>
      </c>
      <c r="IU18" s="104" t="str">
        <f t="shared" ca="1" si="176"/>
        <v/>
      </c>
      <c r="IV18" s="104" t="str">
        <f t="shared" ca="1" si="176"/>
        <v/>
      </c>
      <c r="IW18" s="104" t="str">
        <f t="shared" ca="1" si="176"/>
        <v/>
      </c>
      <c r="IX18" s="104" t="str">
        <f t="shared" ca="1" si="176"/>
        <v/>
      </c>
      <c r="IY18" s="104" t="str">
        <f t="shared" ca="1" si="176"/>
        <v/>
      </c>
      <c r="IZ18" s="104" t="str">
        <f t="shared" ca="1" si="176"/>
        <v/>
      </c>
      <c r="JA18" s="104" t="str">
        <f t="shared" ca="1" si="176"/>
        <v/>
      </c>
      <c r="JB18" s="104" t="str">
        <f t="shared" ca="1" si="176"/>
        <v/>
      </c>
      <c r="JC18" s="104" t="str">
        <f t="shared" ca="1" si="176"/>
        <v/>
      </c>
      <c r="JD18" s="104" t="str">
        <f t="shared" ca="1" si="176"/>
        <v/>
      </c>
      <c r="JE18" s="104" t="str">
        <f t="shared" ca="1" si="176"/>
        <v/>
      </c>
      <c r="JF18" s="104" t="str">
        <f t="shared" ca="1" si="176"/>
        <v/>
      </c>
      <c r="JG18" s="104" t="str">
        <f t="shared" ca="1" si="176"/>
        <v/>
      </c>
      <c r="JH18" s="104" t="str">
        <f t="shared" ca="1" si="176"/>
        <v/>
      </c>
      <c r="JI18" s="104" t="str">
        <f t="shared" ca="1" si="176"/>
        <v/>
      </c>
      <c r="JJ18" s="104" t="str">
        <f t="shared" ca="1" si="176"/>
        <v/>
      </c>
      <c r="JK18" s="104" t="str">
        <f t="shared" ca="1" si="176"/>
        <v/>
      </c>
      <c r="JL18" s="104" t="str">
        <f t="shared" ca="1" si="176"/>
        <v/>
      </c>
      <c r="JM18" s="104" t="str">
        <f t="shared" ca="1" si="176"/>
        <v/>
      </c>
      <c r="JN18" s="104" t="str">
        <f t="shared" ca="1" si="176"/>
        <v/>
      </c>
      <c r="JO18" s="104" t="str">
        <f t="shared" ca="1" si="176"/>
        <v/>
      </c>
      <c r="JP18" s="104" t="str">
        <f t="shared" ca="1" si="176"/>
        <v/>
      </c>
      <c r="JQ18" s="104" t="str">
        <f t="shared" ca="1" si="176"/>
        <v/>
      </c>
      <c r="JR18" s="104" t="str">
        <f t="shared" ref="JR18:JZ18" ca="1" si="177">IF(JR3&gt;$J$5,"",JQ18+JR15-JR17)</f>
        <v/>
      </c>
      <c r="JS18" s="104" t="str">
        <f t="shared" ca="1" si="177"/>
        <v/>
      </c>
      <c r="JT18" s="104" t="str">
        <f t="shared" ca="1" si="177"/>
        <v/>
      </c>
      <c r="JU18" s="104" t="str">
        <f t="shared" ca="1" si="177"/>
        <v/>
      </c>
      <c r="JV18" s="104" t="str">
        <f t="shared" ca="1" si="177"/>
        <v/>
      </c>
      <c r="JW18" s="104" t="str">
        <f t="shared" ca="1" si="177"/>
        <v/>
      </c>
      <c r="JX18" s="104" t="str">
        <f t="shared" ca="1" si="177"/>
        <v/>
      </c>
      <c r="JY18" s="104" t="str">
        <f t="shared" ca="1" si="177"/>
        <v/>
      </c>
      <c r="JZ18" s="105" t="str">
        <f t="shared" ca="1" si="177"/>
        <v/>
      </c>
    </row>
    <row r="19" spans="1:669" s="44" customFormat="1" ht="3.95" customHeight="1" collapsed="1" x14ac:dyDescent="0.25">
      <c r="A19" s="226"/>
      <c r="B19" s="125"/>
      <c r="C19" s="125"/>
      <c r="D19" s="125"/>
      <c r="E19" s="125"/>
      <c r="F19" s="188"/>
      <c r="G19" s="125"/>
      <c r="H19" s="125"/>
      <c r="I19" s="125"/>
      <c r="J19" s="296" t="s">
        <v>9</v>
      </c>
      <c r="K19" s="227"/>
      <c r="L19" s="113"/>
      <c r="M19" s="114"/>
      <c r="N19" s="114"/>
      <c r="O19" s="114"/>
      <c r="P19" s="114"/>
      <c r="Q19" s="114"/>
      <c r="R19" s="114"/>
      <c r="S19" s="114"/>
      <c r="T19" s="114"/>
      <c r="U19" s="114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16"/>
      <c r="DU19" s="116"/>
      <c r="DV19" s="116"/>
      <c r="DW19" s="116"/>
      <c r="DX19" s="116"/>
      <c r="DY19" s="116"/>
      <c r="DZ19" s="116"/>
      <c r="EA19" s="116"/>
      <c r="EB19" s="116"/>
      <c r="EC19" s="116"/>
      <c r="ED19" s="116"/>
      <c r="EE19" s="116"/>
      <c r="EF19" s="116"/>
      <c r="EG19" s="116"/>
      <c r="EH19" s="116"/>
      <c r="EI19" s="116"/>
      <c r="EJ19" s="116"/>
      <c r="EK19" s="116"/>
      <c r="EL19" s="116"/>
      <c r="EM19" s="116"/>
      <c r="EN19" s="116"/>
      <c r="EO19" s="116"/>
      <c r="EP19" s="116"/>
      <c r="EQ19" s="116"/>
      <c r="ER19" s="116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16"/>
      <c r="FD19" s="116"/>
      <c r="FE19" s="116"/>
      <c r="FF19" s="116"/>
      <c r="FG19" s="116"/>
      <c r="FH19" s="116"/>
      <c r="FI19" s="116"/>
      <c r="FJ19" s="116"/>
      <c r="FK19" s="116"/>
      <c r="FL19" s="116"/>
      <c r="FM19" s="116"/>
      <c r="FN19" s="116"/>
      <c r="FO19" s="116"/>
      <c r="FP19" s="116"/>
      <c r="FQ19" s="116"/>
      <c r="FR19" s="116"/>
      <c r="FS19" s="116"/>
      <c r="FT19" s="116"/>
      <c r="FU19" s="116"/>
      <c r="FV19" s="116"/>
      <c r="FW19" s="116"/>
      <c r="FX19" s="116"/>
      <c r="FY19" s="116"/>
      <c r="FZ19" s="116"/>
      <c r="GA19" s="116"/>
      <c r="GB19" s="116"/>
      <c r="GC19" s="116"/>
      <c r="GD19" s="116"/>
      <c r="GE19" s="116"/>
      <c r="GF19" s="116"/>
      <c r="GG19" s="116"/>
      <c r="GH19" s="116"/>
      <c r="GI19" s="116"/>
      <c r="GJ19" s="116"/>
      <c r="GK19" s="116"/>
      <c r="GL19" s="116"/>
      <c r="GM19" s="116"/>
      <c r="GN19" s="116"/>
      <c r="GO19" s="116"/>
      <c r="GP19" s="116"/>
      <c r="GQ19" s="116"/>
      <c r="GR19" s="116"/>
      <c r="GS19" s="116"/>
      <c r="GT19" s="116"/>
      <c r="GU19" s="116"/>
      <c r="GV19" s="116"/>
      <c r="GW19" s="116"/>
      <c r="GX19" s="116"/>
      <c r="GY19" s="116"/>
      <c r="GZ19" s="116"/>
      <c r="HA19" s="116"/>
      <c r="HB19" s="116"/>
      <c r="HC19" s="116"/>
      <c r="HD19" s="116"/>
      <c r="HE19" s="116"/>
      <c r="HF19" s="116"/>
      <c r="HG19" s="116"/>
      <c r="HH19" s="116"/>
      <c r="HI19" s="116"/>
      <c r="HJ19" s="116"/>
      <c r="HK19" s="116"/>
      <c r="HL19" s="116"/>
      <c r="HM19" s="116"/>
      <c r="HN19" s="116"/>
      <c r="HO19" s="116"/>
      <c r="HP19" s="116"/>
      <c r="HQ19" s="116"/>
      <c r="HR19" s="116"/>
      <c r="HS19" s="116"/>
      <c r="HT19" s="116"/>
      <c r="HU19" s="116"/>
      <c r="HV19" s="116"/>
      <c r="HW19" s="116"/>
      <c r="HX19" s="116"/>
      <c r="HY19" s="116"/>
      <c r="HZ19" s="116"/>
      <c r="IA19" s="116"/>
      <c r="IB19" s="116"/>
      <c r="IC19" s="116"/>
      <c r="ID19" s="116"/>
      <c r="IE19" s="116"/>
      <c r="IF19" s="116"/>
      <c r="IG19" s="116"/>
      <c r="IH19" s="116"/>
      <c r="II19" s="116"/>
      <c r="IJ19" s="116"/>
      <c r="IK19" s="116"/>
      <c r="IL19" s="116"/>
      <c r="IM19" s="116"/>
      <c r="IN19" s="116"/>
      <c r="IO19" s="116"/>
      <c r="IP19" s="116"/>
      <c r="IQ19" s="116"/>
      <c r="IR19" s="116"/>
      <c r="IS19" s="116"/>
      <c r="IT19" s="116"/>
      <c r="IU19" s="116"/>
      <c r="IV19" s="116"/>
      <c r="IW19" s="116"/>
      <c r="IX19" s="116"/>
      <c r="IY19" s="116"/>
      <c r="IZ19" s="116"/>
      <c r="JA19" s="116"/>
      <c r="JB19" s="116"/>
      <c r="JC19" s="116"/>
      <c r="JD19" s="116"/>
      <c r="JE19" s="116"/>
      <c r="JF19" s="116"/>
      <c r="JG19" s="116"/>
      <c r="JH19" s="116"/>
      <c r="JI19" s="116"/>
      <c r="JJ19" s="116"/>
      <c r="JK19" s="116"/>
      <c r="JL19" s="116"/>
      <c r="JM19" s="116"/>
      <c r="JN19" s="116"/>
      <c r="JO19" s="116"/>
      <c r="JP19" s="116"/>
      <c r="JQ19" s="116"/>
      <c r="JR19" s="116"/>
      <c r="JS19" s="116"/>
      <c r="JT19" s="116"/>
      <c r="JU19" s="116"/>
      <c r="JV19" s="116"/>
      <c r="JW19" s="116"/>
      <c r="JX19" s="116"/>
      <c r="JY19" s="116"/>
      <c r="JZ19" s="117"/>
      <c r="KA19" s="47"/>
      <c r="KB19" s="47"/>
      <c r="KC19" s="47"/>
      <c r="KD19" s="47"/>
      <c r="KE19" s="47"/>
      <c r="KF19" s="47"/>
      <c r="KG19" s="47"/>
      <c r="KH19" s="47"/>
      <c r="KI19" s="47"/>
      <c r="KJ19" s="47"/>
      <c r="KK19" s="47"/>
      <c r="KL19" s="47"/>
      <c r="KM19" s="47"/>
      <c r="KN19" s="47"/>
      <c r="KO19" s="47"/>
      <c r="KP19" s="47"/>
      <c r="KQ19" s="47"/>
      <c r="KR19" s="47"/>
      <c r="KS19" s="47"/>
      <c r="KT19" s="47"/>
      <c r="KU19" s="47"/>
      <c r="KV19" s="47"/>
      <c r="KW19" s="47"/>
      <c r="KX19" s="47"/>
      <c r="KY19" s="47"/>
      <c r="KZ19" s="47"/>
      <c r="LA19" s="47"/>
      <c r="LB19" s="47"/>
      <c r="LC19" s="47"/>
      <c r="LD19" s="47"/>
      <c r="LE19" s="47"/>
      <c r="LF19" s="47"/>
      <c r="LG19" s="47"/>
      <c r="LH19" s="47"/>
      <c r="LI19" s="47"/>
      <c r="LJ19" s="47"/>
      <c r="LK19" s="47"/>
      <c r="LL19" s="47"/>
      <c r="LM19" s="47"/>
      <c r="LN19" s="47"/>
      <c r="LO19" s="47"/>
      <c r="LP19" s="47"/>
      <c r="LQ19" s="47"/>
      <c r="LR19" s="47"/>
      <c r="LS19" s="47"/>
      <c r="LT19" s="47"/>
      <c r="LU19" s="47"/>
      <c r="LV19" s="47"/>
      <c r="LW19" s="47"/>
      <c r="LX19" s="47"/>
      <c r="LY19" s="47"/>
      <c r="LZ19" s="47"/>
      <c r="MA19" s="47"/>
      <c r="MB19" s="47"/>
      <c r="MC19" s="47"/>
      <c r="MD19" s="47"/>
      <c r="ME19" s="47"/>
      <c r="MF19" s="47"/>
      <c r="MG19" s="47"/>
      <c r="MH19" s="47"/>
      <c r="MI19" s="47"/>
      <c r="MJ19" s="47"/>
      <c r="MK19" s="47"/>
      <c r="ML19" s="47"/>
      <c r="MM19" s="47"/>
      <c r="MN19" s="47"/>
      <c r="MO19" s="47"/>
      <c r="MP19" s="47"/>
      <c r="MQ19" s="47"/>
      <c r="MR19" s="47"/>
      <c r="MS19" s="47"/>
      <c r="MT19" s="47"/>
      <c r="MU19" s="47"/>
      <c r="MV19" s="47"/>
      <c r="MW19" s="47"/>
      <c r="MX19" s="47"/>
      <c r="MY19" s="47"/>
      <c r="MZ19" s="47"/>
      <c r="NA19" s="47"/>
      <c r="NB19" s="47"/>
      <c r="NC19" s="47"/>
      <c r="ND19" s="47"/>
      <c r="NE19" s="47"/>
      <c r="NF19" s="47"/>
      <c r="NG19" s="47"/>
      <c r="NH19" s="47"/>
      <c r="NI19" s="47"/>
      <c r="NJ19" s="47"/>
      <c r="NK19" s="47"/>
      <c r="NL19" s="47"/>
      <c r="NM19" s="47"/>
      <c r="NN19" s="47"/>
      <c r="NO19" s="47"/>
      <c r="NP19" s="47"/>
      <c r="NQ19" s="47"/>
      <c r="NR19" s="47"/>
      <c r="NS19" s="47"/>
      <c r="NT19" s="47"/>
      <c r="NU19" s="47"/>
      <c r="NV19" s="47"/>
      <c r="NW19" s="47"/>
      <c r="NX19" s="47"/>
      <c r="NY19" s="47"/>
      <c r="NZ19" s="47"/>
      <c r="OA19" s="47"/>
      <c r="OB19" s="47"/>
      <c r="OC19" s="47"/>
      <c r="OD19" s="47"/>
      <c r="OE19" s="47"/>
      <c r="OF19" s="47"/>
      <c r="OG19" s="47"/>
      <c r="OH19" s="47"/>
      <c r="OI19" s="47"/>
      <c r="OJ19" s="47"/>
      <c r="OK19" s="47"/>
      <c r="OL19" s="47"/>
      <c r="OM19" s="47"/>
      <c r="ON19" s="47"/>
      <c r="OO19" s="47"/>
      <c r="OP19" s="47"/>
      <c r="OQ19" s="47"/>
      <c r="OR19" s="47"/>
      <c r="OS19" s="47"/>
      <c r="OT19" s="47"/>
      <c r="OU19" s="47"/>
      <c r="OV19" s="47"/>
      <c r="OW19" s="47"/>
      <c r="OX19" s="47"/>
      <c r="OY19" s="47"/>
      <c r="OZ19" s="47"/>
      <c r="PA19" s="47"/>
      <c r="PB19" s="47"/>
      <c r="PC19" s="47"/>
      <c r="PD19" s="47"/>
      <c r="PE19" s="47"/>
      <c r="PF19" s="47"/>
      <c r="PG19" s="47"/>
      <c r="PH19" s="47"/>
      <c r="PI19" s="47"/>
      <c r="PJ19" s="47"/>
      <c r="PK19" s="47"/>
      <c r="PL19" s="47"/>
      <c r="PM19" s="47"/>
      <c r="PN19" s="47"/>
      <c r="PO19" s="47"/>
      <c r="PP19" s="47"/>
      <c r="PQ19" s="47"/>
      <c r="PR19" s="47"/>
      <c r="PS19" s="47"/>
      <c r="PT19" s="47"/>
      <c r="PU19" s="47"/>
      <c r="PV19" s="47"/>
      <c r="PW19" s="47"/>
      <c r="PX19" s="47"/>
      <c r="PY19" s="47"/>
      <c r="PZ19" s="47"/>
      <c r="QA19" s="47"/>
      <c r="QB19" s="47"/>
      <c r="QC19" s="47"/>
      <c r="QD19" s="47"/>
      <c r="QE19" s="47"/>
      <c r="QF19" s="47"/>
      <c r="QG19" s="47"/>
      <c r="QH19" s="47"/>
      <c r="QI19" s="47"/>
      <c r="QJ19" s="47"/>
      <c r="QK19" s="47"/>
      <c r="QL19" s="47"/>
      <c r="QM19" s="47"/>
      <c r="QN19" s="47"/>
      <c r="QO19" s="47"/>
      <c r="QP19" s="47"/>
      <c r="QQ19" s="47"/>
      <c r="QR19" s="47"/>
      <c r="QS19" s="47"/>
      <c r="QT19" s="47"/>
      <c r="QU19" s="47"/>
      <c r="QV19" s="47"/>
      <c r="QW19" s="47"/>
      <c r="QX19" s="47"/>
      <c r="QY19" s="47"/>
      <c r="QZ19" s="47"/>
      <c r="RA19" s="47"/>
      <c r="RB19" s="47"/>
      <c r="RC19" s="47"/>
      <c r="RD19" s="47"/>
      <c r="RE19" s="47"/>
      <c r="RF19" s="47"/>
      <c r="RG19" s="47"/>
      <c r="RH19" s="47"/>
      <c r="RI19" s="47"/>
      <c r="RJ19" s="47"/>
      <c r="RK19" s="47"/>
      <c r="RL19" s="47"/>
      <c r="RM19" s="47"/>
      <c r="RN19" s="47"/>
      <c r="RO19" s="47"/>
      <c r="RP19" s="47"/>
      <c r="RQ19" s="47"/>
      <c r="RR19" s="47"/>
      <c r="RS19" s="47"/>
      <c r="RT19" s="47"/>
      <c r="RU19" s="47"/>
      <c r="RV19" s="47"/>
      <c r="RW19" s="47"/>
      <c r="RX19" s="47"/>
      <c r="RY19" s="47"/>
      <c r="RZ19" s="47"/>
      <c r="SA19" s="47"/>
      <c r="SB19" s="47"/>
      <c r="SC19" s="47"/>
      <c r="SD19" s="47"/>
      <c r="SE19" s="47"/>
      <c r="SF19" s="47"/>
      <c r="SG19" s="47"/>
      <c r="SH19" s="47"/>
      <c r="SI19" s="47"/>
      <c r="SJ19" s="47"/>
      <c r="SK19" s="47"/>
      <c r="SL19" s="47"/>
      <c r="SM19" s="47"/>
      <c r="SN19" s="47"/>
      <c r="SO19" s="47"/>
      <c r="SP19" s="47"/>
      <c r="SQ19" s="47"/>
      <c r="SR19" s="47"/>
      <c r="SS19" s="47"/>
      <c r="ST19" s="47"/>
      <c r="SU19" s="47"/>
      <c r="SV19" s="47"/>
      <c r="SW19" s="47"/>
      <c r="SX19" s="47"/>
      <c r="SY19" s="47"/>
      <c r="SZ19" s="47"/>
      <c r="TA19" s="47"/>
      <c r="TB19" s="47"/>
      <c r="TC19" s="47"/>
      <c r="TD19" s="47"/>
      <c r="TE19" s="47"/>
      <c r="TF19" s="47"/>
      <c r="TG19" s="47"/>
      <c r="TH19" s="47"/>
      <c r="TI19" s="47"/>
      <c r="TJ19" s="47"/>
      <c r="TK19" s="47"/>
      <c r="TL19" s="47"/>
      <c r="TM19" s="47"/>
      <c r="TN19" s="47"/>
      <c r="TO19" s="47"/>
      <c r="TP19" s="47"/>
      <c r="TQ19" s="47"/>
      <c r="TR19" s="47"/>
      <c r="TS19" s="47"/>
      <c r="TT19" s="47"/>
      <c r="TU19" s="47"/>
      <c r="TV19" s="47"/>
      <c r="TW19" s="47"/>
      <c r="TX19" s="47"/>
      <c r="TY19" s="47"/>
      <c r="TZ19" s="47"/>
      <c r="UA19" s="47"/>
      <c r="UB19" s="47"/>
      <c r="UC19" s="47"/>
      <c r="UD19" s="47"/>
      <c r="UE19" s="47"/>
      <c r="UF19" s="47"/>
      <c r="UG19" s="47"/>
      <c r="UH19" s="47"/>
      <c r="UI19" s="47"/>
      <c r="UJ19" s="47"/>
      <c r="UK19" s="47"/>
      <c r="UL19" s="47"/>
      <c r="UM19" s="47"/>
      <c r="UN19" s="47"/>
      <c r="UO19" s="47"/>
      <c r="UP19" s="47"/>
      <c r="UQ19" s="47"/>
      <c r="UR19" s="47"/>
      <c r="US19" s="47"/>
      <c r="UT19" s="47"/>
      <c r="UU19" s="47"/>
      <c r="UV19" s="47"/>
      <c r="UW19" s="47"/>
      <c r="UX19" s="47"/>
      <c r="UY19" s="47"/>
      <c r="UZ19" s="47"/>
      <c r="VA19" s="47"/>
      <c r="VB19" s="47"/>
      <c r="VC19" s="47"/>
      <c r="VD19" s="47"/>
      <c r="VE19" s="47"/>
      <c r="VF19" s="47"/>
      <c r="VG19" s="47"/>
      <c r="VH19" s="47"/>
      <c r="VI19" s="47"/>
      <c r="VJ19" s="47"/>
      <c r="VK19" s="47"/>
      <c r="VL19" s="47"/>
      <c r="VM19" s="47"/>
      <c r="VN19" s="47"/>
      <c r="VO19" s="47"/>
      <c r="VP19" s="47"/>
      <c r="VQ19" s="47"/>
      <c r="VR19" s="47"/>
      <c r="VS19" s="47"/>
      <c r="VT19" s="47"/>
      <c r="VU19" s="47"/>
      <c r="VV19" s="47"/>
      <c r="VW19" s="47"/>
      <c r="VX19" s="47"/>
      <c r="VY19" s="47"/>
      <c r="VZ19" s="47"/>
      <c r="WA19" s="47"/>
      <c r="WB19" s="47"/>
      <c r="WC19" s="47"/>
      <c r="WD19" s="47"/>
      <c r="WE19" s="47"/>
      <c r="WF19" s="47"/>
      <c r="WG19" s="47"/>
      <c r="WH19" s="47"/>
      <c r="WI19" s="47"/>
      <c r="WJ19" s="47"/>
      <c r="WK19" s="47"/>
      <c r="WL19" s="47"/>
      <c r="WM19" s="47"/>
      <c r="WN19" s="47"/>
      <c r="WO19" s="47"/>
      <c r="WP19" s="47"/>
      <c r="WQ19" s="47"/>
      <c r="WR19" s="47"/>
      <c r="WS19" s="47"/>
      <c r="WT19" s="47"/>
      <c r="WU19" s="47"/>
      <c r="WV19" s="47"/>
      <c r="WW19" s="47"/>
      <c r="WX19" s="47"/>
      <c r="WY19" s="47"/>
      <c r="WZ19" s="47"/>
      <c r="XA19" s="47"/>
      <c r="XB19" s="47"/>
      <c r="XC19" s="47"/>
      <c r="XD19" s="47"/>
      <c r="XE19" s="47"/>
      <c r="XF19" s="47"/>
      <c r="XG19" s="47"/>
      <c r="XH19" s="47"/>
      <c r="XI19" s="47"/>
      <c r="XJ19" s="47"/>
      <c r="XK19" s="47"/>
      <c r="XL19" s="47"/>
      <c r="XM19" s="47"/>
      <c r="XN19" s="47"/>
      <c r="XO19" s="47"/>
      <c r="XP19" s="47"/>
      <c r="XQ19" s="47"/>
      <c r="XR19" s="47"/>
      <c r="XS19" s="47"/>
      <c r="XT19" s="47"/>
      <c r="XU19" s="47"/>
      <c r="XV19" s="47"/>
      <c r="XW19" s="47"/>
      <c r="XX19" s="47"/>
      <c r="XY19" s="47"/>
      <c r="XZ19" s="47"/>
      <c r="YA19" s="47"/>
      <c r="YB19" s="47"/>
      <c r="YC19" s="47"/>
      <c r="YD19" s="47"/>
      <c r="YE19" s="47"/>
      <c r="YF19" s="47"/>
      <c r="YG19" s="47"/>
      <c r="YH19" s="47"/>
      <c r="YI19" s="47"/>
      <c r="YJ19" s="47"/>
      <c r="YK19" s="47"/>
      <c r="YL19" s="47"/>
      <c r="YM19" s="47"/>
      <c r="YN19" s="47"/>
      <c r="YO19" s="47"/>
      <c r="YP19" s="47"/>
      <c r="YQ19" s="47"/>
      <c r="YR19" s="47"/>
      <c r="YS19" s="47"/>
    </row>
    <row r="20" spans="1:669" s="47" customFormat="1" ht="3.95" customHeight="1" x14ac:dyDescent="0.25">
      <c r="A20" s="127"/>
      <c r="B20" s="64"/>
      <c r="C20" s="64"/>
      <c r="D20" s="64"/>
      <c r="E20" s="64"/>
      <c r="F20" s="184"/>
      <c r="G20" s="64"/>
      <c r="H20" s="64"/>
      <c r="I20" s="240"/>
      <c r="J20" s="287"/>
      <c r="K20" s="93"/>
      <c r="L20" s="60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1"/>
      <c r="GQ20" s="61"/>
      <c r="GR20" s="61"/>
      <c r="GS20" s="61"/>
      <c r="GT20" s="61"/>
      <c r="GU20" s="61"/>
      <c r="GV20" s="61"/>
      <c r="GW20" s="61"/>
      <c r="GX20" s="61"/>
      <c r="GY20" s="61"/>
      <c r="GZ20" s="61"/>
      <c r="HA20" s="61"/>
      <c r="HB20" s="61"/>
      <c r="HC20" s="61"/>
      <c r="HD20" s="61"/>
      <c r="HE20" s="61"/>
      <c r="HF20" s="61"/>
      <c r="HG20" s="61"/>
      <c r="HH20" s="61"/>
      <c r="HI20" s="61"/>
      <c r="HJ20" s="61"/>
      <c r="HK20" s="61"/>
      <c r="HL20" s="61"/>
      <c r="HM20" s="61"/>
      <c r="HN20" s="61"/>
      <c r="HO20" s="61"/>
      <c r="HP20" s="61"/>
      <c r="HQ20" s="61"/>
      <c r="HR20" s="61"/>
      <c r="HS20" s="61"/>
      <c r="HT20" s="61"/>
      <c r="HU20" s="61"/>
      <c r="HV20" s="61"/>
      <c r="HW20" s="61"/>
      <c r="HX20" s="61"/>
      <c r="HY20" s="61"/>
      <c r="HZ20" s="61"/>
      <c r="IA20" s="61"/>
      <c r="IB20" s="61"/>
      <c r="IC20" s="61"/>
      <c r="ID20" s="61"/>
      <c r="IE20" s="61"/>
      <c r="IF20" s="61"/>
      <c r="IG20" s="61"/>
      <c r="IH20" s="61"/>
      <c r="II20" s="61"/>
      <c r="IJ20" s="61"/>
      <c r="IK20" s="61"/>
      <c r="IL20" s="61"/>
      <c r="IM20" s="61"/>
      <c r="IN20" s="61"/>
      <c r="IO20" s="61"/>
      <c r="IP20" s="61"/>
      <c r="IQ20" s="61"/>
      <c r="IR20" s="61"/>
      <c r="IS20" s="61"/>
      <c r="IT20" s="61"/>
      <c r="IU20" s="61"/>
      <c r="IV20" s="61"/>
      <c r="IW20" s="61"/>
      <c r="IX20" s="61"/>
      <c r="IY20" s="61"/>
      <c r="IZ20" s="61"/>
      <c r="JA20" s="61"/>
      <c r="JB20" s="61"/>
      <c r="JC20" s="61"/>
      <c r="JD20" s="61"/>
      <c r="JE20" s="61"/>
      <c r="JF20" s="61"/>
      <c r="JG20" s="61"/>
      <c r="JH20" s="61"/>
      <c r="JI20" s="61"/>
      <c r="JJ20" s="61"/>
      <c r="JK20" s="61"/>
      <c r="JL20" s="61"/>
      <c r="JM20" s="61"/>
      <c r="JN20" s="61"/>
      <c r="JO20" s="61"/>
      <c r="JP20" s="61"/>
      <c r="JQ20" s="61"/>
      <c r="JR20" s="61"/>
      <c r="JS20" s="61"/>
      <c r="JT20" s="61"/>
      <c r="JU20" s="61"/>
      <c r="JV20" s="61"/>
      <c r="JW20" s="61"/>
      <c r="JX20" s="61"/>
      <c r="JY20" s="61"/>
      <c r="JZ20" s="111"/>
    </row>
    <row r="21" spans="1:669" s="52" customFormat="1" ht="3.95" customHeight="1" thickBot="1" x14ac:dyDescent="0.3">
      <c r="A21" s="127"/>
      <c r="B21" s="64"/>
      <c r="C21" s="64"/>
      <c r="D21" s="64"/>
      <c r="E21" s="64"/>
      <c r="F21" s="184"/>
      <c r="G21" s="64"/>
      <c r="H21" s="64"/>
      <c r="I21" s="240"/>
      <c r="J21" s="297"/>
      <c r="K21" s="164"/>
      <c r="L21" s="46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  <c r="CU21" s="118"/>
      <c r="CV21" s="118"/>
      <c r="CW21" s="118"/>
      <c r="CX21" s="118"/>
      <c r="CY21" s="118"/>
      <c r="CZ21" s="118"/>
      <c r="DA21" s="118"/>
      <c r="DB21" s="118"/>
      <c r="DC21" s="118"/>
      <c r="DD21" s="118"/>
      <c r="DE21" s="118"/>
      <c r="DF21" s="118"/>
      <c r="DG21" s="118"/>
      <c r="DH21" s="118"/>
      <c r="DI21" s="118"/>
      <c r="DJ21" s="118"/>
      <c r="DK21" s="118"/>
      <c r="DL21" s="118"/>
      <c r="DM21" s="118"/>
      <c r="DN21" s="118"/>
      <c r="DO21" s="118"/>
      <c r="DP21" s="118"/>
      <c r="DQ21" s="118"/>
      <c r="DR21" s="118"/>
      <c r="DS21" s="118"/>
      <c r="DT21" s="118"/>
      <c r="DU21" s="118"/>
      <c r="DV21" s="118"/>
      <c r="DW21" s="118"/>
      <c r="DX21" s="118"/>
      <c r="DY21" s="118"/>
      <c r="DZ21" s="118"/>
      <c r="EA21" s="118"/>
      <c r="EB21" s="118"/>
      <c r="EC21" s="118"/>
      <c r="ED21" s="118"/>
      <c r="EE21" s="118"/>
      <c r="EF21" s="118"/>
      <c r="EG21" s="118"/>
      <c r="EH21" s="118"/>
      <c r="EI21" s="118"/>
      <c r="EJ21" s="118"/>
      <c r="EK21" s="118"/>
      <c r="EL21" s="118"/>
      <c r="EM21" s="118"/>
      <c r="EN21" s="118"/>
      <c r="EO21" s="118"/>
      <c r="EP21" s="118"/>
      <c r="EQ21" s="118"/>
      <c r="ER21" s="118"/>
      <c r="ES21" s="118"/>
      <c r="ET21" s="118"/>
      <c r="EU21" s="118"/>
      <c r="EV21" s="118"/>
      <c r="EW21" s="118"/>
      <c r="EX21" s="118"/>
      <c r="EY21" s="118"/>
      <c r="EZ21" s="118"/>
      <c r="FA21" s="118"/>
      <c r="FB21" s="118"/>
      <c r="FC21" s="118"/>
      <c r="FD21" s="118"/>
      <c r="FE21" s="118"/>
      <c r="FF21" s="118"/>
      <c r="FG21" s="118"/>
      <c r="FH21" s="118"/>
      <c r="FI21" s="118"/>
      <c r="FJ21" s="118"/>
      <c r="FK21" s="118"/>
      <c r="FL21" s="118"/>
      <c r="FM21" s="118"/>
      <c r="FN21" s="118"/>
      <c r="FO21" s="118"/>
      <c r="FP21" s="118"/>
      <c r="FQ21" s="118"/>
      <c r="FR21" s="118"/>
      <c r="FS21" s="118"/>
      <c r="FT21" s="118"/>
      <c r="FU21" s="118"/>
      <c r="FV21" s="118"/>
      <c r="FW21" s="118"/>
      <c r="FX21" s="118"/>
      <c r="FY21" s="118"/>
      <c r="FZ21" s="118"/>
      <c r="GA21" s="118"/>
      <c r="GB21" s="118"/>
      <c r="GC21" s="118"/>
      <c r="GD21" s="118"/>
      <c r="GE21" s="118"/>
      <c r="GF21" s="118"/>
      <c r="GG21" s="118"/>
      <c r="GH21" s="118"/>
      <c r="GI21" s="118"/>
      <c r="GJ21" s="118"/>
      <c r="GK21" s="118"/>
      <c r="GL21" s="118"/>
      <c r="GM21" s="118"/>
      <c r="GN21" s="118"/>
      <c r="GO21" s="118"/>
      <c r="GP21" s="118"/>
      <c r="GQ21" s="118"/>
      <c r="GR21" s="118"/>
      <c r="GS21" s="118"/>
      <c r="GT21" s="118"/>
      <c r="GU21" s="118"/>
      <c r="GV21" s="118"/>
      <c r="GW21" s="118"/>
      <c r="GX21" s="118"/>
      <c r="GY21" s="118"/>
      <c r="GZ21" s="118"/>
      <c r="HA21" s="118"/>
      <c r="HB21" s="118"/>
      <c r="HC21" s="118"/>
      <c r="HD21" s="118"/>
      <c r="HE21" s="118"/>
      <c r="HF21" s="118"/>
      <c r="HG21" s="118"/>
      <c r="HH21" s="118"/>
      <c r="HI21" s="118"/>
      <c r="HJ21" s="118"/>
      <c r="HK21" s="118"/>
      <c r="HL21" s="118"/>
      <c r="HM21" s="118"/>
      <c r="HN21" s="118"/>
      <c r="HO21" s="118"/>
      <c r="HP21" s="118"/>
      <c r="HQ21" s="118"/>
      <c r="HR21" s="118"/>
      <c r="HS21" s="118"/>
      <c r="HT21" s="118"/>
      <c r="HU21" s="118"/>
      <c r="HV21" s="118"/>
      <c r="HW21" s="118"/>
      <c r="HX21" s="118"/>
      <c r="HY21" s="118"/>
      <c r="HZ21" s="118"/>
      <c r="IA21" s="118"/>
      <c r="IB21" s="118"/>
      <c r="IC21" s="118"/>
      <c r="ID21" s="118"/>
      <c r="IE21" s="118"/>
      <c r="IF21" s="118"/>
      <c r="IG21" s="118"/>
      <c r="IH21" s="118"/>
      <c r="II21" s="118"/>
      <c r="IJ21" s="118"/>
      <c r="IK21" s="118"/>
      <c r="IL21" s="118"/>
      <c r="IM21" s="118"/>
      <c r="IN21" s="118"/>
      <c r="IO21" s="118"/>
      <c r="IP21" s="118"/>
      <c r="IQ21" s="118"/>
      <c r="IR21" s="118"/>
      <c r="IS21" s="118"/>
      <c r="IT21" s="118"/>
      <c r="IU21" s="118"/>
      <c r="IV21" s="118"/>
      <c r="IW21" s="118"/>
      <c r="IX21" s="118"/>
      <c r="IY21" s="118"/>
      <c r="IZ21" s="118"/>
      <c r="JA21" s="118"/>
      <c r="JB21" s="118"/>
      <c r="JC21" s="118"/>
      <c r="JD21" s="118"/>
      <c r="JE21" s="118"/>
      <c r="JF21" s="118"/>
      <c r="JG21" s="118"/>
      <c r="JH21" s="118"/>
      <c r="JI21" s="118"/>
      <c r="JJ21" s="118"/>
      <c r="JK21" s="118"/>
      <c r="JL21" s="118"/>
      <c r="JM21" s="118"/>
      <c r="JN21" s="118"/>
      <c r="JO21" s="118"/>
      <c r="JP21" s="118"/>
      <c r="JQ21" s="118"/>
      <c r="JR21" s="118"/>
      <c r="JS21" s="118"/>
      <c r="JT21" s="118"/>
      <c r="JU21" s="118"/>
      <c r="JV21" s="118"/>
      <c r="JW21" s="118"/>
      <c r="JX21" s="118"/>
      <c r="JY21" s="118"/>
      <c r="JZ21" s="120"/>
      <c r="KA21" s="47"/>
      <c r="KB21" s="47"/>
      <c r="KC21" s="47"/>
      <c r="KD21" s="47"/>
      <c r="KE21" s="47"/>
      <c r="KF21" s="47"/>
      <c r="KG21" s="47"/>
      <c r="KH21" s="47"/>
      <c r="KI21" s="47"/>
      <c r="KJ21" s="47"/>
      <c r="KK21" s="47"/>
      <c r="KL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  <c r="KW21" s="47"/>
      <c r="KX21" s="47"/>
      <c r="KY21" s="47"/>
      <c r="KZ21" s="47"/>
      <c r="LA21" s="47"/>
      <c r="LB21" s="47"/>
      <c r="LC21" s="47"/>
      <c r="LD21" s="47"/>
      <c r="LE21" s="47"/>
      <c r="LF21" s="47"/>
      <c r="LG21" s="47"/>
      <c r="LH21" s="47"/>
      <c r="LI21" s="47"/>
      <c r="LJ21" s="47"/>
      <c r="LK21" s="47"/>
      <c r="LL21" s="47"/>
      <c r="LM21" s="47"/>
      <c r="LN21" s="47"/>
      <c r="LO21" s="47"/>
      <c r="LP21" s="47"/>
      <c r="LQ21" s="47"/>
      <c r="LR21" s="47"/>
      <c r="LS21" s="47"/>
      <c r="LT21" s="47"/>
      <c r="LU21" s="47"/>
      <c r="LV21" s="47"/>
      <c r="LW21" s="47"/>
      <c r="LX21" s="47"/>
      <c r="LY21" s="47"/>
      <c r="LZ21" s="47"/>
      <c r="MA21" s="47"/>
      <c r="MB21" s="47"/>
      <c r="MC21" s="47"/>
      <c r="MD21" s="47"/>
      <c r="ME21" s="47"/>
      <c r="MF21" s="47"/>
      <c r="MG21" s="47"/>
      <c r="MH21" s="47"/>
      <c r="MI21" s="47"/>
      <c r="MJ21" s="47"/>
      <c r="MK21" s="47"/>
      <c r="ML21" s="47"/>
      <c r="MM21" s="47"/>
      <c r="MN21" s="47"/>
      <c r="MO21" s="47"/>
      <c r="MP21" s="47"/>
      <c r="MQ21" s="47"/>
      <c r="MR21" s="47"/>
      <c r="MS21" s="47"/>
      <c r="MT21" s="47"/>
      <c r="MU21" s="47"/>
      <c r="MV21" s="47"/>
      <c r="MW21" s="47"/>
      <c r="MX21" s="47"/>
      <c r="MY21" s="47"/>
      <c r="MZ21" s="47"/>
      <c r="NA21" s="47"/>
      <c r="NB21" s="47"/>
      <c r="NC21" s="47"/>
      <c r="ND21" s="47"/>
      <c r="NE21" s="47"/>
      <c r="NF21" s="47"/>
      <c r="NG21" s="47"/>
      <c r="NH21" s="47"/>
      <c r="NI21" s="47"/>
      <c r="NJ21" s="47"/>
      <c r="NK21" s="47"/>
      <c r="NL21" s="47"/>
      <c r="NM21" s="47"/>
      <c r="NN21" s="47"/>
      <c r="NO21" s="47"/>
      <c r="NP21" s="47"/>
      <c r="NQ21" s="47"/>
      <c r="NR21" s="47"/>
      <c r="NS21" s="47"/>
      <c r="NT21" s="47"/>
      <c r="NU21" s="47"/>
      <c r="NV21" s="47"/>
      <c r="NW21" s="47"/>
      <c r="NX21" s="47"/>
      <c r="NY21" s="47"/>
      <c r="NZ21" s="47"/>
      <c r="OA21" s="47"/>
      <c r="OB21" s="47"/>
      <c r="OC21" s="47"/>
      <c r="OD21" s="47"/>
      <c r="OE21" s="47"/>
      <c r="OF21" s="47"/>
      <c r="OG21" s="47"/>
      <c r="OH21" s="47"/>
      <c r="OI21" s="47"/>
      <c r="OJ21" s="47"/>
      <c r="OK21" s="47"/>
      <c r="OL21" s="47"/>
      <c r="OM21" s="47"/>
      <c r="ON21" s="47"/>
      <c r="OO21" s="47"/>
      <c r="OP21" s="47"/>
      <c r="OQ21" s="47"/>
      <c r="OR21" s="47"/>
      <c r="OS21" s="47"/>
      <c r="OT21" s="47"/>
      <c r="OU21" s="47"/>
      <c r="OV21" s="47"/>
      <c r="OW21" s="47"/>
      <c r="OX21" s="47"/>
      <c r="OY21" s="47"/>
      <c r="OZ21" s="47"/>
      <c r="PA21" s="47"/>
      <c r="PB21" s="47"/>
      <c r="PC21" s="47"/>
      <c r="PD21" s="47"/>
      <c r="PE21" s="47"/>
      <c r="PF21" s="47"/>
      <c r="PG21" s="47"/>
      <c r="PH21" s="47"/>
      <c r="PI21" s="47"/>
      <c r="PJ21" s="47"/>
      <c r="PK21" s="47"/>
      <c r="PL21" s="47"/>
      <c r="PM21" s="47"/>
      <c r="PN21" s="47"/>
      <c r="PO21" s="47"/>
      <c r="PP21" s="47"/>
      <c r="PQ21" s="47"/>
      <c r="PR21" s="47"/>
      <c r="PS21" s="47"/>
      <c r="PT21" s="47"/>
      <c r="PU21" s="47"/>
      <c r="PV21" s="47"/>
      <c r="PW21" s="47"/>
      <c r="PX21" s="47"/>
      <c r="PY21" s="47"/>
      <c r="PZ21" s="47"/>
      <c r="QA21" s="47"/>
      <c r="QB21" s="47"/>
      <c r="QC21" s="47"/>
      <c r="QD21" s="47"/>
      <c r="QE21" s="47"/>
      <c r="QF21" s="47"/>
      <c r="QG21" s="47"/>
      <c r="QH21" s="47"/>
      <c r="QI21" s="47"/>
      <c r="QJ21" s="47"/>
      <c r="QK21" s="47"/>
      <c r="QL21" s="47"/>
      <c r="QM21" s="47"/>
      <c r="QN21" s="47"/>
      <c r="QO21" s="47"/>
      <c r="QP21" s="47"/>
      <c r="QQ21" s="47"/>
      <c r="QR21" s="47"/>
      <c r="QS21" s="47"/>
      <c r="QT21" s="47"/>
      <c r="QU21" s="47"/>
      <c r="QV21" s="47"/>
      <c r="QW21" s="47"/>
      <c r="QX21" s="47"/>
      <c r="QY21" s="47"/>
      <c r="QZ21" s="47"/>
      <c r="RA21" s="47"/>
      <c r="RB21" s="47"/>
      <c r="RC21" s="47"/>
      <c r="RD21" s="47"/>
      <c r="RE21" s="47"/>
      <c r="RF21" s="47"/>
      <c r="RG21" s="47"/>
      <c r="RH21" s="47"/>
      <c r="RI21" s="47"/>
      <c r="RJ21" s="47"/>
      <c r="RK21" s="47"/>
      <c r="RL21" s="47"/>
      <c r="RM21" s="47"/>
      <c r="RN21" s="47"/>
      <c r="RO21" s="47"/>
      <c r="RP21" s="47"/>
      <c r="RQ21" s="47"/>
      <c r="RR21" s="47"/>
      <c r="RS21" s="47"/>
      <c r="RT21" s="47"/>
      <c r="RU21" s="47"/>
      <c r="RV21" s="47"/>
      <c r="RW21" s="47"/>
      <c r="RX21" s="47"/>
      <c r="RY21" s="47"/>
      <c r="RZ21" s="47"/>
      <c r="SA21" s="47"/>
      <c r="SB21" s="47"/>
      <c r="SC21" s="47"/>
      <c r="SD21" s="47"/>
      <c r="SE21" s="47"/>
      <c r="SF21" s="47"/>
      <c r="SG21" s="47"/>
      <c r="SH21" s="47"/>
      <c r="SI21" s="47"/>
      <c r="SJ21" s="47"/>
      <c r="SK21" s="47"/>
      <c r="SL21" s="47"/>
      <c r="SM21" s="47"/>
      <c r="SN21" s="47"/>
      <c r="SO21" s="47"/>
      <c r="SP21" s="47"/>
      <c r="SQ21" s="47"/>
      <c r="SR21" s="47"/>
      <c r="SS21" s="47"/>
      <c r="ST21" s="47"/>
      <c r="SU21" s="47"/>
      <c r="SV21" s="47"/>
      <c r="SW21" s="47"/>
      <c r="SX21" s="47"/>
      <c r="SY21" s="47"/>
      <c r="SZ21" s="47"/>
      <c r="TA21" s="47"/>
      <c r="TB21" s="47"/>
      <c r="TC21" s="47"/>
      <c r="TD21" s="47"/>
      <c r="TE21" s="47"/>
      <c r="TF21" s="47"/>
      <c r="TG21" s="47"/>
      <c r="TH21" s="47"/>
      <c r="TI21" s="47"/>
      <c r="TJ21" s="47"/>
      <c r="TK21" s="47"/>
      <c r="TL21" s="47"/>
      <c r="TM21" s="47"/>
      <c r="TN21" s="47"/>
      <c r="TO21" s="47"/>
      <c r="TP21" s="47"/>
      <c r="TQ21" s="47"/>
      <c r="TR21" s="47"/>
      <c r="TS21" s="47"/>
      <c r="TT21" s="47"/>
      <c r="TU21" s="47"/>
      <c r="TV21" s="47"/>
      <c r="TW21" s="47"/>
      <c r="TX21" s="47"/>
      <c r="TY21" s="47"/>
      <c r="TZ21" s="47"/>
      <c r="UA21" s="47"/>
      <c r="UB21" s="47"/>
      <c r="UC21" s="47"/>
      <c r="UD21" s="47"/>
      <c r="UE21" s="47"/>
      <c r="UF21" s="47"/>
      <c r="UG21" s="47"/>
      <c r="UH21" s="47"/>
      <c r="UI21" s="47"/>
      <c r="UJ21" s="47"/>
      <c r="UK21" s="47"/>
      <c r="UL21" s="47"/>
      <c r="UM21" s="47"/>
      <c r="UN21" s="47"/>
      <c r="UO21" s="47"/>
      <c r="UP21" s="47"/>
      <c r="UQ21" s="47"/>
      <c r="UR21" s="47"/>
      <c r="US21" s="47"/>
      <c r="UT21" s="47"/>
      <c r="UU21" s="47"/>
      <c r="UV21" s="47"/>
      <c r="UW21" s="47"/>
      <c r="UX21" s="47"/>
      <c r="UY21" s="47"/>
      <c r="UZ21" s="47"/>
      <c r="VA21" s="47"/>
      <c r="VB21" s="47"/>
      <c r="VC21" s="47"/>
      <c r="VD21" s="47"/>
      <c r="VE21" s="47"/>
      <c r="VF21" s="47"/>
      <c r="VG21" s="47"/>
      <c r="VH21" s="47"/>
      <c r="VI21" s="47"/>
      <c r="VJ21" s="47"/>
      <c r="VK21" s="47"/>
      <c r="VL21" s="47"/>
      <c r="VM21" s="47"/>
      <c r="VN21" s="47"/>
      <c r="VO21" s="47"/>
      <c r="VP21" s="47"/>
      <c r="VQ21" s="47"/>
      <c r="VR21" s="47"/>
      <c r="VS21" s="47"/>
      <c r="VT21" s="47"/>
      <c r="VU21" s="47"/>
      <c r="VV21" s="47"/>
      <c r="VW21" s="47"/>
      <c r="VX21" s="47"/>
      <c r="VY21" s="47"/>
      <c r="VZ21" s="47"/>
      <c r="WA21" s="47"/>
      <c r="WB21" s="47"/>
      <c r="WC21" s="47"/>
      <c r="WD21" s="47"/>
      <c r="WE21" s="47"/>
      <c r="WF21" s="47"/>
      <c r="WG21" s="47"/>
      <c r="WH21" s="47"/>
      <c r="WI21" s="47"/>
      <c r="WJ21" s="47"/>
      <c r="WK21" s="47"/>
      <c r="WL21" s="47"/>
      <c r="WM21" s="47"/>
      <c r="WN21" s="47"/>
      <c r="WO21" s="47"/>
      <c r="WP21" s="47"/>
      <c r="WQ21" s="47"/>
      <c r="WR21" s="47"/>
      <c r="WS21" s="47"/>
      <c r="WT21" s="47"/>
      <c r="WU21" s="47"/>
      <c r="WV21" s="47"/>
      <c r="WW21" s="47"/>
      <c r="WX21" s="47"/>
      <c r="WY21" s="47"/>
      <c r="WZ21" s="47"/>
      <c r="XA21" s="47"/>
      <c r="XB21" s="47"/>
      <c r="XC21" s="47"/>
      <c r="XD21" s="47"/>
      <c r="XE21" s="47"/>
      <c r="XF21" s="47"/>
      <c r="XG21" s="47"/>
      <c r="XH21" s="47"/>
      <c r="XI21" s="47"/>
      <c r="XJ21" s="47"/>
      <c r="XK21" s="47"/>
      <c r="XL21" s="47"/>
      <c r="XM21" s="47"/>
      <c r="XN21" s="47"/>
      <c r="XO21" s="47"/>
      <c r="XP21" s="47"/>
      <c r="XQ21" s="47"/>
      <c r="XR21" s="47"/>
      <c r="XS21" s="47"/>
      <c r="XT21" s="47"/>
      <c r="XU21" s="47"/>
      <c r="XV21" s="47"/>
      <c r="XW21" s="47"/>
      <c r="XX21" s="47"/>
      <c r="XY21" s="47"/>
      <c r="XZ21" s="47"/>
      <c r="YA21" s="47"/>
      <c r="YB21" s="47"/>
      <c r="YC21" s="47"/>
      <c r="YD21" s="47"/>
      <c r="YE21" s="47"/>
      <c r="YF21" s="47"/>
      <c r="YG21" s="47"/>
      <c r="YH21" s="47"/>
      <c r="YI21" s="47"/>
      <c r="YJ21" s="47"/>
      <c r="YK21" s="47"/>
      <c r="YL21" s="47"/>
      <c r="YM21" s="47"/>
      <c r="YN21" s="47"/>
      <c r="YO21" s="47"/>
      <c r="YP21" s="47"/>
      <c r="YQ21" s="47"/>
      <c r="YR21" s="47"/>
      <c r="YS21" s="47"/>
    </row>
    <row r="22" spans="1:669" ht="15" customHeight="1" thickTop="1" x14ac:dyDescent="0.25">
      <c r="A22" s="155" t="str">
        <f>B22</f>
        <v>SAX TENOR</v>
      </c>
      <c r="B22" s="231" t="s">
        <v>51</v>
      </c>
      <c r="C22" s="137" t="s">
        <v>50</v>
      </c>
      <c r="D22" s="228" t="s">
        <v>14</v>
      </c>
      <c r="E22" s="172" t="s">
        <v>42</v>
      </c>
      <c r="F22" s="180">
        <v>0</v>
      </c>
      <c r="G22" s="172" t="s">
        <v>37</v>
      </c>
      <c r="H22" s="169">
        <f>STDEVPA(V25:GN25)</f>
        <v>2.7143295462633237</v>
      </c>
      <c r="I22" s="241" t="s">
        <v>15</v>
      </c>
      <c r="J22" s="86" t="e">
        <f>#REF!</f>
        <v>#REF!</v>
      </c>
      <c r="K22" s="295" t="s">
        <v>10</v>
      </c>
      <c r="L22" s="95"/>
      <c r="M22" s="96"/>
      <c r="N22" s="96"/>
      <c r="O22" s="96"/>
      <c r="P22" s="96"/>
      <c r="Q22" s="96"/>
      <c r="R22" s="96"/>
      <c r="S22" s="96"/>
      <c r="T22" s="96"/>
      <c r="U22" s="96"/>
      <c r="V22" s="97">
        <v>350</v>
      </c>
      <c r="W22" s="97">
        <v>0</v>
      </c>
      <c r="X22" s="97">
        <v>0</v>
      </c>
      <c r="Y22" s="97">
        <v>0</v>
      </c>
      <c r="Z22" s="97">
        <v>0</v>
      </c>
      <c r="AA22" s="97">
        <v>0</v>
      </c>
      <c r="AB22" s="97">
        <v>0</v>
      </c>
      <c r="AC22" s="97">
        <v>0</v>
      </c>
      <c r="AD22" s="97">
        <v>0</v>
      </c>
      <c r="AE22" s="97">
        <v>0</v>
      </c>
      <c r="AF22" s="97">
        <v>0</v>
      </c>
      <c r="AG22" s="97">
        <v>0</v>
      </c>
      <c r="AH22" s="97">
        <v>0</v>
      </c>
      <c r="AI22" s="97">
        <v>0</v>
      </c>
      <c r="AJ22" s="97">
        <v>0</v>
      </c>
      <c r="AK22" s="97">
        <v>0</v>
      </c>
      <c r="AL22" s="97">
        <v>0</v>
      </c>
      <c r="AM22" s="97">
        <v>0</v>
      </c>
      <c r="AN22" s="97">
        <v>0</v>
      </c>
      <c r="AO22" s="97">
        <v>0</v>
      </c>
      <c r="AP22" s="97">
        <v>0</v>
      </c>
      <c r="AQ22" s="97">
        <v>0</v>
      </c>
      <c r="AR22" s="97">
        <v>0</v>
      </c>
      <c r="AS22" s="97">
        <v>0</v>
      </c>
      <c r="AT22" s="97">
        <v>0</v>
      </c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7"/>
      <c r="CH22" s="97"/>
      <c r="CI22" s="97"/>
      <c r="CJ22" s="97"/>
      <c r="CK22" s="97"/>
      <c r="CL22" s="97"/>
      <c r="CM22" s="97"/>
      <c r="CN22" s="97"/>
      <c r="CO22" s="97">
        <v>100</v>
      </c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97"/>
      <c r="DA22" s="97"/>
      <c r="DB22" s="97"/>
      <c r="DC22" s="97">
        <v>100</v>
      </c>
      <c r="DD22" s="97"/>
      <c r="DE22" s="97"/>
      <c r="DF22" s="97"/>
      <c r="DG22" s="97"/>
      <c r="DH22" s="97"/>
      <c r="DI22" s="97"/>
      <c r="DJ22" s="97"/>
      <c r="DK22" s="97"/>
      <c r="DL22" s="97"/>
      <c r="DM22" s="97"/>
      <c r="DN22" s="97"/>
      <c r="DO22" s="97"/>
      <c r="DP22" s="97"/>
      <c r="DQ22" s="97"/>
      <c r="DR22" s="97"/>
      <c r="DS22" s="97"/>
      <c r="DT22" s="97"/>
      <c r="DU22" s="97"/>
      <c r="DV22" s="97"/>
      <c r="DW22" s="97"/>
      <c r="DX22" s="97"/>
      <c r="DY22" s="97"/>
      <c r="DZ22" s="97"/>
      <c r="EA22" s="97"/>
      <c r="EB22" s="97"/>
      <c r="EC22" s="97"/>
      <c r="ED22" s="97"/>
      <c r="EE22" s="97"/>
      <c r="EF22" s="97"/>
      <c r="EG22" s="97"/>
      <c r="EH22" s="97"/>
      <c r="EI22" s="97"/>
      <c r="EJ22" s="97"/>
      <c r="EK22" s="97"/>
      <c r="EL22" s="97"/>
      <c r="EM22" s="97"/>
      <c r="EN22" s="97"/>
      <c r="EO22" s="97"/>
      <c r="EP22" s="97"/>
      <c r="EQ22" s="97"/>
      <c r="ER22" s="97"/>
      <c r="ES22" s="97"/>
      <c r="ET22" s="97"/>
      <c r="EU22" s="97"/>
      <c r="EV22" s="97"/>
      <c r="EW22" s="97"/>
      <c r="EX22" s="97"/>
      <c r="EY22" s="97"/>
      <c r="EZ22" s="97"/>
      <c r="FA22" s="97"/>
      <c r="FB22" s="97"/>
      <c r="FC22" s="97"/>
      <c r="FD22" s="97"/>
      <c r="FE22" s="97"/>
      <c r="FF22" s="97"/>
      <c r="FG22" s="97"/>
      <c r="FH22" s="97"/>
      <c r="FI22" s="97"/>
      <c r="FJ22" s="97"/>
      <c r="FK22" s="97"/>
      <c r="FL22" s="97"/>
      <c r="FM22" s="97"/>
      <c r="FN22" s="97"/>
      <c r="FO22" s="97"/>
      <c r="FP22" s="97"/>
      <c r="FQ22" s="97"/>
      <c r="FR22" s="97"/>
      <c r="FS22" s="97"/>
      <c r="FT22" s="97"/>
      <c r="FU22" s="97"/>
      <c r="FV22" s="97"/>
      <c r="FW22" s="97"/>
      <c r="FX22" s="97"/>
      <c r="FY22" s="97"/>
      <c r="FZ22" s="97"/>
      <c r="GA22" s="97"/>
      <c r="GB22" s="97"/>
      <c r="GC22" s="97"/>
      <c r="GD22" s="97"/>
      <c r="GE22" s="97"/>
      <c r="GF22" s="97"/>
      <c r="GG22" s="97"/>
      <c r="GH22" s="97"/>
      <c r="GI22" s="97"/>
      <c r="GJ22" s="97"/>
      <c r="GK22" s="97"/>
      <c r="GL22" s="97"/>
      <c r="GM22" s="97"/>
      <c r="GN22" s="97"/>
      <c r="GO22" s="97"/>
      <c r="GP22" s="97"/>
      <c r="GQ22" s="97"/>
      <c r="GR22" s="97"/>
      <c r="GS22" s="97"/>
      <c r="GT22" s="97"/>
      <c r="GU22" s="97"/>
      <c r="GV22" s="97"/>
      <c r="GW22" s="97"/>
      <c r="GX22" s="97"/>
      <c r="GY22" s="97"/>
      <c r="GZ22" s="97"/>
      <c r="HA22" s="97"/>
      <c r="HB22" s="97"/>
      <c r="HC22" s="97"/>
      <c r="HD22" s="97"/>
      <c r="HE22" s="97"/>
      <c r="HF22" s="97"/>
      <c r="HG22" s="97"/>
      <c r="HH22" s="97"/>
      <c r="HI22" s="97"/>
      <c r="HJ22" s="97"/>
      <c r="HK22" s="97"/>
      <c r="HL22" s="97"/>
      <c r="HM22" s="97"/>
      <c r="HN22" s="97"/>
      <c r="HO22" s="97"/>
      <c r="HP22" s="97"/>
      <c r="HQ22" s="97"/>
      <c r="HR22" s="97"/>
      <c r="HS22" s="97"/>
      <c r="HT22" s="97"/>
      <c r="HU22" s="97"/>
      <c r="HV22" s="97"/>
      <c r="HW22" s="97"/>
      <c r="HX22" s="97"/>
      <c r="HY22" s="97"/>
      <c r="HZ22" s="97"/>
      <c r="IA22" s="97"/>
      <c r="IB22" s="97"/>
      <c r="IC22" s="97"/>
      <c r="ID22" s="97"/>
      <c r="IE22" s="97"/>
      <c r="IF22" s="97"/>
      <c r="IG22" s="97"/>
      <c r="IH22" s="97"/>
      <c r="II22" s="97"/>
      <c r="IJ22" s="97"/>
      <c r="IK22" s="97"/>
      <c r="IL22" s="97"/>
      <c r="IM22" s="97"/>
      <c r="IN22" s="97"/>
      <c r="IO22" s="97"/>
      <c r="IP22" s="97"/>
      <c r="IQ22" s="97"/>
      <c r="IR22" s="97"/>
      <c r="IS22" s="97"/>
      <c r="IT22" s="97"/>
      <c r="IU22" s="97"/>
      <c r="IV22" s="97"/>
      <c r="IW22" s="97"/>
      <c r="IX22" s="97"/>
      <c r="IY22" s="97"/>
      <c r="IZ22" s="97"/>
      <c r="JA22" s="97"/>
      <c r="JB22" s="97"/>
      <c r="JC22" s="97"/>
      <c r="JD22" s="97"/>
      <c r="JE22" s="97"/>
      <c r="JF22" s="97"/>
      <c r="JG22" s="97"/>
      <c r="JH22" s="97"/>
      <c r="JI22" s="97"/>
      <c r="JJ22" s="97"/>
      <c r="JK22" s="97"/>
      <c r="JL22" s="97"/>
      <c r="JM22" s="97"/>
      <c r="JN22" s="97"/>
      <c r="JO22" s="97"/>
      <c r="JP22" s="97"/>
      <c r="JQ22" s="97"/>
      <c r="JR22" s="97"/>
      <c r="JS22" s="97"/>
      <c r="JT22" s="97"/>
      <c r="JU22" s="97"/>
      <c r="JV22" s="97"/>
      <c r="JW22" s="97"/>
      <c r="JX22" s="97"/>
      <c r="JY22" s="97"/>
      <c r="JZ22" s="98"/>
      <c r="KA22" s="17"/>
      <c r="KB22" s="215" t="s">
        <v>28</v>
      </c>
      <c r="KC22" s="216" t="s">
        <v>62</v>
      </c>
      <c r="KD22" s="216" t="s">
        <v>63</v>
      </c>
      <c r="KE22" s="216" t="s">
        <v>64</v>
      </c>
      <c r="KF22" s="216" t="s">
        <v>65</v>
      </c>
      <c r="KG22" s="1" t="s">
        <v>66</v>
      </c>
      <c r="KH22" s="2"/>
      <c r="KI22" s="250"/>
      <c r="KJ22" s="217" t="s">
        <v>67</v>
      </c>
      <c r="KK22" s="218" t="s">
        <v>68</v>
      </c>
      <c r="KL22" s="218" t="s">
        <v>69</v>
      </c>
      <c r="KM22" s="218" t="s">
        <v>70</v>
      </c>
      <c r="KN22" s="215" t="s">
        <v>28</v>
      </c>
      <c r="KO22" s="216" t="s">
        <v>62</v>
      </c>
      <c r="KP22" s="216" t="s">
        <v>63</v>
      </c>
      <c r="KQ22" s="216" t="s">
        <v>64</v>
      </c>
      <c r="KR22" s="216" t="s">
        <v>65</v>
      </c>
      <c r="KS22" s="1" t="s">
        <v>66</v>
      </c>
      <c r="KT22" s="2"/>
      <c r="KU22" s="250"/>
      <c r="KV22" s="217" t="s">
        <v>67</v>
      </c>
      <c r="KW22" s="218" t="s">
        <v>68</v>
      </c>
      <c r="KX22" s="218" t="s">
        <v>69</v>
      </c>
      <c r="KY22" s="218" t="s">
        <v>70</v>
      </c>
      <c r="KZ22" s="215" t="s">
        <v>28</v>
      </c>
      <c r="LA22" s="216" t="s">
        <v>62</v>
      </c>
      <c r="LB22" s="216" t="s">
        <v>63</v>
      </c>
      <c r="LC22" s="216" t="s">
        <v>64</v>
      </c>
      <c r="LD22" s="216" t="s">
        <v>65</v>
      </c>
      <c r="LE22" s="1" t="s">
        <v>66</v>
      </c>
      <c r="LF22" s="2"/>
      <c r="LG22" s="250"/>
      <c r="LH22" s="217" t="s">
        <v>67</v>
      </c>
      <c r="LI22" s="218" t="s">
        <v>68</v>
      </c>
      <c r="LJ22" s="218" t="s">
        <v>69</v>
      </c>
      <c r="LK22" s="218" t="s">
        <v>70</v>
      </c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</row>
    <row r="23" spans="1:669" ht="15.75" thickBot="1" x14ac:dyDescent="0.3">
      <c r="A23" s="156" t="str">
        <f>B22</f>
        <v>SAX TENOR</v>
      </c>
      <c r="B23" s="232"/>
      <c r="C23" s="81" t="str">
        <f>$C$22</f>
        <v>YAMAHA</v>
      </c>
      <c r="D23" s="229"/>
      <c r="E23" s="173" t="s">
        <v>44</v>
      </c>
      <c r="F23" s="181">
        <v>0</v>
      </c>
      <c r="G23" s="174" t="s">
        <v>38</v>
      </c>
      <c r="H23" s="170">
        <v>0.5</v>
      </c>
      <c r="I23" s="242" t="s">
        <v>16</v>
      </c>
      <c r="J23" s="83" t="e">
        <f>J22</f>
        <v>#REF!</v>
      </c>
      <c r="K23" s="293"/>
      <c r="L23" s="57"/>
      <c r="M23" s="58"/>
      <c r="N23" s="58"/>
      <c r="O23" s="58"/>
      <c r="P23" s="58"/>
      <c r="Q23" s="58"/>
      <c r="R23" s="58"/>
      <c r="S23" s="58"/>
      <c r="T23" s="58"/>
      <c r="U23" s="58"/>
      <c r="V23" s="70">
        <v>0</v>
      </c>
      <c r="W23" s="70">
        <v>300</v>
      </c>
      <c r="X23" s="70">
        <v>0</v>
      </c>
      <c r="Y23" s="70">
        <v>0</v>
      </c>
      <c r="Z23" s="70">
        <v>0</v>
      </c>
      <c r="AA23" s="70">
        <v>0</v>
      </c>
      <c r="AB23" s="70">
        <v>0</v>
      </c>
      <c r="AC23" s="70">
        <v>0</v>
      </c>
      <c r="AD23" s="70">
        <v>0</v>
      </c>
      <c r="AE23" s="70">
        <v>0</v>
      </c>
      <c r="AF23" s="70">
        <v>0</v>
      </c>
      <c r="AG23" s="70">
        <v>0</v>
      </c>
      <c r="AH23" s="70">
        <v>0</v>
      </c>
      <c r="AI23" s="70">
        <v>50</v>
      </c>
      <c r="AJ23" s="70">
        <v>0</v>
      </c>
      <c r="AK23" s="70">
        <v>0</v>
      </c>
      <c r="AL23" s="70">
        <v>0</v>
      </c>
      <c r="AM23" s="70">
        <v>0</v>
      </c>
      <c r="AN23" s="70">
        <v>0</v>
      </c>
      <c r="AO23" s="70">
        <v>0</v>
      </c>
      <c r="AP23" s="70">
        <v>0</v>
      </c>
      <c r="AQ23" s="70">
        <v>0</v>
      </c>
      <c r="AR23" s="70">
        <v>0</v>
      </c>
      <c r="AS23" s="70">
        <v>0</v>
      </c>
      <c r="AT23" s="70">
        <v>0</v>
      </c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>
        <v>85</v>
      </c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>
        <v>50</v>
      </c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>
        <v>5</v>
      </c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  <c r="IT23" s="70"/>
      <c r="IU23" s="70"/>
      <c r="IV23" s="70"/>
      <c r="IW23" s="70"/>
      <c r="IX23" s="70"/>
      <c r="IY23" s="70"/>
      <c r="IZ23" s="70"/>
      <c r="JA23" s="70"/>
      <c r="JB23" s="70"/>
      <c r="JC23" s="70"/>
      <c r="JD23" s="70"/>
      <c r="JE23" s="70"/>
      <c r="JF23" s="70"/>
      <c r="JG23" s="70"/>
      <c r="JH23" s="70"/>
      <c r="JI23" s="70"/>
      <c r="JJ23" s="70"/>
      <c r="JK23" s="70"/>
      <c r="JL23" s="70"/>
      <c r="JM23" s="70"/>
      <c r="JN23" s="70"/>
      <c r="JO23" s="70"/>
      <c r="JP23" s="70"/>
      <c r="JQ23" s="70"/>
      <c r="JR23" s="70"/>
      <c r="JS23" s="70"/>
      <c r="JT23" s="70"/>
      <c r="JU23" s="70"/>
      <c r="JV23" s="70"/>
      <c r="JW23" s="70"/>
      <c r="JX23" s="70"/>
      <c r="JY23" s="70"/>
      <c r="JZ23" s="99"/>
      <c r="KA23" s="17"/>
      <c r="KB23" s="219" t="s">
        <v>71</v>
      </c>
      <c r="KC23" s="220">
        <f ca="1">W26</f>
        <v>300</v>
      </c>
      <c r="KD23" s="221">
        <f>SUM(X23:AT23)</f>
        <v>50</v>
      </c>
      <c r="KE23" s="221">
        <f>SUM(X25:AT25)</f>
        <v>35</v>
      </c>
      <c r="KF23" s="220">
        <f ca="1">KC23+KD23-KE23</f>
        <v>315</v>
      </c>
      <c r="KG23" s="221">
        <f t="shared" ref="KG23:KG26" ca="1" si="178">KC23</f>
        <v>300</v>
      </c>
      <c r="KH23" s="221">
        <f ca="1">KF23</f>
        <v>315</v>
      </c>
      <c r="KI23" s="220" t="str">
        <f t="shared" ref="KI23:KI31" si="179">"/2"</f>
        <v>/2</v>
      </c>
      <c r="KJ23" s="221">
        <f ca="1">(KC23+KF23)/2</f>
        <v>307.5</v>
      </c>
      <c r="KK23" s="221">
        <f ca="1">KF23/(KE23/KM23)</f>
        <v>225.00000000000003</v>
      </c>
      <c r="KL23" s="220">
        <f ca="1">365/KK23</f>
        <v>1.622222222222222</v>
      </c>
      <c r="KM23" s="221">
        <v>25</v>
      </c>
      <c r="KN23" s="219" t="s">
        <v>75</v>
      </c>
      <c r="KO23" s="220">
        <f ca="1">KF26</f>
        <v>321</v>
      </c>
      <c r="KP23" s="221">
        <f>SUM(DF23:EA23)</f>
        <v>50</v>
      </c>
      <c r="KQ23" s="221">
        <f>SUM(DF25:EA25)</f>
        <v>56</v>
      </c>
      <c r="KR23" s="220">
        <f ca="1">KO23+KP23-KQ23</f>
        <v>315</v>
      </c>
      <c r="KS23" s="221">
        <f t="shared" ref="KS23:KS26" ca="1" si="180">KO23</f>
        <v>321</v>
      </c>
      <c r="KT23" s="221">
        <f ca="1">KR23</f>
        <v>315</v>
      </c>
      <c r="KU23" s="220" t="str">
        <f t="shared" ref="KU23:KU31" si="181">"/2"</f>
        <v>/2</v>
      </c>
      <c r="KV23" s="221">
        <f ca="1">(KO23+KR23)/2</f>
        <v>318</v>
      </c>
      <c r="KW23" s="221">
        <f ca="1">KR23/(KQ23/KY23)</f>
        <v>140.625</v>
      </c>
      <c r="KX23" s="220">
        <f ca="1">365/KW23</f>
        <v>2.5955555555555554</v>
      </c>
      <c r="KY23" s="221">
        <v>25</v>
      </c>
      <c r="KZ23" s="219" t="s">
        <v>79</v>
      </c>
      <c r="LA23" s="220">
        <f ca="1">KR26</f>
        <v>218</v>
      </c>
      <c r="LB23" s="221">
        <f>SUM('[12]Progr1 (3)'!LW30:MT30)</f>
        <v>0</v>
      </c>
      <c r="LC23" s="221">
        <f>SUM('[12]Progr1 (3)'!LW32:MS32)</f>
        <v>0</v>
      </c>
      <c r="LD23" s="220">
        <f ca="1">LA23+LB23-LC23</f>
        <v>218</v>
      </c>
      <c r="LE23" s="221">
        <f t="shared" ref="LE23:LE26" ca="1" si="182">LA23</f>
        <v>218</v>
      </c>
      <c r="LF23" s="221">
        <f ca="1">LD23</f>
        <v>218</v>
      </c>
      <c r="LG23" s="220" t="str">
        <f t="shared" ref="LG23:LG31" si="183">"/2"</f>
        <v>/2</v>
      </c>
      <c r="LH23" s="221">
        <f ca="1">(LA23+LD23)/2</f>
        <v>218</v>
      </c>
      <c r="LI23" s="221" t="e">
        <f ca="1">LD23/(LC23/LK23)</f>
        <v>#DIV/0!</v>
      </c>
      <c r="LJ23" s="220" t="e">
        <f ca="1">365/LI23</f>
        <v>#DIV/0!</v>
      </c>
      <c r="LK23" s="221">
        <v>25</v>
      </c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</row>
    <row r="24" spans="1:669" ht="15.75" thickBot="1" x14ac:dyDescent="0.3">
      <c r="A24" s="156" t="str">
        <f>B22</f>
        <v>SAX TENOR</v>
      </c>
      <c r="B24" s="232"/>
      <c r="C24" s="81" t="str">
        <f t="shared" ref="C24:C26" si="184">$C$22</f>
        <v>YAMAHA</v>
      </c>
      <c r="D24" s="229"/>
      <c r="E24" s="173" t="s">
        <v>41</v>
      </c>
      <c r="F24" s="181">
        <v>0</v>
      </c>
      <c r="G24" s="175" t="s">
        <v>39</v>
      </c>
      <c r="H24" s="170">
        <v>1</v>
      </c>
      <c r="I24" s="242" t="s">
        <v>17</v>
      </c>
      <c r="J24" s="83" t="e">
        <f t="shared" ref="J24:J31" si="185">J23</f>
        <v>#REF!</v>
      </c>
      <c r="K24" s="293"/>
      <c r="L24" s="57"/>
      <c r="M24" s="58"/>
      <c r="N24" s="58"/>
      <c r="O24" s="58"/>
      <c r="P24" s="58"/>
      <c r="Q24" s="58"/>
      <c r="R24" s="58"/>
      <c r="S24" s="58"/>
      <c r="T24" s="58"/>
      <c r="U24" s="58"/>
      <c r="V24" s="68">
        <f t="shared" ref="V24:CG24" ca="1" si="186">IF(V3&gt;$J$5,"",U24+V22-V23)</f>
        <v>350</v>
      </c>
      <c r="W24" s="68">
        <f t="shared" ca="1" si="186"/>
        <v>50</v>
      </c>
      <c r="X24" s="68">
        <f t="shared" ca="1" si="186"/>
        <v>50</v>
      </c>
      <c r="Y24" s="68">
        <f t="shared" ca="1" si="186"/>
        <v>50</v>
      </c>
      <c r="Z24" s="68">
        <f t="shared" ca="1" si="186"/>
        <v>50</v>
      </c>
      <c r="AA24" s="68">
        <f t="shared" ca="1" si="186"/>
        <v>50</v>
      </c>
      <c r="AB24" s="68">
        <f t="shared" ca="1" si="186"/>
        <v>50</v>
      </c>
      <c r="AC24" s="68">
        <f t="shared" ca="1" si="186"/>
        <v>50</v>
      </c>
      <c r="AD24" s="68">
        <f t="shared" ca="1" si="186"/>
        <v>50</v>
      </c>
      <c r="AE24" s="68">
        <f t="shared" ca="1" si="186"/>
        <v>50</v>
      </c>
      <c r="AF24" s="68">
        <f t="shared" ca="1" si="186"/>
        <v>50</v>
      </c>
      <c r="AG24" s="68">
        <f t="shared" ca="1" si="186"/>
        <v>50</v>
      </c>
      <c r="AH24" s="68">
        <f t="shared" ca="1" si="186"/>
        <v>50</v>
      </c>
      <c r="AI24" s="68">
        <f t="shared" ca="1" si="186"/>
        <v>0</v>
      </c>
      <c r="AJ24" s="68">
        <f t="shared" ca="1" si="186"/>
        <v>0</v>
      </c>
      <c r="AK24" s="68">
        <f t="shared" ca="1" si="186"/>
        <v>0</v>
      </c>
      <c r="AL24" s="68">
        <f t="shared" ca="1" si="186"/>
        <v>0</v>
      </c>
      <c r="AM24" s="68">
        <f t="shared" ca="1" si="186"/>
        <v>0</v>
      </c>
      <c r="AN24" s="68">
        <f t="shared" ca="1" si="186"/>
        <v>0</v>
      </c>
      <c r="AO24" s="68">
        <f t="shared" ca="1" si="186"/>
        <v>0</v>
      </c>
      <c r="AP24" s="68">
        <f t="shared" ca="1" si="186"/>
        <v>0</v>
      </c>
      <c r="AQ24" s="68">
        <f t="shared" ca="1" si="186"/>
        <v>0</v>
      </c>
      <c r="AR24" s="68">
        <f t="shared" ca="1" si="186"/>
        <v>0</v>
      </c>
      <c r="AS24" s="68">
        <f t="shared" ca="1" si="186"/>
        <v>0</v>
      </c>
      <c r="AT24" s="68">
        <f t="shared" ca="1" si="186"/>
        <v>0</v>
      </c>
      <c r="AU24" s="68">
        <f t="shared" ca="1" si="186"/>
        <v>0</v>
      </c>
      <c r="AV24" s="68">
        <f t="shared" ca="1" si="186"/>
        <v>0</v>
      </c>
      <c r="AW24" s="68">
        <f t="shared" ca="1" si="186"/>
        <v>0</v>
      </c>
      <c r="AX24" s="68">
        <f t="shared" ca="1" si="186"/>
        <v>0</v>
      </c>
      <c r="AY24" s="68">
        <f t="shared" ca="1" si="186"/>
        <v>0</v>
      </c>
      <c r="AZ24" s="68">
        <f t="shared" ca="1" si="186"/>
        <v>0</v>
      </c>
      <c r="BA24" s="68">
        <f t="shared" ca="1" si="186"/>
        <v>0</v>
      </c>
      <c r="BB24" s="68">
        <f t="shared" ca="1" si="186"/>
        <v>0</v>
      </c>
      <c r="BC24" s="68">
        <f t="shared" ca="1" si="186"/>
        <v>0</v>
      </c>
      <c r="BD24" s="68">
        <f t="shared" ca="1" si="186"/>
        <v>0</v>
      </c>
      <c r="BE24" s="68">
        <f t="shared" ca="1" si="186"/>
        <v>0</v>
      </c>
      <c r="BF24" s="68">
        <f t="shared" ca="1" si="186"/>
        <v>0</v>
      </c>
      <c r="BG24" s="68">
        <f t="shared" ca="1" si="186"/>
        <v>0</v>
      </c>
      <c r="BH24" s="68">
        <f t="shared" ca="1" si="186"/>
        <v>0</v>
      </c>
      <c r="BI24" s="68">
        <f t="shared" ca="1" si="186"/>
        <v>0</v>
      </c>
      <c r="BJ24" s="68">
        <f t="shared" ca="1" si="186"/>
        <v>0</v>
      </c>
      <c r="BK24" s="68">
        <f t="shared" ca="1" si="186"/>
        <v>0</v>
      </c>
      <c r="BL24" s="68">
        <f t="shared" ca="1" si="186"/>
        <v>0</v>
      </c>
      <c r="BM24" s="68">
        <f t="shared" ca="1" si="186"/>
        <v>0</v>
      </c>
      <c r="BN24" s="68">
        <f t="shared" ca="1" si="186"/>
        <v>0</v>
      </c>
      <c r="BO24" s="68">
        <f t="shared" ca="1" si="186"/>
        <v>0</v>
      </c>
      <c r="BP24" s="68">
        <f t="shared" ca="1" si="186"/>
        <v>0</v>
      </c>
      <c r="BQ24" s="68">
        <f t="shared" ca="1" si="186"/>
        <v>0</v>
      </c>
      <c r="BR24" s="68">
        <f t="shared" ca="1" si="186"/>
        <v>0</v>
      </c>
      <c r="BS24" s="68">
        <f t="shared" ca="1" si="186"/>
        <v>0</v>
      </c>
      <c r="BT24" s="68">
        <f t="shared" ca="1" si="186"/>
        <v>0</v>
      </c>
      <c r="BU24" s="68">
        <f t="shared" ca="1" si="186"/>
        <v>0</v>
      </c>
      <c r="BV24" s="68">
        <f t="shared" ca="1" si="186"/>
        <v>0</v>
      </c>
      <c r="BW24" s="68">
        <f t="shared" ca="1" si="186"/>
        <v>0</v>
      </c>
      <c r="BX24" s="68">
        <f t="shared" ca="1" si="186"/>
        <v>0</v>
      </c>
      <c r="BY24" s="68">
        <f t="shared" ca="1" si="186"/>
        <v>0</v>
      </c>
      <c r="BZ24" s="68">
        <f t="shared" ca="1" si="186"/>
        <v>0</v>
      </c>
      <c r="CA24" s="68">
        <f t="shared" ca="1" si="186"/>
        <v>0</v>
      </c>
      <c r="CB24" s="68">
        <f t="shared" ca="1" si="186"/>
        <v>0</v>
      </c>
      <c r="CC24" s="68">
        <f t="shared" ca="1" si="186"/>
        <v>0</v>
      </c>
      <c r="CD24" s="68">
        <f t="shared" ca="1" si="186"/>
        <v>0</v>
      </c>
      <c r="CE24" s="68">
        <f t="shared" ca="1" si="186"/>
        <v>0</v>
      </c>
      <c r="CF24" s="68">
        <f t="shared" ca="1" si="186"/>
        <v>0</v>
      </c>
      <c r="CG24" s="68">
        <f t="shared" ca="1" si="186"/>
        <v>0</v>
      </c>
      <c r="CH24" s="68">
        <f t="shared" ref="CH24:ES24" ca="1" si="187">IF(CH3&gt;$J$5,"",CG24+CH22-CH23)</f>
        <v>0</v>
      </c>
      <c r="CI24" s="68">
        <f t="shared" ca="1" si="187"/>
        <v>0</v>
      </c>
      <c r="CJ24" s="68">
        <f t="shared" ca="1" si="187"/>
        <v>0</v>
      </c>
      <c r="CK24" s="68">
        <f t="shared" ca="1" si="187"/>
        <v>0</v>
      </c>
      <c r="CL24" s="68">
        <f t="shared" ca="1" si="187"/>
        <v>0</v>
      </c>
      <c r="CM24" s="68">
        <f t="shared" ca="1" si="187"/>
        <v>0</v>
      </c>
      <c r="CN24" s="68">
        <f t="shared" ca="1" si="187"/>
        <v>0</v>
      </c>
      <c r="CO24" s="68">
        <f t="shared" ca="1" si="187"/>
        <v>100</v>
      </c>
      <c r="CP24" s="68">
        <f t="shared" ca="1" si="187"/>
        <v>15</v>
      </c>
      <c r="CQ24" s="68">
        <f t="shared" ca="1" si="187"/>
        <v>15</v>
      </c>
      <c r="CR24" s="68">
        <f t="shared" ca="1" si="187"/>
        <v>15</v>
      </c>
      <c r="CS24" s="68">
        <f t="shared" ca="1" si="187"/>
        <v>15</v>
      </c>
      <c r="CT24" s="68">
        <f t="shared" ca="1" si="187"/>
        <v>15</v>
      </c>
      <c r="CU24" s="68">
        <f t="shared" ca="1" si="187"/>
        <v>15</v>
      </c>
      <c r="CV24" s="68">
        <f t="shared" ca="1" si="187"/>
        <v>15</v>
      </c>
      <c r="CW24" s="68">
        <f t="shared" ca="1" si="187"/>
        <v>15</v>
      </c>
      <c r="CX24" s="68">
        <f t="shared" ca="1" si="187"/>
        <v>15</v>
      </c>
      <c r="CY24" s="68">
        <f t="shared" ca="1" si="187"/>
        <v>15</v>
      </c>
      <c r="CZ24" s="68">
        <f t="shared" ca="1" si="187"/>
        <v>15</v>
      </c>
      <c r="DA24" s="68">
        <f t="shared" ca="1" si="187"/>
        <v>15</v>
      </c>
      <c r="DB24" s="68">
        <f t="shared" ca="1" si="187"/>
        <v>15</v>
      </c>
      <c r="DC24" s="68">
        <f t="shared" ca="1" si="187"/>
        <v>115</v>
      </c>
      <c r="DD24" s="68">
        <f t="shared" ca="1" si="187"/>
        <v>115</v>
      </c>
      <c r="DE24" s="68">
        <f t="shared" ca="1" si="187"/>
        <v>115</v>
      </c>
      <c r="DF24" s="68">
        <f t="shared" ca="1" si="187"/>
        <v>115</v>
      </c>
      <c r="DG24" s="68">
        <f t="shared" ca="1" si="187"/>
        <v>115</v>
      </c>
      <c r="DH24" s="68">
        <f t="shared" ca="1" si="187"/>
        <v>115</v>
      </c>
      <c r="DI24" s="68">
        <f t="shared" ca="1" si="187"/>
        <v>65</v>
      </c>
      <c r="DJ24" s="68">
        <f t="shared" ca="1" si="187"/>
        <v>65</v>
      </c>
      <c r="DK24" s="68">
        <f t="shared" ca="1" si="187"/>
        <v>65</v>
      </c>
      <c r="DL24" s="68">
        <f t="shared" ca="1" si="187"/>
        <v>65</v>
      </c>
      <c r="DM24" s="68">
        <f t="shared" ca="1" si="187"/>
        <v>65</v>
      </c>
      <c r="DN24" s="68">
        <f t="shared" ca="1" si="187"/>
        <v>65</v>
      </c>
      <c r="DO24" s="68">
        <f t="shared" ca="1" si="187"/>
        <v>65</v>
      </c>
      <c r="DP24" s="68">
        <f t="shared" ca="1" si="187"/>
        <v>65</v>
      </c>
      <c r="DQ24" s="68">
        <f t="shared" ca="1" si="187"/>
        <v>65</v>
      </c>
      <c r="DR24" s="68">
        <f t="shared" ca="1" si="187"/>
        <v>65</v>
      </c>
      <c r="DS24" s="68">
        <f t="shared" ca="1" si="187"/>
        <v>65</v>
      </c>
      <c r="DT24" s="68">
        <f t="shared" ca="1" si="187"/>
        <v>65</v>
      </c>
      <c r="DU24" s="68">
        <f t="shared" ca="1" si="187"/>
        <v>65</v>
      </c>
      <c r="DV24" s="68">
        <f t="shared" ca="1" si="187"/>
        <v>65</v>
      </c>
      <c r="DW24" s="68">
        <f t="shared" ca="1" si="187"/>
        <v>65</v>
      </c>
      <c r="DX24" s="68">
        <f t="shared" ca="1" si="187"/>
        <v>65</v>
      </c>
      <c r="DY24" s="68">
        <f t="shared" ca="1" si="187"/>
        <v>65</v>
      </c>
      <c r="DZ24" s="68">
        <f t="shared" ca="1" si="187"/>
        <v>65</v>
      </c>
      <c r="EA24" s="68">
        <f t="shared" ca="1" si="187"/>
        <v>65</v>
      </c>
      <c r="EB24" s="68">
        <f t="shared" ca="1" si="187"/>
        <v>65</v>
      </c>
      <c r="EC24" s="68">
        <f t="shared" ca="1" si="187"/>
        <v>65</v>
      </c>
      <c r="ED24" s="68">
        <f t="shared" ca="1" si="187"/>
        <v>65</v>
      </c>
      <c r="EE24" s="68">
        <f t="shared" ca="1" si="187"/>
        <v>65</v>
      </c>
      <c r="EF24" s="68">
        <f t="shared" ca="1" si="187"/>
        <v>65</v>
      </c>
      <c r="EG24" s="68">
        <f t="shared" ca="1" si="187"/>
        <v>65</v>
      </c>
      <c r="EH24" s="68">
        <f t="shared" ca="1" si="187"/>
        <v>65</v>
      </c>
      <c r="EI24" s="68">
        <f t="shared" ca="1" si="187"/>
        <v>65</v>
      </c>
      <c r="EJ24" s="68">
        <f t="shared" ca="1" si="187"/>
        <v>65</v>
      </c>
      <c r="EK24" s="68">
        <f t="shared" ca="1" si="187"/>
        <v>60</v>
      </c>
      <c r="EL24" s="68">
        <f t="shared" ca="1" si="187"/>
        <v>60</v>
      </c>
      <c r="EM24" s="68">
        <f t="shared" ca="1" si="187"/>
        <v>60</v>
      </c>
      <c r="EN24" s="68">
        <f t="shared" ca="1" si="187"/>
        <v>60</v>
      </c>
      <c r="EO24" s="68">
        <f t="shared" ca="1" si="187"/>
        <v>60</v>
      </c>
      <c r="EP24" s="68">
        <f t="shared" ca="1" si="187"/>
        <v>60</v>
      </c>
      <c r="EQ24" s="68">
        <f t="shared" ca="1" si="187"/>
        <v>60</v>
      </c>
      <c r="ER24" s="68">
        <f t="shared" ca="1" si="187"/>
        <v>60</v>
      </c>
      <c r="ES24" s="68">
        <f t="shared" ca="1" si="187"/>
        <v>60</v>
      </c>
      <c r="ET24" s="68">
        <f t="shared" ref="ET24:HE24" ca="1" si="188">IF(ET3&gt;$J$5,"",ES24+ET22-ET23)</f>
        <v>60</v>
      </c>
      <c r="EU24" s="68">
        <f t="shared" ca="1" si="188"/>
        <v>60</v>
      </c>
      <c r="EV24" s="68">
        <f t="shared" ca="1" si="188"/>
        <v>60</v>
      </c>
      <c r="EW24" s="68">
        <f t="shared" ca="1" si="188"/>
        <v>60</v>
      </c>
      <c r="EX24" s="68">
        <f t="shared" ca="1" si="188"/>
        <v>60</v>
      </c>
      <c r="EY24" s="68">
        <f t="shared" ca="1" si="188"/>
        <v>60</v>
      </c>
      <c r="EZ24" s="68">
        <f t="shared" ca="1" si="188"/>
        <v>60</v>
      </c>
      <c r="FA24" s="68">
        <f t="shared" ca="1" si="188"/>
        <v>60</v>
      </c>
      <c r="FB24" s="68">
        <f t="shared" ca="1" si="188"/>
        <v>60</v>
      </c>
      <c r="FC24" s="68">
        <f t="shared" ca="1" si="188"/>
        <v>60</v>
      </c>
      <c r="FD24" s="68">
        <f t="shared" ca="1" si="188"/>
        <v>60</v>
      </c>
      <c r="FE24" s="68">
        <f t="shared" ca="1" si="188"/>
        <v>60</v>
      </c>
      <c r="FF24" s="68">
        <f t="shared" ca="1" si="188"/>
        <v>60</v>
      </c>
      <c r="FG24" s="68">
        <f t="shared" ca="1" si="188"/>
        <v>60</v>
      </c>
      <c r="FH24" s="68">
        <f t="shared" ca="1" si="188"/>
        <v>60</v>
      </c>
      <c r="FI24" s="68">
        <f t="shared" ca="1" si="188"/>
        <v>60</v>
      </c>
      <c r="FJ24" s="68">
        <f t="shared" ca="1" si="188"/>
        <v>60</v>
      </c>
      <c r="FK24" s="68">
        <f t="shared" ca="1" si="188"/>
        <v>60</v>
      </c>
      <c r="FL24" s="68">
        <f t="shared" ca="1" si="188"/>
        <v>60</v>
      </c>
      <c r="FM24" s="68">
        <f t="shared" ca="1" si="188"/>
        <v>60</v>
      </c>
      <c r="FN24" s="68">
        <f t="shared" ca="1" si="188"/>
        <v>60</v>
      </c>
      <c r="FO24" s="68">
        <f t="shared" ca="1" si="188"/>
        <v>60</v>
      </c>
      <c r="FP24" s="68">
        <f t="shared" ca="1" si="188"/>
        <v>60</v>
      </c>
      <c r="FQ24" s="68">
        <f t="shared" ca="1" si="188"/>
        <v>60</v>
      </c>
      <c r="FR24" s="68">
        <f t="shared" ca="1" si="188"/>
        <v>60</v>
      </c>
      <c r="FS24" s="68">
        <f t="shared" ca="1" si="188"/>
        <v>60</v>
      </c>
      <c r="FT24" s="68">
        <f t="shared" ca="1" si="188"/>
        <v>60</v>
      </c>
      <c r="FU24" s="68">
        <f t="shared" ca="1" si="188"/>
        <v>60</v>
      </c>
      <c r="FV24" s="68">
        <f t="shared" ca="1" si="188"/>
        <v>60</v>
      </c>
      <c r="FW24" s="68">
        <f t="shared" ca="1" si="188"/>
        <v>60</v>
      </c>
      <c r="FX24" s="68">
        <f t="shared" ca="1" si="188"/>
        <v>60</v>
      </c>
      <c r="FY24" s="68">
        <f t="shared" ca="1" si="188"/>
        <v>60</v>
      </c>
      <c r="FZ24" s="68">
        <f t="shared" ca="1" si="188"/>
        <v>60</v>
      </c>
      <c r="GA24" s="68">
        <f t="shared" ca="1" si="188"/>
        <v>60</v>
      </c>
      <c r="GB24" s="68">
        <f t="shared" ca="1" si="188"/>
        <v>60</v>
      </c>
      <c r="GC24" s="68">
        <f t="shared" ca="1" si="188"/>
        <v>60</v>
      </c>
      <c r="GD24" s="68">
        <f t="shared" ca="1" si="188"/>
        <v>60</v>
      </c>
      <c r="GE24" s="68">
        <f t="shared" ca="1" si="188"/>
        <v>60</v>
      </c>
      <c r="GF24" s="68">
        <f t="shared" ca="1" si="188"/>
        <v>60</v>
      </c>
      <c r="GG24" s="68">
        <f t="shared" ca="1" si="188"/>
        <v>60</v>
      </c>
      <c r="GH24" s="68">
        <f t="shared" ca="1" si="188"/>
        <v>60</v>
      </c>
      <c r="GI24" s="68">
        <f t="shared" ca="1" si="188"/>
        <v>60</v>
      </c>
      <c r="GJ24" s="68">
        <f t="shared" ca="1" si="188"/>
        <v>60</v>
      </c>
      <c r="GK24" s="68">
        <f t="shared" ca="1" si="188"/>
        <v>60</v>
      </c>
      <c r="GL24" s="68">
        <f t="shared" ca="1" si="188"/>
        <v>60</v>
      </c>
      <c r="GM24" s="68">
        <f t="shared" ca="1" si="188"/>
        <v>60</v>
      </c>
      <c r="GN24" s="68">
        <f t="shared" ca="1" si="188"/>
        <v>60</v>
      </c>
      <c r="GO24" s="68">
        <f t="shared" ca="1" si="188"/>
        <v>60</v>
      </c>
      <c r="GP24" s="68">
        <f t="shared" ca="1" si="188"/>
        <v>60</v>
      </c>
      <c r="GQ24" s="68">
        <f t="shared" ca="1" si="188"/>
        <v>60</v>
      </c>
      <c r="GR24" s="68">
        <f t="shared" ca="1" si="188"/>
        <v>60</v>
      </c>
      <c r="GS24" s="68">
        <f t="shared" ca="1" si="188"/>
        <v>60</v>
      </c>
      <c r="GT24" s="68">
        <f t="shared" ca="1" si="188"/>
        <v>60</v>
      </c>
      <c r="GU24" s="68">
        <f t="shared" ca="1" si="188"/>
        <v>60</v>
      </c>
      <c r="GV24" s="68">
        <f t="shared" ca="1" si="188"/>
        <v>60</v>
      </c>
      <c r="GW24" s="68">
        <f t="shared" ca="1" si="188"/>
        <v>60</v>
      </c>
      <c r="GX24" s="68">
        <f t="shared" ca="1" si="188"/>
        <v>60</v>
      </c>
      <c r="GY24" s="68">
        <f t="shared" ca="1" si="188"/>
        <v>60</v>
      </c>
      <c r="GZ24" s="68">
        <f t="shared" ca="1" si="188"/>
        <v>60</v>
      </c>
      <c r="HA24" s="68">
        <f t="shared" ca="1" si="188"/>
        <v>60</v>
      </c>
      <c r="HB24" s="68">
        <f t="shared" ca="1" si="188"/>
        <v>60</v>
      </c>
      <c r="HC24" s="68">
        <f t="shared" ca="1" si="188"/>
        <v>60</v>
      </c>
      <c r="HD24" s="68" t="str">
        <f t="shared" ca="1" si="188"/>
        <v/>
      </c>
      <c r="HE24" s="68" t="str">
        <f t="shared" ca="1" si="188"/>
        <v/>
      </c>
      <c r="HF24" s="68" t="str">
        <f t="shared" ref="HF24:JQ24" ca="1" si="189">IF(HF3&gt;$J$5,"",HE24+HF22-HF23)</f>
        <v/>
      </c>
      <c r="HG24" s="68" t="str">
        <f t="shared" ca="1" si="189"/>
        <v/>
      </c>
      <c r="HH24" s="68" t="str">
        <f t="shared" ca="1" si="189"/>
        <v/>
      </c>
      <c r="HI24" s="68" t="str">
        <f t="shared" ca="1" si="189"/>
        <v/>
      </c>
      <c r="HJ24" s="68" t="str">
        <f t="shared" ca="1" si="189"/>
        <v/>
      </c>
      <c r="HK24" s="68" t="str">
        <f t="shared" ca="1" si="189"/>
        <v/>
      </c>
      <c r="HL24" s="68" t="str">
        <f t="shared" ca="1" si="189"/>
        <v/>
      </c>
      <c r="HM24" s="68" t="str">
        <f t="shared" ca="1" si="189"/>
        <v/>
      </c>
      <c r="HN24" s="68" t="str">
        <f t="shared" ca="1" si="189"/>
        <v/>
      </c>
      <c r="HO24" s="68" t="str">
        <f t="shared" ca="1" si="189"/>
        <v/>
      </c>
      <c r="HP24" s="68" t="str">
        <f t="shared" ca="1" si="189"/>
        <v/>
      </c>
      <c r="HQ24" s="68" t="str">
        <f t="shared" ca="1" si="189"/>
        <v/>
      </c>
      <c r="HR24" s="68" t="str">
        <f t="shared" ca="1" si="189"/>
        <v/>
      </c>
      <c r="HS24" s="68" t="str">
        <f t="shared" ca="1" si="189"/>
        <v/>
      </c>
      <c r="HT24" s="68" t="str">
        <f t="shared" ca="1" si="189"/>
        <v/>
      </c>
      <c r="HU24" s="68" t="str">
        <f t="shared" ca="1" si="189"/>
        <v/>
      </c>
      <c r="HV24" s="68" t="str">
        <f t="shared" ca="1" si="189"/>
        <v/>
      </c>
      <c r="HW24" s="68" t="str">
        <f t="shared" ca="1" si="189"/>
        <v/>
      </c>
      <c r="HX24" s="68" t="str">
        <f t="shared" ca="1" si="189"/>
        <v/>
      </c>
      <c r="HY24" s="68" t="str">
        <f t="shared" ca="1" si="189"/>
        <v/>
      </c>
      <c r="HZ24" s="68" t="str">
        <f t="shared" ca="1" si="189"/>
        <v/>
      </c>
      <c r="IA24" s="68" t="str">
        <f t="shared" ca="1" si="189"/>
        <v/>
      </c>
      <c r="IB24" s="68" t="str">
        <f t="shared" ca="1" si="189"/>
        <v/>
      </c>
      <c r="IC24" s="68" t="str">
        <f t="shared" ca="1" si="189"/>
        <v/>
      </c>
      <c r="ID24" s="68" t="str">
        <f t="shared" ca="1" si="189"/>
        <v/>
      </c>
      <c r="IE24" s="68" t="str">
        <f t="shared" ca="1" si="189"/>
        <v/>
      </c>
      <c r="IF24" s="68" t="str">
        <f t="shared" ca="1" si="189"/>
        <v/>
      </c>
      <c r="IG24" s="68" t="str">
        <f t="shared" ca="1" si="189"/>
        <v/>
      </c>
      <c r="IH24" s="68" t="str">
        <f t="shared" ca="1" si="189"/>
        <v/>
      </c>
      <c r="II24" s="68" t="str">
        <f t="shared" ca="1" si="189"/>
        <v/>
      </c>
      <c r="IJ24" s="68" t="str">
        <f t="shared" ca="1" si="189"/>
        <v/>
      </c>
      <c r="IK24" s="68" t="str">
        <f t="shared" ca="1" si="189"/>
        <v/>
      </c>
      <c r="IL24" s="68" t="str">
        <f t="shared" ca="1" si="189"/>
        <v/>
      </c>
      <c r="IM24" s="68" t="str">
        <f t="shared" ca="1" si="189"/>
        <v/>
      </c>
      <c r="IN24" s="68" t="str">
        <f t="shared" ca="1" si="189"/>
        <v/>
      </c>
      <c r="IO24" s="68" t="str">
        <f t="shared" ca="1" si="189"/>
        <v/>
      </c>
      <c r="IP24" s="68" t="str">
        <f t="shared" ca="1" si="189"/>
        <v/>
      </c>
      <c r="IQ24" s="68" t="str">
        <f t="shared" ca="1" si="189"/>
        <v/>
      </c>
      <c r="IR24" s="68" t="str">
        <f t="shared" ca="1" si="189"/>
        <v/>
      </c>
      <c r="IS24" s="68" t="str">
        <f t="shared" ca="1" si="189"/>
        <v/>
      </c>
      <c r="IT24" s="68" t="str">
        <f t="shared" ca="1" si="189"/>
        <v/>
      </c>
      <c r="IU24" s="68" t="str">
        <f t="shared" ca="1" si="189"/>
        <v/>
      </c>
      <c r="IV24" s="68" t="str">
        <f t="shared" ca="1" si="189"/>
        <v/>
      </c>
      <c r="IW24" s="68" t="str">
        <f t="shared" ca="1" si="189"/>
        <v/>
      </c>
      <c r="IX24" s="68" t="str">
        <f t="shared" ca="1" si="189"/>
        <v/>
      </c>
      <c r="IY24" s="68" t="str">
        <f t="shared" ca="1" si="189"/>
        <v/>
      </c>
      <c r="IZ24" s="68" t="str">
        <f t="shared" ca="1" si="189"/>
        <v/>
      </c>
      <c r="JA24" s="68" t="str">
        <f t="shared" ca="1" si="189"/>
        <v/>
      </c>
      <c r="JB24" s="68" t="str">
        <f t="shared" ca="1" si="189"/>
        <v/>
      </c>
      <c r="JC24" s="68" t="str">
        <f t="shared" ca="1" si="189"/>
        <v/>
      </c>
      <c r="JD24" s="68" t="str">
        <f t="shared" ca="1" si="189"/>
        <v/>
      </c>
      <c r="JE24" s="68" t="str">
        <f t="shared" ca="1" si="189"/>
        <v/>
      </c>
      <c r="JF24" s="68" t="str">
        <f t="shared" ca="1" si="189"/>
        <v/>
      </c>
      <c r="JG24" s="68" t="str">
        <f t="shared" ca="1" si="189"/>
        <v/>
      </c>
      <c r="JH24" s="68" t="str">
        <f t="shared" ca="1" si="189"/>
        <v/>
      </c>
      <c r="JI24" s="68" t="str">
        <f t="shared" ca="1" si="189"/>
        <v/>
      </c>
      <c r="JJ24" s="68" t="str">
        <f t="shared" ca="1" si="189"/>
        <v/>
      </c>
      <c r="JK24" s="68" t="str">
        <f t="shared" ca="1" si="189"/>
        <v/>
      </c>
      <c r="JL24" s="68" t="str">
        <f t="shared" ca="1" si="189"/>
        <v/>
      </c>
      <c r="JM24" s="68" t="str">
        <f t="shared" ca="1" si="189"/>
        <v/>
      </c>
      <c r="JN24" s="68" t="str">
        <f t="shared" ca="1" si="189"/>
        <v/>
      </c>
      <c r="JO24" s="68" t="str">
        <f t="shared" ca="1" si="189"/>
        <v/>
      </c>
      <c r="JP24" s="68" t="str">
        <f t="shared" ca="1" si="189"/>
        <v/>
      </c>
      <c r="JQ24" s="68" t="str">
        <f t="shared" ca="1" si="189"/>
        <v/>
      </c>
      <c r="JR24" s="68" t="str">
        <f t="shared" ref="JR24:JZ24" ca="1" si="190">IF(JR3&gt;$J$5,"",JQ24+JR22-JR23)</f>
        <v/>
      </c>
      <c r="JS24" s="68" t="str">
        <f t="shared" ca="1" si="190"/>
        <v/>
      </c>
      <c r="JT24" s="68" t="str">
        <f t="shared" ca="1" si="190"/>
        <v/>
      </c>
      <c r="JU24" s="68" t="str">
        <f t="shared" ca="1" si="190"/>
        <v/>
      </c>
      <c r="JV24" s="68" t="str">
        <f t="shared" ca="1" si="190"/>
        <v/>
      </c>
      <c r="JW24" s="68" t="str">
        <f t="shared" ca="1" si="190"/>
        <v/>
      </c>
      <c r="JX24" s="68" t="str">
        <f t="shared" ca="1" si="190"/>
        <v/>
      </c>
      <c r="JY24" s="68" t="str">
        <f t="shared" ca="1" si="190"/>
        <v/>
      </c>
      <c r="JZ24" s="100" t="str">
        <f t="shared" ca="1" si="190"/>
        <v/>
      </c>
      <c r="KA24" s="17"/>
      <c r="KB24" s="219" t="s">
        <v>72</v>
      </c>
      <c r="KC24" s="222">
        <f ca="1">KF23</f>
        <v>315</v>
      </c>
      <c r="KD24" s="223">
        <f>SUM(AU25:BN25)</f>
        <v>41</v>
      </c>
      <c r="KE24" s="223">
        <f>SUM(AU25:BN25)</f>
        <v>41</v>
      </c>
      <c r="KF24" s="222">
        <f t="shared" ref="KF24:KF26" ca="1" si="191">KC24+KD24-KE24</f>
        <v>315</v>
      </c>
      <c r="KG24" s="223">
        <f t="shared" ca="1" si="178"/>
        <v>315</v>
      </c>
      <c r="KH24" s="223">
        <f t="shared" ref="KH24:KH26" ca="1" si="192">KF24</f>
        <v>315</v>
      </c>
      <c r="KI24" s="222" t="str">
        <f t="shared" si="179"/>
        <v>/2</v>
      </c>
      <c r="KJ24" s="223">
        <f t="shared" ref="KJ24:KJ26" ca="1" si="193">(KC24+KF24)/2</f>
        <v>315</v>
      </c>
      <c r="KK24" s="223">
        <f t="shared" ref="KK24:KK26" ca="1" si="194">KF24/(KE24/KM24)</f>
        <v>192.07317073170734</v>
      </c>
      <c r="KL24" s="222">
        <f t="shared" ref="KL24:KL26" ca="1" si="195">365/KK24</f>
        <v>1.9003174603174602</v>
      </c>
      <c r="KM24" s="223">
        <v>25</v>
      </c>
      <c r="KN24" s="219" t="s">
        <v>76</v>
      </c>
      <c r="KO24" s="222">
        <f ca="1">KR23</f>
        <v>315</v>
      </c>
      <c r="KP24" s="223">
        <f>SUM(EB23:EV23)</f>
        <v>5</v>
      </c>
      <c r="KQ24" s="223">
        <f>SUM(EB25:EV25)</f>
        <v>25</v>
      </c>
      <c r="KR24" s="222">
        <f t="shared" ref="KR24:KR26" ca="1" si="196">KO24+KP24-KQ24</f>
        <v>295</v>
      </c>
      <c r="KS24" s="223">
        <f t="shared" ca="1" si="180"/>
        <v>315</v>
      </c>
      <c r="KT24" s="223">
        <f t="shared" ref="KT24:KT26" ca="1" si="197">KR24</f>
        <v>295</v>
      </c>
      <c r="KU24" s="222" t="str">
        <f t="shared" si="181"/>
        <v>/2</v>
      </c>
      <c r="KV24" s="223">
        <f t="shared" ref="KV24:KV26" ca="1" si="198">(KO24+KR24)/2</f>
        <v>305</v>
      </c>
      <c r="KW24" s="223">
        <f t="shared" ref="KW24:KW26" ca="1" si="199">KR24/(KQ24/KY24)</f>
        <v>295</v>
      </c>
      <c r="KX24" s="222">
        <f t="shared" ref="KX24:KX26" ca="1" si="200">365/KW24</f>
        <v>1.2372881355932204</v>
      </c>
      <c r="KY24" s="223">
        <v>25</v>
      </c>
      <c r="KZ24" s="219" t="s">
        <v>80</v>
      </c>
      <c r="LA24" s="222">
        <f ca="1">LD23</f>
        <v>218</v>
      </c>
      <c r="LB24" s="223">
        <f>SUM('[12]Progr1 (3)'!MT30:NM30)</f>
        <v>0</v>
      </c>
      <c r="LC24" s="223">
        <f>SUM('[12]Progr1 (3)'!MT32:NM32)</f>
        <v>0</v>
      </c>
      <c r="LD24" s="222">
        <f t="shared" ref="LD24:LD26" ca="1" si="201">LA24+LB24-LC24</f>
        <v>218</v>
      </c>
      <c r="LE24" s="223">
        <f t="shared" ca="1" si="182"/>
        <v>218</v>
      </c>
      <c r="LF24" s="223">
        <f t="shared" ref="LF24:LF26" ca="1" si="202">LD24</f>
        <v>218</v>
      </c>
      <c r="LG24" s="222" t="str">
        <f t="shared" si="183"/>
        <v>/2</v>
      </c>
      <c r="LH24" s="223">
        <f t="shared" ref="LH24:LH26" ca="1" si="203">(LA24+LD24)/2</f>
        <v>218</v>
      </c>
      <c r="LI24" s="223" t="e">
        <f t="shared" ref="LI24:LI26" ca="1" si="204">LD24/(LC24/LK24)</f>
        <v>#DIV/0!</v>
      </c>
      <c r="LJ24" s="222" t="e">
        <f t="shared" ref="LJ24:LJ26" ca="1" si="205">365/LI24</f>
        <v>#DIV/0!</v>
      </c>
      <c r="LK24" s="223">
        <v>25</v>
      </c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</row>
    <row r="25" spans="1:669" ht="16.5" thickTop="1" thickBot="1" x14ac:dyDescent="0.3">
      <c r="A25" s="156" t="str">
        <f>B22</f>
        <v>SAX TENOR</v>
      </c>
      <c r="B25" s="232"/>
      <c r="C25" s="81" t="str">
        <f t="shared" si="184"/>
        <v>YAMAHA</v>
      </c>
      <c r="D25" s="229"/>
      <c r="E25" s="173" t="s">
        <v>40</v>
      </c>
      <c r="F25" s="182">
        <f>(H26*H22)*SQRT(H23/H24)</f>
        <v>3.1572827629446825</v>
      </c>
      <c r="G25" s="176" t="s">
        <v>45</v>
      </c>
      <c r="H25" s="171">
        <v>0.95</v>
      </c>
      <c r="I25" s="242" t="s">
        <v>18</v>
      </c>
      <c r="J25" s="83" t="e">
        <f>J24</f>
        <v>#REF!</v>
      </c>
      <c r="K25" s="293"/>
      <c r="L25" s="60"/>
      <c r="M25" s="61"/>
      <c r="N25" s="61"/>
      <c r="O25" s="61"/>
      <c r="P25" s="61"/>
      <c r="Q25" s="61"/>
      <c r="R25" s="61"/>
      <c r="S25" s="61"/>
      <c r="T25" s="61"/>
      <c r="U25" s="61"/>
      <c r="V25" s="70">
        <v>0</v>
      </c>
      <c r="W25" s="70">
        <v>0</v>
      </c>
      <c r="X25" s="70">
        <v>0</v>
      </c>
      <c r="Y25" s="70">
        <v>6</v>
      </c>
      <c r="Z25" s="70">
        <v>0</v>
      </c>
      <c r="AA25" s="70">
        <v>2</v>
      </c>
      <c r="AB25" s="70">
        <v>3</v>
      </c>
      <c r="AC25" s="70">
        <v>0</v>
      </c>
      <c r="AD25" s="70">
        <v>3</v>
      </c>
      <c r="AE25" s="70">
        <v>0</v>
      </c>
      <c r="AF25" s="70">
        <v>3</v>
      </c>
      <c r="AG25" s="70">
        <v>0</v>
      </c>
      <c r="AH25" s="70">
        <v>2</v>
      </c>
      <c r="AI25" s="70">
        <v>0</v>
      </c>
      <c r="AJ25" s="70">
        <v>0</v>
      </c>
      <c r="AK25" s="70">
        <v>3</v>
      </c>
      <c r="AL25" s="70">
        <v>0</v>
      </c>
      <c r="AM25" s="70">
        <v>2</v>
      </c>
      <c r="AN25" s="70">
        <v>0</v>
      </c>
      <c r="AO25" s="70">
        <v>2</v>
      </c>
      <c r="AP25" s="70">
        <v>0</v>
      </c>
      <c r="AQ25" s="70">
        <v>0</v>
      </c>
      <c r="AR25" s="70">
        <v>6</v>
      </c>
      <c r="AS25" s="70">
        <v>0</v>
      </c>
      <c r="AT25" s="70">
        <v>3</v>
      </c>
      <c r="AU25" s="70">
        <v>8</v>
      </c>
      <c r="AV25" s="70">
        <v>0</v>
      </c>
      <c r="AW25" s="70">
        <v>2</v>
      </c>
      <c r="AX25" s="70">
        <v>0</v>
      </c>
      <c r="AY25" s="70">
        <v>2</v>
      </c>
      <c r="AZ25" s="70">
        <v>0</v>
      </c>
      <c r="BA25" s="70">
        <v>3</v>
      </c>
      <c r="BB25" s="70">
        <v>0</v>
      </c>
      <c r="BC25" s="70">
        <v>7</v>
      </c>
      <c r="BD25" s="70">
        <v>0</v>
      </c>
      <c r="BE25" s="70">
        <v>8</v>
      </c>
      <c r="BF25" s="70">
        <v>0</v>
      </c>
      <c r="BG25" s="70">
        <v>2</v>
      </c>
      <c r="BH25" s="70">
        <v>0</v>
      </c>
      <c r="BI25" s="70">
        <v>0</v>
      </c>
      <c r="BJ25" s="70">
        <v>1</v>
      </c>
      <c r="BK25" s="70">
        <v>0</v>
      </c>
      <c r="BL25" s="70">
        <v>2</v>
      </c>
      <c r="BM25" s="70">
        <v>0</v>
      </c>
      <c r="BN25" s="70">
        <v>6</v>
      </c>
      <c r="BO25" s="70">
        <v>2</v>
      </c>
      <c r="BP25" s="70">
        <v>2</v>
      </c>
      <c r="BQ25" s="70">
        <v>0</v>
      </c>
      <c r="BR25" s="70">
        <v>1</v>
      </c>
      <c r="BS25" s="70">
        <v>0</v>
      </c>
      <c r="BT25" s="70">
        <v>2</v>
      </c>
      <c r="BU25" s="70">
        <v>0</v>
      </c>
      <c r="BV25" s="70">
        <v>3</v>
      </c>
      <c r="BW25" s="70">
        <v>0</v>
      </c>
      <c r="BX25" s="70">
        <v>3</v>
      </c>
      <c r="BY25" s="70">
        <v>0</v>
      </c>
      <c r="BZ25" s="70">
        <v>3</v>
      </c>
      <c r="CA25" s="70">
        <v>0</v>
      </c>
      <c r="CB25" s="70">
        <v>2</v>
      </c>
      <c r="CC25" s="70">
        <v>0</v>
      </c>
      <c r="CD25" s="70">
        <v>6</v>
      </c>
      <c r="CE25" s="70">
        <v>0</v>
      </c>
      <c r="CF25" s="70">
        <v>8</v>
      </c>
      <c r="CG25" s="70">
        <v>0</v>
      </c>
      <c r="CH25" s="70">
        <v>9</v>
      </c>
      <c r="CI25" s="70">
        <v>0</v>
      </c>
      <c r="CJ25" s="70">
        <v>8</v>
      </c>
      <c r="CK25" s="70">
        <v>7</v>
      </c>
      <c r="CL25" s="70">
        <v>0</v>
      </c>
      <c r="CM25" s="70">
        <v>3</v>
      </c>
      <c r="CN25" s="70">
        <v>0</v>
      </c>
      <c r="CO25" s="70">
        <v>0</v>
      </c>
      <c r="CP25" s="70">
        <v>0</v>
      </c>
      <c r="CQ25" s="70">
        <v>2</v>
      </c>
      <c r="CR25" s="70">
        <v>0</v>
      </c>
      <c r="CS25" s="70">
        <v>3</v>
      </c>
      <c r="CT25" s="70">
        <v>0</v>
      </c>
      <c r="CU25" s="70">
        <v>6</v>
      </c>
      <c r="CV25" s="70">
        <v>0</v>
      </c>
      <c r="CW25" s="70">
        <v>3</v>
      </c>
      <c r="CX25" s="70">
        <v>0</v>
      </c>
      <c r="CY25" s="70">
        <v>1</v>
      </c>
      <c r="CZ25" s="70">
        <v>0</v>
      </c>
      <c r="DA25" s="70">
        <v>2</v>
      </c>
      <c r="DB25" s="70">
        <v>0</v>
      </c>
      <c r="DC25" s="70">
        <v>0</v>
      </c>
      <c r="DD25" s="70">
        <v>3</v>
      </c>
      <c r="DE25" s="70">
        <v>0</v>
      </c>
      <c r="DF25" s="70">
        <v>2</v>
      </c>
      <c r="DG25" s="70">
        <v>0</v>
      </c>
      <c r="DH25" s="70">
        <v>6</v>
      </c>
      <c r="DI25" s="70">
        <v>0</v>
      </c>
      <c r="DJ25" s="70">
        <v>0</v>
      </c>
      <c r="DK25" s="70">
        <v>3</v>
      </c>
      <c r="DL25" s="70">
        <v>0</v>
      </c>
      <c r="DM25" s="70">
        <v>3</v>
      </c>
      <c r="DN25" s="70">
        <v>0</v>
      </c>
      <c r="DO25" s="70">
        <v>5</v>
      </c>
      <c r="DP25" s="70">
        <v>0</v>
      </c>
      <c r="DQ25" s="70">
        <v>9</v>
      </c>
      <c r="DR25" s="70">
        <v>0</v>
      </c>
      <c r="DS25" s="70">
        <v>12</v>
      </c>
      <c r="DT25" s="70">
        <v>0</v>
      </c>
      <c r="DU25" s="70">
        <v>3</v>
      </c>
      <c r="DV25" s="70">
        <v>0</v>
      </c>
      <c r="DW25" s="70">
        <v>11</v>
      </c>
      <c r="DX25" s="70">
        <v>0</v>
      </c>
      <c r="DY25" s="70">
        <v>2</v>
      </c>
      <c r="DZ25" s="70">
        <v>0</v>
      </c>
      <c r="EA25" s="70">
        <v>0</v>
      </c>
      <c r="EB25" s="70">
        <v>0</v>
      </c>
      <c r="EC25" s="70">
        <v>0</v>
      </c>
      <c r="ED25" s="70">
        <v>0</v>
      </c>
      <c r="EE25" s="70">
        <v>0</v>
      </c>
      <c r="EF25" s="70">
        <v>0</v>
      </c>
      <c r="EG25" s="70">
        <v>0</v>
      </c>
      <c r="EH25" s="70">
        <v>3</v>
      </c>
      <c r="EI25" s="70">
        <v>0</v>
      </c>
      <c r="EJ25" s="70">
        <v>0</v>
      </c>
      <c r="EK25" s="70">
        <v>8</v>
      </c>
      <c r="EL25" s="70">
        <v>0</v>
      </c>
      <c r="EM25" s="70">
        <v>0</v>
      </c>
      <c r="EN25" s="70">
        <v>3</v>
      </c>
      <c r="EO25" s="70">
        <v>0</v>
      </c>
      <c r="EP25" s="70">
        <v>6</v>
      </c>
      <c r="EQ25" s="70"/>
      <c r="ER25" s="70">
        <v>0</v>
      </c>
      <c r="ES25" s="70">
        <v>5</v>
      </c>
      <c r="ET25" s="70">
        <v>0</v>
      </c>
      <c r="EU25" s="70">
        <v>0</v>
      </c>
      <c r="EV25" s="70">
        <v>0</v>
      </c>
      <c r="EW25" s="70">
        <v>8</v>
      </c>
      <c r="EX25" s="70">
        <v>0</v>
      </c>
      <c r="EY25" s="70">
        <v>0</v>
      </c>
      <c r="EZ25" s="70">
        <v>0</v>
      </c>
      <c r="FA25" s="70">
        <v>3</v>
      </c>
      <c r="FB25" s="70">
        <v>0</v>
      </c>
      <c r="FC25" s="70">
        <v>5</v>
      </c>
      <c r="FD25" s="70">
        <v>0</v>
      </c>
      <c r="FE25" s="70">
        <v>0</v>
      </c>
      <c r="FF25" s="70">
        <v>1</v>
      </c>
      <c r="FG25" s="70">
        <v>0</v>
      </c>
      <c r="FH25" s="70">
        <v>9</v>
      </c>
      <c r="FI25" s="70">
        <v>0</v>
      </c>
      <c r="FJ25" s="70">
        <v>0</v>
      </c>
      <c r="FK25" s="70">
        <v>2</v>
      </c>
      <c r="FL25" s="70">
        <v>0</v>
      </c>
      <c r="FM25" s="70">
        <v>0</v>
      </c>
      <c r="FN25" s="70">
        <v>3</v>
      </c>
      <c r="FO25" s="70">
        <v>5</v>
      </c>
      <c r="FP25" s="70">
        <v>1</v>
      </c>
      <c r="FQ25" s="70">
        <v>0</v>
      </c>
      <c r="FR25" s="70">
        <v>5</v>
      </c>
      <c r="FS25" s="70">
        <v>0</v>
      </c>
      <c r="FT25" s="70">
        <v>1</v>
      </c>
      <c r="FU25" s="70">
        <v>1</v>
      </c>
      <c r="FV25" s="70">
        <v>0</v>
      </c>
      <c r="FW25" s="70">
        <v>3</v>
      </c>
      <c r="FX25" s="70">
        <v>0</v>
      </c>
      <c r="FY25" s="70">
        <v>0</v>
      </c>
      <c r="FZ25" s="70">
        <v>10</v>
      </c>
      <c r="GA25" s="70">
        <v>0</v>
      </c>
      <c r="GB25" s="70">
        <v>0</v>
      </c>
      <c r="GC25" s="70">
        <v>1</v>
      </c>
      <c r="GD25" s="70">
        <v>0</v>
      </c>
      <c r="GE25" s="70">
        <v>9</v>
      </c>
      <c r="GF25" s="70">
        <v>0</v>
      </c>
      <c r="GG25" s="70">
        <v>5</v>
      </c>
      <c r="GH25" s="70">
        <v>0</v>
      </c>
      <c r="GI25" s="70">
        <v>1</v>
      </c>
      <c r="GJ25" s="70">
        <v>2</v>
      </c>
      <c r="GK25" s="70">
        <v>0</v>
      </c>
      <c r="GL25" s="70">
        <v>0</v>
      </c>
      <c r="GM25" s="70">
        <v>1</v>
      </c>
      <c r="GN25" s="70">
        <v>1</v>
      </c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  <c r="IT25" s="70"/>
      <c r="IU25" s="70"/>
      <c r="IV25" s="70"/>
      <c r="IW25" s="70"/>
      <c r="IX25" s="70"/>
      <c r="IY25" s="70"/>
      <c r="IZ25" s="70"/>
      <c r="JA25" s="70"/>
      <c r="JB25" s="70"/>
      <c r="JC25" s="70"/>
      <c r="JD25" s="70"/>
      <c r="JE25" s="70"/>
      <c r="JF25" s="70"/>
      <c r="JG25" s="70"/>
      <c r="JH25" s="70"/>
      <c r="JI25" s="70"/>
      <c r="JJ25" s="70"/>
      <c r="JK25" s="70"/>
      <c r="JL25" s="70"/>
      <c r="JM25" s="70"/>
      <c r="JN25" s="70"/>
      <c r="JO25" s="70"/>
      <c r="JP25" s="70"/>
      <c r="JQ25" s="70"/>
      <c r="JR25" s="70"/>
      <c r="JS25" s="70"/>
      <c r="JT25" s="70"/>
      <c r="JU25" s="70"/>
      <c r="JV25" s="70"/>
      <c r="JW25" s="70"/>
      <c r="JX25" s="70"/>
      <c r="JY25" s="70"/>
      <c r="JZ25" s="99"/>
      <c r="KA25" s="17"/>
      <c r="KB25" s="219" t="s">
        <v>73</v>
      </c>
      <c r="KC25" s="224">
        <f ca="1">KF24</f>
        <v>315</v>
      </c>
      <c r="KD25" s="225">
        <f>SUM(BO23:CI23)</f>
        <v>0</v>
      </c>
      <c r="KE25" s="225">
        <f>SUM(BO25:CI25)</f>
        <v>41</v>
      </c>
      <c r="KF25" s="224">
        <f t="shared" ca="1" si="191"/>
        <v>274</v>
      </c>
      <c r="KG25" s="225">
        <f t="shared" ca="1" si="178"/>
        <v>315</v>
      </c>
      <c r="KH25" s="225">
        <f t="shared" ca="1" si="192"/>
        <v>274</v>
      </c>
      <c r="KI25" s="224" t="str">
        <f t="shared" si="179"/>
        <v>/2</v>
      </c>
      <c r="KJ25" s="225">
        <f t="shared" ca="1" si="193"/>
        <v>294.5</v>
      </c>
      <c r="KK25" s="225">
        <f t="shared" ca="1" si="194"/>
        <v>167.07317073170734</v>
      </c>
      <c r="KL25" s="224">
        <f t="shared" ca="1" si="195"/>
        <v>2.184671532846715</v>
      </c>
      <c r="KM25" s="225">
        <v>25</v>
      </c>
      <c r="KN25" s="219" t="s">
        <v>77</v>
      </c>
      <c r="KO25" s="224">
        <f ca="1">KR24</f>
        <v>295</v>
      </c>
      <c r="KP25" s="225">
        <f>SUM(EW23:FS23)</f>
        <v>0</v>
      </c>
      <c r="KQ25" s="225">
        <f>SUM(EW25:FS25)</f>
        <v>42</v>
      </c>
      <c r="KR25" s="224">
        <f t="shared" ca="1" si="196"/>
        <v>253</v>
      </c>
      <c r="KS25" s="225">
        <f t="shared" ca="1" si="180"/>
        <v>295</v>
      </c>
      <c r="KT25" s="225">
        <f t="shared" ca="1" si="197"/>
        <v>253</v>
      </c>
      <c r="KU25" s="224" t="str">
        <f t="shared" si="181"/>
        <v>/2</v>
      </c>
      <c r="KV25" s="225">
        <f t="shared" ca="1" si="198"/>
        <v>274</v>
      </c>
      <c r="KW25" s="225">
        <f t="shared" ca="1" si="199"/>
        <v>150.5952380952381</v>
      </c>
      <c r="KX25" s="224">
        <f t="shared" ca="1" si="200"/>
        <v>2.4237154150197626</v>
      </c>
      <c r="KY25" s="225">
        <v>25</v>
      </c>
      <c r="KZ25" s="219" t="s">
        <v>81</v>
      </c>
      <c r="LA25" s="224">
        <f ca="1">LD24</f>
        <v>218</v>
      </c>
      <c r="LB25" s="225">
        <f>SUM('[12]Progr1 (3)'!NN30:OH30)</f>
        <v>0</v>
      </c>
      <c r="LC25" s="225">
        <f>SUM('[12]Progr1 (3)'!NN32:OH32)</f>
        <v>0</v>
      </c>
      <c r="LD25" s="224">
        <f t="shared" ca="1" si="201"/>
        <v>218</v>
      </c>
      <c r="LE25" s="225">
        <f t="shared" ca="1" si="182"/>
        <v>218</v>
      </c>
      <c r="LF25" s="225">
        <f t="shared" ca="1" si="202"/>
        <v>218</v>
      </c>
      <c r="LG25" s="224" t="str">
        <f t="shared" si="183"/>
        <v>/2</v>
      </c>
      <c r="LH25" s="225">
        <f t="shared" ca="1" si="203"/>
        <v>218</v>
      </c>
      <c r="LI25" s="225" t="e">
        <f t="shared" ca="1" si="204"/>
        <v>#DIV/0!</v>
      </c>
      <c r="LJ25" s="224" t="e">
        <f t="shared" ca="1" si="205"/>
        <v>#DIV/0!</v>
      </c>
      <c r="LK25" s="225">
        <v>25</v>
      </c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</row>
    <row r="26" spans="1:669" ht="15.75" thickBot="1" x14ac:dyDescent="0.3">
      <c r="A26" s="157" t="str">
        <f>B22</f>
        <v>SAX TENOR</v>
      </c>
      <c r="B26" s="233"/>
      <c r="C26" s="158" t="str">
        <f t="shared" si="184"/>
        <v>YAMAHA</v>
      </c>
      <c r="D26" s="230"/>
      <c r="E26" s="177" t="s">
        <v>46</v>
      </c>
      <c r="F26" s="183">
        <v>0</v>
      </c>
      <c r="G26" s="178" t="s">
        <v>43</v>
      </c>
      <c r="H26" s="179">
        <v>1.645</v>
      </c>
      <c r="I26" s="243" t="s">
        <v>19</v>
      </c>
      <c r="J26" s="159" t="e">
        <f t="shared" si="185"/>
        <v>#REF!</v>
      </c>
      <c r="K26" s="294"/>
      <c r="L26" s="62"/>
      <c r="M26" s="63"/>
      <c r="N26" s="63"/>
      <c r="O26" s="63"/>
      <c r="P26" s="63"/>
      <c r="Q26" s="63"/>
      <c r="R26" s="63"/>
      <c r="S26" s="63"/>
      <c r="T26" s="63"/>
      <c r="U26" s="63"/>
      <c r="V26" s="91">
        <f t="shared" ref="V26:CG26" ca="1" si="206">IF(V3&gt;$J$5,"",U26+V23-V25)</f>
        <v>0</v>
      </c>
      <c r="W26" s="91">
        <f t="shared" ca="1" si="206"/>
        <v>300</v>
      </c>
      <c r="X26" s="91">
        <f t="shared" ca="1" si="206"/>
        <v>300</v>
      </c>
      <c r="Y26" s="91">
        <f t="shared" ca="1" si="206"/>
        <v>294</v>
      </c>
      <c r="Z26" s="91">
        <f t="shared" ca="1" si="206"/>
        <v>294</v>
      </c>
      <c r="AA26" s="91">
        <f t="shared" ca="1" si="206"/>
        <v>292</v>
      </c>
      <c r="AB26" s="91">
        <f t="shared" ca="1" si="206"/>
        <v>289</v>
      </c>
      <c r="AC26" s="91">
        <f t="shared" ca="1" si="206"/>
        <v>289</v>
      </c>
      <c r="AD26" s="91">
        <f t="shared" ca="1" si="206"/>
        <v>286</v>
      </c>
      <c r="AE26" s="91">
        <f t="shared" ca="1" si="206"/>
        <v>286</v>
      </c>
      <c r="AF26" s="91">
        <f t="shared" ca="1" si="206"/>
        <v>283</v>
      </c>
      <c r="AG26" s="91">
        <f t="shared" ca="1" si="206"/>
        <v>283</v>
      </c>
      <c r="AH26" s="91">
        <f t="shared" ca="1" si="206"/>
        <v>281</v>
      </c>
      <c r="AI26" s="91">
        <f t="shared" ca="1" si="206"/>
        <v>331</v>
      </c>
      <c r="AJ26" s="91">
        <f t="shared" ca="1" si="206"/>
        <v>331</v>
      </c>
      <c r="AK26" s="91">
        <f t="shared" ca="1" si="206"/>
        <v>328</v>
      </c>
      <c r="AL26" s="91">
        <f t="shared" ca="1" si="206"/>
        <v>328</v>
      </c>
      <c r="AM26" s="91">
        <f t="shared" ca="1" si="206"/>
        <v>326</v>
      </c>
      <c r="AN26" s="91">
        <f t="shared" ca="1" si="206"/>
        <v>326</v>
      </c>
      <c r="AO26" s="91">
        <f t="shared" ca="1" si="206"/>
        <v>324</v>
      </c>
      <c r="AP26" s="91">
        <f t="shared" ca="1" si="206"/>
        <v>324</v>
      </c>
      <c r="AQ26" s="91">
        <f t="shared" ca="1" si="206"/>
        <v>324</v>
      </c>
      <c r="AR26" s="91">
        <f t="shared" ca="1" si="206"/>
        <v>318</v>
      </c>
      <c r="AS26" s="91">
        <f t="shared" ca="1" si="206"/>
        <v>318</v>
      </c>
      <c r="AT26" s="91">
        <f t="shared" ca="1" si="206"/>
        <v>315</v>
      </c>
      <c r="AU26" s="91">
        <f t="shared" ca="1" si="206"/>
        <v>307</v>
      </c>
      <c r="AV26" s="91">
        <f t="shared" ca="1" si="206"/>
        <v>307</v>
      </c>
      <c r="AW26" s="91">
        <f t="shared" ca="1" si="206"/>
        <v>305</v>
      </c>
      <c r="AX26" s="91">
        <f t="shared" ca="1" si="206"/>
        <v>305</v>
      </c>
      <c r="AY26" s="91">
        <f t="shared" ca="1" si="206"/>
        <v>303</v>
      </c>
      <c r="AZ26" s="91">
        <f t="shared" ca="1" si="206"/>
        <v>303</v>
      </c>
      <c r="BA26" s="91">
        <f t="shared" ca="1" si="206"/>
        <v>300</v>
      </c>
      <c r="BB26" s="91">
        <f t="shared" ca="1" si="206"/>
        <v>300</v>
      </c>
      <c r="BC26" s="91">
        <f t="shared" ca="1" si="206"/>
        <v>293</v>
      </c>
      <c r="BD26" s="91">
        <f t="shared" ca="1" si="206"/>
        <v>293</v>
      </c>
      <c r="BE26" s="91">
        <f t="shared" ca="1" si="206"/>
        <v>285</v>
      </c>
      <c r="BF26" s="91">
        <f t="shared" ca="1" si="206"/>
        <v>285</v>
      </c>
      <c r="BG26" s="91">
        <f t="shared" ca="1" si="206"/>
        <v>283</v>
      </c>
      <c r="BH26" s="91">
        <f t="shared" ca="1" si="206"/>
        <v>283</v>
      </c>
      <c r="BI26" s="91">
        <f t="shared" ca="1" si="206"/>
        <v>283</v>
      </c>
      <c r="BJ26" s="91">
        <f t="shared" ca="1" si="206"/>
        <v>282</v>
      </c>
      <c r="BK26" s="91">
        <f t="shared" ca="1" si="206"/>
        <v>282</v>
      </c>
      <c r="BL26" s="91">
        <f t="shared" ca="1" si="206"/>
        <v>280</v>
      </c>
      <c r="BM26" s="91">
        <f t="shared" ca="1" si="206"/>
        <v>280</v>
      </c>
      <c r="BN26" s="91">
        <f t="shared" ca="1" si="206"/>
        <v>274</v>
      </c>
      <c r="BO26" s="91">
        <f t="shared" ca="1" si="206"/>
        <v>272</v>
      </c>
      <c r="BP26" s="91">
        <f t="shared" ca="1" si="206"/>
        <v>270</v>
      </c>
      <c r="BQ26" s="91">
        <f t="shared" ca="1" si="206"/>
        <v>270</v>
      </c>
      <c r="BR26" s="91">
        <f t="shared" ca="1" si="206"/>
        <v>269</v>
      </c>
      <c r="BS26" s="91">
        <f t="shared" ca="1" si="206"/>
        <v>269</v>
      </c>
      <c r="BT26" s="91">
        <f t="shared" ca="1" si="206"/>
        <v>267</v>
      </c>
      <c r="BU26" s="91">
        <f t="shared" ca="1" si="206"/>
        <v>267</v>
      </c>
      <c r="BV26" s="91">
        <f t="shared" ca="1" si="206"/>
        <v>264</v>
      </c>
      <c r="BW26" s="91">
        <f t="shared" ca="1" si="206"/>
        <v>264</v>
      </c>
      <c r="BX26" s="91">
        <f t="shared" ca="1" si="206"/>
        <v>261</v>
      </c>
      <c r="BY26" s="91">
        <f t="shared" ca="1" si="206"/>
        <v>261</v>
      </c>
      <c r="BZ26" s="91">
        <f t="shared" ca="1" si="206"/>
        <v>258</v>
      </c>
      <c r="CA26" s="91">
        <f t="shared" ca="1" si="206"/>
        <v>258</v>
      </c>
      <c r="CB26" s="91">
        <f t="shared" ca="1" si="206"/>
        <v>256</v>
      </c>
      <c r="CC26" s="91">
        <f t="shared" ca="1" si="206"/>
        <v>256</v>
      </c>
      <c r="CD26" s="91">
        <f t="shared" ca="1" si="206"/>
        <v>250</v>
      </c>
      <c r="CE26" s="91">
        <f t="shared" ca="1" si="206"/>
        <v>250</v>
      </c>
      <c r="CF26" s="91">
        <f t="shared" ca="1" si="206"/>
        <v>242</v>
      </c>
      <c r="CG26" s="91">
        <f t="shared" ca="1" si="206"/>
        <v>242</v>
      </c>
      <c r="CH26" s="91">
        <f t="shared" ref="CH26:ES26" ca="1" si="207">IF(CH3&gt;$J$5,"",CG26+CH23-CH25)</f>
        <v>233</v>
      </c>
      <c r="CI26" s="91">
        <f t="shared" ca="1" si="207"/>
        <v>233</v>
      </c>
      <c r="CJ26" s="91">
        <f t="shared" ca="1" si="207"/>
        <v>225</v>
      </c>
      <c r="CK26" s="91">
        <f t="shared" ca="1" si="207"/>
        <v>218</v>
      </c>
      <c r="CL26" s="91">
        <f t="shared" ca="1" si="207"/>
        <v>218</v>
      </c>
      <c r="CM26" s="91">
        <f t="shared" ca="1" si="207"/>
        <v>215</v>
      </c>
      <c r="CN26" s="91">
        <f t="shared" ca="1" si="207"/>
        <v>215</v>
      </c>
      <c r="CO26" s="91">
        <f t="shared" ca="1" si="207"/>
        <v>215</v>
      </c>
      <c r="CP26" s="91">
        <f t="shared" ca="1" si="207"/>
        <v>300</v>
      </c>
      <c r="CQ26" s="91">
        <f t="shared" ca="1" si="207"/>
        <v>298</v>
      </c>
      <c r="CR26" s="91">
        <f t="shared" ca="1" si="207"/>
        <v>298</v>
      </c>
      <c r="CS26" s="91">
        <f t="shared" ca="1" si="207"/>
        <v>295</v>
      </c>
      <c r="CT26" s="91">
        <f t="shared" ca="1" si="207"/>
        <v>295</v>
      </c>
      <c r="CU26" s="91">
        <f t="shared" ca="1" si="207"/>
        <v>289</v>
      </c>
      <c r="CV26" s="91">
        <f t="shared" ca="1" si="207"/>
        <v>289</v>
      </c>
      <c r="CW26" s="91">
        <f t="shared" ca="1" si="207"/>
        <v>286</v>
      </c>
      <c r="CX26" s="91">
        <f t="shared" ca="1" si="207"/>
        <v>286</v>
      </c>
      <c r="CY26" s="91">
        <f t="shared" ca="1" si="207"/>
        <v>285</v>
      </c>
      <c r="CZ26" s="91">
        <f t="shared" ca="1" si="207"/>
        <v>285</v>
      </c>
      <c r="DA26" s="91">
        <f t="shared" ca="1" si="207"/>
        <v>283</v>
      </c>
      <c r="DB26" s="91">
        <f t="shared" ca="1" si="207"/>
        <v>283</v>
      </c>
      <c r="DC26" s="91">
        <f t="shared" ca="1" si="207"/>
        <v>283</v>
      </c>
      <c r="DD26" s="91">
        <f t="shared" ca="1" si="207"/>
        <v>280</v>
      </c>
      <c r="DE26" s="91">
        <f t="shared" ca="1" si="207"/>
        <v>280</v>
      </c>
      <c r="DF26" s="91">
        <f t="shared" ca="1" si="207"/>
        <v>278</v>
      </c>
      <c r="DG26" s="91">
        <f t="shared" ca="1" si="207"/>
        <v>278</v>
      </c>
      <c r="DH26" s="91">
        <f t="shared" ca="1" si="207"/>
        <v>272</v>
      </c>
      <c r="DI26" s="91">
        <f t="shared" ca="1" si="207"/>
        <v>322</v>
      </c>
      <c r="DJ26" s="91">
        <f t="shared" ca="1" si="207"/>
        <v>322</v>
      </c>
      <c r="DK26" s="91">
        <f t="shared" ca="1" si="207"/>
        <v>319</v>
      </c>
      <c r="DL26" s="91">
        <f t="shared" ca="1" si="207"/>
        <v>319</v>
      </c>
      <c r="DM26" s="91">
        <f t="shared" ca="1" si="207"/>
        <v>316</v>
      </c>
      <c r="DN26" s="91">
        <f t="shared" ca="1" si="207"/>
        <v>316</v>
      </c>
      <c r="DO26" s="91">
        <f t="shared" ca="1" si="207"/>
        <v>311</v>
      </c>
      <c r="DP26" s="91">
        <f t="shared" ca="1" si="207"/>
        <v>311</v>
      </c>
      <c r="DQ26" s="91">
        <f t="shared" ca="1" si="207"/>
        <v>302</v>
      </c>
      <c r="DR26" s="91">
        <f t="shared" ca="1" si="207"/>
        <v>302</v>
      </c>
      <c r="DS26" s="91">
        <f t="shared" ca="1" si="207"/>
        <v>290</v>
      </c>
      <c r="DT26" s="91">
        <f t="shared" ca="1" si="207"/>
        <v>290</v>
      </c>
      <c r="DU26" s="91">
        <f t="shared" ca="1" si="207"/>
        <v>287</v>
      </c>
      <c r="DV26" s="91">
        <f t="shared" ca="1" si="207"/>
        <v>287</v>
      </c>
      <c r="DW26" s="91">
        <f t="shared" ca="1" si="207"/>
        <v>276</v>
      </c>
      <c r="DX26" s="91">
        <f t="shared" ca="1" si="207"/>
        <v>276</v>
      </c>
      <c r="DY26" s="91">
        <f t="shared" ca="1" si="207"/>
        <v>274</v>
      </c>
      <c r="DZ26" s="91">
        <f t="shared" ca="1" si="207"/>
        <v>274</v>
      </c>
      <c r="EA26" s="91">
        <f t="shared" ca="1" si="207"/>
        <v>274</v>
      </c>
      <c r="EB26" s="91">
        <f t="shared" ca="1" si="207"/>
        <v>274</v>
      </c>
      <c r="EC26" s="91">
        <f t="shared" ca="1" si="207"/>
        <v>274</v>
      </c>
      <c r="ED26" s="91">
        <f t="shared" ca="1" si="207"/>
        <v>274</v>
      </c>
      <c r="EE26" s="91">
        <f t="shared" ca="1" si="207"/>
        <v>274</v>
      </c>
      <c r="EF26" s="91">
        <f t="shared" ca="1" si="207"/>
        <v>274</v>
      </c>
      <c r="EG26" s="91">
        <f t="shared" ca="1" si="207"/>
        <v>274</v>
      </c>
      <c r="EH26" s="91">
        <f t="shared" ca="1" si="207"/>
        <v>271</v>
      </c>
      <c r="EI26" s="91">
        <f t="shared" ca="1" si="207"/>
        <v>271</v>
      </c>
      <c r="EJ26" s="91">
        <f t="shared" ca="1" si="207"/>
        <v>271</v>
      </c>
      <c r="EK26" s="91">
        <f t="shared" ca="1" si="207"/>
        <v>268</v>
      </c>
      <c r="EL26" s="91">
        <f t="shared" ca="1" si="207"/>
        <v>268</v>
      </c>
      <c r="EM26" s="91">
        <f t="shared" ca="1" si="207"/>
        <v>268</v>
      </c>
      <c r="EN26" s="91">
        <f t="shared" ca="1" si="207"/>
        <v>265</v>
      </c>
      <c r="EO26" s="91">
        <f t="shared" ca="1" si="207"/>
        <v>265</v>
      </c>
      <c r="EP26" s="91">
        <f t="shared" ca="1" si="207"/>
        <v>259</v>
      </c>
      <c r="EQ26" s="91">
        <f t="shared" ca="1" si="207"/>
        <v>259</v>
      </c>
      <c r="ER26" s="91">
        <f t="shared" ca="1" si="207"/>
        <v>259</v>
      </c>
      <c r="ES26" s="91">
        <f t="shared" ca="1" si="207"/>
        <v>254</v>
      </c>
      <c r="ET26" s="91">
        <f t="shared" ref="ET26:HE26" ca="1" si="208">IF(ET3&gt;$J$5,"",ES26+ET23-ET25)</f>
        <v>254</v>
      </c>
      <c r="EU26" s="91">
        <f t="shared" ca="1" si="208"/>
        <v>254</v>
      </c>
      <c r="EV26" s="91">
        <f t="shared" ca="1" si="208"/>
        <v>254</v>
      </c>
      <c r="EW26" s="91">
        <f t="shared" ca="1" si="208"/>
        <v>246</v>
      </c>
      <c r="EX26" s="91">
        <f t="shared" ca="1" si="208"/>
        <v>246</v>
      </c>
      <c r="EY26" s="91">
        <f t="shared" ca="1" si="208"/>
        <v>246</v>
      </c>
      <c r="EZ26" s="91">
        <f t="shared" ca="1" si="208"/>
        <v>246</v>
      </c>
      <c r="FA26" s="91">
        <f t="shared" ca="1" si="208"/>
        <v>243</v>
      </c>
      <c r="FB26" s="91">
        <f t="shared" ca="1" si="208"/>
        <v>243</v>
      </c>
      <c r="FC26" s="91">
        <f t="shared" ca="1" si="208"/>
        <v>238</v>
      </c>
      <c r="FD26" s="91">
        <f t="shared" ca="1" si="208"/>
        <v>238</v>
      </c>
      <c r="FE26" s="91">
        <f t="shared" ca="1" si="208"/>
        <v>238</v>
      </c>
      <c r="FF26" s="91">
        <f t="shared" ca="1" si="208"/>
        <v>237</v>
      </c>
      <c r="FG26" s="91">
        <f t="shared" ca="1" si="208"/>
        <v>237</v>
      </c>
      <c r="FH26" s="91">
        <f t="shared" ca="1" si="208"/>
        <v>228</v>
      </c>
      <c r="FI26" s="91">
        <f t="shared" ca="1" si="208"/>
        <v>228</v>
      </c>
      <c r="FJ26" s="91">
        <f t="shared" ca="1" si="208"/>
        <v>228</v>
      </c>
      <c r="FK26" s="91">
        <f t="shared" ca="1" si="208"/>
        <v>226</v>
      </c>
      <c r="FL26" s="91">
        <f t="shared" ca="1" si="208"/>
        <v>226</v>
      </c>
      <c r="FM26" s="91">
        <f t="shared" ca="1" si="208"/>
        <v>226</v>
      </c>
      <c r="FN26" s="91">
        <f t="shared" ca="1" si="208"/>
        <v>223</v>
      </c>
      <c r="FO26" s="91">
        <f t="shared" ca="1" si="208"/>
        <v>218</v>
      </c>
      <c r="FP26" s="91">
        <f t="shared" ca="1" si="208"/>
        <v>217</v>
      </c>
      <c r="FQ26" s="91">
        <f t="shared" ca="1" si="208"/>
        <v>217</v>
      </c>
      <c r="FR26" s="91">
        <f t="shared" ca="1" si="208"/>
        <v>212</v>
      </c>
      <c r="FS26" s="91">
        <f t="shared" ca="1" si="208"/>
        <v>212</v>
      </c>
      <c r="FT26" s="91">
        <f t="shared" ca="1" si="208"/>
        <v>211</v>
      </c>
      <c r="FU26" s="91">
        <f t="shared" ca="1" si="208"/>
        <v>210</v>
      </c>
      <c r="FV26" s="91">
        <f t="shared" ca="1" si="208"/>
        <v>210</v>
      </c>
      <c r="FW26" s="91">
        <f t="shared" ca="1" si="208"/>
        <v>207</v>
      </c>
      <c r="FX26" s="91">
        <f t="shared" ca="1" si="208"/>
        <v>207</v>
      </c>
      <c r="FY26" s="91">
        <f t="shared" ca="1" si="208"/>
        <v>207</v>
      </c>
      <c r="FZ26" s="91">
        <f t="shared" ca="1" si="208"/>
        <v>197</v>
      </c>
      <c r="GA26" s="91">
        <f t="shared" ca="1" si="208"/>
        <v>197</v>
      </c>
      <c r="GB26" s="91">
        <f t="shared" ca="1" si="208"/>
        <v>197</v>
      </c>
      <c r="GC26" s="91">
        <f t="shared" ca="1" si="208"/>
        <v>196</v>
      </c>
      <c r="GD26" s="91">
        <f t="shared" ca="1" si="208"/>
        <v>196</v>
      </c>
      <c r="GE26" s="91">
        <f t="shared" ca="1" si="208"/>
        <v>187</v>
      </c>
      <c r="GF26" s="91">
        <f t="shared" ca="1" si="208"/>
        <v>187</v>
      </c>
      <c r="GG26" s="91">
        <f t="shared" ca="1" si="208"/>
        <v>182</v>
      </c>
      <c r="GH26" s="91">
        <f t="shared" ca="1" si="208"/>
        <v>182</v>
      </c>
      <c r="GI26" s="91">
        <f t="shared" ca="1" si="208"/>
        <v>181</v>
      </c>
      <c r="GJ26" s="91">
        <f t="shared" ca="1" si="208"/>
        <v>179</v>
      </c>
      <c r="GK26" s="91">
        <f t="shared" ca="1" si="208"/>
        <v>179</v>
      </c>
      <c r="GL26" s="91">
        <f t="shared" ca="1" si="208"/>
        <v>179</v>
      </c>
      <c r="GM26" s="91">
        <f t="shared" ca="1" si="208"/>
        <v>178</v>
      </c>
      <c r="GN26" s="91">
        <f t="shared" ca="1" si="208"/>
        <v>177</v>
      </c>
      <c r="GO26" s="91">
        <f t="shared" ca="1" si="208"/>
        <v>177</v>
      </c>
      <c r="GP26" s="91">
        <f t="shared" ca="1" si="208"/>
        <v>177</v>
      </c>
      <c r="GQ26" s="91">
        <f t="shared" ca="1" si="208"/>
        <v>177</v>
      </c>
      <c r="GR26" s="91">
        <f t="shared" ca="1" si="208"/>
        <v>177</v>
      </c>
      <c r="GS26" s="91">
        <f t="shared" ca="1" si="208"/>
        <v>177</v>
      </c>
      <c r="GT26" s="91">
        <f t="shared" ca="1" si="208"/>
        <v>177</v>
      </c>
      <c r="GU26" s="91">
        <f t="shared" ca="1" si="208"/>
        <v>177</v>
      </c>
      <c r="GV26" s="91">
        <f t="shared" ca="1" si="208"/>
        <v>177</v>
      </c>
      <c r="GW26" s="91">
        <f t="shared" ca="1" si="208"/>
        <v>177</v>
      </c>
      <c r="GX26" s="91">
        <f t="shared" ca="1" si="208"/>
        <v>177</v>
      </c>
      <c r="GY26" s="91">
        <f t="shared" ca="1" si="208"/>
        <v>177</v>
      </c>
      <c r="GZ26" s="91">
        <f t="shared" ca="1" si="208"/>
        <v>177</v>
      </c>
      <c r="HA26" s="91">
        <f t="shared" ca="1" si="208"/>
        <v>177</v>
      </c>
      <c r="HB26" s="91">
        <f t="shared" ca="1" si="208"/>
        <v>177</v>
      </c>
      <c r="HC26" s="91">
        <f t="shared" ca="1" si="208"/>
        <v>177</v>
      </c>
      <c r="HD26" s="91" t="str">
        <f t="shared" ca="1" si="208"/>
        <v/>
      </c>
      <c r="HE26" s="91" t="str">
        <f t="shared" ca="1" si="208"/>
        <v/>
      </c>
      <c r="HF26" s="91" t="str">
        <f t="shared" ref="HF26:JQ26" ca="1" si="209">IF(HF3&gt;$J$5,"",HE26+HF23-HF25)</f>
        <v/>
      </c>
      <c r="HG26" s="91" t="str">
        <f t="shared" ca="1" si="209"/>
        <v/>
      </c>
      <c r="HH26" s="91" t="str">
        <f t="shared" ca="1" si="209"/>
        <v/>
      </c>
      <c r="HI26" s="91" t="str">
        <f t="shared" ca="1" si="209"/>
        <v/>
      </c>
      <c r="HJ26" s="91" t="str">
        <f t="shared" ca="1" si="209"/>
        <v/>
      </c>
      <c r="HK26" s="91" t="str">
        <f t="shared" ca="1" si="209"/>
        <v/>
      </c>
      <c r="HL26" s="91" t="str">
        <f t="shared" ca="1" si="209"/>
        <v/>
      </c>
      <c r="HM26" s="91" t="str">
        <f t="shared" ca="1" si="209"/>
        <v/>
      </c>
      <c r="HN26" s="91" t="str">
        <f t="shared" ca="1" si="209"/>
        <v/>
      </c>
      <c r="HO26" s="91" t="str">
        <f t="shared" ca="1" si="209"/>
        <v/>
      </c>
      <c r="HP26" s="91" t="str">
        <f t="shared" ca="1" si="209"/>
        <v/>
      </c>
      <c r="HQ26" s="91" t="str">
        <f t="shared" ca="1" si="209"/>
        <v/>
      </c>
      <c r="HR26" s="91" t="str">
        <f t="shared" ca="1" si="209"/>
        <v/>
      </c>
      <c r="HS26" s="91" t="str">
        <f t="shared" ca="1" si="209"/>
        <v/>
      </c>
      <c r="HT26" s="91" t="str">
        <f t="shared" ca="1" si="209"/>
        <v/>
      </c>
      <c r="HU26" s="91" t="str">
        <f t="shared" ca="1" si="209"/>
        <v/>
      </c>
      <c r="HV26" s="91" t="str">
        <f t="shared" ca="1" si="209"/>
        <v/>
      </c>
      <c r="HW26" s="91" t="str">
        <f t="shared" ca="1" si="209"/>
        <v/>
      </c>
      <c r="HX26" s="91" t="str">
        <f t="shared" ca="1" si="209"/>
        <v/>
      </c>
      <c r="HY26" s="91" t="str">
        <f t="shared" ca="1" si="209"/>
        <v/>
      </c>
      <c r="HZ26" s="91" t="str">
        <f t="shared" ca="1" si="209"/>
        <v/>
      </c>
      <c r="IA26" s="91" t="str">
        <f t="shared" ca="1" si="209"/>
        <v/>
      </c>
      <c r="IB26" s="91" t="str">
        <f t="shared" ca="1" si="209"/>
        <v/>
      </c>
      <c r="IC26" s="91" t="str">
        <f t="shared" ca="1" si="209"/>
        <v/>
      </c>
      <c r="ID26" s="91" t="str">
        <f t="shared" ca="1" si="209"/>
        <v/>
      </c>
      <c r="IE26" s="91" t="str">
        <f t="shared" ca="1" si="209"/>
        <v/>
      </c>
      <c r="IF26" s="91" t="str">
        <f t="shared" ca="1" si="209"/>
        <v/>
      </c>
      <c r="IG26" s="91" t="str">
        <f t="shared" ca="1" si="209"/>
        <v/>
      </c>
      <c r="IH26" s="91" t="str">
        <f t="shared" ca="1" si="209"/>
        <v/>
      </c>
      <c r="II26" s="91" t="str">
        <f t="shared" ca="1" si="209"/>
        <v/>
      </c>
      <c r="IJ26" s="91" t="str">
        <f t="shared" ca="1" si="209"/>
        <v/>
      </c>
      <c r="IK26" s="91" t="str">
        <f t="shared" ca="1" si="209"/>
        <v/>
      </c>
      <c r="IL26" s="91" t="str">
        <f t="shared" ca="1" si="209"/>
        <v/>
      </c>
      <c r="IM26" s="91" t="str">
        <f t="shared" ca="1" si="209"/>
        <v/>
      </c>
      <c r="IN26" s="91" t="str">
        <f t="shared" ca="1" si="209"/>
        <v/>
      </c>
      <c r="IO26" s="91" t="str">
        <f t="shared" ca="1" si="209"/>
        <v/>
      </c>
      <c r="IP26" s="91" t="str">
        <f t="shared" ca="1" si="209"/>
        <v/>
      </c>
      <c r="IQ26" s="91" t="str">
        <f t="shared" ca="1" si="209"/>
        <v/>
      </c>
      <c r="IR26" s="91" t="str">
        <f t="shared" ca="1" si="209"/>
        <v/>
      </c>
      <c r="IS26" s="91" t="str">
        <f t="shared" ca="1" si="209"/>
        <v/>
      </c>
      <c r="IT26" s="91" t="str">
        <f t="shared" ca="1" si="209"/>
        <v/>
      </c>
      <c r="IU26" s="91" t="str">
        <f t="shared" ca="1" si="209"/>
        <v/>
      </c>
      <c r="IV26" s="91" t="str">
        <f t="shared" ca="1" si="209"/>
        <v/>
      </c>
      <c r="IW26" s="91" t="str">
        <f t="shared" ca="1" si="209"/>
        <v/>
      </c>
      <c r="IX26" s="91" t="str">
        <f t="shared" ca="1" si="209"/>
        <v/>
      </c>
      <c r="IY26" s="91" t="str">
        <f t="shared" ca="1" si="209"/>
        <v/>
      </c>
      <c r="IZ26" s="91" t="str">
        <f t="shared" ca="1" si="209"/>
        <v/>
      </c>
      <c r="JA26" s="91" t="str">
        <f t="shared" ca="1" si="209"/>
        <v/>
      </c>
      <c r="JB26" s="91" t="str">
        <f t="shared" ca="1" si="209"/>
        <v/>
      </c>
      <c r="JC26" s="91" t="str">
        <f t="shared" ca="1" si="209"/>
        <v/>
      </c>
      <c r="JD26" s="91" t="str">
        <f t="shared" ca="1" si="209"/>
        <v/>
      </c>
      <c r="JE26" s="91" t="str">
        <f t="shared" ca="1" si="209"/>
        <v/>
      </c>
      <c r="JF26" s="91" t="str">
        <f t="shared" ca="1" si="209"/>
        <v/>
      </c>
      <c r="JG26" s="91" t="str">
        <f t="shared" ca="1" si="209"/>
        <v/>
      </c>
      <c r="JH26" s="91" t="str">
        <f t="shared" ca="1" si="209"/>
        <v/>
      </c>
      <c r="JI26" s="91" t="str">
        <f t="shared" ca="1" si="209"/>
        <v/>
      </c>
      <c r="JJ26" s="91" t="str">
        <f t="shared" ca="1" si="209"/>
        <v/>
      </c>
      <c r="JK26" s="91" t="str">
        <f t="shared" ca="1" si="209"/>
        <v/>
      </c>
      <c r="JL26" s="91" t="str">
        <f t="shared" ca="1" si="209"/>
        <v/>
      </c>
      <c r="JM26" s="91" t="str">
        <f t="shared" ca="1" si="209"/>
        <v/>
      </c>
      <c r="JN26" s="91" t="str">
        <f t="shared" ca="1" si="209"/>
        <v/>
      </c>
      <c r="JO26" s="91" t="str">
        <f t="shared" ca="1" si="209"/>
        <v/>
      </c>
      <c r="JP26" s="91" t="str">
        <f t="shared" ca="1" si="209"/>
        <v/>
      </c>
      <c r="JQ26" s="91" t="str">
        <f t="shared" ca="1" si="209"/>
        <v/>
      </c>
      <c r="JR26" s="91" t="str">
        <f t="shared" ref="JR26:JZ26" ca="1" si="210">IF(JR3&gt;$J$5,"",JQ26+JR23-JR25)</f>
        <v/>
      </c>
      <c r="JS26" s="91" t="str">
        <f t="shared" ca="1" si="210"/>
        <v/>
      </c>
      <c r="JT26" s="91" t="str">
        <f t="shared" ca="1" si="210"/>
        <v/>
      </c>
      <c r="JU26" s="91" t="str">
        <f t="shared" ca="1" si="210"/>
        <v/>
      </c>
      <c r="JV26" s="91" t="str">
        <f t="shared" ca="1" si="210"/>
        <v/>
      </c>
      <c r="JW26" s="91" t="str">
        <f t="shared" ca="1" si="210"/>
        <v/>
      </c>
      <c r="JX26" s="91" t="str">
        <f t="shared" ca="1" si="210"/>
        <v/>
      </c>
      <c r="JY26" s="91" t="str">
        <f t="shared" ca="1" si="210"/>
        <v/>
      </c>
      <c r="JZ26" s="110" t="str">
        <f t="shared" ca="1" si="210"/>
        <v/>
      </c>
      <c r="KA26" s="17"/>
      <c r="KB26" s="219" t="s">
        <v>74</v>
      </c>
      <c r="KC26" s="222">
        <f ca="1">KF25</f>
        <v>274</v>
      </c>
      <c r="KD26" s="223">
        <f>SUM(CJ23:DE23)</f>
        <v>85</v>
      </c>
      <c r="KE26" s="223">
        <f>SUM(CJ25:DE25)</f>
        <v>38</v>
      </c>
      <c r="KF26" s="222">
        <f t="shared" ca="1" si="191"/>
        <v>321</v>
      </c>
      <c r="KG26" s="223">
        <f t="shared" ca="1" si="178"/>
        <v>274</v>
      </c>
      <c r="KH26" s="223">
        <f t="shared" ca="1" si="192"/>
        <v>321</v>
      </c>
      <c r="KI26" s="222" t="str">
        <f t="shared" si="179"/>
        <v>/2</v>
      </c>
      <c r="KJ26" s="223">
        <f t="shared" ca="1" si="193"/>
        <v>297.5</v>
      </c>
      <c r="KK26" s="223">
        <f t="shared" ca="1" si="194"/>
        <v>211.18421052631578</v>
      </c>
      <c r="KL26" s="222">
        <f t="shared" ca="1" si="195"/>
        <v>1.728348909657321</v>
      </c>
      <c r="KM26" s="223">
        <v>25</v>
      </c>
      <c r="KN26" s="219" t="s">
        <v>78</v>
      </c>
      <c r="KO26" s="222">
        <f ca="1">KR25</f>
        <v>253</v>
      </c>
      <c r="KP26" s="223">
        <f>SUM(FT23:GN23)</f>
        <v>0</v>
      </c>
      <c r="KQ26" s="223">
        <f>SUM(FT25:GN25)</f>
        <v>35</v>
      </c>
      <c r="KR26" s="222">
        <f t="shared" ca="1" si="196"/>
        <v>218</v>
      </c>
      <c r="KS26" s="223">
        <f t="shared" ca="1" si="180"/>
        <v>253</v>
      </c>
      <c r="KT26" s="223">
        <f t="shared" ca="1" si="197"/>
        <v>218</v>
      </c>
      <c r="KU26" s="222" t="str">
        <f t="shared" si="181"/>
        <v>/2</v>
      </c>
      <c r="KV26" s="223">
        <f t="shared" ca="1" si="198"/>
        <v>235.5</v>
      </c>
      <c r="KW26" s="223">
        <f t="shared" ca="1" si="199"/>
        <v>155.71428571428572</v>
      </c>
      <c r="KX26" s="222">
        <f t="shared" ca="1" si="200"/>
        <v>2.3440366972477062</v>
      </c>
      <c r="KY26" s="223">
        <v>25</v>
      </c>
      <c r="KZ26" s="219" t="s">
        <v>82</v>
      </c>
      <c r="LA26" s="222">
        <f ca="1">LD25</f>
        <v>218</v>
      </c>
      <c r="LB26" s="223">
        <f>SUM('[12]Progr1 (3)'!OI30:PD30)</f>
        <v>0</v>
      </c>
      <c r="LC26" s="223">
        <f>SUM('[12]Progr1 (3)'!OI32:PD32)</f>
        <v>0</v>
      </c>
      <c r="LD26" s="222">
        <f t="shared" ca="1" si="201"/>
        <v>218</v>
      </c>
      <c r="LE26" s="223">
        <f t="shared" ca="1" si="182"/>
        <v>218</v>
      </c>
      <c r="LF26" s="223">
        <f t="shared" ca="1" si="202"/>
        <v>218</v>
      </c>
      <c r="LG26" s="222" t="str">
        <f t="shared" si="183"/>
        <v>/2</v>
      </c>
      <c r="LH26" s="223">
        <f t="shared" ca="1" si="203"/>
        <v>218</v>
      </c>
      <c r="LI26" s="223" t="e">
        <f t="shared" ca="1" si="204"/>
        <v>#DIV/0!</v>
      </c>
      <c r="LJ26" s="222" t="e">
        <f t="shared" ca="1" si="205"/>
        <v>#DIV/0!</v>
      </c>
      <c r="LK26" s="223">
        <v>25</v>
      </c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</row>
    <row r="27" spans="1:669" ht="15.75" thickTop="1" x14ac:dyDescent="0.25">
      <c r="A27" s="155" t="str">
        <f>B27</f>
        <v>GUITARRA</v>
      </c>
      <c r="B27" s="231" t="s">
        <v>52</v>
      </c>
      <c r="C27" s="137" t="s">
        <v>53</v>
      </c>
      <c r="D27" s="228"/>
      <c r="E27" s="172" t="s">
        <v>42</v>
      </c>
      <c r="F27" s="180">
        <v>0</v>
      </c>
      <c r="G27" s="172" t="s">
        <v>37</v>
      </c>
      <c r="H27" s="169">
        <f>STDEVPA(V30:GN30)</f>
        <v>3.8012329622019632</v>
      </c>
      <c r="I27" s="241" t="s">
        <v>15</v>
      </c>
      <c r="J27" s="86" t="e">
        <f t="shared" si="185"/>
        <v>#REF!</v>
      </c>
      <c r="K27" s="295"/>
      <c r="L27" s="95"/>
      <c r="M27" s="96"/>
      <c r="N27" s="96"/>
      <c r="O27" s="96"/>
      <c r="P27" s="96"/>
      <c r="Q27" s="96"/>
      <c r="R27" s="96"/>
      <c r="S27" s="96"/>
      <c r="T27" s="96"/>
      <c r="U27" s="96"/>
      <c r="V27" s="97">
        <v>750</v>
      </c>
      <c r="W27" s="97">
        <v>0</v>
      </c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>
        <v>50</v>
      </c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  <c r="CH27" s="97"/>
      <c r="CI27" s="97"/>
      <c r="CJ27" s="97"/>
      <c r="CK27" s="97"/>
      <c r="CL27" s="97"/>
      <c r="CM27" s="97"/>
      <c r="CN27" s="97"/>
      <c r="CO27" s="97"/>
      <c r="CP27" s="97"/>
      <c r="CQ27" s="97"/>
      <c r="CR27" s="97"/>
      <c r="CS27" s="97"/>
      <c r="CT27" s="97"/>
      <c r="CU27" s="97"/>
      <c r="CV27" s="97"/>
      <c r="CW27" s="97"/>
      <c r="CX27" s="97"/>
      <c r="CY27" s="97"/>
      <c r="CZ27" s="97"/>
      <c r="DA27" s="97"/>
      <c r="DB27" s="97"/>
      <c r="DC27" s="97"/>
      <c r="DD27" s="97"/>
      <c r="DE27" s="97"/>
      <c r="DF27" s="97"/>
      <c r="DG27" s="97"/>
      <c r="DH27" s="97"/>
      <c r="DI27" s="97"/>
      <c r="DJ27" s="97"/>
      <c r="DK27" s="97"/>
      <c r="DL27" s="97"/>
      <c r="DM27" s="97"/>
      <c r="DN27" s="97"/>
      <c r="DO27" s="97"/>
      <c r="DP27" s="97"/>
      <c r="DQ27" s="97"/>
      <c r="DR27" s="97">
        <v>10</v>
      </c>
      <c r="DS27" s="97"/>
      <c r="DT27" s="97"/>
      <c r="DU27" s="97"/>
      <c r="DV27" s="97"/>
      <c r="DW27" s="97"/>
      <c r="DX27" s="97"/>
      <c r="DY27" s="97"/>
      <c r="DZ27" s="97"/>
      <c r="EA27" s="97"/>
      <c r="EB27" s="97"/>
      <c r="EC27" s="97"/>
      <c r="ED27" s="97"/>
      <c r="EE27" s="97"/>
      <c r="EF27" s="97"/>
      <c r="EG27" s="97"/>
      <c r="EH27" s="97"/>
      <c r="EI27" s="97"/>
      <c r="EJ27" s="97"/>
      <c r="EK27" s="97"/>
      <c r="EL27" s="97"/>
      <c r="EM27" s="97"/>
      <c r="EN27" s="97"/>
      <c r="EO27" s="97"/>
      <c r="EP27" s="97"/>
      <c r="EQ27" s="97"/>
      <c r="ER27" s="97"/>
      <c r="ES27" s="97"/>
      <c r="ET27" s="97"/>
      <c r="EU27" s="97"/>
      <c r="EV27" s="97"/>
      <c r="EW27" s="97"/>
      <c r="EX27" s="97"/>
      <c r="EY27" s="97"/>
      <c r="EZ27" s="97"/>
      <c r="FA27" s="97"/>
      <c r="FB27" s="97"/>
      <c r="FC27" s="97"/>
      <c r="FD27" s="97"/>
      <c r="FE27" s="97"/>
      <c r="FF27" s="97"/>
      <c r="FG27" s="97"/>
      <c r="FH27" s="97"/>
      <c r="FI27" s="97"/>
      <c r="FJ27" s="97"/>
      <c r="FK27" s="97"/>
      <c r="FL27" s="97"/>
      <c r="FM27" s="97"/>
      <c r="FN27" s="97"/>
      <c r="FO27" s="97"/>
      <c r="FP27" s="97"/>
      <c r="FQ27" s="97"/>
      <c r="FR27" s="97"/>
      <c r="FS27" s="97"/>
      <c r="FT27" s="97"/>
      <c r="FU27" s="97"/>
      <c r="FV27" s="97"/>
      <c r="FW27" s="97"/>
      <c r="FX27" s="97"/>
      <c r="FY27" s="97"/>
      <c r="FZ27" s="97"/>
      <c r="GA27" s="97"/>
      <c r="GB27" s="97"/>
      <c r="GC27" s="97"/>
      <c r="GD27" s="97"/>
      <c r="GE27" s="97"/>
      <c r="GF27" s="97"/>
      <c r="GG27" s="97"/>
      <c r="GH27" s="97"/>
      <c r="GI27" s="97"/>
      <c r="GJ27" s="97"/>
      <c r="GK27" s="97"/>
      <c r="GL27" s="97"/>
      <c r="GM27" s="97"/>
      <c r="GN27" s="97"/>
      <c r="GO27" s="97"/>
      <c r="GP27" s="97"/>
      <c r="GQ27" s="97"/>
      <c r="GR27" s="97"/>
      <c r="GS27" s="97"/>
      <c r="GT27" s="97"/>
      <c r="GU27" s="97"/>
      <c r="GV27" s="97"/>
      <c r="GW27" s="97"/>
      <c r="GX27" s="97"/>
      <c r="GY27" s="97"/>
      <c r="GZ27" s="97"/>
      <c r="HA27" s="97"/>
      <c r="HB27" s="97"/>
      <c r="HC27" s="97"/>
      <c r="HD27" s="97"/>
      <c r="HE27" s="97"/>
      <c r="HF27" s="97"/>
      <c r="HG27" s="97"/>
      <c r="HH27" s="97"/>
      <c r="HI27" s="97"/>
      <c r="HJ27" s="97"/>
      <c r="HK27" s="97"/>
      <c r="HL27" s="97"/>
      <c r="HM27" s="97"/>
      <c r="HN27" s="97"/>
      <c r="HO27" s="97"/>
      <c r="HP27" s="97"/>
      <c r="HQ27" s="97"/>
      <c r="HR27" s="97"/>
      <c r="HS27" s="97"/>
      <c r="HT27" s="97"/>
      <c r="HU27" s="97"/>
      <c r="HV27" s="97"/>
      <c r="HW27" s="97"/>
      <c r="HX27" s="97"/>
      <c r="HY27" s="97"/>
      <c r="HZ27" s="97"/>
      <c r="IA27" s="97"/>
      <c r="IB27" s="97"/>
      <c r="IC27" s="97"/>
      <c r="ID27" s="97"/>
      <c r="IE27" s="97"/>
      <c r="IF27" s="97"/>
      <c r="IG27" s="97"/>
      <c r="IH27" s="97"/>
      <c r="II27" s="97"/>
      <c r="IJ27" s="97"/>
      <c r="IK27" s="97"/>
      <c r="IL27" s="97"/>
      <c r="IM27" s="97"/>
      <c r="IN27" s="97"/>
      <c r="IO27" s="97"/>
      <c r="IP27" s="97"/>
      <c r="IQ27" s="97"/>
      <c r="IR27" s="97"/>
      <c r="IS27" s="97"/>
      <c r="IT27" s="97"/>
      <c r="IU27" s="97"/>
      <c r="IV27" s="97"/>
      <c r="IW27" s="97"/>
      <c r="IX27" s="97"/>
      <c r="IY27" s="97"/>
      <c r="IZ27" s="97"/>
      <c r="JA27" s="97"/>
      <c r="JB27" s="97"/>
      <c r="JC27" s="97"/>
      <c r="JD27" s="97"/>
      <c r="JE27" s="97"/>
      <c r="JF27" s="97"/>
      <c r="JG27" s="97"/>
      <c r="JH27" s="97"/>
      <c r="JI27" s="97"/>
      <c r="JJ27" s="97"/>
      <c r="JK27" s="97"/>
      <c r="JL27" s="97"/>
      <c r="JM27" s="97"/>
      <c r="JN27" s="97"/>
      <c r="JO27" s="97"/>
      <c r="JP27" s="97"/>
      <c r="JQ27" s="97"/>
      <c r="JR27" s="97"/>
      <c r="JS27" s="97"/>
      <c r="JT27" s="97"/>
      <c r="JU27" s="97"/>
      <c r="JV27" s="97"/>
      <c r="JW27" s="97"/>
      <c r="JX27" s="97"/>
      <c r="JY27" s="97"/>
      <c r="JZ27" s="98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</row>
    <row r="28" spans="1:669" ht="15.75" thickBot="1" x14ac:dyDescent="0.3">
      <c r="A28" s="156" t="str">
        <f>B27</f>
        <v>GUITARRA</v>
      </c>
      <c r="B28" s="232"/>
      <c r="C28" s="81" t="str">
        <f>$C$27</f>
        <v>GOLDEN</v>
      </c>
      <c r="D28" s="229"/>
      <c r="E28" s="173" t="s">
        <v>44</v>
      </c>
      <c r="F28" s="181">
        <v>0</v>
      </c>
      <c r="G28" s="174" t="s">
        <v>38</v>
      </c>
      <c r="H28" s="170">
        <v>1</v>
      </c>
      <c r="I28" s="242" t="s">
        <v>16</v>
      </c>
      <c r="J28" s="83" t="e">
        <f t="shared" si="185"/>
        <v>#REF!</v>
      </c>
      <c r="K28" s="293"/>
      <c r="L28" s="57"/>
      <c r="M28" s="58"/>
      <c r="N28" s="58"/>
      <c r="O28" s="58"/>
      <c r="P28" s="58"/>
      <c r="Q28" s="58"/>
      <c r="R28" s="58"/>
      <c r="S28" s="58"/>
      <c r="T28" s="58"/>
      <c r="U28" s="58"/>
      <c r="V28" s="70"/>
      <c r="W28" s="70"/>
      <c r="X28" s="70">
        <v>600</v>
      </c>
      <c r="Y28" s="70">
        <v>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>
        <v>50</v>
      </c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>
        <v>10</v>
      </c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  <c r="IS28" s="70"/>
      <c r="IT28" s="70"/>
      <c r="IU28" s="70"/>
      <c r="IV28" s="70"/>
      <c r="IW28" s="70"/>
      <c r="IX28" s="70"/>
      <c r="IY28" s="70"/>
      <c r="IZ28" s="70"/>
      <c r="JA28" s="70"/>
      <c r="JB28" s="70"/>
      <c r="JC28" s="70"/>
      <c r="JD28" s="70"/>
      <c r="JE28" s="70"/>
      <c r="JF28" s="70"/>
      <c r="JG28" s="70"/>
      <c r="JH28" s="70"/>
      <c r="JI28" s="70"/>
      <c r="JJ28" s="70"/>
      <c r="JK28" s="70"/>
      <c r="JL28" s="70"/>
      <c r="JM28" s="70"/>
      <c r="JN28" s="70"/>
      <c r="JO28" s="70"/>
      <c r="JP28" s="70"/>
      <c r="JQ28" s="70"/>
      <c r="JR28" s="70"/>
      <c r="JS28" s="70"/>
      <c r="JT28" s="70"/>
      <c r="JU28" s="70"/>
      <c r="JV28" s="70"/>
      <c r="JW28" s="70"/>
      <c r="JX28" s="70"/>
      <c r="JY28" s="70"/>
      <c r="JZ28" s="99"/>
      <c r="KA28" s="17"/>
      <c r="KB28" s="219" t="s">
        <v>71</v>
      </c>
      <c r="KC28" s="220">
        <f ca="1">W31</f>
        <v>0</v>
      </c>
      <c r="KD28" s="221">
        <f>SUM(X28:AT28)</f>
        <v>600</v>
      </c>
      <c r="KE28" s="221">
        <f>SUM(X30:AT30)</f>
        <v>52</v>
      </c>
      <c r="KF28" s="220">
        <f ca="1">KC28+KD28-KE28</f>
        <v>548</v>
      </c>
      <c r="KG28" s="221">
        <f t="shared" ref="KG28:KG31" ca="1" si="211">KC28</f>
        <v>0</v>
      </c>
      <c r="KH28" s="221">
        <f ca="1">KF28</f>
        <v>548</v>
      </c>
      <c r="KI28" s="220" t="str">
        <f t="shared" si="179"/>
        <v>/2</v>
      </c>
      <c r="KJ28" s="221">
        <f ca="1">(KC28+KF28)/2</f>
        <v>274</v>
      </c>
      <c r="KK28" s="221">
        <f ca="1">KF28/(KE28/KM28)</f>
        <v>263.46153846153845</v>
      </c>
      <c r="KL28" s="220">
        <f ca="1">365/KK28</f>
        <v>1.3854014598540147</v>
      </c>
      <c r="KM28" s="221">
        <v>25</v>
      </c>
      <c r="KN28" s="219" t="s">
        <v>75</v>
      </c>
      <c r="KO28" s="220">
        <f ca="1">KF31</f>
        <v>457</v>
      </c>
      <c r="KP28" s="221">
        <f>SUM(DF28:EA28)</f>
        <v>10</v>
      </c>
      <c r="KQ28" s="221">
        <f>SUM(DF30:EA30)</f>
        <v>54</v>
      </c>
      <c r="KR28" s="220">
        <f ca="1">KO28+KP28-KQ28</f>
        <v>413</v>
      </c>
      <c r="KS28" s="221">
        <f t="shared" ref="KS28:KS31" ca="1" si="212">KO28</f>
        <v>457</v>
      </c>
      <c r="KT28" s="221">
        <f ca="1">KR28</f>
        <v>413</v>
      </c>
      <c r="KU28" s="220" t="str">
        <f t="shared" si="181"/>
        <v>/2</v>
      </c>
      <c r="KV28" s="221">
        <f ca="1">(KO28+KR28)/2</f>
        <v>435</v>
      </c>
      <c r="KW28" s="221">
        <f ca="1">KR28/(KQ28/KY28)</f>
        <v>191.2037037037037</v>
      </c>
      <c r="KX28" s="220">
        <f ca="1">365/KW28</f>
        <v>1.9089588377723972</v>
      </c>
      <c r="KY28" s="221">
        <v>25</v>
      </c>
      <c r="KZ28" s="219" t="s">
        <v>83</v>
      </c>
      <c r="LA28" s="220">
        <f ca="1">KR31</f>
        <v>268</v>
      </c>
      <c r="LB28" s="221">
        <f>SUM('[12]Progr1 (3)'!LW35:MT35)</f>
        <v>0</v>
      </c>
      <c r="LC28" s="221">
        <f>SUM('[12]Progr1 (3)'!LW37:MS37)</f>
        <v>0</v>
      </c>
      <c r="LD28" s="220">
        <f ca="1">LA28+LB28-LC28</f>
        <v>268</v>
      </c>
      <c r="LE28" s="221">
        <f t="shared" ref="LE28:LE31" ca="1" si="213">LA28</f>
        <v>268</v>
      </c>
      <c r="LF28" s="221">
        <f ca="1">LD28</f>
        <v>268</v>
      </c>
      <c r="LG28" s="220" t="str">
        <f t="shared" si="183"/>
        <v>/2</v>
      </c>
      <c r="LH28" s="221">
        <f ca="1">(LA28+LD28)/2</f>
        <v>268</v>
      </c>
      <c r="LI28" s="221" t="e">
        <f ca="1">LD28/(LC28/LK28)</f>
        <v>#DIV/0!</v>
      </c>
      <c r="LJ28" s="220" t="e">
        <f ca="1">365/LI28</f>
        <v>#DIV/0!</v>
      </c>
      <c r="LK28" s="221">
        <v>25</v>
      </c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</row>
    <row r="29" spans="1:669" ht="15.75" thickBot="1" x14ac:dyDescent="0.3">
      <c r="A29" s="156" t="str">
        <f>B27</f>
        <v>GUITARRA</v>
      </c>
      <c r="B29" s="232"/>
      <c r="C29" s="81" t="str">
        <f t="shared" ref="C29:C31" si="214">$C$27</f>
        <v>GOLDEN</v>
      </c>
      <c r="D29" s="229"/>
      <c r="E29" s="173" t="s">
        <v>41</v>
      </c>
      <c r="F29" s="181">
        <v>0</v>
      </c>
      <c r="G29" s="175" t="s">
        <v>39</v>
      </c>
      <c r="H29" s="170">
        <v>1</v>
      </c>
      <c r="I29" s="242" t="s">
        <v>17</v>
      </c>
      <c r="J29" s="83" t="e">
        <f t="shared" si="185"/>
        <v>#REF!</v>
      </c>
      <c r="K29" s="293"/>
      <c r="L29" s="57"/>
      <c r="M29" s="58"/>
      <c r="N29" s="58"/>
      <c r="O29" s="58"/>
      <c r="P29" s="58"/>
      <c r="Q29" s="58"/>
      <c r="R29" s="58"/>
      <c r="S29" s="58"/>
      <c r="T29" s="58"/>
      <c r="U29" s="58"/>
      <c r="V29" s="68">
        <f t="shared" ref="V29:CG29" ca="1" si="215">IF(V3&gt;$J$5,"",U29+V27-V28)</f>
        <v>750</v>
      </c>
      <c r="W29" s="68">
        <f t="shared" ca="1" si="215"/>
        <v>750</v>
      </c>
      <c r="X29" s="68">
        <f t="shared" ca="1" si="215"/>
        <v>150</v>
      </c>
      <c r="Y29" s="68">
        <f t="shared" ca="1" si="215"/>
        <v>150</v>
      </c>
      <c r="Z29" s="68">
        <f t="shared" ca="1" si="215"/>
        <v>150</v>
      </c>
      <c r="AA29" s="68">
        <f t="shared" ca="1" si="215"/>
        <v>150</v>
      </c>
      <c r="AB29" s="68">
        <f t="shared" ca="1" si="215"/>
        <v>150</v>
      </c>
      <c r="AC29" s="68">
        <f t="shared" ca="1" si="215"/>
        <v>150</v>
      </c>
      <c r="AD29" s="68">
        <f t="shared" ca="1" si="215"/>
        <v>150</v>
      </c>
      <c r="AE29" s="68">
        <f t="shared" ca="1" si="215"/>
        <v>150</v>
      </c>
      <c r="AF29" s="68">
        <f t="shared" ca="1" si="215"/>
        <v>150</v>
      </c>
      <c r="AG29" s="68">
        <f t="shared" ca="1" si="215"/>
        <v>150</v>
      </c>
      <c r="AH29" s="68">
        <f t="shared" ca="1" si="215"/>
        <v>150</v>
      </c>
      <c r="AI29" s="68">
        <f t="shared" ca="1" si="215"/>
        <v>150</v>
      </c>
      <c r="AJ29" s="68">
        <f t="shared" ca="1" si="215"/>
        <v>150</v>
      </c>
      <c r="AK29" s="68">
        <f t="shared" ca="1" si="215"/>
        <v>150</v>
      </c>
      <c r="AL29" s="68">
        <f t="shared" ca="1" si="215"/>
        <v>150</v>
      </c>
      <c r="AM29" s="68">
        <f t="shared" ca="1" si="215"/>
        <v>150</v>
      </c>
      <c r="AN29" s="68">
        <f t="shared" ca="1" si="215"/>
        <v>150</v>
      </c>
      <c r="AO29" s="68">
        <f t="shared" ca="1" si="215"/>
        <v>150</v>
      </c>
      <c r="AP29" s="68">
        <f t="shared" ca="1" si="215"/>
        <v>150</v>
      </c>
      <c r="AQ29" s="68">
        <f t="shared" ca="1" si="215"/>
        <v>150</v>
      </c>
      <c r="AR29" s="68">
        <f t="shared" ca="1" si="215"/>
        <v>150</v>
      </c>
      <c r="AS29" s="68">
        <f t="shared" ca="1" si="215"/>
        <v>150</v>
      </c>
      <c r="AT29" s="68">
        <f t="shared" ca="1" si="215"/>
        <v>150</v>
      </c>
      <c r="AU29" s="68">
        <f t="shared" ca="1" si="215"/>
        <v>150</v>
      </c>
      <c r="AV29" s="68">
        <f t="shared" ca="1" si="215"/>
        <v>150</v>
      </c>
      <c r="AW29" s="68">
        <f t="shared" ca="1" si="215"/>
        <v>150</v>
      </c>
      <c r="AX29" s="68">
        <f t="shared" ca="1" si="215"/>
        <v>150</v>
      </c>
      <c r="AY29" s="68">
        <f t="shared" ca="1" si="215"/>
        <v>150</v>
      </c>
      <c r="AZ29" s="68">
        <f t="shared" ca="1" si="215"/>
        <v>150</v>
      </c>
      <c r="BA29" s="68">
        <f t="shared" ca="1" si="215"/>
        <v>150</v>
      </c>
      <c r="BB29" s="68">
        <f t="shared" ca="1" si="215"/>
        <v>150</v>
      </c>
      <c r="BC29" s="68">
        <f t="shared" ca="1" si="215"/>
        <v>150</v>
      </c>
      <c r="BD29" s="68">
        <f t="shared" ca="1" si="215"/>
        <v>150</v>
      </c>
      <c r="BE29" s="68">
        <f t="shared" ca="1" si="215"/>
        <v>150</v>
      </c>
      <c r="BF29" s="68">
        <f t="shared" ca="1" si="215"/>
        <v>150</v>
      </c>
      <c r="BG29" s="68">
        <f t="shared" ca="1" si="215"/>
        <v>150</v>
      </c>
      <c r="BH29" s="68">
        <f t="shared" ca="1" si="215"/>
        <v>150</v>
      </c>
      <c r="BI29" s="68">
        <f t="shared" ca="1" si="215"/>
        <v>150</v>
      </c>
      <c r="BJ29" s="68">
        <f t="shared" ca="1" si="215"/>
        <v>150</v>
      </c>
      <c r="BK29" s="68">
        <f t="shared" ca="1" si="215"/>
        <v>150</v>
      </c>
      <c r="BL29" s="68">
        <f t="shared" ca="1" si="215"/>
        <v>150</v>
      </c>
      <c r="BM29" s="68">
        <f t="shared" ca="1" si="215"/>
        <v>150</v>
      </c>
      <c r="BN29" s="68">
        <f t="shared" ca="1" si="215"/>
        <v>150</v>
      </c>
      <c r="BO29" s="68">
        <f t="shared" ca="1" si="215"/>
        <v>200</v>
      </c>
      <c r="BP29" s="68">
        <f t="shared" ca="1" si="215"/>
        <v>150</v>
      </c>
      <c r="BQ29" s="68">
        <f t="shared" ca="1" si="215"/>
        <v>150</v>
      </c>
      <c r="BR29" s="68">
        <f t="shared" ca="1" si="215"/>
        <v>150</v>
      </c>
      <c r="BS29" s="68">
        <f t="shared" ca="1" si="215"/>
        <v>150</v>
      </c>
      <c r="BT29" s="68">
        <f t="shared" ca="1" si="215"/>
        <v>150</v>
      </c>
      <c r="BU29" s="68">
        <f t="shared" ca="1" si="215"/>
        <v>150</v>
      </c>
      <c r="BV29" s="68">
        <f t="shared" ca="1" si="215"/>
        <v>150</v>
      </c>
      <c r="BW29" s="68">
        <f t="shared" ca="1" si="215"/>
        <v>150</v>
      </c>
      <c r="BX29" s="68">
        <f t="shared" ca="1" si="215"/>
        <v>150</v>
      </c>
      <c r="BY29" s="68">
        <f t="shared" ca="1" si="215"/>
        <v>150</v>
      </c>
      <c r="BZ29" s="68">
        <f t="shared" ca="1" si="215"/>
        <v>150</v>
      </c>
      <c r="CA29" s="68">
        <f t="shared" ca="1" si="215"/>
        <v>150</v>
      </c>
      <c r="CB29" s="68">
        <f t="shared" ca="1" si="215"/>
        <v>150</v>
      </c>
      <c r="CC29" s="68">
        <f t="shared" ca="1" si="215"/>
        <v>150</v>
      </c>
      <c r="CD29" s="68">
        <f t="shared" ca="1" si="215"/>
        <v>150</v>
      </c>
      <c r="CE29" s="68">
        <f t="shared" ca="1" si="215"/>
        <v>150</v>
      </c>
      <c r="CF29" s="68">
        <f t="shared" ca="1" si="215"/>
        <v>150</v>
      </c>
      <c r="CG29" s="68">
        <f t="shared" ca="1" si="215"/>
        <v>150</v>
      </c>
      <c r="CH29" s="68">
        <f t="shared" ref="CH29:ES29" ca="1" si="216">IF(CH3&gt;$J$5,"",CG29+CH27-CH28)</f>
        <v>150</v>
      </c>
      <c r="CI29" s="68">
        <f t="shared" ca="1" si="216"/>
        <v>150</v>
      </c>
      <c r="CJ29" s="68">
        <f t="shared" ca="1" si="216"/>
        <v>150</v>
      </c>
      <c r="CK29" s="68">
        <f t="shared" ca="1" si="216"/>
        <v>150</v>
      </c>
      <c r="CL29" s="68">
        <f t="shared" ca="1" si="216"/>
        <v>150</v>
      </c>
      <c r="CM29" s="68">
        <f t="shared" ca="1" si="216"/>
        <v>150</v>
      </c>
      <c r="CN29" s="68">
        <f t="shared" ca="1" si="216"/>
        <v>150</v>
      </c>
      <c r="CO29" s="68">
        <f t="shared" ca="1" si="216"/>
        <v>150</v>
      </c>
      <c r="CP29" s="68">
        <f t="shared" ca="1" si="216"/>
        <v>150</v>
      </c>
      <c r="CQ29" s="68">
        <f t="shared" ca="1" si="216"/>
        <v>150</v>
      </c>
      <c r="CR29" s="68">
        <f t="shared" ca="1" si="216"/>
        <v>150</v>
      </c>
      <c r="CS29" s="68">
        <f t="shared" ca="1" si="216"/>
        <v>150</v>
      </c>
      <c r="CT29" s="68">
        <f t="shared" ca="1" si="216"/>
        <v>150</v>
      </c>
      <c r="CU29" s="68">
        <f t="shared" ca="1" si="216"/>
        <v>150</v>
      </c>
      <c r="CV29" s="68">
        <f t="shared" ca="1" si="216"/>
        <v>150</v>
      </c>
      <c r="CW29" s="68">
        <f t="shared" ca="1" si="216"/>
        <v>150</v>
      </c>
      <c r="CX29" s="68">
        <f t="shared" ca="1" si="216"/>
        <v>150</v>
      </c>
      <c r="CY29" s="68">
        <f t="shared" ca="1" si="216"/>
        <v>150</v>
      </c>
      <c r="CZ29" s="68">
        <f t="shared" ca="1" si="216"/>
        <v>150</v>
      </c>
      <c r="DA29" s="68">
        <f t="shared" ca="1" si="216"/>
        <v>150</v>
      </c>
      <c r="DB29" s="68">
        <f t="shared" ca="1" si="216"/>
        <v>150</v>
      </c>
      <c r="DC29" s="68">
        <f t="shared" ca="1" si="216"/>
        <v>150</v>
      </c>
      <c r="DD29" s="68">
        <f t="shared" ca="1" si="216"/>
        <v>150</v>
      </c>
      <c r="DE29" s="68">
        <f t="shared" ca="1" si="216"/>
        <v>150</v>
      </c>
      <c r="DF29" s="68">
        <f t="shared" ca="1" si="216"/>
        <v>150</v>
      </c>
      <c r="DG29" s="68">
        <f t="shared" ca="1" si="216"/>
        <v>150</v>
      </c>
      <c r="DH29" s="68">
        <f t="shared" ca="1" si="216"/>
        <v>150</v>
      </c>
      <c r="DI29" s="68">
        <f t="shared" ca="1" si="216"/>
        <v>150</v>
      </c>
      <c r="DJ29" s="68">
        <f t="shared" ca="1" si="216"/>
        <v>150</v>
      </c>
      <c r="DK29" s="68">
        <f t="shared" ca="1" si="216"/>
        <v>150</v>
      </c>
      <c r="DL29" s="68">
        <f t="shared" ca="1" si="216"/>
        <v>150</v>
      </c>
      <c r="DM29" s="68">
        <f t="shared" ca="1" si="216"/>
        <v>150</v>
      </c>
      <c r="DN29" s="68">
        <f t="shared" ca="1" si="216"/>
        <v>150</v>
      </c>
      <c r="DO29" s="68">
        <f t="shared" ca="1" si="216"/>
        <v>150</v>
      </c>
      <c r="DP29" s="68">
        <f t="shared" ca="1" si="216"/>
        <v>150</v>
      </c>
      <c r="DQ29" s="68">
        <f t="shared" ca="1" si="216"/>
        <v>150</v>
      </c>
      <c r="DR29" s="68">
        <f t="shared" ca="1" si="216"/>
        <v>160</v>
      </c>
      <c r="DS29" s="68">
        <f t="shared" ca="1" si="216"/>
        <v>150</v>
      </c>
      <c r="DT29" s="68">
        <f t="shared" ca="1" si="216"/>
        <v>150</v>
      </c>
      <c r="DU29" s="68">
        <f t="shared" ca="1" si="216"/>
        <v>150</v>
      </c>
      <c r="DV29" s="68">
        <f t="shared" ca="1" si="216"/>
        <v>150</v>
      </c>
      <c r="DW29" s="68">
        <f t="shared" ca="1" si="216"/>
        <v>150</v>
      </c>
      <c r="DX29" s="68">
        <f t="shared" ca="1" si="216"/>
        <v>150</v>
      </c>
      <c r="DY29" s="68">
        <f t="shared" ca="1" si="216"/>
        <v>150</v>
      </c>
      <c r="DZ29" s="68">
        <f t="shared" ca="1" si="216"/>
        <v>150</v>
      </c>
      <c r="EA29" s="68">
        <f t="shared" ca="1" si="216"/>
        <v>150</v>
      </c>
      <c r="EB29" s="68">
        <f t="shared" ca="1" si="216"/>
        <v>150</v>
      </c>
      <c r="EC29" s="68">
        <f t="shared" ca="1" si="216"/>
        <v>150</v>
      </c>
      <c r="ED29" s="68">
        <f t="shared" ca="1" si="216"/>
        <v>150</v>
      </c>
      <c r="EE29" s="68">
        <f t="shared" ca="1" si="216"/>
        <v>150</v>
      </c>
      <c r="EF29" s="68">
        <f t="shared" ca="1" si="216"/>
        <v>150</v>
      </c>
      <c r="EG29" s="68">
        <f t="shared" ca="1" si="216"/>
        <v>150</v>
      </c>
      <c r="EH29" s="68">
        <f t="shared" ca="1" si="216"/>
        <v>150</v>
      </c>
      <c r="EI29" s="68">
        <f t="shared" ca="1" si="216"/>
        <v>150</v>
      </c>
      <c r="EJ29" s="68">
        <f t="shared" ca="1" si="216"/>
        <v>150</v>
      </c>
      <c r="EK29" s="68">
        <f t="shared" ca="1" si="216"/>
        <v>150</v>
      </c>
      <c r="EL29" s="68">
        <f t="shared" ca="1" si="216"/>
        <v>150</v>
      </c>
      <c r="EM29" s="68">
        <f t="shared" ca="1" si="216"/>
        <v>150</v>
      </c>
      <c r="EN29" s="68">
        <f t="shared" ca="1" si="216"/>
        <v>150</v>
      </c>
      <c r="EO29" s="68">
        <f t="shared" ca="1" si="216"/>
        <v>150</v>
      </c>
      <c r="EP29" s="68">
        <f t="shared" ca="1" si="216"/>
        <v>150</v>
      </c>
      <c r="EQ29" s="68">
        <f t="shared" ca="1" si="216"/>
        <v>150</v>
      </c>
      <c r="ER29" s="68">
        <f t="shared" ca="1" si="216"/>
        <v>150</v>
      </c>
      <c r="ES29" s="68">
        <f t="shared" ca="1" si="216"/>
        <v>150</v>
      </c>
      <c r="ET29" s="68">
        <f t="shared" ref="ET29:HE29" ca="1" si="217">IF(ET3&gt;$J$5,"",ES29+ET27-ET28)</f>
        <v>150</v>
      </c>
      <c r="EU29" s="68">
        <f t="shared" ca="1" si="217"/>
        <v>150</v>
      </c>
      <c r="EV29" s="68">
        <f t="shared" ca="1" si="217"/>
        <v>150</v>
      </c>
      <c r="EW29" s="68">
        <f t="shared" ca="1" si="217"/>
        <v>150</v>
      </c>
      <c r="EX29" s="68">
        <f t="shared" ca="1" si="217"/>
        <v>150</v>
      </c>
      <c r="EY29" s="68">
        <f t="shared" ca="1" si="217"/>
        <v>150</v>
      </c>
      <c r="EZ29" s="68">
        <f t="shared" ca="1" si="217"/>
        <v>150</v>
      </c>
      <c r="FA29" s="68">
        <f t="shared" ca="1" si="217"/>
        <v>150</v>
      </c>
      <c r="FB29" s="68">
        <f t="shared" ca="1" si="217"/>
        <v>150</v>
      </c>
      <c r="FC29" s="68">
        <f t="shared" ca="1" si="217"/>
        <v>150</v>
      </c>
      <c r="FD29" s="68">
        <f t="shared" ca="1" si="217"/>
        <v>150</v>
      </c>
      <c r="FE29" s="68">
        <f t="shared" ca="1" si="217"/>
        <v>150</v>
      </c>
      <c r="FF29" s="68">
        <f t="shared" ca="1" si="217"/>
        <v>150</v>
      </c>
      <c r="FG29" s="68">
        <f t="shared" ca="1" si="217"/>
        <v>150</v>
      </c>
      <c r="FH29" s="68">
        <f t="shared" ca="1" si="217"/>
        <v>150</v>
      </c>
      <c r="FI29" s="68">
        <f t="shared" ca="1" si="217"/>
        <v>150</v>
      </c>
      <c r="FJ29" s="68">
        <f t="shared" ca="1" si="217"/>
        <v>150</v>
      </c>
      <c r="FK29" s="68">
        <f t="shared" ca="1" si="217"/>
        <v>150</v>
      </c>
      <c r="FL29" s="68">
        <f t="shared" ca="1" si="217"/>
        <v>150</v>
      </c>
      <c r="FM29" s="68">
        <f t="shared" ca="1" si="217"/>
        <v>150</v>
      </c>
      <c r="FN29" s="68">
        <f t="shared" ca="1" si="217"/>
        <v>150</v>
      </c>
      <c r="FO29" s="68">
        <f t="shared" ca="1" si="217"/>
        <v>150</v>
      </c>
      <c r="FP29" s="68">
        <f t="shared" ca="1" si="217"/>
        <v>150</v>
      </c>
      <c r="FQ29" s="68">
        <f t="shared" ca="1" si="217"/>
        <v>150</v>
      </c>
      <c r="FR29" s="68">
        <f t="shared" ca="1" si="217"/>
        <v>150</v>
      </c>
      <c r="FS29" s="68">
        <f t="shared" ca="1" si="217"/>
        <v>150</v>
      </c>
      <c r="FT29" s="68">
        <f t="shared" ca="1" si="217"/>
        <v>150</v>
      </c>
      <c r="FU29" s="68">
        <f t="shared" ca="1" si="217"/>
        <v>150</v>
      </c>
      <c r="FV29" s="68">
        <f t="shared" ca="1" si="217"/>
        <v>150</v>
      </c>
      <c r="FW29" s="68">
        <f t="shared" ca="1" si="217"/>
        <v>150</v>
      </c>
      <c r="FX29" s="68">
        <f t="shared" ca="1" si="217"/>
        <v>150</v>
      </c>
      <c r="FY29" s="68">
        <f t="shared" ca="1" si="217"/>
        <v>150</v>
      </c>
      <c r="FZ29" s="68">
        <f t="shared" ca="1" si="217"/>
        <v>150</v>
      </c>
      <c r="GA29" s="68">
        <f t="shared" ca="1" si="217"/>
        <v>150</v>
      </c>
      <c r="GB29" s="68">
        <f t="shared" ca="1" si="217"/>
        <v>150</v>
      </c>
      <c r="GC29" s="68">
        <f t="shared" ca="1" si="217"/>
        <v>150</v>
      </c>
      <c r="GD29" s="68">
        <f t="shared" ca="1" si="217"/>
        <v>150</v>
      </c>
      <c r="GE29" s="68">
        <f t="shared" ca="1" si="217"/>
        <v>150</v>
      </c>
      <c r="GF29" s="68">
        <f t="shared" ca="1" si="217"/>
        <v>150</v>
      </c>
      <c r="GG29" s="68">
        <f t="shared" ca="1" si="217"/>
        <v>150</v>
      </c>
      <c r="GH29" s="68">
        <f t="shared" ca="1" si="217"/>
        <v>150</v>
      </c>
      <c r="GI29" s="68">
        <f t="shared" ca="1" si="217"/>
        <v>150</v>
      </c>
      <c r="GJ29" s="68">
        <f t="shared" ca="1" si="217"/>
        <v>150</v>
      </c>
      <c r="GK29" s="68">
        <f t="shared" ca="1" si="217"/>
        <v>150</v>
      </c>
      <c r="GL29" s="68">
        <f t="shared" ca="1" si="217"/>
        <v>150</v>
      </c>
      <c r="GM29" s="68">
        <f t="shared" ca="1" si="217"/>
        <v>150</v>
      </c>
      <c r="GN29" s="68">
        <f t="shared" ca="1" si="217"/>
        <v>150</v>
      </c>
      <c r="GO29" s="68">
        <f t="shared" ca="1" si="217"/>
        <v>150</v>
      </c>
      <c r="GP29" s="68">
        <f t="shared" ca="1" si="217"/>
        <v>150</v>
      </c>
      <c r="GQ29" s="68">
        <f t="shared" ca="1" si="217"/>
        <v>150</v>
      </c>
      <c r="GR29" s="68">
        <f t="shared" ca="1" si="217"/>
        <v>150</v>
      </c>
      <c r="GS29" s="68">
        <f t="shared" ca="1" si="217"/>
        <v>150</v>
      </c>
      <c r="GT29" s="68">
        <f t="shared" ca="1" si="217"/>
        <v>150</v>
      </c>
      <c r="GU29" s="68">
        <f t="shared" ca="1" si="217"/>
        <v>150</v>
      </c>
      <c r="GV29" s="68">
        <f t="shared" ca="1" si="217"/>
        <v>150</v>
      </c>
      <c r="GW29" s="68">
        <f t="shared" ca="1" si="217"/>
        <v>150</v>
      </c>
      <c r="GX29" s="68">
        <f t="shared" ca="1" si="217"/>
        <v>150</v>
      </c>
      <c r="GY29" s="68">
        <f t="shared" ca="1" si="217"/>
        <v>150</v>
      </c>
      <c r="GZ29" s="68">
        <f t="shared" ca="1" si="217"/>
        <v>150</v>
      </c>
      <c r="HA29" s="68">
        <f t="shared" ca="1" si="217"/>
        <v>150</v>
      </c>
      <c r="HB29" s="68">
        <f t="shared" ca="1" si="217"/>
        <v>150</v>
      </c>
      <c r="HC29" s="68">
        <f t="shared" ca="1" si="217"/>
        <v>150</v>
      </c>
      <c r="HD29" s="68" t="str">
        <f t="shared" ca="1" si="217"/>
        <v/>
      </c>
      <c r="HE29" s="68" t="str">
        <f t="shared" ca="1" si="217"/>
        <v/>
      </c>
      <c r="HF29" s="68" t="str">
        <f t="shared" ref="HF29:JQ29" ca="1" si="218">IF(HF3&gt;$J$5,"",HE29+HF27-HF28)</f>
        <v/>
      </c>
      <c r="HG29" s="68" t="str">
        <f t="shared" ca="1" si="218"/>
        <v/>
      </c>
      <c r="HH29" s="68" t="str">
        <f t="shared" ca="1" si="218"/>
        <v/>
      </c>
      <c r="HI29" s="68" t="str">
        <f t="shared" ca="1" si="218"/>
        <v/>
      </c>
      <c r="HJ29" s="68" t="str">
        <f t="shared" ca="1" si="218"/>
        <v/>
      </c>
      <c r="HK29" s="68" t="str">
        <f t="shared" ca="1" si="218"/>
        <v/>
      </c>
      <c r="HL29" s="68" t="str">
        <f t="shared" ca="1" si="218"/>
        <v/>
      </c>
      <c r="HM29" s="68" t="str">
        <f t="shared" ca="1" si="218"/>
        <v/>
      </c>
      <c r="HN29" s="68" t="str">
        <f t="shared" ca="1" si="218"/>
        <v/>
      </c>
      <c r="HO29" s="68" t="str">
        <f t="shared" ca="1" si="218"/>
        <v/>
      </c>
      <c r="HP29" s="68" t="str">
        <f t="shared" ca="1" si="218"/>
        <v/>
      </c>
      <c r="HQ29" s="68" t="str">
        <f t="shared" ca="1" si="218"/>
        <v/>
      </c>
      <c r="HR29" s="68" t="str">
        <f t="shared" ca="1" si="218"/>
        <v/>
      </c>
      <c r="HS29" s="68" t="str">
        <f t="shared" ca="1" si="218"/>
        <v/>
      </c>
      <c r="HT29" s="68" t="str">
        <f t="shared" ca="1" si="218"/>
        <v/>
      </c>
      <c r="HU29" s="68" t="str">
        <f t="shared" ca="1" si="218"/>
        <v/>
      </c>
      <c r="HV29" s="68" t="str">
        <f t="shared" ca="1" si="218"/>
        <v/>
      </c>
      <c r="HW29" s="68" t="str">
        <f t="shared" ca="1" si="218"/>
        <v/>
      </c>
      <c r="HX29" s="68" t="str">
        <f t="shared" ca="1" si="218"/>
        <v/>
      </c>
      <c r="HY29" s="68" t="str">
        <f t="shared" ca="1" si="218"/>
        <v/>
      </c>
      <c r="HZ29" s="68" t="str">
        <f t="shared" ca="1" si="218"/>
        <v/>
      </c>
      <c r="IA29" s="68" t="str">
        <f t="shared" ca="1" si="218"/>
        <v/>
      </c>
      <c r="IB29" s="68" t="str">
        <f t="shared" ca="1" si="218"/>
        <v/>
      </c>
      <c r="IC29" s="68" t="str">
        <f t="shared" ca="1" si="218"/>
        <v/>
      </c>
      <c r="ID29" s="68" t="str">
        <f t="shared" ca="1" si="218"/>
        <v/>
      </c>
      <c r="IE29" s="68" t="str">
        <f t="shared" ca="1" si="218"/>
        <v/>
      </c>
      <c r="IF29" s="68" t="str">
        <f t="shared" ca="1" si="218"/>
        <v/>
      </c>
      <c r="IG29" s="68" t="str">
        <f t="shared" ca="1" si="218"/>
        <v/>
      </c>
      <c r="IH29" s="68" t="str">
        <f t="shared" ca="1" si="218"/>
        <v/>
      </c>
      <c r="II29" s="68" t="str">
        <f t="shared" ca="1" si="218"/>
        <v/>
      </c>
      <c r="IJ29" s="68" t="str">
        <f t="shared" ca="1" si="218"/>
        <v/>
      </c>
      <c r="IK29" s="68" t="str">
        <f t="shared" ca="1" si="218"/>
        <v/>
      </c>
      <c r="IL29" s="68" t="str">
        <f t="shared" ca="1" si="218"/>
        <v/>
      </c>
      <c r="IM29" s="68" t="str">
        <f t="shared" ca="1" si="218"/>
        <v/>
      </c>
      <c r="IN29" s="68" t="str">
        <f t="shared" ca="1" si="218"/>
        <v/>
      </c>
      <c r="IO29" s="68" t="str">
        <f t="shared" ca="1" si="218"/>
        <v/>
      </c>
      <c r="IP29" s="68" t="str">
        <f t="shared" ca="1" si="218"/>
        <v/>
      </c>
      <c r="IQ29" s="68" t="str">
        <f t="shared" ca="1" si="218"/>
        <v/>
      </c>
      <c r="IR29" s="68" t="str">
        <f t="shared" ca="1" si="218"/>
        <v/>
      </c>
      <c r="IS29" s="68" t="str">
        <f t="shared" ca="1" si="218"/>
        <v/>
      </c>
      <c r="IT29" s="68" t="str">
        <f t="shared" ca="1" si="218"/>
        <v/>
      </c>
      <c r="IU29" s="68" t="str">
        <f t="shared" ca="1" si="218"/>
        <v/>
      </c>
      <c r="IV29" s="68" t="str">
        <f t="shared" ca="1" si="218"/>
        <v/>
      </c>
      <c r="IW29" s="68" t="str">
        <f t="shared" ca="1" si="218"/>
        <v/>
      </c>
      <c r="IX29" s="68" t="str">
        <f t="shared" ca="1" si="218"/>
        <v/>
      </c>
      <c r="IY29" s="68" t="str">
        <f t="shared" ca="1" si="218"/>
        <v/>
      </c>
      <c r="IZ29" s="68" t="str">
        <f t="shared" ca="1" si="218"/>
        <v/>
      </c>
      <c r="JA29" s="68" t="str">
        <f t="shared" ca="1" si="218"/>
        <v/>
      </c>
      <c r="JB29" s="68" t="str">
        <f t="shared" ca="1" si="218"/>
        <v/>
      </c>
      <c r="JC29" s="68" t="str">
        <f t="shared" ca="1" si="218"/>
        <v/>
      </c>
      <c r="JD29" s="68" t="str">
        <f t="shared" ca="1" si="218"/>
        <v/>
      </c>
      <c r="JE29" s="68" t="str">
        <f t="shared" ca="1" si="218"/>
        <v/>
      </c>
      <c r="JF29" s="68" t="str">
        <f t="shared" ca="1" si="218"/>
        <v/>
      </c>
      <c r="JG29" s="68" t="str">
        <f t="shared" ca="1" si="218"/>
        <v/>
      </c>
      <c r="JH29" s="68" t="str">
        <f t="shared" ca="1" si="218"/>
        <v/>
      </c>
      <c r="JI29" s="68" t="str">
        <f t="shared" ca="1" si="218"/>
        <v/>
      </c>
      <c r="JJ29" s="68" t="str">
        <f t="shared" ca="1" si="218"/>
        <v/>
      </c>
      <c r="JK29" s="68" t="str">
        <f t="shared" ca="1" si="218"/>
        <v/>
      </c>
      <c r="JL29" s="68" t="str">
        <f t="shared" ca="1" si="218"/>
        <v/>
      </c>
      <c r="JM29" s="68" t="str">
        <f t="shared" ca="1" si="218"/>
        <v/>
      </c>
      <c r="JN29" s="68" t="str">
        <f t="shared" ca="1" si="218"/>
        <v/>
      </c>
      <c r="JO29" s="68" t="str">
        <f t="shared" ca="1" si="218"/>
        <v/>
      </c>
      <c r="JP29" s="68" t="str">
        <f t="shared" ca="1" si="218"/>
        <v/>
      </c>
      <c r="JQ29" s="68" t="str">
        <f t="shared" ca="1" si="218"/>
        <v/>
      </c>
      <c r="JR29" s="68" t="str">
        <f t="shared" ref="JR29:JZ29" ca="1" si="219">IF(JR3&gt;$J$5,"",JQ29+JR27-JR28)</f>
        <v/>
      </c>
      <c r="JS29" s="68" t="str">
        <f t="shared" ca="1" si="219"/>
        <v/>
      </c>
      <c r="JT29" s="68" t="str">
        <f t="shared" ca="1" si="219"/>
        <v/>
      </c>
      <c r="JU29" s="68" t="str">
        <f t="shared" ca="1" si="219"/>
        <v/>
      </c>
      <c r="JV29" s="68" t="str">
        <f t="shared" ca="1" si="219"/>
        <v/>
      </c>
      <c r="JW29" s="68" t="str">
        <f t="shared" ca="1" si="219"/>
        <v/>
      </c>
      <c r="JX29" s="68" t="str">
        <f t="shared" ca="1" si="219"/>
        <v/>
      </c>
      <c r="JY29" s="68" t="str">
        <f t="shared" ca="1" si="219"/>
        <v/>
      </c>
      <c r="JZ29" s="100" t="str">
        <f t="shared" ca="1" si="219"/>
        <v/>
      </c>
      <c r="KA29" s="17"/>
      <c r="KB29" s="219" t="s">
        <v>72</v>
      </c>
      <c r="KC29" s="222">
        <f ca="1">KF28</f>
        <v>548</v>
      </c>
      <c r="KD29" s="223">
        <f>SUM(AU28:BN28)</f>
        <v>0</v>
      </c>
      <c r="KE29" s="223">
        <f>SUM(AU30:BN30)</f>
        <v>47</v>
      </c>
      <c r="KF29" s="222">
        <f t="shared" ref="KF29:KF31" ca="1" si="220">KC29+KD29-KE29</f>
        <v>501</v>
      </c>
      <c r="KG29" s="223">
        <f t="shared" ca="1" si="211"/>
        <v>548</v>
      </c>
      <c r="KH29" s="223">
        <f t="shared" ref="KH29:KH31" ca="1" si="221">KF29</f>
        <v>501</v>
      </c>
      <c r="KI29" s="222" t="str">
        <f t="shared" si="179"/>
        <v>/2</v>
      </c>
      <c r="KJ29" s="223">
        <f t="shared" ref="KJ29:KJ31" ca="1" si="222">(KC29+KF29)/2</f>
        <v>524.5</v>
      </c>
      <c r="KK29" s="223">
        <f t="shared" ref="KK29:KK31" ca="1" si="223">KF29/(KE29/KM29)</f>
        <v>266.48936170212767</v>
      </c>
      <c r="KL29" s="222">
        <f t="shared" ref="KL29:KL31" ca="1" si="224">365/KK29</f>
        <v>1.3696606786427146</v>
      </c>
      <c r="KM29" s="223">
        <v>25</v>
      </c>
      <c r="KN29" s="219" t="s">
        <v>76</v>
      </c>
      <c r="KO29" s="222">
        <f ca="1">KR28</f>
        <v>413</v>
      </c>
      <c r="KP29" s="223">
        <f>SUM(EB28:EU28)</f>
        <v>0</v>
      </c>
      <c r="KQ29" s="223">
        <f>SUM(EB30:EV30)</f>
        <v>47</v>
      </c>
      <c r="KR29" s="222">
        <f t="shared" ref="KR29:KR31" ca="1" si="225">KO29+KP29-KQ29</f>
        <v>366</v>
      </c>
      <c r="KS29" s="223">
        <f t="shared" ca="1" si="212"/>
        <v>413</v>
      </c>
      <c r="KT29" s="223">
        <f t="shared" ref="KT29:KT31" ca="1" si="226">KR29</f>
        <v>366</v>
      </c>
      <c r="KU29" s="222" t="str">
        <f t="shared" si="181"/>
        <v>/2</v>
      </c>
      <c r="KV29" s="223">
        <f t="shared" ref="KV29:KV31" ca="1" si="227">(KO29+KR29)/2</f>
        <v>389.5</v>
      </c>
      <c r="KW29" s="223">
        <f t="shared" ref="KW29:KW31" ca="1" si="228">KR29/(KQ29/KY29)</f>
        <v>194.68085106382981</v>
      </c>
      <c r="KX29" s="222">
        <f t="shared" ref="KX29:KX31" ca="1" si="229">365/KW29</f>
        <v>1.874863387978142</v>
      </c>
      <c r="KY29" s="223">
        <v>25</v>
      </c>
      <c r="KZ29" s="219" t="s">
        <v>80</v>
      </c>
      <c r="LA29" s="222">
        <f ca="1">LD28</f>
        <v>268</v>
      </c>
      <c r="LB29" s="223">
        <f>SUM('[12]Progr1 (3)'!MT35:NM35)</f>
        <v>0</v>
      </c>
      <c r="LC29" s="223">
        <f>SUM('[12]Progr1 (3)'!MT37:NM37)</f>
        <v>0</v>
      </c>
      <c r="LD29" s="222">
        <f t="shared" ref="LD29:LD31" ca="1" si="230">LA29+LB29-LC29</f>
        <v>268</v>
      </c>
      <c r="LE29" s="223">
        <f t="shared" ca="1" si="213"/>
        <v>268</v>
      </c>
      <c r="LF29" s="223">
        <f t="shared" ref="LF29:LF31" ca="1" si="231">LD29</f>
        <v>268</v>
      </c>
      <c r="LG29" s="222" t="str">
        <f t="shared" si="183"/>
        <v>/2</v>
      </c>
      <c r="LH29" s="223">
        <f t="shared" ref="LH29:LH31" ca="1" si="232">(LA29+LD29)/2</f>
        <v>268</v>
      </c>
      <c r="LI29" s="223" t="e">
        <f t="shared" ref="LI29:LI31" ca="1" si="233">LD29/(LC29/LK29)</f>
        <v>#DIV/0!</v>
      </c>
      <c r="LJ29" s="222" t="e">
        <f t="shared" ref="LJ29:LJ31" ca="1" si="234">365/LI29</f>
        <v>#DIV/0!</v>
      </c>
      <c r="LK29" s="223">
        <v>25</v>
      </c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</row>
    <row r="30" spans="1:669" ht="16.5" thickTop="1" thickBot="1" x14ac:dyDescent="0.3">
      <c r="A30" s="156" t="str">
        <f>B27</f>
        <v>GUITARRA</v>
      </c>
      <c r="B30" s="232"/>
      <c r="C30" s="81" t="str">
        <f t="shared" si="214"/>
        <v>GOLDEN</v>
      </c>
      <c r="D30" s="229"/>
      <c r="E30" s="173" t="s">
        <v>40</v>
      </c>
      <c r="F30" s="182">
        <f>(H30*H27)*SQRT(H28/H29)</f>
        <v>3.6111713140918646</v>
      </c>
      <c r="G30" s="176" t="s">
        <v>45</v>
      </c>
      <c r="H30" s="171">
        <v>0.95</v>
      </c>
      <c r="I30" s="242" t="s">
        <v>18</v>
      </c>
      <c r="J30" s="83" t="e">
        <f t="shared" si="185"/>
        <v>#REF!</v>
      </c>
      <c r="K30" s="293"/>
      <c r="L30" s="60"/>
      <c r="M30" s="61"/>
      <c r="N30" s="61"/>
      <c r="O30" s="61"/>
      <c r="P30" s="61"/>
      <c r="Q30" s="61"/>
      <c r="R30" s="61"/>
      <c r="S30" s="61"/>
      <c r="T30" s="61"/>
      <c r="U30" s="61"/>
      <c r="V30" s="70"/>
      <c r="W30" s="70">
        <v>0</v>
      </c>
      <c r="X30" s="70"/>
      <c r="Y30" s="70">
        <v>5</v>
      </c>
      <c r="Z30" s="70"/>
      <c r="AA30" s="70">
        <v>9</v>
      </c>
      <c r="AB30" s="70"/>
      <c r="AC30" s="70"/>
      <c r="AD30" s="70">
        <v>1</v>
      </c>
      <c r="AE30" s="70"/>
      <c r="AF30" s="70">
        <v>15</v>
      </c>
      <c r="AG30" s="70"/>
      <c r="AH30" s="70"/>
      <c r="AI30" s="70">
        <v>1</v>
      </c>
      <c r="AJ30" s="70"/>
      <c r="AK30" s="70">
        <v>9</v>
      </c>
      <c r="AL30" s="70"/>
      <c r="AM30" s="70"/>
      <c r="AN30" s="70">
        <v>11</v>
      </c>
      <c r="AO30" s="70"/>
      <c r="AP30" s="70"/>
      <c r="AQ30" s="70">
        <v>1</v>
      </c>
      <c r="AR30" s="70"/>
      <c r="AS30" s="70">
        <v>0</v>
      </c>
      <c r="AT30" s="70">
        <v>0</v>
      </c>
      <c r="AU30" s="70">
        <v>0</v>
      </c>
      <c r="AV30" s="70">
        <v>0</v>
      </c>
      <c r="AW30" s="70">
        <v>8</v>
      </c>
      <c r="AX30" s="70">
        <v>0</v>
      </c>
      <c r="AY30" s="70">
        <v>3</v>
      </c>
      <c r="AZ30" s="70">
        <v>0</v>
      </c>
      <c r="BA30" s="70">
        <v>0</v>
      </c>
      <c r="BB30" s="70">
        <v>0</v>
      </c>
      <c r="BC30" s="70">
        <v>5</v>
      </c>
      <c r="BD30" s="70"/>
      <c r="BE30" s="70">
        <v>5</v>
      </c>
      <c r="BF30" s="70"/>
      <c r="BG30" s="70">
        <v>1</v>
      </c>
      <c r="BH30" s="70"/>
      <c r="BI30" s="70">
        <v>3</v>
      </c>
      <c r="BJ30" s="70">
        <v>1</v>
      </c>
      <c r="BK30" s="70"/>
      <c r="BL30" s="70">
        <v>9</v>
      </c>
      <c r="BM30" s="70"/>
      <c r="BN30" s="70">
        <v>12</v>
      </c>
      <c r="BO30" s="70"/>
      <c r="BP30" s="70"/>
      <c r="BQ30" s="70">
        <v>16</v>
      </c>
      <c r="BR30" s="70"/>
      <c r="BS30" s="70">
        <v>1</v>
      </c>
      <c r="BT30" s="70">
        <v>12</v>
      </c>
      <c r="BU30" s="70"/>
      <c r="BV30" s="70">
        <v>1</v>
      </c>
      <c r="BW30" s="70"/>
      <c r="BX30" s="70"/>
      <c r="BY30" s="70">
        <v>2</v>
      </c>
      <c r="BZ30" s="70"/>
      <c r="CA30" s="70">
        <v>3</v>
      </c>
      <c r="CB30" s="70"/>
      <c r="CC30" s="70">
        <v>5</v>
      </c>
      <c r="CD30" s="70">
        <v>1</v>
      </c>
      <c r="CE30" s="70"/>
      <c r="CF30" s="70">
        <v>5</v>
      </c>
      <c r="CG30" s="70"/>
      <c r="CH30" s="70">
        <v>1</v>
      </c>
      <c r="CI30" s="70">
        <v>13</v>
      </c>
      <c r="CJ30" s="70"/>
      <c r="CK30" s="70">
        <v>2</v>
      </c>
      <c r="CL30" s="70"/>
      <c r="CM30" s="70">
        <v>5</v>
      </c>
      <c r="CN30" s="70">
        <v>2</v>
      </c>
      <c r="CO30" s="70"/>
      <c r="CP30" s="70">
        <v>13</v>
      </c>
      <c r="CQ30" s="70"/>
      <c r="CR30" s="70">
        <v>1</v>
      </c>
      <c r="CS30" s="70"/>
      <c r="CT30" s="70">
        <v>2</v>
      </c>
      <c r="CU30" s="70"/>
      <c r="CV30" s="70">
        <v>0</v>
      </c>
      <c r="CW30" s="70"/>
      <c r="CX30" s="70">
        <v>0</v>
      </c>
      <c r="CY30" s="70">
        <v>0</v>
      </c>
      <c r="CZ30" s="70">
        <v>9</v>
      </c>
      <c r="DA30" s="70"/>
      <c r="DB30" s="70">
        <v>0</v>
      </c>
      <c r="DC30" s="70">
        <v>0</v>
      </c>
      <c r="DD30" s="70">
        <v>0</v>
      </c>
      <c r="DE30" s="70">
        <v>0</v>
      </c>
      <c r="DF30" s="70">
        <v>0</v>
      </c>
      <c r="DG30" s="70">
        <v>0</v>
      </c>
      <c r="DH30" s="70">
        <v>2</v>
      </c>
      <c r="DI30" s="70"/>
      <c r="DJ30" s="70">
        <v>3</v>
      </c>
      <c r="DK30" s="70"/>
      <c r="DL30" s="70">
        <v>9</v>
      </c>
      <c r="DM30" s="70">
        <v>3</v>
      </c>
      <c r="DN30" s="70">
        <v>6</v>
      </c>
      <c r="DO30" s="70">
        <v>8</v>
      </c>
      <c r="DP30" s="70">
        <v>0</v>
      </c>
      <c r="DQ30" s="70">
        <v>0</v>
      </c>
      <c r="DR30" s="70">
        <v>3</v>
      </c>
      <c r="DS30" s="70"/>
      <c r="DT30" s="70">
        <v>3</v>
      </c>
      <c r="DU30" s="70"/>
      <c r="DV30" s="70">
        <v>3</v>
      </c>
      <c r="DW30" s="70">
        <v>3</v>
      </c>
      <c r="DX30" s="70"/>
      <c r="DY30" s="70">
        <v>5</v>
      </c>
      <c r="DZ30" s="70">
        <v>6</v>
      </c>
      <c r="EA30" s="70"/>
      <c r="EB30" s="70">
        <v>5</v>
      </c>
      <c r="EC30" s="70"/>
      <c r="ED30" s="70">
        <v>9</v>
      </c>
      <c r="EE30" s="70"/>
      <c r="EF30" s="70">
        <v>12</v>
      </c>
      <c r="EG30" s="70">
        <v>0</v>
      </c>
      <c r="EH30" s="70">
        <v>0</v>
      </c>
      <c r="EI30" s="70">
        <v>0</v>
      </c>
      <c r="EJ30" s="70">
        <v>0</v>
      </c>
      <c r="EK30" s="70">
        <v>0</v>
      </c>
      <c r="EL30" s="70">
        <v>0</v>
      </c>
      <c r="EM30" s="70">
        <v>9</v>
      </c>
      <c r="EN30" s="70">
        <v>3</v>
      </c>
      <c r="EO30" s="70">
        <v>0</v>
      </c>
      <c r="EP30" s="70">
        <v>1</v>
      </c>
      <c r="EQ30" s="70">
        <v>0</v>
      </c>
      <c r="ER30" s="70">
        <v>5</v>
      </c>
      <c r="ES30" s="70">
        <v>0</v>
      </c>
      <c r="ET30" s="70">
        <v>0</v>
      </c>
      <c r="EU30" s="70">
        <v>3</v>
      </c>
      <c r="EV30" s="70"/>
      <c r="EW30" s="70">
        <v>1</v>
      </c>
      <c r="EX30" s="70">
        <v>0</v>
      </c>
      <c r="EY30" s="70">
        <v>1</v>
      </c>
      <c r="EZ30" s="70">
        <v>1</v>
      </c>
      <c r="FA30" s="70">
        <v>2</v>
      </c>
      <c r="FB30" s="70">
        <v>0</v>
      </c>
      <c r="FC30" s="70">
        <v>5</v>
      </c>
      <c r="FD30" s="70">
        <v>0</v>
      </c>
      <c r="FE30" s="70">
        <v>0</v>
      </c>
      <c r="FF30" s="70">
        <v>0</v>
      </c>
      <c r="FG30" s="70">
        <v>5</v>
      </c>
      <c r="FH30" s="70">
        <v>0</v>
      </c>
      <c r="FI30" s="70">
        <v>3</v>
      </c>
      <c r="FJ30" s="70">
        <v>0</v>
      </c>
      <c r="FK30" s="70">
        <v>9</v>
      </c>
      <c r="FL30" s="70">
        <v>0</v>
      </c>
      <c r="FM30" s="70">
        <v>5</v>
      </c>
      <c r="FN30" s="70">
        <v>0</v>
      </c>
      <c r="FO30" s="70">
        <v>1</v>
      </c>
      <c r="FP30" s="70">
        <v>2</v>
      </c>
      <c r="FQ30" s="70">
        <v>0</v>
      </c>
      <c r="FR30" s="70">
        <v>0</v>
      </c>
      <c r="FS30" s="70">
        <v>5</v>
      </c>
      <c r="FT30" s="70">
        <v>0</v>
      </c>
      <c r="FU30" s="70">
        <v>3</v>
      </c>
      <c r="FV30" s="70">
        <v>3</v>
      </c>
      <c r="FW30" s="70">
        <v>5</v>
      </c>
      <c r="FX30" s="70">
        <v>0</v>
      </c>
      <c r="FY30" s="70">
        <v>0</v>
      </c>
      <c r="FZ30" s="70">
        <v>1</v>
      </c>
      <c r="GA30" s="70">
        <v>0</v>
      </c>
      <c r="GB30" s="70">
        <v>0</v>
      </c>
      <c r="GC30" s="70">
        <v>8</v>
      </c>
      <c r="GD30" s="70">
        <v>0</v>
      </c>
      <c r="GE30" s="70">
        <v>0</v>
      </c>
      <c r="GF30" s="70">
        <v>3</v>
      </c>
      <c r="GG30" s="70">
        <v>0</v>
      </c>
      <c r="GH30" s="70">
        <v>5</v>
      </c>
      <c r="GI30" s="70">
        <v>0</v>
      </c>
      <c r="GJ30" s="70">
        <v>7</v>
      </c>
      <c r="GK30" s="70">
        <v>1</v>
      </c>
      <c r="GL30" s="70">
        <v>10</v>
      </c>
      <c r="GM30" s="70">
        <v>5</v>
      </c>
      <c r="GN30" s="70">
        <v>0</v>
      </c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  <c r="IT30" s="70"/>
      <c r="IU30" s="70"/>
      <c r="IV30" s="70"/>
      <c r="IW30" s="70"/>
      <c r="IX30" s="70"/>
      <c r="IY30" s="70"/>
      <c r="IZ30" s="70"/>
      <c r="JA30" s="70"/>
      <c r="JB30" s="70"/>
      <c r="JC30" s="70"/>
      <c r="JD30" s="70"/>
      <c r="JE30" s="70"/>
      <c r="JF30" s="70"/>
      <c r="JG30" s="70"/>
      <c r="JH30" s="70"/>
      <c r="JI30" s="70"/>
      <c r="JJ30" s="70"/>
      <c r="JK30" s="70"/>
      <c r="JL30" s="70"/>
      <c r="JM30" s="70"/>
      <c r="JN30" s="70"/>
      <c r="JO30" s="70"/>
      <c r="JP30" s="70"/>
      <c r="JQ30" s="70"/>
      <c r="JR30" s="70"/>
      <c r="JS30" s="70"/>
      <c r="JT30" s="70"/>
      <c r="JU30" s="70"/>
      <c r="JV30" s="70"/>
      <c r="JW30" s="70"/>
      <c r="JX30" s="70"/>
      <c r="JY30" s="70"/>
      <c r="JZ30" s="99"/>
      <c r="KA30" s="17"/>
      <c r="KB30" s="219" t="s">
        <v>73</v>
      </c>
      <c r="KC30" s="224">
        <f ca="1">KF29</f>
        <v>501</v>
      </c>
      <c r="KD30" s="225">
        <f>SUM(BO28:CI28)</f>
        <v>50</v>
      </c>
      <c r="KE30" s="225">
        <f>SUM(BO30:CI30)</f>
        <v>60</v>
      </c>
      <c r="KF30" s="224">
        <f t="shared" ca="1" si="220"/>
        <v>491</v>
      </c>
      <c r="KG30" s="225">
        <f t="shared" ca="1" si="211"/>
        <v>501</v>
      </c>
      <c r="KH30" s="225">
        <f t="shared" ca="1" si="221"/>
        <v>491</v>
      </c>
      <c r="KI30" s="224" t="str">
        <f t="shared" si="179"/>
        <v>/2</v>
      </c>
      <c r="KJ30" s="225">
        <f t="shared" ca="1" si="222"/>
        <v>496</v>
      </c>
      <c r="KK30" s="225">
        <f t="shared" ca="1" si="223"/>
        <v>204.58333333333334</v>
      </c>
      <c r="KL30" s="224">
        <f t="shared" ca="1" si="224"/>
        <v>1.7841140529531567</v>
      </c>
      <c r="KM30" s="225">
        <v>25</v>
      </c>
      <c r="KN30" s="219" t="s">
        <v>77</v>
      </c>
      <c r="KO30" s="224">
        <f ca="1">KR29</f>
        <v>366</v>
      </c>
      <c r="KP30" s="225">
        <f>SUM(EW28:FS28)</f>
        <v>0</v>
      </c>
      <c r="KQ30" s="225">
        <f>SUM(EB30:EV30)</f>
        <v>47</v>
      </c>
      <c r="KR30" s="224">
        <f t="shared" ca="1" si="225"/>
        <v>319</v>
      </c>
      <c r="KS30" s="225">
        <f t="shared" ca="1" si="212"/>
        <v>366</v>
      </c>
      <c r="KT30" s="225">
        <f t="shared" ca="1" si="226"/>
        <v>319</v>
      </c>
      <c r="KU30" s="224" t="str">
        <f t="shared" si="181"/>
        <v>/2</v>
      </c>
      <c r="KV30" s="225">
        <f t="shared" ca="1" si="227"/>
        <v>342.5</v>
      </c>
      <c r="KW30" s="225">
        <f t="shared" ca="1" si="228"/>
        <v>169.68085106382981</v>
      </c>
      <c r="KX30" s="224">
        <f t="shared" ca="1" si="229"/>
        <v>2.1510971786833855</v>
      </c>
      <c r="KY30" s="225">
        <v>25</v>
      </c>
      <c r="KZ30" s="219" t="s">
        <v>81</v>
      </c>
      <c r="LA30" s="224">
        <f ca="1">LD29</f>
        <v>268</v>
      </c>
      <c r="LB30" s="225">
        <f>SUM('[12]Progr1 (3)'!NN35:OH35)</f>
        <v>0</v>
      </c>
      <c r="LC30" s="225">
        <f>SUM('[12]Progr1 (3)'!NN37:OH37)</f>
        <v>0</v>
      </c>
      <c r="LD30" s="224">
        <f t="shared" ca="1" si="230"/>
        <v>268</v>
      </c>
      <c r="LE30" s="225">
        <f t="shared" ca="1" si="213"/>
        <v>268</v>
      </c>
      <c r="LF30" s="225">
        <f t="shared" ca="1" si="231"/>
        <v>268</v>
      </c>
      <c r="LG30" s="224" t="str">
        <f t="shared" si="183"/>
        <v>/2</v>
      </c>
      <c r="LH30" s="225">
        <f t="shared" ca="1" si="232"/>
        <v>268</v>
      </c>
      <c r="LI30" s="225" t="e">
        <f t="shared" ca="1" si="233"/>
        <v>#DIV/0!</v>
      </c>
      <c r="LJ30" s="224" t="e">
        <f t="shared" ca="1" si="234"/>
        <v>#DIV/0!</v>
      </c>
      <c r="LK30" s="225">
        <v>25</v>
      </c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</row>
    <row r="31" spans="1:669" ht="15.75" thickBot="1" x14ac:dyDescent="0.3">
      <c r="A31" s="157" t="str">
        <f>B27</f>
        <v>GUITARRA</v>
      </c>
      <c r="B31" s="233"/>
      <c r="C31" s="158" t="str">
        <f t="shared" si="214"/>
        <v>GOLDEN</v>
      </c>
      <c r="D31" s="230"/>
      <c r="E31" s="177" t="s">
        <v>46</v>
      </c>
      <c r="F31" s="183"/>
      <c r="G31" s="178" t="s">
        <v>43</v>
      </c>
      <c r="H31" s="179">
        <v>1.645</v>
      </c>
      <c r="I31" s="243" t="s">
        <v>19</v>
      </c>
      <c r="J31" s="159" t="e">
        <f t="shared" si="185"/>
        <v>#REF!</v>
      </c>
      <c r="K31" s="294"/>
      <c r="L31" s="102"/>
      <c r="M31" s="103"/>
      <c r="N31" s="103"/>
      <c r="O31" s="103"/>
      <c r="P31" s="103"/>
      <c r="Q31" s="103"/>
      <c r="R31" s="103"/>
      <c r="S31" s="103"/>
      <c r="T31" s="103"/>
      <c r="U31" s="103"/>
      <c r="V31" s="104">
        <f t="shared" ref="V31:CG31" ca="1" si="235">IF(V3&gt;$J$5,"",U31+V28-V30)</f>
        <v>0</v>
      </c>
      <c r="W31" s="104">
        <f t="shared" ca="1" si="235"/>
        <v>0</v>
      </c>
      <c r="X31" s="104">
        <f t="shared" ca="1" si="235"/>
        <v>600</v>
      </c>
      <c r="Y31" s="104">
        <f t="shared" ca="1" si="235"/>
        <v>595</v>
      </c>
      <c r="Z31" s="104">
        <f t="shared" ca="1" si="235"/>
        <v>595</v>
      </c>
      <c r="AA31" s="104">
        <f t="shared" ca="1" si="235"/>
        <v>586</v>
      </c>
      <c r="AB31" s="104">
        <f t="shared" ca="1" si="235"/>
        <v>586</v>
      </c>
      <c r="AC31" s="104">
        <f t="shared" ca="1" si="235"/>
        <v>586</v>
      </c>
      <c r="AD31" s="104">
        <f t="shared" ca="1" si="235"/>
        <v>585</v>
      </c>
      <c r="AE31" s="104">
        <f t="shared" ca="1" si="235"/>
        <v>585</v>
      </c>
      <c r="AF31" s="104">
        <f t="shared" ca="1" si="235"/>
        <v>570</v>
      </c>
      <c r="AG31" s="104">
        <f t="shared" ca="1" si="235"/>
        <v>570</v>
      </c>
      <c r="AH31" s="104">
        <f t="shared" ca="1" si="235"/>
        <v>570</v>
      </c>
      <c r="AI31" s="104">
        <f t="shared" ca="1" si="235"/>
        <v>569</v>
      </c>
      <c r="AJ31" s="104">
        <f t="shared" ca="1" si="235"/>
        <v>569</v>
      </c>
      <c r="AK31" s="104">
        <f t="shared" ca="1" si="235"/>
        <v>560</v>
      </c>
      <c r="AL31" s="104">
        <f t="shared" ca="1" si="235"/>
        <v>560</v>
      </c>
      <c r="AM31" s="104">
        <f t="shared" ca="1" si="235"/>
        <v>560</v>
      </c>
      <c r="AN31" s="104">
        <f t="shared" ca="1" si="235"/>
        <v>549</v>
      </c>
      <c r="AO31" s="104">
        <f t="shared" ca="1" si="235"/>
        <v>549</v>
      </c>
      <c r="AP31" s="104">
        <f t="shared" ca="1" si="235"/>
        <v>549</v>
      </c>
      <c r="AQ31" s="104">
        <f t="shared" ca="1" si="235"/>
        <v>548</v>
      </c>
      <c r="AR31" s="104">
        <f t="shared" ca="1" si="235"/>
        <v>548</v>
      </c>
      <c r="AS31" s="104">
        <f t="shared" ca="1" si="235"/>
        <v>548</v>
      </c>
      <c r="AT31" s="104">
        <f t="shared" ca="1" si="235"/>
        <v>548</v>
      </c>
      <c r="AU31" s="104">
        <f t="shared" ca="1" si="235"/>
        <v>548</v>
      </c>
      <c r="AV31" s="104">
        <f t="shared" ca="1" si="235"/>
        <v>548</v>
      </c>
      <c r="AW31" s="104">
        <f t="shared" ca="1" si="235"/>
        <v>540</v>
      </c>
      <c r="AX31" s="104">
        <f t="shared" ca="1" si="235"/>
        <v>540</v>
      </c>
      <c r="AY31" s="104">
        <f t="shared" ca="1" si="235"/>
        <v>537</v>
      </c>
      <c r="AZ31" s="104">
        <f t="shared" ca="1" si="235"/>
        <v>537</v>
      </c>
      <c r="BA31" s="104">
        <f t="shared" ca="1" si="235"/>
        <v>537</v>
      </c>
      <c r="BB31" s="104">
        <f t="shared" ca="1" si="235"/>
        <v>537</v>
      </c>
      <c r="BC31" s="104">
        <f t="shared" ca="1" si="235"/>
        <v>532</v>
      </c>
      <c r="BD31" s="104">
        <f t="shared" ca="1" si="235"/>
        <v>532</v>
      </c>
      <c r="BE31" s="104">
        <f t="shared" ca="1" si="235"/>
        <v>527</v>
      </c>
      <c r="BF31" s="104">
        <f t="shared" ca="1" si="235"/>
        <v>527</v>
      </c>
      <c r="BG31" s="104">
        <f t="shared" ca="1" si="235"/>
        <v>526</v>
      </c>
      <c r="BH31" s="104">
        <f t="shared" ca="1" si="235"/>
        <v>526</v>
      </c>
      <c r="BI31" s="104">
        <f t="shared" ca="1" si="235"/>
        <v>523</v>
      </c>
      <c r="BJ31" s="104">
        <f t="shared" ca="1" si="235"/>
        <v>522</v>
      </c>
      <c r="BK31" s="104">
        <f t="shared" ca="1" si="235"/>
        <v>522</v>
      </c>
      <c r="BL31" s="104">
        <f t="shared" ca="1" si="235"/>
        <v>513</v>
      </c>
      <c r="BM31" s="104">
        <f t="shared" ca="1" si="235"/>
        <v>513</v>
      </c>
      <c r="BN31" s="104">
        <f t="shared" ca="1" si="235"/>
        <v>501</v>
      </c>
      <c r="BO31" s="104">
        <f t="shared" ca="1" si="235"/>
        <v>501</v>
      </c>
      <c r="BP31" s="104">
        <f t="shared" ca="1" si="235"/>
        <v>551</v>
      </c>
      <c r="BQ31" s="104">
        <f t="shared" ca="1" si="235"/>
        <v>535</v>
      </c>
      <c r="BR31" s="104">
        <f t="shared" ca="1" si="235"/>
        <v>535</v>
      </c>
      <c r="BS31" s="104">
        <f t="shared" ca="1" si="235"/>
        <v>534</v>
      </c>
      <c r="BT31" s="104">
        <f t="shared" ca="1" si="235"/>
        <v>522</v>
      </c>
      <c r="BU31" s="104">
        <f t="shared" ca="1" si="235"/>
        <v>522</v>
      </c>
      <c r="BV31" s="104">
        <f t="shared" ca="1" si="235"/>
        <v>521</v>
      </c>
      <c r="BW31" s="104">
        <f t="shared" ca="1" si="235"/>
        <v>521</v>
      </c>
      <c r="BX31" s="104">
        <f t="shared" ca="1" si="235"/>
        <v>521</v>
      </c>
      <c r="BY31" s="104">
        <f t="shared" ca="1" si="235"/>
        <v>519</v>
      </c>
      <c r="BZ31" s="104">
        <f t="shared" ca="1" si="235"/>
        <v>519</v>
      </c>
      <c r="CA31" s="104">
        <f t="shared" ca="1" si="235"/>
        <v>516</v>
      </c>
      <c r="CB31" s="104">
        <f t="shared" ca="1" si="235"/>
        <v>516</v>
      </c>
      <c r="CC31" s="104">
        <f t="shared" ca="1" si="235"/>
        <v>511</v>
      </c>
      <c r="CD31" s="104">
        <f t="shared" ca="1" si="235"/>
        <v>510</v>
      </c>
      <c r="CE31" s="104">
        <f t="shared" ca="1" si="235"/>
        <v>510</v>
      </c>
      <c r="CF31" s="104">
        <f t="shared" ca="1" si="235"/>
        <v>505</v>
      </c>
      <c r="CG31" s="104">
        <f t="shared" ca="1" si="235"/>
        <v>505</v>
      </c>
      <c r="CH31" s="104">
        <f t="shared" ref="CH31:ES31" ca="1" si="236">IF(CH3&gt;$J$5,"",CG31+CH28-CH30)</f>
        <v>504</v>
      </c>
      <c r="CI31" s="104">
        <f t="shared" ca="1" si="236"/>
        <v>491</v>
      </c>
      <c r="CJ31" s="104">
        <f t="shared" ca="1" si="236"/>
        <v>491</v>
      </c>
      <c r="CK31" s="104">
        <f t="shared" ca="1" si="236"/>
        <v>489</v>
      </c>
      <c r="CL31" s="104">
        <f t="shared" ca="1" si="236"/>
        <v>489</v>
      </c>
      <c r="CM31" s="104">
        <f t="shared" ca="1" si="236"/>
        <v>484</v>
      </c>
      <c r="CN31" s="104">
        <f t="shared" ca="1" si="236"/>
        <v>482</v>
      </c>
      <c r="CO31" s="104">
        <f t="shared" ca="1" si="236"/>
        <v>482</v>
      </c>
      <c r="CP31" s="104">
        <f t="shared" ca="1" si="236"/>
        <v>469</v>
      </c>
      <c r="CQ31" s="104">
        <f t="shared" ca="1" si="236"/>
        <v>469</v>
      </c>
      <c r="CR31" s="104">
        <f t="shared" ca="1" si="236"/>
        <v>468</v>
      </c>
      <c r="CS31" s="104">
        <f t="shared" ca="1" si="236"/>
        <v>468</v>
      </c>
      <c r="CT31" s="104">
        <f t="shared" ca="1" si="236"/>
        <v>466</v>
      </c>
      <c r="CU31" s="104">
        <f t="shared" ca="1" si="236"/>
        <v>466</v>
      </c>
      <c r="CV31" s="104">
        <f t="shared" ca="1" si="236"/>
        <v>466</v>
      </c>
      <c r="CW31" s="104">
        <f t="shared" ca="1" si="236"/>
        <v>466</v>
      </c>
      <c r="CX31" s="104">
        <f t="shared" ca="1" si="236"/>
        <v>466</v>
      </c>
      <c r="CY31" s="104">
        <f t="shared" ca="1" si="236"/>
        <v>466</v>
      </c>
      <c r="CZ31" s="104">
        <f t="shared" ca="1" si="236"/>
        <v>457</v>
      </c>
      <c r="DA31" s="104">
        <f t="shared" ca="1" si="236"/>
        <v>457</v>
      </c>
      <c r="DB31" s="104">
        <f t="shared" ca="1" si="236"/>
        <v>457</v>
      </c>
      <c r="DC31" s="104">
        <f t="shared" ca="1" si="236"/>
        <v>457</v>
      </c>
      <c r="DD31" s="104">
        <f t="shared" ca="1" si="236"/>
        <v>457</v>
      </c>
      <c r="DE31" s="104">
        <f t="shared" ca="1" si="236"/>
        <v>457</v>
      </c>
      <c r="DF31" s="104">
        <f t="shared" ca="1" si="236"/>
        <v>457</v>
      </c>
      <c r="DG31" s="104">
        <f t="shared" ca="1" si="236"/>
        <v>457</v>
      </c>
      <c r="DH31" s="104">
        <f t="shared" ca="1" si="236"/>
        <v>455</v>
      </c>
      <c r="DI31" s="104">
        <f t="shared" ca="1" si="236"/>
        <v>455</v>
      </c>
      <c r="DJ31" s="104">
        <f t="shared" ca="1" si="236"/>
        <v>452</v>
      </c>
      <c r="DK31" s="104">
        <f t="shared" ca="1" si="236"/>
        <v>452</v>
      </c>
      <c r="DL31" s="104">
        <f t="shared" ca="1" si="236"/>
        <v>443</v>
      </c>
      <c r="DM31" s="104">
        <f t="shared" ca="1" si="236"/>
        <v>440</v>
      </c>
      <c r="DN31" s="104">
        <f t="shared" ca="1" si="236"/>
        <v>434</v>
      </c>
      <c r="DO31" s="104">
        <f t="shared" ca="1" si="236"/>
        <v>426</v>
      </c>
      <c r="DP31" s="104">
        <f t="shared" ca="1" si="236"/>
        <v>426</v>
      </c>
      <c r="DQ31" s="104">
        <f t="shared" ca="1" si="236"/>
        <v>426</v>
      </c>
      <c r="DR31" s="104">
        <f t="shared" ca="1" si="236"/>
        <v>423</v>
      </c>
      <c r="DS31" s="104">
        <f t="shared" ca="1" si="236"/>
        <v>433</v>
      </c>
      <c r="DT31" s="104">
        <f t="shared" ca="1" si="236"/>
        <v>430</v>
      </c>
      <c r="DU31" s="104">
        <f t="shared" ca="1" si="236"/>
        <v>430</v>
      </c>
      <c r="DV31" s="104">
        <f t="shared" ca="1" si="236"/>
        <v>427</v>
      </c>
      <c r="DW31" s="104">
        <f t="shared" ca="1" si="236"/>
        <v>424</v>
      </c>
      <c r="DX31" s="104">
        <f t="shared" ca="1" si="236"/>
        <v>424</v>
      </c>
      <c r="DY31" s="104">
        <f t="shared" ca="1" si="236"/>
        <v>419</v>
      </c>
      <c r="DZ31" s="104">
        <f t="shared" ca="1" si="236"/>
        <v>413</v>
      </c>
      <c r="EA31" s="104">
        <f t="shared" ca="1" si="236"/>
        <v>413</v>
      </c>
      <c r="EB31" s="104">
        <f t="shared" ca="1" si="236"/>
        <v>408</v>
      </c>
      <c r="EC31" s="104">
        <f t="shared" ca="1" si="236"/>
        <v>408</v>
      </c>
      <c r="ED31" s="104">
        <f t="shared" ca="1" si="236"/>
        <v>399</v>
      </c>
      <c r="EE31" s="104">
        <f t="shared" ca="1" si="236"/>
        <v>399</v>
      </c>
      <c r="EF31" s="104">
        <f t="shared" ca="1" si="236"/>
        <v>387</v>
      </c>
      <c r="EG31" s="104">
        <f t="shared" ca="1" si="236"/>
        <v>387</v>
      </c>
      <c r="EH31" s="104">
        <f t="shared" ca="1" si="236"/>
        <v>387</v>
      </c>
      <c r="EI31" s="104">
        <f t="shared" ca="1" si="236"/>
        <v>387</v>
      </c>
      <c r="EJ31" s="104">
        <f t="shared" ca="1" si="236"/>
        <v>387</v>
      </c>
      <c r="EK31" s="104">
        <f t="shared" ca="1" si="236"/>
        <v>387</v>
      </c>
      <c r="EL31" s="104">
        <f t="shared" ca="1" si="236"/>
        <v>387</v>
      </c>
      <c r="EM31" s="104">
        <f t="shared" ca="1" si="236"/>
        <v>378</v>
      </c>
      <c r="EN31" s="104">
        <f t="shared" ca="1" si="236"/>
        <v>375</v>
      </c>
      <c r="EO31" s="104">
        <f t="shared" ca="1" si="236"/>
        <v>375</v>
      </c>
      <c r="EP31" s="104">
        <f t="shared" ca="1" si="236"/>
        <v>374</v>
      </c>
      <c r="EQ31" s="104">
        <f t="shared" ca="1" si="236"/>
        <v>374</v>
      </c>
      <c r="ER31" s="104">
        <f t="shared" ca="1" si="236"/>
        <v>369</v>
      </c>
      <c r="ES31" s="104">
        <f t="shared" ca="1" si="236"/>
        <v>369</v>
      </c>
      <c r="ET31" s="104">
        <f t="shared" ref="ET31:HE31" ca="1" si="237">IF(ET3&gt;$J$5,"",ES31+ET28-ET30)</f>
        <v>369</v>
      </c>
      <c r="EU31" s="104">
        <f t="shared" ca="1" si="237"/>
        <v>366</v>
      </c>
      <c r="EV31" s="104">
        <f t="shared" ca="1" si="237"/>
        <v>366</v>
      </c>
      <c r="EW31" s="104">
        <f t="shared" ca="1" si="237"/>
        <v>365</v>
      </c>
      <c r="EX31" s="104">
        <f t="shared" ca="1" si="237"/>
        <v>365</v>
      </c>
      <c r="EY31" s="104">
        <f t="shared" ca="1" si="237"/>
        <v>364</v>
      </c>
      <c r="EZ31" s="104">
        <f t="shared" ca="1" si="237"/>
        <v>363</v>
      </c>
      <c r="FA31" s="104">
        <f t="shared" ca="1" si="237"/>
        <v>361</v>
      </c>
      <c r="FB31" s="104">
        <f t="shared" ca="1" si="237"/>
        <v>361</v>
      </c>
      <c r="FC31" s="104">
        <f t="shared" ca="1" si="237"/>
        <v>356</v>
      </c>
      <c r="FD31" s="104">
        <f t="shared" ca="1" si="237"/>
        <v>356</v>
      </c>
      <c r="FE31" s="104">
        <f t="shared" ca="1" si="237"/>
        <v>356</v>
      </c>
      <c r="FF31" s="104">
        <f t="shared" ca="1" si="237"/>
        <v>356</v>
      </c>
      <c r="FG31" s="104">
        <f t="shared" ca="1" si="237"/>
        <v>351</v>
      </c>
      <c r="FH31" s="104">
        <f t="shared" ca="1" si="237"/>
        <v>351</v>
      </c>
      <c r="FI31" s="104">
        <f t="shared" ca="1" si="237"/>
        <v>348</v>
      </c>
      <c r="FJ31" s="104">
        <f t="shared" ca="1" si="237"/>
        <v>348</v>
      </c>
      <c r="FK31" s="104">
        <f t="shared" ca="1" si="237"/>
        <v>339</v>
      </c>
      <c r="FL31" s="104">
        <f t="shared" ca="1" si="237"/>
        <v>339</v>
      </c>
      <c r="FM31" s="104">
        <f t="shared" ca="1" si="237"/>
        <v>334</v>
      </c>
      <c r="FN31" s="104">
        <f t="shared" ca="1" si="237"/>
        <v>334</v>
      </c>
      <c r="FO31" s="104">
        <f t="shared" ca="1" si="237"/>
        <v>333</v>
      </c>
      <c r="FP31" s="104">
        <f t="shared" ca="1" si="237"/>
        <v>331</v>
      </c>
      <c r="FQ31" s="104">
        <f t="shared" ca="1" si="237"/>
        <v>331</v>
      </c>
      <c r="FR31" s="104">
        <f t="shared" ca="1" si="237"/>
        <v>331</v>
      </c>
      <c r="FS31" s="104">
        <f t="shared" ca="1" si="237"/>
        <v>326</v>
      </c>
      <c r="FT31" s="104">
        <f t="shared" ca="1" si="237"/>
        <v>326</v>
      </c>
      <c r="FU31" s="104">
        <f t="shared" ca="1" si="237"/>
        <v>323</v>
      </c>
      <c r="FV31" s="104">
        <f t="shared" ca="1" si="237"/>
        <v>320</v>
      </c>
      <c r="FW31" s="104">
        <f t="shared" ca="1" si="237"/>
        <v>315</v>
      </c>
      <c r="FX31" s="104">
        <f t="shared" ca="1" si="237"/>
        <v>315</v>
      </c>
      <c r="FY31" s="104">
        <f t="shared" ca="1" si="237"/>
        <v>315</v>
      </c>
      <c r="FZ31" s="104">
        <f t="shared" ca="1" si="237"/>
        <v>314</v>
      </c>
      <c r="GA31" s="104">
        <f t="shared" ca="1" si="237"/>
        <v>314</v>
      </c>
      <c r="GB31" s="104">
        <f t="shared" ca="1" si="237"/>
        <v>314</v>
      </c>
      <c r="GC31" s="104">
        <f t="shared" ca="1" si="237"/>
        <v>306</v>
      </c>
      <c r="GD31" s="104">
        <f t="shared" ca="1" si="237"/>
        <v>306</v>
      </c>
      <c r="GE31" s="104">
        <f t="shared" ca="1" si="237"/>
        <v>306</v>
      </c>
      <c r="GF31" s="104">
        <f t="shared" ca="1" si="237"/>
        <v>303</v>
      </c>
      <c r="GG31" s="104">
        <f t="shared" ca="1" si="237"/>
        <v>303</v>
      </c>
      <c r="GH31" s="104">
        <f t="shared" ca="1" si="237"/>
        <v>298</v>
      </c>
      <c r="GI31" s="104">
        <f t="shared" ca="1" si="237"/>
        <v>298</v>
      </c>
      <c r="GJ31" s="104">
        <f t="shared" ca="1" si="237"/>
        <v>291</v>
      </c>
      <c r="GK31" s="104">
        <f t="shared" ca="1" si="237"/>
        <v>290</v>
      </c>
      <c r="GL31" s="104">
        <f t="shared" ca="1" si="237"/>
        <v>280</v>
      </c>
      <c r="GM31" s="104">
        <f t="shared" ca="1" si="237"/>
        <v>275</v>
      </c>
      <c r="GN31" s="104">
        <f t="shared" ca="1" si="237"/>
        <v>275</v>
      </c>
      <c r="GO31" s="104">
        <f t="shared" ca="1" si="237"/>
        <v>275</v>
      </c>
      <c r="GP31" s="104">
        <f t="shared" ca="1" si="237"/>
        <v>275</v>
      </c>
      <c r="GQ31" s="104">
        <f t="shared" ca="1" si="237"/>
        <v>275</v>
      </c>
      <c r="GR31" s="104">
        <f t="shared" ca="1" si="237"/>
        <v>275</v>
      </c>
      <c r="GS31" s="104">
        <f t="shared" ca="1" si="237"/>
        <v>275</v>
      </c>
      <c r="GT31" s="104">
        <f t="shared" ca="1" si="237"/>
        <v>275</v>
      </c>
      <c r="GU31" s="104">
        <f t="shared" ca="1" si="237"/>
        <v>275</v>
      </c>
      <c r="GV31" s="104">
        <f t="shared" ca="1" si="237"/>
        <v>275</v>
      </c>
      <c r="GW31" s="104">
        <f t="shared" ca="1" si="237"/>
        <v>275</v>
      </c>
      <c r="GX31" s="104">
        <f t="shared" ca="1" si="237"/>
        <v>275</v>
      </c>
      <c r="GY31" s="104">
        <f t="shared" ca="1" si="237"/>
        <v>275</v>
      </c>
      <c r="GZ31" s="104">
        <f t="shared" ca="1" si="237"/>
        <v>275</v>
      </c>
      <c r="HA31" s="104">
        <f t="shared" ca="1" si="237"/>
        <v>275</v>
      </c>
      <c r="HB31" s="104">
        <f t="shared" ca="1" si="237"/>
        <v>275</v>
      </c>
      <c r="HC31" s="104">
        <f t="shared" ca="1" si="237"/>
        <v>275</v>
      </c>
      <c r="HD31" s="104" t="str">
        <f t="shared" ca="1" si="237"/>
        <v/>
      </c>
      <c r="HE31" s="104" t="str">
        <f t="shared" ca="1" si="237"/>
        <v/>
      </c>
      <c r="HF31" s="104" t="str">
        <f t="shared" ref="HF31:JQ31" ca="1" si="238">IF(HF3&gt;$J$5,"",HE31+HF28-HF30)</f>
        <v/>
      </c>
      <c r="HG31" s="104" t="str">
        <f t="shared" ca="1" si="238"/>
        <v/>
      </c>
      <c r="HH31" s="104" t="str">
        <f t="shared" ca="1" si="238"/>
        <v/>
      </c>
      <c r="HI31" s="104" t="str">
        <f t="shared" ca="1" si="238"/>
        <v/>
      </c>
      <c r="HJ31" s="104" t="str">
        <f t="shared" ca="1" si="238"/>
        <v/>
      </c>
      <c r="HK31" s="104" t="str">
        <f t="shared" ca="1" si="238"/>
        <v/>
      </c>
      <c r="HL31" s="104" t="str">
        <f t="shared" ca="1" si="238"/>
        <v/>
      </c>
      <c r="HM31" s="104" t="str">
        <f t="shared" ca="1" si="238"/>
        <v/>
      </c>
      <c r="HN31" s="104" t="str">
        <f t="shared" ca="1" si="238"/>
        <v/>
      </c>
      <c r="HO31" s="104" t="str">
        <f t="shared" ca="1" si="238"/>
        <v/>
      </c>
      <c r="HP31" s="104" t="str">
        <f t="shared" ca="1" si="238"/>
        <v/>
      </c>
      <c r="HQ31" s="104" t="str">
        <f t="shared" ca="1" si="238"/>
        <v/>
      </c>
      <c r="HR31" s="104" t="str">
        <f t="shared" ca="1" si="238"/>
        <v/>
      </c>
      <c r="HS31" s="104" t="str">
        <f t="shared" ca="1" si="238"/>
        <v/>
      </c>
      <c r="HT31" s="104" t="str">
        <f t="shared" ca="1" si="238"/>
        <v/>
      </c>
      <c r="HU31" s="104" t="str">
        <f t="shared" ca="1" si="238"/>
        <v/>
      </c>
      <c r="HV31" s="104" t="str">
        <f t="shared" ca="1" si="238"/>
        <v/>
      </c>
      <c r="HW31" s="104" t="str">
        <f t="shared" ca="1" si="238"/>
        <v/>
      </c>
      <c r="HX31" s="104" t="str">
        <f t="shared" ca="1" si="238"/>
        <v/>
      </c>
      <c r="HY31" s="104" t="str">
        <f t="shared" ca="1" si="238"/>
        <v/>
      </c>
      <c r="HZ31" s="104" t="str">
        <f t="shared" ca="1" si="238"/>
        <v/>
      </c>
      <c r="IA31" s="104" t="str">
        <f t="shared" ca="1" si="238"/>
        <v/>
      </c>
      <c r="IB31" s="104" t="str">
        <f t="shared" ca="1" si="238"/>
        <v/>
      </c>
      <c r="IC31" s="104" t="str">
        <f t="shared" ca="1" si="238"/>
        <v/>
      </c>
      <c r="ID31" s="104" t="str">
        <f t="shared" ca="1" si="238"/>
        <v/>
      </c>
      <c r="IE31" s="104" t="str">
        <f t="shared" ca="1" si="238"/>
        <v/>
      </c>
      <c r="IF31" s="104" t="str">
        <f t="shared" ca="1" si="238"/>
        <v/>
      </c>
      <c r="IG31" s="104" t="str">
        <f t="shared" ca="1" si="238"/>
        <v/>
      </c>
      <c r="IH31" s="104" t="str">
        <f t="shared" ca="1" si="238"/>
        <v/>
      </c>
      <c r="II31" s="104" t="str">
        <f t="shared" ca="1" si="238"/>
        <v/>
      </c>
      <c r="IJ31" s="104" t="str">
        <f t="shared" ca="1" si="238"/>
        <v/>
      </c>
      <c r="IK31" s="104" t="str">
        <f t="shared" ca="1" si="238"/>
        <v/>
      </c>
      <c r="IL31" s="104" t="str">
        <f t="shared" ca="1" si="238"/>
        <v/>
      </c>
      <c r="IM31" s="104" t="str">
        <f t="shared" ca="1" si="238"/>
        <v/>
      </c>
      <c r="IN31" s="104" t="str">
        <f t="shared" ca="1" si="238"/>
        <v/>
      </c>
      <c r="IO31" s="104" t="str">
        <f t="shared" ca="1" si="238"/>
        <v/>
      </c>
      <c r="IP31" s="104" t="str">
        <f t="shared" ca="1" si="238"/>
        <v/>
      </c>
      <c r="IQ31" s="104" t="str">
        <f t="shared" ca="1" si="238"/>
        <v/>
      </c>
      <c r="IR31" s="104" t="str">
        <f t="shared" ca="1" si="238"/>
        <v/>
      </c>
      <c r="IS31" s="104" t="str">
        <f t="shared" ca="1" si="238"/>
        <v/>
      </c>
      <c r="IT31" s="104" t="str">
        <f t="shared" ca="1" si="238"/>
        <v/>
      </c>
      <c r="IU31" s="104" t="str">
        <f t="shared" ca="1" si="238"/>
        <v/>
      </c>
      <c r="IV31" s="104" t="str">
        <f t="shared" ca="1" si="238"/>
        <v/>
      </c>
      <c r="IW31" s="104" t="str">
        <f t="shared" ca="1" si="238"/>
        <v/>
      </c>
      <c r="IX31" s="104" t="str">
        <f t="shared" ca="1" si="238"/>
        <v/>
      </c>
      <c r="IY31" s="104" t="str">
        <f t="shared" ca="1" si="238"/>
        <v/>
      </c>
      <c r="IZ31" s="104" t="str">
        <f t="shared" ca="1" si="238"/>
        <v/>
      </c>
      <c r="JA31" s="104" t="str">
        <f t="shared" ca="1" si="238"/>
        <v/>
      </c>
      <c r="JB31" s="104" t="str">
        <f t="shared" ca="1" si="238"/>
        <v/>
      </c>
      <c r="JC31" s="104" t="str">
        <f t="shared" ca="1" si="238"/>
        <v/>
      </c>
      <c r="JD31" s="104" t="str">
        <f t="shared" ca="1" si="238"/>
        <v/>
      </c>
      <c r="JE31" s="104" t="str">
        <f t="shared" ca="1" si="238"/>
        <v/>
      </c>
      <c r="JF31" s="104" t="str">
        <f t="shared" ca="1" si="238"/>
        <v/>
      </c>
      <c r="JG31" s="104" t="str">
        <f t="shared" ca="1" si="238"/>
        <v/>
      </c>
      <c r="JH31" s="104" t="str">
        <f t="shared" ca="1" si="238"/>
        <v/>
      </c>
      <c r="JI31" s="104" t="str">
        <f t="shared" ca="1" si="238"/>
        <v/>
      </c>
      <c r="JJ31" s="104" t="str">
        <f t="shared" ca="1" si="238"/>
        <v/>
      </c>
      <c r="JK31" s="104" t="str">
        <f t="shared" ca="1" si="238"/>
        <v/>
      </c>
      <c r="JL31" s="104" t="str">
        <f t="shared" ca="1" si="238"/>
        <v/>
      </c>
      <c r="JM31" s="104" t="str">
        <f t="shared" ca="1" si="238"/>
        <v/>
      </c>
      <c r="JN31" s="104" t="str">
        <f t="shared" ca="1" si="238"/>
        <v/>
      </c>
      <c r="JO31" s="104" t="str">
        <f t="shared" ca="1" si="238"/>
        <v/>
      </c>
      <c r="JP31" s="104" t="str">
        <f t="shared" ca="1" si="238"/>
        <v/>
      </c>
      <c r="JQ31" s="104" t="str">
        <f t="shared" ca="1" si="238"/>
        <v/>
      </c>
      <c r="JR31" s="104" t="str">
        <f t="shared" ref="JR31:JZ31" ca="1" si="239">IF(JR3&gt;$J$5,"",JQ31+JR28-JR30)</f>
        <v/>
      </c>
      <c r="JS31" s="104" t="str">
        <f t="shared" ca="1" si="239"/>
        <v/>
      </c>
      <c r="JT31" s="104" t="str">
        <f t="shared" ca="1" si="239"/>
        <v/>
      </c>
      <c r="JU31" s="104" t="str">
        <f t="shared" ca="1" si="239"/>
        <v/>
      </c>
      <c r="JV31" s="104" t="str">
        <f t="shared" ca="1" si="239"/>
        <v/>
      </c>
      <c r="JW31" s="104" t="str">
        <f t="shared" ca="1" si="239"/>
        <v/>
      </c>
      <c r="JX31" s="104" t="str">
        <f t="shared" ca="1" si="239"/>
        <v/>
      </c>
      <c r="JY31" s="104" t="str">
        <f t="shared" ca="1" si="239"/>
        <v/>
      </c>
      <c r="JZ31" s="105" t="str">
        <f t="shared" ca="1" si="239"/>
        <v/>
      </c>
      <c r="KA31" s="17"/>
      <c r="KB31" s="219" t="s">
        <v>74</v>
      </c>
      <c r="KC31" s="222">
        <f ca="1">KF30</f>
        <v>491</v>
      </c>
      <c r="KD31" s="223">
        <f>SUM(CI28:DE28)</f>
        <v>0</v>
      </c>
      <c r="KE31" s="223">
        <f>SUM(CJ30:DE30)</f>
        <v>34</v>
      </c>
      <c r="KF31" s="222">
        <f t="shared" ca="1" si="220"/>
        <v>457</v>
      </c>
      <c r="KG31" s="223">
        <f t="shared" ca="1" si="211"/>
        <v>491</v>
      </c>
      <c r="KH31" s="223">
        <f t="shared" ca="1" si="221"/>
        <v>457</v>
      </c>
      <c r="KI31" s="222" t="str">
        <f t="shared" si="179"/>
        <v>/2</v>
      </c>
      <c r="KJ31" s="223">
        <f t="shared" ca="1" si="222"/>
        <v>474</v>
      </c>
      <c r="KK31" s="223">
        <f t="shared" ca="1" si="223"/>
        <v>336.02941176470586</v>
      </c>
      <c r="KL31" s="222">
        <f t="shared" ca="1" si="224"/>
        <v>1.0862144420131292</v>
      </c>
      <c r="KM31" s="223">
        <v>25</v>
      </c>
      <c r="KN31" s="219" t="s">
        <v>78</v>
      </c>
      <c r="KO31" s="222">
        <f ca="1">KR30</f>
        <v>319</v>
      </c>
      <c r="KP31" s="223">
        <f>SUM(FT28:GN28)</f>
        <v>0</v>
      </c>
      <c r="KQ31" s="223">
        <f>SUM(FT30:GM30)</f>
        <v>51</v>
      </c>
      <c r="KR31" s="222">
        <f t="shared" ca="1" si="225"/>
        <v>268</v>
      </c>
      <c r="KS31" s="223">
        <f t="shared" ca="1" si="212"/>
        <v>319</v>
      </c>
      <c r="KT31" s="223">
        <f t="shared" ca="1" si="226"/>
        <v>268</v>
      </c>
      <c r="KU31" s="222" t="str">
        <f t="shared" si="181"/>
        <v>/2</v>
      </c>
      <c r="KV31" s="223">
        <f t="shared" ca="1" si="227"/>
        <v>293.5</v>
      </c>
      <c r="KW31" s="223">
        <f t="shared" ca="1" si="228"/>
        <v>131.37254901960785</v>
      </c>
      <c r="KX31" s="222">
        <f t="shared" ca="1" si="229"/>
        <v>2.7783582089552237</v>
      </c>
      <c r="KY31" s="223">
        <v>25</v>
      </c>
      <c r="KZ31" s="219" t="s">
        <v>82</v>
      </c>
      <c r="LA31" s="222">
        <f ca="1">LD30</f>
        <v>268</v>
      </c>
      <c r="LB31" s="223">
        <f>SUM('[12]Progr1 (3)'!OI35:PD35)</f>
        <v>0</v>
      </c>
      <c r="LC31" s="223">
        <f>SUM('[12]Progr1 (3)'!OI37:PD37)</f>
        <v>0</v>
      </c>
      <c r="LD31" s="222">
        <f t="shared" ca="1" si="230"/>
        <v>268</v>
      </c>
      <c r="LE31" s="223">
        <f t="shared" ca="1" si="213"/>
        <v>268</v>
      </c>
      <c r="LF31" s="223">
        <f t="shared" ca="1" si="231"/>
        <v>268</v>
      </c>
      <c r="LG31" s="222" t="str">
        <f t="shared" si="183"/>
        <v>/2</v>
      </c>
      <c r="LH31" s="223">
        <f t="shared" ca="1" si="232"/>
        <v>268</v>
      </c>
      <c r="LI31" s="223" t="e">
        <f t="shared" ca="1" si="233"/>
        <v>#DIV/0!</v>
      </c>
      <c r="LJ31" s="222" t="e">
        <f t="shared" ca="1" si="234"/>
        <v>#DIV/0!</v>
      </c>
      <c r="LK31" s="223">
        <v>25</v>
      </c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</row>
    <row r="32" spans="1:669" ht="4.5" customHeight="1" x14ac:dyDescent="0.25">
      <c r="A32" s="49"/>
      <c r="B32" s="49"/>
      <c r="C32" s="49"/>
      <c r="D32" s="49"/>
      <c r="E32" s="49"/>
      <c r="F32" s="185"/>
      <c r="G32" s="49"/>
      <c r="H32" s="49"/>
      <c r="I32" s="240"/>
      <c r="J32" s="286" t="s">
        <v>8</v>
      </c>
      <c r="K32" s="112"/>
      <c r="L32" s="124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16"/>
      <c r="EO32" s="116"/>
      <c r="EP32" s="116"/>
      <c r="EQ32" s="116"/>
      <c r="ER32" s="116"/>
      <c r="ES32" s="116"/>
      <c r="ET32" s="116"/>
      <c r="EU32" s="116"/>
      <c r="EV32" s="116"/>
      <c r="EW32" s="116"/>
      <c r="EX32" s="116"/>
      <c r="EY32" s="116"/>
      <c r="EZ32" s="116"/>
      <c r="FA32" s="116"/>
      <c r="FB32" s="116"/>
      <c r="FC32" s="116"/>
      <c r="FD32" s="116"/>
      <c r="FE32" s="116"/>
      <c r="FF32" s="116"/>
      <c r="FG32" s="116"/>
      <c r="FH32" s="116"/>
      <c r="FI32" s="116"/>
      <c r="FJ32" s="116"/>
      <c r="FK32" s="116"/>
      <c r="FL32" s="116"/>
      <c r="FM32" s="116"/>
      <c r="FN32" s="116"/>
      <c r="FO32" s="116"/>
      <c r="FP32" s="116"/>
      <c r="FQ32" s="116"/>
      <c r="FR32" s="116"/>
      <c r="FS32" s="116"/>
      <c r="FT32" s="116"/>
      <c r="FU32" s="116"/>
      <c r="FV32" s="116"/>
      <c r="FW32" s="116"/>
      <c r="FX32" s="116"/>
      <c r="FY32" s="116"/>
      <c r="FZ32" s="116"/>
      <c r="GA32" s="116"/>
      <c r="GB32" s="116"/>
      <c r="GC32" s="116"/>
      <c r="GD32" s="116"/>
      <c r="GE32" s="116"/>
      <c r="GF32" s="116"/>
      <c r="GG32" s="116"/>
      <c r="GH32" s="116"/>
      <c r="GI32" s="116"/>
      <c r="GJ32" s="116"/>
      <c r="GK32" s="116"/>
      <c r="GL32" s="116"/>
      <c r="GM32" s="116"/>
      <c r="GN32" s="116"/>
      <c r="GO32" s="116"/>
      <c r="GP32" s="116"/>
      <c r="GQ32" s="116"/>
      <c r="GR32" s="116"/>
      <c r="GS32" s="116"/>
      <c r="GT32" s="116"/>
      <c r="GU32" s="116"/>
      <c r="GV32" s="116"/>
      <c r="GW32" s="116"/>
      <c r="GX32" s="116"/>
      <c r="GY32" s="116"/>
      <c r="GZ32" s="116"/>
      <c r="HA32" s="116"/>
      <c r="HB32" s="116"/>
      <c r="HC32" s="116"/>
      <c r="HD32" s="116"/>
      <c r="HE32" s="116"/>
      <c r="HF32" s="116"/>
      <c r="HG32" s="116"/>
      <c r="HH32" s="116"/>
      <c r="HI32" s="116"/>
      <c r="HJ32" s="116"/>
      <c r="HK32" s="116"/>
      <c r="HL32" s="116"/>
      <c r="HM32" s="116"/>
      <c r="HN32" s="116"/>
      <c r="HO32" s="116"/>
      <c r="HP32" s="116"/>
      <c r="HQ32" s="116"/>
      <c r="HR32" s="116"/>
      <c r="HS32" s="116"/>
      <c r="HT32" s="116"/>
      <c r="HU32" s="116"/>
      <c r="HV32" s="116"/>
      <c r="HW32" s="116"/>
      <c r="HX32" s="116"/>
      <c r="HY32" s="116"/>
      <c r="HZ32" s="116"/>
      <c r="IA32" s="116"/>
      <c r="IB32" s="116"/>
      <c r="IC32" s="116"/>
      <c r="ID32" s="116"/>
      <c r="IE32" s="116"/>
      <c r="IF32" s="116"/>
      <c r="IG32" s="116"/>
      <c r="IH32" s="116"/>
      <c r="II32" s="116"/>
      <c r="IJ32" s="116"/>
      <c r="IK32" s="116"/>
      <c r="IL32" s="116"/>
      <c r="IM32" s="116"/>
      <c r="IN32" s="116"/>
      <c r="IO32" s="116"/>
      <c r="IP32" s="116"/>
      <c r="IQ32" s="116"/>
      <c r="IR32" s="116"/>
      <c r="IS32" s="116"/>
      <c r="IT32" s="116"/>
      <c r="IU32" s="116"/>
      <c r="IV32" s="116"/>
      <c r="IW32" s="116"/>
      <c r="IX32" s="116"/>
      <c r="IY32" s="116"/>
      <c r="IZ32" s="116"/>
      <c r="JA32" s="116"/>
      <c r="JB32" s="116"/>
      <c r="JC32" s="116"/>
      <c r="JD32" s="116"/>
      <c r="JE32" s="116"/>
      <c r="JF32" s="116"/>
      <c r="JG32" s="116"/>
      <c r="JH32" s="116"/>
      <c r="JI32" s="116"/>
      <c r="JJ32" s="116"/>
      <c r="JK32" s="116"/>
      <c r="JL32" s="116"/>
      <c r="JM32" s="116"/>
      <c r="JN32" s="116"/>
      <c r="JO32" s="116"/>
      <c r="JP32" s="116"/>
      <c r="JQ32" s="116"/>
      <c r="JR32" s="116"/>
      <c r="JS32" s="116"/>
      <c r="JT32" s="116"/>
      <c r="JU32" s="116"/>
      <c r="JV32" s="116"/>
      <c r="JW32" s="116"/>
      <c r="JX32" s="116"/>
      <c r="JY32" s="116"/>
      <c r="JZ32" s="1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</row>
    <row r="33" spans="1:669" ht="5.25" customHeight="1" x14ac:dyDescent="0.25">
      <c r="A33" s="49"/>
      <c r="B33" s="49"/>
      <c r="C33" s="49"/>
      <c r="D33" s="49"/>
      <c r="E33" s="49"/>
      <c r="F33" s="185"/>
      <c r="G33" s="49"/>
      <c r="H33" s="49"/>
      <c r="I33" s="240"/>
      <c r="J33" s="287"/>
      <c r="K33" s="93"/>
      <c r="L33" s="60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61"/>
      <c r="HZ33" s="61"/>
      <c r="IA33" s="61"/>
      <c r="IB33" s="61"/>
      <c r="IC33" s="61"/>
      <c r="ID33" s="61"/>
      <c r="IE33" s="61"/>
      <c r="IF33" s="61"/>
      <c r="IG33" s="61"/>
      <c r="IH33" s="61"/>
      <c r="II33" s="61"/>
      <c r="IJ33" s="61"/>
      <c r="IK33" s="61"/>
      <c r="IL33" s="61"/>
      <c r="IM33" s="61"/>
      <c r="IN33" s="61"/>
      <c r="IO33" s="61"/>
      <c r="IP33" s="61"/>
      <c r="IQ33" s="61"/>
      <c r="IR33" s="61"/>
      <c r="IS33" s="61"/>
      <c r="IT33" s="61"/>
      <c r="IU33" s="61"/>
      <c r="IV33" s="61"/>
      <c r="IW33" s="61"/>
      <c r="IX33" s="61"/>
      <c r="IY33" s="61"/>
      <c r="IZ33" s="61"/>
      <c r="JA33" s="61"/>
      <c r="JB33" s="61"/>
      <c r="JC33" s="61"/>
      <c r="JD33" s="61"/>
      <c r="JE33" s="61"/>
      <c r="JF33" s="61"/>
      <c r="JG33" s="61"/>
      <c r="JH33" s="61"/>
      <c r="JI33" s="61"/>
      <c r="JJ33" s="61"/>
      <c r="JK33" s="61"/>
      <c r="JL33" s="61"/>
      <c r="JM33" s="61"/>
      <c r="JN33" s="61"/>
      <c r="JO33" s="61"/>
      <c r="JP33" s="61"/>
      <c r="JQ33" s="61"/>
      <c r="JR33" s="61"/>
      <c r="JS33" s="61"/>
      <c r="JT33" s="61"/>
      <c r="JU33" s="61"/>
      <c r="JV33" s="61"/>
      <c r="JW33" s="61"/>
      <c r="JX33" s="61"/>
      <c r="JY33" s="61"/>
      <c r="JZ33" s="111"/>
      <c r="KA33" s="17"/>
      <c r="KB33" s="17"/>
      <c r="KC33" s="17"/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/>
      <c r="KO33" s="17"/>
      <c r="KP33" s="17"/>
      <c r="KQ33" s="17"/>
      <c r="KR33" s="17"/>
      <c r="KS33" s="17"/>
      <c r="KT33" s="17"/>
      <c r="KU33" s="17"/>
      <c r="KV33" s="17"/>
      <c r="KW33" s="17"/>
      <c r="KX33" s="17"/>
      <c r="KY33" s="17"/>
      <c r="KZ33" s="17"/>
      <c r="LA33" s="17"/>
      <c r="LB33" s="17"/>
      <c r="LC33" s="17"/>
      <c r="LD33" s="17"/>
      <c r="LE33" s="17"/>
      <c r="LF33" s="17"/>
      <c r="LG33" s="17"/>
      <c r="LH33" s="17"/>
      <c r="LI33" s="17"/>
      <c r="LJ33" s="17"/>
      <c r="LK33" s="17"/>
      <c r="LL33" s="17"/>
      <c r="LM33" s="17"/>
      <c r="LN33" s="17"/>
      <c r="LO33" s="17"/>
      <c r="LP33" s="17"/>
      <c r="LQ33" s="17"/>
      <c r="LR33" s="17"/>
      <c r="LS33" s="17"/>
      <c r="LT33" s="17"/>
      <c r="LU33" s="17"/>
      <c r="LV33" s="17"/>
      <c r="LW33" s="17"/>
      <c r="LX33" s="17"/>
      <c r="LY33" s="17"/>
      <c r="LZ33" s="17"/>
      <c r="MA33" s="17"/>
      <c r="MB33" s="17"/>
      <c r="MC33" s="17"/>
      <c r="MD33" s="17"/>
      <c r="ME33" s="17"/>
      <c r="MF33" s="17"/>
      <c r="MG33" s="17"/>
      <c r="MH33" s="17"/>
      <c r="MI33" s="17"/>
      <c r="MJ33" s="17"/>
      <c r="MK33" s="17"/>
      <c r="ML33" s="17"/>
      <c r="MM33" s="17"/>
      <c r="MN33" s="17"/>
      <c r="MO33" s="17"/>
      <c r="MP33" s="17"/>
      <c r="MQ33" s="17"/>
      <c r="MR33" s="17"/>
      <c r="MS33" s="17"/>
      <c r="MT33" s="17"/>
      <c r="MU33" s="17"/>
      <c r="MV33" s="17"/>
      <c r="MW33" s="17"/>
      <c r="MX33" s="17"/>
      <c r="MY33" s="17"/>
      <c r="MZ33" s="17"/>
      <c r="NA33" s="17"/>
      <c r="NB33" s="17"/>
      <c r="NC33" s="17"/>
      <c r="ND33" s="17"/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</row>
    <row r="34" spans="1:669" ht="4.5" customHeight="1" thickBot="1" x14ac:dyDescent="0.3">
      <c r="A34" s="129"/>
      <c r="B34" s="129"/>
      <c r="C34" s="129"/>
      <c r="D34" s="129"/>
      <c r="E34" s="129"/>
      <c r="F34" s="186"/>
      <c r="G34" s="129"/>
      <c r="H34" s="129"/>
      <c r="I34" s="244"/>
      <c r="J34" s="288"/>
      <c r="K34" s="128"/>
      <c r="L34" s="46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118"/>
      <c r="DG34" s="118"/>
      <c r="DH34" s="118"/>
      <c r="DI34" s="118"/>
      <c r="DJ34" s="118"/>
      <c r="DK34" s="118"/>
      <c r="DL34" s="118"/>
      <c r="DM34" s="118"/>
      <c r="DN34" s="118"/>
      <c r="DO34" s="118"/>
      <c r="DP34" s="118"/>
      <c r="DQ34" s="118"/>
      <c r="DR34" s="118"/>
      <c r="DS34" s="118"/>
      <c r="DT34" s="118"/>
      <c r="DU34" s="118"/>
      <c r="DV34" s="118"/>
      <c r="DW34" s="118"/>
      <c r="DX34" s="118"/>
      <c r="DY34" s="118"/>
      <c r="DZ34" s="118"/>
      <c r="EA34" s="118"/>
      <c r="EB34" s="118"/>
      <c r="EC34" s="118"/>
      <c r="ED34" s="118"/>
      <c r="EE34" s="118"/>
      <c r="EF34" s="118"/>
      <c r="EG34" s="118"/>
      <c r="EH34" s="118"/>
      <c r="EI34" s="118"/>
      <c r="EJ34" s="118"/>
      <c r="EK34" s="118"/>
      <c r="EL34" s="118"/>
      <c r="EM34" s="118"/>
      <c r="EN34" s="118"/>
      <c r="EO34" s="118"/>
      <c r="EP34" s="118"/>
      <c r="EQ34" s="118"/>
      <c r="ER34" s="118"/>
      <c r="ES34" s="118"/>
      <c r="ET34" s="118"/>
      <c r="EU34" s="118"/>
      <c r="EV34" s="118"/>
      <c r="EW34" s="118"/>
      <c r="EX34" s="118"/>
      <c r="EY34" s="118"/>
      <c r="EZ34" s="118"/>
      <c r="FA34" s="118"/>
      <c r="FB34" s="118"/>
      <c r="FC34" s="118"/>
      <c r="FD34" s="118"/>
      <c r="FE34" s="118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118"/>
      <c r="GL34" s="118"/>
      <c r="GM34" s="118"/>
      <c r="GN34" s="118"/>
      <c r="GO34" s="118"/>
      <c r="GP34" s="118"/>
      <c r="GQ34" s="118"/>
      <c r="GR34" s="118"/>
      <c r="GS34" s="118"/>
      <c r="GT34" s="118"/>
      <c r="GU34" s="118"/>
      <c r="GV34" s="118"/>
      <c r="GW34" s="118"/>
      <c r="GX34" s="118"/>
      <c r="GY34" s="118"/>
      <c r="GZ34" s="118"/>
      <c r="HA34" s="118"/>
      <c r="HB34" s="118"/>
      <c r="HC34" s="118"/>
      <c r="HD34" s="118"/>
      <c r="HE34" s="118"/>
      <c r="HF34" s="118"/>
      <c r="HG34" s="118"/>
      <c r="HH34" s="118"/>
      <c r="HI34" s="118"/>
      <c r="HJ34" s="118"/>
      <c r="HK34" s="118"/>
      <c r="HL34" s="118"/>
      <c r="HM34" s="118"/>
      <c r="HN34" s="118"/>
      <c r="HO34" s="118"/>
      <c r="HP34" s="118"/>
      <c r="HQ34" s="118"/>
      <c r="HR34" s="118"/>
      <c r="HS34" s="118"/>
      <c r="HT34" s="118"/>
      <c r="HU34" s="118"/>
      <c r="HV34" s="118"/>
      <c r="HW34" s="118"/>
      <c r="HX34" s="118"/>
      <c r="HY34" s="118"/>
      <c r="HZ34" s="118"/>
      <c r="IA34" s="118"/>
      <c r="IB34" s="118"/>
      <c r="IC34" s="118"/>
      <c r="ID34" s="118"/>
      <c r="IE34" s="118"/>
      <c r="IF34" s="118"/>
      <c r="IG34" s="118"/>
      <c r="IH34" s="118"/>
      <c r="II34" s="118"/>
      <c r="IJ34" s="118"/>
      <c r="IK34" s="118"/>
      <c r="IL34" s="118"/>
      <c r="IM34" s="118"/>
      <c r="IN34" s="118"/>
      <c r="IO34" s="118"/>
      <c r="IP34" s="118"/>
      <c r="IQ34" s="118"/>
      <c r="IR34" s="118"/>
      <c r="IS34" s="118"/>
      <c r="IT34" s="118"/>
      <c r="IU34" s="118"/>
      <c r="IV34" s="118"/>
      <c r="IW34" s="118"/>
      <c r="IX34" s="118"/>
      <c r="IY34" s="118"/>
      <c r="IZ34" s="118"/>
      <c r="JA34" s="118"/>
      <c r="JB34" s="118"/>
      <c r="JC34" s="118"/>
      <c r="JD34" s="118"/>
      <c r="JE34" s="118"/>
      <c r="JF34" s="118"/>
      <c r="JG34" s="118"/>
      <c r="JH34" s="118"/>
      <c r="JI34" s="118"/>
      <c r="JJ34" s="118"/>
      <c r="JK34" s="118"/>
      <c r="JL34" s="118"/>
      <c r="JM34" s="118"/>
      <c r="JN34" s="118"/>
      <c r="JO34" s="118"/>
      <c r="JP34" s="118"/>
      <c r="JQ34" s="118"/>
      <c r="JR34" s="118"/>
      <c r="JS34" s="118"/>
      <c r="JT34" s="118"/>
      <c r="JU34" s="118"/>
      <c r="JV34" s="118"/>
      <c r="JW34" s="118"/>
      <c r="JX34" s="118"/>
      <c r="JY34" s="118"/>
      <c r="JZ34" s="120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</row>
    <row r="35" spans="1:669" ht="15" customHeight="1" thickTop="1" x14ac:dyDescent="0.25">
      <c r="A35" s="142" t="str">
        <f>B35</f>
        <v>ACESSÓRIOS</v>
      </c>
      <c r="B35" s="231" t="s">
        <v>54</v>
      </c>
      <c r="C35" s="137">
        <v>0</v>
      </c>
      <c r="D35" s="228" t="s">
        <v>14</v>
      </c>
      <c r="E35" s="172" t="s">
        <v>42</v>
      </c>
      <c r="F35" s="180">
        <v>0</v>
      </c>
      <c r="G35" s="172" t="s">
        <v>37</v>
      </c>
      <c r="H35" s="169">
        <f>STDEVPA(V38:GN38)</f>
        <v>4.906458883503479</v>
      </c>
      <c r="I35" s="245" t="s">
        <v>15</v>
      </c>
      <c r="J35" s="121" t="str">
        <f>J32</f>
        <v>CORTE</v>
      </c>
      <c r="K35" s="281" t="s">
        <v>10</v>
      </c>
      <c r="L35" s="95"/>
      <c r="M35" s="96"/>
      <c r="N35" s="96"/>
      <c r="O35" s="96"/>
      <c r="P35" s="96"/>
      <c r="Q35" s="96"/>
      <c r="R35" s="96"/>
      <c r="S35" s="96"/>
      <c r="T35" s="96"/>
      <c r="U35" s="96"/>
      <c r="V35" s="97">
        <v>800</v>
      </c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>
        <v>100</v>
      </c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  <c r="CH35" s="97"/>
      <c r="CI35" s="97"/>
      <c r="CJ35" s="97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>
        <v>100</v>
      </c>
      <c r="CY35" s="97"/>
      <c r="CZ35" s="97"/>
      <c r="DA35" s="97"/>
      <c r="DB35" s="97"/>
      <c r="DC35" s="97"/>
      <c r="DD35" s="97"/>
      <c r="DE35" s="97"/>
      <c r="DF35" s="97"/>
      <c r="DG35" s="97"/>
      <c r="DH35" s="97"/>
      <c r="DI35" s="97"/>
      <c r="DJ35" s="97"/>
      <c r="DK35" s="97"/>
      <c r="DL35" s="97"/>
      <c r="DM35" s="97"/>
      <c r="DN35" s="97"/>
      <c r="DO35" s="97"/>
      <c r="DP35" s="97"/>
      <c r="DQ35" s="97"/>
      <c r="DR35" s="97"/>
      <c r="DS35" s="97"/>
      <c r="DT35" s="97"/>
      <c r="DU35" s="97"/>
      <c r="DV35" s="97"/>
      <c r="DW35" s="97"/>
      <c r="DX35" s="97"/>
      <c r="DY35" s="97"/>
      <c r="DZ35" s="97"/>
      <c r="EA35" s="97"/>
      <c r="EB35" s="97"/>
      <c r="EC35" s="97"/>
      <c r="ED35" s="97"/>
      <c r="EE35" s="97"/>
      <c r="EF35" s="97">
        <v>150</v>
      </c>
      <c r="EG35" s="97"/>
      <c r="EH35" s="97"/>
      <c r="EI35" s="97"/>
      <c r="EJ35" s="97"/>
      <c r="EK35" s="97"/>
      <c r="EL35" s="97"/>
      <c r="EM35" s="97"/>
      <c r="EN35" s="97"/>
      <c r="EO35" s="97"/>
      <c r="EP35" s="97"/>
      <c r="EQ35" s="97"/>
      <c r="ER35" s="97"/>
      <c r="ES35" s="97"/>
      <c r="ET35" s="97"/>
      <c r="EU35" s="97"/>
      <c r="EV35" s="97"/>
      <c r="EW35" s="97"/>
      <c r="EX35" s="97"/>
      <c r="EY35" s="97"/>
      <c r="EZ35" s="97"/>
      <c r="FA35" s="97"/>
      <c r="FB35" s="97"/>
      <c r="FC35" s="97"/>
      <c r="FD35" s="97"/>
      <c r="FE35" s="97"/>
      <c r="FF35" s="97"/>
      <c r="FG35" s="97"/>
      <c r="FH35" s="97"/>
      <c r="FI35" s="97"/>
      <c r="FJ35" s="97"/>
      <c r="FK35" s="97"/>
      <c r="FL35" s="97"/>
      <c r="FM35" s="97"/>
      <c r="FN35" s="97"/>
      <c r="FO35" s="97"/>
      <c r="FP35" s="97"/>
      <c r="FQ35" s="97"/>
      <c r="FR35" s="97"/>
      <c r="FS35" s="97"/>
      <c r="FT35" s="97"/>
      <c r="FU35" s="97"/>
      <c r="FV35" s="97"/>
      <c r="FW35" s="97"/>
      <c r="FX35" s="97"/>
      <c r="FY35" s="97"/>
      <c r="FZ35" s="97"/>
      <c r="GA35" s="97"/>
      <c r="GB35" s="97"/>
      <c r="GC35" s="97"/>
      <c r="GD35" s="97"/>
      <c r="GE35" s="97"/>
      <c r="GF35" s="97"/>
      <c r="GG35" s="97">
        <v>100</v>
      </c>
      <c r="GH35" s="97"/>
      <c r="GI35" s="97"/>
      <c r="GJ35" s="97"/>
      <c r="GK35" s="97"/>
      <c r="GL35" s="97"/>
      <c r="GM35" s="97"/>
      <c r="GN35" s="97"/>
      <c r="GO35" s="97"/>
      <c r="GP35" s="97"/>
      <c r="GQ35" s="97"/>
      <c r="GR35" s="97"/>
      <c r="GS35" s="97"/>
      <c r="GT35" s="97"/>
      <c r="GU35" s="97"/>
      <c r="GV35" s="97"/>
      <c r="GW35" s="97"/>
      <c r="GX35" s="97"/>
      <c r="GY35" s="97"/>
      <c r="GZ35" s="97"/>
      <c r="HA35" s="97"/>
      <c r="HB35" s="97"/>
      <c r="HC35" s="97"/>
      <c r="HD35" s="97"/>
      <c r="HE35" s="97"/>
      <c r="HF35" s="97"/>
      <c r="HG35" s="97"/>
      <c r="HH35" s="97"/>
      <c r="HI35" s="97"/>
      <c r="HJ35" s="97"/>
      <c r="HK35" s="97"/>
      <c r="HL35" s="97"/>
      <c r="HM35" s="97"/>
      <c r="HN35" s="97"/>
      <c r="HO35" s="97"/>
      <c r="HP35" s="97"/>
      <c r="HQ35" s="97"/>
      <c r="HR35" s="97"/>
      <c r="HS35" s="97"/>
      <c r="HT35" s="97"/>
      <c r="HU35" s="97"/>
      <c r="HV35" s="97"/>
      <c r="HW35" s="97"/>
      <c r="HX35" s="97"/>
      <c r="HY35" s="97"/>
      <c r="HZ35" s="97"/>
      <c r="IA35" s="97"/>
      <c r="IB35" s="97"/>
      <c r="IC35" s="97"/>
      <c r="ID35" s="97"/>
      <c r="IE35" s="97"/>
      <c r="IF35" s="97"/>
      <c r="IG35" s="97"/>
      <c r="IH35" s="97"/>
      <c r="II35" s="97"/>
      <c r="IJ35" s="97"/>
      <c r="IK35" s="97"/>
      <c r="IL35" s="97"/>
      <c r="IM35" s="97"/>
      <c r="IN35" s="97"/>
      <c r="IO35" s="97"/>
      <c r="IP35" s="97"/>
      <c r="IQ35" s="97"/>
      <c r="IR35" s="97"/>
      <c r="IS35" s="97"/>
      <c r="IT35" s="97"/>
      <c r="IU35" s="97"/>
      <c r="IV35" s="97"/>
      <c r="IW35" s="97"/>
      <c r="IX35" s="97"/>
      <c r="IY35" s="97"/>
      <c r="IZ35" s="97"/>
      <c r="JA35" s="97"/>
      <c r="JB35" s="97"/>
      <c r="JC35" s="97"/>
      <c r="JD35" s="97"/>
      <c r="JE35" s="97"/>
      <c r="JF35" s="97"/>
      <c r="JG35" s="97"/>
      <c r="JH35" s="97"/>
      <c r="JI35" s="97"/>
      <c r="JJ35" s="97"/>
      <c r="JK35" s="97"/>
      <c r="JL35" s="97"/>
      <c r="JM35" s="97"/>
      <c r="JN35" s="97"/>
      <c r="JO35" s="97"/>
      <c r="JP35" s="97"/>
      <c r="JQ35" s="97"/>
      <c r="JR35" s="97"/>
      <c r="JS35" s="97"/>
      <c r="JT35" s="97"/>
      <c r="JU35" s="97"/>
      <c r="JV35" s="97"/>
      <c r="JW35" s="97"/>
      <c r="JX35" s="97"/>
      <c r="JY35" s="97"/>
      <c r="JZ35" s="98"/>
      <c r="KA35" s="17"/>
      <c r="KB35" s="17"/>
      <c r="KC35" s="17"/>
      <c r="KD35" s="17"/>
      <c r="KE35" s="17"/>
      <c r="KF35" s="17"/>
      <c r="KG35" s="17"/>
      <c r="KH35" s="17"/>
      <c r="KI35" s="17"/>
      <c r="KJ35" s="17"/>
      <c r="KK35" s="17"/>
      <c r="KL35" s="17"/>
      <c r="KM35" s="17"/>
      <c r="KN35" s="17"/>
      <c r="KO35" s="17"/>
      <c r="KP35" s="17"/>
      <c r="KQ35" s="17"/>
      <c r="KR35" s="17"/>
      <c r="KS35" s="17"/>
      <c r="KT35" s="17"/>
      <c r="KU35" s="17"/>
      <c r="KV35" s="17"/>
      <c r="KW35" s="17"/>
      <c r="KX35" s="17"/>
      <c r="KY35" s="17"/>
      <c r="KZ35" s="17"/>
      <c r="LA35" s="17"/>
      <c r="LB35" s="17"/>
      <c r="LC35" s="17"/>
      <c r="LD35" s="17"/>
      <c r="LE35" s="17"/>
      <c r="LF35" s="17"/>
      <c r="LG35" s="17"/>
      <c r="LH35" s="17"/>
      <c r="LI35" s="17"/>
      <c r="LJ35" s="17"/>
      <c r="LK35" s="17"/>
      <c r="LL35" s="17"/>
      <c r="LM35" s="17"/>
      <c r="LN35" s="17"/>
      <c r="LO35" s="17"/>
      <c r="LP35" s="17"/>
      <c r="LQ35" s="17"/>
      <c r="LR35" s="17"/>
      <c r="LS35" s="17"/>
      <c r="LT35" s="17"/>
      <c r="LU35" s="17"/>
      <c r="LV35" s="17"/>
      <c r="LW35" s="17"/>
      <c r="LX35" s="17"/>
      <c r="LY35" s="17"/>
      <c r="LZ35" s="17"/>
      <c r="MA35" s="17"/>
      <c r="MB35" s="17"/>
      <c r="MC35" s="17"/>
      <c r="MD35" s="17"/>
      <c r="ME35" s="17"/>
      <c r="MF35" s="17"/>
      <c r="MG35" s="17"/>
      <c r="MH35" s="17"/>
      <c r="MI35" s="17"/>
      <c r="MJ35" s="17"/>
      <c r="MK35" s="17"/>
      <c r="ML35" s="17"/>
      <c r="MM35" s="17"/>
      <c r="MN35" s="17"/>
      <c r="MO35" s="17"/>
      <c r="MP35" s="17"/>
      <c r="MQ35" s="17"/>
      <c r="MR35" s="17"/>
      <c r="MS35" s="17"/>
      <c r="MT35" s="17"/>
      <c r="MU35" s="17"/>
      <c r="MV35" s="17"/>
      <c r="MW35" s="17"/>
      <c r="MX35" s="17"/>
      <c r="MY35" s="17"/>
      <c r="MZ35" s="17"/>
      <c r="NA35" s="17"/>
      <c r="NB35" s="17"/>
      <c r="NC35" s="17"/>
      <c r="ND35" s="17"/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</row>
    <row r="36" spans="1:669" ht="15.75" thickBot="1" x14ac:dyDescent="0.3">
      <c r="A36" s="138" t="str">
        <f>B35</f>
        <v>ACESSÓRIOS</v>
      </c>
      <c r="B36" s="232"/>
      <c r="C36" s="81">
        <f>$C$35</f>
        <v>0</v>
      </c>
      <c r="D36" s="229"/>
      <c r="E36" s="173" t="s">
        <v>44</v>
      </c>
      <c r="F36" s="181">
        <v>0</v>
      </c>
      <c r="G36" s="174" t="s">
        <v>38</v>
      </c>
      <c r="H36" s="170">
        <v>1</v>
      </c>
      <c r="I36" s="242" t="s">
        <v>16</v>
      </c>
      <c r="J36" s="83" t="str">
        <f>J35</f>
        <v>CORTE</v>
      </c>
      <c r="K36" s="281"/>
      <c r="L36" s="57"/>
      <c r="M36" s="58"/>
      <c r="N36" s="58"/>
      <c r="O36" s="58"/>
      <c r="P36" s="58"/>
      <c r="Q36" s="58"/>
      <c r="R36" s="58"/>
      <c r="S36" s="58"/>
      <c r="T36" s="58"/>
      <c r="U36" s="58"/>
      <c r="V36" s="70"/>
      <c r="W36" s="70">
        <v>750</v>
      </c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>
        <v>80</v>
      </c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>
        <v>110</v>
      </c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>
        <v>130</v>
      </c>
      <c r="EH36" s="70"/>
      <c r="EI36" s="70"/>
      <c r="EJ36" s="70"/>
      <c r="EK36" s="70"/>
      <c r="EL36" s="70"/>
      <c r="EM36" s="70"/>
      <c r="EN36" s="70"/>
      <c r="EO36" s="70"/>
      <c r="EP36" s="70"/>
      <c r="EQ36" s="70">
        <v>20</v>
      </c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>
        <v>90</v>
      </c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  <c r="IT36" s="70"/>
      <c r="IU36" s="70"/>
      <c r="IV36" s="70"/>
      <c r="IW36" s="70"/>
      <c r="IX36" s="70"/>
      <c r="IY36" s="70"/>
      <c r="IZ36" s="70"/>
      <c r="JA36" s="70"/>
      <c r="JB36" s="70"/>
      <c r="JC36" s="70"/>
      <c r="JD36" s="70"/>
      <c r="JE36" s="70"/>
      <c r="JF36" s="70"/>
      <c r="JG36" s="70"/>
      <c r="JH36" s="70"/>
      <c r="JI36" s="70"/>
      <c r="JJ36" s="70"/>
      <c r="JK36" s="70"/>
      <c r="JL36" s="70"/>
      <c r="JM36" s="70"/>
      <c r="JN36" s="70"/>
      <c r="JO36" s="70"/>
      <c r="JP36" s="70"/>
      <c r="JQ36" s="70"/>
      <c r="JR36" s="70"/>
      <c r="JS36" s="70"/>
      <c r="JT36" s="70"/>
      <c r="JU36" s="70"/>
      <c r="JV36" s="70"/>
      <c r="JW36" s="70"/>
      <c r="JX36" s="70"/>
      <c r="JY36" s="70"/>
      <c r="JZ36" s="99"/>
      <c r="KA36" s="17"/>
      <c r="KB36" s="219" t="s">
        <v>71</v>
      </c>
      <c r="KC36" s="220">
        <f ca="1">W39</f>
        <v>750</v>
      </c>
      <c r="KD36" s="221">
        <f>SUM(X36:AT36)</f>
        <v>80</v>
      </c>
      <c r="KE36" s="221">
        <f>SUM(X38:AT38)</f>
        <v>94</v>
      </c>
      <c r="KF36" s="220">
        <f ca="1">KC36+KD36-KE36</f>
        <v>736</v>
      </c>
      <c r="KG36" s="221">
        <f t="shared" ref="KG36:KG39" ca="1" si="240">KC36</f>
        <v>750</v>
      </c>
      <c r="KH36" s="221">
        <f ca="1">KF36</f>
        <v>736</v>
      </c>
      <c r="KI36" s="220" t="str">
        <f t="shared" ref="KI36:KI44" si="241">"/2"</f>
        <v>/2</v>
      </c>
      <c r="KJ36" s="221">
        <f ca="1">(KC36+KF36)/2</f>
        <v>743</v>
      </c>
      <c r="KK36" s="221">
        <f ca="1">KF36/(KE36/KM36)</f>
        <v>195.74468085106383</v>
      </c>
      <c r="KL36" s="220">
        <f ca="1">365/KK36</f>
        <v>1.8646739130434782</v>
      </c>
      <c r="KM36" s="221">
        <v>25</v>
      </c>
      <c r="KN36" s="219" t="s">
        <v>75</v>
      </c>
      <c r="KO36" s="220">
        <f ca="1">KF39</f>
        <v>673</v>
      </c>
      <c r="KP36" s="221">
        <f>SUM(DF36:EA36)</f>
        <v>0</v>
      </c>
      <c r="KQ36" s="221">
        <f>SUM(DF38:EA38)</f>
        <v>72</v>
      </c>
      <c r="KR36" s="220">
        <f ca="1">KO36+KP36-KQ36</f>
        <v>601</v>
      </c>
      <c r="KS36" s="221">
        <f t="shared" ref="KS36:KS39" ca="1" si="242">KO36</f>
        <v>673</v>
      </c>
      <c r="KT36" s="221">
        <f ca="1">KR36</f>
        <v>601</v>
      </c>
      <c r="KU36" s="220" t="str">
        <f t="shared" ref="KU36:KU44" si="243">"/2"</f>
        <v>/2</v>
      </c>
      <c r="KV36" s="221">
        <f ca="1">(KO36+KR36)/2</f>
        <v>637</v>
      </c>
      <c r="KW36" s="221">
        <f ca="1">KR36/(KQ36/KY36)</f>
        <v>208.68055555555557</v>
      </c>
      <c r="KX36" s="220">
        <f ca="1">365/KW36</f>
        <v>1.7490848585690515</v>
      </c>
      <c r="KY36" s="221">
        <v>25</v>
      </c>
      <c r="KZ36" s="219" t="s">
        <v>83</v>
      </c>
      <c r="LA36" s="220">
        <f ca="1">KR39</f>
        <v>625</v>
      </c>
      <c r="LB36" s="221">
        <f>SUM('[12]Progr1 (3)'!LW43:MT43)</f>
        <v>0</v>
      </c>
      <c r="LC36" s="221">
        <f>SUM('[12]Progr1 (3)'!LW45:MS45)</f>
        <v>0</v>
      </c>
      <c r="LD36" s="220">
        <f ca="1">LA36+LB36-LC36</f>
        <v>625</v>
      </c>
      <c r="LE36" s="221">
        <f t="shared" ref="LE36:LE39" ca="1" si="244">LA36</f>
        <v>625</v>
      </c>
      <c r="LF36" s="221">
        <f ca="1">LD36</f>
        <v>625</v>
      </c>
      <c r="LG36" s="220" t="str">
        <f t="shared" ref="LG36:LG44" si="245">"/2"</f>
        <v>/2</v>
      </c>
      <c r="LH36" s="221">
        <f ca="1">(LA36+LD36)/2</f>
        <v>625</v>
      </c>
      <c r="LI36" s="221" t="e">
        <f ca="1">LD36/(LC36/LK36)</f>
        <v>#DIV/0!</v>
      </c>
      <c r="LJ36" s="220" t="e">
        <f ca="1">365/LI36</f>
        <v>#DIV/0!</v>
      </c>
      <c r="LK36" s="221">
        <v>25</v>
      </c>
      <c r="LL36" s="17"/>
      <c r="LM36" s="17"/>
      <c r="LN36" s="17"/>
      <c r="LO36" s="17"/>
      <c r="LP36" s="17"/>
      <c r="LQ36" s="17"/>
      <c r="LR36" s="17"/>
      <c r="LS36" s="17"/>
      <c r="LT36" s="17"/>
      <c r="LU36" s="17"/>
      <c r="LV36" s="17"/>
      <c r="LW36" s="17"/>
      <c r="LX36" s="17"/>
      <c r="LY36" s="17"/>
      <c r="LZ36" s="17"/>
      <c r="MA36" s="17"/>
      <c r="MB36" s="17"/>
      <c r="MC36" s="17"/>
      <c r="MD36" s="17"/>
      <c r="ME36" s="17"/>
      <c r="MF36" s="17"/>
      <c r="MG36" s="17"/>
      <c r="MH36" s="17"/>
      <c r="MI36" s="17"/>
      <c r="MJ36" s="17"/>
      <c r="MK36" s="17"/>
      <c r="ML36" s="17"/>
      <c r="MM36" s="17"/>
      <c r="MN36" s="17"/>
      <c r="MO36" s="17"/>
      <c r="MP36" s="17"/>
      <c r="MQ36" s="17"/>
      <c r="MR36" s="17"/>
      <c r="MS36" s="17"/>
      <c r="MT36" s="17"/>
      <c r="MU36" s="17"/>
      <c r="MV36" s="17"/>
      <c r="MW36" s="17"/>
      <c r="MX36" s="17"/>
      <c r="MY36" s="17"/>
      <c r="MZ36" s="17"/>
      <c r="NA36" s="17"/>
      <c r="NB36" s="17"/>
      <c r="NC36" s="17"/>
      <c r="ND36" s="17"/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</row>
    <row r="37" spans="1:669" ht="15.75" thickBot="1" x14ac:dyDescent="0.3">
      <c r="A37" s="138" t="str">
        <f>B35</f>
        <v>ACESSÓRIOS</v>
      </c>
      <c r="B37" s="232"/>
      <c r="C37" s="81">
        <f t="shared" ref="C37:C39" si="246">$C$35</f>
        <v>0</v>
      </c>
      <c r="D37" s="229"/>
      <c r="E37" s="173" t="s">
        <v>41</v>
      </c>
      <c r="F37" s="181">
        <v>0</v>
      </c>
      <c r="G37" s="175" t="s">
        <v>39</v>
      </c>
      <c r="H37" s="170">
        <v>1</v>
      </c>
      <c r="I37" s="242" t="s">
        <v>17</v>
      </c>
      <c r="J37" s="83" t="str">
        <f t="shared" ref="J37:J44" si="247">J36</f>
        <v>CORTE</v>
      </c>
      <c r="K37" s="281"/>
      <c r="L37" s="57"/>
      <c r="M37" s="58"/>
      <c r="N37" s="58"/>
      <c r="O37" s="58"/>
      <c r="P37" s="58"/>
      <c r="Q37" s="58"/>
      <c r="R37" s="58"/>
      <c r="S37" s="58"/>
      <c r="T37" s="58"/>
      <c r="U37" s="58"/>
      <c r="V37" s="68">
        <f t="shared" ref="V37:CG37" ca="1" si="248">IF(V3&gt;$J$5,"",U37+V35-V36)</f>
        <v>800</v>
      </c>
      <c r="W37" s="68">
        <f t="shared" ca="1" si="248"/>
        <v>50</v>
      </c>
      <c r="X37" s="68">
        <f t="shared" ca="1" si="248"/>
        <v>50</v>
      </c>
      <c r="Y37" s="68">
        <f t="shared" ca="1" si="248"/>
        <v>50</v>
      </c>
      <c r="Z37" s="68">
        <f t="shared" ca="1" si="248"/>
        <v>50</v>
      </c>
      <c r="AA37" s="68">
        <f t="shared" ca="1" si="248"/>
        <v>50</v>
      </c>
      <c r="AB37" s="68">
        <f t="shared" ca="1" si="248"/>
        <v>50</v>
      </c>
      <c r="AC37" s="68">
        <f t="shared" ca="1" si="248"/>
        <v>50</v>
      </c>
      <c r="AD37" s="68">
        <f t="shared" ca="1" si="248"/>
        <v>50</v>
      </c>
      <c r="AE37" s="68">
        <f t="shared" ca="1" si="248"/>
        <v>50</v>
      </c>
      <c r="AF37" s="68">
        <f t="shared" ca="1" si="248"/>
        <v>50</v>
      </c>
      <c r="AG37" s="68">
        <f t="shared" ca="1" si="248"/>
        <v>50</v>
      </c>
      <c r="AH37" s="68">
        <f t="shared" ca="1" si="248"/>
        <v>50</v>
      </c>
      <c r="AI37" s="68">
        <f t="shared" ca="1" si="248"/>
        <v>50</v>
      </c>
      <c r="AJ37" s="68">
        <f t="shared" ca="1" si="248"/>
        <v>50</v>
      </c>
      <c r="AK37" s="68">
        <f t="shared" ca="1" si="248"/>
        <v>50</v>
      </c>
      <c r="AL37" s="68">
        <f t="shared" ca="1" si="248"/>
        <v>50</v>
      </c>
      <c r="AM37" s="68">
        <f t="shared" ca="1" si="248"/>
        <v>50</v>
      </c>
      <c r="AN37" s="68">
        <f t="shared" ca="1" si="248"/>
        <v>50</v>
      </c>
      <c r="AO37" s="68">
        <f t="shared" ca="1" si="248"/>
        <v>50</v>
      </c>
      <c r="AP37" s="68">
        <f t="shared" ca="1" si="248"/>
        <v>50</v>
      </c>
      <c r="AQ37" s="68">
        <f t="shared" ca="1" si="248"/>
        <v>150</v>
      </c>
      <c r="AR37" s="68">
        <f t="shared" ca="1" si="248"/>
        <v>70</v>
      </c>
      <c r="AS37" s="68">
        <f t="shared" ca="1" si="248"/>
        <v>70</v>
      </c>
      <c r="AT37" s="68">
        <f t="shared" ca="1" si="248"/>
        <v>70</v>
      </c>
      <c r="AU37" s="68">
        <f t="shared" ca="1" si="248"/>
        <v>70</v>
      </c>
      <c r="AV37" s="68">
        <f t="shared" ca="1" si="248"/>
        <v>70</v>
      </c>
      <c r="AW37" s="68">
        <f t="shared" ca="1" si="248"/>
        <v>70</v>
      </c>
      <c r="AX37" s="68">
        <f t="shared" ca="1" si="248"/>
        <v>70</v>
      </c>
      <c r="AY37" s="68">
        <f t="shared" ca="1" si="248"/>
        <v>70</v>
      </c>
      <c r="AZ37" s="68">
        <f t="shared" ca="1" si="248"/>
        <v>70</v>
      </c>
      <c r="BA37" s="68">
        <f t="shared" ca="1" si="248"/>
        <v>70</v>
      </c>
      <c r="BB37" s="68">
        <f t="shared" ca="1" si="248"/>
        <v>70</v>
      </c>
      <c r="BC37" s="68">
        <f t="shared" ca="1" si="248"/>
        <v>70</v>
      </c>
      <c r="BD37" s="68">
        <f t="shared" ca="1" si="248"/>
        <v>70</v>
      </c>
      <c r="BE37" s="68">
        <f t="shared" ca="1" si="248"/>
        <v>70</v>
      </c>
      <c r="BF37" s="68">
        <f t="shared" ca="1" si="248"/>
        <v>70</v>
      </c>
      <c r="BG37" s="68">
        <f t="shared" ca="1" si="248"/>
        <v>70</v>
      </c>
      <c r="BH37" s="68">
        <f t="shared" ca="1" si="248"/>
        <v>70</v>
      </c>
      <c r="BI37" s="68">
        <f t="shared" ca="1" si="248"/>
        <v>70</v>
      </c>
      <c r="BJ37" s="68">
        <f t="shared" ca="1" si="248"/>
        <v>70</v>
      </c>
      <c r="BK37" s="68">
        <f t="shared" ca="1" si="248"/>
        <v>70</v>
      </c>
      <c r="BL37" s="68">
        <f t="shared" ca="1" si="248"/>
        <v>70</v>
      </c>
      <c r="BM37" s="68">
        <f t="shared" ca="1" si="248"/>
        <v>70</v>
      </c>
      <c r="BN37" s="68">
        <f t="shared" ca="1" si="248"/>
        <v>70</v>
      </c>
      <c r="BO37" s="68">
        <f t="shared" ca="1" si="248"/>
        <v>70</v>
      </c>
      <c r="BP37" s="68">
        <f t="shared" ca="1" si="248"/>
        <v>70</v>
      </c>
      <c r="BQ37" s="68">
        <f t="shared" ca="1" si="248"/>
        <v>70</v>
      </c>
      <c r="BR37" s="68">
        <f t="shared" ca="1" si="248"/>
        <v>70</v>
      </c>
      <c r="BS37" s="68">
        <f t="shared" ca="1" si="248"/>
        <v>70</v>
      </c>
      <c r="BT37" s="68">
        <f t="shared" ca="1" si="248"/>
        <v>70</v>
      </c>
      <c r="BU37" s="68">
        <f t="shared" ca="1" si="248"/>
        <v>70</v>
      </c>
      <c r="BV37" s="68">
        <f t="shared" ca="1" si="248"/>
        <v>70</v>
      </c>
      <c r="BW37" s="68">
        <f t="shared" ca="1" si="248"/>
        <v>70</v>
      </c>
      <c r="BX37" s="68">
        <f t="shared" ca="1" si="248"/>
        <v>70</v>
      </c>
      <c r="BY37" s="68">
        <f t="shared" ca="1" si="248"/>
        <v>70</v>
      </c>
      <c r="BZ37" s="68">
        <f t="shared" ca="1" si="248"/>
        <v>70</v>
      </c>
      <c r="CA37" s="68">
        <f t="shared" ca="1" si="248"/>
        <v>70</v>
      </c>
      <c r="CB37" s="68">
        <f t="shared" ca="1" si="248"/>
        <v>70</v>
      </c>
      <c r="CC37" s="68">
        <f t="shared" ca="1" si="248"/>
        <v>70</v>
      </c>
      <c r="CD37" s="68">
        <f t="shared" ca="1" si="248"/>
        <v>70</v>
      </c>
      <c r="CE37" s="68">
        <f t="shared" ca="1" si="248"/>
        <v>70</v>
      </c>
      <c r="CF37" s="68">
        <f t="shared" ca="1" si="248"/>
        <v>70</v>
      </c>
      <c r="CG37" s="68">
        <f t="shared" ca="1" si="248"/>
        <v>70</v>
      </c>
      <c r="CH37" s="68">
        <f t="shared" ref="CH37:ES37" ca="1" si="249">IF(CH3&gt;$J$5,"",CG37+CH35-CH36)</f>
        <v>70</v>
      </c>
      <c r="CI37" s="68">
        <f t="shared" ca="1" si="249"/>
        <v>70</v>
      </c>
      <c r="CJ37" s="68">
        <f t="shared" ca="1" si="249"/>
        <v>70</v>
      </c>
      <c r="CK37" s="68">
        <f t="shared" ca="1" si="249"/>
        <v>70</v>
      </c>
      <c r="CL37" s="68">
        <f t="shared" ca="1" si="249"/>
        <v>70</v>
      </c>
      <c r="CM37" s="68">
        <f t="shared" ca="1" si="249"/>
        <v>70</v>
      </c>
      <c r="CN37" s="68">
        <f t="shared" ca="1" si="249"/>
        <v>70</v>
      </c>
      <c r="CO37" s="68">
        <f t="shared" ca="1" si="249"/>
        <v>70</v>
      </c>
      <c r="CP37" s="68">
        <f t="shared" ca="1" si="249"/>
        <v>70</v>
      </c>
      <c r="CQ37" s="68">
        <f t="shared" ca="1" si="249"/>
        <v>70</v>
      </c>
      <c r="CR37" s="68">
        <f t="shared" ca="1" si="249"/>
        <v>70</v>
      </c>
      <c r="CS37" s="68">
        <f t="shared" ca="1" si="249"/>
        <v>70</v>
      </c>
      <c r="CT37" s="68">
        <f t="shared" ca="1" si="249"/>
        <v>70</v>
      </c>
      <c r="CU37" s="68">
        <f t="shared" ca="1" si="249"/>
        <v>70</v>
      </c>
      <c r="CV37" s="68">
        <f t="shared" ca="1" si="249"/>
        <v>70</v>
      </c>
      <c r="CW37" s="68">
        <f t="shared" ca="1" si="249"/>
        <v>70</v>
      </c>
      <c r="CX37" s="68">
        <f t="shared" ca="1" si="249"/>
        <v>170</v>
      </c>
      <c r="CY37" s="68">
        <f t="shared" ca="1" si="249"/>
        <v>60</v>
      </c>
      <c r="CZ37" s="68">
        <f t="shared" ca="1" si="249"/>
        <v>60</v>
      </c>
      <c r="DA37" s="68">
        <f t="shared" ca="1" si="249"/>
        <v>60</v>
      </c>
      <c r="DB37" s="68">
        <f t="shared" ca="1" si="249"/>
        <v>60</v>
      </c>
      <c r="DC37" s="68">
        <f t="shared" ca="1" si="249"/>
        <v>60</v>
      </c>
      <c r="DD37" s="68">
        <f t="shared" ca="1" si="249"/>
        <v>60</v>
      </c>
      <c r="DE37" s="68">
        <f t="shared" ca="1" si="249"/>
        <v>60</v>
      </c>
      <c r="DF37" s="68">
        <f t="shared" ca="1" si="249"/>
        <v>60</v>
      </c>
      <c r="DG37" s="68">
        <f t="shared" ca="1" si="249"/>
        <v>60</v>
      </c>
      <c r="DH37" s="68">
        <f t="shared" ca="1" si="249"/>
        <v>60</v>
      </c>
      <c r="DI37" s="68">
        <f t="shared" ca="1" si="249"/>
        <v>60</v>
      </c>
      <c r="DJ37" s="68">
        <f t="shared" ca="1" si="249"/>
        <v>60</v>
      </c>
      <c r="DK37" s="68">
        <f t="shared" ca="1" si="249"/>
        <v>60</v>
      </c>
      <c r="DL37" s="68">
        <f t="shared" ca="1" si="249"/>
        <v>60</v>
      </c>
      <c r="DM37" s="68">
        <f t="shared" ca="1" si="249"/>
        <v>60</v>
      </c>
      <c r="DN37" s="68">
        <f t="shared" ca="1" si="249"/>
        <v>60</v>
      </c>
      <c r="DO37" s="68">
        <f t="shared" ca="1" si="249"/>
        <v>60</v>
      </c>
      <c r="DP37" s="68">
        <f t="shared" ca="1" si="249"/>
        <v>60</v>
      </c>
      <c r="DQ37" s="68">
        <f t="shared" ca="1" si="249"/>
        <v>60</v>
      </c>
      <c r="DR37" s="68">
        <f t="shared" ca="1" si="249"/>
        <v>60</v>
      </c>
      <c r="DS37" s="68">
        <f t="shared" ca="1" si="249"/>
        <v>60</v>
      </c>
      <c r="DT37" s="68">
        <f t="shared" ca="1" si="249"/>
        <v>60</v>
      </c>
      <c r="DU37" s="68">
        <f t="shared" ca="1" si="249"/>
        <v>60</v>
      </c>
      <c r="DV37" s="68">
        <f t="shared" ca="1" si="249"/>
        <v>60</v>
      </c>
      <c r="DW37" s="68">
        <f t="shared" ca="1" si="249"/>
        <v>60</v>
      </c>
      <c r="DX37" s="68">
        <f t="shared" ca="1" si="249"/>
        <v>60</v>
      </c>
      <c r="DY37" s="68">
        <f t="shared" ca="1" si="249"/>
        <v>60</v>
      </c>
      <c r="DZ37" s="68">
        <f t="shared" ca="1" si="249"/>
        <v>60</v>
      </c>
      <c r="EA37" s="68">
        <f t="shared" ca="1" si="249"/>
        <v>60</v>
      </c>
      <c r="EB37" s="68">
        <f t="shared" ca="1" si="249"/>
        <v>60</v>
      </c>
      <c r="EC37" s="68">
        <f t="shared" ca="1" si="249"/>
        <v>60</v>
      </c>
      <c r="ED37" s="68">
        <f t="shared" ca="1" si="249"/>
        <v>60</v>
      </c>
      <c r="EE37" s="68">
        <f t="shared" ca="1" si="249"/>
        <v>60</v>
      </c>
      <c r="EF37" s="68">
        <f t="shared" ca="1" si="249"/>
        <v>210</v>
      </c>
      <c r="EG37" s="68">
        <f t="shared" ca="1" si="249"/>
        <v>80</v>
      </c>
      <c r="EH37" s="68">
        <f t="shared" ca="1" si="249"/>
        <v>80</v>
      </c>
      <c r="EI37" s="68">
        <f t="shared" ca="1" si="249"/>
        <v>80</v>
      </c>
      <c r="EJ37" s="68">
        <f t="shared" ca="1" si="249"/>
        <v>80</v>
      </c>
      <c r="EK37" s="68">
        <f t="shared" ca="1" si="249"/>
        <v>80</v>
      </c>
      <c r="EL37" s="68">
        <f t="shared" ca="1" si="249"/>
        <v>80</v>
      </c>
      <c r="EM37" s="68">
        <f t="shared" ca="1" si="249"/>
        <v>80</v>
      </c>
      <c r="EN37" s="68">
        <f t="shared" ca="1" si="249"/>
        <v>80</v>
      </c>
      <c r="EO37" s="68">
        <f t="shared" ca="1" si="249"/>
        <v>80</v>
      </c>
      <c r="EP37" s="68">
        <f t="shared" ca="1" si="249"/>
        <v>80</v>
      </c>
      <c r="EQ37" s="68">
        <f t="shared" ca="1" si="249"/>
        <v>60</v>
      </c>
      <c r="ER37" s="68">
        <f t="shared" ca="1" si="249"/>
        <v>60</v>
      </c>
      <c r="ES37" s="68">
        <f t="shared" ca="1" si="249"/>
        <v>60</v>
      </c>
      <c r="ET37" s="68">
        <f t="shared" ref="ET37:HE37" ca="1" si="250">IF(ET3&gt;$J$5,"",ES37+ET35-ET36)</f>
        <v>60</v>
      </c>
      <c r="EU37" s="68">
        <f t="shared" ca="1" si="250"/>
        <v>60</v>
      </c>
      <c r="EV37" s="68">
        <f t="shared" ca="1" si="250"/>
        <v>60</v>
      </c>
      <c r="EW37" s="68">
        <f t="shared" ca="1" si="250"/>
        <v>60</v>
      </c>
      <c r="EX37" s="68">
        <f t="shared" ca="1" si="250"/>
        <v>60</v>
      </c>
      <c r="EY37" s="68">
        <f t="shared" ca="1" si="250"/>
        <v>60</v>
      </c>
      <c r="EZ37" s="68">
        <f t="shared" ca="1" si="250"/>
        <v>60</v>
      </c>
      <c r="FA37" s="68">
        <f t="shared" ca="1" si="250"/>
        <v>60</v>
      </c>
      <c r="FB37" s="68">
        <f t="shared" ca="1" si="250"/>
        <v>60</v>
      </c>
      <c r="FC37" s="68">
        <f t="shared" ca="1" si="250"/>
        <v>60</v>
      </c>
      <c r="FD37" s="68">
        <f t="shared" ca="1" si="250"/>
        <v>60</v>
      </c>
      <c r="FE37" s="68">
        <f t="shared" ca="1" si="250"/>
        <v>60</v>
      </c>
      <c r="FF37" s="68">
        <f t="shared" ca="1" si="250"/>
        <v>60</v>
      </c>
      <c r="FG37" s="68">
        <f t="shared" ca="1" si="250"/>
        <v>60</v>
      </c>
      <c r="FH37" s="68">
        <f t="shared" ca="1" si="250"/>
        <v>60</v>
      </c>
      <c r="FI37" s="68">
        <f t="shared" ca="1" si="250"/>
        <v>60</v>
      </c>
      <c r="FJ37" s="68">
        <f t="shared" ca="1" si="250"/>
        <v>60</v>
      </c>
      <c r="FK37" s="68">
        <f t="shared" ca="1" si="250"/>
        <v>60</v>
      </c>
      <c r="FL37" s="68">
        <f t="shared" ca="1" si="250"/>
        <v>60</v>
      </c>
      <c r="FM37" s="68">
        <f t="shared" ca="1" si="250"/>
        <v>60</v>
      </c>
      <c r="FN37" s="68">
        <f t="shared" ca="1" si="250"/>
        <v>60</v>
      </c>
      <c r="FO37" s="68">
        <f t="shared" ca="1" si="250"/>
        <v>60</v>
      </c>
      <c r="FP37" s="68">
        <f t="shared" ca="1" si="250"/>
        <v>60</v>
      </c>
      <c r="FQ37" s="68">
        <f t="shared" ca="1" si="250"/>
        <v>60</v>
      </c>
      <c r="FR37" s="68">
        <f t="shared" ca="1" si="250"/>
        <v>60</v>
      </c>
      <c r="FS37" s="68">
        <f t="shared" ca="1" si="250"/>
        <v>60</v>
      </c>
      <c r="FT37" s="68">
        <f t="shared" ca="1" si="250"/>
        <v>60</v>
      </c>
      <c r="FU37" s="68">
        <f t="shared" ca="1" si="250"/>
        <v>60</v>
      </c>
      <c r="FV37" s="68">
        <f t="shared" ca="1" si="250"/>
        <v>60</v>
      </c>
      <c r="FW37" s="68">
        <f t="shared" ca="1" si="250"/>
        <v>60</v>
      </c>
      <c r="FX37" s="68">
        <f t="shared" ca="1" si="250"/>
        <v>60</v>
      </c>
      <c r="FY37" s="68">
        <f t="shared" ca="1" si="250"/>
        <v>60</v>
      </c>
      <c r="FZ37" s="68">
        <f t="shared" ca="1" si="250"/>
        <v>60</v>
      </c>
      <c r="GA37" s="68">
        <f t="shared" ca="1" si="250"/>
        <v>60</v>
      </c>
      <c r="GB37" s="68">
        <f t="shared" ca="1" si="250"/>
        <v>60</v>
      </c>
      <c r="GC37" s="68">
        <f t="shared" ca="1" si="250"/>
        <v>60</v>
      </c>
      <c r="GD37" s="68">
        <f t="shared" ca="1" si="250"/>
        <v>60</v>
      </c>
      <c r="GE37" s="68">
        <f t="shared" ca="1" si="250"/>
        <v>60</v>
      </c>
      <c r="GF37" s="68">
        <f t="shared" ca="1" si="250"/>
        <v>60</v>
      </c>
      <c r="GG37" s="68">
        <f t="shared" ca="1" si="250"/>
        <v>160</v>
      </c>
      <c r="GH37" s="68">
        <f t="shared" ca="1" si="250"/>
        <v>70</v>
      </c>
      <c r="GI37" s="68">
        <f t="shared" ca="1" si="250"/>
        <v>70</v>
      </c>
      <c r="GJ37" s="68">
        <f t="shared" ca="1" si="250"/>
        <v>70</v>
      </c>
      <c r="GK37" s="68">
        <f t="shared" ca="1" si="250"/>
        <v>70</v>
      </c>
      <c r="GL37" s="68">
        <f t="shared" ca="1" si="250"/>
        <v>70</v>
      </c>
      <c r="GM37" s="68">
        <f t="shared" ca="1" si="250"/>
        <v>70</v>
      </c>
      <c r="GN37" s="68">
        <f t="shared" ca="1" si="250"/>
        <v>70</v>
      </c>
      <c r="GO37" s="68">
        <f t="shared" ca="1" si="250"/>
        <v>70</v>
      </c>
      <c r="GP37" s="68">
        <f t="shared" ca="1" si="250"/>
        <v>70</v>
      </c>
      <c r="GQ37" s="68">
        <f t="shared" ca="1" si="250"/>
        <v>70</v>
      </c>
      <c r="GR37" s="68">
        <f t="shared" ca="1" si="250"/>
        <v>70</v>
      </c>
      <c r="GS37" s="68">
        <f t="shared" ca="1" si="250"/>
        <v>70</v>
      </c>
      <c r="GT37" s="68">
        <f t="shared" ca="1" si="250"/>
        <v>70</v>
      </c>
      <c r="GU37" s="68">
        <f t="shared" ca="1" si="250"/>
        <v>70</v>
      </c>
      <c r="GV37" s="68">
        <f t="shared" ca="1" si="250"/>
        <v>70</v>
      </c>
      <c r="GW37" s="68">
        <f t="shared" ca="1" si="250"/>
        <v>70</v>
      </c>
      <c r="GX37" s="68">
        <f t="shared" ca="1" si="250"/>
        <v>70</v>
      </c>
      <c r="GY37" s="68">
        <f t="shared" ca="1" si="250"/>
        <v>70</v>
      </c>
      <c r="GZ37" s="68">
        <f t="shared" ca="1" si="250"/>
        <v>70</v>
      </c>
      <c r="HA37" s="68">
        <f t="shared" ca="1" si="250"/>
        <v>70</v>
      </c>
      <c r="HB37" s="68">
        <f t="shared" ca="1" si="250"/>
        <v>70</v>
      </c>
      <c r="HC37" s="68">
        <f t="shared" ca="1" si="250"/>
        <v>70</v>
      </c>
      <c r="HD37" s="68" t="str">
        <f t="shared" ca="1" si="250"/>
        <v/>
      </c>
      <c r="HE37" s="68" t="str">
        <f t="shared" ca="1" si="250"/>
        <v/>
      </c>
      <c r="HF37" s="68" t="str">
        <f t="shared" ref="HF37:JQ37" ca="1" si="251">IF(HF3&gt;$J$5,"",HE37+HF35-HF36)</f>
        <v/>
      </c>
      <c r="HG37" s="68" t="str">
        <f t="shared" ca="1" si="251"/>
        <v/>
      </c>
      <c r="HH37" s="68" t="str">
        <f t="shared" ca="1" si="251"/>
        <v/>
      </c>
      <c r="HI37" s="68" t="str">
        <f t="shared" ca="1" si="251"/>
        <v/>
      </c>
      <c r="HJ37" s="68" t="str">
        <f t="shared" ca="1" si="251"/>
        <v/>
      </c>
      <c r="HK37" s="68" t="str">
        <f t="shared" ca="1" si="251"/>
        <v/>
      </c>
      <c r="HL37" s="68" t="str">
        <f t="shared" ca="1" si="251"/>
        <v/>
      </c>
      <c r="HM37" s="68" t="str">
        <f t="shared" ca="1" si="251"/>
        <v/>
      </c>
      <c r="HN37" s="68" t="str">
        <f t="shared" ca="1" si="251"/>
        <v/>
      </c>
      <c r="HO37" s="68" t="str">
        <f t="shared" ca="1" si="251"/>
        <v/>
      </c>
      <c r="HP37" s="68" t="str">
        <f t="shared" ca="1" si="251"/>
        <v/>
      </c>
      <c r="HQ37" s="68" t="str">
        <f t="shared" ca="1" si="251"/>
        <v/>
      </c>
      <c r="HR37" s="68" t="str">
        <f t="shared" ca="1" si="251"/>
        <v/>
      </c>
      <c r="HS37" s="68" t="str">
        <f t="shared" ca="1" si="251"/>
        <v/>
      </c>
      <c r="HT37" s="68" t="str">
        <f t="shared" ca="1" si="251"/>
        <v/>
      </c>
      <c r="HU37" s="68" t="str">
        <f t="shared" ca="1" si="251"/>
        <v/>
      </c>
      <c r="HV37" s="68" t="str">
        <f t="shared" ca="1" si="251"/>
        <v/>
      </c>
      <c r="HW37" s="68" t="str">
        <f t="shared" ca="1" si="251"/>
        <v/>
      </c>
      <c r="HX37" s="68" t="str">
        <f t="shared" ca="1" si="251"/>
        <v/>
      </c>
      <c r="HY37" s="68" t="str">
        <f t="shared" ca="1" si="251"/>
        <v/>
      </c>
      <c r="HZ37" s="68" t="str">
        <f t="shared" ca="1" si="251"/>
        <v/>
      </c>
      <c r="IA37" s="68" t="str">
        <f t="shared" ca="1" si="251"/>
        <v/>
      </c>
      <c r="IB37" s="68" t="str">
        <f t="shared" ca="1" si="251"/>
        <v/>
      </c>
      <c r="IC37" s="68" t="str">
        <f t="shared" ca="1" si="251"/>
        <v/>
      </c>
      <c r="ID37" s="68" t="str">
        <f t="shared" ca="1" si="251"/>
        <v/>
      </c>
      <c r="IE37" s="68" t="str">
        <f t="shared" ca="1" si="251"/>
        <v/>
      </c>
      <c r="IF37" s="68" t="str">
        <f t="shared" ca="1" si="251"/>
        <v/>
      </c>
      <c r="IG37" s="68" t="str">
        <f t="shared" ca="1" si="251"/>
        <v/>
      </c>
      <c r="IH37" s="68" t="str">
        <f t="shared" ca="1" si="251"/>
        <v/>
      </c>
      <c r="II37" s="68" t="str">
        <f t="shared" ca="1" si="251"/>
        <v/>
      </c>
      <c r="IJ37" s="68" t="str">
        <f t="shared" ca="1" si="251"/>
        <v/>
      </c>
      <c r="IK37" s="68" t="str">
        <f t="shared" ca="1" si="251"/>
        <v/>
      </c>
      <c r="IL37" s="68" t="str">
        <f t="shared" ca="1" si="251"/>
        <v/>
      </c>
      <c r="IM37" s="68" t="str">
        <f t="shared" ca="1" si="251"/>
        <v/>
      </c>
      <c r="IN37" s="68" t="str">
        <f t="shared" ca="1" si="251"/>
        <v/>
      </c>
      <c r="IO37" s="68" t="str">
        <f t="shared" ca="1" si="251"/>
        <v/>
      </c>
      <c r="IP37" s="68" t="str">
        <f t="shared" ca="1" si="251"/>
        <v/>
      </c>
      <c r="IQ37" s="68" t="str">
        <f t="shared" ca="1" si="251"/>
        <v/>
      </c>
      <c r="IR37" s="68" t="str">
        <f t="shared" ca="1" si="251"/>
        <v/>
      </c>
      <c r="IS37" s="68" t="str">
        <f t="shared" ca="1" si="251"/>
        <v/>
      </c>
      <c r="IT37" s="68" t="str">
        <f t="shared" ca="1" si="251"/>
        <v/>
      </c>
      <c r="IU37" s="68" t="str">
        <f t="shared" ca="1" si="251"/>
        <v/>
      </c>
      <c r="IV37" s="68" t="str">
        <f t="shared" ca="1" si="251"/>
        <v/>
      </c>
      <c r="IW37" s="68" t="str">
        <f t="shared" ca="1" si="251"/>
        <v/>
      </c>
      <c r="IX37" s="68" t="str">
        <f t="shared" ca="1" si="251"/>
        <v/>
      </c>
      <c r="IY37" s="68" t="str">
        <f t="shared" ca="1" si="251"/>
        <v/>
      </c>
      <c r="IZ37" s="68" t="str">
        <f t="shared" ca="1" si="251"/>
        <v/>
      </c>
      <c r="JA37" s="68" t="str">
        <f t="shared" ca="1" si="251"/>
        <v/>
      </c>
      <c r="JB37" s="68" t="str">
        <f t="shared" ca="1" si="251"/>
        <v/>
      </c>
      <c r="JC37" s="68" t="str">
        <f t="shared" ca="1" si="251"/>
        <v/>
      </c>
      <c r="JD37" s="68" t="str">
        <f t="shared" ca="1" si="251"/>
        <v/>
      </c>
      <c r="JE37" s="68" t="str">
        <f t="shared" ca="1" si="251"/>
        <v/>
      </c>
      <c r="JF37" s="68" t="str">
        <f t="shared" ca="1" si="251"/>
        <v/>
      </c>
      <c r="JG37" s="68" t="str">
        <f t="shared" ca="1" si="251"/>
        <v/>
      </c>
      <c r="JH37" s="68" t="str">
        <f t="shared" ca="1" si="251"/>
        <v/>
      </c>
      <c r="JI37" s="68" t="str">
        <f t="shared" ca="1" si="251"/>
        <v/>
      </c>
      <c r="JJ37" s="68" t="str">
        <f t="shared" ca="1" si="251"/>
        <v/>
      </c>
      <c r="JK37" s="68" t="str">
        <f t="shared" ca="1" si="251"/>
        <v/>
      </c>
      <c r="JL37" s="68" t="str">
        <f t="shared" ca="1" si="251"/>
        <v/>
      </c>
      <c r="JM37" s="68" t="str">
        <f t="shared" ca="1" si="251"/>
        <v/>
      </c>
      <c r="JN37" s="68" t="str">
        <f t="shared" ca="1" si="251"/>
        <v/>
      </c>
      <c r="JO37" s="68" t="str">
        <f t="shared" ca="1" si="251"/>
        <v/>
      </c>
      <c r="JP37" s="68" t="str">
        <f t="shared" ca="1" si="251"/>
        <v/>
      </c>
      <c r="JQ37" s="68" t="str">
        <f t="shared" ca="1" si="251"/>
        <v/>
      </c>
      <c r="JR37" s="68" t="str">
        <f t="shared" ref="JR37:JZ37" ca="1" si="252">IF(JR3&gt;$J$5,"",JQ37+JR35-JR36)</f>
        <v/>
      </c>
      <c r="JS37" s="68" t="str">
        <f t="shared" ca="1" si="252"/>
        <v/>
      </c>
      <c r="JT37" s="68" t="str">
        <f t="shared" ca="1" si="252"/>
        <v/>
      </c>
      <c r="JU37" s="68" t="str">
        <f t="shared" ca="1" si="252"/>
        <v/>
      </c>
      <c r="JV37" s="68" t="str">
        <f t="shared" ca="1" si="252"/>
        <v/>
      </c>
      <c r="JW37" s="68" t="str">
        <f t="shared" ca="1" si="252"/>
        <v/>
      </c>
      <c r="JX37" s="68" t="str">
        <f t="shared" ca="1" si="252"/>
        <v/>
      </c>
      <c r="JY37" s="68" t="str">
        <f t="shared" ca="1" si="252"/>
        <v/>
      </c>
      <c r="JZ37" s="100" t="str">
        <f t="shared" ca="1" si="252"/>
        <v/>
      </c>
      <c r="KA37" s="17"/>
      <c r="KB37" s="219" t="s">
        <v>72</v>
      </c>
      <c r="KC37" s="222">
        <f ca="1">KF36</f>
        <v>736</v>
      </c>
      <c r="KD37" s="223">
        <f>SUM(AU36:BN36)</f>
        <v>0</v>
      </c>
      <c r="KE37" s="223">
        <f>SUM(AU30:BN30)</f>
        <v>47</v>
      </c>
      <c r="KF37" s="222">
        <f t="shared" ref="KF37:KF39" ca="1" si="253">KC37+KD37-KE37</f>
        <v>689</v>
      </c>
      <c r="KG37" s="223">
        <f t="shared" ca="1" si="240"/>
        <v>736</v>
      </c>
      <c r="KH37" s="223">
        <f t="shared" ref="KH37:KH39" ca="1" si="254">KF37</f>
        <v>689</v>
      </c>
      <c r="KI37" s="222" t="str">
        <f t="shared" si="241"/>
        <v>/2</v>
      </c>
      <c r="KJ37" s="223">
        <f t="shared" ref="KJ37:KJ39" ca="1" si="255">(KC37+KF37)/2</f>
        <v>712.5</v>
      </c>
      <c r="KK37" s="223">
        <f t="shared" ref="KK37:KK39" ca="1" si="256">KF37/(KE37/KM37)</f>
        <v>366.48936170212767</v>
      </c>
      <c r="KL37" s="222">
        <f t="shared" ref="KL37:KL39" ca="1" si="257">365/KK37</f>
        <v>0.99593613933236569</v>
      </c>
      <c r="KM37" s="223">
        <v>25</v>
      </c>
      <c r="KN37" s="219" t="s">
        <v>76</v>
      </c>
      <c r="KO37" s="222">
        <f ca="1">KR36</f>
        <v>601</v>
      </c>
      <c r="KP37" s="223">
        <f>SUM(EB36:EV36)</f>
        <v>150</v>
      </c>
      <c r="KQ37" s="223">
        <f>SUM(EB38:EV38)</f>
        <v>62</v>
      </c>
      <c r="KR37" s="222">
        <f t="shared" ref="KR37:KR39" ca="1" si="258">KO37+KP37-KQ37</f>
        <v>689</v>
      </c>
      <c r="KS37" s="223">
        <f t="shared" ca="1" si="242"/>
        <v>601</v>
      </c>
      <c r="KT37" s="223">
        <f t="shared" ref="KT37:KT39" ca="1" si="259">KR37</f>
        <v>689</v>
      </c>
      <c r="KU37" s="222" t="str">
        <f t="shared" si="243"/>
        <v>/2</v>
      </c>
      <c r="KV37" s="223">
        <f t="shared" ref="KV37:KV39" ca="1" si="260">(KO37+KR37)/2</f>
        <v>645</v>
      </c>
      <c r="KW37" s="223">
        <f t="shared" ref="KW37:KW39" ca="1" si="261">KR37/(KQ37/KY37)</f>
        <v>277.82258064516128</v>
      </c>
      <c r="KX37" s="222">
        <f t="shared" ref="KX37:KX39" ca="1" si="262">365/KW37</f>
        <v>1.3137880986937591</v>
      </c>
      <c r="KY37" s="223">
        <v>25</v>
      </c>
      <c r="KZ37" s="219" t="s">
        <v>80</v>
      </c>
      <c r="LA37" s="222">
        <f ca="1">LD36</f>
        <v>625</v>
      </c>
      <c r="LB37" s="223">
        <f>SUM('[12]Progr1 (3)'!MT43:NM43)</f>
        <v>0</v>
      </c>
      <c r="LC37" s="223">
        <f>SUM('[12]Progr1 (3)'!MT45:NM45)</f>
        <v>0</v>
      </c>
      <c r="LD37" s="222">
        <f t="shared" ref="LD37:LD39" ca="1" si="263">LA37+LB37-LC37</f>
        <v>625</v>
      </c>
      <c r="LE37" s="223">
        <f t="shared" ca="1" si="244"/>
        <v>625</v>
      </c>
      <c r="LF37" s="223">
        <f t="shared" ref="LF37:LF39" ca="1" si="264">LD37</f>
        <v>625</v>
      </c>
      <c r="LG37" s="222" t="str">
        <f t="shared" si="245"/>
        <v>/2</v>
      </c>
      <c r="LH37" s="223">
        <f t="shared" ref="LH37:LH39" ca="1" si="265">(LA37+LD37)/2</f>
        <v>625</v>
      </c>
      <c r="LI37" s="223" t="e">
        <f t="shared" ref="LI37:LI39" ca="1" si="266">LD37/(LC37/LK37)</f>
        <v>#DIV/0!</v>
      </c>
      <c r="LJ37" s="222" t="e">
        <f t="shared" ref="LJ37:LJ39" ca="1" si="267">365/LI37</f>
        <v>#DIV/0!</v>
      </c>
      <c r="LK37" s="223">
        <v>25</v>
      </c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</row>
    <row r="38" spans="1:669" ht="16.5" thickTop="1" thickBot="1" x14ac:dyDescent="0.3">
      <c r="A38" s="138" t="str">
        <f>B35</f>
        <v>ACESSÓRIOS</v>
      </c>
      <c r="B38" s="232"/>
      <c r="C38" s="81">
        <f t="shared" si="246"/>
        <v>0</v>
      </c>
      <c r="D38" s="229"/>
      <c r="E38" s="173" t="s">
        <v>40</v>
      </c>
      <c r="F38" s="182">
        <f>(H39*H35)*SQRT(H36/H37)</f>
        <v>8.0711248633632238</v>
      </c>
      <c r="G38" s="176" t="s">
        <v>45</v>
      </c>
      <c r="H38" s="171">
        <v>0.95</v>
      </c>
      <c r="I38" s="242" t="s">
        <v>18</v>
      </c>
      <c r="J38" s="83" t="str">
        <f t="shared" si="247"/>
        <v>CORTE</v>
      </c>
      <c r="K38" s="281"/>
      <c r="L38" s="60"/>
      <c r="M38" s="61"/>
      <c r="N38" s="61"/>
      <c r="O38" s="61"/>
      <c r="P38" s="61"/>
      <c r="Q38" s="61"/>
      <c r="R38" s="61"/>
      <c r="S38" s="61"/>
      <c r="T38" s="61"/>
      <c r="U38" s="61"/>
      <c r="V38" s="70">
        <v>0</v>
      </c>
      <c r="W38" s="70">
        <v>0</v>
      </c>
      <c r="X38" s="70">
        <v>12</v>
      </c>
      <c r="Y38" s="70">
        <v>0</v>
      </c>
      <c r="Z38" s="70">
        <v>1</v>
      </c>
      <c r="AA38" s="70">
        <v>10</v>
      </c>
      <c r="AB38" s="70">
        <v>0</v>
      </c>
      <c r="AC38" s="70">
        <v>12</v>
      </c>
      <c r="AD38" s="70">
        <v>11</v>
      </c>
      <c r="AE38" s="70">
        <v>0</v>
      </c>
      <c r="AF38" s="70">
        <v>0</v>
      </c>
      <c r="AG38" s="70">
        <v>0</v>
      </c>
      <c r="AH38" s="70">
        <v>3</v>
      </c>
      <c r="AI38" s="70">
        <v>0</v>
      </c>
      <c r="AJ38" s="70">
        <v>0</v>
      </c>
      <c r="AK38" s="70">
        <v>5</v>
      </c>
      <c r="AL38" s="70">
        <v>0</v>
      </c>
      <c r="AM38" s="70">
        <v>0</v>
      </c>
      <c r="AN38" s="70">
        <v>15</v>
      </c>
      <c r="AO38" s="70">
        <v>0</v>
      </c>
      <c r="AP38" s="70">
        <v>0</v>
      </c>
      <c r="AQ38" s="70">
        <v>15</v>
      </c>
      <c r="AR38" s="70">
        <v>0</v>
      </c>
      <c r="AS38" s="70">
        <v>0</v>
      </c>
      <c r="AT38" s="70">
        <v>10</v>
      </c>
      <c r="AU38" s="70">
        <v>20</v>
      </c>
      <c r="AV38" s="70">
        <v>0</v>
      </c>
      <c r="AW38" s="70">
        <v>0</v>
      </c>
      <c r="AX38" s="70">
        <v>0</v>
      </c>
      <c r="AY38" s="70">
        <v>0</v>
      </c>
      <c r="AZ38" s="70">
        <v>10</v>
      </c>
      <c r="BA38" s="70">
        <v>9</v>
      </c>
      <c r="BB38" s="70">
        <v>0</v>
      </c>
      <c r="BC38" s="70">
        <v>3</v>
      </c>
      <c r="BD38" s="70">
        <v>0</v>
      </c>
      <c r="BE38" s="70">
        <v>0</v>
      </c>
      <c r="BF38" s="70">
        <v>0</v>
      </c>
      <c r="BG38" s="70">
        <v>0</v>
      </c>
      <c r="BH38" s="70">
        <v>5</v>
      </c>
      <c r="BI38" s="70">
        <v>0</v>
      </c>
      <c r="BJ38" s="70">
        <v>3</v>
      </c>
      <c r="BK38" s="70">
        <v>0</v>
      </c>
      <c r="BL38" s="70">
        <v>10</v>
      </c>
      <c r="BM38" s="70">
        <v>2</v>
      </c>
      <c r="BN38" s="70">
        <v>0</v>
      </c>
      <c r="BO38" s="70">
        <v>0</v>
      </c>
      <c r="BP38" s="70">
        <v>2</v>
      </c>
      <c r="BQ38" s="70">
        <v>0</v>
      </c>
      <c r="BR38" s="70">
        <v>0</v>
      </c>
      <c r="BS38" s="70">
        <v>13</v>
      </c>
      <c r="BT38" s="70">
        <v>0</v>
      </c>
      <c r="BU38" s="70">
        <v>0</v>
      </c>
      <c r="BV38" s="70">
        <v>0</v>
      </c>
      <c r="BW38" s="70">
        <v>1</v>
      </c>
      <c r="BX38" s="70">
        <v>3</v>
      </c>
      <c r="BY38" s="70">
        <v>6</v>
      </c>
      <c r="BZ38" s="70">
        <v>5</v>
      </c>
      <c r="CA38" s="70">
        <v>0</v>
      </c>
      <c r="CB38" s="70">
        <v>12</v>
      </c>
      <c r="CC38" s="70">
        <v>0</v>
      </c>
      <c r="CD38" s="70">
        <v>7</v>
      </c>
      <c r="CE38" s="70">
        <v>5</v>
      </c>
      <c r="CF38" s="70">
        <v>0</v>
      </c>
      <c r="CG38" s="70">
        <v>0</v>
      </c>
      <c r="CH38" s="70">
        <v>2</v>
      </c>
      <c r="CI38" s="70">
        <v>7</v>
      </c>
      <c r="CJ38" s="70">
        <v>8</v>
      </c>
      <c r="CK38" s="70">
        <v>9</v>
      </c>
      <c r="CL38" s="70">
        <v>0</v>
      </c>
      <c r="CM38" s="70">
        <v>0</v>
      </c>
      <c r="CN38" s="70">
        <v>16</v>
      </c>
      <c r="CO38" s="70">
        <v>0</v>
      </c>
      <c r="CP38" s="70">
        <v>0</v>
      </c>
      <c r="CQ38" s="70">
        <v>1</v>
      </c>
      <c r="CR38" s="70">
        <v>3</v>
      </c>
      <c r="CS38" s="70">
        <v>0</v>
      </c>
      <c r="CT38" s="70">
        <v>0</v>
      </c>
      <c r="CU38" s="70">
        <v>5</v>
      </c>
      <c r="CV38" s="70">
        <v>0</v>
      </c>
      <c r="CW38" s="70">
        <v>0</v>
      </c>
      <c r="CX38" s="70">
        <v>0</v>
      </c>
      <c r="CY38" s="70">
        <v>6</v>
      </c>
      <c r="CZ38" s="70">
        <v>0</v>
      </c>
      <c r="DA38" s="70">
        <v>0</v>
      </c>
      <c r="DB38" s="70">
        <v>0</v>
      </c>
      <c r="DC38" s="70">
        <v>18</v>
      </c>
      <c r="DD38" s="70">
        <v>0</v>
      </c>
      <c r="DE38" s="70">
        <v>0</v>
      </c>
      <c r="DF38" s="70">
        <v>0</v>
      </c>
      <c r="DG38" s="70">
        <v>0</v>
      </c>
      <c r="DH38" s="70">
        <v>2</v>
      </c>
      <c r="DI38" s="70">
        <v>3</v>
      </c>
      <c r="DJ38" s="70">
        <v>3</v>
      </c>
      <c r="DK38" s="70">
        <v>5</v>
      </c>
      <c r="DL38" s="70">
        <v>9</v>
      </c>
      <c r="DM38" s="70">
        <v>0</v>
      </c>
      <c r="DN38" s="70">
        <v>0</v>
      </c>
      <c r="DO38" s="70">
        <v>7</v>
      </c>
      <c r="DP38" s="70">
        <v>0</v>
      </c>
      <c r="DQ38" s="70">
        <v>0</v>
      </c>
      <c r="DR38" s="70">
        <v>8</v>
      </c>
      <c r="DS38" s="70">
        <v>0</v>
      </c>
      <c r="DT38" s="70">
        <v>0</v>
      </c>
      <c r="DU38" s="70">
        <v>9</v>
      </c>
      <c r="DV38" s="70">
        <v>3</v>
      </c>
      <c r="DW38" s="70">
        <v>8</v>
      </c>
      <c r="DX38" s="70">
        <v>0</v>
      </c>
      <c r="DY38" s="70">
        <v>0</v>
      </c>
      <c r="DZ38" s="70">
        <v>0</v>
      </c>
      <c r="EA38" s="70">
        <v>15</v>
      </c>
      <c r="EB38" s="70">
        <v>2</v>
      </c>
      <c r="EC38" s="70">
        <v>0</v>
      </c>
      <c r="ED38" s="70">
        <v>0</v>
      </c>
      <c r="EE38" s="70">
        <v>0</v>
      </c>
      <c r="EF38" s="70">
        <v>0</v>
      </c>
      <c r="EG38" s="70">
        <v>0</v>
      </c>
      <c r="EH38" s="70">
        <v>0</v>
      </c>
      <c r="EI38" s="70">
        <v>5</v>
      </c>
      <c r="EJ38" s="70">
        <v>16</v>
      </c>
      <c r="EK38" s="70">
        <v>0</v>
      </c>
      <c r="EL38" s="70">
        <v>2</v>
      </c>
      <c r="EM38" s="70">
        <v>0</v>
      </c>
      <c r="EN38" s="70">
        <v>0</v>
      </c>
      <c r="EO38" s="70">
        <v>3</v>
      </c>
      <c r="EP38" s="70">
        <v>0</v>
      </c>
      <c r="EQ38" s="70">
        <v>0</v>
      </c>
      <c r="ER38" s="70">
        <v>0</v>
      </c>
      <c r="ES38" s="70">
        <v>3</v>
      </c>
      <c r="ET38" s="70">
        <v>18</v>
      </c>
      <c r="EU38" s="70">
        <v>0</v>
      </c>
      <c r="EV38" s="70">
        <v>13</v>
      </c>
      <c r="EW38" s="70">
        <v>0</v>
      </c>
      <c r="EX38" s="70">
        <v>12</v>
      </c>
      <c r="EY38" s="70">
        <v>13</v>
      </c>
      <c r="EZ38" s="70">
        <v>0</v>
      </c>
      <c r="FA38" s="70">
        <v>0</v>
      </c>
      <c r="FB38" s="70">
        <v>0</v>
      </c>
      <c r="FC38" s="70">
        <v>0</v>
      </c>
      <c r="FD38" s="70">
        <v>8</v>
      </c>
      <c r="FE38" s="70">
        <v>0</v>
      </c>
      <c r="FF38" s="70">
        <v>3</v>
      </c>
      <c r="FG38" s="70">
        <v>3</v>
      </c>
      <c r="FH38" s="70">
        <v>5</v>
      </c>
      <c r="FI38" s="70">
        <v>6</v>
      </c>
      <c r="FJ38" s="70">
        <v>2</v>
      </c>
      <c r="FK38" s="70">
        <v>5</v>
      </c>
      <c r="FL38" s="70">
        <v>0</v>
      </c>
      <c r="FM38" s="70">
        <v>0</v>
      </c>
      <c r="FN38" s="70">
        <v>0</v>
      </c>
      <c r="FO38" s="70">
        <v>8</v>
      </c>
      <c r="FP38" s="70">
        <v>0</v>
      </c>
      <c r="FQ38" s="70">
        <v>0</v>
      </c>
      <c r="FR38" s="70">
        <v>3</v>
      </c>
      <c r="FS38" s="70">
        <v>8</v>
      </c>
      <c r="FT38" s="70">
        <v>10</v>
      </c>
      <c r="FU38" s="70">
        <v>0</v>
      </c>
      <c r="FV38" s="70">
        <v>0</v>
      </c>
      <c r="FW38" s="70">
        <v>20</v>
      </c>
      <c r="FX38" s="70">
        <v>0</v>
      </c>
      <c r="FY38" s="70">
        <v>0</v>
      </c>
      <c r="FZ38" s="70">
        <v>5</v>
      </c>
      <c r="GA38" s="70">
        <v>0</v>
      </c>
      <c r="GB38" s="70">
        <v>6</v>
      </c>
      <c r="GC38" s="70">
        <v>0</v>
      </c>
      <c r="GD38" s="70">
        <v>0</v>
      </c>
      <c r="GE38" s="70">
        <v>3</v>
      </c>
      <c r="GF38" s="70">
        <v>0</v>
      </c>
      <c r="GG38" s="70">
        <v>13</v>
      </c>
      <c r="GH38" s="70">
        <v>0</v>
      </c>
      <c r="GI38" s="70">
        <v>5</v>
      </c>
      <c r="GJ38" s="70">
        <v>0</v>
      </c>
      <c r="GK38" s="70">
        <v>12</v>
      </c>
      <c r="GL38" s="70">
        <v>2</v>
      </c>
      <c r="GM38" s="70">
        <v>1</v>
      </c>
      <c r="GN38" s="70">
        <v>1</v>
      </c>
      <c r="GO38" s="70"/>
      <c r="GP38" s="70"/>
      <c r="GQ38" s="70"/>
      <c r="GR38" s="70"/>
      <c r="GS38" s="70"/>
      <c r="GT38" s="70"/>
      <c r="GU38" s="70"/>
      <c r="GV38" s="70"/>
      <c r="GW38" s="70"/>
      <c r="GX38" s="70"/>
      <c r="GY38" s="70"/>
      <c r="GZ38" s="70"/>
      <c r="HA38" s="70"/>
      <c r="HB38" s="70"/>
      <c r="HC38" s="70"/>
      <c r="HD38" s="70"/>
      <c r="HE38" s="70"/>
      <c r="HF38" s="70"/>
      <c r="HG38" s="70"/>
      <c r="HH38" s="70"/>
      <c r="HI38" s="70"/>
      <c r="HJ38" s="70"/>
      <c r="HK38" s="70"/>
      <c r="HL38" s="70"/>
      <c r="HM38" s="70"/>
      <c r="HN38" s="70"/>
      <c r="HO38" s="70"/>
      <c r="HP38" s="70"/>
      <c r="HQ38" s="70"/>
      <c r="HR38" s="70"/>
      <c r="HS38" s="70"/>
      <c r="HT38" s="70"/>
      <c r="HU38" s="70"/>
      <c r="HV38" s="70"/>
      <c r="HW38" s="70"/>
      <c r="HX38" s="70"/>
      <c r="HY38" s="70"/>
      <c r="HZ38" s="70"/>
      <c r="IA38" s="70"/>
      <c r="IB38" s="70"/>
      <c r="IC38" s="70"/>
      <c r="ID38" s="70"/>
      <c r="IE38" s="70"/>
      <c r="IF38" s="70"/>
      <c r="IG38" s="70"/>
      <c r="IH38" s="70"/>
      <c r="II38" s="70"/>
      <c r="IJ38" s="70"/>
      <c r="IK38" s="70"/>
      <c r="IL38" s="70"/>
      <c r="IM38" s="70"/>
      <c r="IN38" s="70"/>
      <c r="IO38" s="70"/>
      <c r="IP38" s="70"/>
      <c r="IQ38" s="70"/>
      <c r="IR38" s="70"/>
      <c r="IS38" s="70"/>
      <c r="IT38" s="70"/>
      <c r="IU38" s="70"/>
      <c r="IV38" s="70"/>
      <c r="IW38" s="70"/>
      <c r="IX38" s="70"/>
      <c r="IY38" s="70"/>
      <c r="IZ38" s="70"/>
      <c r="JA38" s="70"/>
      <c r="JB38" s="70"/>
      <c r="JC38" s="70"/>
      <c r="JD38" s="70"/>
      <c r="JE38" s="70"/>
      <c r="JF38" s="70"/>
      <c r="JG38" s="70"/>
      <c r="JH38" s="70"/>
      <c r="JI38" s="70"/>
      <c r="JJ38" s="70"/>
      <c r="JK38" s="70"/>
      <c r="JL38" s="70"/>
      <c r="JM38" s="70"/>
      <c r="JN38" s="70"/>
      <c r="JO38" s="70"/>
      <c r="JP38" s="70"/>
      <c r="JQ38" s="70"/>
      <c r="JR38" s="70"/>
      <c r="JS38" s="70"/>
      <c r="JT38" s="70"/>
      <c r="JU38" s="70"/>
      <c r="JV38" s="70"/>
      <c r="JW38" s="70"/>
      <c r="JX38" s="70"/>
      <c r="JY38" s="70"/>
      <c r="JZ38" s="99"/>
      <c r="KA38" s="17"/>
      <c r="KB38" s="219" t="s">
        <v>73</v>
      </c>
      <c r="KC38" s="224">
        <f ca="1">KF37</f>
        <v>689</v>
      </c>
      <c r="KD38" s="225">
        <f>SUM( BO36:CI36)</f>
        <v>0</v>
      </c>
      <c r="KE38" s="225">
        <f>SUM(BO30:CI30)</f>
        <v>60</v>
      </c>
      <c r="KF38" s="224">
        <f t="shared" ca="1" si="253"/>
        <v>629</v>
      </c>
      <c r="KG38" s="225">
        <f t="shared" ca="1" si="240"/>
        <v>689</v>
      </c>
      <c r="KH38" s="225">
        <f t="shared" ca="1" si="254"/>
        <v>629</v>
      </c>
      <c r="KI38" s="224" t="str">
        <f t="shared" si="241"/>
        <v>/2</v>
      </c>
      <c r="KJ38" s="225">
        <f t="shared" ca="1" si="255"/>
        <v>659</v>
      </c>
      <c r="KK38" s="225">
        <f t="shared" ca="1" si="256"/>
        <v>262.08333333333337</v>
      </c>
      <c r="KL38" s="224">
        <f t="shared" ca="1" si="257"/>
        <v>1.3926868044515102</v>
      </c>
      <c r="KM38" s="225">
        <v>25</v>
      </c>
      <c r="KN38" s="219" t="s">
        <v>76</v>
      </c>
      <c r="KO38" s="224">
        <f ca="1">KR37</f>
        <v>689</v>
      </c>
      <c r="KP38" s="225">
        <f>SUM(EW36:FS36)</f>
        <v>0</v>
      </c>
      <c r="KQ38" s="225">
        <f>SUM(EW38:FS38)</f>
        <v>76</v>
      </c>
      <c r="KR38" s="224">
        <f t="shared" ca="1" si="258"/>
        <v>613</v>
      </c>
      <c r="KS38" s="225">
        <f t="shared" ca="1" si="242"/>
        <v>689</v>
      </c>
      <c r="KT38" s="225">
        <f t="shared" ca="1" si="259"/>
        <v>613</v>
      </c>
      <c r="KU38" s="224" t="str">
        <f t="shared" si="243"/>
        <v>/2</v>
      </c>
      <c r="KV38" s="225">
        <f t="shared" ca="1" si="260"/>
        <v>651</v>
      </c>
      <c r="KW38" s="225">
        <f t="shared" ca="1" si="261"/>
        <v>201.64473684210526</v>
      </c>
      <c r="KX38" s="224">
        <f t="shared" ca="1" si="262"/>
        <v>1.8101141924959216</v>
      </c>
      <c r="KY38" s="225">
        <v>25</v>
      </c>
      <c r="KZ38" s="219" t="s">
        <v>81</v>
      </c>
      <c r="LA38" s="224">
        <f ca="1">LD37</f>
        <v>625</v>
      </c>
      <c r="LB38" s="225">
        <f>SUM('[12]Progr1 (3)'!NN43:OH43)</f>
        <v>0</v>
      </c>
      <c r="LC38" s="225">
        <f>SUM('[12]Progr1 (3)'!NN45:OH45)</f>
        <v>0</v>
      </c>
      <c r="LD38" s="224">
        <f t="shared" ca="1" si="263"/>
        <v>625</v>
      </c>
      <c r="LE38" s="225">
        <f t="shared" ca="1" si="244"/>
        <v>625</v>
      </c>
      <c r="LF38" s="225">
        <f t="shared" ca="1" si="264"/>
        <v>625</v>
      </c>
      <c r="LG38" s="224" t="str">
        <f t="shared" si="245"/>
        <v>/2</v>
      </c>
      <c r="LH38" s="225">
        <f t="shared" ca="1" si="265"/>
        <v>625</v>
      </c>
      <c r="LI38" s="225" t="e">
        <f t="shared" ca="1" si="266"/>
        <v>#DIV/0!</v>
      </c>
      <c r="LJ38" s="224" t="e">
        <f t="shared" ca="1" si="267"/>
        <v>#DIV/0!</v>
      </c>
      <c r="LK38" s="225">
        <v>25</v>
      </c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</row>
    <row r="39" spans="1:669" ht="15.75" thickBot="1" x14ac:dyDescent="0.3">
      <c r="A39" s="141" t="str">
        <f>B35</f>
        <v>ACESSÓRIOS</v>
      </c>
      <c r="B39" s="233"/>
      <c r="C39" s="158">
        <f t="shared" si="246"/>
        <v>0</v>
      </c>
      <c r="D39" s="230"/>
      <c r="E39" s="177" t="s">
        <v>46</v>
      </c>
      <c r="F39" s="183">
        <v>0</v>
      </c>
      <c r="G39" s="178" t="s">
        <v>43</v>
      </c>
      <c r="H39" s="179">
        <v>1.645</v>
      </c>
      <c r="I39" s="246" t="s">
        <v>19</v>
      </c>
      <c r="J39" s="101" t="str">
        <f t="shared" si="247"/>
        <v>CORTE</v>
      </c>
      <c r="K39" s="282"/>
      <c r="L39" s="102"/>
      <c r="M39" s="103"/>
      <c r="N39" s="103"/>
      <c r="O39" s="103"/>
      <c r="P39" s="103"/>
      <c r="Q39" s="103"/>
      <c r="R39" s="103"/>
      <c r="S39" s="103"/>
      <c r="T39" s="103"/>
      <c r="U39" s="103"/>
      <c r="V39" s="104">
        <f t="shared" ref="V39:CG39" ca="1" si="268">IF(V3&gt;$J$5,"",U39+V36-V38)</f>
        <v>0</v>
      </c>
      <c r="W39" s="104">
        <f t="shared" ca="1" si="268"/>
        <v>750</v>
      </c>
      <c r="X39" s="104">
        <f t="shared" ca="1" si="268"/>
        <v>738</v>
      </c>
      <c r="Y39" s="104">
        <f t="shared" ca="1" si="268"/>
        <v>738</v>
      </c>
      <c r="Z39" s="104">
        <f t="shared" ca="1" si="268"/>
        <v>737</v>
      </c>
      <c r="AA39" s="104">
        <f t="shared" ca="1" si="268"/>
        <v>727</v>
      </c>
      <c r="AB39" s="104">
        <f t="shared" ca="1" si="268"/>
        <v>727</v>
      </c>
      <c r="AC39" s="104">
        <f t="shared" ca="1" si="268"/>
        <v>715</v>
      </c>
      <c r="AD39" s="104">
        <f t="shared" ca="1" si="268"/>
        <v>704</v>
      </c>
      <c r="AE39" s="104">
        <f t="shared" ca="1" si="268"/>
        <v>704</v>
      </c>
      <c r="AF39" s="104">
        <f t="shared" ca="1" si="268"/>
        <v>704</v>
      </c>
      <c r="AG39" s="104">
        <f t="shared" ca="1" si="268"/>
        <v>704</v>
      </c>
      <c r="AH39" s="104">
        <f t="shared" ca="1" si="268"/>
        <v>701</v>
      </c>
      <c r="AI39" s="104">
        <f t="shared" ca="1" si="268"/>
        <v>701</v>
      </c>
      <c r="AJ39" s="104">
        <f t="shared" ca="1" si="268"/>
        <v>701</v>
      </c>
      <c r="AK39" s="104">
        <f t="shared" ca="1" si="268"/>
        <v>696</v>
      </c>
      <c r="AL39" s="104">
        <f t="shared" ca="1" si="268"/>
        <v>696</v>
      </c>
      <c r="AM39" s="104">
        <f t="shared" ca="1" si="268"/>
        <v>696</v>
      </c>
      <c r="AN39" s="104">
        <f t="shared" ca="1" si="268"/>
        <v>681</v>
      </c>
      <c r="AO39" s="104">
        <f t="shared" ca="1" si="268"/>
        <v>681</v>
      </c>
      <c r="AP39" s="104">
        <f t="shared" ca="1" si="268"/>
        <v>681</v>
      </c>
      <c r="AQ39" s="104">
        <f t="shared" ca="1" si="268"/>
        <v>666</v>
      </c>
      <c r="AR39" s="104">
        <f t="shared" ca="1" si="268"/>
        <v>746</v>
      </c>
      <c r="AS39" s="104">
        <f t="shared" ca="1" si="268"/>
        <v>746</v>
      </c>
      <c r="AT39" s="104">
        <f t="shared" ca="1" si="268"/>
        <v>736</v>
      </c>
      <c r="AU39" s="104">
        <f t="shared" ca="1" si="268"/>
        <v>716</v>
      </c>
      <c r="AV39" s="104">
        <f t="shared" ca="1" si="268"/>
        <v>716</v>
      </c>
      <c r="AW39" s="104">
        <f t="shared" ca="1" si="268"/>
        <v>716</v>
      </c>
      <c r="AX39" s="104">
        <f t="shared" ca="1" si="268"/>
        <v>716</v>
      </c>
      <c r="AY39" s="104">
        <f t="shared" ca="1" si="268"/>
        <v>716</v>
      </c>
      <c r="AZ39" s="104">
        <f t="shared" ca="1" si="268"/>
        <v>706</v>
      </c>
      <c r="BA39" s="104">
        <f t="shared" ca="1" si="268"/>
        <v>697</v>
      </c>
      <c r="BB39" s="104">
        <f t="shared" ca="1" si="268"/>
        <v>697</v>
      </c>
      <c r="BC39" s="104">
        <f t="shared" ca="1" si="268"/>
        <v>694</v>
      </c>
      <c r="BD39" s="104">
        <f t="shared" ca="1" si="268"/>
        <v>694</v>
      </c>
      <c r="BE39" s="104">
        <f t="shared" ca="1" si="268"/>
        <v>694</v>
      </c>
      <c r="BF39" s="104">
        <f t="shared" ca="1" si="268"/>
        <v>694</v>
      </c>
      <c r="BG39" s="104">
        <f t="shared" ca="1" si="268"/>
        <v>694</v>
      </c>
      <c r="BH39" s="104">
        <f t="shared" ca="1" si="268"/>
        <v>689</v>
      </c>
      <c r="BI39" s="104">
        <f t="shared" ca="1" si="268"/>
        <v>689</v>
      </c>
      <c r="BJ39" s="104">
        <f t="shared" ca="1" si="268"/>
        <v>686</v>
      </c>
      <c r="BK39" s="104">
        <f t="shared" ca="1" si="268"/>
        <v>686</v>
      </c>
      <c r="BL39" s="104">
        <f t="shared" ca="1" si="268"/>
        <v>676</v>
      </c>
      <c r="BM39" s="104">
        <f t="shared" ca="1" si="268"/>
        <v>674</v>
      </c>
      <c r="BN39" s="104">
        <f t="shared" ca="1" si="268"/>
        <v>674</v>
      </c>
      <c r="BO39" s="104">
        <f t="shared" ca="1" si="268"/>
        <v>674</v>
      </c>
      <c r="BP39" s="104">
        <f t="shared" ca="1" si="268"/>
        <v>672</v>
      </c>
      <c r="BQ39" s="104">
        <f t="shared" ca="1" si="268"/>
        <v>672</v>
      </c>
      <c r="BR39" s="104">
        <f t="shared" ca="1" si="268"/>
        <v>672</v>
      </c>
      <c r="BS39" s="104">
        <f t="shared" ca="1" si="268"/>
        <v>659</v>
      </c>
      <c r="BT39" s="104">
        <f t="shared" ca="1" si="268"/>
        <v>659</v>
      </c>
      <c r="BU39" s="104">
        <f t="shared" ca="1" si="268"/>
        <v>659</v>
      </c>
      <c r="BV39" s="104">
        <f t="shared" ca="1" si="268"/>
        <v>659</v>
      </c>
      <c r="BW39" s="104">
        <f t="shared" ca="1" si="268"/>
        <v>658</v>
      </c>
      <c r="BX39" s="104">
        <f t="shared" ca="1" si="268"/>
        <v>655</v>
      </c>
      <c r="BY39" s="104">
        <f t="shared" ca="1" si="268"/>
        <v>649</v>
      </c>
      <c r="BZ39" s="104">
        <f t="shared" ca="1" si="268"/>
        <v>644</v>
      </c>
      <c r="CA39" s="104">
        <f t="shared" ca="1" si="268"/>
        <v>644</v>
      </c>
      <c r="CB39" s="104">
        <f t="shared" ca="1" si="268"/>
        <v>632</v>
      </c>
      <c r="CC39" s="104">
        <f t="shared" ca="1" si="268"/>
        <v>632</v>
      </c>
      <c r="CD39" s="104">
        <f t="shared" ca="1" si="268"/>
        <v>625</v>
      </c>
      <c r="CE39" s="104">
        <f t="shared" ca="1" si="268"/>
        <v>620</v>
      </c>
      <c r="CF39" s="104">
        <f t="shared" ca="1" si="268"/>
        <v>620</v>
      </c>
      <c r="CG39" s="104">
        <f t="shared" ca="1" si="268"/>
        <v>620</v>
      </c>
      <c r="CH39" s="104">
        <f t="shared" ref="CH39:ES39" ca="1" si="269">IF(CH3&gt;$J$5,"",CG39+CH36-CH38)</f>
        <v>618</v>
      </c>
      <c r="CI39" s="104">
        <f t="shared" ca="1" si="269"/>
        <v>611</v>
      </c>
      <c r="CJ39" s="104">
        <f t="shared" ca="1" si="269"/>
        <v>603</v>
      </c>
      <c r="CK39" s="104">
        <f t="shared" ca="1" si="269"/>
        <v>594</v>
      </c>
      <c r="CL39" s="104">
        <f t="shared" ca="1" si="269"/>
        <v>594</v>
      </c>
      <c r="CM39" s="104">
        <f t="shared" ca="1" si="269"/>
        <v>594</v>
      </c>
      <c r="CN39" s="104">
        <f t="shared" ca="1" si="269"/>
        <v>578</v>
      </c>
      <c r="CO39" s="104">
        <f t="shared" ca="1" si="269"/>
        <v>578</v>
      </c>
      <c r="CP39" s="104">
        <f t="shared" ca="1" si="269"/>
        <v>578</v>
      </c>
      <c r="CQ39" s="104">
        <f t="shared" ca="1" si="269"/>
        <v>577</v>
      </c>
      <c r="CR39" s="104">
        <f t="shared" ca="1" si="269"/>
        <v>574</v>
      </c>
      <c r="CS39" s="104">
        <f t="shared" ca="1" si="269"/>
        <v>574</v>
      </c>
      <c r="CT39" s="104">
        <f t="shared" ca="1" si="269"/>
        <v>574</v>
      </c>
      <c r="CU39" s="104">
        <f t="shared" ca="1" si="269"/>
        <v>569</v>
      </c>
      <c r="CV39" s="104">
        <f t="shared" ca="1" si="269"/>
        <v>569</v>
      </c>
      <c r="CW39" s="104">
        <f t="shared" ca="1" si="269"/>
        <v>569</v>
      </c>
      <c r="CX39" s="104">
        <f t="shared" ca="1" si="269"/>
        <v>569</v>
      </c>
      <c r="CY39" s="104">
        <f t="shared" ca="1" si="269"/>
        <v>673</v>
      </c>
      <c r="CZ39" s="104">
        <f t="shared" ca="1" si="269"/>
        <v>673</v>
      </c>
      <c r="DA39" s="104">
        <f t="shared" ca="1" si="269"/>
        <v>673</v>
      </c>
      <c r="DB39" s="104">
        <f t="shared" ca="1" si="269"/>
        <v>673</v>
      </c>
      <c r="DC39" s="104">
        <f t="shared" ca="1" si="269"/>
        <v>655</v>
      </c>
      <c r="DD39" s="104">
        <f t="shared" ca="1" si="269"/>
        <v>655</v>
      </c>
      <c r="DE39" s="104">
        <f t="shared" ca="1" si="269"/>
        <v>655</v>
      </c>
      <c r="DF39" s="104">
        <f t="shared" ca="1" si="269"/>
        <v>655</v>
      </c>
      <c r="DG39" s="104">
        <f t="shared" ca="1" si="269"/>
        <v>655</v>
      </c>
      <c r="DH39" s="104">
        <f t="shared" ca="1" si="269"/>
        <v>653</v>
      </c>
      <c r="DI39" s="104">
        <f t="shared" ca="1" si="269"/>
        <v>650</v>
      </c>
      <c r="DJ39" s="104">
        <f t="shared" ca="1" si="269"/>
        <v>647</v>
      </c>
      <c r="DK39" s="104">
        <f t="shared" ca="1" si="269"/>
        <v>642</v>
      </c>
      <c r="DL39" s="104">
        <f t="shared" ca="1" si="269"/>
        <v>633</v>
      </c>
      <c r="DM39" s="104">
        <f t="shared" ca="1" si="269"/>
        <v>633</v>
      </c>
      <c r="DN39" s="104">
        <f t="shared" ca="1" si="269"/>
        <v>633</v>
      </c>
      <c r="DO39" s="104">
        <f t="shared" ca="1" si="269"/>
        <v>626</v>
      </c>
      <c r="DP39" s="104">
        <f t="shared" ca="1" si="269"/>
        <v>626</v>
      </c>
      <c r="DQ39" s="104">
        <f t="shared" ca="1" si="269"/>
        <v>626</v>
      </c>
      <c r="DR39" s="104">
        <f t="shared" ca="1" si="269"/>
        <v>618</v>
      </c>
      <c r="DS39" s="104">
        <f t="shared" ca="1" si="269"/>
        <v>618</v>
      </c>
      <c r="DT39" s="104">
        <f t="shared" ca="1" si="269"/>
        <v>618</v>
      </c>
      <c r="DU39" s="104">
        <f t="shared" ca="1" si="269"/>
        <v>609</v>
      </c>
      <c r="DV39" s="104">
        <f t="shared" ca="1" si="269"/>
        <v>606</v>
      </c>
      <c r="DW39" s="104">
        <f t="shared" ca="1" si="269"/>
        <v>598</v>
      </c>
      <c r="DX39" s="104">
        <f t="shared" ca="1" si="269"/>
        <v>598</v>
      </c>
      <c r="DY39" s="104">
        <f t="shared" ca="1" si="269"/>
        <v>598</v>
      </c>
      <c r="DZ39" s="104">
        <f t="shared" ca="1" si="269"/>
        <v>598</v>
      </c>
      <c r="EA39" s="104">
        <f t="shared" ca="1" si="269"/>
        <v>583</v>
      </c>
      <c r="EB39" s="104">
        <f t="shared" ca="1" si="269"/>
        <v>581</v>
      </c>
      <c r="EC39" s="104">
        <f t="shared" ca="1" si="269"/>
        <v>581</v>
      </c>
      <c r="ED39" s="104">
        <f t="shared" ca="1" si="269"/>
        <v>581</v>
      </c>
      <c r="EE39" s="104">
        <f t="shared" ca="1" si="269"/>
        <v>581</v>
      </c>
      <c r="EF39" s="104">
        <f t="shared" ca="1" si="269"/>
        <v>581</v>
      </c>
      <c r="EG39" s="104">
        <f t="shared" ca="1" si="269"/>
        <v>711</v>
      </c>
      <c r="EH39" s="104">
        <f t="shared" ca="1" si="269"/>
        <v>711</v>
      </c>
      <c r="EI39" s="104">
        <f t="shared" ca="1" si="269"/>
        <v>706</v>
      </c>
      <c r="EJ39" s="104">
        <f t="shared" ca="1" si="269"/>
        <v>690</v>
      </c>
      <c r="EK39" s="104">
        <f t="shared" ca="1" si="269"/>
        <v>690</v>
      </c>
      <c r="EL39" s="104">
        <f t="shared" ca="1" si="269"/>
        <v>688</v>
      </c>
      <c r="EM39" s="104">
        <f t="shared" ca="1" si="269"/>
        <v>688</v>
      </c>
      <c r="EN39" s="104">
        <f t="shared" ca="1" si="269"/>
        <v>688</v>
      </c>
      <c r="EO39" s="104">
        <f t="shared" ca="1" si="269"/>
        <v>685</v>
      </c>
      <c r="EP39" s="104">
        <f t="shared" ca="1" si="269"/>
        <v>685</v>
      </c>
      <c r="EQ39" s="104">
        <f t="shared" ca="1" si="269"/>
        <v>705</v>
      </c>
      <c r="ER39" s="104">
        <f t="shared" ca="1" si="269"/>
        <v>705</v>
      </c>
      <c r="ES39" s="104">
        <f t="shared" ca="1" si="269"/>
        <v>702</v>
      </c>
      <c r="ET39" s="104">
        <f t="shared" ref="ET39:HE39" ca="1" si="270">IF(ET3&gt;$J$5,"",ES39+ET36-ET38)</f>
        <v>684</v>
      </c>
      <c r="EU39" s="104">
        <f t="shared" ca="1" si="270"/>
        <v>684</v>
      </c>
      <c r="EV39" s="104">
        <f t="shared" ca="1" si="270"/>
        <v>671</v>
      </c>
      <c r="EW39" s="104">
        <f t="shared" ca="1" si="270"/>
        <v>671</v>
      </c>
      <c r="EX39" s="104">
        <f t="shared" ca="1" si="270"/>
        <v>659</v>
      </c>
      <c r="EY39" s="104">
        <f t="shared" ca="1" si="270"/>
        <v>646</v>
      </c>
      <c r="EZ39" s="104">
        <f t="shared" ca="1" si="270"/>
        <v>646</v>
      </c>
      <c r="FA39" s="104">
        <f t="shared" ca="1" si="270"/>
        <v>646</v>
      </c>
      <c r="FB39" s="104">
        <f t="shared" ca="1" si="270"/>
        <v>646</v>
      </c>
      <c r="FC39" s="104">
        <f t="shared" ca="1" si="270"/>
        <v>646</v>
      </c>
      <c r="FD39" s="104">
        <f t="shared" ca="1" si="270"/>
        <v>638</v>
      </c>
      <c r="FE39" s="104">
        <f t="shared" ca="1" si="270"/>
        <v>638</v>
      </c>
      <c r="FF39" s="104">
        <f t="shared" ca="1" si="270"/>
        <v>635</v>
      </c>
      <c r="FG39" s="104">
        <f t="shared" ca="1" si="270"/>
        <v>632</v>
      </c>
      <c r="FH39" s="104">
        <f t="shared" ca="1" si="270"/>
        <v>627</v>
      </c>
      <c r="FI39" s="104">
        <f t="shared" ca="1" si="270"/>
        <v>621</v>
      </c>
      <c r="FJ39" s="104">
        <f t="shared" ca="1" si="270"/>
        <v>619</v>
      </c>
      <c r="FK39" s="104">
        <f t="shared" ca="1" si="270"/>
        <v>614</v>
      </c>
      <c r="FL39" s="104">
        <f t="shared" ca="1" si="270"/>
        <v>614</v>
      </c>
      <c r="FM39" s="104">
        <f t="shared" ca="1" si="270"/>
        <v>614</v>
      </c>
      <c r="FN39" s="104">
        <f t="shared" ca="1" si="270"/>
        <v>614</v>
      </c>
      <c r="FO39" s="104">
        <f t="shared" ca="1" si="270"/>
        <v>606</v>
      </c>
      <c r="FP39" s="104">
        <f t="shared" ca="1" si="270"/>
        <v>606</v>
      </c>
      <c r="FQ39" s="104">
        <f t="shared" ca="1" si="270"/>
        <v>606</v>
      </c>
      <c r="FR39" s="104">
        <f t="shared" ca="1" si="270"/>
        <v>603</v>
      </c>
      <c r="FS39" s="104">
        <f t="shared" ca="1" si="270"/>
        <v>595</v>
      </c>
      <c r="FT39" s="104">
        <f t="shared" ca="1" si="270"/>
        <v>585</v>
      </c>
      <c r="FU39" s="104">
        <f t="shared" ca="1" si="270"/>
        <v>585</v>
      </c>
      <c r="FV39" s="104">
        <f t="shared" ca="1" si="270"/>
        <v>585</v>
      </c>
      <c r="FW39" s="104">
        <f t="shared" ca="1" si="270"/>
        <v>565</v>
      </c>
      <c r="FX39" s="104">
        <f t="shared" ca="1" si="270"/>
        <v>565</v>
      </c>
      <c r="FY39" s="104">
        <f t="shared" ca="1" si="270"/>
        <v>565</v>
      </c>
      <c r="FZ39" s="104">
        <f t="shared" ca="1" si="270"/>
        <v>560</v>
      </c>
      <c r="GA39" s="104">
        <f t="shared" ca="1" si="270"/>
        <v>560</v>
      </c>
      <c r="GB39" s="104">
        <f t="shared" ca="1" si="270"/>
        <v>554</v>
      </c>
      <c r="GC39" s="104">
        <f t="shared" ca="1" si="270"/>
        <v>554</v>
      </c>
      <c r="GD39" s="104">
        <f t="shared" ca="1" si="270"/>
        <v>554</v>
      </c>
      <c r="GE39" s="104">
        <f t="shared" ca="1" si="270"/>
        <v>551</v>
      </c>
      <c r="GF39" s="104">
        <f t="shared" ca="1" si="270"/>
        <v>551</v>
      </c>
      <c r="GG39" s="104">
        <f t="shared" ca="1" si="270"/>
        <v>538</v>
      </c>
      <c r="GH39" s="104">
        <f t="shared" ca="1" si="270"/>
        <v>628</v>
      </c>
      <c r="GI39" s="104">
        <f t="shared" ca="1" si="270"/>
        <v>623</v>
      </c>
      <c r="GJ39" s="104">
        <f t="shared" ca="1" si="270"/>
        <v>623</v>
      </c>
      <c r="GK39" s="104">
        <f t="shared" ca="1" si="270"/>
        <v>611</v>
      </c>
      <c r="GL39" s="104">
        <f t="shared" ca="1" si="270"/>
        <v>609</v>
      </c>
      <c r="GM39" s="104">
        <f t="shared" ca="1" si="270"/>
        <v>608</v>
      </c>
      <c r="GN39" s="104">
        <f t="shared" ca="1" si="270"/>
        <v>607</v>
      </c>
      <c r="GO39" s="104">
        <f t="shared" ca="1" si="270"/>
        <v>607</v>
      </c>
      <c r="GP39" s="104">
        <f t="shared" ca="1" si="270"/>
        <v>607</v>
      </c>
      <c r="GQ39" s="104">
        <f t="shared" ca="1" si="270"/>
        <v>607</v>
      </c>
      <c r="GR39" s="104">
        <f t="shared" ca="1" si="270"/>
        <v>607</v>
      </c>
      <c r="GS39" s="104">
        <f t="shared" ca="1" si="270"/>
        <v>607</v>
      </c>
      <c r="GT39" s="104">
        <f t="shared" ca="1" si="270"/>
        <v>607</v>
      </c>
      <c r="GU39" s="104">
        <f t="shared" ca="1" si="270"/>
        <v>607</v>
      </c>
      <c r="GV39" s="104">
        <f t="shared" ca="1" si="270"/>
        <v>607</v>
      </c>
      <c r="GW39" s="104">
        <f t="shared" ca="1" si="270"/>
        <v>607</v>
      </c>
      <c r="GX39" s="104">
        <f t="shared" ca="1" si="270"/>
        <v>607</v>
      </c>
      <c r="GY39" s="104">
        <f t="shared" ca="1" si="270"/>
        <v>607</v>
      </c>
      <c r="GZ39" s="104">
        <f t="shared" ca="1" si="270"/>
        <v>607</v>
      </c>
      <c r="HA39" s="104">
        <f t="shared" ca="1" si="270"/>
        <v>607</v>
      </c>
      <c r="HB39" s="104">
        <f t="shared" ca="1" si="270"/>
        <v>607</v>
      </c>
      <c r="HC39" s="104">
        <f t="shared" ca="1" si="270"/>
        <v>607</v>
      </c>
      <c r="HD39" s="104" t="str">
        <f t="shared" ca="1" si="270"/>
        <v/>
      </c>
      <c r="HE39" s="104" t="str">
        <f t="shared" ca="1" si="270"/>
        <v/>
      </c>
      <c r="HF39" s="104" t="str">
        <f t="shared" ref="HF39:JQ39" ca="1" si="271">IF(HF3&gt;$J$5,"",HE39+HF36-HF38)</f>
        <v/>
      </c>
      <c r="HG39" s="104" t="str">
        <f t="shared" ca="1" si="271"/>
        <v/>
      </c>
      <c r="HH39" s="104" t="str">
        <f t="shared" ca="1" si="271"/>
        <v/>
      </c>
      <c r="HI39" s="104" t="str">
        <f t="shared" ca="1" si="271"/>
        <v/>
      </c>
      <c r="HJ39" s="104" t="str">
        <f t="shared" ca="1" si="271"/>
        <v/>
      </c>
      <c r="HK39" s="104" t="str">
        <f t="shared" ca="1" si="271"/>
        <v/>
      </c>
      <c r="HL39" s="104" t="str">
        <f t="shared" ca="1" si="271"/>
        <v/>
      </c>
      <c r="HM39" s="104" t="str">
        <f t="shared" ca="1" si="271"/>
        <v/>
      </c>
      <c r="HN39" s="104" t="str">
        <f t="shared" ca="1" si="271"/>
        <v/>
      </c>
      <c r="HO39" s="104" t="str">
        <f t="shared" ca="1" si="271"/>
        <v/>
      </c>
      <c r="HP39" s="104" t="str">
        <f t="shared" ca="1" si="271"/>
        <v/>
      </c>
      <c r="HQ39" s="104" t="str">
        <f t="shared" ca="1" si="271"/>
        <v/>
      </c>
      <c r="HR39" s="104" t="str">
        <f t="shared" ca="1" si="271"/>
        <v/>
      </c>
      <c r="HS39" s="104" t="str">
        <f t="shared" ca="1" si="271"/>
        <v/>
      </c>
      <c r="HT39" s="104" t="str">
        <f t="shared" ca="1" si="271"/>
        <v/>
      </c>
      <c r="HU39" s="104" t="str">
        <f t="shared" ca="1" si="271"/>
        <v/>
      </c>
      <c r="HV39" s="104" t="str">
        <f t="shared" ca="1" si="271"/>
        <v/>
      </c>
      <c r="HW39" s="104" t="str">
        <f t="shared" ca="1" si="271"/>
        <v/>
      </c>
      <c r="HX39" s="104" t="str">
        <f t="shared" ca="1" si="271"/>
        <v/>
      </c>
      <c r="HY39" s="104" t="str">
        <f t="shared" ca="1" si="271"/>
        <v/>
      </c>
      <c r="HZ39" s="104" t="str">
        <f t="shared" ca="1" si="271"/>
        <v/>
      </c>
      <c r="IA39" s="104" t="str">
        <f t="shared" ca="1" si="271"/>
        <v/>
      </c>
      <c r="IB39" s="104" t="str">
        <f t="shared" ca="1" si="271"/>
        <v/>
      </c>
      <c r="IC39" s="104" t="str">
        <f t="shared" ca="1" si="271"/>
        <v/>
      </c>
      <c r="ID39" s="104" t="str">
        <f t="shared" ca="1" si="271"/>
        <v/>
      </c>
      <c r="IE39" s="104" t="str">
        <f t="shared" ca="1" si="271"/>
        <v/>
      </c>
      <c r="IF39" s="104" t="str">
        <f t="shared" ca="1" si="271"/>
        <v/>
      </c>
      <c r="IG39" s="104" t="str">
        <f t="shared" ca="1" si="271"/>
        <v/>
      </c>
      <c r="IH39" s="104" t="str">
        <f t="shared" ca="1" si="271"/>
        <v/>
      </c>
      <c r="II39" s="104" t="str">
        <f t="shared" ca="1" si="271"/>
        <v/>
      </c>
      <c r="IJ39" s="104" t="str">
        <f t="shared" ca="1" si="271"/>
        <v/>
      </c>
      <c r="IK39" s="104" t="str">
        <f t="shared" ca="1" si="271"/>
        <v/>
      </c>
      <c r="IL39" s="104" t="str">
        <f t="shared" ca="1" si="271"/>
        <v/>
      </c>
      <c r="IM39" s="104" t="str">
        <f t="shared" ca="1" si="271"/>
        <v/>
      </c>
      <c r="IN39" s="104" t="str">
        <f t="shared" ca="1" si="271"/>
        <v/>
      </c>
      <c r="IO39" s="104" t="str">
        <f t="shared" ca="1" si="271"/>
        <v/>
      </c>
      <c r="IP39" s="104" t="str">
        <f t="shared" ca="1" si="271"/>
        <v/>
      </c>
      <c r="IQ39" s="104" t="str">
        <f t="shared" ca="1" si="271"/>
        <v/>
      </c>
      <c r="IR39" s="104" t="str">
        <f t="shared" ca="1" si="271"/>
        <v/>
      </c>
      <c r="IS39" s="104" t="str">
        <f t="shared" ca="1" si="271"/>
        <v/>
      </c>
      <c r="IT39" s="104" t="str">
        <f t="shared" ca="1" si="271"/>
        <v/>
      </c>
      <c r="IU39" s="104" t="str">
        <f t="shared" ca="1" si="271"/>
        <v/>
      </c>
      <c r="IV39" s="104" t="str">
        <f t="shared" ca="1" si="271"/>
        <v/>
      </c>
      <c r="IW39" s="104" t="str">
        <f t="shared" ca="1" si="271"/>
        <v/>
      </c>
      <c r="IX39" s="104" t="str">
        <f t="shared" ca="1" si="271"/>
        <v/>
      </c>
      <c r="IY39" s="104" t="str">
        <f t="shared" ca="1" si="271"/>
        <v/>
      </c>
      <c r="IZ39" s="104" t="str">
        <f t="shared" ca="1" si="271"/>
        <v/>
      </c>
      <c r="JA39" s="104" t="str">
        <f t="shared" ca="1" si="271"/>
        <v/>
      </c>
      <c r="JB39" s="104" t="str">
        <f t="shared" ca="1" si="271"/>
        <v/>
      </c>
      <c r="JC39" s="104" t="str">
        <f t="shared" ca="1" si="271"/>
        <v/>
      </c>
      <c r="JD39" s="104" t="str">
        <f t="shared" ca="1" si="271"/>
        <v/>
      </c>
      <c r="JE39" s="104" t="str">
        <f t="shared" ca="1" si="271"/>
        <v/>
      </c>
      <c r="JF39" s="104" t="str">
        <f t="shared" ca="1" si="271"/>
        <v/>
      </c>
      <c r="JG39" s="104" t="str">
        <f t="shared" ca="1" si="271"/>
        <v/>
      </c>
      <c r="JH39" s="104" t="str">
        <f t="shared" ca="1" si="271"/>
        <v/>
      </c>
      <c r="JI39" s="104" t="str">
        <f t="shared" ca="1" si="271"/>
        <v/>
      </c>
      <c r="JJ39" s="104" t="str">
        <f t="shared" ca="1" si="271"/>
        <v/>
      </c>
      <c r="JK39" s="104" t="str">
        <f t="shared" ca="1" si="271"/>
        <v/>
      </c>
      <c r="JL39" s="104" t="str">
        <f t="shared" ca="1" si="271"/>
        <v/>
      </c>
      <c r="JM39" s="104" t="str">
        <f t="shared" ca="1" si="271"/>
        <v/>
      </c>
      <c r="JN39" s="104" t="str">
        <f t="shared" ca="1" si="271"/>
        <v/>
      </c>
      <c r="JO39" s="104" t="str">
        <f t="shared" ca="1" si="271"/>
        <v/>
      </c>
      <c r="JP39" s="104" t="str">
        <f t="shared" ca="1" si="271"/>
        <v/>
      </c>
      <c r="JQ39" s="104" t="str">
        <f t="shared" ca="1" si="271"/>
        <v/>
      </c>
      <c r="JR39" s="104" t="str">
        <f t="shared" ref="JR39:JZ39" ca="1" si="272">IF(JR3&gt;$J$5,"",JQ39+JR36-JR38)</f>
        <v/>
      </c>
      <c r="JS39" s="104" t="str">
        <f t="shared" ca="1" si="272"/>
        <v/>
      </c>
      <c r="JT39" s="104" t="str">
        <f t="shared" ca="1" si="272"/>
        <v/>
      </c>
      <c r="JU39" s="104" t="str">
        <f t="shared" ca="1" si="272"/>
        <v/>
      </c>
      <c r="JV39" s="104" t="str">
        <f t="shared" ca="1" si="272"/>
        <v/>
      </c>
      <c r="JW39" s="104" t="str">
        <f t="shared" ca="1" si="272"/>
        <v/>
      </c>
      <c r="JX39" s="104" t="str">
        <f t="shared" ca="1" si="272"/>
        <v/>
      </c>
      <c r="JY39" s="104" t="str">
        <f t="shared" ca="1" si="272"/>
        <v/>
      </c>
      <c r="JZ39" s="105" t="str">
        <f t="shared" ca="1" si="272"/>
        <v/>
      </c>
      <c r="KA39" s="17"/>
      <c r="KB39" s="219" t="s">
        <v>74</v>
      </c>
      <c r="KC39" s="222">
        <f ca="1">KF38</f>
        <v>629</v>
      </c>
      <c r="KD39" s="223">
        <f>SUM(CJ36:DE36)</f>
        <v>110</v>
      </c>
      <c r="KE39" s="223">
        <f>SUM(CJ38:DE38)</f>
        <v>66</v>
      </c>
      <c r="KF39" s="222">
        <f t="shared" ca="1" si="253"/>
        <v>673</v>
      </c>
      <c r="KG39" s="223">
        <f t="shared" ca="1" si="240"/>
        <v>629</v>
      </c>
      <c r="KH39" s="223">
        <f t="shared" ca="1" si="254"/>
        <v>673</v>
      </c>
      <c r="KI39" s="222" t="str">
        <f t="shared" si="241"/>
        <v>/2</v>
      </c>
      <c r="KJ39" s="223">
        <f t="shared" ca="1" si="255"/>
        <v>651</v>
      </c>
      <c r="KK39" s="223">
        <f t="shared" ca="1" si="256"/>
        <v>254.92424242424241</v>
      </c>
      <c r="KL39" s="222">
        <f t="shared" ca="1" si="257"/>
        <v>1.4317979197622586</v>
      </c>
      <c r="KM39" s="223">
        <v>25</v>
      </c>
      <c r="KN39" s="219" t="s">
        <v>78</v>
      </c>
      <c r="KO39" s="222">
        <f ca="1">KR38</f>
        <v>613</v>
      </c>
      <c r="KP39" s="223">
        <f>SUM(FT36:GN36)</f>
        <v>90</v>
      </c>
      <c r="KQ39" s="223">
        <f>SUM(FT38:GN38)</f>
        <v>78</v>
      </c>
      <c r="KR39" s="222">
        <f t="shared" ca="1" si="258"/>
        <v>625</v>
      </c>
      <c r="KS39" s="223">
        <f t="shared" ca="1" si="242"/>
        <v>613</v>
      </c>
      <c r="KT39" s="223">
        <f t="shared" ca="1" si="259"/>
        <v>625</v>
      </c>
      <c r="KU39" s="222" t="str">
        <f t="shared" si="243"/>
        <v>/2</v>
      </c>
      <c r="KV39" s="223">
        <f t="shared" ca="1" si="260"/>
        <v>619</v>
      </c>
      <c r="KW39" s="223">
        <f t="shared" ca="1" si="261"/>
        <v>200.32051282051282</v>
      </c>
      <c r="KX39" s="222">
        <f t="shared" ca="1" si="262"/>
        <v>1.8220799999999999</v>
      </c>
      <c r="KY39" s="223">
        <v>25</v>
      </c>
      <c r="KZ39" s="219" t="s">
        <v>82</v>
      </c>
      <c r="LA39" s="222">
        <f ca="1">LD38</f>
        <v>625</v>
      </c>
      <c r="LB39" s="223">
        <f>SUM('[12]Progr1 (3)'!OI43:PD43)</f>
        <v>0</v>
      </c>
      <c r="LC39" s="223">
        <f>SUM('[12]Progr1 (3)'!OI45:PD45)</f>
        <v>0</v>
      </c>
      <c r="LD39" s="222">
        <f t="shared" ca="1" si="263"/>
        <v>625</v>
      </c>
      <c r="LE39" s="223">
        <f t="shared" ca="1" si="244"/>
        <v>625</v>
      </c>
      <c r="LF39" s="223">
        <f t="shared" ca="1" si="264"/>
        <v>625</v>
      </c>
      <c r="LG39" s="222" t="str">
        <f t="shared" si="245"/>
        <v>/2</v>
      </c>
      <c r="LH39" s="223">
        <f t="shared" ca="1" si="265"/>
        <v>625</v>
      </c>
      <c r="LI39" s="223" t="e">
        <f t="shared" ca="1" si="266"/>
        <v>#DIV/0!</v>
      </c>
      <c r="LJ39" s="222" t="e">
        <f t="shared" ca="1" si="267"/>
        <v>#DIV/0!</v>
      </c>
      <c r="LK39" s="223">
        <v>25</v>
      </c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</row>
    <row r="40" spans="1:669" ht="15.75" thickTop="1" x14ac:dyDescent="0.25">
      <c r="A40" s="140" t="str">
        <f>B40</f>
        <v>xx</v>
      </c>
      <c r="B40" s="231" t="s">
        <v>21</v>
      </c>
      <c r="C40" s="137">
        <v>0</v>
      </c>
      <c r="D40" s="228"/>
      <c r="E40" s="172" t="s">
        <v>42</v>
      </c>
      <c r="F40" s="180">
        <v>0</v>
      </c>
      <c r="G40" s="172" t="s">
        <v>37</v>
      </c>
      <c r="H40" s="169">
        <f ca="1">STDEVPA(V44:JZ44)</f>
        <v>0</v>
      </c>
      <c r="I40" s="247" t="s">
        <v>15</v>
      </c>
      <c r="J40" s="94" t="str">
        <f t="shared" si="247"/>
        <v>CORTE</v>
      </c>
      <c r="K40" s="280"/>
      <c r="L40" s="95"/>
      <c r="M40" s="96"/>
      <c r="N40" s="96"/>
      <c r="O40" s="96"/>
      <c r="P40" s="96"/>
      <c r="Q40" s="96"/>
      <c r="R40" s="96"/>
      <c r="S40" s="96"/>
      <c r="T40" s="96"/>
      <c r="U40" s="96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7"/>
      <c r="CJ40" s="97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7"/>
      <c r="CZ40" s="97"/>
      <c r="DA40" s="97"/>
      <c r="DB40" s="97"/>
      <c r="DC40" s="97"/>
      <c r="DD40" s="97"/>
      <c r="DE40" s="97"/>
      <c r="DF40" s="97"/>
      <c r="DG40" s="97"/>
      <c r="DH40" s="97"/>
      <c r="DI40" s="97"/>
      <c r="DJ40" s="97"/>
      <c r="DK40" s="97"/>
      <c r="DL40" s="97"/>
      <c r="DM40" s="97"/>
      <c r="DN40" s="97"/>
      <c r="DO40" s="97"/>
      <c r="DP40" s="97"/>
      <c r="DQ40" s="97"/>
      <c r="DR40" s="97"/>
      <c r="DS40" s="97"/>
      <c r="DT40" s="97"/>
      <c r="DU40" s="97"/>
      <c r="DV40" s="97"/>
      <c r="DW40" s="97"/>
      <c r="DX40" s="97"/>
      <c r="DY40" s="97"/>
      <c r="DZ40" s="97"/>
      <c r="EA40" s="97"/>
      <c r="EB40" s="97"/>
      <c r="EC40" s="97"/>
      <c r="ED40" s="97"/>
      <c r="EE40" s="97"/>
      <c r="EF40" s="97"/>
      <c r="EG40" s="97"/>
      <c r="EH40" s="97"/>
      <c r="EI40" s="97"/>
      <c r="EJ40" s="97"/>
      <c r="EK40" s="97"/>
      <c r="EL40" s="97"/>
      <c r="EM40" s="97"/>
      <c r="EN40" s="97"/>
      <c r="EO40" s="97"/>
      <c r="EP40" s="97"/>
      <c r="EQ40" s="97"/>
      <c r="ER40" s="97"/>
      <c r="ES40" s="97"/>
      <c r="ET40" s="97"/>
      <c r="EU40" s="97"/>
      <c r="EV40" s="97"/>
      <c r="EW40" s="97"/>
      <c r="EX40" s="97"/>
      <c r="EY40" s="97"/>
      <c r="EZ40" s="97"/>
      <c r="FA40" s="97"/>
      <c r="FB40" s="97"/>
      <c r="FC40" s="97"/>
      <c r="FD40" s="97"/>
      <c r="FE40" s="97"/>
      <c r="FF40" s="97"/>
      <c r="FG40" s="97"/>
      <c r="FH40" s="97"/>
      <c r="FI40" s="97"/>
      <c r="FJ40" s="97"/>
      <c r="FK40" s="97"/>
      <c r="FL40" s="97"/>
      <c r="FM40" s="97"/>
      <c r="FN40" s="97"/>
      <c r="FO40" s="97"/>
      <c r="FP40" s="97"/>
      <c r="FQ40" s="97"/>
      <c r="FR40" s="97"/>
      <c r="FS40" s="97"/>
      <c r="FT40" s="97"/>
      <c r="FU40" s="97"/>
      <c r="FV40" s="97"/>
      <c r="FW40" s="97"/>
      <c r="FX40" s="97"/>
      <c r="FY40" s="97"/>
      <c r="FZ40" s="97"/>
      <c r="GA40" s="97"/>
      <c r="GB40" s="97"/>
      <c r="GC40" s="97"/>
      <c r="GD40" s="97"/>
      <c r="GE40" s="97"/>
      <c r="GF40" s="97"/>
      <c r="GG40" s="97"/>
      <c r="GH40" s="97"/>
      <c r="GI40" s="97"/>
      <c r="GJ40" s="97"/>
      <c r="GK40" s="97"/>
      <c r="GL40" s="97"/>
      <c r="GM40" s="97"/>
      <c r="GN40" s="97"/>
      <c r="GO40" s="97"/>
      <c r="GP40" s="97"/>
      <c r="GQ40" s="97"/>
      <c r="GR40" s="97"/>
      <c r="GS40" s="97"/>
      <c r="GT40" s="97"/>
      <c r="GU40" s="97"/>
      <c r="GV40" s="97"/>
      <c r="GW40" s="97"/>
      <c r="GX40" s="97"/>
      <c r="GY40" s="97"/>
      <c r="GZ40" s="97"/>
      <c r="HA40" s="97"/>
      <c r="HB40" s="97"/>
      <c r="HC40" s="97"/>
      <c r="HD40" s="97"/>
      <c r="HE40" s="97"/>
      <c r="HF40" s="97"/>
      <c r="HG40" s="97"/>
      <c r="HH40" s="97"/>
      <c r="HI40" s="97"/>
      <c r="HJ40" s="97"/>
      <c r="HK40" s="97"/>
      <c r="HL40" s="97"/>
      <c r="HM40" s="97"/>
      <c r="HN40" s="97"/>
      <c r="HO40" s="97"/>
      <c r="HP40" s="97"/>
      <c r="HQ40" s="97"/>
      <c r="HR40" s="97"/>
      <c r="HS40" s="97"/>
      <c r="HT40" s="97"/>
      <c r="HU40" s="97"/>
      <c r="HV40" s="97"/>
      <c r="HW40" s="97"/>
      <c r="HX40" s="97"/>
      <c r="HY40" s="97"/>
      <c r="HZ40" s="97"/>
      <c r="IA40" s="97"/>
      <c r="IB40" s="97"/>
      <c r="IC40" s="97"/>
      <c r="ID40" s="97"/>
      <c r="IE40" s="97"/>
      <c r="IF40" s="97"/>
      <c r="IG40" s="97"/>
      <c r="IH40" s="97"/>
      <c r="II40" s="97"/>
      <c r="IJ40" s="97"/>
      <c r="IK40" s="97"/>
      <c r="IL40" s="97"/>
      <c r="IM40" s="97"/>
      <c r="IN40" s="97"/>
      <c r="IO40" s="97"/>
      <c r="IP40" s="97"/>
      <c r="IQ40" s="97"/>
      <c r="IR40" s="97"/>
      <c r="IS40" s="97"/>
      <c r="IT40" s="97"/>
      <c r="IU40" s="97"/>
      <c r="IV40" s="97"/>
      <c r="IW40" s="97"/>
      <c r="IX40" s="97"/>
      <c r="IY40" s="97"/>
      <c r="IZ40" s="97"/>
      <c r="JA40" s="97"/>
      <c r="JB40" s="97"/>
      <c r="JC40" s="97"/>
      <c r="JD40" s="97"/>
      <c r="JE40" s="97"/>
      <c r="JF40" s="97"/>
      <c r="JG40" s="97"/>
      <c r="JH40" s="97"/>
      <c r="JI40" s="97"/>
      <c r="JJ40" s="97"/>
      <c r="JK40" s="97"/>
      <c r="JL40" s="97"/>
      <c r="JM40" s="97"/>
      <c r="JN40" s="97"/>
      <c r="JO40" s="97"/>
      <c r="JP40" s="97"/>
      <c r="JQ40" s="97"/>
      <c r="JR40" s="97"/>
      <c r="JS40" s="97"/>
      <c r="JT40" s="97"/>
      <c r="JU40" s="97"/>
      <c r="JV40" s="97"/>
      <c r="JW40" s="97"/>
      <c r="JX40" s="97"/>
      <c r="JY40" s="97"/>
      <c r="JZ40" s="98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</row>
    <row r="41" spans="1:669" ht="15.75" thickBot="1" x14ac:dyDescent="0.3">
      <c r="A41" s="138" t="str">
        <f>B40</f>
        <v>xx</v>
      </c>
      <c r="B41" s="232"/>
      <c r="C41" s="81">
        <v>0</v>
      </c>
      <c r="D41" s="229"/>
      <c r="E41" s="173" t="s">
        <v>44</v>
      </c>
      <c r="F41" s="181">
        <f ca="1">AVERAGE(V44:JZ44)</f>
        <v>0</v>
      </c>
      <c r="G41" s="174" t="s">
        <v>38</v>
      </c>
      <c r="H41" s="170">
        <v>0</v>
      </c>
      <c r="I41" s="242" t="s">
        <v>16</v>
      </c>
      <c r="J41" s="83" t="str">
        <f t="shared" si="247"/>
        <v>CORTE</v>
      </c>
      <c r="K41" s="281"/>
      <c r="L41" s="57"/>
      <c r="M41" s="58"/>
      <c r="N41" s="58"/>
      <c r="O41" s="58"/>
      <c r="P41" s="58"/>
      <c r="Q41" s="58"/>
      <c r="R41" s="58"/>
      <c r="S41" s="58"/>
      <c r="T41" s="58"/>
      <c r="U41" s="58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0"/>
      <c r="DC41" s="70"/>
      <c r="DD41" s="70"/>
      <c r="DE41" s="70"/>
      <c r="DF41" s="70"/>
      <c r="DG41" s="70"/>
      <c r="DH41" s="70"/>
      <c r="DI41" s="70"/>
      <c r="DJ41" s="70"/>
      <c r="DK41" s="70"/>
      <c r="DL41" s="70"/>
      <c r="DM41" s="70"/>
      <c r="DN41" s="70"/>
      <c r="DO41" s="70"/>
      <c r="DP41" s="70"/>
      <c r="DQ41" s="70"/>
      <c r="DR41" s="70"/>
      <c r="DS41" s="70"/>
      <c r="DT41" s="70"/>
      <c r="DU41" s="70"/>
      <c r="DV41" s="70"/>
      <c r="DW41" s="70"/>
      <c r="DX41" s="70"/>
      <c r="DY41" s="70"/>
      <c r="DZ41" s="70"/>
      <c r="EA41" s="70"/>
      <c r="EB41" s="70"/>
      <c r="EC41" s="70"/>
      <c r="ED41" s="70"/>
      <c r="EE41" s="70"/>
      <c r="EF41" s="70"/>
      <c r="EG41" s="70"/>
      <c r="EH41" s="70"/>
      <c r="EI41" s="70"/>
      <c r="EJ41" s="70"/>
      <c r="EK41" s="70"/>
      <c r="EL41" s="70"/>
      <c r="EM41" s="70"/>
      <c r="EN41" s="70"/>
      <c r="EO41" s="70"/>
      <c r="EP41" s="70"/>
      <c r="EQ41" s="70"/>
      <c r="ER41" s="70"/>
      <c r="ES41" s="70"/>
      <c r="ET41" s="70"/>
      <c r="EU41" s="70"/>
      <c r="EV41" s="70"/>
      <c r="EW41" s="70"/>
      <c r="EX41" s="70"/>
      <c r="EY41" s="70"/>
      <c r="EZ41" s="70"/>
      <c r="FA41" s="70"/>
      <c r="FB41" s="70"/>
      <c r="FC41" s="70"/>
      <c r="FD41" s="70"/>
      <c r="FE41" s="70"/>
      <c r="FF41" s="70"/>
      <c r="FG41" s="70"/>
      <c r="FH41" s="70"/>
      <c r="FI41" s="70"/>
      <c r="FJ41" s="70"/>
      <c r="FK41" s="70"/>
      <c r="FL41" s="70"/>
      <c r="FM41" s="70"/>
      <c r="FN41" s="70"/>
      <c r="FO41" s="70"/>
      <c r="FP41" s="70"/>
      <c r="FQ41" s="70"/>
      <c r="FR41" s="70"/>
      <c r="FS41" s="70"/>
      <c r="FT41" s="70"/>
      <c r="FU41" s="70"/>
      <c r="FV41" s="70"/>
      <c r="FW41" s="70"/>
      <c r="FX41" s="70"/>
      <c r="FY41" s="70"/>
      <c r="FZ41" s="70"/>
      <c r="GA41" s="70"/>
      <c r="GB41" s="70"/>
      <c r="GC41" s="70"/>
      <c r="GD41" s="70"/>
      <c r="GE41" s="70"/>
      <c r="GF41" s="70"/>
      <c r="GG41" s="70"/>
      <c r="GH41" s="70"/>
      <c r="GI41" s="70"/>
      <c r="GJ41" s="70"/>
      <c r="GK41" s="70"/>
      <c r="GL41" s="70"/>
      <c r="GM41" s="70"/>
      <c r="GN41" s="70"/>
      <c r="GO41" s="70"/>
      <c r="GP41" s="70"/>
      <c r="GQ41" s="70"/>
      <c r="GR41" s="70"/>
      <c r="GS41" s="70"/>
      <c r="GT41" s="70"/>
      <c r="GU41" s="70"/>
      <c r="GV41" s="70"/>
      <c r="GW41" s="70"/>
      <c r="GX41" s="70"/>
      <c r="GY41" s="70"/>
      <c r="GZ41" s="70"/>
      <c r="HA41" s="70"/>
      <c r="HB41" s="70"/>
      <c r="HC41" s="70"/>
      <c r="HD41" s="70"/>
      <c r="HE41" s="70"/>
      <c r="HF41" s="70"/>
      <c r="HG41" s="70"/>
      <c r="HH41" s="70"/>
      <c r="HI41" s="70"/>
      <c r="HJ41" s="70"/>
      <c r="HK41" s="70"/>
      <c r="HL41" s="70"/>
      <c r="HM41" s="70"/>
      <c r="HN41" s="70"/>
      <c r="HO41" s="70"/>
      <c r="HP41" s="70"/>
      <c r="HQ41" s="70"/>
      <c r="HR41" s="70"/>
      <c r="HS41" s="70"/>
      <c r="HT41" s="70"/>
      <c r="HU41" s="70"/>
      <c r="HV41" s="70"/>
      <c r="HW41" s="70"/>
      <c r="HX41" s="70"/>
      <c r="HY41" s="70"/>
      <c r="HZ41" s="70"/>
      <c r="IA41" s="70"/>
      <c r="IB41" s="70"/>
      <c r="IC41" s="70"/>
      <c r="ID41" s="70"/>
      <c r="IE41" s="70"/>
      <c r="IF41" s="70"/>
      <c r="IG41" s="70"/>
      <c r="IH41" s="70"/>
      <c r="II41" s="70"/>
      <c r="IJ41" s="70"/>
      <c r="IK41" s="70"/>
      <c r="IL41" s="70"/>
      <c r="IM41" s="70"/>
      <c r="IN41" s="70"/>
      <c r="IO41" s="70"/>
      <c r="IP41" s="70"/>
      <c r="IQ41" s="70"/>
      <c r="IR41" s="70"/>
      <c r="IS41" s="70"/>
      <c r="IT41" s="70"/>
      <c r="IU41" s="70"/>
      <c r="IV41" s="70"/>
      <c r="IW41" s="70"/>
      <c r="IX41" s="70"/>
      <c r="IY41" s="70"/>
      <c r="IZ41" s="70"/>
      <c r="JA41" s="70"/>
      <c r="JB41" s="70"/>
      <c r="JC41" s="70"/>
      <c r="JD41" s="70"/>
      <c r="JE41" s="70"/>
      <c r="JF41" s="70"/>
      <c r="JG41" s="70"/>
      <c r="JH41" s="70"/>
      <c r="JI41" s="70"/>
      <c r="JJ41" s="70"/>
      <c r="JK41" s="70"/>
      <c r="JL41" s="70"/>
      <c r="JM41" s="70"/>
      <c r="JN41" s="70"/>
      <c r="JO41" s="70"/>
      <c r="JP41" s="70"/>
      <c r="JQ41" s="70"/>
      <c r="JR41" s="70"/>
      <c r="JS41" s="70"/>
      <c r="JT41" s="70"/>
      <c r="JU41" s="70"/>
      <c r="JV41" s="70"/>
      <c r="JW41" s="70"/>
      <c r="JX41" s="70"/>
      <c r="JY41" s="70"/>
      <c r="JZ41" s="99"/>
      <c r="KA41" s="17"/>
      <c r="KB41" s="219" t="s">
        <v>71</v>
      </c>
      <c r="KC41" s="220">
        <v>0</v>
      </c>
      <c r="KD41" s="221">
        <f>SUM('[12]Progr1 (3)'!KY48:LV48)</f>
        <v>0</v>
      </c>
      <c r="KE41" s="221">
        <f>SUM('[12]Progr1 (3)'!KY50:LU50)</f>
        <v>0</v>
      </c>
      <c r="KF41" s="220">
        <f>KC41+KD41-KE41</f>
        <v>0</v>
      </c>
      <c r="KG41" s="221">
        <f t="shared" ref="KG41:KG44" si="273">KC41</f>
        <v>0</v>
      </c>
      <c r="KH41" s="221">
        <f>KF41</f>
        <v>0</v>
      </c>
      <c r="KI41" s="220" t="str">
        <f t="shared" si="241"/>
        <v>/2</v>
      </c>
      <c r="KJ41" s="221">
        <f>(KC41+KF41)/2</f>
        <v>0</v>
      </c>
      <c r="KK41" s="221" t="e">
        <f>KF41/(KE41/KM41)</f>
        <v>#DIV/0!</v>
      </c>
      <c r="KL41" s="220" t="e">
        <f>365/KK41</f>
        <v>#DIV/0!</v>
      </c>
      <c r="KM41" s="221">
        <v>25</v>
      </c>
      <c r="KN41" s="219" t="s">
        <v>75</v>
      </c>
      <c r="KO41" s="220">
        <v>0</v>
      </c>
      <c r="KP41" s="221">
        <f>SUM('[12]Progr1 (3)'!LK48:MH48)</f>
        <v>0</v>
      </c>
      <c r="KQ41" s="221">
        <f>SUM('[12]Progr1 (3)'!LK50:MG50)</f>
        <v>0</v>
      </c>
      <c r="KR41" s="220">
        <f>KO41+KP41-KQ41</f>
        <v>0</v>
      </c>
      <c r="KS41" s="221">
        <f t="shared" ref="KS41:KS44" si="274">KO41</f>
        <v>0</v>
      </c>
      <c r="KT41" s="221">
        <f>KR41</f>
        <v>0</v>
      </c>
      <c r="KU41" s="220" t="str">
        <f t="shared" si="243"/>
        <v>/2</v>
      </c>
      <c r="KV41" s="221">
        <f>(KO41+KR41)/2</f>
        <v>0</v>
      </c>
      <c r="KW41" s="221" t="e">
        <f>KR41/(KQ41/KY41)</f>
        <v>#DIV/0!</v>
      </c>
      <c r="KX41" s="220" t="e">
        <f>365/KW41</f>
        <v>#DIV/0!</v>
      </c>
      <c r="KY41" s="221">
        <v>25</v>
      </c>
      <c r="KZ41" s="219" t="s">
        <v>83</v>
      </c>
      <c r="LA41" s="220">
        <v>0</v>
      </c>
      <c r="LB41" s="221">
        <f>SUM('[12]Progr1 (3)'!LW48:MT48)</f>
        <v>0</v>
      </c>
      <c r="LC41" s="221">
        <f>SUM('[12]Progr1 (3)'!LW50:MS50)</f>
        <v>0</v>
      </c>
      <c r="LD41" s="220">
        <f>LA41+LB41-LC41</f>
        <v>0</v>
      </c>
      <c r="LE41" s="221">
        <f t="shared" ref="LE41:LE44" si="275">LA41</f>
        <v>0</v>
      </c>
      <c r="LF41" s="221">
        <f>LD41</f>
        <v>0</v>
      </c>
      <c r="LG41" s="220" t="str">
        <f t="shared" si="245"/>
        <v>/2</v>
      </c>
      <c r="LH41" s="221">
        <f>(LA41+LD41)/2</f>
        <v>0</v>
      </c>
      <c r="LI41" s="221" t="e">
        <f>LD41/(LC41/LK41)</f>
        <v>#DIV/0!</v>
      </c>
      <c r="LJ41" s="220" t="e">
        <f>365/LI41</f>
        <v>#DIV/0!</v>
      </c>
      <c r="LK41" s="221">
        <v>25</v>
      </c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</row>
    <row r="42" spans="1:669" ht="15.75" thickBot="1" x14ac:dyDescent="0.3">
      <c r="A42" s="138" t="str">
        <f>B40</f>
        <v>xx</v>
      </c>
      <c r="B42" s="232"/>
      <c r="C42" s="81">
        <f t="shared" ref="C42:C44" si="276">$C$40</f>
        <v>0</v>
      </c>
      <c r="D42" s="229"/>
      <c r="E42" s="173" t="s">
        <v>41</v>
      </c>
      <c r="F42" s="181">
        <v>0</v>
      </c>
      <c r="G42" s="175" t="s">
        <v>39</v>
      </c>
      <c r="H42" s="170">
        <v>0</v>
      </c>
      <c r="I42" s="242" t="s">
        <v>17</v>
      </c>
      <c r="J42" s="83" t="str">
        <f t="shared" si="247"/>
        <v>CORTE</v>
      </c>
      <c r="K42" s="281"/>
      <c r="L42" s="57"/>
      <c r="M42" s="58"/>
      <c r="N42" s="58"/>
      <c r="O42" s="58"/>
      <c r="P42" s="58"/>
      <c r="Q42" s="58"/>
      <c r="R42" s="58"/>
      <c r="S42" s="58"/>
      <c r="T42" s="58"/>
      <c r="U42" s="58"/>
      <c r="V42" s="68">
        <f t="shared" ref="V42:CG42" ca="1" si="277">IF(V3&gt;$J$5,"",U42+V40-V41)</f>
        <v>0</v>
      </c>
      <c r="W42" s="68">
        <f t="shared" ca="1" si="277"/>
        <v>0</v>
      </c>
      <c r="X42" s="68">
        <f t="shared" ca="1" si="277"/>
        <v>0</v>
      </c>
      <c r="Y42" s="68">
        <f t="shared" ca="1" si="277"/>
        <v>0</v>
      </c>
      <c r="Z42" s="68">
        <f t="shared" ca="1" si="277"/>
        <v>0</v>
      </c>
      <c r="AA42" s="68">
        <f t="shared" ca="1" si="277"/>
        <v>0</v>
      </c>
      <c r="AB42" s="68">
        <f t="shared" ca="1" si="277"/>
        <v>0</v>
      </c>
      <c r="AC42" s="68">
        <f t="shared" ca="1" si="277"/>
        <v>0</v>
      </c>
      <c r="AD42" s="68">
        <f t="shared" ca="1" si="277"/>
        <v>0</v>
      </c>
      <c r="AE42" s="68">
        <f t="shared" ca="1" si="277"/>
        <v>0</v>
      </c>
      <c r="AF42" s="68">
        <f t="shared" ca="1" si="277"/>
        <v>0</v>
      </c>
      <c r="AG42" s="68">
        <f t="shared" ca="1" si="277"/>
        <v>0</v>
      </c>
      <c r="AH42" s="68">
        <f t="shared" ca="1" si="277"/>
        <v>0</v>
      </c>
      <c r="AI42" s="68">
        <f t="shared" ca="1" si="277"/>
        <v>0</v>
      </c>
      <c r="AJ42" s="68">
        <f t="shared" ca="1" si="277"/>
        <v>0</v>
      </c>
      <c r="AK42" s="68">
        <f t="shared" ca="1" si="277"/>
        <v>0</v>
      </c>
      <c r="AL42" s="68">
        <f t="shared" ca="1" si="277"/>
        <v>0</v>
      </c>
      <c r="AM42" s="68">
        <f t="shared" ca="1" si="277"/>
        <v>0</v>
      </c>
      <c r="AN42" s="68">
        <f t="shared" ca="1" si="277"/>
        <v>0</v>
      </c>
      <c r="AO42" s="68">
        <f t="shared" ca="1" si="277"/>
        <v>0</v>
      </c>
      <c r="AP42" s="68">
        <f t="shared" ca="1" si="277"/>
        <v>0</v>
      </c>
      <c r="AQ42" s="68">
        <f t="shared" ca="1" si="277"/>
        <v>0</v>
      </c>
      <c r="AR42" s="68">
        <f t="shared" ca="1" si="277"/>
        <v>0</v>
      </c>
      <c r="AS42" s="68">
        <f t="shared" ca="1" si="277"/>
        <v>0</v>
      </c>
      <c r="AT42" s="68">
        <f t="shared" ca="1" si="277"/>
        <v>0</v>
      </c>
      <c r="AU42" s="68">
        <f t="shared" ca="1" si="277"/>
        <v>0</v>
      </c>
      <c r="AV42" s="68">
        <f t="shared" ca="1" si="277"/>
        <v>0</v>
      </c>
      <c r="AW42" s="68">
        <f t="shared" ca="1" si="277"/>
        <v>0</v>
      </c>
      <c r="AX42" s="68">
        <f t="shared" ca="1" si="277"/>
        <v>0</v>
      </c>
      <c r="AY42" s="68">
        <f t="shared" ca="1" si="277"/>
        <v>0</v>
      </c>
      <c r="AZ42" s="68">
        <f t="shared" ca="1" si="277"/>
        <v>0</v>
      </c>
      <c r="BA42" s="68">
        <f t="shared" ca="1" si="277"/>
        <v>0</v>
      </c>
      <c r="BB42" s="68">
        <f t="shared" ca="1" si="277"/>
        <v>0</v>
      </c>
      <c r="BC42" s="68">
        <f t="shared" ca="1" si="277"/>
        <v>0</v>
      </c>
      <c r="BD42" s="68">
        <f t="shared" ca="1" si="277"/>
        <v>0</v>
      </c>
      <c r="BE42" s="68">
        <f t="shared" ca="1" si="277"/>
        <v>0</v>
      </c>
      <c r="BF42" s="68">
        <f t="shared" ca="1" si="277"/>
        <v>0</v>
      </c>
      <c r="BG42" s="68">
        <f t="shared" ca="1" si="277"/>
        <v>0</v>
      </c>
      <c r="BH42" s="68">
        <f t="shared" ca="1" si="277"/>
        <v>0</v>
      </c>
      <c r="BI42" s="68">
        <f t="shared" ca="1" si="277"/>
        <v>0</v>
      </c>
      <c r="BJ42" s="68">
        <f t="shared" ca="1" si="277"/>
        <v>0</v>
      </c>
      <c r="BK42" s="68">
        <f t="shared" ca="1" si="277"/>
        <v>0</v>
      </c>
      <c r="BL42" s="68">
        <f t="shared" ca="1" si="277"/>
        <v>0</v>
      </c>
      <c r="BM42" s="68">
        <f t="shared" ca="1" si="277"/>
        <v>0</v>
      </c>
      <c r="BN42" s="68">
        <f t="shared" ca="1" si="277"/>
        <v>0</v>
      </c>
      <c r="BO42" s="68">
        <f t="shared" ca="1" si="277"/>
        <v>0</v>
      </c>
      <c r="BP42" s="68">
        <f t="shared" ca="1" si="277"/>
        <v>0</v>
      </c>
      <c r="BQ42" s="68">
        <f t="shared" ca="1" si="277"/>
        <v>0</v>
      </c>
      <c r="BR42" s="68">
        <f t="shared" ca="1" si="277"/>
        <v>0</v>
      </c>
      <c r="BS42" s="68">
        <f t="shared" ca="1" si="277"/>
        <v>0</v>
      </c>
      <c r="BT42" s="68">
        <f t="shared" ca="1" si="277"/>
        <v>0</v>
      </c>
      <c r="BU42" s="68">
        <f t="shared" ca="1" si="277"/>
        <v>0</v>
      </c>
      <c r="BV42" s="68">
        <f t="shared" ca="1" si="277"/>
        <v>0</v>
      </c>
      <c r="BW42" s="68">
        <f t="shared" ca="1" si="277"/>
        <v>0</v>
      </c>
      <c r="BX42" s="68">
        <f t="shared" ca="1" si="277"/>
        <v>0</v>
      </c>
      <c r="BY42" s="68">
        <f t="shared" ca="1" si="277"/>
        <v>0</v>
      </c>
      <c r="BZ42" s="68">
        <f t="shared" ca="1" si="277"/>
        <v>0</v>
      </c>
      <c r="CA42" s="68">
        <f t="shared" ca="1" si="277"/>
        <v>0</v>
      </c>
      <c r="CB42" s="68">
        <f t="shared" ca="1" si="277"/>
        <v>0</v>
      </c>
      <c r="CC42" s="68">
        <f t="shared" ca="1" si="277"/>
        <v>0</v>
      </c>
      <c r="CD42" s="68">
        <f t="shared" ca="1" si="277"/>
        <v>0</v>
      </c>
      <c r="CE42" s="68">
        <f t="shared" ca="1" si="277"/>
        <v>0</v>
      </c>
      <c r="CF42" s="68">
        <f t="shared" ca="1" si="277"/>
        <v>0</v>
      </c>
      <c r="CG42" s="68">
        <f t="shared" ca="1" si="277"/>
        <v>0</v>
      </c>
      <c r="CH42" s="68">
        <f t="shared" ref="CH42:ES42" ca="1" si="278">IF(CH3&gt;$J$5,"",CG42+CH40-CH41)</f>
        <v>0</v>
      </c>
      <c r="CI42" s="68">
        <f t="shared" ca="1" si="278"/>
        <v>0</v>
      </c>
      <c r="CJ42" s="68">
        <f t="shared" ca="1" si="278"/>
        <v>0</v>
      </c>
      <c r="CK42" s="68">
        <f t="shared" ca="1" si="278"/>
        <v>0</v>
      </c>
      <c r="CL42" s="68">
        <f t="shared" ca="1" si="278"/>
        <v>0</v>
      </c>
      <c r="CM42" s="68">
        <f t="shared" ca="1" si="278"/>
        <v>0</v>
      </c>
      <c r="CN42" s="68">
        <f t="shared" ca="1" si="278"/>
        <v>0</v>
      </c>
      <c r="CO42" s="68">
        <f t="shared" ca="1" si="278"/>
        <v>0</v>
      </c>
      <c r="CP42" s="68">
        <f t="shared" ca="1" si="278"/>
        <v>0</v>
      </c>
      <c r="CQ42" s="68">
        <f t="shared" ca="1" si="278"/>
        <v>0</v>
      </c>
      <c r="CR42" s="68">
        <f t="shared" ca="1" si="278"/>
        <v>0</v>
      </c>
      <c r="CS42" s="68">
        <f t="shared" ca="1" si="278"/>
        <v>0</v>
      </c>
      <c r="CT42" s="68">
        <f t="shared" ca="1" si="278"/>
        <v>0</v>
      </c>
      <c r="CU42" s="68">
        <f t="shared" ca="1" si="278"/>
        <v>0</v>
      </c>
      <c r="CV42" s="68">
        <f t="shared" ca="1" si="278"/>
        <v>0</v>
      </c>
      <c r="CW42" s="68">
        <f t="shared" ca="1" si="278"/>
        <v>0</v>
      </c>
      <c r="CX42" s="68">
        <f t="shared" ca="1" si="278"/>
        <v>0</v>
      </c>
      <c r="CY42" s="68">
        <f t="shared" ca="1" si="278"/>
        <v>0</v>
      </c>
      <c r="CZ42" s="68">
        <f t="shared" ca="1" si="278"/>
        <v>0</v>
      </c>
      <c r="DA42" s="68">
        <f t="shared" ca="1" si="278"/>
        <v>0</v>
      </c>
      <c r="DB42" s="68">
        <f t="shared" ca="1" si="278"/>
        <v>0</v>
      </c>
      <c r="DC42" s="68">
        <f t="shared" ca="1" si="278"/>
        <v>0</v>
      </c>
      <c r="DD42" s="68">
        <f t="shared" ca="1" si="278"/>
        <v>0</v>
      </c>
      <c r="DE42" s="68">
        <f t="shared" ca="1" si="278"/>
        <v>0</v>
      </c>
      <c r="DF42" s="68">
        <f t="shared" ca="1" si="278"/>
        <v>0</v>
      </c>
      <c r="DG42" s="68">
        <f t="shared" ca="1" si="278"/>
        <v>0</v>
      </c>
      <c r="DH42" s="68">
        <f t="shared" ca="1" si="278"/>
        <v>0</v>
      </c>
      <c r="DI42" s="68">
        <f t="shared" ca="1" si="278"/>
        <v>0</v>
      </c>
      <c r="DJ42" s="68">
        <f t="shared" ca="1" si="278"/>
        <v>0</v>
      </c>
      <c r="DK42" s="68">
        <f t="shared" ca="1" si="278"/>
        <v>0</v>
      </c>
      <c r="DL42" s="68">
        <f t="shared" ca="1" si="278"/>
        <v>0</v>
      </c>
      <c r="DM42" s="68">
        <f t="shared" ca="1" si="278"/>
        <v>0</v>
      </c>
      <c r="DN42" s="68">
        <f t="shared" ca="1" si="278"/>
        <v>0</v>
      </c>
      <c r="DO42" s="68">
        <f t="shared" ca="1" si="278"/>
        <v>0</v>
      </c>
      <c r="DP42" s="68">
        <f t="shared" ca="1" si="278"/>
        <v>0</v>
      </c>
      <c r="DQ42" s="68">
        <f t="shared" ca="1" si="278"/>
        <v>0</v>
      </c>
      <c r="DR42" s="68">
        <f t="shared" ca="1" si="278"/>
        <v>0</v>
      </c>
      <c r="DS42" s="68">
        <f t="shared" ca="1" si="278"/>
        <v>0</v>
      </c>
      <c r="DT42" s="68">
        <f t="shared" ca="1" si="278"/>
        <v>0</v>
      </c>
      <c r="DU42" s="68">
        <f t="shared" ca="1" si="278"/>
        <v>0</v>
      </c>
      <c r="DV42" s="68">
        <f t="shared" ca="1" si="278"/>
        <v>0</v>
      </c>
      <c r="DW42" s="68">
        <f t="shared" ca="1" si="278"/>
        <v>0</v>
      </c>
      <c r="DX42" s="68">
        <f t="shared" ca="1" si="278"/>
        <v>0</v>
      </c>
      <c r="DY42" s="68">
        <f t="shared" ca="1" si="278"/>
        <v>0</v>
      </c>
      <c r="DZ42" s="68">
        <f t="shared" ca="1" si="278"/>
        <v>0</v>
      </c>
      <c r="EA42" s="68">
        <f t="shared" ca="1" si="278"/>
        <v>0</v>
      </c>
      <c r="EB42" s="68">
        <f t="shared" ca="1" si="278"/>
        <v>0</v>
      </c>
      <c r="EC42" s="68">
        <f t="shared" ca="1" si="278"/>
        <v>0</v>
      </c>
      <c r="ED42" s="68">
        <f t="shared" ca="1" si="278"/>
        <v>0</v>
      </c>
      <c r="EE42" s="68">
        <f t="shared" ca="1" si="278"/>
        <v>0</v>
      </c>
      <c r="EF42" s="68">
        <f t="shared" ca="1" si="278"/>
        <v>0</v>
      </c>
      <c r="EG42" s="68">
        <f t="shared" ca="1" si="278"/>
        <v>0</v>
      </c>
      <c r="EH42" s="68">
        <f t="shared" ca="1" si="278"/>
        <v>0</v>
      </c>
      <c r="EI42" s="68">
        <f t="shared" ca="1" si="278"/>
        <v>0</v>
      </c>
      <c r="EJ42" s="68">
        <f t="shared" ca="1" si="278"/>
        <v>0</v>
      </c>
      <c r="EK42" s="68">
        <f t="shared" ca="1" si="278"/>
        <v>0</v>
      </c>
      <c r="EL42" s="68">
        <f t="shared" ca="1" si="278"/>
        <v>0</v>
      </c>
      <c r="EM42" s="68">
        <f t="shared" ca="1" si="278"/>
        <v>0</v>
      </c>
      <c r="EN42" s="68">
        <f t="shared" ca="1" si="278"/>
        <v>0</v>
      </c>
      <c r="EO42" s="68">
        <f t="shared" ca="1" si="278"/>
        <v>0</v>
      </c>
      <c r="EP42" s="68">
        <f t="shared" ca="1" si="278"/>
        <v>0</v>
      </c>
      <c r="EQ42" s="68">
        <f t="shared" ca="1" si="278"/>
        <v>0</v>
      </c>
      <c r="ER42" s="68">
        <f t="shared" ca="1" si="278"/>
        <v>0</v>
      </c>
      <c r="ES42" s="68">
        <f t="shared" ca="1" si="278"/>
        <v>0</v>
      </c>
      <c r="ET42" s="68">
        <f t="shared" ref="ET42:HE42" ca="1" si="279">IF(ET3&gt;$J$5,"",ES42+ET40-ET41)</f>
        <v>0</v>
      </c>
      <c r="EU42" s="68">
        <f t="shared" ca="1" si="279"/>
        <v>0</v>
      </c>
      <c r="EV42" s="68">
        <f t="shared" ca="1" si="279"/>
        <v>0</v>
      </c>
      <c r="EW42" s="68">
        <f t="shared" ca="1" si="279"/>
        <v>0</v>
      </c>
      <c r="EX42" s="68">
        <f t="shared" ca="1" si="279"/>
        <v>0</v>
      </c>
      <c r="EY42" s="68">
        <f t="shared" ca="1" si="279"/>
        <v>0</v>
      </c>
      <c r="EZ42" s="68">
        <f t="shared" ca="1" si="279"/>
        <v>0</v>
      </c>
      <c r="FA42" s="68">
        <f t="shared" ca="1" si="279"/>
        <v>0</v>
      </c>
      <c r="FB42" s="68">
        <f t="shared" ca="1" si="279"/>
        <v>0</v>
      </c>
      <c r="FC42" s="68">
        <f t="shared" ca="1" si="279"/>
        <v>0</v>
      </c>
      <c r="FD42" s="68">
        <f t="shared" ca="1" si="279"/>
        <v>0</v>
      </c>
      <c r="FE42" s="68">
        <f t="shared" ca="1" si="279"/>
        <v>0</v>
      </c>
      <c r="FF42" s="68">
        <f t="shared" ca="1" si="279"/>
        <v>0</v>
      </c>
      <c r="FG42" s="68">
        <f t="shared" ca="1" si="279"/>
        <v>0</v>
      </c>
      <c r="FH42" s="68">
        <f t="shared" ca="1" si="279"/>
        <v>0</v>
      </c>
      <c r="FI42" s="68">
        <f t="shared" ca="1" si="279"/>
        <v>0</v>
      </c>
      <c r="FJ42" s="68">
        <f t="shared" ca="1" si="279"/>
        <v>0</v>
      </c>
      <c r="FK42" s="68">
        <f t="shared" ca="1" si="279"/>
        <v>0</v>
      </c>
      <c r="FL42" s="68">
        <f t="shared" ca="1" si="279"/>
        <v>0</v>
      </c>
      <c r="FM42" s="68">
        <f t="shared" ca="1" si="279"/>
        <v>0</v>
      </c>
      <c r="FN42" s="68">
        <f t="shared" ca="1" si="279"/>
        <v>0</v>
      </c>
      <c r="FO42" s="68">
        <f t="shared" ca="1" si="279"/>
        <v>0</v>
      </c>
      <c r="FP42" s="68">
        <f t="shared" ca="1" si="279"/>
        <v>0</v>
      </c>
      <c r="FQ42" s="68">
        <f t="shared" ca="1" si="279"/>
        <v>0</v>
      </c>
      <c r="FR42" s="68">
        <f t="shared" ca="1" si="279"/>
        <v>0</v>
      </c>
      <c r="FS42" s="68">
        <f t="shared" ca="1" si="279"/>
        <v>0</v>
      </c>
      <c r="FT42" s="68">
        <f t="shared" ca="1" si="279"/>
        <v>0</v>
      </c>
      <c r="FU42" s="68">
        <f t="shared" ca="1" si="279"/>
        <v>0</v>
      </c>
      <c r="FV42" s="68">
        <f t="shared" ca="1" si="279"/>
        <v>0</v>
      </c>
      <c r="FW42" s="68">
        <f t="shared" ca="1" si="279"/>
        <v>0</v>
      </c>
      <c r="FX42" s="68">
        <f t="shared" ca="1" si="279"/>
        <v>0</v>
      </c>
      <c r="FY42" s="68">
        <f t="shared" ca="1" si="279"/>
        <v>0</v>
      </c>
      <c r="FZ42" s="68">
        <f t="shared" ca="1" si="279"/>
        <v>0</v>
      </c>
      <c r="GA42" s="68">
        <f t="shared" ca="1" si="279"/>
        <v>0</v>
      </c>
      <c r="GB42" s="68">
        <f t="shared" ca="1" si="279"/>
        <v>0</v>
      </c>
      <c r="GC42" s="68">
        <f t="shared" ca="1" si="279"/>
        <v>0</v>
      </c>
      <c r="GD42" s="68">
        <f t="shared" ca="1" si="279"/>
        <v>0</v>
      </c>
      <c r="GE42" s="68">
        <f t="shared" ca="1" si="279"/>
        <v>0</v>
      </c>
      <c r="GF42" s="68">
        <f t="shared" ca="1" si="279"/>
        <v>0</v>
      </c>
      <c r="GG42" s="68">
        <f t="shared" ca="1" si="279"/>
        <v>0</v>
      </c>
      <c r="GH42" s="68">
        <f t="shared" ca="1" si="279"/>
        <v>0</v>
      </c>
      <c r="GI42" s="68">
        <f t="shared" ca="1" si="279"/>
        <v>0</v>
      </c>
      <c r="GJ42" s="68">
        <f t="shared" ca="1" si="279"/>
        <v>0</v>
      </c>
      <c r="GK42" s="68">
        <f t="shared" ca="1" si="279"/>
        <v>0</v>
      </c>
      <c r="GL42" s="68">
        <f t="shared" ca="1" si="279"/>
        <v>0</v>
      </c>
      <c r="GM42" s="68">
        <f t="shared" ca="1" si="279"/>
        <v>0</v>
      </c>
      <c r="GN42" s="68">
        <f t="shared" ca="1" si="279"/>
        <v>0</v>
      </c>
      <c r="GO42" s="68">
        <f t="shared" ca="1" si="279"/>
        <v>0</v>
      </c>
      <c r="GP42" s="68">
        <f t="shared" ca="1" si="279"/>
        <v>0</v>
      </c>
      <c r="GQ42" s="68">
        <f t="shared" ca="1" si="279"/>
        <v>0</v>
      </c>
      <c r="GR42" s="68">
        <f t="shared" ca="1" si="279"/>
        <v>0</v>
      </c>
      <c r="GS42" s="68">
        <f t="shared" ca="1" si="279"/>
        <v>0</v>
      </c>
      <c r="GT42" s="68">
        <f t="shared" ca="1" si="279"/>
        <v>0</v>
      </c>
      <c r="GU42" s="68">
        <f t="shared" ca="1" si="279"/>
        <v>0</v>
      </c>
      <c r="GV42" s="68">
        <f t="shared" ca="1" si="279"/>
        <v>0</v>
      </c>
      <c r="GW42" s="68">
        <f t="shared" ca="1" si="279"/>
        <v>0</v>
      </c>
      <c r="GX42" s="68">
        <f t="shared" ca="1" si="279"/>
        <v>0</v>
      </c>
      <c r="GY42" s="68">
        <f t="shared" ca="1" si="279"/>
        <v>0</v>
      </c>
      <c r="GZ42" s="68">
        <f t="shared" ca="1" si="279"/>
        <v>0</v>
      </c>
      <c r="HA42" s="68">
        <f t="shared" ca="1" si="279"/>
        <v>0</v>
      </c>
      <c r="HB42" s="68">
        <f t="shared" ca="1" si="279"/>
        <v>0</v>
      </c>
      <c r="HC42" s="68">
        <f t="shared" ca="1" si="279"/>
        <v>0</v>
      </c>
      <c r="HD42" s="68" t="str">
        <f t="shared" ca="1" si="279"/>
        <v/>
      </c>
      <c r="HE42" s="68" t="str">
        <f t="shared" ca="1" si="279"/>
        <v/>
      </c>
      <c r="HF42" s="68" t="str">
        <f t="shared" ref="HF42:JQ42" ca="1" si="280">IF(HF3&gt;$J$5,"",HE42+HF40-HF41)</f>
        <v/>
      </c>
      <c r="HG42" s="68" t="str">
        <f t="shared" ca="1" si="280"/>
        <v/>
      </c>
      <c r="HH42" s="68" t="str">
        <f t="shared" ca="1" si="280"/>
        <v/>
      </c>
      <c r="HI42" s="68" t="str">
        <f t="shared" ca="1" si="280"/>
        <v/>
      </c>
      <c r="HJ42" s="68" t="str">
        <f t="shared" ca="1" si="280"/>
        <v/>
      </c>
      <c r="HK42" s="68" t="str">
        <f t="shared" ca="1" si="280"/>
        <v/>
      </c>
      <c r="HL42" s="68" t="str">
        <f t="shared" ca="1" si="280"/>
        <v/>
      </c>
      <c r="HM42" s="68" t="str">
        <f t="shared" ca="1" si="280"/>
        <v/>
      </c>
      <c r="HN42" s="68" t="str">
        <f t="shared" ca="1" si="280"/>
        <v/>
      </c>
      <c r="HO42" s="68" t="str">
        <f t="shared" ca="1" si="280"/>
        <v/>
      </c>
      <c r="HP42" s="68" t="str">
        <f t="shared" ca="1" si="280"/>
        <v/>
      </c>
      <c r="HQ42" s="68" t="str">
        <f t="shared" ca="1" si="280"/>
        <v/>
      </c>
      <c r="HR42" s="68" t="str">
        <f t="shared" ca="1" si="280"/>
        <v/>
      </c>
      <c r="HS42" s="68" t="str">
        <f t="shared" ca="1" si="280"/>
        <v/>
      </c>
      <c r="HT42" s="68" t="str">
        <f t="shared" ca="1" si="280"/>
        <v/>
      </c>
      <c r="HU42" s="68" t="str">
        <f t="shared" ca="1" si="280"/>
        <v/>
      </c>
      <c r="HV42" s="68" t="str">
        <f t="shared" ca="1" si="280"/>
        <v/>
      </c>
      <c r="HW42" s="68" t="str">
        <f t="shared" ca="1" si="280"/>
        <v/>
      </c>
      <c r="HX42" s="68" t="str">
        <f t="shared" ca="1" si="280"/>
        <v/>
      </c>
      <c r="HY42" s="68" t="str">
        <f t="shared" ca="1" si="280"/>
        <v/>
      </c>
      <c r="HZ42" s="68" t="str">
        <f t="shared" ca="1" si="280"/>
        <v/>
      </c>
      <c r="IA42" s="68" t="str">
        <f t="shared" ca="1" si="280"/>
        <v/>
      </c>
      <c r="IB42" s="68" t="str">
        <f t="shared" ca="1" si="280"/>
        <v/>
      </c>
      <c r="IC42" s="68" t="str">
        <f t="shared" ca="1" si="280"/>
        <v/>
      </c>
      <c r="ID42" s="68" t="str">
        <f t="shared" ca="1" si="280"/>
        <v/>
      </c>
      <c r="IE42" s="68" t="str">
        <f t="shared" ca="1" si="280"/>
        <v/>
      </c>
      <c r="IF42" s="68" t="str">
        <f t="shared" ca="1" si="280"/>
        <v/>
      </c>
      <c r="IG42" s="68" t="str">
        <f t="shared" ca="1" si="280"/>
        <v/>
      </c>
      <c r="IH42" s="68" t="str">
        <f t="shared" ca="1" si="280"/>
        <v/>
      </c>
      <c r="II42" s="68" t="str">
        <f t="shared" ca="1" si="280"/>
        <v/>
      </c>
      <c r="IJ42" s="68" t="str">
        <f t="shared" ca="1" si="280"/>
        <v/>
      </c>
      <c r="IK42" s="68" t="str">
        <f t="shared" ca="1" si="280"/>
        <v/>
      </c>
      <c r="IL42" s="68" t="str">
        <f t="shared" ca="1" si="280"/>
        <v/>
      </c>
      <c r="IM42" s="68" t="str">
        <f t="shared" ca="1" si="280"/>
        <v/>
      </c>
      <c r="IN42" s="68" t="str">
        <f t="shared" ca="1" si="280"/>
        <v/>
      </c>
      <c r="IO42" s="68" t="str">
        <f t="shared" ca="1" si="280"/>
        <v/>
      </c>
      <c r="IP42" s="68" t="str">
        <f t="shared" ca="1" si="280"/>
        <v/>
      </c>
      <c r="IQ42" s="68" t="str">
        <f t="shared" ca="1" si="280"/>
        <v/>
      </c>
      <c r="IR42" s="68" t="str">
        <f t="shared" ca="1" si="280"/>
        <v/>
      </c>
      <c r="IS42" s="68" t="str">
        <f t="shared" ca="1" si="280"/>
        <v/>
      </c>
      <c r="IT42" s="68" t="str">
        <f t="shared" ca="1" si="280"/>
        <v/>
      </c>
      <c r="IU42" s="68" t="str">
        <f t="shared" ca="1" si="280"/>
        <v/>
      </c>
      <c r="IV42" s="68" t="str">
        <f t="shared" ca="1" si="280"/>
        <v/>
      </c>
      <c r="IW42" s="68" t="str">
        <f t="shared" ca="1" si="280"/>
        <v/>
      </c>
      <c r="IX42" s="68" t="str">
        <f t="shared" ca="1" si="280"/>
        <v/>
      </c>
      <c r="IY42" s="68" t="str">
        <f t="shared" ca="1" si="280"/>
        <v/>
      </c>
      <c r="IZ42" s="68" t="str">
        <f t="shared" ca="1" si="280"/>
        <v/>
      </c>
      <c r="JA42" s="68" t="str">
        <f t="shared" ca="1" si="280"/>
        <v/>
      </c>
      <c r="JB42" s="68" t="str">
        <f t="shared" ca="1" si="280"/>
        <v/>
      </c>
      <c r="JC42" s="68" t="str">
        <f t="shared" ca="1" si="280"/>
        <v/>
      </c>
      <c r="JD42" s="68" t="str">
        <f t="shared" ca="1" si="280"/>
        <v/>
      </c>
      <c r="JE42" s="68" t="str">
        <f t="shared" ca="1" si="280"/>
        <v/>
      </c>
      <c r="JF42" s="68" t="str">
        <f t="shared" ca="1" si="280"/>
        <v/>
      </c>
      <c r="JG42" s="68" t="str">
        <f t="shared" ca="1" si="280"/>
        <v/>
      </c>
      <c r="JH42" s="68" t="str">
        <f t="shared" ca="1" si="280"/>
        <v/>
      </c>
      <c r="JI42" s="68" t="str">
        <f t="shared" ca="1" si="280"/>
        <v/>
      </c>
      <c r="JJ42" s="68" t="str">
        <f t="shared" ca="1" si="280"/>
        <v/>
      </c>
      <c r="JK42" s="68" t="str">
        <f t="shared" ca="1" si="280"/>
        <v/>
      </c>
      <c r="JL42" s="68" t="str">
        <f t="shared" ca="1" si="280"/>
        <v/>
      </c>
      <c r="JM42" s="68" t="str">
        <f t="shared" ca="1" si="280"/>
        <v/>
      </c>
      <c r="JN42" s="68" t="str">
        <f t="shared" ca="1" si="280"/>
        <v/>
      </c>
      <c r="JO42" s="68" t="str">
        <f t="shared" ca="1" si="280"/>
        <v/>
      </c>
      <c r="JP42" s="68" t="str">
        <f t="shared" ca="1" si="280"/>
        <v/>
      </c>
      <c r="JQ42" s="68" t="str">
        <f t="shared" ca="1" si="280"/>
        <v/>
      </c>
      <c r="JR42" s="68" t="str">
        <f t="shared" ref="JR42:JZ42" ca="1" si="281">IF(JR3&gt;$J$5,"",JQ42+JR40-JR41)</f>
        <v/>
      </c>
      <c r="JS42" s="68" t="str">
        <f t="shared" ca="1" si="281"/>
        <v/>
      </c>
      <c r="JT42" s="68" t="str">
        <f t="shared" ca="1" si="281"/>
        <v/>
      </c>
      <c r="JU42" s="68" t="str">
        <f t="shared" ca="1" si="281"/>
        <v/>
      </c>
      <c r="JV42" s="68" t="str">
        <f t="shared" ca="1" si="281"/>
        <v/>
      </c>
      <c r="JW42" s="68" t="str">
        <f t="shared" ca="1" si="281"/>
        <v/>
      </c>
      <c r="JX42" s="68" t="str">
        <f t="shared" ca="1" si="281"/>
        <v/>
      </c>
      <c r="JY42" s="68" t="str">
        <f t="shared" ca="1" si="281"/>
        <v/>
      </c>
      <c r="JZ42" s="100" t="str">
        <f t="shared" ca="1" si="281"/>
        <v/>
      </c>
      <c r="KA42" s="17"/>
      <c r="KB42" s="219" t="s">
        <v>72</v>
      </c>
      <c r="KC42" s="222">
        <f>KF41</f>
        <v>0</v>
      </c>
      <c r="KD42" s="223">
        <f>SUM('[12]Progr1 (3)'!LV48:MO48)</f>
        <v>0</v>
      </c>
      <c r="KE42" s="223">
        <f>SUM('[12]Progr1 (3)'!LV50:MO50)</f>
        <v>0</v>
      </c>
      <c r="KF42" s="222">
        <f t="shared" ref="KF42:KF44" si="282">KC42+KD42-KE42</f>
        <v>0</v>
      </c>
      <c r="KG42" s="223">
        <f t="shared" si="273"/>
        <v>0</v>
      </c>
      <c r="KH42" s="223">
        <f t="shared" ref="KH42:KH44" si="283">KF42</f>
        <v>0</v>
      </c>
      <c r="KI42" s="222" t="str">
        <f t="shared" si="241"/>
        <v>/2</v>
      </c>
      <c r="KJ42" s="223">
        <f t="shared" ref="KJ42:KJ44" si="284">(KC42+KF42)/2</f>
        <v>0</v>
      </c>
      <c r="KK42" s="223" t="e">
        <f t="shared" ref="KK42:KK44" si="285">KF42/(KE42/KM42)</f>
        <v>#DIV/0!</v>
      </c>
      <c r="KL42" s="222" t="e">
        <f t="shared" ref="KL42:KL44" si="286">365/KK42</f>
        <v>#DIV/0!</v>
      </c>
      <c r="KM42" s="223">
        <v>25</v>
      </c>
      <c r="KN42" s="219" t="s">
        <v>76</v>
      </c>
      <c r="KO42" s="222">
        <f>KR41</f>
        <v>0</v>
      </c>
      <c r="KP42" s="223">
        <f>SUM('[12]Progr1 (3)'!MH48:NA48)</f>
        <v>0</v>
      </c>
      <c r="KQ42" s="223">
        <f>SUM('[12]Progr1 (3)'!MH50:NA50)</f>
        <v>0</v>
      </c>
      <c r="KR42" s="222">
        <f t="shared" ref="KR42:KR44" si="287">KO42+KP42-KQ42</f>
        <v>0</v>
      </c>
      <c r="KS42" s="223">
        <f t="shared" si="274"/>
        <v>0</v>
      </c>
      <c r="KT42" s="223">
        <f t="shared" ref="KT42:KT44" si="288">KR42</f>
        <v>0</v>
      </c>
      <c r="KU42" s="222" t="str">
        <f t="shared" si="243"/>
        <v>/2</v>
      </c>
      <c r="KV42" s="223">
        <f t="shared" ref="KV42:KV44" si="289">(KO42+KR42)/2</f>
        <v>0</v>
      </c>
      <c r="KW42" s="223" t="e">
        <f t="shared" ref="KW42:KW44" si="290">KR42/(KQ42/KY42)</f>
        <v>#DIV/0!</v>
      </c>
      <c r="KX42" s="222" t="e">
        <f t="shared" ref="KX42:KX44" si="291">365/KW42</f>
        <v>#DIV/0!</v>
      </c>
      <c r="KY42" s="223">
        <v>25</v>
      </c>
      <c r="KZ42" s="219" t="s">
        <v>80</v>
      </c>
      <c r="LA42" s="222">
        <f>LD41</f>
        <v>0</v>
      </c>
      <c r="LB42" s="223">
        <f>SUM('[12]Progr1 (3)'!MT48:NM48)</f>
        <v>0</v>
      </c>
      <c r="LC42" s="223">
        <f>SUM('[12]Progr1 (3)'!MT50:NM50)</f>
        <v>0</v>
      </c>
      <c r="LD42" s="222">
        <f t="shared" ref="LD42:LD44" si="292">LA42+LB42-LC42</f>
        <v>0</v>
      </c>
      <c r="LE42" s="223">
        <f t="shared" si="275"/>
        <v>0</v>
      </c>
      <c r="LF42" s="223">
        <f t="shared" ref="LF42:LF44" si="293">LD42</f>
        <v>0</v>
      </c>
      <c r="LG42" s="222" t="str">
        <f t="shared" si="245"/>
        <v>/2</v>
      </c>
      <c r="LH42" s="223">
        <f t="shared" ref="LH42:LH44" si="294">(LA42+LD42)/2</f>
        <v>0</v>
      </c>
      <c r="LI42" s="223" t="e">
        <f t="shared" ref="LI42:LI44" si="295">LD42/(LC42/LK42)</f>
        <v>#DIV/0!</v>
      </c>
      <c r="LJ42" s="222" t="e">
        <f t="shared" ref="LJ42:LJ44" si="296">365/LI42</f>
        <v>#DIV/0!</v>
      </c>
      <c r="LK42" s="223">
        <v>25</v>
      </c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</row>
    <row r="43" spans="1:669" ht="16.5" thickTop="1" thickBot="1" x14ac:dyDescent="0.3">
      <c r="A43" s="138" t="str">
        <f>B40</f>
        <v>xx</v>
      </c>
      <c r="B43" s="232"/>
      <c r="C43" s="81">
        <f t="shared" si="276"/>
        <v>0</v>
      </c>
      <c r="D43" s="229"/>
      <c r="E43" s="173" t="s">
        <v>40</v>
      </c>
      <c r="F43" s="182"/>
      <c r="G43" s="176" t="s">
        <v>45</v>
      </c>
      <c r="H43" s="171">
        <v>0</v>
      </c>
      <c r="I43" s="242" t="s">
        <v>18</v>
      </c>
      <c r="J43" s="83" t="str">
        <f t="shared" si="247"/>
        <v>CORTE</v>
      </c>
      <c r="K43" s="281"/>
      <c r="L43" s="60"/>
      <c r="M43" s="61"/>
      <c r="N43" s="61"/>
      <c r="O43" s="61"/>
      <c r="P43" s="61"/>
      <c r="Q43" s="61"/>
      <c r="R43" s="61"/>
      <c r="S43" s="61"/>
      <c r="T43" s="61"/>
      <c r="U43" s="61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  <c r="DI43" s="70"/>
      <c r="DJ43" s="70"/>
      <c r="DK43" s="70"/>
      <c r="DL43" s="70"/>
      <c r="DM43" s="70"/>
      <c r="DN43" s="70"/>
      <c r="DO43" s="70"/>
      <c r="DP43" s="70"/>
      <c r="DQ43" s="70"/>
      <c r="DR43" s="70"/>
      <c r="DS43" s="70"/>
      <c r="DT43" s="70"/>
      <c r="DU43" s="70"/>
      <c r="DV43" s="70"/>
      <c r="DW43" s="70"/>
      <c r="DX43" s="70"/>
      <c r="DY43" s="70"/>
      <c r="DZ43" s="70"/>
      <c r="EA43" s="70"/>
      <c r="EB43" s="70"/>
      <c r="EC43" s="70"/>
      <c r="ED43" s="70"/>
      <c r="EE43" s="70"/>
      <c r="EF43" s="70"/>
      <c r="EG43" s="70"/>
      <c r="EH43" s="70"/>
      <c r="EI43" s="70"/>
      <c r="EJ43" s="70"/>
      <c r="EK43" s="70"/>
      <c r="EL43" s="70"/>
      <c r="EM43" s="70"/>
      <c r="EN43" s="70"/>
      <c r="EO43" s="70"/>
      <c r="EP43" s="70"/>
      <c r="EQ43" s="70"/>
      <c r="ER43" s="70"/>
      <c r="ES43" s="70"/>
      <c r="ET43" s="70"/>
      <c r="EU43" s="70"/>
      <c r="EV43" s="70"/>
      <c r="EW43" s="70"/>
      <c r="EX43" s="70"/>
      <c r="EY43" s="70"/>
      <c r="EZ43" s="70"/>
      <c r="FA43" s="70"/>
      <c r="FB43" s="70"/>
      <c r="FC43" s="70"/>
      <c r="FD43" s="70"/>
      <c r="FE43" s="70"/>
      <c r="FF43" s="70"/>
      <c r="FG43" s="70"/>
      <c r="FH43" s="70"/>
      <c r="FI43" s="70"/>
      <c r="FJ43" s="70"/>
      <c r="FK43" s="70"/>
      <c r="FL43" s="70"/>
      <c r="FM43" s="70"/>
      <c r="FN43" s="70"/>
      <c r="FO43" s="70"/>
      <c r="FP43" s="70"/>
      <c r="FQ43" s="70"/>
      <c r="FR43" s="70"/>
      <c r="FS43" s="70"/>
      <c r="FT43" s="70"/>
      <c r="FU43" s="70"/>
      <c r="FV43" s="70"/>
      <c r="FW43" s="70"/>
      <c r="FX43" s="70"/>
      <c r="FY43" s="70"/>
      <c r="FZ43" s="70"/>
      <c r="GA43" s="70"/>
      <c r="GB43" s="70"/>
      <c r="GC43" s="70"/>
      <c r="GD43" s="70"/>
      <c r="GE43" s="70"/>
      <c r="GF43" s="70"/>
      <c r="GG43" s="70"/>
      <c r="GH43" s="70"/>
      <c r="GI43" s="70"/>
      <c r="GJ43" s="70"/>
      <c r="GK43" s="70"/>
      <c r="GL43" s="70"/>
      <c r="GM43" s="70"/>
      <c r="GN43" s="70"/>
      <c r="GO43" s="70"/>
      <c r="GP43" s="70"/>
      <c r="GQ43" s="70"/>
      <c r="GR43" s="70"/>
      <c r="GS43" s="70"/>
      <c r="GT43" s="70"/>
      <c r="GU43" s="70"/>
      <c r="GV43" s="70"/>
      <c r="GW43" s="70"/>
      <c r="GX43" s="70"/>
      <c r="GY43" s="70"/>
      <c r="GZ43" s="70"/>
      <c r="HA43" s="70"/>
      <c r="HB43" s="70"/>
      <c r="HC43" s="70"/>
      <c r="HD43" s="70"/>
      <c r="HE43" s="70"/>
      <c r="HF43" s="70"/>
      <c r="HG43" s="70"/>
      <c r="HH43" s="70"/>
      <c r="HI43" s="70"/>
      <c r="HJ43" s="70"/>
      <c r="HK43" s="70"/>
      <c r="HL43" s="70"/>
      <c r="HM43" s="70"/>
      <c r="HN43" s="70"/>
      <c r="HO43" s="70"/>
      <c r="HP43" s="70"/>
      <c r="HQ43" s="70"/>
      <c r="HR43" s="70"/>
      <c r="HS43" s="70"/>
      <c r="HT43" s="70"/>
      <c r="HU43" s="70"/>
      <c r="HV43" s="70"/>
      <c r="HW43" s="70"/>
      <c r="HX43" s="70"/>
      <c r="HY43" s="70"/>
      <c r="HZ43" s="70"/>
      <c r="IA43" s="70"/>
      <c r="IB43" s="70"/>
      <c r="IC43" s="70"/>
      <c r="ID43" s="70"/>
      <c r="IE43" s="70"/>
      <c r="IF43" s="70"/>
      <c r="IG43" s="70"/>
      <c r="IH43" s="70"/>
      <c r="II43" s="70"/>
      <c r="IJ43" s="70"/>
      <c r="IK43" s="70"/>
      <c r="IL43" s="70"/>
      <c r="IM43" s="70"/>
      <c r="IN43" s="70"/>
      <c r="IO43" s="70"/>
      <c r="IP43" s="70"/>
      <c r="IQ43" s="70"/>
      <c r="IR43" s="70"/>
      <c r="IS43" s="70"/>
      <c r="IT43" s="70"/>
      <c r="IU43" s="70"/>
      <c r="IV43" s="70"/>
      <c r="IW43" s="70"/>
      <c r="IX43" s="70"/>
      <c r="IY43" s="70"/>
      <c r="IZ43" s="70"/>
      <c r="JA43" s="70"/>
      <c r="JB43" s="70"/>
      <c r="JC43" s="70"/>
      <c r="JD43" s="70"/>
      <c r="JE43" s="70"/>
      <c r="JF43" s="70"/>
      <c r="JG43" s="70"/>
      <c r="JH43" s="70"/>
      <c r="JI43" s="70"/>
      <c r="JJ43" s="70"/>
      <c r="JK43" s="70"/>
      <c r="JL43" s="70"/>
      <c r="JM43" s="70"/>
      <c r="JN43" s="70"/>
      <c r="JO43" s="70"/>
      <c r="JP43" s="70"/>
      <c r="JQ43" s="70"/>
      <c r="JR43" s="70"/>
      <c r="JS43" s="70"/>
      <c r="JT43" s="70"/>
      <c r="JU43" s="70"/>
      <c r="JV43" s="70"/>
      <c r="JW43" s="70"/>
      <c r="JX43" s="70"/>
      <c r="JY43" s="70"/>
      <c r="JZ43" s="99"/>
      <c r="KA43" s="17"/>
      <c r="KB43" s="219" t="s">
        <v>73</v>
      </c>
      <c r="KC43" s="224">
        <f>KF42</f>
        <v>0</v>
      </c>
      <c r="KD43" s="225">
        <f>SUM('[12]Progr1 (3)'!MP48:NJ48)</f>
        <v>0</v>
      </c>
      <c r="KE43" s="225">
        <f>SUM('[12]Progr1 (3)'!MP50:NJ50)</f>
        <v>0</v>
      </c>
      <c r="KF43" s="224">
        <f t="shared" si="282"/>
        <v>0</v>
      </c>
      <c r="KG43" s="225">
        <f t="shared" si="273"/>
        <v>0</v>
      </c>
      <c r="KH43" s="225">
        <f t="shared" si="283"/>
        <v>0</v>
      </c>
      <c r="KI43" s="224" t="str">
        <f t="shared" si="241"/>
        <v>/2</v>
      </c>
      <c r="KJ43" s="225">
        <f t="shared" si="284"/>
        <v>0</v>
      </c>
      <c r="KK43" s="225" t="e">
        <f t="shared" si="285"/>
        <v>#DIV/0!</v>
      </c>
      <c r="KL43" s="224" t="e">
        <f t="shared" si="286"/>
        <v>#DIV/0!</v>
      </c>
      <c r="KM43" s="225">
        <v>25</v>
      </c>
      <c r="KN43" s="219" t="s">
        <v>76</v>
      </c>
      <c r="KO43" s="224">
        <f>KR42</f>
        <v>0</v>
      </c>
      <c r="KP43" s="225">
        <f>SUM('[12]Progr1 (3)'!NB48:NV48)</f>
        <v>0</v>
      </c>
      <c r="KQ43" s="225">
        <f>SUM('[12]Progr1 (3)'!NB50:NV50)</f>
        <v>0</v>
      </c>
      <c r="KR43" s="224">
        <f t="shared" si="287"/>
        <v>0</v>
      </c>
      <c r="KS43" s="225">
        <f t="shared" si="274"/>
        <v>0</v>
      </c>
      <c r="KT43" s="225">
        <f t="shared" si="288"/>
        <v>0</v>
      </c>
      <c r="KU43" s="224" t="str">
        <f t="shared" si="243"/>
        <v>/2</v>
      </c>
      <c r="KV43" s="225">
        <f t="shared" si="289"/>
        <v>0</v>
      </c>
      <c r="KW43" s="225" t="e">
        <f t="shared" si="290"/>
        <v>#DIV/0!</v>
      </c>
      <c r="KX43" s="224" t="e">
        <f t="shared" si="291"/>
        <v>#DIV/0!</v>
      </c>
      <c r="KY43" s="225">
        <v>25</v>
      </c>
      <c r="KZ43" s="219" t="s">
        <v>81</v>
      </c>
      <c r="LA43" s="224">
        <f>LD42</f>
        <v>0</v>
      </c>
      <c r="LB43" s="225">
        <f>SUM('[12]Progr1 (3)'!NN48:OH48)</f>
        <v>0</v>
      </c>
      <c r="LC43" s="225">
        <f>SUM('[12]Progr1 (3)'!NN50:OH50)</f>
        <v>0</v>
      </c>
      <c r="LD43" s="224">
        <f t="shared" si="292"/>
        <v>0</v>
      </c>
      <c r="LE43" s="225">
        <f t="shared" si="275"/>
        <v>0</v>
      </c>
      <c r="LF43" s="225">
        <f t="shared" si="293"/>
        <v>0</v>
      </c>
      <c r="LG43" s="224" t="str">
        <f t="shared" si="245"/>
        <v>/2</v>
      </c>
      <c r="LH43" s="225">
        <f t="shared" si="294"/>
        <v>0</v>
      </c>
      <c r="LI43" s="225" t="e">
        <f t="shared" si="295"/>
        <v>#DIV/0!</v>
      </c>
      <c r="LJ43" s="224" t="e">
        <f t="shared" si="296"/>
        <v>#DIV/0!</v>
      </c>
      <c r="LK43" s="225">
        <v>25</v>
      </c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</row>
    <row r="44" spans="1:669" ht="15.75" thickBot="1" x14ac:dyDescent="0.3">
      <c r="A44" s="141" t="str">
        <f>B40</f>
        <v>xx</v>
      </c>
      <c r="B44" s="233"/>
      <c r="C44" s="158">
        <f t="shared" si="276"/>
        <v>0</v>
      </c>
      <c r="D44" s="230"/>
      <c r="E44" s="177" t="s">
        <v>46</v>
      </c>
      <c r="F44" s="183"/>
      <c r="G44" s="178" t="s">
        <v>43</v>
      </c>
      <c r="H44" s="179">
        <v>0</v>
      </c>
      <c r="I44" s="246" t="s">
        <v>19</v>
      </c>
      <c r="J44" s="101" t="str">
        <f t="shared" si="247"/>
        <v>CORTE</v>
      </c>
      <c r="K44" s="282"/>
      <c r="L44" s="102"/>
      <c r="M44" s="103"/>
      <c r="N44" s="103"/>
      <c r="O44" s="103"/>
      <c r="P44" s="103"/>
      <c r="Q44" s="103"/>
      <c r="R44" s="103"/>
      <c r="S44" s="103"/>
      <c r="T44" s="103"/>
      <c r="U44" s="103"/>
      <c r="V44" s="104">
        <f t="shared" ref="V44:CG44" ca="1" si="297">IF(V3&gt;$J$5,"",U44+V41-V43)</f>
        <v>0</v>
      </c>
      <c r="W44" s="104">
        <f t="shared" ca="1" si="297"/>
        <v>0</v>
      </c>
      <c r="X44" s="104">
        <f t="shared" ca="1" si="297"/>
        <v>0</v>
      </c>
      <c r="Y44" s="104">
        <f t="shared" ca="1" si="297"/>
        <v>0</v>
      </c>
      <c r="Z44" s="104">
        <f t="shared" ca="1" si="297"/>
        <v>0</v>
      </c>
      <c r="AA44" s="104">
        <f t="shared" ca="1" si="297"/>
        <v>0</v>
      </c>
      <c r="AB44" s="104">
        <f t="shared" ca="1" si="297"/>
        <v>0</v>
      </c>
      <c r="AC44" s="104">
        <f t="shared" ca="1" si="297"/>
        <v>0</v>
      </c>
      <c r="AD44" s="104">
        <f t="shared" ca="1" si="297"/>
        <v>0</v>
      </c>
      <c r="AE44" s="104">
        <f t="shared" ca="1" si="297"/>
        <v>0</v>
      </c>
      <c r="AF44" s="104">
        <f t="shared" ca="1" si="297"/>
        <v>0</v>
      </c>
      <c r="AG44" s="104">
        <f t="shared" ca="1" si="297"/>
        <v>0</v>
      </c>
      <c r="AH44" s="104">
        <f t="shared" ca="1" si="297"/>
        <v>0</v>
      </c>
      <c r="AI44" s="104">
        <f t="shared" ca="1" si="297"/>
        <v>0</v>
      </c>
      <c r="AJ44" s="104">
        <f t="shared" ca="1" si="297"/>
        <v>0</v>
      </c>
      <c r="AK44" s="104">
        <f t="shared" ca="1" si="297"/>
        <v>0</v>
      </c>
      <c r="AL44" s="104">
        <f t="shared" ca="1" si="297"/>
        <v>0</v>
      </c>
      <c r="AM44" s="104">
        <f t="shared" ca="1" si="297"/>
        <v>0</v>
      </c>
      <c r="AN44" s="104">
        <f t="shared" ca="1" si="297"/>
        <v>0</v>
      </c>
      <c r="AO44" s="104">
        <f t="shared" ca="1" si="297"/>
        <v>0</v>
      </c>
      <c r="AP44" s="104">
        <f t="shared" ca="1" si="297"/>
        <v>0</v>
      </c>
      <c r="AQ44" s="104">
        <f t="shared" ca="1" si="297"/>
        <v>0</v>
      </c>
      <c r="AR44" s="104">
        <f t="shared" ca="1" si="297"/>
        <v>0</v>
      </c>
      <c r="AS44" s="104">
        <f t="shared" ca="1" si="297"/>
        <v>0</v>
      </c>
      <c r="AT44" s="104">
        <f t="shared" ca="1" si="297"/>
        <v>0</v>
      </c>
      <c r="AU44" s="104">
        <f t="shared" ca="1" si="297"/>
        <v>0</v>
      </c>
      <c r="AV44" s="104">
        <f t="shared" ca="1" si="297"/>
        <v>0</v>
      </c>
      <c r="AW44" s="104">
        <f t="shared" ca="1" si="297"/>
        <v>0</v>
      </c>
      <c r="AX44" s="104">
        <f t="shared" ca="1" si="297"/>
        <v>0</v>
      </c>
      <c r="AY44" s="104">
        <f t="shared" ca="1" si="297"/>
        <v>0</v>
      </c>
      <c r="AZ44" s="104">
        <f t="shared" ca="1" si="297"/>
        <v>0</v>
      </c>
      <c r="BA44" s="104">
        <f t="shared" ca="1" si="297"/>
        <v>0</v>
      </c>
      <c r="BB44" s="104">
        <f t="shared" ca="1" si="297"/>
        <v>0</v>
      </c>
      <c r="BC44" s="104">
        <f t="shared" ca="1" si="297"/>
        <v>0</v>
      </c>
      <c r="BD44" s="104">
        <f t="shared" ca="1" si="297"/>
        <v>0</v>
      </c>
      <c r="BE44" s="104">
        <f t="shared" ca="1" si="297"/>
        <v>0</v>
      </c>
      <c r="BF44" s="104">
        <f t="shared" ca="1" si="297"/>
        <v>0</v>
      </c>
      <c r="BG44" s="104">
        <f t="shared" ca="1" si="297"/>
        <v>0</v>
      </c>
      <c r="BH44" s="104">
        <f t="shared" ca="1" si="297"/>
        <v>0</v>
      </c>
      <c r="BI44" s="104">
        <f t="shared" ca="1" si="297"/>
        <v>0</v>
      </c>
      <c r="BJ44" s="104">
        <f t="shared" ca="1" si="297"/>
        <v>0</v>
      </c>
      <c r="BK44" s="104">
        <f t="shared" ca="1" si="297"/>
        <v>0</v>
      </c>
      <c r="BL44" s="104">
        <f t="shared" ca="1" si="297"/>
        <v>0</v>
      </c>
      <c r="BM44" s="104">
        <f t="shared" ca="1" si="297"/>
        <v>0</v>
      </c>
      <c r="BN44" s="104">
        <f t="shared" ca="1" si="297"/>
        <v>0</v>
      </c>
      <c r="BO44" s="104">
        <f t="shared" ca="1" si="297"/>
        <v>0</v>
      </c>
      <c r="BP44" s="104">
        <f t="shared" ca="1" si="297"/>
        <v>0</v>
      </c>
      <c r="BQ44" s="104">
        <f t="shared" ca="1" si="297"/>
        <v>0</v>
      </c>
      <c r="BR44" s="104">
        <f t="shared" ca="1" si="297"/>
        <v>0</v>
      </c>
      <c r="BS44" s="104">
        <f t="shared" ca="1" si="297"/>
        <v>0</v>
      </c>
      <c r="BT44" s="104">
        <f t="shared" ca="1" si="297"/>
        <v>0</v>
      </c>
      <c r="BU44" s="104">
        <f t="shared" ca="1" si="297"/>
        <v>0</v>
      </c>
      <c r="BV44" s="104">
        <f t="shared" ca="1" si="297"/>
        <v>0</v>
      </c>
      <c r="BW44" s="104">
        <f t="shared" ca="1" si="297"/>
        <v>0</v>
      </c>
      <c r="BX44" s="104">
        <f t="shared" ca="1" si="297"/>
        <v>0</v>
      </c>
      <c r="BY44" s="104">
        <f t="shared" ca="1" si="297"/>
        <v>0</v>
      </c>
      <c r="BZ44" s="104">
        <f t="shared" ca="1" si="297"/>
        <v>0</v>
      </c>
      <c r="CA44" s="104">
        <f t="shared" ca="1" si="297"/>
        <v>0</v>
      </c>
      <c r="CB44" s="104">
        <f t="shared" ca="1" si="297"/>
        <v>0</v>
      </c>
      <c r="CC44" s="104">
        <f t="shared" ca="1" si="297"/>
        <v>0</v>
      </c>
      <c r="CD44" s="104">
        <f t="shared" ca="1" si="297"/>
        <v>0</v>
      </c>
      <c r="CE44" s="104">
        <f t="shared" ca="1" si="297"/>
        <v>0</v>
      </c>
      <c r="CF44" s="104">
        <f t="shared" ca="1" si="297"/>
        <v>0</v>
      </c>
      <c r="CG44" s="104">
        <f t="shared" ca="1" si="297"/>
        <v>0</v>
      </c>
      <c r="CH44" s="104">
        <f t="shared" ref="CH44:ES44" ca="1" si="298">IF(CH3&gt;$J$5,"",CG44+CH41-CH43)</f>
        <v>0</v>
      </c>
      <c r="CI44" s="104">
        <f t="shared" ca="1" si="298"/>
        <v>0</v>
      </c>
      <c r="CJ44" s="104">
        <f t="shared" ca="1" si="298"/>
        <v>0</v>
      </c>
      <c r="CK44" s="104">
        <f t="shared" ca="1" si="298"/>
        <v>0</v>
      </c>
      <c r="CL44" s="104">
        <f t="shared" ca="1" si="298"/>
        <v>0</v>
      </c>
      <c r="CM44" s="104">
        <f t="shared" ca="1" si="298"/>
        <v>0</v>
      </c>
      <c r="CN44" s="104">
        <f t="shared" ca="1" si="298"/>
        <v>0</v>
      </c>
      <c r="CO44" s="104">
        <f t="shared" ca="1" si="298"/>
        <v>0</v>
      </c>
      <c r="CP44" s="104">
        <f t="shared" ca="1" si="298"/>
        <v>0</v>
      </c>
      <c r="CQ44" s="104">
        <f t="shared" ca="1" si="298"/>
        <v>0</v>
      </c>
      <c r="CR44" s="104">
        <f t="shared" ca="1" si="298"/>
        <v>0</v>
      </c>
      <c r="CS44" s="104">
        <f t="shared" ca="1" si="298"/>
        <v>0</v>
      </c>
      <c r="CT44" s="104">
        <f t="shared" ca="1" si="298"/>
        <v>0</v>
      </c>
      <c r="CU44" s="104">
        <f t="shared" ca="1" si="298"/>
        <v>0</v>
      </c>
      <c r="CV44" s="104">
        <f t="shared" ca="1" si="298"/>
        <v>0</v>
      </c>
      <c r="CW44" s="104">
        <f t="shared" ca="1" si="298"/>
        <v>0</v>
      </c>
      <c r="CX44" s="104">
        <f t="shared" ca="1" si="298"/>
        <v>0</v>
      </c>
      <c r="CY44" s="104">
        <f t="shared" ca="1" si="298"/>
        <v>0</v>
      </c>
      <c r="CZ44" s="104">
        <f t="shared" ca="1" si="298"/>
        <v>0</v>
      </c>
      <c r="DA44" s="104">
        <f t="shared" ca="1" si="298"/>
        <v>0</v>
      </c>
      <c r="DB44" s="104">
        <f t="shared" ca="1" si="298"/>
        <v>0</v>
      </c>
      <c r="DC44" s="104">
        <f t="shared" ca="1" si="298"/>
        <v>0</v>
      </c>
      <c r="DD44" s="104">
        <f t="shared" ca="1" si="298"/>
        <v>0</v>
      </c>
      <c r="DE44" s="104">
        <f t="shared" ca="1" si="298"/>
        <v>0</v>
      </c>
      <c r="DF44" s="104">
        <f t="shared" ca="1" si="298"/>
        <v>0</v>
      </c>
      <c r="DG44" s="104">
        <f t="shared" ca="1" si="298"/>
        <v>0</v>
      </c>
      <c r="DH44" s="104">
        <f t="shared" ca="1" si="298"/>
        <v>0</v>
      </c>
      <c r="DI44" s="104">
        <f t="shared" ca="1" si="298"/>
        <v>0</v>
      </c>
      <c r="DJ44" s="104">
        <f t="shared" ca="1" si="298"/>
        <v>0</v>
      </c>
      <c r="DK44" s="104">
        <f t="shared" ca="1" si="298"/>
        <v>0</v>
      </c>
      <c r="DL44" s="104">
        <f t="shared" ca="1" si="298"/>
        <v>0</v>
      </c>
      <c r="DM44" s="104">
        <f t="shared" ca="1" si="298"/>
        <v>0</v>
      </c>
      <c r="DN44" s="104">
        <f t="shared" ca="1" si="298"/>
        <v>0</v>
      </c>
      <c r="DO44" s="104">
        <f t="shared" ca="1" si="298"/>
        <v>0</v>
      </c>
      <c r="DP44" s="104">
        <f t="shared" ca="1" si="298"/>
        <v>0</v>
      </c>
      <c r="DQ44" s="104">
        <f t="shared" ca="1" si="298"/>
        <v>0</v>
      </c>
      <c r="DR44" s="104">
        <f t="shared" ca="1" si="298"/>
        <v>0</v>
      </c>
      <c r="DS44" s="104">
        <f t="shared" ca="1" si="298"/>
        <v>0</v>
      </c>
      <c r="DT44" s="104">
        <f t="shared" ca="1" si="298"/>
        <v>0</v>
      </c>
      <c r="DU44" s="104">
        <f t="shared" ca="1" si="298"/>
        <v>0</v>
      </c>
      <c r="DV44" s="104">
        <f t="shared" ca="1" si="298"/>
        <v>0</v>
      </c>
      <c r="DW44" s="104">
        <f t="shared" ca="1" si="298"/>
        <v>0</v>
      </c>
      <c r="DX44" s="104">
        <f t="shared" ca="1" si="298"/>
        <v>0</v>
      </c>
      <c r="DY44" s="104">
        <f t="shared" ca="1" si="298"/>
        <v>0</v>
      </c>
      <c r="DZ44" s="104">
        <f t="shared" ca="1" si="298"/>
        <v>0</v>
      </c>
      <c r="EA44" s="104">
        <f t="shared" ca="1" si="298"/>
        <v>0</v>
      </c>
      <c r="EB44" s="104">
        <f t="shared" ca="1" si="298"/>
        <v>0</v>
      </c>
      <c r="EC44" s="104">
        <f t="shared" ca="1" si="298"/>
        <v>0</v>
      </c>
      <c r="ED44" s="104">
        <f t="shared" ca="1" si="298"/>
        <v>0</v>
      </c>
      <c r="EE44" s="104">
        <f t="shared" ca="1" si="298"/>
        <v>0</v>
      </c>
      <c r="EF44" s="104">
        <f t="shared" ca="1" si="298"/>
        <v>0</v>
      </c>
      <c r="EG44" s="104">
        <f t="shared" ca="1" si="298"/>
        <v>0</v>
      </c>
      <c r="EH44" s="104">
        <f t="shared" ca="1" si="298"/>
        <v>0</v>
      </c>
      <c r="EI44" s="104">
        <f t="shared" ca="1" si="298"/>
        <v>0</v>
      </c>
      <c r="EJ44" s="104">
        <f t="shared" ca="1" si="298"/>
        <v>0</v>
      </c>
      <c r="EK44" s="104">
        <f t="shared" ca="1" si="298"/>
        <v>0</v>
      </c>
      <c r="EL44" s="104">
        <f t="shared" ca="1" si="298"/>
        <v>0</v>
      </c>
      <c r="EM44" s="104">
        <f t="shared" ca="1" si="298"/>
        <v>0</v>
      </c>
      <c r="EN44" s="104">
        <f t="shared" ca="1" si="298"/>
        <v>0</v>
      </c>
      <c r="EO44" s="104">
        <f t="shared" ca="1" si="298"/>
        <v>0</v>
      </c>
      <c r="EP44" s="104">
        <f t="shared" ca="1" si="298"/>
        <v>0</v>
      </c>
      <c r="EQ44" s="104">
        <f t="shared" ca="1" si="298"/>
        <v>0</v>
      </c>
      <c r="ER44" s="104">
        <f t="shared" ca="1" si="298"/>
        <v>0</v>
      </c>
      <c r="ES44" s="104">
        <f t="shared" ca="1" si="298"/>
        <v>0</v>
      </c>
      <c r="ET44" s="104">
        <f t="shared" ref="ET44:HE44" ca="1" si="299">IF(ET3&gt;$J$5,"",ES44+ET41-ET43)</f>
        <v>0</v>
      </c>
      <c r="EU44" s="104">
        <f t="shared" ca="1" si="299"/>
        <v>0</v>
      </c>
      <c r="EV44" s="104">
        <f t="shared" ca="1" si="299"/>
        <v>0</v>
      </c>
      <c r="EW44" s="104">
        <f t="shared" ca="1" si="299"/>
        <v>0</v>
      </c>
      <c r="EX44" s="104">
        <f t="shared" ca="1" si="299"/>
        <v>0</v>
      </c>
      <c r="EY44" s="104">
        <f t="shared" ca="1" si="299"/>
        <v>0</v>
      </c>
      <c r="EZ44" s="104">
        <f t="shared" ca="1" si="299"/>
        <v>0</v>
      </c>
      <c r="FA44" s="104">
        <f t="shared" ca="1" si="299"/>
        <v>0</v>
      </c>
      <c r="FB44" s="104">
        <f t="shared" ca="1" si="299"/>
        <v>0</v>
      </c>
      <c r="FC44" s="104">
        <f t="shared" ca="1" si="299"/>
        <v>0</v>
      </c>
      <c r="FD44" s="104">
        <f t="shared" ca="1" si="299"/>
        <v>0</v>
      </c>
      <c r="FE44" s="104">
        <f t="shared" ca="1" si="299"/>
        <v>0</v>
      </c>
      <c r="FF44" s="104">
        <f t="shared" ca="1" si="299"/>
        <v>0</v>
      </c>
      <c r="FG44" s="104">
        <f t="shared" ca="1" si="299"/>
        <v>0</v>
      </c>
      <c r="FH44" s="104">
        <f t="shared" ca="1" si="299"/>
        <v>0</v>
      </c>
      <c r="FI44" s="104">
        <f t="shared" ca="1" si="299"/>
        <v>0</v>
      </c>
      <c r="FJ44" s="104">
        <f t="shared" ca="1" si="299"/>
        <v>0</v>
      </c>
      <c r="FK44" s="104">
        <f t="shared" ca="1" si="299"/>
        <v>0</v>
      </c>
      <c r="FL44" s="104">
        <f t="shared" ca="1" si="299"/>
        <v>0</v>
      </c>
      <c r="FM44" s="104">
        <f t="shared" ca="1" si="299"/>
        <v>0</v>
      </c>
      <c r="FN44" s="104">
        <f t="shared" ca="1" si="299"/>
        <v>0</v>
      </c>
      <c r="FO44" s="104">
        <f t="shared" ca="1" si="299"/>
        <v>0</v>
      </c>
      <c r="FP44" s="104">
        <f t="shared" ca="1" si="299"/>
        <v>0</v>
      </c>
      <c r="FQ44" s="104">
        <f t="shared" ca="1" si="299"/>
        <v>0</v>
      </c>
      <c r="FR44" s="104">
        <f t="shared" ca="1" si="299"/>
        <v>0</v>
      </c>
      <c r="FS44" s="104">
        <f t="shared" ca="1" si="299"/>
        <v>0</v>
      </c>
      <c r="FT44" s="104">
        <f t="shared" ca="1" si="299"/>
        <v>0</v>
      </c>
      <c r="FU44" s="104">
        <f t="shared" ca="1" si="299"/>
        <v>0</v>
      </c>
      <c r="FV44" s="104">
        <f t="shared" ca="1" si="299"/>
        <v>0</v>
      </c>
      <c r="FW44" s="104">
        <f t="shared" ca="1" si="299"/>
        <v>0</v>
      </c>
      <c r="FX44" s="104">
        <f t="shared" ca="1" si="299"/>
        <v>0</v>
      </c>
      <c r="FY44" s="104">
        <f t="shared" ca="1" si="299"/>
        <v>0</v>
      </c>
      <c r="FZ44" s="104">
        <f t="shared" ca="1" si="299"/>
        <v>0</v>
      </c>
      <c r="GA44" s="104">
        <f t="shared" ca="1" si="299"/>
        <v>0</v>
      </c>
      <c r="GB44" s="104">
        <f t="shared" ca="1" si="299"/>
        <v>0</v>
      </c>
      <c r="GC44" s="104">
        <f t="shared" ca="1" si="299"/>
        <v>0</v>
      </c>
      <c r="GD44" s="104">
        <f t="shared" ca="1" si="299"/>
        <v>0</v>
      </c>
      <c r="GE44" s="104">
        <f t="shared" ca="1" si="299"/>
        <v>0</v>
      </c>
      <c r="GF44" s="104">
        <f t="shared" ca="1" si="299"/>
        <v>0</v>
      </c>
      <c r="GG44" s="104">
        <f t="shared" ca="1" si="299"/>
        <v>0</v>
      </c>
      <c r="GH44" s="104">
        <f t="shared" ca="1" si="299"/>
        <v>0</v>
      </c>
      <c r="GI44" s="104">
        <f t="shared" ca="1" si="299"/>
        <v>0</v>
      </c>
      <c r="GJ44" s="104">
        <f t="shared" ca="1" si="299"/>
        <v>0</v>
      </c>
      <c r="GK44" s="104">
        <f t="shared" ca="1" si="299"/>
        <v>0</v>
      </c>
      <c r="GL44" s="104">
        <f t="shared" ca="1" si="299"/>
        <v>0</v>
      </c>
      <c r="GM44" s="104">
        <f t="shared" ca="1" si="299"/>
        <v>0</v>
      </c>
      <c r="GN44" s="104">
        <f t="shared" ca="1" si="299"/>
        <v>0</v>
      </c>
      <c r="GO44" s="104">
        <f t="shared" ca="1" si="299"/>
        <v>0</v>
      </c>
      <c r="GP44" s="104">
        <f t="shared" ca="1" si="299"/>
        <v>0</v>
      </c>
      <c r="GQ44" s="104">
        <f t="shared" ca="1" si="299"/>
        <v>0</v>
      </c>
      <c r="GR44" s="104">
        <f t="shared" ca="1" si="299"/>
        <v>0</v>
      </c>
      <c r="GS44" s="104">
        <f t="shared" ca="1" si="299"/>
        <v>0</v>
      </c>
      <c r="GT44" s="104">
        <f t="shared" ca="1" si="299"/>
        <v>0</v>
      </c>
      <c r="GU44" s="104">
        <f t="shared" ca="1" si="299"/>
        <v>0</v>
      </c>
      <c r="GV44" s="104">
        <f t="shared" ca="1" si="299"/>
        <v>0</v>
      </c>
      <c r="GW44" s="104">
        <f t="shared" ca="1" si="299"/>
        <v>0</v>
      </c>
      <c r="GX44" s="104">
        <f t="shared" ca="1" si="299"/>
        <v>0</v>
      </c>
      <c r="GY44" s="104">
        <f t="shared" ca="1" si="299"/>
        <v>0</v>
      </c>
      <c r="GZ44" s="104">
        <f t="shared" ca="1" si="299"/>
        <v>0</v>
      </c>
      <c r="HA44" s="104">
        <f t="shared" ca="1" si="299"/>
        <v>0</v>
      </c>
      <c r="HB44" s="104">
        <f t="shared" ca="1" si="299"/>
        <v>0</v>
      </c>
      <c r="HC44" s="104">
        <f t="shared" ca="1" si="299"/>
        <v>0</v>
      </c>
      <c r="HD44" s="104" t="str">
        <f t="shared" ca="1" si="299"/>
        <v/>
      </c>
      <c r="HE44" s="104" t="str">
        <f t="shared" ca="1" si="299"/>
        <v/>
      </c>
      <c r="HF44" s="104" t="str">
        <f t="shared" ref="HF44:JQ44" ca="1" si="300">IF(HF3&gt;$J$5,"",HE44+HF41-HF43)</f>
        <v/>
      </c>
      <c r="HG44" s="104" t="str">
        <f t="shared" ca="1" si="300"/>
        <v/>
      </c>
      <c r="HH44" s="104" t="str">
        <f t="shared" ca="1" si="300"/>
        <v/>
      </c>
      <c r="HI44" s="104" t="str">
        <f t="shared" ca="1" si="300"/>
        <v/>
      </c>
      <c r="HJ44" s="104" t="str">
        <f t="shared" ca="1" si="300"/>
        <v/>
      </c>
      <c r="HK44" s="104" t="str">
        <f t="shared" ca="1" si="300"/>
        <v/>
      </c>
      <c r="HL44" s="104" t="str">
        <f t="shared" ca="1" si="300"/>
        <v/>
      </c>
      <c r="HM44" s="104" t="str">
        <f t="shared" ca="1" si="300"/>
        <v/>
      </c>
      <c r="HN44" s="104" t="str">
        <f t="shared" ca="1" si="300"/>
        <v/>
      </c>
      <c r="HO44" s="104" t="str">
        <f t="shared" ca="1" si="300"/>
        <v/>
      </c>
      <c r="HP44" s="104" t="str">
        <f t="shared" ca="1" si="300"/>
        <v/>
      </c>
      <c r="HQ44" s="104" t="str">
        <f t="shared" ca="1" si="300"/>
        <v/>
      </c>
      <c r="HR44" s="104" t="str">
        <f t="shared" ca="1" si="300"/>
        <v/>
      </c>
      <c r="HS44" s="104" t="str">
        <f t="shared" ca="1" si="300"/>
        <v/>
      </c>
      <c r="HT44" s="104" t="str">
        <f t="shared" ca="1" si="300"/>
        <v/>
      </c>
      <c r="HU44" s="104" t="str">
        <f t="shared" ca="1" si="300"/>
        <v/>
      </c>
      <c r="HV44" s="104" t="str">
        <f t="shared" ca="1" si="300"/>
        <v/>
      </c>
      <c r="HW44" s="104" t="str">
        <f t="shared" ca="1" si="300"/>
        <v/>
      </c>
      <c r="HX44" s="104" t="str">
        <f t="shared" ca="1" si="300"/>
        <v/>
      </c>
      <c r="HY44" s="104" t="str">
        <f t="shared" ca="1" si="300"/>
        <v/>
      </c>
      <c r="HZ44" s="104" t="str">
        <f t="shared" ca="1" si="300"/>
        <v/>
      </c>
      <c r="IA44" s="104" t="str">
        <f t="shared" ca="1" si="300"/>
        <v/>
      </c>
      <c r="IB44" s="104" t="str">
        <f t="shared" ca="1" si="300"/>
        <v/>
      </c>
      <c r="IC44" s="104" t="str">
        <f t="shared" ca="1" si="300"/>
        <v/>
      </c>
      <c r="ID44" s="104" t="str">
        <f t="shared" ca="1" si="300"/>
        <v/>
      </c>
      <c r="IE44" s="104" t="str">
        <f t="shared" ca="1" si="300"/>
        <v/>
      </c>
      <c r="IF44" s="104" t="str">
        <f t="shared" ca="1" si="300"/>
        <v/>
      </c>
      <c r="IG44" s="104" t="str">
        <f t="shared" ca="1" si="300"/>
        <v/>
      </c>
      <c r="IH44" s="104" t="str">
        <f t="shared" ca="1" si="300"/>
        <v/>
      </c>
      <c r="II44" s="104" t="str">
        <f t="shared" ca="1" si="300"/>
        <v/>
      </c>
      <c r="IJ44" s="104" t="str">
        <f t="shared" ca="1" si="300"/>
        <v/>
      </c>
      <c r="IK44" s="104" t="str">
        <f t="shared" ca="1" si="300"/>
        <v/>
      </c>
      <c r="IL44" s="104" t="str">
        <f t="shared" ca="1" si="300"/>
        <v/>
      </c>
      <c r="IM44" s="104" t="str">
        <f t="shared" ca="1" si="300"/>
        <v/>
      </c>
      <c r="IN44" s="104" t="str">
        <f t="shared" ca="1" si="300"/>
        <v/>
      </c>
      <c r="IO44" s="104" t="str">
        <f t="shared" ca="1" si="300"/>
        <v/>
      </c>
      <c r="IP44" s="104" t="str">
        <f t="shared" ca="1" si="300"/>
        <v/>
      </c>
      <c r="IQ44" s="104" t="str">
        <f t="shared" ca="1" si="300"/>
        <v/>
      </c>
      <c r="IR44" s="104" t="str">
        <f t="shared" ca="1" si="300"/>
        <v/>
      </c>
      <c r="IS44" s="104" t="str">
        <f t="shared" ca="1" si="300"/>
        <v/>
      </c>
      <c r="IT44" s="104" t="str">
        <f t="shared" ca="1" si="300"/>
        <v/>
      </c>
      <c r="IU44" s="104" t="str">
        <f t="shared" ca="1" si="300"/>
        <v/>
      </c>
      <c r="IV44" s="104" t="str">
        <f t="shared" ca="1" si="300"/>
        <v/>
      </c>
      <c r="IW44" s="104" t="str">
        <f t="shared" ca="1" si="300"/>
        <v/>
      </c>
      <c r="IX44" s="104" t="str">
        <f t="shared" ca="1" si="300"/>
        <v/>
      </c>
      <c r="IY44" s="104" t="str">
        <f t="shared" ca="1" si="300"/>
        <v/>
      </c>
      <c r="IZ44" s="104" t="str">
        <f t="shared" ca="1" si="300"/>
        <v/>
      </c>
      <c r="JA44" s="104" t="str">
        <f t="shared" ca="1" si="300"/>
        <v/>
      </c>
      <c r="JB44" s="104" t="str">
        <f t="shared" ca="1" si="300"/>
        <v/>
      </c>
      <c r="JC44" s="104" t="str">
        <f t="shared" ca="1" si="300"/>
        <v/>
      </c>
      <c r="JD44" s="104" t="str">
        <f t="shared" ca="1" si="300"/>
        <v/>
      </c>
      <c r="JE44" s="104" t="str">
        <f t="shared" ca="1" si="300"/>
        <v/>
      </c>
      <c r="JF44" s="104" t="str">
        <f t="shared" ca="1" si="300"/>
        <v/>
      </c>
      <c r="JG44" s="104" t="str">
        <f t="shared" ca="1" si="300"/>
        <v/>
      </c>
      <c r="JH44" s="104" t="str">
        <f t="shared" ca="1" si="300"/>
        <v/>
      </c>
      <c r="JI44" s="104" t="str">
        <f t="shared" ca="1" si="300"/>
        <v/>
      </c>
      <c r="JJ44" s="104" t="str">
        <f t="shared" ca="1" si="300"/>
        <v/>
      </c>
      <c r="JK44" s="104" t="str">
        <f t="shared" ca="1" si="300"/>
        <v/>
      </c>
      <c r="JL44" s="104" t="str">
        <f t="shared" ca="1" si="300"/>
        <v/>
      </c>
      <c r="JM44" s="104" t="str">
        <f t="shared" ca="1" si="300"/>
        <v/>
      </c>
      <c r="JN44" s="104" t="str">
        <f t="shared" ca="1" si="300"/>
        <v/>
      </c>
      <c r="JO44" s="104" t="str">
        <f t="shared" ca="1" si="300"/>
        <v/>
      </c>
      <c r="JP44" s="104" t="str">
        <f t="shared" ca="1" si="300"/>
        <v/>
      </c>
      <c r="JQ44" s="104" t="str">
        <f t="shared" ca="1" si="300"/>
        <v/>
      </c>
      <c r="JR44" s="104" t="str">
        <f t="shared" ref="JR44:JZ44" ca="1" si="301">IF(JR3&gt;$J$5,"",JQ44+JR41-JR43)</f>
        <v/>
      </c>
      <c r="JS44" s="104" t="str">
        <f t="shared" ca="1" si="301"/>
        <v/>
      </c>
      <c r="JT44" s="104" t="str">
        <f t="shared" ca="1" si="301"/>
        <v/>
      </c>
      <c r="JU44" s="104" t="str">
        <f t="shared" ca="1" si="301"/>
        <v/>
      </c>
      <c r="JV44" s="104" t="str">
        <f t="shared" ca="1" si="301"/>
        <v/>
      </c>
      <c r="JW44" s="104" t="str">
        <f t="shared" ca="1" si="301"/>
        <v/>
      </c>
      <c r="JX44" s="104" t="str">
        <f t="shared" ca="1" si="301"/>
        <v/>
      </c>
      <c r="JY44" s="104" t="str">
        <f t="shared" ca="1" si="301"/>
        <v/>
      </c>
      <c r="JZ44" s="105" t="str">
        <f t="shared" ca="1" si="301"/>
        <v/>
      </c>
      <c r="KA44" s="17"/>
      <c r="KB44" s="219" t="s">
        <v>74</v>
      </c>
      <c r="KC44" s="222">
        <f>KF43</f>
        <v>0</v>
      </c>
      <c r="KD44" s="223">
        <f>SUM('[12]Progr1 (3)'!NK48:OF48)</f>
        <v>0</v>
      </c>
      <c r="KE44" s="223">
        <f>SUM('[12]Progr1 (3)'!NK50:OF50)</f>
        <v>0</v>
      </c>
      <c r="KF44" s="222">
        <f t="shared" si="282"/>
        <v>0</v>
      </c>
      <c r="KG44" s="223">
        <f t="shared" si="273"/>
        <v>0</v>
      </c>
      <c r="KH44" s="223">
        <f t="shared" si="283"/>
        <v>0</v>
      </c>
      <c r="KI44" s="222" t="str">
        <f t="shared" si="241"/>
        <v>/2</v>
      </c>
      <c r="KJ44" s="223">
        <f t="shared" si="284"/>
        <v>0</v>
      </c>
      <c r="KK44" s="223" t="e">
        <f t="shared" si="285"/>
        <v>#DIV/0!</v>
      </c>
      <c r="KL44" s="222" t="e">
        <f t="shared" si="286"/>
        <v>#DIV/0!</v>
      </c>
      <c r="KM44" s="223">
        <v>25</v>
      </c>
      <c r="KN44" s="219" t="s">
        <v>78</v>
      </c>
      <c r="KO44" s="222">
        <f>KR43</f>
        <v>0</v>
      </c>
      <c r="KP44" s="223">
        <f>SUM('[12]Progr1 (3)'!NW48:OR48)</f>
        <v>0</v>
      </c>
      <c r="KQ44" s="223">
        <f>SUM('[12]Progr1 (3)'!NW50:OR50)</f>
        <v>0</v>
      </c>
      <c r="KR44" s="222">
        <f t="shared" si="287"/>
        <v>0</v>
      </c>
      <c r="KS44" s="223">
        <f t="shared" si="274"/>
        <v>0</v>
      </c>
      <c r="KT44" s="223">
        <f t="shared" si="288"/>
        <v>0</v>
      </c>
      <c r="KU44" s="222" t="str">
        <f t="shared" si="243"/>
        <v>/2</v>
      </c>
      <c r="KV44" s="223">
        <f t="shared" si="289"/>
        <v>0</v>
      </c>
      <c r="KW44" s="223" t="e">
        <f t="shared" si="290"/>
        <v>#DIV/0!</v>
      </c>
      <c r="KX44" s="222" t="e">
        <f t="shared" si="291"/>
        <v>#DIV/0!</v>
      </c>
      <c r="KY44" s="223">
        <v>25</v>
      </c>
      <c r="KZ44" s="219" t="s">
        <v>82</v>
      </c>
      <c r="LA44" s="222">
        <f>LD43</f>
        <v>0</v>
      </c>
      <c r="LB44" s="223">
        <f>SUM('[12]Progr1 (3)'!OI48:PD48)</f>
        <v>0</v>
      </c>
      <c r="LC44" s="223">
        <f>SUM('[12]Progr1 (3)'!OI50:PD50)</f>
        <v>0</v>
      </c>
      <c r="LD44" s="222">
        <f t="shared" si="292"/>
        <v>0</v>
      </c>
      <c r="LE44" s="223">
        <f t="shared" si="275"/>
        <v>0</v>
      </c>
      <c r="LF44" s="223">
        <f t="shared" si="293"/>
        <v>0</v>
      </c>
      <c r="LG44" s="222" t="str">
        <f t="shared" si="245"/>
        <v>/2</v>
      </c>
      <c r="LH44" s="223">
        <f t="shared" si="294"/>
        <v>0</v>
      </c>
      <c r="LI44" s="223" t="e">
        <f t="shared" si="295"/>
        <v>#DIV/0!</v>
      </c>
      <c r="LJ44" s="222" t="e">
        <f t="shared" si="296"/>
        <v>#DIV/0!</v>
      </c>
      <c r="LK44" s="223">
        <v>25</v>
      </c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</row>
    <row r="45" spans="1:669" ht="5.25" customHeight="1" thickTop="1" x14ac:dyDescent="0.25">
      <c r="A45" s="49"/>
      <c r="B45" s="49"/>
      <c r="C45" s="49"/>
      <c r="D45" s="49"/>
      <c r="E45" s="49"/>
      <c r="F45" s="185"/>
      <c r="G45" s="49"/>
      <c r="H45" s="49"/>
      <c r="I45" s="240"/>
      <c r="J45" s="286" t="s">
        <v>8</v>
      </c>
      <c r="K45" s="112"/>
      <c r="L45" s="124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  <c r="DM45" s="116"/>
      <c r="DN45" s="116"/>
      <c r="DO45" s="116"/>
      <c r="DP45" s="116"/>
      <c r="DQ45" s="116"/>
      <c r="DR45" s="116"/>
      <c r="DS45" s="116"/>
      <c r="DT45" s="116"/>
      <c r="DU45" s="116"/>
      <c r="DV45" s="116"/>
      <c r="DW45" s="116"/>
      <c r="DX45" s="116"/>
      <c r="DY45" s="116"/>
      <c r="DZ45" s="116"/>
      <c r="EA45" s="116"/>
      <c r="EB45" s="116"/>
      <c r="EC45" s="116"/>
      <c r="ED45" s="116"/>
      <c r="EE45" s="116"/>
      <c r="EF45" s="116"/>
      <c r="EG45" s="116"/>
      <c r="EH45" s="116"/>
      <c r="EI45" s="116"/>
      <c r="EJ45" s="116"/>
      <c r="EK45" s="116"/>
      <c r="EL45" s="116"/>
      <c r="EM45" s="116"/>
      <c r="EN45" s="116"/>
      <c r="EO45" s="116"/>
      <c r="EP45" s="116"/>
      <c r="EQ45" s="116"/>
      <c r="ER45" s="116"/>
      <c r="ES45" s="116"/>
      <c r="ET45" s="116"/>
      <c r="EU45" s="116"/>
      <c r="EV45" s="116"/>
      <c r="EW45" s="116"/>
      <c r="EX45" s="116"/>
      <c r="EY45" s="116"/>
      <c r="EZ45" s="116"/>
      <c r="FA45" s="116"/>
      <c r="FB45" s="116"/>
      <c r="FC45" s="116"/>
      <c r="FD45" s="116"/>
      <c r="FE45" s="116"/>
      <c r="FF45" s="116"/>
      <c r="FG45" s="116"/>
      <c r="FH45" s="116"/>
      <c r="FI45" s="116"/>
      <c r="FJ45" s="116"/>
      <c r="FK45" s="116"/>
      <c r="FL45" s="116"/>
      <c r="FM45" s="116"/>
      <c r="FN45" s="116"/>
      <c r="FO45" s="116"/>
      <c r="FP45" s="116"/>
      <c r="FQ45" s="116"/>
      <c r="FR45" s="116"/>
      <c r="FS45" s="116"/>
      <c r="FT45" s="116"/>
      <c r="FU45" s="116"/>
      <c r="FV45" s="116"/>
      <c r="FW45" s="116"/>
      <c r="FX45" s="116"/>
      <c r="FY45" s="116"/>
      <c r="FZ45" s="116"/>
      <c r="GA45" s="116"/>
      <c r="GB45" s="116"/>
      <c r="GC45" s="116"/>
      <c r="GD45" s="116"/>
      <c r="GE45" s="116"/>
      <c r="GF45" s="116"/>
      <c r="GG45" s="116"/>
      <c r="GH45" s="116"/>
      <c r="GI45" s="116"/>
      <c r="GJ45" s="116"/>
      <c r="GK45" s="116"/>
      <c r="GL45" s="116"/>
      <c r="GM45" s="116"/>
      <c r="GN45" s="116"/>
      <c r="GO45" s="116"/>
      <c r="GP45" s="116"/>
      <c r="GQ45" s="116"/>
      <c r="GR45" s="116"/>
      <c r="GS45" s="116"/>
      <c r="GT45" s="116"/>
      <c r="GU45" s="116"/>
      <c r="GV45" s="116"/>
      <c r="GW45" s="116"/>
      <c r="GX45" s="116"/>
      <c r="GY45" s="116"/>
      <c r="GZ45" s="116"/>
      <c r="HA45" s="116"/>
      <c r="HB45" s="116"/>
      <c r="HC45" s="116"/>
      <c r="HD45" s="116"/>
      <c r="HE45" s="116"/>
      <c r="HF45" s="116"/>
      <c r="HG45" s="116"/>
      <c r="HH45" s="116"/>
      <c r="HI45" s="116"/>
      <c r="HJ45" s="116"/>
      <c r="HK45" s="116"/>
      <c r="HL45" s="116"/>
      <c r="HM45" s="116"/>
      <c r="HN45" s="116"/>
      <c r="HO45" s="116"/>
      <c r="HP45" s="116"/>
      <c r="HQ45" s="116"/>
      <c r="HR45" s="116"/>
      <c r="HS45" s="116"/>
      <c r="HT45" s="116"/>
      <c r="HU45" s="116"/>
      <c r="HV45" s="116"/>
      <c r="HW45" s="116"/>
      <c r="HX45" s="116"/>
      <c r="HY45" s="116"/>
      <c r="HZ45" s="116"/>
      <c r="IA45" s="116"/>
      <c r="IB45" s="116"/>
      <c r="IC45" s="116"/>
      <c r="ID45" s="116"/>
      <c r="IE45" s="116"/>
      <c r="IF45" s="116"/>
      <c r="IG45" s="116"/>
      <c r="IH45" s="116"/>
      <c r="II45" s="116"/>
      <c r="IJ45" s="116"/>
      <c r="IK45" s="116"/>
      <c r="IL45" s="116"/>
      <c r="IM45" s="116"/>
      <c r="IN45" s="116"/>
      <c r="IO45" s="116"/>
      <c r="IP45" s="116"/>
      <c r="IQ45" s="116"/>
      <c r="IR45" s="116"/>
      <c r="IS45" s="116"/>
      <c r="IT45" s="116"/>
      <c r="IU45" s="116"/>
      <c r="IV45" s="116"/>
      <c r="IW45" s="116"/>
      <c r="IX45" s="116"/>
      <c r="IY45" s="116"/>
      <c r="IZ45" s="116"/>
      <c r="JA45" s="116"/>
      <c r="JB45" s="116"/>
      <c r="JC45" s="116"/>
      <c r="JD45" s="116"/>
      <c r="JE45" s="116"/>
      <c r="JF45" s="116"/>
      <c r="JG45" s="116"/>
      <c r="JH45" s="116"/>
      <c r="JI45" s="116"/>
      <c r="JJ45" s="116"/>
      <c r="JK45" s="116"/>
      <c r="JL45" s="116"/>
      <c r="JM45" s="116"/>
      <c r="JN45" s="116"/>
      <c r="JO45" s="116"/>
      <c r="JP45" s="116"/>
      <c r="JQ45" s="116"/>
      <c r="JR45" s="116"/>
      <c r="JS45" s="116"/>
      <c r="JT45" s="116"/>
      <c r="JU45" s="116"/>
      <c r="JV45" s="116"/>
      <c r="JW45" s="116"/>
      <c r="JX45" s="116"/>
      <c r="JY45" s="116"/>
      <c r="JZ45" s="1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</row>
    <row r="46" spans="1:669" ht="6" customHeight="1" x14ac:dyDescent="0.25">
      <c r="A46" s="49"/>
      <c r="B46" s="49"/>
      <c r="C46" s="49"/>
      <c r="D46" s="49"/>
      <c r="E46" s="49"/>
      <c r="F46" s="185"/>
      <c r="G46" s="49"/>
      <c r="H46" s="49"/>
      <c r="I46" s="240"/>
      <c r="J46" s="287"/>
      <c r="K46" s="93"/>
      <c r="L46" s="60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  <c r="EV46" s="61"/>
      <c r="EW46" s="61"/>
      <c r="EX46" s="61"/>
      <c r="EY46" s="61"/>
      <c r="EZ46" s="61"/>
      <c r="FA46" s="61"/>
      <c r="FB46" s="61"/>
      <c r="FC46" s="61"/>
      <c r="FD46" s="61"/>
      <c r="FE46" s="61"/>
      <c r="FF46" s="61"/>
      <c r="FG46" s="61"/>
      <c r="FH46" s="61"/>
      <c r="FI46" s="61"/>
      <c r="FJ46" s="61"/>
      <c r="FK46" s="61"/>
      <c r="FL46" s="61"/>
      <c r="FM46" s="61"/>
      <c r="FN46" s="61"/>
      <c r="FO46" s="61"/>
      <c r="FP46" s="61"/>
      <c r="FQ46" s="61"/>
      <c r="FR46" s="61"/>
      <c r="FS46" s="61"/>
      <c r="FT46" s="61"/>
      <c r="FU46" s="61"/>
      <c r="FV46" s="61"/>
      <c r="FW46" s="61"/>
      <c r="FX46" s="61"/>
      <c r="FY46" s="61"/>
      <c r="FZ46" s="61"/>
      <c r="GA46" s="61"/>
      <c r="GB46" s="61"/>
      <c r="GC46" s="61"/>
      <c r="GD46" s="61"/>
      <c r="GE46" s="61"/>
      <c r="GF46" s="61"/>
      <c r="GG46" s="61"/>
      <c r="GH46" s="61"/>
      <c r="GI46" s="61"/>
      <c r="GJ46" s="61"/>
      <c r="GK46" s="61"/>
      <c r="GL46" s="61"/>
      <c r="GM46" s="61"/>
      <c r="GN46" s="61"/>
      <c r="GO46" s="61"/>
      <c r="GP46" s="61"/>
      <c r="GQ46" s="61"/>
      <c r="GR46" s="61"/>
      <c r="GS46" s="61"/>
      <c r="GT46" s="61"/>
      <c r="GU46" s="61"/>
      <c r="GV46" s="61"/>
      <c r="GW46" s="61"/>
      <c r="GX46" s="61"/>
      <c r="GY46" s="61"/>
      <c r="GZ46" s="61"/>
      <c r="HA46" s="61"/>
      <c r="HB46" s="61"/>
      <c r="HC46" s="61"/>
      <c r="HD46" s="61"/>
      <c r="HE46" s="61"/>
      <c r="HF46" s="61"/>
      <c r="HG46" s="61"/>
      <c r="HH46" s="61"/>
      <c r="HI46" s="61"/>
      <c r="HJ46" s="61"/>
      <c r="HK46" s="61"/>
      <c r="HL46" s="61"/>
      <c r="HM46" s="61"/>
      <c r="HN46" s="61"/>
      <c r="HO46" s="61"/>
      <c r="HP46" s="61"/>
      <c r="HQ46" s="61"/>
      <c r="HR46" s="61"/>
      <c r="HS46" s="61"/>
      <c r="HT46" s="61"/>
      <c r="HU46" s="61"/>
      <c r="HV46" s="61"/>
      <c r="HW46" s="61"/>
      <c r="HX46" s="61"/>
      <c r="HY46" s="61"/>
      <c r="HZ46" s="61"/>
      <c r="IA46" s="61"/>
      <c r="IB46" s="61"/>
      <c r="IC46" s="61"/>
      <c r="ID46" s="61"/>
      <c r="IE46" s="61"/>
      <c r="IF46" s="61"/>
      <c r="IG46" s="61"/>
      <c r="IH46" s="61"/>
      <c r="II46" s="61"/>
      <c r="IJ46" s="61"/>
      <c r="IK46" s="61"/>
      <c r="IL46" s="61"/>
      <c r="IM46" s="61"/>
      <c r="IN46" s="61"/>
      <c r="IO46" s="61"/>
      <c r="IP46" s="61"/>
      <c r="IQ46" s="61"/>
      <c r="IR46" s="61"/>
      <c r="IS46" s="61"/>
      <c r="IT46" s="61"/>
      <c r="IU46" s="61"/>
      <c r="IV46" s="61"/>
      <c r="IW46" s="61"/>
      <c r="IX46" s="61"/>
      <c r="IY46" s="61"/>
      <c r="IZ46" s="61"/>
      <c r="JA46" s="61"/>
      <c r="JB46" s="61"/>
      <c r="JC46" s="61"/>
      <c r="JD46" s="61"/>
      <c r="JE46" s="61"/>
      <c r="JF46" s="61"/>
      <c r="JG46" s="61"/>
      <c r="JH46" s="61"/>
      <c r="JI46" s="61"/>
      <c r="JJ46" s="61"/>
      <c r="JK46" s="61"/>
      <c r="JL46" s="61"/>
      <c r="JM46" s="61"/>
      <c r="JN46" s="61"/>
      <c r="JO46" s="61"/>
      <c r="JP46" s="61"/>
      <c r="JQ46" s="61"/>
      <c r="JR46" s="61"/>
      <c r="JS46" s="61"/>
      <c r="JT46" s="61"/>
      <c r="JU46" s="61"/>
      <c r="JV46" s="61"/>
      <c r="JW46" s="61"/>
      <c r="JX46" s="61"/>
      <c r="JY46" s="61"/>
      <c r="JZ46" s="111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</row>
    <row r="47" spans="1:669" ht="5.25" customHeight="1" thickBot="1" x14ac:dyDescent="0.3">
      <c r="A47" s="129"/>
      <c r="B47" s="129"/>
      <c r="C47" s="129"/>
      <c r="D47" s="129"/>
      <c r="E47" s="129"/>
      <c r="F47" s="186"/>
      <c r="G47" s="129"/>
      <c r="H47" s="129"/>
      <c r="I47" s="244"/>
      <c r="J47" s="288"/>
      <c r="K47" s="128"/>
      <c r="L47" s="46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118"/>
      <c r="BM47" s="118"/>
      <c r="BN47" s="118"/>
      <c r="BO47" s="118"/>
      <c r="BP47" s="118"/>
      <c r="BQ47" s="118"/>
      <c r="BR47" s="118"/>
      <c r="BS47" s="118"/>
      <c r="BT47" s="118"/>
      <c r="BU47" s="118"/>
      <c r="BV47" s="118"/>
      <c r="BW47" s="118"/>
      <c r="BX47" s="118"/>
      <c r="BY47" s="118"/>
      <c r="BZ47" s="118"/>
      <c r="CA47" s="118"/>
      <c r="CB47" s="118"/>
      <c r="CC47" s="118"/>
      <c r="CD47" s="118"/>
      <c r="CE47" s="118"/>
      <c r="CF47" s="118"/>
      <c r="CG47" s="118"/>
      <c r="CH47" s="118"/>
      <c r="CI47" s="118"/>
      <c r="CJ47" s="118"/>
      <c r="CK47" s="118"/>
      <c r="CL47" s="118"/>
      <c r="CM47" s="118"/>
      <c r="CN47" s="118"/>
      <c r="CO47" s="118"/>
      <c r="CP47" s="118"/>
      <c r="CQ47" s="118"/>
      <c r="CR47" s="118"/>
      <c r="CS47" s="118"/>
      <c r="CT47" s="118"/>
      <c r="CU47" s="118"/>
      <c r="CV47" s="118"/>
      <c r="CW47" s="118"/>
      <c r="CX47" s="118"/>
      <c r="CY47" s="118"/>
      <c r="CZ47" s="118"/>
      <c r="DA47" s="118"/>
      <c r="DB47" s="118"/>
      <c r="DC47" s="118"/>
      <c r="DD47" s="118"/>
      <c r="DE47" s="118"/>
      <c r="DF47" s="118"/>
      <c r="DG47" s="118"/>
      <c r="DH47" s="118"/>
      <c r="DI47" s="118"/>
      <c r="DJ47" s="118"/>
      <c r="DK47" s="118"/>
      <c r="DL47" s="118"/>
      <c r="DM47" s="118"/>
      <c r="DN47" s="118"/>
      <c r="DO47" s="118"/>
      <c r="DP47" s="118"/>
      <c r="DQ47" s="118"/>
      <c r="DR47" s="118"/>
      <c r="DS47" s="118"/>
      <c r="DT47" s="118"/>
      <c r="DU47" s="118"/>
      <c r="DV47" s="118"/>
      <c r="DW47" s="118"/>
      <c r="DX47" s="118"/>
      <c r="DY47" s="118"/>
      <c r="DZ47" s="118"/>
      <c r="EA47" s="118"/>
      <c r="EB47" s="118"/>
      <c r="EC47" s="118"/>
      <c r="ED47" s="118"/>
      <c r="EE47" s="118"/>
      <c r="EF47" s="118"/>
      <c r="EG47" s="118"/>
      <c r="EH47" s="118"/>
      <c r="EI47" s="118"/>
      <c r="EJ47" s="118"/>
      <c r="EK47" s="118"/>
      <c r="EL47" s="118"/>
      <c r="EM47" s="118"/>
      <c r="EN47" s="118"/>
      <c r="EO47" s="118"/>
      <c r="EP47" s="118"/>
      <c r="EQ47" s="118"/>
      <c r="ER47" s="118"/>
      <c r="ES47" s="118"/>
      <c r="ET47" s="118"/>
      <c r="EU47" s="118"/>
      <c r="EV47" s="118"/>
      <c r="EW47" s="118"/>
      <c r="EX47" s="118"/>
      <c r="EY47" s="118"/>
      <c r="EZ47" s="118"/>
      <c r="FA47" s="118"/>
      <c r="FB47" s="118"/>
      <c r="FC47" s="118"/>
      <c r="FD47" s="118"/>
      <c r="FE47" s="118"/>
      <c r="FF47" s="118"/>
      <c r="FG47" s="118"/>
      <c r="FH47" s="118"/>
      <c r="FI47" s="118"/>
      <c r="FJ47" s="118"/>
      <c r="FK47" s="118"/>
      <c r="FL47" s="118"/>
      <c r="FM47" s="118"/>
      <c r="FN47" s="118"/>
      <c r="FO47" s="118"/>
      <c r="FP47" s="118"/>
      <c r="FQ47" s="118"/>
      <c r="FR47" s="118"/>
      <c r="FS47" s="118"/>
      <c r="FT47" s="118"/>
      <c r="FU47" s="118"/>
      <c r="FV47" s="118"/>
      <c r="FW47" s="118"/>
      <c r="FX47" s="118"/>
      <c r="FY47" s="118"/>
      <c r="FZ47" s="118"/>
      <c r="GA47" s="118"/>
      <c r="GB47" s="118"/>
      <c r="GC47" s="118"/>
      <c r="GD47" s="118"/>
      <c r="GE47" s="118"/>
      <c r="GF47" s="118"/>
      <c r="GG47" s="118"/>
      <c r="GH47" s="118"/>
      <c r="GI47" s="118"/>
      <c r="GJ47" s="118"/>
      <c r="GK47" s="118"/>
      <c r="GL47" s="118"/>
      <c r="GM47" s="118"/>
      <c r="GN47" s="118"/>
      <c r="GO47" s="118"/>
      <c r="GP47" s="118"/>
      <c r="GQ47" s="118"/>
      <c r="GR47" s="118"/>
      <c r="GS47" s="118"/>
      <c r="GT47" s="118"/>
      <c r="GU47" s="118"/>
      <c r="GV47" s="118"/>
      <c r="GW47" s="118"/>
      <c r="GX47" s="118"/>
      <c r="GY47" s="118"/>
      <c r="GZ47" s="118"/>
      <c r="HA47" s="118"/>
      <c r="HB47" s="118"/>
      <c r="HC47" s="118"/>
      <c r="HD47" s="118"/>
      <c r="HE47" s="118"/>
      <c r="HF47" s="118"/>
      <c r="HG47" s="118"/>
      <c r="HH47" s="118"/>
      <c r="HI47" s="118"/>
      <c r="HJ47" s="118"/>
      <c r="HK47" s="118"/>
      <c r="HL47" s="118"/>
      <c r="HM47" s="118"/>
      <c r="HN47" s="118"/>
      <c r="HO47" s="118"/>
      <c r="HP47" s="118"/>
      <c r="HQ47" s="118"/>
      <c r="HR47" s="118"/>
      <c r="HS47" s="118"/>
      <c r="HT47" s="118"/>
      <c r="HU47" s="118"/>
      <c r="HV47" s="118"/>
      <c r="HW47" s="118"/>
      <c r="HX47" s="118"/>
      <c r="HY47" s="118"/>
      <c r="HZ47" s="118"/>
      <c r="IA47" s="118"/>
      <c r="IB47" s="118"/>
      <c r="IC47" s="118"/>
      <c r="ID47" s="118"/>
      <c r="IE47" s="118"/>
      <c r="IF47" s="118"/>
      <c r="IG47" s="118"/>
      <c r="IH47" s="118"/>
      <c r="II47" s="118"/>
      <c r="IJ47" s="118"/>
      <c r="IK47" s="118"/>
      <c r="IL47" s="118"/>
      <c r="IM47" s="118"/>
      <c r="IN47" s="118"/>
      <c r="IO47" s="118"/>
      <c r="IP47" s="118"/>
      <c r="IQ47" s="118"/>
      <c r="IR47" s="118"/>
      <c r="IS47" s="118"/>
      <c r="IT47" s="118"/>
      <c r="IU47" s="118"/>
      <c r="IV47" s="118"/>
      <c r="IW47" s="118"/>
      <c r="IX47" s="118"/>
      <c r="IY47" s="118"/>
      <c r="IZ47" s="118"/>
      <c r="JA47" s="118"/>
      <c r="JB47" s="118"/>
      <c r="JC47" s="118"/>
      <c r="JD47" s="118"/>
      <c r="JE47" s="118"/>
      <c r="JF47" s="118"/>
      <c r="JG47" s="118"/>
      <c r="JH47" s="118"/>
      <c r="JI47" s="118"/>
      <c r="JJ47" s="118"/>
      <c r="JK47" s="118"/>
      <c r="JL47" s="118"/>
      <c r="JM47" s="118"/>
      <c r="JN47" s="118"/>
      <c r="JO47" s="118"/>
      <c r="JP47" s="118"/>
      <c r="JQ47" s="118"/>
      <c r="JR47" s="118"/>
      <c r="JS47" s="118"/>
      <c r="JT47" s="118"/>
      <c r="JU47" s="118"/>
      <c r="JV47" s="118"/>
      <c r="JW47" s="118"/>
      <c r="JX47" s="118"/>
      <c r="JY47" s="118"/>
      <c r="JZ47" s="120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</row>
    <row r="48" spans="1:669" ht="15" customHeight="1" thickTop="1" x14ac:dyDescent="0.25">
      <c r="A48" s="142">
        <f>B48</f>
        <v>0</v>
      </c>
      <c r="B48" s="231"/>
      <c r="C48" s="137" t="s">
        <v>13</v>
      </c>
      <c r="D48" s="228" t="s">
        <v>14</v>
      </c>
      <c r="E48" s="172" t="s">
        <v>42</v>
      </c>
      <c r="F48" s="180">
        <f ca="1">(F51+F49)*H49</f>
        <v>0</v>
      </c>
      <c r="G48" s="172" t="s">
        <v>37</v>
      </c>
      <c r="H48" s="169">
        <f ca="1">STDEVPA(V52:JZ52)</f>
        <v>0</v>
      </c>
      <c r="I48" s="245" t="s">
        <v>15</v>
      </c>
      <c r="J48" s="121" t="str">
        <f>J45</f>
        <v>CORTE</v>
      </c>
      <c r="K48" s="281" t="s">
        <v>10</v>
      </c>
      <c r="L48" s="95"/>
      <c r="M48" s="96"/>
      <c r="N48" s="96"/>
      <c r="O48" s="96"/>
      <c r="P48" s="96"/>
      <c r="Q48" s="96"/>
      <c r="R48" s="96"/>
      <c r="S48" s="96"/>
      <c r="T48" s="96"/>
      <c r="U48" s="96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7"/>
      <c r="BX48" s="97"/>
      <c r="BY48" s="97"/>
      <c r="BZ48" s="97"/>
      <c r="CA48" s="97"/>
      <c r="CB48" s="97"/>
      <c r="CC48" s="97"/>
      <c r="CD48" s="97"/>
      <c r="CE48" s="97"/>
      <c r="CF48" s="97"/>
      <c r="CG48" s="97"/>
      <c r="CH48" s="97"/>
      <c r="CI48" s="97"/>
      <c r="CJ48" s="97"/>
      <c r="CK48" s="97"/>
      <c r="CL48" s="97"/>
      <c r="CM48" s="97"/>
      <c r="CN48" s="97"/>
      <c r="CO48" s="97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7"/>
      <c r="DJ48" s="97"/>
      <c r="DK48" s="97"/>
      <c r="DL48" s="97"/>
      <c r="DM48" s="97"/>
      <c r="DN48" s="97"/>
      <c r="DO48" s="97"/>
      <c r="DP48" s="97"/>
      <c r="DQ48" s="97"/>
      <c r="DR48" s="97"/>
      <c r="DS48" s="97"/>
      <c r="DT48" s="97"/>
      <c r="DU48" s="97"/>
      <c r="DV48" s="97"/>
      <c r="DW48" s="97"/>
      <c r="DX48" s="97"/>
      <c r="DY48" s="97"/>
      <c r="DZ48" s="97"/>
      <c r="EA48" s="97"/>
      <c r="EB48" s="97"/>
      <c r="EC48" s="97"/>
      <c r="ED48" s="97"/>
      <c r="EE48" s="97"/>
      <c r="EF48" s="97"/>
      <c r="EG48" s="97"/>
      <c r="EH48" s="97"/>
      <c r="EI48" s="97"/>
      <c r="EJ48" s="97"/>
      <c r="EK48" s="97"/>
      <c r="EL48" s="97"/>
      <c r="EM48" s="97"/>
      <c r="EN48" s="97"/>
      <c r="EO48" s="97"/>
      <c r="EP48" s="97"/>
      <c r="EQ48" s="97"/>
      <c r="ER48" s="97"/>
      <c r="ES48" s="97"/>
      <c r="ET48" s="97"/>
      <c r="EU48" s="97"/>
      <c r="EV48" s="97"/>
      <c r="EW48" s="97"/>
      <c r="EX48" s="97"/>
      <c r="EY48" s="97"/>
      <c r="EZ48" s="97"/>
      <c r="FA48" s="97"/>
      <c r="FB48" s="97"/>
      <c r="FC48" s="97"/>
      <c r="FD48" s="97"/>
      <c r="FE48" s="97"/>
      <c r="FF48" s="97"/>
      <c r="FG48" s="97"/>
      <c r="FH48" s="97"/>
      <c r="FI48" s="97"/>
      <c r="FJ48" s="97"/>
      <c r="FK48" s="97"/>
      <c r="FL48" s="97"/>
      <c r="FM48" s="97"/>
      <c r="FN48" s="97"/>
      <c r="FO48" s="97"/>
      <c r="FP48" s="97"/>
      <c r="FQ48" s="97"/>
      <c r="FR48" s="97"/>
      <c r="FS48" s="97"/>
      <c r="FT48" s="97"/>
      <c r="FU48" s="97"/>
      <c r="FV48" s="97"/>
      <c r="FW48" s="97"/>
      <c r="FX48" s="97"/>
      <c r="FY48" s="97"/>
      <c r="FZ48" s="97"/>
      <c r="GA48" s="97"/>
      <c r="GB48" s="97"/>
      <c r="GC48" s="97"/>
      <c r="GD48" s="97"/>
      <c r="GE48" s="97"/>
      <c r="GF48" s="97"/>
      <c r="GG48" s="97"/>
      <c r="GH48" s="97"/>
      <c r="GI48" s="97"/>
      <c r="GJ48" s="97"/>
      <c r="GK48" s="97"/>
      <c r="GL48" s="97"/>
      <c r="GM48" s="97"/>
      <c r="GN48" s="97"/>
      <c r="GO48" s="97"/>
      <c r="GP48" s="97"/>
      <c r="GQ48" s="97"/>
      <c r="GR48" s="97"/>
      <c r="GS48" s="97"/>
      <c r="GT48" s="97"/>
      <c r="GU48" s="97"/>
      <c r="GV48" s="97"/>
      <c r="GW48" s="97"/>
      <c r="GX48" s="97"/>
      <c r="GY48" s="97"/>
      <c r="GZ48" s="97"/>
      <c r="HA48" s="97"/>
      <c r="HB48" s="97"/>
      <c r="HC48" s="97"/>
      <c r="HD48" s="97"/>
      <c r="HE48" s="97"/>
      <c r="HF48" s="97"/>
      <c r="HG48" s="97"/>
      <c r="HH48" s="97"/>
      <c r="HI48" s="97"/>
      <c r="HJ48" s="97"/>
      <c r="HK48" s="97"/>
      <c r="HL48" s="97"/>
      <c r="HM48" s="97"/>
      <c r="HN48" s="97"/>
      <c r="HO48" s="97"/>
      <c r="HP48" s="97"/>
      <c r="HQ48" s="97"/>
      <c r="HR48" s="97"/>
      <c r="HS48" s="97"/>
      <c r="HT48" s="97"/>
      <c r="HU48" s="97"/>
      <c r="HV48" s="97"/>
      <c r="HW48" s="97"/>
      <c r="HX48" s="97"/>
      <c r="HY48" s="97"/>
      <c r="HZ48" s="97"/>
      <c r="IA48" s="97"/>
      <c r="IB48" s="97"/>
      <c r="IC48" s="97"/>
      <c r="ID48" s="97"/>
      <c r="IE48" s="97"/>
      <c r="IF48" s="97"/>
      <c r="IG48" s="97"/>
      <c r="IH48" s="97"/>
      <c r="II48" s="97"/>
      <c r="IJ48" s="97"/>
      <c r="IK48" s="97"/>
      <c r="IL48" s="97"/>
      <c r="IM48" s="97"/>
      <c r="IN48" s="97"/>
      <c r="IO48" s="97"/>
      <c r="IP48" s="97"/>
      <c r="IQ48" s="97"/>
      <c r="IR48" s="97"/>
      <c r="IS48" s="97"/>
      <c r="IT48" s="97"/>
      <c r="IU48" s="97"/>
      <c r="IV48" s="97"/>
      <c r="IW48" s="97"/>
      <c r="IX48" s="97"/>
      <c r="IY48" s="97"/>
      <c r="IZ48" s="97"/>
      <c r="JA48" s="97"/>
      <c r="JB48" s="97"/>
      <c r="JC48" s="97"/>
      <c r="JD48" s="97"/>
      <c r="JE48" s="97"/>
      <c r="JF48" s="97"/>
      <c r="JG48" s="97"/>
      <c r="JH48" s="97"/>
      <c r="JI48" s="97"/>
      <c r="JJ48" s="97"/>
      <c r="JK48" s="97"/>
      <c r="JL48" s="97"/>
      <c r="JM48" s="97"/>
      <c r="JN48" s="97"/>
      <c r="JO48" s="97"/>
      <c r="JP48" s="97"/>
      <c r="JQ48" s="97"/>
      <c r="JR48" s="97"/>
      <c r="JS48" s="97"/>
      <c r="JT48" s="97"/>
      <c r="JU48" s="97"/>
      <c r="JV48" s="97"/>
      <c r="JW48" s="97"/>
      <c r="JX48" s="97"/>
      <c r="JY48" s="97"/>
      <c r="JZ48" s="98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</row>
    <row r="49" spans="1:669" x14ac:dyDescent="0.25">
      <c r="A49" s="138">
        <f>B48</f>
        <v>0</v>
      </c>
      <c r="B49" s="232"/>
      <c r="C49" s="81" t="str">
        <f>$C$48</f>
        <v>MELITTA</v>
      </c>
      <c r="D49" s="229"/>
      <c r="E49" s="173" t="s">
        <v>44</v>
      </c>
      <c r="F49" s="181">
        <f ca="1">AVERAGE(V52:JZ52)</f>
        <v>0</v>
      </c>
      <c r="G49" s="174" t="s">
        <v>38</v>
      </c>
      <c r="H49" s="170">
        <v>3</v>
      </c>
      <c r="I49" s="242" t="s">
        <v>16</v>
      </c>
      <c r="J49" s="83" t="str">
        <f>J48</f>
        <v>CORTE</v>
      </c>
      <c r="K49" s="281"/>
      <c r="L49" s="57"/>
      <c r="M49" s="58"/>
      <c r="N49" s="58"/>
      <c r="O49" s="58"/>
      <c r="P49" s="58"/>
      <c r="Q49" s="58"/>
      <c r="R49" s="58"/>
      <c r="S49" s="58"/>
      <c r="T49" s="58"/>
      <c r="U49" s="58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  <c r="DB49" s="70"/>
      <c r="DC49" s="70"/>
      <c r="DD49" s="70"/>
      <c r="DE49" s="70"/>
      <c r="DF49" s="70"/>
      <c r="DG49" s="70"/>
      <c r="DH49" s="70"/>
      <c r="DI49" s="70"/>
      <c r="DJ49" s="70"/>
      <c r="DK49" s="70"/>
      <c r="DL49" s="70"/>
      <c r="DM49" s="70"/>
      <c r="DN49" s="70"/>
      <c r="DO49" s="70"/>
      <c r="DP49" s="70"/>
      <c r="DQ49" s="70"/>
      <c r="DR49" s="70"/>
      <c r="DS49" s="70"/>
      <c r="DT49" s="70"/>
      <c r="DU49" s="70"/>
      <c r="DV49" s="70"/>
      <c r="DW49" s="70"/>
      <c r="DX49" s="70"/>
      <c r="DY49" s="70"/>
      <c r="DZ49" s="70"/>
      <c r="EA49" s="70"/>
      <c r="EB49" s="70"/>
      <c r="EC49" s="70"/>
      <c r="ED49" s="70"/>
      <c r="EE49" s="70"/>
      <c r="EF49" s="70"/>
      <c r="EG49" s="70"/>
      <c r="EH49" s="70"/>
      <c r="EI49" s="70"/>
      <c r="EJ49" s="70"/>
      <c r="EK49" s="70"/>
      <c r="EL49" s="70"/>
      <c r="EM49" s="70"/>
      <c r="EN49" s="70"/>
      <c r="EO49" s="70"/>
      <c r="EP49" s="70"/>
      <c r="EQ49" s="70"/>
      <c r="ER49" s="70"/>
      <c r="ES49" s="70"/>
      <c r="ET49" s="70"/>
      <c r="EU49" s="70"/>
      <c r="EV49" s="70"/>
      <c r="EW49" s="70"/>
      <c r="EX49" s="70"/>
      <c r="EY49" s="70"/>
      <c r="EZ49" s="70"/>
      <c r="FA49" s="70"/>
      <c r="FB49" s="70"/>
      <c r="FC49" s="70"/>
      <c r="FD49" s="70"/>
      <c r="FE49" s="70"/>
      <c r="FF49" s="70"/>
      <c r="FG49" s="70"/>
      <c r="FH49" s="70"/>
      <c r="FI49" s="70"/>
      <c r="FJ49" s="70"/>
      <c r="FK49" s="70"/>
      <c r="FL49" s="70"/>
      <c r="FM49" s="70"/>
      <c r="FN49" s="70"/>
      <c r="FO49" s="70"/>
      <c r="FP49" s="70"/>
      <c r="FQ49" s="70"/>
      <c r="FR49" s="70"/>
      <c r="FS49" s="70"/>
      <c r="FT49" s="70"/>
      <c r="FU49" s="70"/>
      <c r="FV49" s="70"/>
      <c r="FW49" s="70"/>
      <c r="FX49" s="70"/>
      <c r="FY49" s="70"/>
      <c r="FZ49" s="70"/>
      <c r="GA49" s="70"/>
      <c r="GB49" s="70"/>
      <c r="GC49" s="70"/>
      <c r="GD49" s="70"/>
      <c r="GE49" s="70"/>
      <c r="GF49" s="70"/>
      <c r="GG49" s="70"/>
      <c r="GH49" s="70"/>
      <c r="GI49" s="70"/>
      <c r="GJ49" s="70"/>
      <c r="GK49" s="70"/>
      <c r="GL49" s="70"/>
      <c r="GM49" s="70"/>
      <c r="GN49" s="70"/>
      <c r="GO49" s="70"/>
      <c r="GP49" s="70"/>
      <c r="GQ49" s="70"/>
      <c r="GR49" s="70"/>
      <c r="GS49" s="70"/>
      <c r="GT49" s="70"/>
      <c r="GU49" s="70"/>
      <c r="GV49" s="70"/>
      <c r="GW49" s="70"/>
      <c r="GX49" s="70"/>
      <c r="GY49" s="70"/>
      <c r="GZ49" s="70"/>
      <c r="HA49" s="70"/>
      <c r="HB49" s="70"/>
      <c r="HC49" s="70"/>
      <c r="HD49" s="70"/>
      <c r="HE49" s="70"/>
      <c r="HF49" s="70"/>
      <c r="HG49" s="70"/>
      <c r="HH49" s="70"/>
      <c r="HI49" s="70"/>
      <c r="HJ49" s="70"/>
      <c r="HK49" s="70"/>
      <c r="HL49" s="70"/>
      <c r="HM49" s="70"/>
      <c r="HN49" s="70"/>
      <c r="HO49" s="70"/>
      <c r="HP49" s="70"/>
      <c r="HQ49" s="70"/>
      <c r="HR49" s="70"/>
      <c r="HS49" s="70"/>
      <c r="HT49" s="70"/>
      <c r="HU49" s="70"/>
      <c r="HV49" s="70"/>
      <c r="HW49" s="70"/>
      <c r="HX49" s="70"/>
      <c r="HY49" s="70"/>
      <c r="HZ49" s="70"/>
      <c r="IA49" s="70"/>
      <c r="IB49" s="70"/>
      <c r="IC49" s="70"/>
      <c r="ID49" s="70"/>
      <c r="IE49" s="70"/>
      <c r="IF49" s="70"/>
      <c r="IG49" s="70"/>
      <c r="IH49" s="70"/>
      <c r="II49" s="70"/>
      <c r="IJ49" s="70"/>
      <c r="IK49" s="70"/>
      <c r="IL49" s="70"/>
      <c r="IM49" s="70"/>
      <c r="IN49" s="70"/>
      <c r="IO49" s="70"/>
      <c r="IP49" s="70"/>
      <c r="IQ49" s="70"/>
      <c r="IR49" s="70"/>
      <c r="IS49" s="70"/>
      <c r="IT49" s="70"/>
      <c r="IU49" s="70"/>
      <c r="IV49" s="70"/>
      <c r="IW49" s="70"/>
      <c r="IX49" s="70"/>
      <c r="IY49" s="70"/>
      <c r="IZ49" s="70"/>
      <c r="JA49" s="70"/>
      <c r="JB49" s="70"/>
      <c r="JC49" s="70"/>
      <c r="JD49" s="70"/>
      <c r="JE49" s="70"/>
      <c r="JF49" s="70"/>
      <c r="JG49" s="70"/>
      <c r="JH49" s="70"/>
      <c r="JI49" s="70"/>
      <c r="JJ49" s="70"/>
      <c r="JK49" s="70"/>
      <c r="JL49" s="70"/>
      <c r="JM49" s="70"/>
      <c r="JN49" s="70"/>
      <c r="JO49" s="70"/>
      <c r="JP49" s="70"/>
      <c r="JQ49" s="70"/>
      <c r="JR49" s="70"/>
      <c r="JS49" s="70"/>
      <c r="JT49" s="70"/>
      <c r="JU49" s="70"/>
      <c r="JV49" s="70"/>
      <c r="JW49" s="70"/>
      <c r="JX49" s="70"/>
      <c r="JY49" s="70"/>
      <c r="JZ49" s="99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</row>
    <row r="50" spans="1:669" x14ac:dyDescent="0.25">
      <c r="A50" s="138">
        <f>B48</f>
        <v>0</v>
      </c>
      <c r="B50" s="232"/>
      <c r="C50" s="81" t="str">
        <f t="shared" ref="C50:C52" si="302">$C$48</f>
        <v>MELITTA</v>
      </c>
      <c r="D50" s="229"/>
      <c r="E50" s="173" t="s">
        <v>41</v>
      </c>
      <c r="F50" s="181">
        <f ca="1">(F49*H49)+F51</f>
        <v>0</v>
      </c>
      <c r="G50" s="175" t="s">
        <v>39</v>
      </c>
      <c r="H50" s="170">
        <v>1</v>
      </c>
      <c r="I50" s="242" t="s">
        <v>17</v>
      </c>
      <c r="J50" s="83" t="str">
        <f t="shared" ref="J50:J57" si="303">J49</f>
        <v>CORTE</v>
      </c>
      <c r="K50" s="281"/>
      <c r="L50" s="57"/>
      <c r="M50" s="58"/>
      <c r="N50" s="58"/>
      <c r="O50" s="58"/>
      <c r="P50" s="58"/>
      <c r="Q50" s="58"/>
      <c r="R50" s="58"/>
      <c r="S50" s="58"/>
      <c r="T50" s="58"/>
      <c r="U50" s="58"/>
      <c r="V50" s="68">
        <f t="shared" ref="V50:CG50" ca="1" si="304">IF(V3&gt;$J$5,"",U50+V48-V49)</f>
        <v>0</v>
      </c>
      <c r="W50" s="68">
        <f t="shared" ca="1" si="304"/>
        <v>0</v>
      </c>
      <c r="X50" s="68">
        <f t="shared" ca="1" si="304"/>
        <v>0</v>
      </c>
      <c r="Y50" s="68">
        <f t="shared" ca="1" si="304"/>
        <v>0</v>
      </c>
      <c r="Z50" s="68">
        <f t="shared" ca="1" si="304"/>
        <v>0</v>
      </c>
      <c r="AA50" s="68">
        <f t="shared" ca="1" si="304"/>
        <v>0</v>
      </c>
      <c r="AB50" s="68">
        <f t="shared" ca="1" si="304"/>
        <v>0</v>
      </c>
      <c r="AC50" s="68">
        <f t="shared" ca="1" si="304"/>
        <v>0</v>
      </c>
      <c r="AD50" s="68">
        <f t="shared" ca="1" si="304"/>
        <v>0</v>
      </c>
      <c r="AE50" s="68">
        <f t="shared" ca="1" si="304"/>
        <v>0</v>
      </c>
      <c r="AF50" s="68">
        <f t="shared" ca="1" si="304"/>
        <v>0</v>
      </c>
      <c r="AG50" s="68">
        <f t="shared" ca="1" si="304"/>
        <v>0</v>
      </c>
      <c r="AH50" s="68">
        <f t="shared" ca="1" si="304"/>
        <v>0</v>
      </c>
      <c r="AI50" s="68">
        <f t="shared" ca="1" si="304"/>
        <v>0</v>
      </c>
      <c r="AJ50" s="68">
        <f t="shared" ca="1" si="304"/>
        <v>0</v>
      </c>
      <c r="AK50" s="68">
        <f t="shared" ca="1" si="304"/>
        <v>0</v>
      </c>
      <c r="AL50" s="68">
        <f t="shared" ca="1" si="304"/>
        <v>0</v>
      </c>
      <c r="AM50" s="68">
        <f t="shared" ca="1" si="304"/>
        <v>0</v>
      </c>
      <c r="AN50" s="68">
        <f t="shared" ca="1" si="304"/>
        <v>0</v>
      </c>
      <c r="AO50" s="68">
        <f t="shared" ca="1" si="304"/>
        <v>0</v>
      </c>
      <c r="AP50" s="68">
        <f t="shared" ca="1" si="304"/>
        <v>0</v>
      </c>
      <c r="AQ50" s="68">
        <f t="shared" ca="1" si="304"/>
        <v>0</v>
      </c>
      <c r="AR50" s="68">
        <f t="shared" ca="1" si="304"/>
        <v>0</v>
      </c>
      <c r="AS50" s="68">
        <f t="shared" ca="1" si="304"/>
        <v>0</v>
      </c>
      <c r="AT50" s="68">
        <f t="shared" ca="1" si="304"/>
        <v>0</v>
      </c>
      <c r="AU50" s="68">
        <f t="shared" ca="1" si="304"/>
        <v>0</v>
      </c>
      <c r="AV50" s="68">
        <f t="shared" ca="1" si="304"/>
        <v>0</v>
      </c>
      <c r="AW50" s="68">
        <f t="shared" ca="1" si="304"/>
        <v>0</v>
      </c>
      <c r="AX50" s="68">
        <f t="shared" ca="1" si="304"/>
        <v>0</v>
      </c>
      <c r="AY50" s="68">
        <f t="shared" ca="1" si="304"/>
        <v>0</v>
      </c>
      <c r="AZ50" s="68">
        <f t="shared" ca="1" si="304"/>
        <v>0</v>
      </c>
      <c r="BA50" s="68">
        <f t="shared" ca="1" si="304"/>
        <v>0</v>
      </c>
      <c r="BB50" s="68">
        <f t="shared" ca="1" si="304"/>
        <v>0</v>
      </c>
      <c r="BC50" s="68">
        <f t="shared" ca="1" si="304"/>
        <v>0</v>
      </c>
      <c r="BD50" s="68">
        <f t="shared" ca="1" si="304"/>
        <v>0</v>
      </c>
      <c r="BE50" s="68">
        <f t="shared" ca="1" si="304"/>
        <v>0</v>
      </c>
      <c r="BF50" s="68">
        <f t="shared" ca="1" si="304"/>
        <v>0</v>
      </c>
      <c r="BG50" s="68">
        <f t="shared" ca="1" si="304"/>
        <v>0</v>
      </c>
      <c r="BH50" s="68">
        <f t="shared" ca="1" si="304"/>
        <v>0</v>
      </c>
      <c r="BI50" s="68">
        <f t="shared" ca="1" si="304"/>
        <v>0</v>
      </c>
      <c r="BJ50" s="68">
        <f t="shared" ca="1" si="304"/>
        <v>0</v>
      </c>
      <c r="BK50" s="68">
        <f t="shared" ca="1" si="304"/>
        <v>0</v>
      </c>
      <c r="BL50" s="68">
        <f t="shared" ca="1" si="304"/>
        <v>0</v>
      </c>
      <c r="BM50" s="68">
        <f t="shared" ca="1" si="304"/>
        <v>0</v>
      </c>
      <c r="BN50" s="68">
        <f t="shared" ca="1" si="304"/>
        <v>0</v>
      </c>
      <c r="BO50" s="68">
        <f t="shared" ca="1" si="304"/>
        <v>0</v>
      </c>
      <c r="BP50" s="68">
        <f t="shared" ca="1" si="304"/>
        <v>0</v>
      </c>
      <c r="BQ50" s="68">
        <f t="shared" ca="1" si="304"/>
        <v>0</v>
      </c>
      <c r="BR50" s="68">
        <f t="shared" ca="1" si="304"/>
        <v>0</v>
      </c>
      <c r="BS50" s="68">
        <f t="shared" ca="1" si="304"/>
        <v>0</v>
      </c>
      <c r="BT50" s="68">
        <f t="shared" ca="1" si="304"/>
        <v>0</v>
      </c>
      <c r="BU50" s="68">
        <f t="shared" ca="1" si="304"/>
        <v>0</v>
      </c>
      <c r="BV50" s="68">
        <f t="shared" ca="1" si="304"/>
        <v>0</v>
      </c>
      <c r="BW50" s="68">
        <f t="shared" ca="1" si="304"/>
        <v>0</v>
      </c>
      <c r="BX50" s="68">
        <f t="shared" ca="1" si="304"/>
        <v>0</v>
      </c>
      <c r="BY50" s="68">
        <f t="shared" ca="1" si="304"/>
        <v>0</v>
      </c>
      <c r="BZ50" s="68">
        <f t="shared" ca="1" si="304"/>
        <v>0</v>
      </c>
      <c r="CA50" s="68">
        <f t="shared" ca="1" si="304"/>
        <v>0</v>
      </c>
      <c r="CB50" s="68">
        <f t="shared" ca="1" si="304"/>
        <v>0</v>
      </c>
      <c r="CC50" s="68">
        <f t="shared" ca="1" si="304"/>
        <v>0</v>
      </c>
      <c r="CD50" s="68">
        <f t="shared" ca="1" si="304"/>
        <v>0</v>
      </c>
      <c r="CE50" s="68">
        <f t="shared" ca="1" si="304"/>
        <v>0</v>
      </c>
      <c r="CF50" s="68">
        <f t="shared" ca="1" si="304"/>
        <v>0</v>
      </c>
      <c r="CG50" s="68">
        <f t="shared" ca="1" si="304"/>
        <v>0</v>
      </c>
      <c r="CH50" s="68">
        <f t="shared" ref="CH50:ES50" ca="1" si="305">IF(CH3&gt;$J$5,"",CG50+CH48-CH49)</f>
        <v>0</v>
      </c>
      <c r="CI50" s="68">
        <f t="shared" ca="1" si="305"/>
        <v>0</v>
      </c>
      <c r="CJ50" s="68">
        <f t="shared" ca="1" si="305"/>
        <v>0</v>
      </c>
      <c r="CK50" s="68">
        <f t="shared" ca="1" si="305"/>
        <v>0</v>
      </c>
      <c r="CL50" s="68">
        <f t="shared" ca="1" si="305"/>
        <v>0</v>
      </c>
      <c r="CM50" s="68">
        <f t="shared" ca="1" si="305"/>
        <v>0</v>
      </c>
      <c r="CN50" s="68">
        <f t="shared" ca="1" si="305"/>
        <v>0</v>
      </c>
      <c r="CO50" s="68">
        <f t="shared" ca="1" si="305"/>
        <v>0</v>
      </c>
      <c r="CP50" s="68">
        <f t="shared" ca="1" si="305"/>
        <v>0</v>
      </c>
      <c r="CQ50" s="68">
        <f t="shared" ca="1" si="305"/>
        <v>0</v>
      </c>
      <c r="CR50" s="68">
        <f t="shared" ca="1" si="305"/>
        <v>0</v>
      </c>
      <c r="CS50" s="68">
        <f t="shared" ca="1" si="305"/>
        <v>0</v>
      </c>
      <c r="CT50" s="68">
        <f t="shared" ca="1" si="305"/>
        <v>0</v>
      </c>
      <c r="CU50" s="68">
        <f t="shared" ca="1" si="305"/>
        <v>0</v>
      </c>
      <c r="CV50" s="68">
        <f t="shared" ca="1" si="305"/>
        <v>0</v>
      </c>
      <c r="CW50" s="68">
        <f t="shared" ca="1" si="305"/>
        <v>0</v>
      </c>
      <c r="CX50" s="68">
        <f t="shared" ca="1" si="305"/>
        <v>0</v>
      </c>
      <c r="CY50" s="68">
        <f t="shared" ca="1" si="305"/>
        <v>0</v>
      </c>
      <c r="CZ50" s="68">
        <f t="shared" ca="1" si="305"/>
        <v>0</v>
      </c>
      <c r="DA50" s="68">
        <f t="shared" ca="1" si="305"/>
        <v>0</v>
      </c>
      <c r="DB50" s="68">
        <f t="shared" ca="1" si="305"/>
        <v>0</v>
      </c>
      <c r="DC50" s="68">
        <f t="shared" ca="1" si="305"/>
        <v>0</v>
      </c>
      <c r="DD50" s="68">
        <f t="shared" ca="1" si="305"/>
        <v>0</v>
      </c>
      <c r="DE50" s="68">
        <f t="shared" ca="1" si="305"/>
        <v>0</v>
      </c>
      <c r="DF50" s="68">
        <f t="shared" ca="1" si="305"/>
        <v>0</v>
      </c>
      <c r="DG50" s="68">
        <f t="shared" ca="1" si="305"/>
        <v>0</v>
      </c>
      <c r="DH50" s="68">
        <f t="shared" ca="1" si="305"/>
        <v>0</v>
      </c>
      <c r="DI50" s="68">
        <f t="shared" ca="1" si="305"/>
        <v>0</v>
      </c>
      <c r="DJ50" s="68">
        <f t="shared" ca="1" si="305"/>
        <v>0</v>
      </c>
      <c r="DK50" s="68">
        <f t="shared" ca="1" si="305"/>
        <v>0</v>
      </c>
      <c r="DL50" s="68">
        <f t="shared" ca="1" si="305"/>
        <v>0</v>
      </c>
      <c r="DM50" s="68">
        <f t="shared" ca="1" si="305"/>
        <v>0</v>
      </c>
      <c r="DN50" s="68">
        <f t="shared" ca="1" si="305"/>
        <v>0</v>
      </c>
      <c r="DO50" s="68">
        <f t="shared" ca="1" si="305"/>
        <v>0</v>
      </c>
      <c r="DP50" s="68">
        <f t="shared" ca="1" si="305"/>
        <v>0</v>
      </c>
      <c r="DQ50" s="68">
        <f t="shared" ca="1" si="305"/>
        <v>0</v>
      </c>
      <c r="DR50" s="68">
        <f t="shared" ca="1" si="305"/>
        <v>0</v>
      </c>
      <c r="DS50" s="68">
        <f t="shared" ca="1" si="305"/>
        <v>0</v>
      </c>
      <c r="DT50" s="68">
        <f t="shared" ca="1" si="305"/>
        <v>0</v>
      </c>
      <c r="DU50" s="68">
        <f t="shared" ca="1" si="305"/>
        <v>0</v>
      </c>
      <c r="DV50" s="68">
        <f t="shared" ca="1" si="305"/>
        <v>0</v>
      </c>
      <c r="DW50" s="68">
        <f t="shared" ca="1" si="305"/>
        <v>0</v>
      </c>
      <c r="DX50" s="68">
        <f t="shared" ca="1" si="305"/>
        <v>0</v>
      </c>
      <c r="DY50" s="68">
        <f t="shared" ca="1" si="305"/>
        <v>0</v>
      </c>
      <c r="DZ50" s="68">
        <f t="shared" ca="1" si="305"/>
        <v>0</v>
      </c>
      <c r="EA50" s="68">
        <f t="shared" ca="1" si="305"/>
        <v>0</v>
      </c>
      <c r="EB50" s="68">
        <f t="shared" ca="1" si="305"/>
        <v>0</v>
      </c>
      <c r="EC50" s="68">
        <f t="shared" ca="1" si="305"/>
        <v>0</v>
      </c>
      <c r="ED50" s="68">
        <f t="shared" ca="1" si="305"/>
        <v>0</v>
      </c>
      <c r="EE50" s="68">
        <f t="shared" ca="1" si="305"/>
        <v>0</v>
      </c>
      <c r="EF50" s="68">
        <f t="shared" ca="1" si="305"/>
        <v>0</v>
      </c>
      <c r="EG50" s="68">
        <f t="shared" ca="1" si="305"/>
        <v>0</v>
      </c>
      <c r="EH50" s="68">
        <f t="shared" ca="1" si="305"/>
        <v>0</v>
      </c>
      <c r="EI50" s="68">
        <f t="shared" ca="1" si="305"/>
        <v>0</v>
      </c>
      <c r="EJ50" s="68">
        <f t="shared" ca="1" si="305"/>
        <v>0</v>
      </c>
      <c r="EK50" s="68">
        <f t="shared" ca="1" si="305"/>
        <v>0</v>
      </c>
      <c r="EL50" s="68">
        <f t="shared" ca="1" si="305"/>
        <v>0</v>
      </c>
      <c r="EM50" s="68">
        <f t="shared" ca="1" si="305"/>
        <v>0</v>
      </c>
      <c r="EN50" s="68">
        <f t="shared" ca="1" si="305"/>
        <v>0</v>
      </c>
      <c r="EO50" s="68">
        <f t="shared" ca="1" si="305"/>
        <v>0</v>
      </c>
      <c r="EP50" s="68">
        <f t="shared" ca="1" si="305"/>
        <v>0</v>
      </c>
      <c r="EQ50" s="68">
        <f t="shared" ca="1" si="305"/>
        <v>0</v>
      </c>
      <c r="ER50" s="68">
        <f t="shared" ca="1" si="305"/>
        <v>0</v>
      </c>
      <c r="ES50" s="68">
        <f t="shared" ca="1" si="305"/>
        <v>0</v>
      </c>
      <c r="ET50" s="68">
        <f t="shared" ref="ET50:HE50" ca="1" si="306">IF(ET3&gt;$J$5,"",ES50+ET48-ET49)</f>
        <v>0</v>
      </c>
      <c r="EU50" s="68">
        <f t="shared" ca="1" si="306"/>
        <v>0</v>
      </c>
      <c r="EV50" s="68">
        <f t="shared" ca="1" si="306"/>
        <v>0</v>
      </c>
      <c r="EW50" s="68">
        <f t="shared" ca="1" si="306"/>
        <v>0</v>
      </c>
      <c r="EX50" s="68">
        <f t="shared" ca="1" si="306"/>
        <v>0</v>
      </c>
      <c r="EY50" s="68">
        <f t="shared" ca="1" si="306"/>
        <v>0</v>
      </c>
      <c r="EZ50" s="68">
        <f t="shared" ca="1" si="306"/>
        <v>0</v>
      </c>
      <c r="FA50" s="68">
        <f t="shared" ca="1" si="306"/>
        <v>0</v>
      </c>
      <c r="FB50" s="68">
        <f t="shared" ca="1" si="306"/>
        <v>0</v>
      </c>
      <c r="FC50" s="68">
        <f t="shared" ca="1" si="306"/>
        <v>0</v>
      </c>
      <c r="FD50" s="68">
        <f t="shared" ca="1" si="306"/>
        <v>0</v>
      </c>
      <c r="FE50" s="68">
        <f t="shared" ca="1" si="306"/>
        <v>0</v>
      </c>
      <c r="FF50" s="68">
        <f t="shared" ca="1" si="306"/>
        <v>0</v>
      </c>
      <c r="FG50" s="68">
        <f t="shared" ca="1" si="306"/>
        <v>0</v>
      </c>
      <c r="FH50" s="68">
        <f t="shared" ca="1" si="306"/>
        <v>0</v>
      </c>
      <c r="FI50" s="68">
        <f t="shared" ca="1" si="306"/>
        <v>0</v>
      </c>
      <c r="FJ50" s="68">
        <f t="shared" ca="1" si="306"/>
        <v>0</v>
      </c>
      <c r="FK50" s="68">
        <f t="shared" ca="1" si="306"/>
        <v>0</v>
      </c>
      <c r="FL50" s="68">
        <f t="shared" ca="1" si="306"/>
        <v>0</v>
      </c>
      <c r="FM50" s="68">
        <f t="shared" ca="1" si="306"/>
        <v>0</v>
      </c>
      <c r="FN50" s="68">
        <f t="shared" ca="1" si="306"/>
        <v>0</v>
      </c>
      <c r="FO50" s="68">
        <f t="shared" ca="1" si="306"/>
        <v>0</v>
      </c>
      <c r="FP50" s="68">
        <f t="shared" ca="1" si="306"/>
        <v>0</v>
      </c>
      <c r="FQ50" s="68">
        <f t="shared" ca="1" si="306"/>
        <v>0</v>
      </c>
      <c r="FR50" s="68">
        <f t="shared" ca="1" si="306"/>
        <v>0</v>
      </c>
      <c r="FS50" s="68">
        <f t="shared" ca="1" si="306"/>
        <v>0</v>
      </c>
      <c r="FT50" s="68">
        <f t="shared" ca="1" si="306"/>
        <v>0</v>
      </c>
      <c r="FU50" s="68">
        <f t="shared" ca="1" si="306"/>
        <v>0</v>
      </c>
      <c r="FV50" s="68">
        <f t="shared" ca="1" si="306"/>
        <v>0</v>
      </c>
      <c r="FW50" s="68">
        <f t="shared" ca="1" si="306"/>
        <v>0</v>
      </c>
      <c r="FX50" s="68">
        <f t="shared" ca="1" si="306"/>
        <v>0</v>
      </c>
      <c r="FY50" s="68">
        <f t="shared" ca="1" si="306"/>
        <v>0</v>
      </c>
      <c r="FZ50" s="68">
        <f t="shared" ca="1" si="306"/>
        <v>0</v>
      </c>
      <c r="GA50" s="68">
        <f t="shared" ca="1" si="306"/>
        <v>0</v>
      </c>
      <c r="GB50" s="68">
        <f t="shared" ca="1" si="306"/>
        <v>0</v>
      </c>
      <c r="GC50" s="68">
        <f t="shared" ca="1" si="306"/>
        <v>0</v>
      </c>
      <c r="GD50" s="68">
        <f t="shared" ca="1" si="306"/>
        <v>0</v>
      </c>
      <c r="GE50" s="68">
        <f t="shared" ca="1" si="306"/>
        <v>0</v>
      </c>
      <c r="GF50" s="68">
        <f t="shared" ca="1" si="306"/>
        <v>0</v>
      </c>
      <c r="GG50" s="68">
        <f t="shared" ca="1" si="306"/>
        <v>0</v>
      </c>
      <c r="GH50" s="68">
        <f t="shared" ca="1" si="306"/>
        <v>0</v>
      </c>
      <c r="GI50" s="68">
        <f t="shared" ca="1" si="306"/>
        <v>0</v>
      </c>
      <c r="GJ50" s="68">
        <f t="shared" ca="1" si="306"/>
        <v>0</v>
      </c>
      <c r="GK50" s="68">
        <f t="shared" ca="1" si="306"/>
        <v>0</v>
      </c>
      <c r="GL50" s="68">
        <f t="shared" ca="1" si="306"/>
        <v>0</v>
      </c>
      <c r="GM50" s="68">
        <f t="shared" ca="1" si="306"/>
        <v>0</v>
      </c>
      <c r="GN50" s="68">
        <f t="shared" ca="1" si="306"/>
        <v>0</v>
      </c>
      <c r="GO50" s="68">
        <f t="shared" ca="1" si="306"/>
        <v>0</v>
      </c>
      <c r="GP50" s="68">
        <f t="shared" ca="1" si="306"/>
        <v>0</v>
      </c>
      <c r="GQ50" s="68">
        <f t="shared" ca="1" si="306"/>
        <v>0</v>
      </c>
      <c r="GR50" s="68">
        <f t="shared" ca="1" si="306"/>
        <v>0</v>
      </c>
      <c r="GS50" s="68">
        <f t="shared" ca="1" si="306"/>
        <v>0</v>
      </c>
      <c r="GT50" s="68">
        <f t="shared" ca="1" si="306"/>
        <v>0</v>
      </c>
      <c r="GU50" s="68">
        <f t="shared" ca="1" si="306"/>
        <v>0</v>
      </c>
      <c r="GV50" s="68">
        <f t="shared" ca="1" si="306"/>
        <v>0</v>
      </c>
      <c r="GW50" s="68">
        <f t="shared" ca="1" si="306"/>
        <v>0</v>
      </c>
      <c r="GX50" s="68">
        <f t="shared" ca="1" si="306"/>
        <v>0</v>
      </c>
      <c r="GY50" s="68">
        <f t="shared" ca="1" si="306"/>
        <v>0</v>
      </c>
      <c r="GZ50" s="68">
        <f t="shared" ca="1" si="306"/>
        <v>0</v>
      </c>
      <c r="HA50" s="68">
        <f t="shared" ca="1" si="306"/>
        <v>0</v>
      </c>
      <c r="HB50" s="68">
        <f t="shared" ca="1" si="306"/>
        <v>0</v>
      </c>
      <c r="HC50" s="68">
        <f t="shared" ca="1" si="306"/>
        <v>0</v>
      </c>
      <c r="HD50" s="68" t="str">
        <f t="shared" ca="1" si="306"/>
        <v/>
      </c>
      <c r="HE50" s="68" t="str">
        <f t="shared" ca="1" si="306"/>
        <v/>
      </c>
      <c r="HF50" s="68" t="str">
        <f t="shared" ref="HF50:JQ50" ca="1" si="307">IF(HF3&gt;$J$5,"",HE50+HF48-HF49)</f>
        <v/>
      </c>
      <c r="HG50" s="68" t="str">
        <f t="shared" ca="1" si="307"/>
        <v/>
      </c>
      <c r="HH50" s="68" t="str">
        <f t="shared" ca="1" si="307"/>
        <v/>
      </c>
      <c r="HI50" s="68" t="str">
        <f t="shared" ca="1" si="307"/>
        <v/>
      </c>
      <c r="HJ50" s="68" t="str">
        <f t="shared" ca="1" si="307"/>
        <v/>
      </c>
      <c r="HK50" s="68" t="str">
        <f t="shared" ca="1" si="307"/>
        <v/>
      </c>
      <c r="HL50" s="68" t="str">
        <f t="shared" ca="1" si="307"/>
        <v/>
      </c>
      <c r="HM50" s="68" t="str">
        <f t="shared" ca="1" si="307"/>
        <v/>
      </c>
      <c r="HN50" s="68" t="str">
        <f t="shared" ca="1" si="307"/>
        <v/>
      </c>
      <c r="HO50" s="68" t="str">
        <f t="shared" ca="1" si="307"/>
        <v/>
      </c>
      <c r="HP50" s="68" t="str">
        <f t="shared" ca="1" si="307"/>
        <v/>
      </c>
      <c r="HQ50" s="68" t="str">
        <f t="shared" ca="1" si="307"/>
        <v/>
      </c>
      <c r="HR50" s="68" t="str">
        <f t="shared" ca="1" si="307"/>
        <v/>
      </c>
      <c r="HS50" s="68" t="str">
        <f t="shared" ca="1" si="307"/>
        <v/>
      </c>
      <c r="HT50" s="68" t="str">
        <f t="shared" ca="1" si="307"/>
        <v/>
      </c>
      <c r="HU50" s="68" t="str">
        <f t="shared" ca="1" si="307"/>
        <v/>
      </c>
      <c r="HV50" s="68" t="str">
        <f t="shared" ca="1" si="307"/>
        <v/>
      </c>
      <c r="HW50" s="68" t="str">
        <f t="shared" ca="1" si="307"/>
        <v/>
      </c>
      <c r="HX50" s="68" t="str">
        <f t="shared" ca="1" si="307"/>
        <v/>
      </c>
      <c r="HY50" s="68" t="str">
        <f t="shared" ca="1" si="307"/>
        <v/>
      </c>
      <c r="HZ50" s="68" t="str">
        <f t="shared" ca="1" si="307"/>
        <v/>
      </c>
      <c r="IA50" s="68" t="str">
        <f t="shared" ca="1" si="307"/>
        <v/>
      </c>
      <c r="IB50" s="68" t="str">
        <f t="shared" ca="1" si="307"/>
        <v/>
      </c>
      <c r="IC50" s="68" t="str">
        <f t="shared" ca="1" si="307"/>
        <v/>
      </c>
      <c r="ID50" s="68" t="str">
        <f t="shared" ca="1" si="307"/>
        <v/>
      </c>
      <c r="IE50" s="68" t="str">
        <f t="shared" ca="1" si="307"/>
        <v/>
      </c>
      <c r="IF50" s="68" t="str">
        <f t="shared" ca="1" si="307"/>
        <v/>
      </c>
      <c r="IG50" s="68" t="str">
        <f t="shared" ca="1" si="307"/>
        <v/>
      </c>
      <c r="IH50" s="68" t="str">
        <f t="shared" ca="1" si="307"/>
        <v/>
      </c>
      <c r="II50" s="68" t="str">
        <f t="shared" ca="1" si="307"/>
        <v/>
      </c>
      <c r="IJ50" s="68" t="str">
        <f t="shared" ca="1" si="307"/>
        <v/>
      </c>
      <c r="IK50" s="68" t="str">
        <f t="shared" ca="1" si="307"/>
        <v/>
      </c>
      <c r="IL50" s="68" t="str">
        <f t="shared" ca="1" si="307"/>
        <v/>
      </c>
      <c r="IM50" s="68" t="str">
        <f t="shared" ca="1" si="307"/>
        <v/>
      </c>
      <c r="IN50" s="68" t="str">
        <f t="shared" ca="1" si="307"/>
        <v/>
      </c>
      <c r="IO50" s="68" t="str">
        <f t="shared" ca="1" si="307"/>
        <v/>
      </c>
      <c r="IP50" s="68" t="str">
        <f t="shared" ca="1" si="307"/>
        <v/>
      </c>
      <c r="IQ50" s="68" t="str">
        <f t="shared" ca="1" si="307"/>
        <v/>
      </c>
      <c r="IR50" s="68" t="str">
        <f t="shared" ca="1" si="307"/>
        <v/>
      </c>
      <c r="IS50" s="68" t="str">
        <f t="shared" ca="1" si="307"/>
        <v/>
      </c>
      <c r="IT50" s="68" t="str">
        <f t="shared" ca="1" si="307"/>
        <v/>
      </c>
      <c r="IU50" s="68" t="str">
        <f t="shared" ca="1" si="307"/>
        <v/>
      </c>
      <c r="IV50" s="68" t="str">
        <f t="shared" ca="1" si="307"/>
        <v/>
      </c>
      <c r="IW50" s="68" t="str">
        <f t="shared" ca="1" si="307"/>
        <v/>
      </c>
      <c r="IX50" s="68" t="str">
        <f t="shared" ca="1" si="307"/>
        <v/>
      </c>
      <c r="IY50" s="68" t="str">
        <f t="shared" ca="1" si="307"/>
        <v/>
      </c>
      <c r="IZ50" s="68" t="str">
        <f t="shared" ca="1" si="307"/>
        <v/>
      </c>
      <c r="JA50" s="68" t="str">
        <f t="shared" ca="1" si="307"/>
        <v/>
      </c>
      <c r="JB50" s="68" t="str">
        <f t="shared" ca="1" si="307"/>
        <v/>
      </c>
      <c r="JC50" s="68" t="str">
        <f t="shared" ca="1" si="307"/>
        <v/>
      </c>
      <c r="JD50" s="68" t="str">
        <f t="shared" ca="1" si="307"/>
        <v/>
      </c>
      <c r="JE50" s="68" t="str">
        <f t="shared" ca="1" si="307"/>
        <v/>
      </c>
      <c r="JF50" s="68" t="str">
        <f t="shared" ca="1" si="307"/>
        <v/>
      </c>
      <c r="JG50" s="68" t="str">
        <f t="shared" ca="1" si="307"/>
        <v/>
      </c>
      <c r="JH50" s="68" t="str">
        <f t="shared" ca="1" si="307"/>
        <v/>
      </c>
      <c r="JI50" s="68" t="str">
        <f t="shared" ca="1" si="307"/>
        <v/>
      </c>
      <c r="JJ50" s="68" t="str">
        <f t="shared" ca="1" si="307"/>
        <v/>
      </c>
      <c r="JK50" s="68" t="str">
        <f t="shared" ca="1" si="307"/>
        <v/>
      </c>
      <c r="JL50" s="68" t="str">
        <f t="shared" ca="1" si="307"/>
        <v/>
      </c>
      <c r="JM50" s="68" t="str">
        <f t="shared" ca="1" si="307"/>
        <v/>
      </c>
      <c r="JN50" s="68" t="str">
        <f t="shared" ca="1" si="307"/>
        <v/>
      </c>
      <c r="JO50" s="68" t="str">
        <f t="shared" ca="1" si="307"/>
        <v/>
      </c>
      <c r="JP50" s="68" t="str">
        <f t="shared" ca="1" si="307"/>
        <v/>
      </c>
      <c r="JQ50" s="68" t="str">
        <f t="shared" ca="1" si="307"/>
        <v/>
      </c>
      <c r="JR50" s="68" t="str">
        <f t="shared" ref="JR50:JZ50" ca="1" si="308">IF(JR3&gt;$J$5,"",JQ50+JR48-JR49)</f>
        <v/>
      </c>
      <c r="JS50" s="68" t="str">
        <f t="shared" ca="1" si="308"/>
        <v/>
      </c>
      <c r="JT50" s="68" t="str">
        <f t="shared" ca="1" si="308"/>
        <v/>
      </c>
      <c r="JU50" s="68" t="str">
        <f t="shared" ca="1" si="308"/>
        <v/>
      </c>
      <c r="JV50" s="68" t="str">
        <f t="shared" ca="1" si="308"/>
        <v/>
      </c>
      <c r="JW50" s="68" t="str">
        <f t="shared" ca="1" si="308"/>
        <v/>
      </c>
      <c r="JX50" s="68" t="str">
        <f t="shared" ca="1" si="308"/>
        <v/>
      </c>
      <c r="JY50" s="68" t="str">
        <f t="shared" ca="1" si="308"/>
        <v/>
      </c>
      <c r="JZ50" s="100" t="str">
        <f t="shared" ca="1" si="308"/>
        <v/>
      </c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</row>
    <row r="51" spans="1:669" x14ac:dyDescent="0.25">
      <c r="A51" s="138">
        <f>B48</f>
        <v>0</v>
      </c>
      <c r="B51" s="232"/>
      <c r="C51" s="81" t="str">
        <f t="shared" si="302"/>
        <v>MELITTA</v>
      </c>
      <c r="D51" s="229"/>
      <c r="E51" s="173" t="s">
        <v>40</v>
      </c>
      <c r="F51" s="182">
        <f ca="1">(H52*H48)*SQRT(H49/H50)</f>
        <v>0</v>
      </c>
      <c r="G51" s="176" t="s">
        <v>45</v>
      </c>
      <c r="H51" s="171">
        <v>0.95</v>
      </c>
      <c r="I51" s="242" t="s">
        <v>18</v>
      </c>
      <c r="J51" s="83" t="str">
        <f t="shared" si="303"/>
        <v>CORTE</v>
      </c>
      <c r="K51" s="281"/>
      <c r="L51" s="60"/>
      <c r="M51" s="61"/>
      <c r="N51" s="61"/>
      <c r="O51" s="61"/>
      <c r="P51" s="61"/>
      <c r="Q51" s="61"/>
      <c r="R51" s="61"/>
      <c r="S51" s="61"/>
      <c r="T51" s="61"/>
      <c r="U51" s="61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/>
      <c r="DT51" s="70"/>
      <c r="DU51" s="70"/>
      <c r="DV51" s="70"/>
      <c r="DW51" s="70"/>
      <c r="DX51" s="70"/>
      <c r="DY51" s="70"/>
      <c r="DZ51" s="70"/>
      <c r="EA51" s="70"/>
      <c r="EB51" s="70"/>
      <c r="EC51" s="70"/>
      <c r="ED51" s="70"/>
      <c r="EE51" s="70"/>
      <c r="EF51" s="70"/>
      <c r="EG51" s="70"/>
      <c r="EH51" s="70"/>
      <c r="EI51" s="70"/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/>
      <c r="EU51" s="70"/>
      <c r="EV51" s="70"/>
      <c r="EW51" s="70"/>
      <c r="EX51" s="70"/>
      <c r="EY51" s="70"/>
      <c r="EZ51" s="70"/>
      <c r="FA51" s="70"/>
      <c r="FB51" s="70"/>
      <c r="FC51" s="70"/>
      <c r="FD51" s="70"/>
      <c r="FE51" s="70"/>
      <c r="FF51" s="70"/>
      <c r="FG51" s="70"/>
      <c r="FH51" s="70"/>
      <c r="FI51" s="70"/>
      <c r="FJ51" s="70"/>
      <c r="FK51" s="70"/>
      <c r="FL51" s="70"/>
      <c r="FM51" s="70"/>
      <c r="FN51" s="70"/>
      <c r="FO51" s="70"/>
      <c r="FP51" s="70"/>
      <c r="FQ51" s="70"/>
      <c r="FR51" s="70"/>
      <c r="FS51" s="70"/>
      <c r="FT51" s="70"/>
      <c r="FU51" s="70"/>
      <c r="FV51" s="70"/>
      <c r="FW51" s="70"/>
      <c r="FX51" s="70"/>
      <c r="FY51" s="70"/>
      <c r="FZ51" s="70"/>
      <c r="GA51" s="70"/>
      <c r="GB51" s="70"/>
      <c r="GC51" s="70"/>
      <c r="GD51" s="70"/>
      <c r="GE51" s="70"/>
      <c r="GF51" s="70"/>
      <c r="GG51" s="70"/>
      <c r="GH51" s="70"/>
      <c r="GI51" s="70"/>
      <c r="GJ51" s="70"/>
      <c r="GK51" s="70"/>
      <c r="GL51" s="70"/>
      <c r="GM51" s="70"/>
      <c r="GN51" s="70"/>
      <c r="GO51" s="70"/>
      <c r="GP51" s="70"/>
      <c r="GQ51" s="70"/>
      <c r="GR51" s="70"/>
      <c r="GS51" s="70"/>
      <c r="GT51" s="70"/>
      <c r="GU51" s="70"/>
      <c r="GV51" s="70"/>
      <c r="GW51" s="70"/>
      <c r="GX51" s="70"/>
      <c r="GY51" s="70"/>
      <c r="GZ51" s="70"/>
      <c r="HA51" s="70"/>
      <c r="HB51" s="70"/>
      <c r="HC51" s="70"/>
      <c r="HD51" s="70"/>
      <c r="HE51" s="70"/>
      <c r="HF51" s="70"/>
      <c r="HG51" s="70"/>
      <c r="HH51" s="70"/>
      <c r="HI51" s="70"/>
      <c r="HJ51" s="70"/>
      <c r="HK51" s="70"/>
      <c r="HL51" s="70"/>
      <c r="HM51" s="70"/>
      <c r="HN51" s="70"/>
      <c r="HO51" s="70"/>
      <c r="HP51" s="70"/>
      <c r="HQ51" s="70"/>
      <c r="HR51" s="70"/>
      <c r="HS51" s="70"/>
      <c r="HT51" s="70"/>
      <c r="HU51" s="70"/>
      <c r="HV51" s="70"/>
      <c r="HW51" s="70"/>
      <c r="HX51" s="70"/>
      <c r="HY51" s="70"/>
      <c r="HZ51" s="70"/>
      <c r="IA51" s="70"/>
      <c r="IB51" s="70"/>
      <c r="IC51" s="70"/>
      <c r="ID51" s="70"/>
      <c r="IE51" s="70"/>
      <c r="IF51" s="70"/>
      <c r="IG51" s="70"/>
      <c r="IH51" s="70"/>
      <c r="II51" s="70"/>
      <c r="IJ51" s="70"/>
      <c r="IK51" s="70"/>
      <c r="IL51" s="70"/>
      <c r="IM51" s="70"/>
      <c r="IN51" s="70"/>
      <c r="IO51" s="70"/>
      <c r="IP51" s="70"/>
      <c r="IQ51" s="70"/>
      <c r="IR51" s="70"/>
      <c r="IS51" s="70"/>
      <c r="IT51" s="70"/>
      <c r="IU51" s="70"/>
      <c r="IV51" s="70"/>
      <c r="IW51" s="70"/>
      <c r="IX51" s="70"/>
      <c r="IY51" s="70"/>
      <c r="IZ51" s="70"/>
      <c r="JA51" s="70"/>
      <c r="JB51" s="70"/>
      <c r="JC51" s="70"/>
      <c r="JD51" s="70"/>
      <c r="JE51" s="70"/>
      <c r="JF51" s="70"/>
      <c r="JG51" s="70"/>
      <c r="JH51" s="70"/>
      <c r="JI51" s="70"/>
      <c r="JJ51" s="70"/>
      <c r="JK51" s="70"/>
      <c r="JL51" s="70"/>
      <c r="JM51" s="70"/>
      <c r="JN51" s="70"/>
      <c r="JO51" s="70"/>
      <c r="JP51" s="70"/>
      <c r="JQ51" s="70"/>
      <c r="JR51" s="70"/>
      <c r="JS51" s="70"/>
      <c r="JT51" s="70"/>
      <c r="JU51" s="70"/>
      <c r="JV51" s="70"/>
      <c r="JW51" s="70"/>
      <c r="JX51" s="70"/>
      <c r="JY51" s="70"/>
      <c r="JZ51" s="99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</row>
    <row r="52" spans="1:669" ht="15.75" thickBot="1" x14ac:dyDescent="0.3">
      <c r="A52" s="139">
        <f>B48</f>
        <v>0</v>
      </c>
      <c r="B52" s="233"/>
      <c r="C52" s="158" t="str">
        <f t="shared" si="302"/>
        <v>MELITTA</v>
      </c>
      <c r="D52" s="230"/>
      <c r="E52" s="177" t="s">
        <v>46</v>
      </c>
      <c r="F52" s="183"/>
      <c r="G52" s="178" t="s">
        <v>43</v>
      </c>
      <c r="H52" s="179">
        <v>1.645</v>
      </c>
      <c r="I52" s="248" t="s">
        <v>19</v>
      </c>
      <c r="J52" s="90" t="str">
        <f t="shared" si="303"/>
        <v>CORTE</v>
      </c>
      <c r="K52" s="282"/>
      <c r="L52" s="62"/>
      <c r="M52" s="63"/>
      <c r="N52" s="63"/>
      <c r="O52" s="63"/>
      <c r="P52" s="63"/>
      <c r="Q52" s="63"/>
      <c r="R52" s="63"/>
      <c r="S52" s="63"/>
      <c r="T52" s="63"/>
      <c r="U52" s="63"/>
      <c r="V52" s="91">
        <f t="shared" ref="V52:CG52" ca="1" si="309">IF(V3&gt;$J$5,"",U52+V49-V51)</f>
        <v>0</v>
      </c>
      <c r="W52" s="91">
        <f t="shared" ca="1" si="309"/>
        <v>0</v>
      </c>
      <c r="X52" s="91">
        <f t="shared" ca="1" si="309"/>
        <v>0</v>
      </c>
      <c r="Y52" s="91">
        <f t="shared" ca="1" si="309"/>
        <v>0</v>
      </c>
      <c r="Z52" s="91">
        <f t="shared" ca="1" si="309"/>
        <v>0</v>
      </c>
      <c r="AA52" s="91">
        <f t="shared" ca="1" si="309"/>
        <v>0</v>
      </c>
      <c r="AB52" s="91">
        <f t="shared" ca="1" si="309"/>
        <v>0</v>
      </c>
      <c r="AC52" s="91">
        <f t="shared" ca="1" si="309"/>
        <v>0</v>
      </c>
      <c r="AD52" s="91">
        <f t="shared" ca="1" si="309"/>
        <v>0</v>
      </c>
      <c r="AE52" s="91">
        <f t="shared" ca="1" si="309"/>
        <v>0</v>
      </c>
      <c r="AF52" s="91">
        <f t="shared" ca="1" si="309"/>
        <v>0</v>
      </c>
      <c r="AG52" s="91">
        <f t="shared" ca="1" si="309"/>
        <v>0</v>
      </c>
      <c r="AH52" s="91">
        <f t="shared" ca="1" si="309"/>
        <v>0</v>
      </c>
      <c r="AI52" s="91">
        <f t="shared" ca="1" si="309"/>
        <v>0</v>
      </c>
      <c r="AJ52" s="91">
        <f t="shared" ca="1" si="309"/>
        <v>0</v>
      </c>
      <c r="AK52" s="91">
        <f t="shared" ca="1" si="309"/>
        <v>0</v>
      </c>
      <c r="AL52" s="91">
        <f t="shared" ca="1" si="309"/>
        <v>0</v>
      </c>
      <c r="AM52" s="91">
        <f t="shared" ca="1" si="309"/>
        <v>0</v>
      </c>
      <c r="AN52" s="91">
        <f t="shared" ca="1" si="309"/>
        <v>0</v>
      </c>
      <c r="AO52" s="91">
        <f t="shared" ca="1" si="309"/>
        <v>0</v>
      </c>
      <c r="AP52" s="91">
        <f t="shared" ca="1" si="309"/>
        <v>0</v>
      </c>
      <c r="AQ52" s="91">
        <f t="shared" ca="1" si="309"/>
        <v>0</v>
      </c>
      <c r="AR52" s="91">
        <f t="shared" ca="1" si="309"/>
        <v>0</v>
      </c>
      <c r="AS52" s="91">
        <f t="shared" ca="1" si="309"/>
        <v>0</v>
      </c>
      <c r="AT52" s="91">
        <f t="shared" ca="1" si="309"/>
        <v>0</v>
      </c>
      <c r="AU52" s="91">
        <f t="shared" ca="1" si="309"/>
        <v>0</v>
      </c>
      <c r="AV52" s="91">
        <f t="shared" ca="1" si="309"/>
        <v>0</v>
      </c>
      <c r="AW52" s="91">
        <f t="shared" ca="1" si="309"/>
        <v>0</v>
      </c>
      <c r="AX52" s="91">
        <f t="shared" ca="1" si="309"/>
        <v>0</v>
      </c>
      <c r="AY52" s="91">
        <f t="shared" ca="1" si="309"/>
        <v>0</v>
      </c>
      <c r="AZ52" s="91">
        <f t="shared" ca="1" si="309"/>
        <v>0</v>
      </c>
      <c r="BA52" s="91">
        <f t="shared" ca="1" si="309"/>
        <v>0</v>
      </c>
      <c r="BB52" s="91">
        <f t="shared" ca="1" si="309"/>
        <v>0</v>
      </c>
      <c r="BC52" s="91">
        <f t="shared" ca="1" si="309"/>
        <v>0</v>
      </c>
      <c r="BD52" s="91">
        <f t="shared" ca="1" si="309"/>
        <v>0</v>
      </c>
      <c r="BE52" s="91">
        <f t="shared" ca="1" si="309"/>
        <v>0</v>
      </c>
      <c r="BF52" s="91">
        <f t="shared" ca="1" si="309"/>
        <v>0</v>
      </c>
      <c r="BG52" s="91">
        <f t="shared" ca="1" si="309"/>
        <v>0</v>
      </c>
      <c r="BH52" s="91">
        <f t="shared" ca="1" si="309"/>
        <v>0</v>
      </c>
      <c r="BI52" s="91">
        <f t="shared" ca="1" si="309"/>
        <v>0</v>
      </c>
      <c r="BJ52" s="91">
        <f t="shared" ca="1" si="309"/>
        <v>0</v>
      </c>
      <c r="BK52" s="91">
        <f t="shared" ca="1" si="309"/>
        <v>0</v>
      </c>
      <c r="BL52" s="91">
        <f t="shared" ca="1" si="309"/>
        <v>0</v>
      </c>
      <c r="BM52" s="91">
        <f t="shared" ca="1" si="309"/>
        <v>0</v>
      </c>
      <c r="BN52" s="91">
        <f t="shared" ca="1" si="309"/>
        <v>0</v>
      </c>
      <c r="BO52" s="91">
        <f t="shared" ca="1" si="309"/>
        <v>0</v>
      </c>
      <c r="BP52" s="91">
        <f t="shared" ca="1" si="309"/>
        <v>0</v>
      </c>
      <c r="BQ52" s="91">
        <f t="shared" ca="1" si="309"/>
        <v>0</v>
      </c>
      <c r="BR52" s="91">
        <f t="shared" ca="1" si="309"/>
        <v>0</v>
      </c>
      <c r="BS52" s="91">
        <f t="shared" ca="1" si="309"/>
        <v>0</v>
      </c>
      <c r="BT52" s="91">
        <f t="shared" ca="1" si="309"/>
        <v>0</v>
      </c>
      <c r="BU52" s="91">
        <f t="shared" ca="1" si="309"/>
        <v>0</v>
      </c>
      <c r="BV52" s="91">
        <f t="shared" ca="1" si="309"/>
        <v>0</v>
      </c>
      <c r="BW52" s="91">
        <f t="shared" ca="1" si="309"/>
        <v>0</v>
      </c>
      <c r="BX52" s="91">
        <f t="shared" ca="1" si="309"/>
        <v>0</v>
      </c>
      <c r="BY52" s="91">
        <f t="shared" ca="1" si="309"/>
        <v>0</v>
      </c>
      <c r="BZ52" s="91">
        <f t="shared" ca="1" si="309"/>
        <v>0</v>
      </c>
      <c r="CA52" s="91">
        <f t="shared" ca="1" si="309"/>
        <v>0</v>
      </c>
      <c r="CB52" s="91">
        <f t="shared" ca="1" si="309"/>
        <v>0</v>
      </c>
      <c r="CC52" s="91">
        <f t="shared" ca="1" si="309"/>
        <v>0</v>
      </c>
      <c r="CD52" s="91">
        <f t="shared" ca="1" si="309"/>
        <v>0</v>
      </c>
      <c r="CE52" s="91">
        <f t="shared" ca="1" si="309"/>
        <v>0</v>
      </c>
      <c r="CF52" s="91">
        <f t="shared" ca="1" si="309"/>
        <v>0</v>
      </c>
      <c r="CG52" s="91">
        <f t="shared" ca="1" si="309"/>
        <v>0</v>
      </c>
      <c r="CH52" s="91">
        <f t="shared" ref="CH52:ES52" ca="1" si="310">IF(CH3&gt;$J$5,"",CG52+CH49-CH51)</f>
        <v>0</v>
      </c>
      <c r="CI52" s="91">
        <f t="shared" ca="1" si="310"/>
        <v>0</v>
      </c>
      <c r="CJ52" s="91">
        <f t="shared" ca="1" si="310"/>
        <v>0</v>
      </c>
      <c r="CK52" s="91">
        <f t="shared" ca="1" si="310"/>
        <v>0</v>
      </c>
      <c r="CL52" s="91">
        <f t="shared" ca="1" si="310"/>
        <v>0</v>
      </c>
      <c r="CM52" s="91">
        <f t="shared" ca="1" si="310"/>
        <v>0</v>
      </c>
      <c r="CN52" s="91">
        <f t="shared" ca="1" si="310"/>
        <v>0</v>
      </c>
      <c r="CO52" s="91">
        <f t="shared" ca="1" si="310"/>
        <v>0</v>
      </c>
      <c r="CP52" s="91">
        <f t="shared" ca="1" si="310"/>
        <v>0</v>
      </c>
      <c r="CQ52" s="91">
        <f t="shared" ca="1" si="310"/>
        <v>0</v>
      </c>
      <c r="CR52" s="91">
        <f t="shared" ca="1" si="310"/>
        <v>0</v>
      </c>
      <c r="CS52" s="91">
        <f t="shared" ca="1" si="310"/>
        <v>0</v>
      </c>
      <c r="CT52" s="91">
        <f t="shared" ca="1" si="310"/>
        <v>0</v>
      </c>
      <c r="CU52" s="91">
        <f t="shared" ca="1" si="310"/>
        <v>0</v>
      </c>
      <c r="CV52" s="91">
        <f t="shared" ca="1" si="310"/>
        <v>0</v>
      </c>
      <c r="CW52" s="91">
        <f t="shared" ca="1" si="310"/>
        <v>0</v>
      </c>
      <c r="CX52" s="91">
        <f t="shared" ca="1" si="310"/>
        <v>0</v>
      </c>
      <c r="CY52" s="91">
        <f t="shared" ca="1" si="310"/>
        <v>0</v>
      </c>
      <c r="CZ52" s="91">
        <f t="shared" ca="1" si="310"/>
        <v>0</v>
      </c>
      <c r="DA52" s="91">
        <f t="shared" ca="1" si="310"/>
        <v>0</v>
      </c>
      <c r="DB52" s="91">
        <f t="shared" ca="1" si="310"/>
        <v>0</v>
      </c>
      <c r="DC52" s="91">
        <f t="shared" ca="1" si="310"/>
        <v>0</v>
      </c>
      <c r="DD52" s="91">
        <f t="shared" ca="1" si="310"/>
        <v>0</v>
      </c>
      <c r="DE52" s="91">
        <f t="shared" ca="1" si="310"/>
        <v>0</v>
      </c>
      <c r="DF52" s="91">
        <f t="shared" ca="1" si="310"/>
        <v>0</v>
      </c>
      <c r="DG52" s="91">
        <f t="shared" ca="1" si="310"/>
        <v>0</v>
      </c>
      <c r="DH52" s="91">
        <f t="shared" ca="1" si="310"/>
        <v>0</v>
      </c>
      <c r="DI52" s="91">
        <f t="shared" ca="1" si="310"/>
        <v>0</v>
      </c>
      <c r="DJ52" s="91">
        <f t="shared" ca="1" si="310"/>
        <v>0</v>
      </c>
      <c r="DK52" s="91">
        <f t="shared" ca="1" si="310"/>
        <v>0</v>
      </c>
      <c r="DL52" s="91">
        <f t="shared" ca="1" si="310"/>
        <v>0</v>
      </c>
      <c r="DM52" s="91">
        <f t="shared" ca="1" si="310"/>
        <v>0</v>
      </c>
      <c r="DN52" s="91">
        <f t="shared" ca="1" si="310"/>
        <v>0</v>
      </c>
      <c r="DO52" s="91">
        <f t="shared" ca="1" si="310"/>
        <v>0</v>
      </c>
      <c r="DP52" s="91">
        <f t="shared" ca="1" si="310"/>
        <v>0</v>
      </c>
      <c r="DQ52" s="91">
        <f t="shared" ca="1" si="310"/>
        <v>0</v>
      </c>
      <c r="DR52" s="91">
        <f t="shared" ca="1" si="310"/>
        <v>0</v>
      </c>
      <c r="DS52" s="91">
        <f t="shared" ca="1" si="310"/>
        <v>0</v>
      </c>
      <c r="DT52" s="91">
        <f t="shared" ca="1" si="310"/>
        <v>0</v>
      </c>
      <c r="DU52" s="91">
        <f t="shared" ca="1" si="310"/>
        <v>0</v>
      </c>
      <c r="DV52" s="91">
        <f t="shared" ca="1" si="310"/>
        <v>0</v>
      </c>
      <c r="DW52" s="91">
        <f t="shared" ca="1" si="310"/>
        <v>0</v>
      </c>
      <c r="DX52" s="91">
        <f t="shared" ca="1" si="310"/>
        <v>0</v>
      </c>
      <c r="DY52" s="91">
        <f t="shared" ca="1" si="310"/>
        <v>0</v>
      </c>
      <c r="DZ52" s="91">
        <f t="shared" ca="1" si="310"/>
        <v>0</v>
      </c>
      <c r="EA52" s="91">
        <f t="shared" ca="1" si="310"/>
        <v>0</v>
      </c>
      <c r="EB52" s="91">
        <f t="shared" ca="1" si="310"/>
        <v>0</v>
      </c>
      <c r="EC52" s="91">
        <f t="shared" ca="1" si="310"/>
        <v>0</v>
      </c>
      <c r="ED52" s="91">
        <f t="shared" ca="1" si="310"/>
        <v>0</v>
      </c>
      <c r="EE52" s="91">
        <f t="shared" ca="1" si="310"/>
        <v>0</v>
      </c>
      <c r="EF52" s="91">
        <f t="shared" ca="1" si="310"/>
        <v>0</v>
      </c>
      <c r="EG52" s="91">
        <f t="shared" ca="1" si="310"/>
        <v>0</v>
      </c>
      <c r="EH52" s="91">
        <f t="shared" ca="1" si="310"/>
        <v>0</v>
      </c>
      <c r="EI52" s="91">
        <f t="shared" ca="1" si="310"/>
        <v>0</v>
      </c>
      <c r="EJ52" s="91">
        <f t="shared" ca="1" si="310"/>
        <v>0</v>
      </c>
      <c r="EK52" s="91">
        <f t="shared" ca="1" si="310"/>
        <v>0</v>
      </c>
      <c r="EL52" s="91">
        <f t="shared" ca="1" si="310"/>
        <v>0</v>
      </c>
      <c r="EM52" s="91">
        <f t="shared" ca="1" si="310"/>
        <v>0</v>
      </c>
      <c r="EN52" s="91">
        <f t="shared" ca="1" si="310"/>
        <v>0</v>
      </c>
      <c r="EO52" s="91">
        <f t="shared" ca="1" si="310"/>
        <v>0</v>
      </c>
      <c r="EP52" s="91">
        <f t="shared" ca="1" si="310"/>
        <v>0</v>
      </c>
      <c r="EQ52" s="91">
        <f t="shared" ca="1" si="310"/>
        <v>0</v>
      </c>
      <c r="ER52" s="91">
        <f t="shared" ca="1" si="310"/>
        <v>0</v>
      </c>
      <c r="ES52" s="91">
        <f t="shared" ca="1" si="310"/>
        <v>0</v>
      </c>
      <c r="ET52" s="91">
        <f t="shared" ref="ET52:HE52" ca="1" si="311">IF(ET3&gt;$J$5,"",ES52+ET49-ET51)</f>
        <v>0</v>
      </c>
      <c r="EU52" s="91">
        <f t="shared" ca="1" si="311"/>
        <v>0</v>
      </c>
      <c r="EV52" s="91">
        <f t="shared" ca="1" si="311"/>
        <v>0</v>
      </c>
      <c r="EW52" s="91">
        <f t="shared" ca="1" si="311"/>
        <v>0</v>
      </c>
      <c r="EX52" s="91">
        <f t="shared" ca="1" si="311"/>
        <v>0</v>
      </c>
      <c r="EY52" s="91">
        <f t="shared" ca="1" si="311"/>
        <v>0</v>
      </c>
      <c r="EZ52" s="91">
        <f t="shared" ca="1" si="311"/>
        <v>0</v>
      </c>
      <c r="FA52" s="91">
        <f t="shared" ca="1" si="311"/>
        <v>0</v>
      </c>
      <c r="FB52" s="91">
        <f t="shared" ca="1" si="311"/>
        <v>0</v>
      </c>
      <c r="FC52" s="91">
        <f t="shared" ca="1" si="311"/>
        <v>0</v>
      </c>
      <c r="FD52" s="91">
        <f t="shared" ca="1" si="311"/>
        <v>0</v>
      </c>
      <c r="FE52" s="91">
        <f t="shared" ca="1" si="311"/>
        <v>0</v>
      </c>
      <c r="FF52" s="91">
        <f t="shared" ca="1" si="311"/>
        <v>0</v>
      </c>
      <c r="FG52" s="91">
        <f t="shared" ca="1" si="311"/>
        <v>0</v>
      </c>
      <c r="FH52" s="91">
        <f t="shared" ca="1" si="311"/>
        <v>0</v>
      </c>
      <c r="FI52" s="91">
        <f t="shared" ca="1" si="311"/>
        <v>0</v>
      </c>
      <c r="FJ52" s="91">
        <f t="shared" ca="1" si="311"/>
        <v>0</v>
      </c>
      <c r="FK52" s="91">
        <f t="shared" ca="1" si="311"/>
        <v>0</v>
      </c>
      <c r="FL52" s="91">
        <f t="shared" ca="1" si="311"/>
        <v>0</v>
      </c>
      <c r="FM52" s="91">
        <f t="shared" ca="1" si="311"/>
        <v>0</v>
      </c>
      <c r="FN52" s="91">
        <f t="shared" ca="1" si="311"/>
        <v>0</v>
      </c>
      <c r="FO52" s="91">
        <f t="shared" ca="1" si="311"/>
        <v>0</v>
      </c>
      <c r="FP52" s="91">
        <f t="shared" ca="1" si="311"/>
        <v>0</v>
      </c>
      <c r="FQ52" s="91">
        <f t="shared" ca="1" si="311"/>
        <v>0</v>
      </c>
      <c r="FR52" s="91">
        <f t="shared" ca="1" si="311"/>
        <v>0</v>
      </c>
      <c r="FS52" s="91">
        <f t="shared" ca="1" si="311"/>
        <v>0</v>
      </c>
      <c r="FT52" s="91">
        <f t="shared" ca="1" si="311"/>
        <v>0</v>
      </c>
      <c r="FU52" s="91">
        <f t="shared" ca="1" si="311"/>
        <v>0</v>
      </c>
      <c r="FV52" s="91">
        <f t="shared" ca="1" si="311"/>
        <v>0</v>
      </c>
      <c r="FW52" s="91">
        <f t="shared" ca="1" si="311"/>
        <v>0</v>
      </c>
      <c r="FX52" s="91">
        <f t="shared" ca="1" si="311"/>
        <v>0</v>
      </c>
      <c r="FY52" s="91">
        <f t="shared" ca="1" si="311"/>
        <v>0</v>
      </c>
      <c r="FZ52" s="91">
        <f t="shared" ca="1" si="311"/>
        <v>0</v>
      </c>
      <c r="GA52" s="91">
        <f t="shared" ca="1" si="311"/>
        <v>0</v>
      </c>
      <c r="GB52" s="91">
        <f t="shared" ca="1" si="311"/>
        <v>0</v>
      </c>
      <c r="GC52" s="91">
        <f t="shared" ca="1" si="311"/>
        <v>0</v>
      </c>
      <c r="GD52" s="91">
        <f t="shared" ca="1" si="311"/>
        <v>0</v>
      </c>
      <c r="GE52" s="91">
        <f t="shared" ca="1" si="311"/>
        <v>0</v>
      </c>
      <c r="GF52" s="91">
        <f t="shared" ca="1" si="311"/>
        <v>0</v>
      </c>
      <c r="GG52" s="91">
        <f t="shared" ca="1" si="311"/>
        <v>0</v>
      </c>
      <c r="GH52" s="91">
        <f t="shared" ca="1" si="311"/>
        <v>0</v>
      </c>
      <c r="GI52" s="91">
        <f t="shared" ca="1" si="311"/>
        <v>0</v>
      </c>
      <c r="GJ52" s="91">
        <f t="shared" ca="1" si="311"/>
        <v>0</v>
      </c>
      <c r="GK52" s="91">
        <f t="shared" ca="1" si="311"/>
        <v>0</v>
      </c>
      <c r="GL52" s="91">
        <f t="shared" ca="1" si="311"/>
        <v>0</v>
      </c>
      <c r="GM52" s="91">
        <f t="shared" ca="1" si="311"/>
        <v>0</v>
      </c>
      <c r="GN52" s="91">
        <f t="shared" ca="1" si="311"/>
        <v>0</v>
      </c>
      <c r="GO52" s="91">
        <f t="shared" ca="1" si="311"/>
        <v>0</v>
      </c>
      <c r="GP52" s="91">
        <f t="shared" ca="1" si="311"/>
        <v>0</v>
      </c>
      <c r="GQ52" s="91">
        <f t="shared" ca="1" si="311"/>
        <v>0</v>
      </c>
      <c r="GR52" s="91">
        <f t="shared" ca="1" si="311"/>
        <v>0</v>
      </c>
      <c r="GS52" s="91">
        <f t="shared" ca="1" si="311"/>
        <v>0</v>
      </c>
      <c r="GT52" s="91">
        <f t="shared" ca="1" si="311"/>
        <v>0</v>
      </c>
      <c r="GU52" s="91">
        <f t="shared" ca="1" si="311"/>
        <v>0</v>
      </c>
      <c r="GV52" s="91">
        <f t="shared" ca="1" si="311"/>
        <v>0</v>
      </c>
      <c r="GW52" s="91">
        <f t="shared" ca="1" si="311"/>
        <v>0</v>
      </c>
      <c r="GX52" s="91">
        <f t="shared" ca="1" si="311"/>
        <v>0</v>
      </c>
      <c r="GY52" s="91">
        <f t="shared" ca="1" si="311"/>
        <v>0</v>
      </c>
      <c r="GZ52" s="91">
        <f t="shared" ca="1" si="311"/>
        <v>0</v>
      </c>
      <c r="HA52" s="91">
        <f t="shared" ca="1" si="311"/>
        <v>0</v>
      </c>
      <c r="HB52" s="91">
        <f t="shared" ca="1" si="311"/>
        <v>0</v>
      </c>
      <c r="HC52" s="91">
        <f t="shared" ca="1" si="311"/>
        <v>0</v>
      </c>
      <c r="HD52" s="91" t="str">
        <f t="shared" ca="1" si="311"/>
        <v/>
      </c>
      <c r="HE52" s="91" t="str">
        <f t="shared" ca="1" si="311"/>
        <v/>
      </c>
      <c r="HF52" s="91" t="str">
        <f t="shared" ref="HF52:JQ52" ca="1" si="312">IF(HF3&gt;$J$5,"",HE52+HF49-HF51)</f>
        <v/>
      </c>
      <c r="HG52" s="91" t="str">
        <f t="shared" ca="1" si="312"/>
        <v/>
      </c>
      <c r="HH52" s="91" t="str">
        <f t="shared" ca="1" si="312"/>
        <v/>
      </c>
      <c r="HI52" s="91" t="str">
        <f t="shared" ca="1" si="312"/>
        <v/>
      </c>
      <c r="HJ52" s="91" t="str">
        <f t="shared" ca="1" si="312"/>
        <v/>
      </c>
      <c r="HK52" s="91" t="str">
        <f t="shared" ca="1" si="312"/>
        <v/>
      </c>
      <c r="HL52" s="91" t="str">
        <f t="shared" ca="1" si="312"/>
        <v/>
      </c>
      <c r="HM52" s="91" t="str">
        <f t="shared" ca="1" si="312"/>
        <v/>
      </c>
      <c r="HN52" s="91" t="str">
        <f t="shared" ca="1" si="312"/>
        <v/>
      </c>
      <c r="HO52" s="91" t="str">
        <f t="shared" ca="1" si="312"/>
        <v/>
      </c>
      <c r="HP52" s="91" t="str">
        <f t="shared" ca="1" si="312"/>
        <v/>
      </c>
      <c r="HQ52" s="91" t="str">
        <f t="shared" ca="1" si="312"/>
        <v/>
      </c>
      <c r="HR52" s="91" t="str">
        <f t="shared" ca="1" si="312"/>
        <v/>
      </c>
      <c r="HS52" s="91" t="str">
        <f t="shared" ca="1" si="312"/>
        <v/>
      </c>
      <c r="HT52" s="91" t="str">
        <f t="shared" ca="1" si="312"/>
        <v/>
      </c>
      <c r="HU52" s="91" t="str">
        <f t="shared" ca="1" si="312"/>
        <v/>
      </c>
      <c r="HV52" s="91" t="str">
        <f t="shared" ca="1" si="312"/>
        <v/>
      </c>
      <c r="HW52" s="91" t="str">
        <f t="shared" ca="1" si="312"/>
        <v/>
      </c>
      <c r="HX52" s="91" t="str">
        <f t="shared" ca="1" si="312"/>
        <v/>
      </c>
      <c r="HY52" s="91" t="str">
        <f t="shared" ca="1" si="312"/>
        <v/>
      </c>
      <c r="HZ52" s="91" t="str">
        <f t="shared" ca="1" si="312"/>
        <v/>
      </c>
      <c r="IA52" s="91" t="str">
        <f t="shared" ca="1" si="312"/>
        <v/>
      </c>
      <c r="IB52" s="91" t="str">
        <f t="shared" ca="1" si="312"/>
        <v/>
      </c>
      <c r="IC52" s="91" t="str">
        <f t="shared" ca="1" si="312"/>
        <v/>
      </c>
      <c r="ID52" s="91" t="str">
        <f t="shared" ca="1" si="312"/>
        <v/>
      </c>
      <c r="IE52" s="91" t="str">
        <f t="shared" ca="1" si="312"/>
        <v/>
      </c>
      <c r="IF52" s="91" t="str">
        <f t="shared" ca="1" si="312"/>
        <v/>
      </c>
      <c r="IG52" s="91" t="str">
        <f t="shared" ca="1" si="312"/>
        <v/>
      </c>
      <c r="IH52" s="91" t="str">
        <f t="shared" ca="1" si="312"/>
        <v/>
      </c>
      <c r="II52" s="91" t="str">
        <f t="shared" ca="1" si="312"/>
        <v/>
      </c>
      <c r="IJ52" s="91" t="str">
        <f t="shared" ca="1" si="312"/>
        <v/>
      </c>
      <c r="IK52" s="91" t="str">
        <f t="shared" ca="1" si="312"/>
        <v/>
      </c>
      <c r="IL52" s="91" t="str">
        <f t="shared" ca="1" si="312"/>
        <v/>
      </c>
      <c r="IM52" s="91" t="str">
        <f t="shared" ca="1" si="312"/>
        <v/>
      </c>
      <c r="IN52" s="91" t="str">
        <f t="shared" ca="1" si="312"/>
        <v/>
      </c>
      <c r="IO52" s="91" t="str">
        <f t="shared" ca="1" si="312"/>
        <v/>
      </c>
      <c r="IP52" s="91" t="str">
        <f t="shared" ca="1" si="312"/>
        <v/>
      </c>
      <c r="IQ52" s="91" t="str">
        <f t="shared" ca="1" si="312"/>
        <v/>
      </c>
      <c r="IR52" s="91" t="str">
        <f t="shared" ca="1" si="312"/>
        <v/>
      </c>
      <c r="IS52" s="91" t="str">
        <f t="shared" ca="1" si="312"/>
        <v/>
      </c>
      <c r="IT52" s="91" t="str">
        <f t="shared" ca="1" si="312"/>
        <v/>
      </c>
      <c r="IU52" s="91" t="str">
        <f t="shared" ca="1" si="312"/>
        <v/>
      </c>
      <c r="IV52" s="91" t="str">
        <f t="shared" ca="1" si="312"/>
        <v/>
      </c>
      <c r="IW52" s="91" t="str">
        <f t="shared" ca="1" si="312"/>
        <v/>
      </c>
      <c r="IX52" s="91" t="str">
        <f t="shared" ca="1" si="312"/>
        <v/>
      </c>
      <c r="IY52" s="91" t="str">
        <f t="shared" ca="1" si="312"/>
        <v/>
      </c>
      <c r="IZ52" s="91" t="str">
        <f t="shared" ca="1" si="312"/>
        <v/>
      </c>
      <c r="JA52" s="91" t="str">
        <f t="shared" ca="1" si="312"/>
        <v/>
      </c>
      <c r="JB52" s="91" t="str">
        <f t="shared" ca="1" si="312"/>
        <v/>
      </c>
      <c r="JC52" s="91" t="str">
        <f t="shared" ca="1" si="312"/>
        <v/>
      </c>
      <c r="JD52" s="91" t="str">
        <f t="shared" ca="1" si="312"/>
        <v/>
      </c>
      <c r="JE52" s="91" t="str">
        <f t="shared" ca="1" si="312"/>
        <v/>
      </c>
      <c r="JF52" s="91" t="str">
        <f t="shared" ca="1" si="312"/>
        <v/>
      </c>
      <c r="JG52" s="91" t="str">
        <f t="shared" ca="1" si="312"/>
        <v/>
      </c>
      <c r="JH52" s="91" t="str">
        <f t="shared" ca="1" si="312"/>
        <v/>
      </c>
      <c r="JI52" s="91" t="str">
        <f t="shared" ca="1" si="312"/>
        <v/>
      </c>
      <c r="JJ52" s="91" t="str">
        <f t="shared" ca="1" si="312"/>
        <v/>
      </c>
      <c r="JK52" s="91" t="str">
        <f t="shared" ca="1" si="312"/>
        <v/>
      </c>
      <c r="JL52" s="91" t="str">
        <f t="shared" ca="1" si="312"/>
        <v/>
      </c>
      <c r="JM52" s="91" t="str">
        <f t="shared" ca="1" si="312"/>
        <v/>
      </c>
      <c r="JN52" s="91" t="str">
        <f t="shared" ca="1" si="312"/>
        <v/>
      </c>
      <c r="JO52" s="91" t="str">
        <f t="shared" ca="1" si="312"/>
        <v/>
      </c>
      <c r="JP52" s="91" t="str">
        <f t="shared" ca="1" si="312"/>
        <v/>
      </c>
      <c r="JQ52" s="91" t="str">
        <f t="shared" ca="1" si="312"/>
        <v/>
      </c>
      <c r="JR52" s="91" t="str">
        <f t="shared" ref="JR52:JZ52" ca="1" si="313">IF(JR3&gt;$J$5,"",JQ52+JR49-JR51)</f>
        <v/>
      </c>
      <c r="JS52" s="91" t="str">
        <f t="shared" ca="1" si="313"/>
        <v/>
      </c>
      <c r="JT52" s="91" t="str">
        <f t="shared" ca="1" si="313"/>
        <v/>
      </c>
      <c r="JU52" s="91" t="str">
        <f t="shared" ca="1" si="313"/>
        <v/>
      </c>
      <c r="JV52" s="91" t="str">
        <f t="shared" ca="1" si="313"/>
        <v/>
      </c>
      <c r="JW52" s="91" t="str">
        <f t="shared" ca="1" si="313"/>
        <v/>
      </c>
      <c r="JX52" s="91" t="str">
        <f t="shared" ca="1" si="313"/>
        <v/>
      </c>
      <c r="JY52" s="91" t="str">
        <f t="shared" ca="1" si="313"/>
        <v/>
      </c>
      <c r="JZ52" s="110" t="str">
        <f t="shared" ca="1" si="313"/>
        <v/>
      </c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</row>
    <row r="53" spans="1:669" ht="15.75" thickTop="1" x14ac:dyDescent="0.25">
      <c r="A53" s="140" t="str">
        <f>B53</f>
        <v>xx</v>
      </c>
      <c r="B53" s="231" t="s">
        <v>21</v>
      </c>
      <c r="C53" s="137" t="s">
        <v>22</v>
      </c>
      <c r="D53" s="228"/>
      <c r="E53" s="172" t="s">
        <v>42</v>
      </c>
      <c r="F53" s="180">
        <f ca="1">(F56+F54)*H54</f>
        <v>0</v>
      </c>
      <c r="G53" s="172" t="s">
        <v>37</v>
      </c>
      <c r="H53" s="169">
        <f ca="1">STDEVPA(V57:JZ57)</f>
        <v>0</v>
      </c>
      <c r="I53" s="247" t="s">
        <v>15</v>
      </c>
      <c r="J53" s="94" t="str">
        <f t="shared" si="303"/>
        <v>CORTE</v>
      </c>
      <c r="K53" s="280"/>
      <c r="L53" s="95"/>
      <c r="M53" s="96"/>
      <c r="N53" s="96"/>
      <c r="O53" s="96"/>
      <c r="P53" s="96"/>
      <c r="Q53" s="96"/>
      <c r="R53" s="96"/>
      <c r="S53" s="96"/>
      <c r="T53" s="96"/>
      <c r="U53" s="96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7"/>
      <c r="CH53" s="97"/>
      <c r="CI53" s="97"/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97"/>
      <c r="DA53" s="97"/>
      <c r="DB53" s="97"/>
      <c r="DC53" s="97"/>
      <c r="DD53" s="97"/>
      <c r="DE53" s="97"/>
      <c r="DF53" s="97"/>
      <c r="DG53" s="97"/>
      <c r="DH53" s="97"/>
      <c r="DI53" s="97"/>
      <c r="DJ53" s="97"/>
      <c r="DK53" s="97"/>
      <c r="DL53" s="97"/>
      <c r="DM53" s="97"/>
      <c r="DN53" s="97"/>
      <c r="DO53" s="97"/>
      <c r="DP53" s="97"/>
      <c r="DQ53" s="97"/>
      <c r="DR53" s="97"/>
      <c r="DS53" s="97"/>
      <c r="DT53" s="97"/>
      <c r="DU53" s="97"/>
      <c r="DV53" s="97"/>
      <c r="DW53" s="97"/>
      <c r="DX53" s="97"/>
      <c r="DY53" s="97"/>
      <c r="DZ53" s="97"/>
      <c r="EA53" s="97"/>
      <c r="EB53" s="97"/>
      <c r="EC53" s="97"/>
      <c r="ED53" s="97"/>
      <c r="EE53" s="97"/>
      <c r="EF53" s="97"/>
      <c r="EG53" s="97"/>
      <c r="EH53" s="97"/>
      <c r="EI53" s="97"/>
      <c r="EJ53" s="97"/>
      <c r="EK53" s="97"/>
      <c r="EL53" s="97"/>
      <c r="EM53" s="97"/>
      <c r="EN53" s="97"/>
      <c r="EO53" s="97"/>
      <c r="EP53" s="97"/>
      <c r="EQ53" s="97"/>
      <c r="ER53" s="97"/>
      <c r="ES53" s="97"/>
      <c r="ET53" s="97"/>
      <c r="EU53" s="97"/>
      <c r="EV53" s="97"/>
      <c r="EW53" s="97"/>
      <c r="EX53" s="97"/>
      <c r="EY53" s="97"/>
      <c r="EZ53" s="97"/>
      <c r="FA53" s="97"/>
      <c r="FB53" s="97"/>
      <c r="FC53" s="97"/>
      <c r="FD53" s="97"/>
      <c r="FE53" s="97"/>
      <c r="FF53" s="97"/>
      <c r="FG53" s="97"/>
      <c r="FH53" s="97"/>
      <c r="FI53" s="97"/>
      <c r="FJ53" s="97"/>
      <c r="FK53" s="97"/>
      <c r="FL53" s="97"/>
      <c r="FM53" s="97"/>
      <c r="FN53" s="97"/>
      <c r="FO53" s="97"/>
      <c r="FP53" s="97"/>
      <c r="FQ53" s="97"/>
      <c r="FR53" s="97"/>
      <c r="FS53" s="97"/>
      <c r="FT53" s="97"/>
      <c r="FU53" s="97"/>
      <c r="FV53" s="97"/>
      <c r="FW53" s="97"/>
      <c r="FX53" s="97"/>
      <c r="FY53" s="97"/>
      <c r="FZ53" s="97"/>
      <c r="GA53" s="97"/>
      <c r="GB53" s="97"/>
      <c r="GC53" s="97"/>
      <c r="GD53" s="97"/>
      <c r="GE53" s="97"/>
      <c r="GF53" s="97"/>
      <c r="GG53" s="97"/>
      <c r="GH53" s="97"/>
      <c r="GI53" s="97"/>
      <c r="GJ53" s="97"/>
      <c r="GK53" s="97"/>
      <c r="GL53" s="97"/>
      <c r="GM53" s="97"/>
      <c r="GN53" s="97"/>
      <c r="GO53" s="97"/>
      <c r="GP53" s="97"/>
      <c r="GQ53" s="97"/>
      <c r="GR53" s="97"/>
      <c r="GS53" s="97"/>
      <c r="GT53" s="97"/>
      <c r="GU53" s="97"/>
      <c r="GV53" s="97"/>
      <c r="GW53" s="97"/>
      <c r="GX53" s="97"/>
      <c r="GY53" s="97"/>
      <c r="GZ53" s="97"/>
      <c r="HA53" s="97"/>
      <c r="HB53" s="97"/>
      <c r="HC53" s="97"/>
      <c r="HD53" s="97"/>
      <c r="HE53" s="97"/>
      <c r="HF53" s="97"/>
      <c r="HG53" s="97"/>
      <c r="HH53" s="97"/>
      <c r="HI53" s="97"/>
      <c r="HJ53" s="97"/>
      <c r="HK53" s="97"/>
      <c r="HL53" s="97"/>
      <c r="HM53" s="97"/>
      <c r="HN53" s="97"/>
      <c r="HO53" s="97"/>
      <c r="HP53" s="97"/>
      <c r="HQ53" s="97"/>
      <c r="HR53" s="97"/>
      <c r="HS53" s="97"/>
      <c r="HT53" s="97"/>
      <c r="HU53" s="97"/>
      <c r="HV53" s="97"/>
      <c r="HW53" s="97"/>
      <c r="HX53" s="97"/>
      <c r="HY53" s="97"/>
      <c r="HZ53" s="97"/>
      <c r="IA53" s="97"/>
      <c r="IB53" s="97"/>
      <c r="IC53" s="97"/>
      <c r="ID53" s="97"/>
      <c r="IE53" s="97"/>
      <c r="IF53" s="97"/>
      <c r="IG53" s="97"/>
      <c r="IH53" s="97"/>
      <c r="II53" s="97"/>
      <c r="IJ53" s="97"/>
      <c r="IK53" s="97"/>
      <c r="IL53" s="97"/>
      <c r="IM53" s="97"/>
      <c r="IN53" s="97"/>
      <c r="IO53" s="97"/>
      <c r="IP53" s="97"/>
      <c r="IQ53" s="97"/>
      <c r="IR53" s="97"/>
      <c r="IS53" s="97"/>
      <c r="IT53" s="97"/>
      <c r="IU53" s="97"/>
      <c r="IV53" s="97"/>
      <c r="IW53" s="97"/>
      <c r="IX53" s="97"/>
      <c r="IY53" s="97"/>
      <c r="IZ53" s="97"/>
      <c r="JA53" s="97"/>
      <c r="JB53" s="97"/>
      <c r="JC53" s="97"/>
      <c r="JD53" s="97"/>
      <c r="JE53" s="97"/>
      <c r="JF53" s="97"/>
      <c r="JG53" s="97"/>
      <c r="JH53" s="97"/>
      <c r="JI53" s="97"/>
      <c r="JJ53" s="97"/>
      <c r="JK53" s="97"/>
      <c r="JL53" s="97"/>
      <c r="JM53" s="97"/>
      <c r="JN53" s="97"/>
      <c r="JO53" s="97"/>
      <c r="JP53" s="97"/>
      <c r="JQ53" s="97"/>
      <c r="JR53" s="97"/>
      <c r="JS53" s="97"/>
      <c r="JT53" s="97"/>
      <c r="JU53" s="97"/>
      <c r="JV53" s="97"/>
      <c r="JW53" s="97"/>
      <c r="JX53" s="97"/>
      <c r="JY53" s="97"/>
      <c r="JZ53" s="98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</row>
    <row r="54" spans="1:669" x14ac:dyDescent="0.25">
      <c r="A54" s="138" t="str">
        <f>B53</f>
        <v>xx</v>
      </c>
      <c r="B54" s="232"/>
      <c r="C54" s="81" t="str">
        <f>$C$53</f>
        <v>ddd</v>
      </c>
      <c r="D54" s="229"/>
      <c r="E54" s="173" t="s">
        <v>44</v>
      </c>
      <c r="F54" s="181">
        <f ca="1">AVERAGE(V57:JZ57)</f>
        <v>0</v>
      </c>
      <c r="G54" s="174" t="s">
        <v>38</v>
      </c>
      <c r="H54" s="170">
        <v>3</v>
      </c>
      <c r="I54" s="242" t="s">
        <v>16</v>
      </c>
      <c r="J54" s="83" t="str">
        <f t="shared" si="303"/>
        <v>CORTE</v>
      </c>
      <c r="K54" s="281"/>
      <c r="L54" s="57"/>
      <c r="M54" s="58"/>
      <c r="N54" s="58"/>
      <c r="O54" s="58"/>
      <c r="P54" s="58"/>
      <c r="Q54" s="58"/>
      <c r="R54" s="58"/>
      <c r="S54" s="58"/>
      <c r="T54" s="58"/>
      <c r="U54" s="58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  <c r="DF54" s="70"/>
      <c r="DG54" s="70"/>
      <c r="DH54" s="70"/>
      <c r="DI54" s="70"/>
      <c r="DJ54" s="70"/>
      <c r="DK54" s="70"/>
      <c r="DL54" s="70"/>
      <c r="DM54" s="70"/>
      <c r="DN54" s="70"/>
      <c r="DO54" s="70"/>
      <c r="DP54" s="70"/>
      <c r="DQ54" s="70"/>
      <c r="DR54" s="70"/>
      <c r="DS54" s="70"/>
      <c r="DT54" s="70"/>
      <c r="DU54" s="70"/>
      <c r="DV54" s="70"/>
      <c r="DW54" s="70"/>
      <c r="DX54" s="70"/>
      <c r="DY54" s="70"/>
      <c r="DZ54" s="70"/>
      <c r="EA54" s="70"/>
      <c r="EB54" s="70"/>
      <c r="EC54" s="70"/>
      <c r="ED54" s="70"/>
      <c r="EE54" s="70"/>
      <c r="EF54" s="70"/>
      <c r="EG54" s="70"/>
      <c r="EH54" s="70"/>
      <c r="EI54" s="70"/>
      <c r="EJ54" s="70"/>
      <c r="EK54" s="70"/>
      <c r="EL54" s="70"/>
      <c r="EM54" s="70"/>
      <c r="EN54" s="70"/>
      <c r="EO54" s="70"/>
      <c r="EP54" s="70"/>
      <c r="EQ54" s="70"/>
      <c r="ER54" s="70"/>
      <c r="ES54" s="70"/>
      <c r="ET54" s="70"/>
      <c r="EU54" s="70"/>
      <c r="EV54" s="70"/>
      <c r="EW54" s="70"/>
      <c r="EX54" s="70"/>
      <c r="EY54" s="70"/>
      <c r="EZ54" s="70"/>
      <c r="FA54" s="70"/>
      <c r="FB54" s="70"/>
      <c r="FC54" s="70"/>
      <c r="FD54" s="70"/>
      <c r="FE54" s="70"/>
      <c r="FF54" s="70"/>
      <c r="FG54" s="70"/>
      <c r="FH54" s="70"/>
      <c r="FI54" s="70"/>
      <c r="FJ54" s="70"/>
      <c r="FK54" s="70"/>
      <c r="FL54" s="70"/>
      <c r="FM54" s="70"/>
      <c r="FN54" s="70"/>
      <c r="FO54" s="70"/>
      <c r="FP54" s="70"/>
      <c r="FQ54" s="70"/>
      <c r="FR54" s="70"/>
      <c r="FS54" s="70"/>
      <c r="FT54" s="70"/>
      <c r="FU54" s="70"/>
      <c r="FV54" s="70"/>
      <c r="FW54" s="70"/>
      <c r="FX54" s="70"/>
      <c r="FY54" s="70"/>
      <c r="FZ54" s="70"/>
      <c r="GA54" s="70"/>
      <c r="GB54" s="70"/>
      <c r="GC54" s="70"/>
      <c r="GD54" s="70"/>
      <c r="GE54" s="70"/>
      <c r="GF54" s="70"/>
      <c r="GG54" s="70"/>
      <c r="GH54" s="70"/>
      <c r="GI54" s="70"/>
      <c r="GJ54" s="70"/>
      <c r="GK54" s="70"/>
      <c r="GL54" s="70"/>
      <c r="GM54" s="70"/>
      <c r="GN54" s="70"/>
      <c r="GO54" s="70"/>
      <c r="GP54" s="70"/>
      <c r="GQ54" s="70"/>
      <c r="GR54" s="70"/>
      <c r="GS54" s="70"/>
      <c r="GT54" s="70"/>
      <c r="GU54" s="70"/>
      <c r="GV54" s="70"/>
      <c r="GW54" s="70"/>
      <c r="GX54" s="70"/>
      <c r="GY54" s="70"/>
      <c r="GZ54" s="70"/>
      <c r="HA54" s="70"/>
      <c r="HB54" s="70"/>
      <c r="HC54" s="70"/>
      <c r="HD54" s="70"/>
      <c r="HE54" s="70"/>
      <c r="HF54" s="70"/>
      <c r="HG54" s="70"/>
      <c r="HH54" s="70"/>
      <c r="HI54" s="70"/>
      <c r="HJ54" s="70"/>
      <c r="HK54" s="70"/>
      <c r="HL54" s="70"/>
      <c r="HM54" s="70"/>
      <c r="HN54" s="70"/>
      <c r="HO54" s="70"/>
      <c r="HP54" s="70"/>
      <c r="HQ54" s="70"/>
      <c r="HR54" s="70"/>
      <c r="HS54" s="70"/>
      <c r="HT54" s="70"/>
      <c r="HU54" s="70"/>
      <c r="HV54" s="70"/>
      <c r="HW54" s="70"/>
      <c r="HX54" s="70"/>
      <c r="HY54" s="70"/>
      <c r="HZ54" s="70"/>
      <c r="IA54" s="70"/>
      <c r="IB54" s="70"/>
      <c r="IC54" s="70"/>
      <c r="ID54" s="70"/>
      <c r="IE54" s="70"/>
      <c r="IF54" s="70"/>
      <c r="IG54" s="70"/>
      <c r="IH54" s="70"/>
      <c r="II54" s="70"/>
      <c r="IJ54" s="70"/>
      <c r="IK54" s="70"/>
      <c r="IL54" s="70"/>
      <c r="IM54" s="70"/>
      <c r="IN54" s="70"/>
      <c r="IO54" s="70"/>
      <c r="IP54" s="70"/>
      <c r="IQ54" s="70"/>
      <c r="IR54" s="70"/>
      <c r="IS54" s="70"/>
      <c r="IT54" s="70"/>
      <c r="IU54" s="70"/>
      <c r="IV54" s="70"/>
      <c r="IW54" s="70"/>
      <c r="IX54" s="70"/>
      <c r="IY54" s="70"/>
      <c r="IZ54" s="70"/>
      <c r="JA54" s="70"/>
      <c r="JB54" s="70"/>
      <c r="JC54" s="70"/>
      <c r="JD54" s="70"/>
      <c r="JE54" s="70"/>
      <c r="JF54" s="70"/>
      <c r="JG54" s="70"/>
      <c r="JH54" s="70"/>
      <c r="JI54" s="70"/>
      <c r="JJ54" s="70"/>
      <c r="JK54" s="70"/>
      <c r="JL54" s="70"/>
      <c r="JM54" s="70"/>
      <c r="JN54" s="70"/>
      <c r="JO54" s="70"/>
      <c r="JP54" s="70"/>
      <c r="JQ54" s="70"/>
      <c r="JR54" s="70"/>
      <c r="JS54" s="70"/>
      <c r="JT54" s="70"/>
      <c r="JU54" s="70"/>
      <c r="JV54" s="70"/>
      <c r="JW54" s="70"/>
      <c r="JX54" s="70"/>
      <c r="JY54" s="70"/>
      <c r="JZ54" s="99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</row>
    <row r="55" spans="1:669" x14ac:dyDescent="0.25">
      <c r="A55" s="138" t="str">
        <f>B53</f>
        <v>xx</v>
      </c>
      <c r="B55" s="232"/>
      <c r="C55" s="81" t="str">
        <f t="shared" ref="C55:C57" si="314">$C$53</f>
        <v>ddd</v>
      </c>
      <c r="D55" s="229"/>
      <c r="E55" s="173" t="s">
        <v>41</v>
      </c>
      <c r="F55" s="181">
        <f ca="1">(F54*H54)+F56</f>
        <v>0</v>
      </c>
      <c r="G55" s="175" t="s">
        <v>39</v>
      </c>
      <c r="H55" s="170">
        <v>1</v>
      </c>
      <c r="I55" s="242" t="s">
        <v>17</v>
      </c>
      <c r="J55" s="83" t="str">
        <f t="shared" si="303"/>
        <v>CORTE</v>
      </c>
      <c r="K55" s="281"/>
      <c r="L55" s="57"/>
      <c r="M55" s="58"/>
      <c r="N55" s="58"/>
      <c r="O55" s="58"/>
      <c r="P55" s="58"/>
      <c r="Q55" s="58"/>
      <c r="R55" s="58"/>
      <c r="S55" s="58"/>
      <c r="T55" s="58"/>
      <c r="U55" s="58"/>
      <c r="V55" s="68">
        <f t="shared" ref="V55:CG55" ca="1" si="315">IF(V3&gt;$J$5,"",U55+V53-V54)</f>
        <v>0</v>
      </c>
      <c r="W55" s="68">
        <f t="shared" ca="1" si="315"/>
        <v>0</v>
      </c>
      <c r="X55" s="68">
        <f t="shared" ca="1" si="315"/>
        <v>0</v>
      </c>
      <c r="Y55" s="68">
        <f t="shared" ca="1" si="315"/>
        <v>0</v>
      </c>
      <c r="Z55" s="68">
        <f t="shared" ca="1" si="315"/>
        <v>0</v>
      </c>
      <c r="AA55" s="68">
        <f t="shared" ca="1" si="315"/>
        <v>0</v>
      </c>
      <c r="AB55" s="68">
        <f t="shared" ca="1" si="315"/>
        <v>0</v>
      </c>
      <c r="AC55" s="68">
        <f t="shared" ca="1" si="315"/>
        <v>0</v>
      </c>
      <c r="AD55" s="68">
        <f t="shared" ca="1" si="315"/>
        <v>0</v>
      </c>
      <c r="AE55" s="68">
        <f t="shared" ca="1" si="315"/>
        <v>0</v>
      </c>
      <c r="AF55" s="68">
        <f t="shared" ca="1" si="315"/>
        <v>0</v>
      </c>
      <c r="AG55" s="68">
        <f t="shared" ca="1" si="315"/>
        <v>0</v>
      </c>
      <c r="AH55" s="68">
        <f t="shared" ca="1" si="315"/>
        <v>0</v>
      </c>
      <c r="AI55" s="68">
        <f t="shared" ca="1" si="315"/>
        <v>0</v>
      </c>
      <c r="AJ55" s="68">
        <f t="shared" ca="1" si="315"/>
        <v>0</v>
      </c>
      <c r="AK55" s="68">
        <f t="shared" ca="1" si="315"/>
        <v>0</v>
      </c>
      <c r="AL55" s="68">
        <f t="shared" ca="1" si="315"/>
        <v>0</v>
      </c>
      <c r="AM55" s="68">
        <f t="shared" ca="1" si="315"/>
        <v>0</v>
      </c>
      <c r="AN55" s="68">
        <f t="shared" ca="1" si="315"/>
        <v>0</v>
      </c>
      <c r="AO55" s="68">
        <f t="shared" ca="1" si="315"/>
        <v>0</v>
      </c>
      <c r="AP55" s="68">
        <f t="shared" ca="1" si="315"/>
        <v>0</v>
      </c>
      <c r="AQ55" s="68">
        <f t="shared" ca="1" si="315"/>
        <v>0</v>
      </c>
      <c r="AR55" s="68">
        <f t="shared" ca="1" si="315"/>
        <v>0</v>
      </c>
      <c r="AS55" s="68">
        <f t="shared" ca="1" si="315"/>
        <v>0</v>
      </c>
      <c r="AT55" s="68">
        <f t="shared" ca="1" si="315"/>
        <v>0</v>
      </c>
      <c r="AU55" s="68">
        <f t="shared" ca="1" si="315"/>
        <v>0</v>
      </c>
      <c r="AV55" s="68">
        <f t="shared" ca="1" si="315"/>
        <v>0</v>
      </c>
      <c r="AW55" s="68">
        <f t="shared" ca="1" si="315"/>
        <v>0</v>
      </c>
      <c r="AX55" s="68">
        <f t="shared" ca="1" si="315"/>
        <v>0</v>
      </c>
      <c r="AY55" s="68">
        <f t="shared" ca="1" si="315"/>
        <v>0</v>
      </c>
      <c r="AZ55" s="68">
        <f t="shared" ca="1" si="315"/>
        <v>0</v>
      </c>
      <c r="BA55" s="68">
        <f t="shared" ca="1" si="315"/>
        <v>0</v>
      </c>
      <c r="BB55" s="68">
        <f t="shared" ca="1" si="315"/>
        <v>0</v>
      </c>
      <c r="BC55" s="68">
        <f t="shared" ca="1" si="315"/>
        <v>0</v>
      </c>
      <c r="BD55" s="68">
        <f t="shared" ca="1" si="315"/>
        <v>0</v>
      </c>
      <c r="BE55" s="68">
        <f t="shared" ca="1" si="315"/>
        <v>0</v>
      </c>
      <c r="BF55" s="68">
        <f t="shared" ca="1" si="315"/>
        <v>0</v>
      </c>
      <c r="BG55" s="68">
        <f t="shared" ca="1" si="315"/>
        <v>0</v>
      </c>
      <c r="BH55" s="68">
        <f t="shared" ca="1" si="315"/>
        <v>0</v>
      </c>
      <c r="BI55" s="68">
        <f t="shared" ca="1" si="315"/>
        <v>0</v>
      </c>
      <c r="BJ55" s="68">
        <f t="shared" ca="1" si="315"/>
        <v>0</v>
      </c>
      <c r="BK55" s="68">
        <f t="shared" ca="1" si="315"/>
        <v>0</v>
      </c>
      <c r="BL55" s="68">
        <f t="shared" ca="1" si="315"/>
        <v>0</v>
      </c>
      <c r="BM55" s="68">
        <f t="shared" ca="1" si="315"/>
        <v>0</v>
      </c>
      <c r="BN55" s="68">
        <f t="shared" ca="1" si="315"/>
        <v>0</v>
      </c>
      <c r="BO55" s="68">
        <f t="shared" ca="1" si="315"/>
        <v>0</v>
      </c>
      <c r="BP55" s="68">
        <f t="shared" ca="1" si="315"/>
        <v>0</v>
      </c>
      <c r="BQ55" s="68">
        <f t="shared" ca="1" si="315"/>
        <v>0</v>
      </c>
      <c r="BR55" s="68">
        <f t="shared" ca="1" si="315"/>
        <v>0</v>
      </c>
      <c r="BS55" s="68">
        <f t="shared" ca="1" si="315"/>
        <v>0</v>
      </c>
      <c r="BT55" s="68">
        <f t="shared" ca="1" si="315"/>
        <v>0</v>
      </c>
      <c r="BU55" s="68">
        <f t="shared" ca="1" si="315"/>
        <v>0</v>
      </c>
      <c r="BV55" s="68">
        <f t="shared" ca="1" si="315"/>
        <v>0</v>
      </c>
      <c r="BW55" s="68">
        <f t="shared" ca="1" si="315"/>
        <v>0</v>
      </c>
      <c r="BX55" s="68">
        <f t="shared" ca="1" si="315"/>
        <v>0</v>
      </c>
      <c r="BY55" s="68">
        <f t="shared" ca="1" si="315"/>
        <v>0</v>
      </c>
      <c r="BZ55" s="68">
        <f t="shared" ca="1" si="315"/>
        <v>0</v>
      </c>
      <c r="CA55" s="68">
        <f t="shared" ca="1" si="315"/>
        <v>0</v>
      </c>
      <c r="CB55" s="68">
        <f t="shared" ca="1" si="315"/>
        <v>0</v>
      </c>
      <c r="CC55" s="68">
        <f t="shared" ca="1" si="315"/>
        <v>0</v>
      </c>
      <c r="CD55" s="68">
        <f t="shared" ca="1" si="315"/>
        <v>0</v>
      </c>
      <c r="CE55" s="68">
        <f t="shared" ca="1" si="315"/>
        <v>0</v>
      </c>
      <c r="CF55" s="68">
        <f t="shared" ca="1" si="315"/>
        <v>0</v>
      </c>
      <c r="CG55" s="68">
        <f t="shared" ca="1" si="315"/>
        <v>0</v>
      </c>
      <c r="CH55" s="68">
        <f t="shared" ref="CH55:ES55" ca="1" si="316">IF(CH3&gt;$J$5,"",CG55+CH53-CH54)</f>
        <v>0</v>
      </c>
      <c r="CI55" s="68">
        <f t="shared" ca="1" si="316"/>
        <v>0</v>
      </c>
      <c r="CJ55" s="68">
        <f t="shared" ca="1" si="316"/>
        <v>0</v>
      </c>
      <c r="CK55" s="68">
        <f t="shared" ca="1" si="316"/>
        <v>0</v>
      </c>
      <c r="CL55" s="68">
        <f t="shared" ca="1" si="316"/>
        <v>0</v>
      </c>
      <c r="CM55" s="68">
        <f t="shared" ca="1" si="316"/>
        <v>0</v>
      </c>
      <c r="CN55" s="68">
        <f t="shared" ca="1" si="316"/>
        <v>0</v>
      </c>
      <c r="CO55" s="68">
        <f t="shared" ca="1" si="316"/>
        <v>0</v>
      </c>
      <c r="CP55" s="68">
        <f t="shared" ca="1" si="316"/>
        <v>0</v>
      </c>
      <c r="CQ55" s="68">
        <f t="shared" ca="1" si="316"/>
        <v>0</v>
      </c>
      <c r="CR55" s="68">
        <f t="shared" ca="1" si="316"/>
        <v>0</v>
      </c>
      <c r="CS55" s="68">
        <f t="shared" ca="1" si="316"/>
        <v>0</v>
      </c>
      <c r="CT55" s="68">
        <f t="shared" ca="1" si="316"/>
        <v>0</v>
      </c>
      <c r="CU55" s="68">
        <f t="shared" ca="1" si="316"/>
        <v>0</v>
      </c>
      <c r="CV55" s="68">
        <f t="shared" ca="1" si="316"/>
        <v>0</v>
      </c>
      <c r="CW55" s="68">
        <f t="shared" ca="1" si="316"/>
        <v>0</v>
      </c>
      <c r="CX55" s="68">
        <f t="shared" ca="1" si="316"/>
        <v>0</v>
      </c>
      <c r="CY55" s="68">
        <f t="shared" ca="1" si="316"/>
        <v>0</v>
      </c>
      <c r="CZ55" s="68">
        <f t="shared" ca="1" si="316"/>
        <v>0</v>
      </c>
      <c r="DA55" s="68">
        <f t="shared" ca="1" si="316"/>
        <v>0</v>
      </c>
      <c r="DB55" s="68">
        <f t="shared" ca="1" si="316"/>
        <v>0</v>
      </c>
      <c r="DC55" s="68">
        <f t="shared" ca="1" si="316"/>
        <v>0</v>
      </c>
      <c r="DD55" s="68">
        <f t="shared" ca="1" si="316"/>
        <v>0</v>
      </c>
      <c r="DE55" s="68">
        <f t="shared" ca="1" si="316"/>
        <v>0</v>
      </c>
      <c r="DF55" s="68">
        <f t="shared" ca="1" si="316"/>
        <v>0</v>
      </c>
      <c r="DG55" s="68">
        <f t="shared" ca="1" si="316"/>
        <v>0</v>
      </c>
      <c r="DH55" s="68">
        <f t="shared" ca="1" si="316"/>
        <v>0</v>
      </c>
      <c r="DI55" s="68">
        <f t="shared" ca="1" si="316"/>
        <v>0</v>
      </c>
      <c r="DJ55" s="68">
        <f t="shared" ca="1" si="316"/>
        <v>0</v>
      </c>
      <c r="DK55" s="68">
        <f t="shared" ca="1" si="316"/>
        <v>0</v>
      </c>
      <c r="DL55" s="68">
        <f t="shared" ca="1" si="316"/>
        <v>0</v>
      </c>
      <c r="DM55" s="68">
        <f t="shared" ca="1" si="316"/>
        <v>0</v>
      </c>
      <c r="DN55" s="68">
        <f t="shared" ca="1" si="316"/>
        <v>0</v>
      </c>
      <c r="DO55" s="68">
        <f t="shared" ca="1" si="316"/>
        <v>0</v>
      </c>
      <c r="DP55" s="68">
        <f t="shared" ca="1" si="316"/>
        <v>0</v>
      </c>
      <c r="DQ55" s="68">
        <f t="shared" ca="1" si="316"/>
        <v>0</v>
      </c>
      <c r="DR55" s="68">
        <f t="shared" ca="1" si="316"/>
        <v>0</v>
      </c>
      <c r="DS55" s="68">
        <f t="shared" ca="1" si="316"/>
        <v>0</v>
      </c>
      <c r="DT55" s="68">
        <f t="shared" ca="1" si="316"/>
        <v>0</v>
      </c>
      <c r="DU55" s="68">
        <f t="shared" ca="1" si="316"/>
        <v>0</v>
      </c>
      <c r="DV55" s="68">
        <f t="shared" ca="1" si="316"/>
        <v>0</v>
      </c>
      <c r="DW55" s="68">
        <f t="shared" ca="1" si="316"/>
        <v>0</v>
      </c>
      <c r="DX55" s="68">
        <f t="shared" ca="1" si="316"/>
        <v>0</v>
      </c>
      <c r="DY55" s="68">
        <f t="shared" ca="1" si="316"/>
        <v>0</v>
      </c>
      <c r="DZ55" s="68">
        <f t="shared" ca="1" si="316"/>
        <v>0</v>
      </c>
      <c r="EA55" s="68">
        <f t="shared" ca="1" si="316"/>
        <v>0</v>
      </c>
      <c r="EB55" s="68">
        <f t="shared" ca="1" si="316"/>
        <v>0</v>
      </c>
      <c r="EC55" s="68">
        <f t="shared" ca="1" si="316"/>
        <v>0</v>
      </c>
      <c r="ED55" s="68">
        <f t="shared" ca="1" si="316"/>
        <v>0</v>
      </c>
      <c r="EE55" s="68">
        <f t="shared" ca="1" si="316"/>
        <v>0</v>
      </c>
      <c r="EF55" s="68">
        <f t="shared" ca="1" si="316"/>
        <v>0</v>
      </c>
      <c r="EG55" s="68">
        <f t="shared" ca="1" si="316"/>
        <v>0</v>
      </c>
      <c r="EH55" s="68">
        <f t="shared" ca="1" si="316"/>
        <v>0</v>
      </c>
      <c r="EI55" s="68">
        <f t="shared" ca="1" si="316"/>
        <v>0</v>
      </c>
      <c r="EJ55" s="68">
        <f t="shared" ca="1" si="316"/>
        <v>0</v>
      </c>
      <c r="EK55" s="68">
        <f t="shared" ca="1" si="316"/>
        <v>0</v>
      </c>
      <c r="EL55" s="68">
        <f t="shared" ca="1" si="316"/>
        <v>0</v>
      </c>
      <c r="EM55" s="68">
        <f t="shared" ca="1" si="316"/>
        <v>0</v>
      </c>
      <c r="EN55" s="68">
        <f t="shared" ca="1" si="316"/>
        <v>0</v>
      </c>
      <c r="EO55" s="68">
        <f t="shared" ca="1" si="316"/>
        <v>0</v>
      </c>
      <c r="EP55" s="68">
        <f t="shared" ca="1" si="316"/>
        <v>0</v>
      </c>
      <c r="EQ55" s="68">
        <f t="shared" ca="1" si="316"/>
        <v>0</v>
      </c>
      <c r="ER55" s="68">
        <f t="shared" ca="1" si="316"/>
        <v>0</v>
      </c>
      <c r="ES55" s="68">
        <f t="shared" ca="1" si="316"/>
        <v>0</v>
      </c>
      <c r="ET55" s="68">
        <f t="shared" ref="ET55:HE55" ca="1" si="317">IF(ET3&gt;$J$5,"",ES55+ET53-ET54)</f>
        <v>0</v>
      </c>
      <c r="EU55" s="68">
        <f t="shared" ca="1" si="317"/>
        <v>0</v>
      </c>
      <c r="EV55" s="68">
        <f t="shared" ca="1" si="317"/>
        <v>0</v>
      </c>
      <c r="EW55" s="68">
        <f t="shared" ca="1" si="317"/>
        <v>0</v>
      </c>
      <c r="EX55" s="68">
        <f t="shared" ca="1" si="317"/>
        <v>0</v>
      </c>
      <c r="EY55" s="68">
        <f t="shared" ca="1" si="317"/>
        <v>0</v>
      </c>
      <c r="EZ55" s="68">
        <f t="shared" ca="1" si="317"/>
        <v>0</v>
      </c>
      <c r="FA55" s="68">
        <f t="shared" ca="1" si="317"/>
        <v>0</v>
      </c>
      <c r="FB55" s="68">
        <f t="shared" ca="1" si="317"/>
        <v>0</v>
      </c>
      <c r="FC55" s="68">
        <f t="shared" ca="1" si="317"/>
        <v>0</v>
      </c>
      <c r="FD55" s="68">
        <f t="shared" ca="1" si="317"/>
        <v>0</v>
      </c>
      <c r="FE55" s="68">
        <f t="shared" ca="1" si="317"/>
        <v>0</v>
      </c>
      <c r="FF55" s="68">
        <f t="shared" ca="1" si="317"/>
        <v>0</v>
      </c>
      <c r="FG55" s="68">
        <f t="shared" ca="1" si="317"/>
        <v>0</v>
      </c>
      <c r="FH55" s="68">
        <f t="shared" ca="1" si="317"/>
        <v>0</v>
      </c>
      <c r="FI55" s="68">
        <f t="shared" ca="1" si="317"/>
        <v>0</v>
      </c>
      <c r="FJ55" s="68">
        <f t="shared" ca="1" si="317"/>
        <v>0</v>
      </c>
      <c r="FK55" s="68">
        <f t="shared" ca="1" si="317"/>
        <v>0</v>
      </c>
      <c r="FL55" s="68">
        <f t="shared" ca="1" si="317"/>
        <v>0</v>
      </c>
      <c r="FM55" s="68">
        <f t="shared" ca="1" si="317"/>
        <v>0</v>
      </c>
      <c r="FN55" s="68">
        <f t="shared" ca="1" si="317"/>
        <v>0</v>
      </c>
      <c r="FO55" s="68">
        <f t="shared" ca="1" si="317"/>
        <v>0</v>
      </c>
      <c r="FP55" s="68">
        <f t="shared" ca="1" si="317"/>
        <v>0</v>
      </c>
      <c r="FQ55" s="68">
        <f t="shared" ca="1" si="317"/>
        <v>0</v>
      </c>
      <c r="FR55" s="68">
        <f t="shared" ca="1" si="317"/>
        <v>0</v>
      </c>
      <c r="FS55" s="68">
        <f t="shared" ca="1" si="317"/>
        <v>0</v>
      </c>
      <c r="FT55" s="68">
        <f t="shared" ca="1" si="317"/>
        <v>0</v>
      </c>
      <c r="FU55" s="68">
        <f t="shared" ca="1" si="317"/>
        <v>0</v>
      </c>
      <c r="FV55" s="68">
        <f t="shared" ca="1" si="317"/>
        <v>0</v>
      </c>
      <c r="FW55" s="68">
        <f t="shared" ca="1" si="317"/>
        <v>0</v>
      </c>
      <c r="FX55" s="68">
        <f t="shared" ca="1" si="317"/>
        <v>0</v>
      </c>
      <c r="FY55" s="68">
        <f t="shared" ca="1" si="317"/>
        <v>0</v>
      </c>
      <c r="FZ55" s="68">
        <f t="shared" ca="1" si="317"/>
        <v>0</v>
      </c>
      <c r="GA55" s="68">
        <f t="shared" ca="1" si="317"/>
        <v>0</v>
      </c>
      <c r="GB55" s="68">
        <f t="shared" ca="1" si="317"/>
        <v>0</v>
      </c>
      <c r="GC55" s="68">
        <f t="shared" ca="1" si="317"/>
        <v>0</v>
      </c>
      <c r="GD55" s="68">
        <f t="shared" ca="1" si="317"/>
        <v>0</v>
      </c>
      <c r="GE55" s="68">
        <f t="shared" ca="1" si="317"/>
        <v>0</v>
      </c>
      <c r="GF55" s="68">
        <f t="shared" ca="1" si="317"/>
        <v>0</v>
      </c>
      <c r="GG55" s="68">
        <f t="shared" ca="1" si="317"/>
        <v>0</v>
      </c>
      <c r="GH55" s="68">
        <f t="shared" ca="1" si="317"/>
        <v>0</v>
      </c>
      <c r="GI55" s="68">
        <f t="shared" ca="1" si="317"/>
        <v>0</v>
      </c>
      <c r="GJ55" s="68">
        <f t="shared" ca="1" si="317"/>
        <v>0</v>
      </c>
      <c r="GK55" s="68">
        <f t="shared" ca="1" si="317"/>
        <v>0</v>
      </c>
      <c r="GL55" s="68">
        <f t="shared" ca="1" si="317"/>
        <v>0</v>
      </c>
      <c r="GM55" s="68">
        <f t="shared" ca="1" si="317"/>
        <v>0</v>
      </c>
      <c r="GN55" s="68">
        <f t="shared" ca="1" si="317"/>
        <v>0</v>
      </c>
      <c r="GO55" s="68">
        <f t="shared" ca="1" si="317"/>
        <v>0</v>
      </c>
      <c r="GP55" s="68">
        <f t="shared" ca="1" si="317"/>
        <v>0</v>
      </c>
      <c r="GQ55" s="68">
        <f t="shared" ca="1" si="317"/>
        <v>0</v>
      </c>
      <c r="GR55" s="68">
        <f t="shared" ca="1" si="317"/>
        <v>0</v>
      </c>
      <c r="GS55" s="68">
        <f t="shared" ca="1" si="317"/>
        <v>0</v>
      </c>
      <c r="GT55" s="68">
        <f t="shared" ca="1" si="317"/>
        <v>0</v>
      </c>
      <c r="GU55" s="68">
        <f t="shared" ca="1" si="317"/>
        <v>0</v>
      </c>
      <c r="GV55" s="68">
        <f t="shared" ca="1" si="317"/>
        <v>0</v>
      </c>
      <c r="GW55" s="68">
        <f t="shared" ca="1" si="317"/>
        <v>0</v>
      </c>
      <c r="GX55" s="68">
        <f t="shared" ca="1" si="317"/>
        <v>0</v>
      </c>
      <c r="GY55" s="68">
        <f t="shared" ca="1" si="317"/>
        <v>0</v>
      </c>
      <c r="GZ55" s="68">
        <f t="shared" ca="1" si="317"/>
        <v>0</v>
      </c>
      <c r="HA55" s="68">
        <f t="shared" ca="1" si="317"/>
        <v>0</v>
      </c>
      <c r="HB55" s="68">
        <f t="shared" ca="1" si="317"/>
        <v>0</v>
      </c>
      <c r="HC55" s="68">
        <f t="shared" ca="1" si="317"/>
        <v>0</v>
      </c>
      <c r="HD55" s="68" t="str">
        <f t="shared" ca="1" si="317"/>
        <v/>
      </c>
      <c r="HE55" s="68" t="str">
        <f t="shared" ca="1" si="317"/>
        <v/>
      </c>
      <c r="HF55" s="68" t="str">
        <f t="shared" ref="HF55:JQ55" ca="1" si="318">IF(HF3&gt;$J$5,"",HE55+HF53-HF54)</f>
        <v/>
      </c>
      <c r="HG55" s="68" t="str">
        <f t="shared" ca="1" si="318"/>
        <v/>
      </c>
      <c r="HH55" s="68" t="str">
        <f t="shared" ca="1" si="318"/>
        <v/>
      </c>
      <c r="HI55" s="68" t="str">
        <f t="shared" ca="1" si="318"/>
        <v/>
      </c>
      <c r="HJ55" s="68" t="str">
        <f t="shared" ca="1" si="318"/>
        <v/>
      </c>
      <c r="HK55" s="68" t="str">
        <f t="shared" ca="1" si="318"/>
        <v/>
      </c>
      <c r="HL55" s="68" t="str">
        <f t="shared" ca="1" si="318"/>
        <v/>
      </c>
      <c r="HM55" s="68" t="str">
        <f t="shared" ca="1" si="318"/>
        <v/>
      </c>
      <c r="HN55" s="68" t="str">
        <f t="shared" ca="1" si="318"/>
        <v/>
      </c>
      <c r="HO55" s="68" t="str">
        <f t="shared" ca="1" si="318"/>
        <v/>
      </c>
      <c r="HP55" s="68" t="str">
        <f t="shared" ca="1" si="318"/>
        <v/>
      </c>
      <c r="HQ55" s="68" t="str">
        <f t="shared" ca="1" si="318"/>
        <v/>
      </c>
      <c r="HR55" s="68" t="str">
        <f t="shared" ca="1" si="318"/>
        <v/>
      </c>
      <c r="HS55" s="68" t="str">
        <f t="shared" ca="1" si="318"/>
        <v/>
      </c>
      <c r="HT55" s="68" t="str">
        <f t="shared" ca="1" si="318"/>
        <v/>
      </c>
      <c r="HU55" s="68" t="str">
        <f t="shared" ca="1" si="318"/>
        <v/>
      </c>
      <c r="HV55" s="68" t="str">
        <f t="shared" ca="1" si="318"/>
        <v/>
      </c>
      <c r="HW55" s="68" t="str">
        <f t="shared" ca="1" si="318"/>
        <v/>
      </c>
      <c r="HX55" s="68" t="str">
        <f t="shared" ca="1" si="318"/>
        <v/>
      </c>
      <c r="HY55" s="68" t="str">
        <f t="shared" ca="1" si="318"/>
        <v/>
      </c>
      <c r="HZ55" s="68" t="str">
        <f t="shared" ca="1" si="318"/>
        <v/>
      </c>
      <c r="IA55" s="68" t="str">
        <f t="shared" ca="1" si="318"/>
        <v/>
      </c>
      <c r="IB55" s="68" t="str">
        <f t="shared" ca="1" si="318"/>
        <v/>
      </c>
      <c r="IC55" s="68" t="str">
        <f t="shared" ca="1" si="318"/>
        <v/>
      </c>
      <c r="ID55" s="68" t="str">
        <f t="shared" ca="1" si="318"/>
        <v/>
      </c>
      <c r="IE55" s="68" t="str">
        <f t="shared" ca="1" si="318"/>
        <v/>
      </c>
      <c r="IF55" s="68" t="str">
        <f t="shared" ca="1" si="318"/>
        <v/>
      </c>
      <c r="IG55" s="68" t="str">
        <f t="shared" ca="1" si="318"/>
        <v/>
      </c>
      <c r="IH55" s="68" t="str">
        <f t="shared" ca="1" si="318"/>
        <v/>
      </c>
      <c r="II55" s="68" t="str">
        <f t="shared" ca="1" si="318"/>
        <v/>
      </c>
      <c r="IJ55" s="68" t="str">
        <f t="shared" ca="1" si="318"/>
        <v/>
      </c>
      <c r="IK55" s="68" t="str">
        <f t="shared" ca="1" si="318"/>
        <v/>
      </c>
      <c r="IL55" s="68" t="str">
        <f t="shared" ca="1" si="318"/>
        <v/>
      </c>
      <c r="IM55" s="68" t="str">
        <f t="shared" ca="1" si="318"/>
        <v/>
      </c>
      <c r="IN55" s="68" t="str">
        <f t="shared" ca="1" si="318"/>
        <v/>
      </c>
      <c r="IO55" s="68" t="str">
        <f t="shared" ca="1" si="318"/>
        <v/>
      </c>
      <c r="IP55" s="68" t="str">
        <f t="shared" ca="1" si="318"/>
        <v/>
      </c>
      <c r="IQ55" s="68" t="str">
        <f t="shared" ca="1" si="318"/>
        <v/>
      </c>
      <c r="IR55" s="68" t="str">
        <f t="shared" ca="1" si="318"/>
        <v/>
      </c>
      <c r="IS55" s="68" t="str">
        <f t="shared" ca="1" si="318"/>
        <v/>
      </c>
      <c r="IT55" s="68" t="str">
        <f t="shared" ca="1" si="318"/>
        <v/>
      </c>
      <c r="IU55" s="68" t="str">
        <f t="shared" ca="1" si="318"/>
        <v/>
      </c>
      <c r="IV55" s="68" t="str">
        <f t="shared" ca="1" si="318"/>
        <v/>
      </c>
      <c r="IW55" s="68" t="str">
        <f t="shared" ca="1" si="318"/>
        <v/>
      </c>
      <c r="IX55" s="68" t="str">
        <f t="shared" ca="1" si="318"/>
        <v/>
      </c>
      <c r="IY55" s="68" t="str">
        <f t="shared" ca="1" si="318"/>
        <v/>
      </c>
      <c r="IZ55" s="68" t="str">
        <f t="shared" ca="1" si="318"/>
        <v/>
      </c>
      <c r="JA55" s="68" t="str">
        <f t="shared" ca="1" si="318"/>
        <v/>
      </c>
      <c r="JB55" s="68" t="str">
        <f t="shared" ca="1" si="318"/>
        <v/>
      </c>
      <c r="JC55" s="68" t="str">
        <f t="shared" ca="1" si="318"/>
        <v/>
      </c>
      <c r="JD55" s="68" t="str">
        <f t="shared" ca="1" si="318"/>
        <v/>
      </c>
      <c r="JE55" s="68" t="str">
        <f t="shared" ca="1" si="318"/>
        <v/>
      </c>
      <c r="JF55" s="68" t="str">
        <f t="shared" ca="1" si="318"/>
        <v/>
      </c>
      <c r="JG55" s="68" t="str">
        <f t="shared" ca="1" si="318"/>
        <v/>
      </c>
      <c r="JH55" s="68" t="str">
        <f t="shared" ca="1" si="318"/>
        <v/>
      </c>
      <c r="JI55" s="68" t="str">
        <f t="shared" ca="1" si="318"/>
        <v/>
      </c>
      <c r="JJ55" s="68" t="str">
        <f t="shared" ca="1" si="318"/>
        <v/>
      </c>
      <c r="JK55" s="68" t="str">
        <f t="shared" ca="1" si="318"/>
        <v/>
      </c>
      <c r="JL55" s="68" t="str">
        <f t="shared" ca="1" si="318"/>
        <v/>
      </c>
      <c r="JM55" s="68" t="str">
        <f t="shared" ca="1" si="318"/>
        <v/>
      </c>
      <c r="JN55" s="68" t="str">
        <f t="shared" ca="1" si="318"/>
        <v/>
      </c>
      <c r="JO55" s="68" t="str">
        <f t="shared" ca="1" si="318"/>
        <v/>
      </c>
      <c r="JP55" s="68" t="str">
        <f t="shared" ca="1" si="318"/>
        <v/>
      </c>
      <c r="JQ55" s="68" t="str">
        <f t="shared" ca="1" si="318"/>
        <v/>
      </c>
      <c r="JR55" s="68" t="str">
        <f t="shared" ref="JR55:JZ55" ca="1" si="319">IF(JR3&gt;$J$5,"",JQ55+JR53-JR54)</f>
        <v/>
      </c>
      <c r="JS55" s="68" t="str">
        <f t="shared" ca="1" si="319"/>
        <v/>
      </c>
      <c r="JT55" s="68" t="str">
        <f t="shared" ca="1" si="319"/>
        <v/>
      </c>
      <c r="JU55" s="68" t="str">
        <f t="shared" ca="1" si="319"/>
        <v/>
      </c>
      <c r="JV55" s="68" t="str">
        <f t="shared" ca="1" si="319"/>
        <v/>
      </c>
      <c r="JW55" s="68" t="str">
        <f t="shared" ca="1" si="319"/>
        <v/>
      </c>
      <c r="JX55" s="68" t="str">
        <f t="shared" ca="1" si="319"/>
        <v/>
      </c>
      <c r="JY55" s="68" t="str">
        <f t="shared" ca="1" si="319"/>
        <v/>
      </c>
      <c r="JZ55" s="100" t="str">
        <f t="shared" ca="1" si="319"/>
        <v/>
      </c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</row>
    <row r="56" spans="1:669" x14ac:dyDescent="0.25">
      <c r="A56" s="138" t="str">
        <f>B53</f>
        <v>xx</v>
      </c>
      <c r="B56" s="232"/>
      <c r="C56" s="81" t="str">
        <f t="shared" si="314"/>
        <v>ddd</v>
      </c>
      <c r="D56" s="229"/>
      <c r="E56" s="173" t="s">
        <v>40</v>
      </c>
      <c r="F56" s="182">
        <f ca="1">(H57*H53)*SQRT(H54/H55)</f>
        <v>0</v>
      </c>
      <c r="G56" s="176" t="s">
        <v>45</v>
      </c>
      <c r="H56" s="171">
        <v>0.95</v>
      </c>
      <c r="I56" s="242" t="s">
        <v>18</v>
      </c>
      <c r="J56" s="83" t="str">
        <f t="shared" si="303"/>
        <v>CORTE</v>
      </c>
      <c r="K56" s="281"/>
      <c r="L56" s="60"/>
      <c r="M56" s="61"/>
      <c r="N56" s="61"/>
      <c r="O56" s="61"/>
      <c r="P56" s="61"/>
      <c r="Q56" s="61"/>
      <c r="R56" s="61"/>
      <c r="S56" s="61"/>
      <c r="T56" s="61"/>
      <c r="U56" s="61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  <c r="DI56" s="70"/>
      <c r="DJ56" s="70"/>
      <c r="DK56" s="70"/>
      <c r="DL56" s="70"/>
      <c r="DM56" s="70"/>
      <c r="DN56" s="70"/>
      <c r="DO56" s="70"/>
      <c r="DP56" s="70"/>
      <c r="DQ56" s="70"/>
      <c r="DR56" s="70"/>
      <c r="DS56" s="70"/>
      <c r="DT56" s="70"/>
      <c r="DU56" s="70"/>
      <c r="DV56" s="70"/>
      <c r="DW56" s="70"/>
      <c r="DX56" s="70"/>
      <c r="DY56" s="70"/>
      <c r="DZ56" s="70"/>
      <c r="EA56" s="70"/>
      <c r="EB56" s="70"/>
      <c r="EC56" s="70"/>
      <c r="ED56" s="70"/>
      <c r="EE56" s="70"/>
      <c r="EF56" s="70"/>
      <c r="EG56" s="70"/>
      <c r="EH56" s="70"/>
      <c r="EI56" s="70"/>
      <c r="EJ56" s="70"/>
      <c r="EK56" s="70"/>
      <c r="EL56" s="70"/>
      <c r="EM56" s="70"/>
      <c r="EN56" s="70"/>
      <c r="EO56" s="70"/>
      <c r="EP56" s="70"/>
      <c r="EQ56" s="70"/>
      <c r="ER56" s="70"/>
      <c r="ES56" s="70"/>
      <c r="ET56" s="70"/>
      <c r="EU56" s="70"/>
      <c r="EV56" s="70"/>
      <c r="EW56" s="70"/>
      <c r="EX56" s="70"/>
      <c r="EY56" s="70"/>
      <c r="EZ56" s="70"/>
      <c r="FA56" s="70"/>
      <c r="FB56" s="70"/>
      <c r="FC56" s="70"/>
      <c r="FD56" s="70"/>
      <c r="FE56" s="70"/>
      <c r="FF56" s="70"/>
      <c r="FG56" s="70"/>
      <c r="FH56" s="70"/>
      <c r="FI56" s="70"/>
      <c r="FJ56" s="70"/>
      <c r="FK56" s="70"/>
      <c r="FL56" s="70"/>
      <c r="FM56" s="70"/>
      <c r="FN56" s="70"/>
      <c r="FO56" s="70"/>
      <c r="FP56" s="70"/>
      <c r="FQ56" s="70"/>
      <c r="FR56" s="70"/>
      <c r="FS56" s="70"/>
      <c r="FT56" s="70"/>
      <c r="FU56" s="70"/>
      <c r="FV56" s="70"/>
      <c r="FW56" s="70"/>
      <c r="FX56" s="70"/>
      <c r="FY56" s="70"/>
      <c r="FZ56" s="70"/>
      <c r="GA56" s="70"/>
      <c r="GB56" s="70"/>
      <c r="GC56" s="70"/>
      <c r="GD56" s="70"/>
      <c r="GE56" s="70"/>
      <c r="GF56" s="70"/>
      <c r="GG56" s="70"/>
      <c r="GH56" s="70"/>
      <c r="GI56" s="70"/>
      <c r="GJ56" s="70"/>
      <c r="GK56" s="70"/>
      <c r="GL56" s="70"/>
      <c r="GM56" s="70"/>
      <c r="GN56" s="70"/>
      <c r="GO56" s="70"/>
      <c r="GP56" s="70"/>
      <c r="GQ56" s="70"/>
      <c r="GR56" s="70"/>
      <c r="GS56" s="70"/>
      <c r="GT56" s="70"/>
      <c r="GU56" s="70"/>
      <c r="GV56" s="70"/>
      <c r="GW56" s="70"/>
      <c r="GX56" s="70"/>
      <c r="GY56" s="70"/>
      <c r="GZ56" s="70"/>
      <c r="HA56" s="70"/>
      <c r="HB56" s="70"/>
      <c r="HC56" s="70"/>
      <c r="HD56" s="70"/>
      <c r="HE56" s="70"/>
      <c r="HF56" s="70"/>
      <c r="HG56" s="70"/>
      <c r="HH56" s="70"/>
      <c r="HI56" s="70"/>
      <c r="HJ56" s="70"/>
      <c r="HK56" s="70"/>
      <c r="HL56" s="70"/>
      <c r="HM56" s="70"/>
      <c r="HN56" s="70"/>
      <c r="HO56" s="70"/>
      <c r="HP56" s="70"/>
      <c r="HQ56" s="70"/>
      <c r="HR56" s="70"/>
      <c r="HS56" s="70"/>
      <c r="HT56" s="70"/>
      <c r="HU56" s="70"/>
      <c r="HV56" s="70"/>
      <c r="HW56" s="70"/>
      <c r="HX56" s="70"/>
      <c r="HY56" s="70"/>
      <c r="HZ56" s="70"/>
      <c r="IA56" s="70"/>
      <c r="IB56" s="70"/>
      <c r="IC56" s="70"/>
      <c r="ID56" s="70"/>
      <c r="IE56" s="70"/>
      <c r="IF56" s="70"/>
      <c r="IG56" s="70"/>
      <c r="IH56" s="70"/>
      <c r="II56" s="70"/>
      <c r="IJ56" s="70"/>
      <c r="IK56" s="70"/>
      <c r="IL56" s="70"/>
      <c r="IM56" s="70"/>
      <c r="IN56" s="70"/>
      <c r="IO56" s="70"/>
      <c r="IP56" s="70"/>
      <c r="IQ56" s="70"/>
      <c r="IR56" s="70"/>
      <c r="IS56" s="70"/>
      <c r="IT56" s="70"/>
      <c r="IU56" s="70"/>
      <c r="IV56" s="70"/>
      <c r="IW56" s="70"/>
      <c r="IX56" s="70"/>
      <c r="IY56" s="70"/>
      <c r="IZ56" s="70"/>
      <c r="JA56" s="70"/>
      <c r="JB56" s="70"/>
      <c r="JC56" s="70"/>
      <c r="JD56" s="70"/>
      <c r="JE56" s="70"/>
      <c r="JF56" s="70"/>
      <c r="JG56" s="70"/>
      <c r="JH56" s="70"/>
      <c r="JI56" s="70"/>
      <c r="JJ56" s="70"/>
      <c r="JK56" s="70"/>
      <c r="JL56" s="70"/>
      <c r="JM56" s="70"/>
      <c r="JN56" s="70"/>
      <c r="JO56" s="70"/>
      <c r="JP56" s="70"/>
      <c r="JQ56" s="70"/>
      <c r="JR56" s="70"/>
      <c r="JS56" s="70"/>
      <c r="JT56" s="70"/>
      <c r="JU56" s="70"/>
      <c r="JV56" s="70"/>
      <c r="JW56" s="70"/>
      <c r="JX56" s="70"/>
      <c r="JY56" s="70"/>
      <c r="JZ56" s="99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</row>
    <row r="57" spans="1:669" ht="15.75" thickBot="1" x14ac:dyDescent="0.3">
      <c r="A57" s="139" t="str">
        <f>B53</f>
        <v>xx</v>
      </c>
      <c r="B57" s="233"/>
      <c r="C57" s="158" t="str">
        <f t="shared" si="314"/>
        <v>ddd</v>
      </c>
      <c r="D57" s="230"/>
      <c r="E57" s="177" t="s">
        <v>46</v>
      </c>
      <c r="F57" s="183"/>
      <c r="G57" s="178" t="s">
        <v>43</v>
      </c>
      <c r="H57" s="179">
        <v>1.645</v>
      </c>
      <c r="I57" s="248" t="s">
        <v>19</v>
      </c>
      <c r="J57" s="90" t="str">
        <f t="shared" si="303"/>
        <v>CORTE</v>
      </c>
      <c r="K57" s="281"/>
      <c r="L57" s="102"/>
      <c r="M57" s="103"/>
      <c r="N57" s="103"/>
      <c r="O57" s="103"/>
      <c r="P57" s="103"/>
      <c r="Q57" s="103"/>
      <c r="R57" s="103"/>
      <c r="S57" s="103"/>
      <c r="T57" s="103"/>
      <c r="U57" s="103"/>
      <c r="V57" s="104">
        <f t="shared" ref="V57:CG57" ca="1" si="320">IF(V3&gt;$J$5,"",U57+V54-V56)</f>
        <v>0</v>
      </c>
      <c r="W57" s="104">
        <f t="shared" ca="1" si="320"/>
        <v>0</v>
      </c>
      <c r="X57" s="104">
        <f t="shared" ca="1" si="320"/>
        <v>0</v>
      </c>
      <c r="Y57" s="104">
        <f t="shared" ca="1" si="320"/>
        <v>0</v>
      </c>
      <c r="Z57" s="104">
        <f t="shared" ca="1" si="320"/>
        <v>0</v>
      </c>
      <c r="AA57" s="104">
        <f t="shared" ca="1" si="320"/>
        <v>0</v>
      </c>
      <c r="AB57" s="104">
        <f t="shared" ca="1" si="320"/>
        <v>0</v>
      </c>
      <c r="AC57" s="104">
        <f t="shared" ca="1" si="320"/>
        <v>0</v>
      </c>
      <c r="AD57" s="104">
        <f t="shared" ca="1" si="320"/>
        <v>0</v>
      </c>
      <c r="AE57" s="104">
        <f t="shared" ca="1" si="320"/>
        <v>0</v>
      </c>
      <c r="AF57" s="104">
        <f t="shared" ca="1" si="320"/>
        <v>0</v>
      </c>
      <c r="AG57" s="104">
        <f t="shared" ca="1" si="320"/>
        <v>0</v>
      </c>
      <c r="AH57" s="104">
        <f t="shared" ca="1" si="320"/>
        <v>0</v>
      </c>
      <c r="AI57" s="104">
        <f t="shared" ca="1" si="320"/>
        <v>0</v>
      </c>
      <c r="AJ57" s="104">
        <f t="shared" ca="1" si="320"/>
        <v>0</v>
      </c>
      <c r="AK57" s="104">
        <f t="shared" ca="1" si="320"/>
        <v>0</v>
      </c>
      <c r="AL57" s="104">
        <f t="shared" ca="1" si="320"/>
        <v>0</v>
      </c>
      <c r="AM57" s="104">
        <f t="shared" ca="1" si="320"/>
        <v>0</v>
      </c>
      <c r="AN57" s="104">
        <f t="shared" ca="1" si="320"/>
        <v>0</v>
      </c>
      <c r="AO57" s="104">
        <f t="shared" ca="1" si="320"/>
        <v>0</v>
      </c>
      <c r="AP57" s="104">
        <f t="shared" ca="1" si="320"/>
        <v>0</v>
      </c>
      <c r="AQ57" s="104">
        <f t="shared" ca="1" si="320"/>
        <v>0</v>
      </c>
      <c r="AR57" s="104">
        <f t="shared" ca="1" si="320"/>
        <v>0</v>
      </c>
      <c r="AS57" s="104">
        <f t="shared" ca="1" si="320"/>
        <v>0</v>
      </c>
      <c r="AT57" s="104">
        <f t="shared" ca="1" si="320"/>
        <v>0</v>
      </c>
      <c r="AU57" s="104">
        <f t="shared" ca="1" si="320"/>
        <v>0</v>
      </c>
      <c r="AV57" s="104">
        <f t="shared" ca="1" si="320"/>
        <v>0</v>
      </c>
      <c r="AW57" s="104">
        <f t="shared" ca="1" si="320"/>
        <v>0</v>
      </c>
      <c r="AX57" s="104">
        <f t="shared" ca="1" si="320"/>
        <v>0</v>
      </c>
      <c r="AY57" s="104">
        <f t="shared" ca="1" si="320"/>
        <v>0</v>
      </c>
      <c r="AZ57" s="104">
        <f t="shared" ca="1" si="320"/>
        <v>0</v>
      </c>
      <c r="BA57" s="104">
        <f t="shared" ca="1" si="320"/>
        <v>0</v>
      </c>
      <c r="BB57" s="104">
        <f t="shared" ca="1" si="320"/>
        <v>0</v>
      </c>
      <c r="BC57" s="104">
        <f t="shared" ca="1" si="320"/>
        <v>0</v>
      </c>
      <c r="BD57" s="104">
        <f t="shared" ca="1" si="320"/>
        <v>0</v>
      </c>
      <c r="BE57" s="104">
        <f t="shared" ca="1" si="320"/>
        <v>0</v>
      </c>
      <c r="BF57" s="104">
        <f t="shared" ca="1" si="320"/>
        <v>0</v>
      </c>
      <c r="BG57" s="104">
        <f t="shared" ca="1" si="320"/>
        <v>0</v>
      </c>
      <c r="BH57" s="104">
        <f t="shared" ca="1" si="320"/>
        <v>0</v>
      </c>
      <c r="BI57" s="104">
        <f t="shared" ca="1" si="320"/>
        <v>0</v>
      </c>
      <c r="BJ57" s="104">
        <f t="shared" ca="1" si="320"/>
        <v>0</v>
      </c>
      <c r="BK57" s="104">
        <f t="shared" ca="1" si="320"/>
        <v>0</v>
      </c>
      <c r="BL57" s="104">
        <f t="shared" ca="1" si="320"/>
        <v>0</v>
      </c>
      <c r="BM57" s="104">
        <f t="shared" ca="1" si="320"/>
        <v>0</v>
      </c>
      <c r="BN57" s="104">
        <f t="shared" ca="1" si="320"/>
        <v>0</v>
      </c>
      <c r="BO57" s="104">
        <f t="shared" ca="1" si="320"/>
        <v>0</v>
      </c>
      <c r="BP57" s="104">
        <f t="shared" ca="1" si="320"/>
        <v>0</v>
      </c>
      <c r="BQ57" s="104">
        <f t="shared" ca="1" si="320"/>
        <v>0</v>
      </c>
      <c r="BR57" s="104">
        <f t="shared" ca="1" si="320"/>
        <v>0</v>
      </c>
      <c r="BS57" s="104">
        <f t="shared" ca="1" si="320"/>
        <v>0</v>
      </c>
      <c r="BT57" s="104">
        <f t="shared" ca="1" si="320"/>
        <v>0</v>
      </c>
      <c r="BU57" s="104">
        <f t="shared" ca="1" si="320"/>
        <v>0</v>
      </c>
      <c r="BV57" s="104">
        <f t="shared" ca="1" si="320"/>
        <v>0</v>
      </c>
      <c r="BW57" s="104">
        <f t="shared" ca="1" si="320"/>
        <v>0</v>
      </c>
      <c r="BX57" s="104">
        <f t="shared" ca="1" si="320"/>
        <v>0</v>
      </c>
      <c r="BY57" s="104">
        <f t="shared" ca="1" si="320"/>
        <v>0</v>
      </c>
      <c r="BZ57" s="104">
        <f t="shared" ca="1" si="320"/>
        <v>0</v>
      </c>
      <c r="CA57" s="104">
        <f t="shared" ca="1" si="320"/>
        <v>0</v>
      </c>
      <c r="CB57" s="104">
        <f t="shared" ca="1" si="320"/>
        <v>0</v>
      </c>
      <c r="CC57" s="104">
        <f t="shared" ca="1" si="320"/>
        <v>0</v>
      </c>
      <c r="CD57" s="104">
        <f t="shared" ca="1" si="320"/>
        <v>0</v>
      </c>
      <c r="CE57" s="104">
        <f t="shared" ca="1" si="320"/>
        <v>0</v>
      </c>
      <c r="CF57" s="104">
        <f t="shared" ca="1" si="320"/>
        <v>0</v>
      </c>
      <c r="CG57" s="104">
        <f t="shared" ca="1" si="320"/>
        <v>0</v>
      </c>
      <c r="CH57" s="104">
        <f t="shared" ref="CH57:ES57" ca="1" si="321">IF(CH3&gt;$J$5,"",CG57+CH54-CH56)</f>
        <v>0</v>
      </c>
      <c r="CI57" s="104">
        <f t="shared" ca="1" si="321"/>
        <v>0</v>
      </c>
      <c r="CJ57" s="104">
        <f t="shared" ca="1" si="321"/>
        <v>0</v>
      </c>
      <c r="CK57" s="104">
        <f t="shared" ca="1" si="321"/>
        <v>0</v>
      </c>
      <c r="CL57" s="104">
        <f t="shared" ca="1" si="321"/>
        <v>0</v>
      </c>
      <c r="CM57" s="104">
        <f t="shared" ca="1" si="321"/>
        <v>0</v>
      </c>
      <c r="CN57" s="104">
        <f t="shared" ca="1" si="321"/>
        <v>0</v>
      </c>
      <c r="CO57" s="104">
        <f t="shared" ca="1" si="321"/>
        <v>0</v>
      </c>
      <c r="CP57" s="104">
        <f t="shared" ca="1" si="321"/>
        <v>0</v>
      </c>
      <c r="CQ57" s="104">
        <f t="shared" ca="1" si="321"/>
        <v>0</v>
      </c>
      <c r="CR57" s="104">
        <f t="shared" ca="1" si="321"/>
        <v>0</v>
      </c>
      <c r="CS57" s="104">
        <f t="shared" ca="1" si="321"/>
        <v>0</v>
      </c>
      <c r="CT57" s="104">
        <f t="shared" ca="1" si="321"/>
        <v>0</v>
      </c>
      <c r="CU57" s="104">
        <f t="shared" ca="1" si="321"/>
        <v>0</v>
      </c>
      <c r="CV57" s="104">
        <f t="shared" ca="1" si="321"/>
        <v>0</v>
      </c>
      <c r="CW57" s="104">
        <f t="shared" ca="1" si="321"/>
        <v>0</v>
      </c>
      <c r="CX57" s="104">
        <f t="shared" ca="1" si="321"/>
        <v>0</v>
      </c>
      <c r="CY57" s="104">
        <f t="shared" ca="1" si="321"/>
        <v>0</v>
      </c>
      <c r="CZ57" s="104">
        <f t="shared" ca="1" si="321"/>
        <v>0</v>
      </c>
      <c r="DA57" s="104">
        <f t="shared" ca="1" si="321"/>
        <v>0</v>
      </c>
      <c r="DB57" s="104">
        <f t="shared" ca="1" si="321"/>
        <v>0</v>
      </c>
      <c r="DC57" s="104">
        <f t="shared" ca="1" si="321"/>
        <v>0</v>
      </c>
      <c r="DD57" s="104">
        <f t="shared" ca="1" si="321"/>
        <v>0</v>
      </c>
      <c r="DE57" s="104">
        <f t="shared" ca="1" si="321"/>
        <v>0</v>
      </c>
      <c r="DF57" s="104">
        <f t="shared" ca="1" si="321"/>
        <v>0</v>
      </c>
      <c r="DG57" s="104">
        <f t="shared" ca="1" si="321"/>
        <v>0</v>
      </c>
      <c r="DH57" s="104">
        <f t="shared" ca="1" si="321"/>
        <v>0</v>
      </c>
      <c r="DI57" s="104">
        <f t="shared" ca="1" si="321"/>
        <v>0</v>
      </c>
      <c r="DJ57" s="104">
        <f t="shared" ca="1" si="321"/>
        <v>0</v>
      </c>
      <c r="DK57" s="104">
        <f t="shared" ca="1" si="321"/>
        <v>0</v>
      </c>
      <c r="DL57" s="104">
        <f t="shared" ca="1" si="321"/>
        <v>0</v>
      </c>
      <c r="DM57" s="104">
        <f t="shared" ca="1" si="321"/>
        <v>0</v>
      </c>
      <c r="DN57" s="104">
        <f t="shared" ca="1" si="321"/>
        <v>0</v>
      </c>
      <c r="DO57" s="104">
        <f t="shared" ca="1" si="321"/>
        <v>0</v>
      </c>
      <c r="DP57" s="104">
        <f t="shared" ca="1" si="321"/>
        <v>0</v>
      </c>
      <c r="DQ57" s="104">
        <f t="shared" ca="1" si="321"/>
        <v>0</v>
      </c>
      <c r="DR57" s="104">
        <f t="shared" ca="1" si="321"/>
        <v>0</v>
      </c>
      <c r="DS57" s="104">
        <f t="shared" ca="1" si="321"/>
        <v>0</v>
      </c>
      <c r="DT57" s="104">
        <f t="shared" ca="1" si="321"/>
        <v>0</v>
      </c>
      <c r="DU57" s="104">
        <f t="shared" ca="1" si="321"/>
        <v>0</v>
      </c>
      <c r="DV57" s="104">
        <f t="shared" ca="1" si="321"/>
        <v>0</v>
      </c>
      <c r="DW57" s="104">
        <f t="shared" ca="1" si="321"/>
        <v>0</v>
      </c>
      <c r="DX57" s="104">
        <f t="shared" ca="1" si="321"/>
        <v>0</v>
      </c>
      <c r="DY57" s="104">
        <f t="shared" ca="1" si="321"/>
        <v>0</v>
      </c>
      <c r="DZ57" s="104">
        <f t="shared" ca="1" si="321"/>
        <v>0</v>
      </c>
      <c r="EA57" s="104">
        <f t="shared" ca="1" si="321"/>
        <v>0</v>
      </c>
      <c r="EB57" s="104">
        <f t="shared" ca="1" si="321"/>
        <v>0</v>
      </c>
      <c r="EC57" s="104">
        <f t="shared" ca="1" si="321"/>
        <v>0</v>
      </c>
      <c r="ED57" s="104">
        <f t="shared" ca="1" si="321"/>
        <v>0</v>
      </c>
      <c r="EE57" s="104">
        <f t="shared" ca="1" si="321"/>
        <v>0</v>
      </c>
      <c r="EF57" s="104">
        <f t="shared" ca="1" si="321"/>
        <v>0</v>
      </c>
      <c r="EG57" s="104">
        <f t="shared" ca="1" si="321"/>
        <v>0</v>
      </c>
      <c r="EH57" s="104">
        <f t="shared" ca="1" si="321"/>
        <v>0</v>
      </c>
      <c r="EI57" s="104">
        <f t="shared" ca="1" si="321"/>
        <v>0</v>
      </c>
      <c r="EJ57" s="104">
        <f t="shared" ca="1" si="321"/>
        <v>0</v>
      </c>
      <c r="EK57" s="104">
        <f t="shared" ca="1" si="321"/>
        <v>0</v>
      </c>
      <c r="EL57" s="104">
        <f t="shared" ca="1" si="321"/>
        <v>0</v>
      </c>
      <c r="EM57" s="104">
        <f t="shared" ca="1" si="321"/>
        <v>0</v>
      </c>
      <c r="EN57" s="104">
        <f t="shared" ca="1" si="321"/>
        <v>0</v>
      </c>
      <c r="EO57" s="104">
        <f t="shared" ca="1" si="321"/>
        <v>0</v>
      </c>
      <c r="EP57" s="104">
        <f t="shared" ca="1" si="321"/>
        <v>0</v>
      </c>
      <c r="EQ57" s="104">
        <f t="shared" ca="1" si="321"/>
        <v>0</v>
      </c>
      <c r="ER57" s="104">
        <f t="shared" ca="1" si="321"/>
        <v>0</v>
      </c>
      <c r="ES57" s="104">
        <f t="shared" ca="1" si="321"/>
        <v>0</v>
      </c>
      <c r="ET57" s="104">
        <f t="shared" ref="ET57:HE57" ca="1" si="322">IF(ET3&gt;$J$5,"",ES57+ET54-ET56)</f>
        <v>0</v>
      </c>
      <c r="EU57" s="104">
        <f t="shared" ca="1" si="322"/>
        <v>0</v>
      </c>
      <c r="EV57" s="104">
        <f t="shared" ca="1" si="322"/>
        <v>0</v>
      </c>
      <c r="EW57" s="104">
        <f t="shared" ca="1" si="322"/>
        <v>0</v>
      </c>
      <c r="EX57" s="104">
        <f t="shared" ca="1" si="322"/>
        <v>0</v>
      </c>
      <c r="EY57" s="104">
        <f t="shared" ca="1" si="322"/>
        <v>0</v>
      </c>
      <c r="EZ57" s="104">
        <f t="shared" ca="1" si="322"/>
        <v>0</v>
      </c>
      <c r="FA57" s="104">
        <f t="shared" ca="1" si="322"/>
        <v>0</v>
      </c>
      <c r="FB57" s="104">
        <f t="shared" ca="1" si="322"/>
        <v>0</v>
      </c>
      <c r="FC57" s="104">
        <f t="shared" ca="1" si="322"/>
        <v>0</v>
      </c>
      <c r="FD57" s="104">
        <f t="shared" ca="1" si="322"/>
        <v>0</v>
      </c>
      <c r="FE57" s="104">
        <f t="shared" ca="1" si="322"/>
        <v>0</v>
      </c>
      <c r="FF57" s="104">
        <f t="shared" ca="1" si="322"/>
        <v>0</v>
      </c>
      <c r="FG57" s="104">
        <f t="shared" ca="1" si="322"/>
        <v>0</v>
      </c>
      <c r="FH57" s="104">
        <f t="shared" ca="1" si="322"/>
        <v>0</v>
      </c>
      <c r="FI57" s="104">
        <f t="shared" ca="1" si="322"/>
        <v>0</v>
      </c>
      <c r="FJ57" s="104">
        <f t="shared" ca="1" si="322"/>
        <v>0</v>
      </c>
      <c r="FK57" s="104">
        <f t="shared" ca="1" si="322"/>
        <v>0</v>
      </c>
      <c r="FL57" s="104">
        <f t="shared" ca="1" si="322"/>
        <v>0</v>
      </c>
      <c r="FM57" s="104">
        <f t="shared" ca="1" si="322"/>
        <v>0</v>
      </c>
      <c r="FN57" s="104">
        <f t="shared" ca="1" si="322"/>
        <v>0</v>
      </c>
      <c r="FO57" s="104">
        <f t="shared" ca="1" si="322"/>
        <v>0</v>
      </c>
      <c r="FP57" s="104">
        <f t="shared" ca="1" si="322"/>
        <v>0</v>
      </c>
      <c r="FQ57" s="104">
        <f t="shared" ca="1" si="322"/>
        <v>0</v>
      </c>
      <c r="FR57" s="104">
        <f t="shared" ca="1" si="322"/>
        <v>0</v>
      </c>
      <c r="FS57" s="104">
        <f t="shared" ca="1" si="322"/>
        <v>0</v>
      </c>
      <c r="FT57" s="104">
        <f t="shared" ca="1" si="322"/>
        <v>0</v>
      </c>
      <c r="FU57" s="104">
        <f t="shared" ca="1" si="322"/>
        <v>0</v>
      </c>
      <c r="FV57" s="104">
        <f t="shared" ca="1" si="322"/>
        <v>0</v>
      </c>
      <c r="FW57" s="104">
        <f t="shared" ca="1" si="322"/>
        <v>0</v>
      </c>
      <c r="FX57" s="104">
        <f t="shared" ca="1" si="322"/>
        <v>0</v>
      </c>
      <c r="FY57" s="104">
        <f t="shared" ca="1" si="322"/>
        <v>0</v>
      </c>
      <c r="FZ57" s="104">
        <f t="shared" ca="1" si="322"/>
        <v>0</v>
      </c>
      <c r="GA57" s="104">
        <f t="shared" ca="1" si="322"/>
        <v>0</v>
      </c>
      <c r="GB57" s="104">
        <f t="shared" ca="1" si="322"/>
        <v>0</v>
      </c>
      <c r="GC57" s="104">
        <f t="shared" ca="1" si="322"/>
        <v>0</v>
      </c>
      <c r="GD57" s="104">
        <f t="shared" ca="1" si="322"/>
        <v>0</v>
      </c>
      <c r="GE57" s="104">
        <f t="shared" ca="1" si="322"/>
        <v>0</v>
      </c>
      <c r="GF57" s="104">
        <f t="shared" ca="1" si="322"/>
        <v>0</v>
      </c>
      <c r="GG57" s="104">
        <f t="shared" ca="1" si="322"/>
        <v>0</v>
      </c>
      <c r="GH57" s="104">
        <f t="shared" ca="1" si="322"/>
        <v>0</v>
      </c>
      <c r="GI57" s="104">
        <f t="shared" ca="1" si="322"/>
        <v>0</v>
      </c>
      <c r="GJ57" s="104">
        <f t="shared" ca="1" si="322"/>
        <v>0</v>
      </c>
      <c r="GK57" s="104">
        <f t="shared" ca="1" si="322"/>
        <v>0</v>
      </c>
      <c r="GL57" s="104">
        <f t="shared" ca="1" si="322"/>
        <v>0</v>
      </c>
      <c r="GM57" s="104">
        <f t="shared" ca="1" si="322"/>
        <v>0</v>
      </c>
      <c r="GN57" s="104">
        <f t="shared" ca="1" si="322"/>
        <v>0</v>
      </c>
      <c r="GO57" s="104">
        <f t="shared" ca="1" si="322"/>
        <v>0</v>
      </c>
      <c r="GP57" s="104">
        <f t="shared" ca="1" si="322"/>
        <v>0</v>
      </c>
      <c r="GQ57" s="104">
        <f t="shared" ca="1" si="322"/>
        <v>0</v>
      </c>
      <c r="GR57" s="104">
        <f t="shared" ca="1" si="322"/>
        <v>0</v>
      </c>
      <c r="GS57" s="104">
        <f t="shared" ca="1" si="322"/>
        <v>0</v>
      </c>
      <c r="GT57" s="104">
        <f t="shared" ca="1" si="322"/>
        <v>0</v>
      </c>
      <c r="GU57" s="104">
        <f t="shared" ca="1" si="322"/>
        <v>0</v>
      </c>
      <c r="GV57" s="104">
        <f t="shared" ca="1" si="322"/>
        <v>0</v>
      </c>
      <c r="GW57" s="104">
        <f t="shared" ca="1" si="322"/>
        <v>0</v>
      </c>
      <c r="GX57" s="104">
        <f t="shared" ca="1" si="322"/>
        <v>0</v>
      </c>
      <c r="GY57" s="104">
        <f t="shared" ca="1" si="322"/>
        <v>0</v>
      </c>
      <c r="GZ57" s="104">
        <f t="shared" ca="1" si="322"/>
        <v>0</v>
      </c>
      <c r="HA57" s="104">
        <f t="shared" ca="1" si="322"/>
        <v>0</v>
      </c>
      <c r="HB57" s="104">
        <f t="shared" ca="1" si="322"/>
        <v>0</v>
      </c>
      <c r="HC57" s="104">
        <f t="shared" ca="1" si="322"/>
        <v>0</v>
      </c>
      <c r="HD57" s="104" t="str">
        <f t="shared" ca="1" si="322"/>
        <v/>
      </c>
      <c r="HE57" s="104" t="str">
        <f t="shared" ca="1" si="322"/>
        <v/>
      </c>
      <c r="HF57" s="104" t="str">
        <f t="shared" ref="HF57:JQ57" ca="1" si="323">IF(HF3&gt;$J$5,"",HE57+HF54-HF56)</f>
        <v/>
      </c>
      <c r="HG57" s="104" t="str">
        <f t="shared" ca="1" si="323"/>
        <v/>
      </c>
      <c r="HH57" s="104" t="str">
        <f t="shared" ca="1" si="323"/>
        <v/>
      </c>
      <c r="HI57" s="104" t="str">
        <f t="shared" ca="1" si="323"/>
        <v/>
      </c>
      <c r="HJ57" s="104" t="str">
        <f t="shared" ca="1" si="323"/>
        <v/>
      </c>
      <c r="HK57" s="104" t="str">
        <f t="shared" ca="1" si="323"/>
        <v/>
      </c>
      <c r="HL57" s="104" t="str">
        <f t="shared" ca="1" si="323"/>
        <v/>
      </c>
      <c r="HM57" s="104" t="str">
        <f t="shared" ca="1" si="323"/>
        <v/>
      </c>
      <c r="HN57" s="104" t="str">
        <f t="shared" ca="1" si="323"/>
        <v/>
      </c>
      <c r="HO57" s="104" t="str">
        <f t="shared" ca="1" si="323"/>
        <v/>
      </c>
      <c r="HP57" s="104" t="str">
        <f t="shared" ca="1" si="323"/>
        <v/>
      </c>
      <c r="HQ57" s="104" t="str">
        <f t="shared" ca="1" si="323"/>
        <v/>
      </c>
      <c r="HR57" s="104" t="str">
        <f t="shared" ca="1" si="323"/>
        <v/>
      </c>
      <c r="HS57" s="104" t="str">
        <f t="shared" ca="1" si="323"/>
        <v/>
      </c>
      <c r="HT57" s="104" t="str">
        <f t="shared" ca="1" si="323"/>
        <v/>
      </c>
      <c r="HU57" s="104" t="str">
        <f t="shared" ca="1" si="323"/>
        <v/>
      </c>
      <c r="HV57" s="104" t="str">
        <f t="shared" ca="1" si="323"/>
        <v/>
      </c>
      <c r="HW57" s="104" t="str">
        <f t="shared" ca="1" si="323"/>
        <v/>
      </c>
      <c r="HX57" s="104" t="str">
        <f t="shared" ca="1" si="323"/>
        <v/>
      </c>
      <c r="HY57" s="104" t="str">
        <f t="shared" ca="1" si="323"/>
        <v/>
      </c>
      <c r="HZ57" s="104" t="str">
        <f t="shared" ca="1" si="323"/>
        <v/>
      </c>
      <c r="IA57" s="104" t="str">
        <f t="shared" ca="1" si="323"/>
        <v/>
      </c>
      <c r="IB57" s="104" t="str">
        <f t="shared" ca="1" si="323"/>
        <v/>
      </c>
      <c r="IC57" s="104" t="str">
        <f t="shared" ca="1" si="323"/>
        <v/>
      </c>
      <c r="ID57" s="104" t="str">
        <f t="shared" ca="1" si="323"/>
        <v/>
      </c>
      <c r="IE57" s="104" t="str">
        <f t="shared" ca="1" si="323"/>
        <v/>
      </c>
      <c r="IF57" s="104" t="str">
        <f t="shared" ca="1" si="323"/>
        <v/>
      </c>
      <c r="IG57" s="104" t="str">
        <f t="shared" ca="1" si="323"/>
        <v/>
      </c>
      <c r="IH57" s="104" t="str">
        <f t="shared" ca="1" si="323"/>
        <v/>
      </c>
      <c r="II57" s="104" t="str">
        <f t="shared" ca="1" si="323"/>
        <v/>
      </c>
      <c r="IJ57" s="104" t="str">
        <f t="shared" ca="1" si="323"/>
        <v/>
      </c>
      <c r="IK57" s="104" t="str">
        <f t="shared" ca="1" si="323"/>
        <v/>
      </c>
      <c r="IL57" s="104" t="str">
        <f t="shared" ca="1" si="323"/>
        <v/>
      </c>
      <c r="IM57" s="104" t="str">
        <f t="shared" ca="1" si="323"/>
        <v/>
      </c>
      <c r="IN57" s="104" t="str">
        <f t="shared" ca="1" si="323"/>
        <v/>
      </c>
      <c r="IO57" s="104" t="str">
        <f t="shared" ca="1" si="323"/>
        <v/>
      </c>
      <c r="IP57" s="104" t="str">
        <f t="shared" ca="1" si="323"/>
        <v/>
      </c>
      <c r="IQ57" s="104" t="str">
        <f t="shared" ca="1" si="323"/>
        <v/>
      </c>
      <c r="IR57" s="104" t="str">
        <f t="shared" ca="1" si="323"/>
        <v/>
      </c>
      <c r="IS57" s="104" t="str">
        <f t="shared" ca="1" si="323"/>
        <v/>
      </c>
      <c r="IT57" s="104" t="str">
        <f t="shared" ca="1" si="323"/>
        <v/>
      </c>
      <c r="IU57" s="104" t="str">
        <f t="shared" ca="1" si="323"/>
        <v/>
      </c>
      <c r="IV57" s="104" t="str">
        <f t="shared" ca="1" si="323"/>
        <v/>
      </c>
      <c r="IW57" s="104" t="str">
        <f t="shared" ca="1" si="323"/>
        <v/>
      </c>
      <c r="IX57" s="104" t="str">
        <f t="shared" ca="1" si="323"/>
        <v/>
      </c>
      <c r="IY57" s="104" t="str">
        <f t="shared" ca="1" si="323"/>
        <v/>
      </c>
      <c r="IZ57" s="104" t="str">
        <f t="shared" ca="1" si="323"/>
        <v/>
      </c>
      <c r="JA57" s="104" t="str">
        <f t="shared" ca="1" si="323"/>
        <v/>
      </c>
      <c r="JB57" s="104" t="str">
        <f t="shared" ca="1" si="323"/>
        <v/>
      </c>
      <c r="JC57" s="104" t="str">
        <f t="shared" ca="1" si="323"/>
        <v/>
      </c>
      <c r="JD57" s="104" t="str">
        <f t="shared" ca="1" si="323"/>
        <v/>
      </c>
      <c r="JE57" s="104" t="str">
        <f t="shared" ca="1" si="323"/>
        <v/>
      </c>
      <c r="JF57" s="104" t="str">
        <f t="shared" ca="1" si="323"/>
        <v/>
      </c>
      <c r="JG57" s="104" t="str">
        <f t="shared" ca="1" si="323"/>
        <v/>
      </c>
      <c r="JH57" s="104" t="str">
        <f t="shared" ca="1" si="323"/>
        <v/>
      </c>
      <c r="JI57" s="104" t="str">
        <f t="shared" ca="1" si="323"/>
        <v/>
      </c>
      <c r="JJ57" s="104" t="str">
        <f t="shared" ca="1" si="323"/>
        <v/>
      </c>
      <c r="JK57" s="104" t="str">
        <f t="shared" ca="1" si="323"/>
        <v/>
      </c>
      <c r="JL57" s="104" t="str">
        <f t="shared" ca="1" si="323"/>
        <v/>
      </c>
      <c r="JM57" s="104" t="str">
        <f t="shared" ca="1" si="323"/>
        <v/>
      </c>
      <c r="JN57" s="104" t="str">
        <f t="shared" ca="1" si="323"/>
        <v/>
      </c>
      <c r="JO57" s="104" t="str">
        <f t="shared" ca="1" si="323"/>
        <v/>
      </c>
      <c r="JP57" s="104" t="str">
        <f t="shared" ca="1" si="323"/>
        <v/>
      </c>
      <c r="JQ57" s="104" t="str">
        <f t="shared" ca="1" si="323"/>
        <v/>
      </c>
      <c r="JR57" s="104" t="str">
        <f t="shared" ref="JR57:JZ57" ca="1" si="324">IF(JR3&gt;$J$5,"",JQ57+JR54-JR56)</f>
        <v/>
      </c>
      <c r="JS57" s="104" t="str">
        <f t="shared" ca="1" si="324"/>
        <v/>
      </c>
      <c r="JT57" s="104" t="str">
        <f t="shared" ca="1" si="324"/>
        <v/>
      </c>
      <c r="JU57" s="104" t="str">
        <f t="shared" ca="1" si="324"/>
        <v/>
      </c>
      <c r="JV57" s="104" t="str">
        <f t="shared" ca="1" si="324"/>
        <v/>
      </c>
      <c r="JW57" s="104" t="str">
        <f t="shared" ca="1" si="324"/>
        <v/>
      </c>
      <c r="JX57" s="104" t="str">
        <f t="shared" ca="1" si="324"/>
        <v/>
      </c>
      <c r="JY57" s="104" t="str">
        <f t="shared" ca="1" si="324"/>
        <v/>
      </c>
      <c r="JZ57" s="105" t="str">
        <f t="shared" ca="1" si="324"/>
        <v/>
      </c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</row>
    <row r="58" spans="1:669" ht="5.25" customHeight="1" thickTop="1" x14ac:dyDescent="0.25">
      <c r="A58" s="130"/>
      <c r="B58" s="131"/>
      <c r="C58" s="131"/>
      <c r="D58" s="131"/>
      <c r="E58" s="131"/>
      <c r="F58" s="187"/>
      <c r="G58" s="131"/>
      <c r="H58" s="131"/>
      <c r="I58" s="249"/>
      <c r="J58" s="289" t="s">
        <v>8</v>
      </c>
      <c r="K58" s="126"/>
      <c r="L58" s="124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/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  <c r="DC58" s="116"/>
      <c r="DD58" s="116"/>
      <c r="DE58" s="116"/>
      <c r="DF58" s="116"/>
      <c r="DG58" s="116"/>
      <c r="DH58" s="116"/>
      <c r="DI58" s="116"/>
      <c r="DJ58" s="116"/>
      <c r="DK58" s="116"/>
      <c r="DL58" s="116"/>
      <c r="DM58" s="116"/>
      <c r="DN58" s="116"/>
      <c r="DO58" s="116"/>
      <c r="DP58" s="116"/>
      <c r="DQ58" s="116"/>
      <c r="DR58" s="116"/>
      <c r="DS58" s="116"/>
      <c r="DT58" s="116"/>
      <c r="DU58" s="116"/>
      <c r="DV58" s="116"/>
      <c r="DW58" s="116"/>
      <c r="DX58" s="116"/>
      <c r="DY58" s="116"/>
      <c r="DZ58" s="116"/>
      <c r="EA58" s="116"/>
      <c r="EB58" s="116"/>
      <c r="EC58" s="116"/>
      <c r="ED58" s="116"/>
      <c r="EE58" s="116"/>
      <c r="EF58" s="116"/>
      <c r="EG58" s="116"/>
      <c r="EH58" s="116"/>
      <c r="EI58" s="116"/>
      <c r="EJ58" s="116"/>
      <c r="EK58" s="116"/>
      <c r="EL58" s="116"/>
      <c r="EM58" s="116"/>
      <c r="EN58" s="116"/>
      <c r="EO58" s="116"/>
      <c r="EP58" s="116"/>
      <c r="EQ58" s="116"/>
      <c r="ER58" s="116"/>
      <c r="ES58" s="116"/>
      <c r="ET58" s="116"/>
      <c r="EU58" s="116"/>
      <c r="EV58" s="116"/>
      <c r="EW58" s="116"/>
      <c r="EX58" s="116"/>
      <c r="EY58" s="116"/>
      <c r="EZ58" s="116"/>
      <c r="FA58" s="116"/>
      <c r="FB58" s="116"/>
      <c r="FC58" s="116"/>
      <c r="FD58" s="116"/>
      <c r="FE58" s="116"/>
      <c r="FF58" s="116"/>
      <c r="FG58" s="116"/>
      <c r="FH58" s="116"/>
      <c r="FI58" s="116"/>
      <c r="FJ58" s="116"/>
      <c r="FK58" s="116"/>
      <c r="FL58" s="116"/>
      <c r="FM58" s="116"/>
      <c r="FN58" s="116"/>
      <c r="FO58" s="116"/>
      <c r="FP58" s="116"/>
      <c r="FQ58" s="116"/>
      <c r="FR58" s="116"/>
      <c r="FS58" s="116"/>
      <c r="FT58" s="116"/>
      <c r="FU58" s="116"/>
      <c r="FV58" s="116"/>
      <c r="FW58" s="116"/>
      <c r="FX58" s="116"/>
      <c r="FY58" s="116"/>
      <c r="FZ58" s="116"/>
      <c r="GA58" s="116"/>
      <c r="GB58" s="116"/>
      <c r="GC58" s="116"/>
      <c r="GD58" s="116"/>
      <c r="GE58" s="116"/>
      <c r="GF58" s="116"/>
      <c r="GG58" s="116"/>
      <c r="GH58" s="116"/>
      <c r="GI58" s="116"/>
      <c r="GJ58" s="116"/>
      <c r="GK58" s="116"/>
      <c r="GL58" s="116"/>
      <c r="GM58" s="116"/>
      <c r="GN58" s="116"/>
      <c r="GO58" s="116"/>
      <c r="GP58" s="116"/>
      <c r="GQ58" s="116"/>
      <c r="GR58" s="116"/>
      <c r="GS58" s="116"/>
      <c r="GT58" s="116"/>
      <c r="GU58" s="116"/>
      <c r="GV58" s="116"/>
      <c r="GW58" s="116"/>
      <c r="GX58" s="116"/>
      <c r="GY58" s="116"/>
      <c r="GZ58" s="116"/>
      <c r="HA58" s="116"/>
      <c r="HB58" s="116"/>
      <c r="HC58" s="116"/>
      <c r="HD58" s="116"/>
      <c r="HE58" s="116"/>
      <c r="HF58" s="116"/>
      <c r="HG58" s="116"/>
      <c r="HH58" s="116"/>
      <c r="HI58" s="116"/>
      <c r="HJ58" s="116"/>
      <c r="HK58" s="116"/>
      <c r="HL58" s="116"/>
      <c r="HM58" s="116"/>
      <c r="HN58" s="116"/>
      <c r="HO58" s="116"/>
      <c r="HP58" s="116"/>
      <c r="HQ58" s="116"/>
      <c r="HR58" s="116"/>
      <c r="HS58" s="116"/>
      <c r="HT58" s="116"/>
      <c r="HU58" s="116"/>
      <c r="HV58" s="116"/>
      <c r="HW58" s="116"/>
      <c r="HX58" s="116"/>
      <c r="HY58" s="116"/>
      <c r="HZ58" s="116"/>
      <c r="IA58" s="116"/>
      <c r="IB58" s="116"/>
      <c r="IC58" s="116"/>
      <c r="ID58" s="116"/>
      <c r="IE58" s="116"/>
      <c r="IF58" s="116"/>
      <c r="IG58" s="116"/>
      <c r="IH58" s="116"/>
      <c r="II58" s="116"/>
      <c r="IJ58" s="116"/>
      <c r="IK58" s="116"/>
      <c r="IL58" s="116"/>
      <c r="IM58" s="116"/>
      <c r="IN58" s="116"/>
      <c r="IO58" s="116"/>
      <c r="IP58" s="116"/>
      <c r="IQ58" s="116"/>
      <c r="IR58" s="116"/>
      <c r="IS58" s="116"/>
      <c r="IT58" s="116"/>
      <c r="IU58" s="116"/>
      <c r="IV58" s="116"/>
      <c r="IW58" s="116"/>
      <c r="IX58" s="116"/>
      <c r="IY58" s="116"/>
      <c r="IZ58" s="116"/>
      <c r="JA58" s="116"/>
      <c r="JB58" s="116"/>
      <c r="JC58" s="116"/>
      <c r="JD58" s="116"/>
      <c r="JE58" s="116"/>
      <c r="JF58" s="116"/>
      <c r="JG58" s="116"/>
      <c r="JH58" s="116"/>
      <c r="JI58" s="116"/>
      <c r="JJ58" s="116"/>
      <c r="JK58" s="116"/>
      <c r="JL58" s="116"/>
      <c r="JM58" s="116"/>
      <c r="JN58" s="116"/>
      <c r="JO58" s="116"/>
      <c r="JP58" s="116"/>
      <c r="JQ58" s="116"/>
      <c r="JR58" s="116"/>
      <c r="JS58" s="116"/>
      <c r="JT58" s="116"/>
      <c r="JU58" s="116"/>
      <c r="JV58" s="116"/>
      <c r="JW58" s="116"/>
      <c r="JX58" s="116"/>
      <c r="JY58" s="116"/>
      <c r="JZ58" s="1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</row>
    <row r="59" spans="1:669" ht="5.25" customHeight="1" x14ac:dyDescent="0.25">
      <c r="A59" s="132"/>
      <c r="B59" s="49"/>
      <c r="C59" s="49"/>
      <c r="D59" s="49"/>
      <c r="E59" s="49"/>
      <c r="F59" s="185"/>
      <c r="G59" s="49"/>
      <c r="H59" s="49"/>
      <c r="I59" s="240"/>
      <c r="J59" s="287"/>
      <c r="K59" s="93"/>
      <c r="L59" s="60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  <c r="DY59" s="61"/>
      <c r="DZ59" s="61"/>
      <c r="EA59" s="61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61"/>
      <c r="EO59" s="61"/>
      <c r="EP59" s="61"/>
      <c r="EQ59" s="61"/>
      <c r="ER59" s="61"/>
      <c r="ES59" s="61"/>
      <c r="ET59" s="61"/>
      <c r="EU59" s="61"/>
      <c r="EV59" s="61"/>
      <c r="EW59" s="61"/>
      <c r="EX59" s="61"/>
      <c r="EY59" s="61"/>
      <c r="EZ59" s="61"/>
      <c r="FA59" s="61"/>
      <c r="FB59" s="61"/>
      <c r="FC59" s="61"/>
      <c r="FD59" s="61"/>
      <c r="FE59" s="61"/>
      <c r="FF59" s="61"/>
      <c r="FG59" s="61"/>
      <c r="FH59" s="61"/>
      <c r="FI59" s="61"/>
      <c r="FJ59" s="61"/>
      <c r="FK59" s="61"/>
      <c r="FL59" s="61"/>
      <c r="FM59" s="61"/>
      <c r="FN59" s="61"/>
      <c r="FO59" s="61"/>
      <c r="FP59" s="61"/>
      <c r="FQ59" s="61"/>
      <c r="FR59" s="61"/>
      <c r="FS59" s="61"/>
      <c r="FT59" s="61"/>
      <c r="FU59" s="61"/>
      <c r="FV59" s="61"/>
      <c r="FW59" s="61"/>
      <c r="FX59" s="61"/>
      <c r="FY59" s="61"/>
      <c r="FZ59" s="61"/>
      <c r="GA59" s="61"/>
      <c r="GB59" s="61"/>
      <c r="GC59" s="61"/>
      <c r="GD59" s="61"/>
      <c r="GE59" s="61"/>
      <c r="GF59" s="61"/>
      <c r="GG59" s="61"/>
      <c r="GH59" s="61"/>
      <c r="GI59" s="61"/>
      <c r="GJ59" s="61"/>
      <c r="GK59" s="61"/>
      <c r="GL59" s="61"/>
      <c r="GM59" s="61"/>
      <c r="GN59" s="61"/>
      <c r="GO59" s="61"/>
      <c r="GP59" s="61"/>
      <c r="GQ59" s="61"/>
      <c r="GR59" s="61"/>
      <c r="GS59" s="61"/>
      <c r="GT59" s="61"/>
      <c r="GU59" s="61"/>
      <c r="GV59" s="61"/>
      <c r="GW59" s="61"/>
      <c r="GX59" s="61"/>
      <c r="GY59" s="61"/>
      <c r="GZ59" s="61"/>
      <c r="HA59" s="61"/>
      <c r="HB59" s="61"/>
      <c r="HC59" s="61"/>
      <c r="HD59" s="61"/>
      <c r="HE59" s="61"/>
      <c r="HF59" s="61"/>
      <c r="HG59" s="61"/>
      <c r="HH59" s="61"/>
      <c r="HI59" s="61"/>
      <c r="HJ59" s="61"/>
      <c r="HK59" s="61"/>
      <c r="HL59" s="61"/>
      <c r="HM59" s="61"/>
      <c r="HN59" s="61"/>
      <c r="HO59" s="61"/>
      <c r="HP59" s="61"/>
      <c r="HQ59" s="61"/>
      <c r="HR59" s="61"/>
      <c r="HS59" s="61"/>
      <c r="HT59" s="61"/>
      <c r="HU59" s="61"/>
      <c r="HV59" s="61"/>
      <c r="HW59" s="61"/>
      <c r="HX59" s="61"/>
      <c r="HY59" s="61"/>
      <c r="HZ59" s="61"/>
      <c r="IA59" s="61"/>
      <c r="IB59" s="61"/>
      <c r="IC59" s="61"/>
      <c r="ID59" s="61"/>
      <c r="IE59" s="61"/>
      <c r="IF59" s="61"/>
      <c r="IG59" s="61"/>
      <c r="IH59" s="61"/>
      <c r="II59" s="61"/>
      <c r="IJ59" s="61"/>
      <c r="IK59" s="61"/>
      <c r="IL59" s="61"/>
      <c r="IM59" s="61"/>
      <c r="IN59" s="61"/>
      <c r="IO59" s="61"/>
      <c r="IP59" s="61"/>
      <c r="IQ59" s="61"/>
      <c r="IR59" s="61"/>
      <c r="IS59" s="61"/>
      <c r="IT59" s="61"/>
      <c r="IU59" s="61"/>
      <c r="IV59" s="61"/>
      <c r="IW59" s="61"/>
      <c r="IX59" s="61"/>
      <c r="IY59" s="61"/>
      <c r="IZ59" s="61"/>
      <c r="JA59" s="61"/>
      <c r="JB59" s="61"/>
      <c r="JC59" s="61"/>
      <c r="JD59" s="61"/>
      <c r="JE59" s="61"/>
      <c r="JF59" s="61"/>
      <c r="JG59" s="61"/>
      <c r="JH59" s="61"/>
      <c r="JI59" s="61"/>
      <c r="JJ59" s="61"/>
      <c r="JK59" s="61"/>
      <c r="JL59" s="61"/>
      <c r="JM59" s="61"/>
      <c r="JN59" s="61"/>
      <c r="JO59" s="61"/>
      <c r="JP59" s="61"/>
      <c r="JQ59" s="61"/>
      <c r="JR59" s="61"/>
      <c r="JS59" s="61"/>
      <c r="JT59" s="61"/>
      <c r="JU59" s="61"/>
      <c r="JV59" s="61"/>
      <c r="JW59" s="61"/>
      <c r="JX59" s="61"/>
      <c r="JY59" s="61"/>
      <c r="JZ59" s="111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</row>
    <row r="60" spans="1:669" ht="6" customHeight="1" thickBot="1" x14ac:dyDescent="0.3">
      <c r="A60" s="133"/>
      <c r="B60" s="129"/>
      <c r="C60" s="129"/>
      <c r="D60" s="129"/>
      <c r="E60" s="129"/>
      <c r="F60" s="186"/>
      <c r="G60" s="129"/>
      <c r="H60" s="129"/>
      <c r="I60" s="244"/>
      <c r="J60" s="288"/>
      <c r="K60" s="128"/>
      <c r="L60" s="46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18"/>
      <c r="CS60" s="118"/>
      <c r="CT60" s="118"/>
      <c r="CU60" s="118"/>
      <c r="CV60" s="118"/>
      <c r="CW60" s="118"/>
      <c r="CX60" s="118"/>
      <c r="CY60" s="118"/>
      <c r="CZ60" s="118"/>
      <c r="DA60" s="118"/>
      <c r="DB60" s="118"/>
      <c r="DC60" s="118"/>
      <c r="DD60" s="118"/>
      <c r="DE60" s="118"/>
      <c r="DF60" s="118"/>
      <c r="DG60" s="118"/>
      <c r="DH60" s="118"/>
      <c r="DI60" s="118"/>
      <c r="DJ60" s="118"/>
      <c r="DK60" s="118"/>
      <c r="DL60" s="118"/>
      <c r="DM60" s="118"/>
      <c r="DN60" s="118"/>
      <c r="DO60" s="118"/>
      <c r="DP60" s="118"/>
      <c r="DQ60" s="118"/>
      <c r="DR60" s="118"/>
      <c r="DS60" s="118"/>
      <c r="DT60" s="118"/>
      <c r="DU60" s="118"/>
      <c r="DV60" s="118"/>
      <c r="DW60" s="118"/>
      <c r="DX60" s="118"/>
      <c r="DY60" s="118"/>
      <c r="DZ60" s="118"/>
      <c r="EA60" s="118"/>
      <c r="EB60" s="118"/>
      <c r="EC60" s="118"/>
      <c r="ED60" s="118"/>
      <c r="EE60" s="118"/>
      <c r="EF60" s="118"/>
      <c r="EG60" s="118"/>
      <c r="EH60" s="118"/>
      <c r="EI60" s="118"/>
      <c r="EJ60" s="118"/>
      <c r="EK60" s="118"/>
      <c r="EL60" s="118"/>
      <c r="EM60" s="118"/>
      <c r="EN60" s="118"/>
      <c r="EO60" s="118"/>
      <c r="EP60" s="118"/>
      <c r="EQ60" s="118"/>
      <c r="ER60" s="118"/>
      <c r="ES60" s="118"/>
      <c r="ET60" s="118"/>
      <c r="EU60" s="118"/>
      <c r="EV60" s="118"/>
      <c r="EW60" s="118"/>
      <c r="EX60" s="118"/>
      <c r="EY60" s="118"/>
      <c r="EZ60" s="118"/>
      <c r="FA60" s="118"/>
      <c r="FB60" s="118"/>
      <c r="FC60" s="118"/>
      <c r="FD60" s="118"/>
      <c r="FE60" s="118"/>
      <c r="FF60" s="118"/>
      <c r="FG60" s="118"/>
      <c r="FH60" s="118"/>
      <c r="FI60" s="118"/>
      <c r="FJ60" s="118"/>
      <c r="FK60" s="118"/>
      <c r="FL60" s="118"/>
      <c r="FM60" s="118"/>
      <c r="FN60" s="118"/>
      <c r="FO60" s="118"/>
      <c r="FP60" s="118"/>
      <c r="FQ60" s="118"/>
      <c r="FR60" s="118"/>
      <c r="FS60" s="118"/>
      <c r="FT60" s="118"/>
      <c r="FU60" s="118"/>
      <c r="FV60" s="118"/>
      <c r="FW60" s="118"/>
      <c r="FX60" s="118"/>
      <c r="FY60" s="118"/>
      <c r="FZ60" s="118"/>
      <c r="GA60" s="118"/>
      <c r="GB60" s="118"/>
      <c r="GC60" s="118"/>
      <c r="GD60" s="118"/>
      <c r="GE60" s="118"/>
      <c r="GF60" s="118"/>
      <c r="GG60" s="118"/>
      <c r="GH60" s="118"/>
      <c r="GI60" s="118"/>
      <c r="GJ60" s="118"/>
      <c r="GK60" s="118"/>
      <c r="GL60" s="118"/>
      <c r="GM60" s="118"/>
      <c r="GN60" s="118"/>
      <c r="GO60" s="118"/>
      <c r="GP60" s="118"/>
      <c r="GQ60" s="118"/>
      <c r="GR60" s="118"/>
      <c r="GS60" s="118"/>
      <c r="GT60" s="118"/>
      <c r="GU60" s="118"/>
      <c r="GV60" s="118"/>
      <c r="GW60" s="118"/>
      <c r="GX60" s="118"/>
      <c r="GY60" s="118"/>
      <c r="GZ60" s="118"/>
      <c r="HA60" s="118"/>
      <c r="HB60" s="118"/>
      <c r="HC60" s="118"/>
      <c r="HD60" s="118"/>
      <c r="HE60" s="118"/>
      <c r="HF60" s="118"/>
      <c r="HG60" s="118"/>
      <c r="HH60" s="118"/>
      <c r="HI60" s="118"/>
      <c r="HJ60" s="118"/>
      <c r="HK60" s="118"/>
      <c r="HL60" s="118"/>
      <c r="HM60" s="118"/>
      <c r="HN60" s="118"/>
      <c r="HO60" s="118"/>
      <c r="HP60" s="118"/>
      <c r="HQ60" s="118"/>
      <c r="HR60" s="118"/>
      <c r="HS60" s="118"/>
      <c r="HT60" s="118"/>
      <c r="HU60" s="118"/>
      <c r="HV60" s="118"/>
      <c r="HW60" s="118"/>
      <c r="HX60" s="118"/>
      <c r="HY60" s="118"/>
      <c r="HZ60" s="118"/>
      <c r="IA60" s="118"/>
      <c r="IB60" s="118"/>
      <c r="IC60" s="118"/>
      <c r="ID60" s="118"/>
      <c r="IE60" s="118"/>
      <c r="IF60" s="118"/>
      <c r="IG60" s="118"/>
      <c r="IH60" s="118"/>
      <c r="II60" s="118"/>
      <c r="IJ60" s="118"/>
      <c r="IK60" s="118"/>
      <c r="IL60" s="118"/>
      <c r="IM60" s="118"/>
      <c r="IN60" s="118"/>
      <c r="IO60" s="118"/>
      <c r="IP60" s="118"/>
      <c r="IQ60" s="118"/>
      <c r="IR60" s="118"/>
      <c r="IS60" s="118"/>
      <c r="IT60" s="118"/>
      <c r="IU60" s="118"/>
      <c r="IV60" s="118"/>
      <c r="IW60" s="118"/>
      <c r="IX60" s="118"/>
      <c r="IY60" s="118"/>
      <c r="IZ60" s="118"/>
      <c r="JA60" s="118"/>
      <c r="JB60" s="118"/>
      <c r="JC60" s="118"/>
      <c r="JD60" s="118"/>
      <c r="JE60" s="118"/>
      <c r="JF60" s="118"/>
      <c r="JG60" s="118"/>
      <c r="JH60" s="118"/>
      <c r="JI60" s="118"/>
      <c r="JJ60" s="118"/>
      <c r="JK60" s="118"/>
      <c r="JL60" s="118"/>
      <c r="JM60" s="118"/>
      <c r="JN60" s="118"/>
      <c r="JO60" s="118"/>
      <c r="JP60" s="118"/>
      <c r="JQ60" s="118"/>
      <c r="JR60" s="118"/>
      <c r="JS60" s="118"/>
      <c r="JT60" s="118"/>
      <c r="JU60" s="118"/>
      <c r="JV60" s="118"/>
      <c r="JW60" s="118"/>
      <c r="JX60" s="118"/>
      <c r="JY60" s="118"/>
      <c r="JZ60" s="120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</row>
    <row r="61" spans="1:669" ht="15" customHeight="1" thickTop="1" x14ac:dyDescent="0.25">
      <c r="A61" s="142">
        <f>B61</f>
        <v>0</v>
      </c>
      <c r="B61" s="231"/>
      <c r="C61" s="137" t="s">
        <v>13</v>
      </c>
      <c r="D61" s="228" t="s">
        <v>14</v>
      </c>
      <c r="E61" s="172" t="s">
        <v>42</v>
      </c>
      <c r="F61" s="180">
        <f ca="1">(F64+F62)*H62</f>
        <v>0</v>
      </c>
      <c r="G61" s="172" t="s">
        <v>37</v>
      </c>
      <c r="H61" s="169">
        <f ca="1">STDEVPA(V65:JZ65)</f>
        <v>0</v>
      </c>
      <c r="I61" s="245" t="s">
        <v>15</v>
      </c>
      <c r="J61" s="121" t="str">
        <f>J58</f>
        <v>CORTE</v>
      </c>
      <c r="K61" s="281" t="s">
        <v>10</v>
      </c>
      <c r="L61" s="95"/>
      <c r="M61" s="96"/>
      <c r="N61" s="96"/>
      <c r="O61" s="96"/>
      <c r="P61" s="96"/>
      <c r="Q61" s="96"/>
      <c r="R61" s="96"/>
      <c r="S61" s="96"/>
      <c r="T61" s="96"/>
      <c r="U61" s="96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97"/>
      <c r="BR61" s="97"/>
      <c r="BS61" s="97"/>
      <c r="BT61" s="97"/>
      <c r="BU61" s="97"/>
      <c r="BV61" s="97"/>
      <c r="BW61" s="97"/>
      <c r="BX61" s="97"/>
      <c r="BY61" s="97"/>
      <c r="BZ61" s="97"/>
      <c r="CA61" s="97"/>
      <c r="CB61" s="97"/>
      <c r="CC61" s="97"/>
      <c r="CD61" s="97"/>
      <c r="CE61" s="97"/>
      <c r="CF61" s="97"/>
      <c r="CG61" s="97"/>
      <c r="CH61" s="97"/>
      <c r="CI61" s="97"/>
      <c r="CJ61" s="97"/>
      <c r="CK61" s="97"/>
      <c r="CL61" s="97"/>
      <c r="CM61" s="97"/>
      <c r="CN61" s="97"/>
      <c r="CO61" s="97"/>
      <c r="CP61" s="97"/>
      <c r="CQ61" s="97"/>
      <c r="CR61" s="97"/>
      <c r="CS61" s="97"/>
      <c r="CT61" s="97"/>
      <c r="CU61" s="97"/>
      <c r="CV61" s="97"/>
      <c r="CW61" s="97"/>
      <c r="CX61" s="97"/>
      <c r="CY61" s="97"/>
      <c r="CZ61" s="97"/>
      <c r="DA61" s="97"/>
      <c r="DB61" s="97"/>
      <c r="DC61" s="97"/>
      <c r="DD61" s="97"/>
      <c r="DE61" s="97"/>
      <c r="DF61" s="97"/>
      <c r="DG61" s="97"/>
      <c r="DH61" s="97"/>
      <c r="DI61" s="97"/>
      <c r="DJ61" s="97"/>
      <c r="DK61" s="97"/>
      <c r="DL61" s="97"/>
      <c r="DM61" s="97"/>
      <c r="DN61" s="97"/>
      <c r="DO61" s="97"/>
      <c r="DP61" s="97"/>
      <c r="DQ61" s="97"/>
      <c r="DR61" s="97"/>
      <c r="DS61" s="97"/>
      <c r="DT61" s="97"/>
      <c r="DU61" s="97"/>
      <c r="DV61" s="97"/>
      <c r="DW61" s="97"/>
      <c r="DX61" s="97"/>
      <c r="DY61" s="97"/>
      <c r="DZ61" s="97"/>
      <c r="EA61" s="97"/>
      <c r="EB61" s="97"/>
      <c r="EC61" s="97"/>
      <c r="ED61" s="97"/>
      <c r="EE61" s="97"/>
      <c r="EF61" s="97"/>
      <c r="EG61" s="97"/>
      <c r="EH61" s="97"/>
      <c r="EI61" s="97"/>
      <c r="EJ61" s="97"/>
      <c r="EK61" s="97"/>
      <c r="EL61" s="97"/>
      <c r="EM61" s="97"/>
      <c r="EN61" s="97"/>
      <c r="EO61" s="97"/>
      <c r="EP61" s="97"/>
      <c r="EQ61" s="97"/>
      <c r="ER61" s="97"/>
      <c r="ES61" s="97"/>
      <c r="ET61" s="97"/>
      <c r="EU61" s="97"/>
      <c r="EV61" s="97"/>
      <c r="EW61" s="97"/>
      <c r="EX61" s="97"/>
      <c r="EY61" s="97"/>
      <c r="EZ61" s="97"/>
      <c r="FA61" s="97"/>
      <c r="FB61" s="97"/>
      <c r="FC61" s="97"/>
      <c r="FD61" s="97"/>
      <c r="FE61" s="97"/>
      <c r="FF61" s="97"/>
      <c r="FG61" s="97"/>
      <c r="FH61" s="97"/>
      <c r="FI61" s="97"/>
      <c r="FJ61" s="97"/>
      <c r="FK61" s="97"/>
      <c r="FL61" s="97"/>
      <c r="FM61" s="97"/>
      <c r="FN61" s="97"/>
      <c r="FO61" s="97"/>
      <c r="FP61" s="97"/>
      <c r="FQ61" s="97"/>
      <c r="FR61" s="97"/>
      <c r="FS61" s="97"/>
      <c r="FT61" s="97"/>
      <c r="FU61" s="97"/>
      <c r="FV61" s="97"/>
      <c r="FW61" s="97"/>
      <c r="FX61" s="97"/>
      <c r="FY61" s="97"/>
      <c r="FZ61" s="97"/>
      <c r="GA61" s="97"/>
      <c r="GB61" s="97"/>
      <c r="GC61" s="97"/>
      <c r="GD61" s="97"/>
      <c r="GE61" s="97"/>
      <c r="GF61" s="97"/>
      <c r="GG61" s="97"/>
      <c r="GH61" s="97"/>
      <c r="GI61" s="97"/>
      <c r="GJ61" s="97"/>
      <c r="GK61" s="97"/>
      <c r="GL61" s="97"/>
      <c r="GM61" s="97"/>
      <c r="GN61" s="97"/>
      <c r="GO61" s="97"/>
      <c r="GP61" s="97"/>
      <c r="GQ61" s="97"/>
      <c r="GR61" s="97"/>
      <c r="GS61" s="97"/>
      <c r="GT61" s="97"/>
      <c r="GU61" s="97"/>
      <c r="GV61" s="97"/>
      <c r="GW61" s="97"/>
      <c r="GX61" s="97"/>
      <c r="GY61" s="97"/>
      <c r="GZ61" s="97"/>
      <c r="HA61" s="97"/>
      <c r="HB61" s="97"/>
      <c r="HC61" s="97"/>
      <c r="HD61" s="97"/>
      <c r="HE61" s="97"/>
      <c r="HF61" s="97"/>
      <c r="HG61" s="97"/>
      <c r="HH61" s="97"/>
      <c r="HI61" s="97"/>
      <c r="HJ61" s="97"/>
      <c r="HK61" s="97"/>
      <c r="HL61" s="97"/>
      <c r="HM61" s="97"/>
      <c r="HN61" s="97"/>
      <c r="HO61" s="97"/>
      <c r="HP61" s="97"/>
      <c r="HQ61" s="97"/>
      <c r="HR61" s="97"/>
      <c r="HS61" s="97"/>
      <c r="HT61" s="97"/>
      <c r="HU61" s="97"/>
      <c r="HV61" s="97"/>
      <c r="HW61" s="97"/>
      <c r="HX61" s="97"/>
      <c r="HY61" s="97"/>
      <c r="HZ61" s="97"/>
      <c r="IA61" s="97"/>
      <c r="IB61" s="97"/>
      <c r="IC61" s="97"/>
      <c r="ID61" s="97"/>
      <c r="IE61" s="97"/>
      <c r="IF61" s="97"/>
      <c r="IG61" s="97"/>
      <c r="IH61" s="97"/>
      <c r="II61" s="97"/>
      <c r="IJ61" s="97"/>
      <c r="IK61" s="97"/>
      <c r="IL61" s="97"/>
      <c r="IM61" s="97"/>
      <c r="IN61" s="97"/>
      <c r="IO61" s="97"/>
      <c r="IP61" s="97"/>
      <c r="IQ61" s="97"/>
      <c r="IR61" s="97"/>
      <c r="IS61" s="97"/>
      <c r="IT61" s="97"/>
      <c r="IU61" s="97"/>
      <c r="IV61" s="97"/>
      <c r="IW61" s="97"/>
      <c r="IX61" s="97"/>
      <c r="IY61" s="97"/>
      <c r="IZ61" s="97"/>
      <c r="JA61" s="97"/>
      <c r="JB61" s="97"/>
      <c r="JC61" s="97"/>
      <c r="JD61" s="97"/>
      <c r="JE61" s="97"/>
      <c r="JF61" s="97"/>
      <c r="JG61" s="97"/>
      <c r="JH61" s="97"/>
      <c r="JI61" s="97"/>
      <c r="JJ61" s="97"/>
      <c r="JK61" s="97"/>
      <c r="JL61" s="97"/>
      <c r="JM61" s="97"/>
      <c r="JN61" s="97"/>
      <c r="JO61" s="97"/>
      <c r="JP61" s="97"/>
      <c r="JQ61" s="97"/>
      <c r="JR61" s="97"/>
      <c r="JS61" s="97"/>
      <c r="JT61" s="97"/>
      <c r="JU61" s="97"/>
      <c r="JV61" s="97"/>
      <c r="JW61" s="97"/>
      <c r="JX61" s="97"/>
      <c r="JY61" s="97"/>
      <c r="JZ61" s="98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</row>
    <row r="62" spans="1:669" x14ac:dyDescent="0.25">
      <c r="A62" s="138">
        <f>B61</f>
        <v>0</v>
      </c>
      <c r="B62" s="232"/>
      <c r="C62" s="81" t="str">
        <f>$C$61</f>
        <v>MELITTA</v>
      </c>
      <c r="D62" s="229"/>
      <c r="E62" s="173" t="s">
        <v>44</v>
      </c>
      <c r="F62" s="181">
        <f ca="1">AVERAGE(V65:JZ65)</f>
        <v>0</v>
      </c>
      <c r="G62" s="174" t="s">
        <v>38</v>
      </c>
      <c r="H62" s="170">
        <v>3</v>
      </c>
      <c r="I62" s="242" t="s">
        <v>16</v>
      </c>
      <c r="J62" s="83" t="str">
        <f>J61</f>
        <v>CORTE</v>
      </c>
      <c r="K62" s="281"/>
      <c r="L62" s="57"/>
      <c r="M62" s="58"/>
      <c r="N62" s="58"/>
      <c r="O62" s="58"/>
      <c r="P62" s="58"/>
      <c r="Q62" s="58"/>
      <c r="R62" s="58"/>
      <c r="S62" s="58"/>
      <c r="T62" s="58"/>
      <c r="U62" s="58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  <c r="DB62" s="70"/>
      <c r="DC62" s="70"/>
      <c r="DD62" s="70"/>
      <c r="DE62" s="70"/>
      <c r="DF62" s="70"/>
      <c r="DG62" s="70"/>
      <c r="DH62" s="70"/>
      <c r="DI62" s="70"/>
      <c r="DJ62" s="70"/>
      <c r="DK62" s="70"/>
      <c r="DL62" s="70"/>
      <c r="DM62" s="70"/>
      <c r="DN62" s="70"/>
      <c r="DO62" s="70"/>
      <c r="DP62" s="70"/>
      <c r="DQ62" s="70"/>
      <c r="DR62" s="70"/>
      <c r="DS62" s="70"/>
      <c r="DT62" s="70"/>
      <c r="DU62" s="70"/>
      <c r="DV62" s="70"/>
      <c r="DW62" s="70"/>
      <c r="DX62" s="70"/>
      <c r="DY62" s="70"/>
      <c r="DZ62" s="70"/>
      <c r="EA62" s="70"/>
      <c r="EB62" s="70"/>
      <c r="EC62" s="70"/>
      <c r="ED62" s="70"/>
      <c r="EE62" s="70"/>
      <c r="EF62" s="70"/>
      <c r="EG62" s="70"/>
      <c r="EH62" s="70"/>
      <c r="EI62" s="70"/>
      <c r="EJ62" s="70"/>
      <c r="EK62" s="70"/>
      <c r="EL62" s="70"/>
      <c r="EM62" s="70"/>
      <c r="EN62" s="70"/>
      <c r="EO62" s="70"/>
      <c r="EP62" s="70"/>
      <c r="EQ62" s="70"/>
      <c r="ER62" s="70"/>
      <c r="ES62" s="70"/>
      <c r="ET62" s="70"/>
      <c r="EU62" s="70"/>
      <c r="EV62" s="70"/>
      <c r="EW62" s="70"/>
      <c r="EX62" s="70"/>
      <c r="EY62" s="70"/>
      <c r="EZ62" s="70"/>
      <c r="FA62" s="70"/>
      <c r="FB62" s="70"/>
      <c r="FC62" s="70"/>
      <c r="FD62" s="70"/>
      <c r="FE62" s="70"/>
      <c r="FF62" s="70"/>
      <c r="FG62" s="70"/>
      <c r="FH62" s="70"/>
      <c r="FI62" s="70"/>
      <c r="FJ62" s="70"/>
      <c r="FK62" s="70"/>
      <c r="FL62" s="70"/>
      <c r="FM62" s="70"/>
      <c r="FN62" s="70"/>
      <c r="FO62" s="70"/>
      <c r="FP62" s="70"/>
      <c r="FQ62" s="70"/>
      <c r="FR62" s="70"/>
      <c r="FS62" s="70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  <c r="HM62" s="70"/>
      <c r="HN62" s="70"/>
      <c r="HO62" s="70"/>
      <c r="HP62" s="70"/>
      <c r="HQ62" s="70"/>
      <c r="HR62" s="70"/>
      <c r="HS62" s="70"/>
      <c r="HT62" s="70"/>
      <c r="HU62" s="70"/>
      <c r="HV62" s="70"/>
      <c r="HW62" s="70"/>
      <c r="HX62" s="70"/>
      <c r="HY62" s="70"/>
      <c r="HZ62" s="70"/>
      <c r="IA62" s="70"/>
      <c r="IB62" s="70"/>
      <c r="IC62" s="70"/>
      <c r="ID62" s="70"/>
      <c r="IE62" s="70"/>
      <c r="IF62" s="70"/>
      <c r="IG62" s="70"/>
      <c r="IH62" s="70"/>
      <c r="II62" s="70"/>
      <c r="IJ62" s="70"/>
      <c r="IK62" s="70"/>
      <c r="IL62" s="70"/>
      <c r="IM62" s="70"/>
      <c r="IN62" s="70"/>
      <c r="IO62" s="70"/>
      <c r="IP62" s="70"/>
      <c r="IQ62" s="70"/>
      <c r="IR62" s="70"/>
      <c r="IS62" s="70"/>
      <c r="IT62" s="70"/>
      <c r="IU62" s="70"/>
      <c r="IV62" s="70"/>
      <c r="IW62" s="70"/>
      <c r="IX62" s="70"/>
      <c r="IY62" s="70"/>
      <c r="IZ62" s="70"/>
      <c r="JA62" s="70"/>
      <c r="JB62" s="70"/>
      <c r="JC62" s="70"/>
      <c r="JD62" s="70"/>
      <c r="JE62" s="70"/>
      <c r="JF62" s="70"/>
      <c r="JG62" s="70"/>
      <c r="JH62" s="70"/>
      <c r="JI62" s="70"/>
      <c r="JJ62" s="70"/>
      <c r="JK62" s="70"/>
      <c r="JL62" s="70"/>
      <c r="JM62" s="70"/>
      <c r="JN62" s="70"/>
      <c r="JO62" s="70"/>
      <c r="JP62" s="70"/>
      <c r="JQ62" s="70"/>
      <c r="JR62" s="70"/>
      <c r="JS62" s="70"/>
      <c r="JT62" s="70"/>
      <c r="JU62" s="70"/>
      <c r="JV62" s="70"/>
      <c r="JW62" s="70"/>
      <c r="JX62" s="70"/>
      <c r="JY62" s="70"/>
      <c r="JZ62" s="99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</row>
    <row r="63" spans="1:669" x14ac:dyDescent="0.25">
      <c r="A63" s="138">
        <f>B61</f>
        <v>0</v>
      </c>
      <c r="B63" s="232"/>
      <c r="C63" s="81" t="str">
        <f t="shared" ref="C63:C65" si="325">$C$61</f>
        <v>MELITTA</v>
      </c>
      <c r="D63" s="229"/>
      <c r="E63" s="173" t="s">
        <v>41</v>
      </c>
      <c r="F63" s="181">
        <f ca="1">(F62*H62)+F64</f>
        <v>0</v>
      </c>
      <c r="G63" s="175" t="s">
        <v>39</v>
      </c>
      <c r="H63" s="170">
        <v>1</v>
      </c>
      <c r="I63" s="242" t="s">
        <v>17</v>
      </c>
      <c r="J63" s="83" t="str">
        <f t="shared" ref="J63:J70" si="326">J62</f>
        <v>CORTE</v>
      </c>
      <c r="K63" s="281"/>
      <c r="L63" s="57"/>
      <c r="M63" s="58"/>
      <c r="N63" s="58"/>
      <c r="O63" s="58"/>
      <c r="P63" s="58"/>
      <c r="Q63" s="58"/>
      <c r="R63" s="58"/>
      <c r="S63" s="58"/>
      <c r="T63" s="58"/>
      <c r="U63" s="58"/>
      <c r="V63" s="68">
        <f t="shared" ref="V63:CG63" ca="1" si="327">IF(V3&gt;$J$5,"",U63+V61-V62)</f>
        <v>0</v>
      </c>
      <c r="W63" s="68">
        <f t="shared" ca="1" si="327"/>
        <v>0</v>
      </c>
      <c r="X63" s="68">
        <f t="shared" ca="1" si="327"/>
        <v>0</v>
      </c>
      <c r="Y63" s="68">
        <f t="shared" ca="1" si="327"/>
        <v>0</v>
      </c>
      <c r="Z63" s="68">
        <f t="shared" ca="1" si="327"/>
        <v>0</v>
      </c>
      <c r="AA63" s="68">
        <f t="shared" ca="1" si="327"/>
        <v>0</v>
      </c>
      <c r="AB63" s="68">
        <f t="shared" ca="1" si="327"/>
        <v>0</v>
      </c>
      <c r="AC63" s="68">
        <f t="shared" ca="1" si="327"/>
        <v>0</v>
      </c>
      <c r="AD63" s="68">
        <f t="shared" ca="1" si="327"/>
        <v>0</v>
      </c>
      <c r="AE63" s="68">
        <f t="shared" ca="1" si="327"/>
        <v>0</v>
      </c>
      <c r="AF63" s="68">
        <f t="shared" ca="1" si="327"/>
        <v>0</v>
      </c>
      <c r="AG63" s="68">
        <f t="shared" ca="1" si="327"/>
        <v>0</v>
      </c>
      <c r="AH63" s="68">
        <f t="shared" ca="1" si="327"/>
        <v>0</v>
      </c>
      <c r="AI63" s="68">
        <f t="shared" ca="1" si="327"/>
        <v>0</v>
      </c>
      <c r="AJ63" s="68">
        <f t="shared" ca="1" si="327"/>
        <v>0</v>
      </c>
      <c r="AK63" s="68">
        <f t="shared" ca="1" si="327"/>
        <v>0</v>
      </c>
      <c r="AL63" s="68">
        <f t="shared" ca="1" si="327"/>
        <v>0</v>
      </c>
      <c r="AM63" s="68">
        <f t="shared" ca="1" si="327"/>
        <v>0</v>
      </c>
      <c r="AN63" s="68">
        <f t="shared" ca="1" si="327"/>
        <v>0</v>
      </c>
      <c r="AO63" s="68">
        <f t="shared" ca="1" si="327"/>
        <v>0</v>
      </c>
      <c r="AP63" s="68">
        <f t="shared" ca="1" si="327"/>
        <v>0</v>
      </c>
      <c r="AQ63" s="68">
        <f t="shared" ca="1" si="327"/>
        <v>0</v>
      </c>
      <c r="AR63" s="68">
        <f t="shared" ca="1" si="327"/>
        <v>0</v>
      </c>
      <c r="AS63" s="68">
        <f t="shared" ca="1" si="327"/>
        <v>0</v>
      </c>
      <c r="AT63" s="68">
        <f t="shared" ca="1" si="327"/>
        <v>0</v>
      </c>
      <c r="AU63" s="68">
        <f t="shared" ca="1" si="327"/>
        <v>0</v>
      </c>
      <c r="AV63" s="68">
        <f t="shared" ca="1" si="327"/>
        <v>0</v>
      </c>
      <c r="AW63" s="68">
        <f t="shared" ca="1" si="327"/>
        <v>0</v>
      </c>
      <c r="AX63" s="68">
        <f t="shared" ca="1" si="327"/>
        <v>0</v>
      </c>
      <c r="AY63" s="68">
        <f t="shared" ca="1" si="327"/>
        <v>0</v>
      </c>
      <c r="AZ63" s="68">
        <f t="shared" ca="1" si="327"/>
        <v>0</v>
      </c>
      <c r="BA63" s="68">
        <f t="shared" ca="1" si="327"/>
        <v>0</v>
      </c>
      <c r="BB63" s="68">
        <f t="shared" ca="1" si="327"/>
        <v>0</v>
      </c>
      <c r="BC63" s="68">
        <f t="shared" ca="1" si="327"/>
        <v>0</v>
      </c>
      <c r="BD63" s="68">
        <f t="shared" ca="1" si="327"/>
        <v>0</v>
      </c>
      <c r="BE63" s="68">
        <f t="shared" ca="1" si="327"/>
        <v>0</v>
      </c>
      <c r="BF63" s="68">
        <f t="shared" ca="1" si="327"/>
        <v>0</v>
      </c>
      <c r="BG63" s="68">
        <f t="shared" ca="1" si="327"/>
        <v>0</v>
      </c>
      <c r="BH63" s="68">
        <f t="shared" ca="1" si="327"/>
        <v>0</v>
      </c>
      <c r="BI63" s="68">
        <f t="shared" ca="1" si="327"/>
        <v>0</v>
      </c>
      <c r="BJ63" s="68">
        <f t="shared" ca="1" si="327"/>
        <v>0</v>
      </c>
      <c r="BK63" s="68">
        <f t="shared" ca="1" si="327"/>
        <v>0</v>
      </c>
      <c r="BL63" s="68">
        <f t="shared" ca="1" si="327"/>
        <v>0</v>
      </c>
      <c r="BM63" s="68">
        <f t="shared" ca="1" si="327"/>
        <v>0</v>
      </c>
      <c r="BN63" s="68">
        <f t="shared" ca="1" si="327"/>
        <v>0</v>
      </c>
      <c r="BO63" s="68">
        <f t="shared" ca="1" si="327"/>
        <v>0</v>
      </c>
      <c r="BP63" s="68">
        <f t="shared" ca="1" si="327"/>
        <v>0</v>
      </c>
      <c r="BQ63" s="68">
        <f t="shared" ca="1" si="327"/>
        <v>0</v>
      </c>
      <c r="BR63" s="68">
        <f t="shared" ca="1" si="327"/>
        <v>0</v>
      </c>
      <c r="BS63" s="68">
        <f t="shared" ca="1" si="327"/>
        <v>0</v>
      </c>
      <c r="BT63" s="68">
        <f t="shared" ca="1" si="327"/>
        <v>0</v>
      </c>
      <c r="BU63" s="68">
        <f t="shared" ca="1" si="327"/>
        <v>0</v>
      </c>
      <c r="BV63" s="68">
        <f t="shared" ca="1" si="327"/>
        <v>0</v>
      </c>
      <c r="BW63" s="68">
        <f t="shared" ca="1" si="327"/>
        <v>0</v>
      </c>
      <c r="BX63" s="68">
        <f t="shared" ca="1" si="327"/>
        <v>0</v>
      </c>
      <c r="BY63" s="68">
        <f t="shared" ca="1" si="327"/>
        <v>0</v>
      </c>
      <c r="BZ63" s="68">
        <f t="shared" ca="1" si="327"/>
        <v>0</v>
      </c>
      <c r="CA63" s="68">
        <f t="shared" ca="1" si="327"/>
        <v>0</v>
      </c>
      <c r="CB63" s="68">
        <f t="shared" ca="1" si="327"/>
        <v>0</v>
      </c>
      <c r="CC63" s="68">
        <f t="shared" ca="1" si="327"/>
        <v>0</v>
      </c>
      <c r="CD63" s="68">
        <f t="shared" ca="1" si="327"/>
        <v>0</v>
      </c>
      <c r="CE63" s="68">
        <f t="shared" ca="1" si="327"/>
        <v>0</v>
      </c>
      <c r="CF63" s="68">
        <f t="shared" ca="1" si="327"/>
        <v>0</v>
      </c>
      <c r="CG63" s="68">
        <f t="shared" ca="1" si="327"/>
        <v>0</v>
      </c>
      <c r="CH63" s="68">
        <f t="shared" ref="CH63:ES63" ca="1" si="328">IF(CH3&gt;$J$5,"",CG63+CH61-CH62)</f>
        <v>0</v>
      </c>
      <c r="CI63" s="68">
        <f t="shared" ca="1" si="328"/>
        <v>0</v>
      </c>
      <c r="CJ63" s="68">
        <f t="shared" ca="1" si="328"/>
        <v>0</v>
      </c>
      <c r="CK63" s="68">
        <f t="shared" ca="1" si="328"/>
        <v>0</v>
      </c>
      <c r="CL63" s="68">
        <f t="shared" ca="1" si="328"/>
        <v>0</v>
      </c>
      <c r="CM63" s="68">
        <f t="shared" ca="1" si="328"/>
        <v>0</v>
      </c>
      <c r="CN63" s="68">
        <f t="shared" ca="1" si="328"/>
        <v>0</v>
      </c>
      <c r="CO63" s="68">
        <f t="shared" ca="1" si="328"/>
        <v>0</v>
      </c>
      <c r="CP63" s="68">
        <f t="shared" ca="1" si="328"/>
        <v>0</v>
      </c>
      <c r="CQ63" s="68">
        <f t="shared" ca="1" si="328"/>
        <v>0</v>
      </c>
      <c r="CR63" s="68">
        <f t="shared" ca="1" si="328"/>
        <v>0</v>
      </c>
      <c r="CS63" s="68">
        <f t="shared" ca="1" si="328"/>
        <v>0</v>
      </c>
      <c r="CT63" s="68">
        <f t="shared" ca="1" si="328"/>
        <v>0</v>
      </c>
      <c r="CU63" s="68">
        <f t="shared" ca="1" si="328"/>
        <v>0</v>
      </c>
      <c r="CV63" s="68">
        <f t="shared" ca="1" si="328"/>
        <v>0</v>
      </c>
      <c r="CW63" s="68">
        <f t="shared" ca="1" si="328"/>
        <v>0</v>
      </c>
      <c r="CX63" s="68">
        <f t="shared" ca="1" si="328"/>
        <v>0</v>
      </c>
      <c r="CY63" s="68">
        <f t="shared" ca="1" si="328"/>
        <v>0</v>
      </c>
      <c r="CZ63" s="68">
        <f t="shared" ca="1" si="328"/>
        <v>0</v>
      </c>
      <c r="DA63" s="68">
        <f t="shared" ca="1" si="328"/>
        <v>0</v>
      </c>
      <c r="DB63" s="68">
        <f t="shared" ca="1" si="328"/>
        <v>0</v>
      </c>
      <c r="DC63" s="68">
        <f t="shared" ca="1" si="328"/>
        <v>0</v>
      </c>
      <c r="DD63" s="68">
        <f t="shared" ca="1" si="328"/>
        <v>0</v>
      </c>
      <c r="DE63" s="68">
        <f t="shared" ca="1" si="328"/>
        <v>0</v>
      </c>
      <c r="DF63" s="68">
        <f t="shared" ca="1" si="328"/>
        <v>0</v>
      </c>
      <c r="DG63" s="68">
        <f t="shared" ca="1" si="328"/>
        <v>0</v>
      </c>
      <c r="DH63" s="68">
        <f t="shared" ca="1" si="328"/>
        <v>0</v>
      </c>
      <c r="DI63" s="68">
        <f t="shared" ca="1" si="328"/>
        <v>0</v>
      </c>
      <c r="DJ63" s="68">
        <f t="shared" ca="1" si="328"/>
        <v>0</v>
      </c>
      <c r="DK63" s="68">
        <f t="shared" ca="1" si="328"/>
        <v>0</v>
      </c>
      <c r="DL63" s="68">
        <f t="shared" ca="1" si="328"/>
        <v>0</v>
      </c>
      <c r="DM63" s="68">
        <f t="shared" ca="1" si="328"/>
        <v>0</v>
      </c>
      <c r="DN63" s="68">
        <f t="shared" ca="1" si="328"/>
        <v>0</v>
      </c>
      <c r="DO63" s="68">
        <f t="shared" ca="1" si="328"/>
        <v>0</v>
      </c>
      <c r="DP63" s="68">
        <f t="shared" ca="1" si="328"/>
        <v>0</v>
      </c>
      <c r="DQ63" s="68">
        <f t="shared" ca="1" si="328"/>
        <v>0</v>
      </c>
      <c r="DR63" s="68">
        <f t="shared" ca="1" si="328"/>
        <v>0</v>
      </c>
      <c r="DS63" s="68">
        <f t="shared" ca="1" si="328"/>
        <v>0</v>
      </c>
      <c r="DT63" s="68">
        <f t="shared" ca="1" si="328"/>
        <v>0</v>
      </c>
      <c r="DU63" s="68">
        <f t="shared" ca="1" si="328"/>
        <v>0</v>
      </c>
      <c r="DV63" s="68">
        <f t="shared" ca="1" si="328"/>
        <v>0</v>
      </c>
      <c r="DW63" s="68">
        <f t="shared" ca="1" si="328"/>
        <v>0</v>
      </c>
      <c r="DX63" s="68">
        <f t="shared" ca="1" si="328"/>
        <v>0</v>
      </c>
      <c r="DY63" s="68">
        <f t="shared" ca="1" si="328"/>
        <v>0</v>
      </c>
      <c r="DZ63" s="68">
        <f t="shared" ca="1" si="328"/>
        <v>0</v>
      </c>
      <c r="EA63" s="68">
        <f t="shared" ca="1" si="328"/>
        <v>0</v>
      </c>
      <c r="EB63" s="68">
        <f t="shared" ca="1" si="328"/>
        <v>0</v>
      </c>
      <c r="EC63" s="68">
        <f t="shared" ca="1" si="328"/>
        <v>0</v>
      </c>
      <c r="ED63" s="68">
        <f t="shared" ca="1" si="328"/>
        <v>0</v>
      </c>
      <c r="EE63" s="68">
        <f t="shared" ca="1" si="328"/>
        <v>0</v>
      </c>
      <c r="EF63" s="68">
        <f t="shared" ca="1" si="328"/>
        <v>0</v>
      </c>
      <c r="EG63" s="68">
        <f t="shared" ca="1" si="328"/>
        <v>0</v>
      </c>
      <c r="EH63" s="68">
        <f t="shared" ca="1" si="328"/>
        <v>0</v>
      </c>
      <c r="EI63" s="68">
        <f t="shared" ca="1" si="328"/>
        <v>0</v>
      </c>
      <c r="EJ63" s="68">
        <f t="shared" ca="1" si="328"/>
        <v>0</v>
      </c>
      <c r="EK63" s="68">
        <f t="shared" ca="1" si="328"/>
        <v>0</v>
      </c>
      <c r="EL63" s="68">
        <f t="shared" ca="1" si="328"/>
        <v>0</v>
      </c>
      <c r="EM63" s="68">
        <f t="shared" ca="1" si="328"/>
        <v>0</v>
      </c>
      <c r="EN63" s="68">
        <f t="shared" ca="1" si="328"/>
        <v>0</v>
      </c>
      <c r="EO63" s="68">
        <f t="shared" ca="1" si="328"/>
        <v>0</v>
      </c>
      <c r="EP63" s="68">
        <f t="shared" ca="1" si="328"/>
        <v>0</v>
      </c>
      <c r="EQ63" s="68">
        <f t="shared" ca="1" si="328"/>
        <v>0</v>
      </c>
      <c r="ER63" s="68">
        <f t="shared" ca="1" si="328"/>
        <v>0</v>
      </c>
      <c r="ES63" s="68">
        <f t="shared" ca="1" si="328"/>
        <v>0</v>
      </c>
      <c r="ET63" s="68">
        <f t="shared" ref="ET63:HE63" ca="1" si="329">IF(ET3&gt;$J$5,"",ES63+ET61-ET62)</f>
        <v>0</v>
      </c>
      <c r="EU63" s="68">
        <f t="shared" ca="1" si="329"/>
        <v>0</v>
      </c>
      <c r="EV63" s="68">
        <f t="shared" ca="1" si="329"/>
        <v>0</v>
      </c>
      <c r="EW63" s="68">
        <f t="shared" ca="1" si="329"/>
        <v>0</v>
      </c>
      <c r="EX63" s="68">
        <f t="shared" ca="1" si="329"/>
        <v>0</v>
      </c>
      <c r="EY63" s="68">
        <f t="shared" ca="1" si="329"/>
        <v>0</v>
      </c>
      <c r="EZ63" s="68">
        <f t="shared" ca="1" si="329"/>
        <v>0</v>
      </c>
      <c r="FA63" s="68">
        <f t="shared" ca="1" si="329"/>
        <v>0</v>
      </c>
      <c r="FB63" s="68">
        <f t="shared" ca="1" si="329"/>
        <v>0</v>
      </c>
      <c r="FC63" s="68">
        <f t="shared" ca="1" si="329"/>
        <v>0</v>
      </c>
      <c r="FD63" s="68">
        <f t="shared" ca="1" si="329"/>
        <v>0</v>
      </c>
      <c r="FE63" s="68">
        <f t="shared" ca="1" si="329"/>
        <v>0</v>
      </c>
      <c r="FF63" s="68">
        <f t="shared" ca="1" si="329"/>
        <v>0</v>
      </c>
      <c r="FG63" s="68">
        <f t="shared" ca="1" si="329"/>
        <v>0</v>
      </c>
      <c r="FH63" s="68">
        <f t="shared" ca="1" si="329"/>
        <v>0</v>
      </c>
      <c r="FI63" s="68">
        <f t="shared" ca="1" si="329"/>
        <v>0</v>
      </c>
      <c r="FJ63" s="68">
        <f t="shared" ca="1" si="329"/>
        <v>0</v>
      </c>
      <c r="FK63" s="68">
        <f t="shared" ca="1" si="329"/>
        <v>0</v>
      </c>
      <c r="FL63" s="68">
        <f t="shared" ca="1" si="329"/>
        <v>0</v>
      </c>
      <c r="FM63" s="68">
        <f t="shared" ca="1" si="329"/>
        <v>0</v>
      </c>
      <c r="FN63" s="68">
        <f t="shared" ca="1" si="329"/>
        <v>0</v>
      </c>
      <c r="FO63" s="68">
        <f t="shared" ca="1" si="329"/>
        <v>0</v>
      </c>
      <c r="FP63" s="68">
        <f t="shared" ca="1" si="329"/>
        <v>0</v>
      </c>
      <c r="FQ63" s="68">
        <f t="shared" ca="1" si="329"/>
        <v>0</v>
      </c>
      <c r="FR63" s="68">
        <f t="shared" ca="1" si="329"/>
        <v>0</v>
      </c>
      <c r="FS63" s="68">
        <f t="shared" ca="1" si="329"/>
        <v>0</v>
      </c>
      <c r="FT63" s="68">
        <f t="shared" ca="1" si="329"/>
        <v>0</v>
      </c>
      <c r="FU63" s="68">
        <f t="shared" ca="1" si="329"/>
        <v>0</v>
      </c>
      <c r="FV63" s="68">
        <f t="shared" ca="1" si="329"/>
        <v>0</v>
      </c>
      <c r="FW63" s="68">
        <f t="shared" ca="1" si="329"/>
        <v>0</v>
      </c>
      <c r="FX63" s="68">
        <f t="shared" ca="1" si="329"/>
        <v>0</v>
      </c>
      <c r="FY63" s="68">
        <f t="shared" ca="1" si="329"/>
        <v>0</v>
      </c>
      <c r="FZ63" s="68">
        <f t="shared" ca="1" si="329"/>
        <v>0</v>
      </c>
      <c r="GA63" s="68">
        <f t="shared" ca="1" si="329"/>
        <v>0</v>
      </c>
      <c r="GB63" s="68">
        <f t="shared" ca="1" si="329"/>
        <v>0</v>
      </c>
      <c r="GC63" s="68">
        <f t="shared" ca="1" si="329"/>
        <v>0</v>
      </c>
      <c r="GD63" s="68">
        <f t="shared" ca="1" si="329"/>
        <v>0</v>
      </c>
      <c r="GE63" s="68">
        <f t="shared" ca="1" si="329"/>
        <v>0</v>
      </c>
      <c r="GF63" s="68">
        <f t="shared" ca="1" si="329"/>
        <v>0</v>
      </c>
      <c r="GG63" s="68">
        <f t="shared" ca="1" si="329"/>
        <v>0</v>
      </c>
      <c r="GH63" s="68">
        <f t="shared" ca="1" si="329"/>
        <v>0</v>
      </c>
      <c r="GI63" s="68">
        <f t="shared" ca="1" si="329"/>
        <v>0</v>
      </c>
      <c r="GJ63" s="68">
        <f t="shared" ca="1" si="329"/>
        <v>0</v>
      </c>
      <c r="GK63" s="68">
        <f t="shared" ca="1" si="329"/>
        <v>0</v>
      </c>
      <c r="GL63" s="68">
        <f t="shared" ca="1" si="329"/>
        <v>0</v>
      </c>
      <c r="GM63" s="68">
        <f t="shared" ca="1" si="329"/>
        <v>0</v>
      </c>
      <c r="GN63" s="68">
        <f t="shared" ca="1" si="329"/>
        <v>0</v>
      </c>
      <c r="GO63" s="68">
        <f t="shared" ca="1" si="329"/>
        <v>0</v>
      </c>
      <c r="GP63" s="68">
        <f t="shared" ca="1" si="329"/>
        <v>0</v>
      </c>
      <c r="GQ63" s="68">
        <f t="shared" ca="1" si="329"/>
        <v>0</v>
      </c>
      <c r="GR63" s="68">
        <f t="shared" ca="1" si="329"/>
        <v>0</v>
      </c>
      <c r="GS63" s="68">
        <f t="shared" ca="1" si="329"/>
        <v>0</v>
      </c>
      <c r="GT63" s="68">
        <f t="shared" ca="1" si="329"/>
        <v>0</v>
      </c>
      <c r="GU63" s="68">
        <f t="shared" ca="1" si="329"/>
        <v>0</v>
      </c>
      <c r="GV63" s="68">
        <f t="shared" ca="1" si="329"/>
        <v>0</v>
      </c>
      <c r="GW63" s="68">
        <f t="shared" ca="1" si="329"/>
        <v>0</v>
      </c>
      <c r="GX63" s="68">
        <f t="shared" ca="1" si="329"/>
        <v>0</v>
      </c>
      <c r="GY63" s="68">
        <f t="shared" ca="1" si="329"/>
        <v>0</v>
      </c>
      <c r="GZ63" s="68">
        <f t="shared" ca="1" si="329"/>
        <v>0</v>
      </c>
      <c r="HA63" s="68">
        <f t="shared" ca="1" si="329"/>
        <v>0</v>
      </c>
      <c r="HB63" s="68">
        <f t="shared" ca="1" si="329"/>
        <v>0</v>
      </c>
      <c r="HC63" s="68">
        <f t="shared" ca="1" si="329"/>
        <v>0</v>
      </c>
      <c r="HD63" s="68" t="str">
        <f t="shared" ca="1" si="329"/>
        <v/>
      </c>
      <c r="HE63" s="68" t="str">
        <f t="shared" ca="1" si="329"/>
        <v/>
      </c>
      <c r="HF63" s="68" t="str">
        <f t="shared" ref="HF63:JQ63" ca="1" si="330">IF(HF3&gt;$J$5,"",HE63+HF61-HF62)</f>
        <v/>
      </c>
      <c r="HG63" s="68" t="str">
        <f t="shared" ca="1" si="330"/>
        <v/>
      </c>
      <c r="HH63" s="68" t="str">
        <f t="shared" ca="1" si="330"/>
        <v/>
      </c>
      <c r="HI63" s="68" t="str">
        <f t="shared" ca="1" si="330"/>
        <v/>
      </c>
      <c r="HJ63" s="68" t="str">
        <f t="shared" ca="1" si="330"/>
        <v/>
      </c>
      <c r="HK63" s="68" t="str">
        <f t="shared" ca="1" si="330"/>
        <v/>
      </c>
      <c r="HL63" s="68" t="str">
        <f t="shared" ca="1" si="330"/>
        <v/>
      </c>
      <c r="HM63" s="68" t="str">
        <f t="shared" ca="1" si="330"/>
        <v/>
      </c>
      <c r="HN63" s="68" t="str">
        <f t="shared" ca="1" si="330"/>
        <v/>
      </c>
      <c r="HO63" s="68" t="str">
        <f t="shared" ca="1" si="330"/>
        <v/>
      </c>
      <c r="HP63" s="68" t="str">
        <f t="shared" ca="1" si="330"/>
        <v/>
      </c>
      <c r="HQ63" s="68" t="str">
        <f t="shared" ca="1" si="330"/>
        <v/>
      </c>
      <c r="HR63" s="68" t="str">
        <f t="shared" ca="1" si="330"/>
        <v/>
      </c>
      <c r="HS63" s="68" t="str">
        <f t="shared" ca="1" si="330"/>
        <v/>
      </c>
      <c r="HT63" s="68" t="str">
        <f t="shared" ca="1" si="330"/>
        <v/>
      </c>
      <c r="HU63" s="68" t="str">
        <f t="shared" ca="1" si="330"/>
        <v/>
      </c>
      <c r="HV63" s="68" t="str">
        <f t="shared" ca="1" si="330"/>
        <v/>
      </c>
      <c r="HW63" s="68" t="str">
        <f t="shared" ca="1" si="330"/>
        <v/>
      </c>
      <c r="HX63" s="68" t="str">
        <f t="shared" ca="1" si="330"/>
        <v/>
      </c>
      <c r="HY63" s="68" t="str">
        <f t="shared" ca="1" si="330"/>
        <v/>
      </c>
      <c r="HZ63" s="68" t="str">
        <f t="shared" ca="1" si="330"/>
        <v/>
      </c>
      <c r="IA63" s="68" t="str">
        <f t="shared" ca="1" si="330"/>
        <v/>
      </c>
      <c r="IB63" s="68" t="str">
        <f t="shared" ca="1" si="330"/>
        <v/>
      </c>
      <c r="IC63" s="68" t="str">
        <f t="shared" ca="1" si="330"/>
        <v/>
      </c>
      <c r="ID63" s="68" t="str">
        <f t="shared" ca="1" si="330"/>
        <v/>
      </c>
      <c r="IE63" s="68" t="str">
        <f t="shared" ca="1" si="330"/>
        <v/>
      </c>
      <c r="IF63" s="68" t="str">
        <f t="shared" ca="1" si="330"/>
        <v/>
      </c>
      <c r="IG63" s="68" t="str">
        <f t="shared" ca="1" si="330"/>
        <v/>
      </c>
      <c r="IH63" s="68" t="str">
        <f t="shared" ca="1" si="330"/>
        <v/>
      </c>
      <c r="II63" s="68" t="str">
        <f t="shared" ca="1" si="330"/>
        <v/>
      </c>
      <c r="IJ63" s="68" t="str">
        <f t="shared" ca="1" si="330"/>
        <v/>
      </c>
      <c r="IK63" s="68" t="str">
        <f t="shared" ca="1" si="330"/>
        <v/>
      </c>
      <c r="IL63" s="68" t="str">
        <f t="shared" ca="1" si="330"/>
        <v/>
      </c>
      <c r="IM63" s="68" t="str">
        <f t="shared" ca="1" si="330"/>
        <v/>
      </c>
      <c r="IN63" s="68" t="str">
        <f t="shared" ca="1" si="330"/>
        <v/>
      </c>
      <c r="IO63" s="68" t="str">
        <f t="shared" ca="1" si="330"/>
        <v/>
      </c>
      <c r="IP63" s="68" t="str">
        <f t="shared" ca="1" si="330"/>
        <v/>
      </c>
      <c r="IQ63" s="68" t="str">
        <f t="shared" ca="1" si="330"/>
        <v/>
      </c>
      <c r="IR63" s="68" t="str">
        <f t="shared" ca="1" si="330"/>
        <v/>
      </c>
      <c r="IS63" s="68" t="str">
        <f t="shared" ca="1" si="330"/>
        <v/>
      </c>
      <c r="IT63" s="68" t="str">
        <f t="shared" ca="1" si="330"/>
        <v/>
      </c>
      <c r="IU63" s="68" t="str">
        <f t="shared" ca="1" si="330"/>
        <v/>
      </c>
      <c r="IV63" s="68" t="str">
        <f t="shared" ca="1" si="330"/>
        <v/>
      </c>
      <c r="IW63" s="68" t="str">
        <f t="shared" ca="1" si="330"/>
        <v/>
      </c>
      <c r="IX63" s="68" t="str">
        <f t="shared" ca="1" si="330"/>
        <v/>
      </c>
      <c r="IY63" s="68" t="str">
        <f t="shared" ca="1" si="330"/>
        <v/>
      </c>
      <c r="IZ63" s="68" t="str">
        <f t="shared" ca="1" si="330"/>
        <v/>
      </c>
      <c r="JA63" s="68" t="str">
        <f t="shared" ca="1" si="330"/>
        <v/>
      </c>
      <c r="JB63" s="68" t="str">
        <f t="shared" ca="1" si="330"/>
        <v/>
      </c>
      <c r="JC63" s="68" t="str">
        <f t="shared" ca="1" si="330"/>
        <v/>
      </c>
      <c r="JD63" s="68" t="str">
        <f t="shared" ca="1" si="330"/>
        <v/>
      </c>
      <c r="JE63" s="68" t="str">
        <f t="shared" ca="1" si="330"/>
        <v/>
      </c>
      <c r="JF63" s="68" t="str">
        <f t="shared" ca="1" si="330"/>
        <v/>
      </c>
      <c r="JG63" s="68" t="str">
        <f t="shared" ca="1" si="330"/>
        <v/>
      </c>
      <c r="JH63" s="68" t="str">
        <f t="shared" ca="1" si="330"/>
        <v/>
      </c>
      <c r="JI63" s="68" t="str">
        <f t="shared" ca="1" si="330"/>
        <v/>
      </c>
      <c r="JJ63" s="68" t="str">
        <f t="shared" ca="1" si="330"/>
        <v/>
      </c>
      <c r="JK63" s="68" t="str">
        <f t="shared" ca="1" si="330"/>
        <v/>
      </c>
      <c r="JL63" s="68" t="str">
        <f t="shared" ca="1" si="330"/>
        <v/>
      </c>
      <c r="JM63" s="68" t="str">
        <f t="shared" ca="1" si="330"/>
        <v/>
      </c>
      <c r="JN63" s="68" t="str">
        <f t="shared" ca="1" si="330"/>
        <v/>
      </c>
      <c r="JO63" s="68" t="str">
        <f t="shared" ca="1" si="330"/>
        <v/>
      </c>
      <c r="JP63" s="68" t="str">
        <f t="shared" ca="1" si="330"/>
        <v/>
      </c>
      <c r="JQ63" s="68" t="str">
        <f t="shared" ca="1" si="330"/>
        <v/>
      </c>
      <c r="JR63" s="68" t="str">
        <f t="shared" ref="JR63:JZ63" ca="1" si="331">IF(JR3&gt;$J$5,"",JQ63+JR61-JR62)</f>
        <v/>
      </c>
      <c r="JS63" s="68" t="str">
        <f t="shared" ca="1" si="331"/>
        <v/>
      </c>
      <c r="JT63" s="68" t="str">
        <f t="shared" ca="1" si="331"/>
        <v/>
      </c>
      <c r="JU63" s="68" t="str">
        <f t="shared" ca="1" si="331"/>
        <v/>
      </c>
      <c r="JV63" s="68" t="str">
        <f t="shared" ca="1" si="331"/>
        <v/>
      </c>
      <c r="JW63" s="68" t="str">
        <f t="shared" ca="1" si="331"/>
        <v/>
      </c>
      <c r="JX63" s="68" t="str">
        <f t="shared" ca="1" si="331"/>
        <v/>
      </c>
      <c r="JY63" s="68" t="str">
        <f t="shared" ca="1" si="331"/>
        <v/>
      </c>
      <c r="JZ63" s="100" t="str">
        <f t="shared" ca="1" si="331"/>
        <v/>
      </c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</row>
    <row r="64" spans="1:669" x14ac:dyDescent="0.25">
      <c r="A64" s="138">
        <f>B61</f>
        <v>0</v>
      </c>
      <c r="B64" s="232"/>
      <c r="C64" s="81" t="str">
        <f t="shared" si="325"/>
        <v>MELITTA</v>
      </c>
      <c r="D64" s="229"/>
      <c r="E64" s="173" t="s">
        <v>40</v>
      </c>
      <c r="F64" s="182">
        <f ca="1">(H65*H61)*SQRT(H62/H63)</f>
        <v>0</v>
      </c>
      <c r="G64" s="176" t="s">
        <v>45</v>
      </c>
      <c r="H64" s="171">
        <v>0.95</v>
      </c>
      <c r="I64" s="242" t="s">
        <v>18</v>
      </c>
      <c r="J64" s="83" t="str">
        <f t="shared" si="326"/>
        <v>CORTE</v>
      </c>
      <c r="K64" s="281"/>
      <c r="L64" s="60"/>
      <c r="M64" s="61"/>
      <c r="N64" s="61"/>
      <c r="O64" s="61"/>
      <c r="P64" s="61"/>
      <c r="Q64" s="61"/>
      <c r="R64" s="61"/>
      <c r="S64" s="61"/>
      <c r="T64" s="61"/>
      <c r="U64" s="61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T64" s="70"/>
      <c r="CU64" s="70"/>
      <c r="CV64" s="70"/>
      <c r="CW64" s="70"/>
      <c r="CX64" s="70"/>
      <c r="CY64" s="70"/>
      <c r="CZ64" s="70"/>
      <c r="DA64" s="70"/>
      <c r="DB64" s="70"/>
      <c r="DC64" s="70"/>
      <c r="DD64" s="70"/>
      <c r="DE64" s="70"/>
      <c r="DF64" s="70"/>
      <c r="DG64" s="70"/>
      <c r="DH64" s="70"/>
      <c r="DI64" s="70"/>
      <c r="DJ64" s="70"/>
      <c r="DK64" s="70"/>
      <c r="DL64" s="70"/>
      <c r="DM64" s="70"/>
      <c r="DN64" s="70"/>
      <c r="DO64" s="70"/>
      <c r="DP64" s="70"/>
      <c r="DQ64" s="70"/>
      <c r="DR64" s="70"/>
      <c r="DS64" s="70"/>
      <c r="DT64" s="70"/>
      <c r="DU64" s="70"/>
      <c r="DV64" s="70"/>
      <c r="DW64" s="70"/>
      <c r="DX64" s="70"/>
      <c r="DY64" s="70"/>
      <c r="DZ64" s="70"/>
      <c r="EA64" s="70"/>
      <c r="EB64" s="70"/>
      <c r="EC64" s="70"/>
      <c r="ED64" s="70"/>
      <c r="EE64" s="70"/>
      <c r="EF64" s="70"/>
      <c r="EG64" s="70"/>
      <c r="EH64" s="70"/>
      <c r="EI64" s="70"/>
      <c r="EJ64" s="70"/>
      <c r="EK64" s="70"/>
      <c r="EL64" s="70"/>
      <c r="EM64" s="70"/>
      <c r="EN64" s="70"/>
      <c r="EO64" s="70"/>
      <c r="EP64" s="70"/>
      <c r="EQ64" s="70"/>
      <c r="ER64" s="70"/>
      <c r="ES64" s="70"/>
      <c r="ET64" s="70"/>
      <c r="EU64" s="70"/>
      <c r="EV64" s="70"/>
      <c r="EW64" s="70"/>
      <c r="EX64" s="70"/>
      <c r="EY64" s="70"/>
      <c r="EZ64" s="70"/>
      <c r="FA64" s="70"/>
      <c r="FB64" s="70"/>
      <c r="FC64" s="70"/>
      <c r="FD64" s="70"/>
      <c r="FE64" s="70"/>
      <c r="FF64" s="70"/>
      <c r="FG64" s="70"/>
      <c r="FH64" s="70"/>
      <c r="FI64" s="70"/>
      <c r="FJ64" s="70"/>
      <c r="FK64" s="70"/>
      <c r="FL64" s="70"/>
      <c r="FM64" s="70"/>
      <c r="FN64" s="70"/>
      <c r="FO64" s="70"/>
      <c r="FP64" s="70"/>
      <c r="FQ64" s="70"/>
      <c r="FR64" s="70"/>
      <c r="FS64" s="70"/>
      <c r="FT64" s="70"/>
      <c r="FU64" s="70"/>
      <c r="FV64" s="70"/>
      <c r="FW64" s="70"/>
      <c r="FX64" s="70"/>
      <c r="FY64" s="70"/>
      <c r="FZ64" s="70"/>
      <c r="GA64" s="70"/>
      <c r="GB64" s="70"/>
      <c r="GC64" s="70"/>
      <c r="GD64" s="70"/>
      <c r="GE64" s="70"/>
      <c r="GF64" s="70"/>
      <c r="GG64" s="70"/>
      <c r="GH64" s="70"/>
      <c r="GI64" s="70"/>
      <c r="GJ64" s="70"/>
      <c r="GK64" s="70"/>
      <c r="GL64" s="70"/>
      <c r="GM64" s="70"/>
      <c r="GN64" s="70"/>
      <c r="GO64" s="70"/>
      <c r="GP64" s="70"/>
      <c r="GQ64" s="70"/>
      <c r="GR64" s="70"/>
      <c r="GS64" s="70"/>
      <c r="GT64" s="70"/>
      <c r="GU64" s="70"/>
      <c r="GV64" s="70"/>
      <c r="GW64" s="70"/>
      <c r="GX64" s="70"/>
      <c r="GY64" s="70"/>
      <c r="GZ64" s="70"/>
      <c r="HA64" s="70"/>
      <c r="HB64" s="70"/>
      <c r="HC64" s="70"/>
      <c r="HD64" s="70"/>
      <c r="HE64" s="70"/>
      <c r="HF64" s="70"/>
      <c r="HG64" s="70"/>
      <c r="HH64" s="70"/>
      <c r="HI64" s="70"/>
      <c r="HJ64" s="70"/>
      <c r="HK64" s="70"/>
      <c r="HL64" s="70"/>
      <c r="HM64" s="70"/>
      <c r="HN64" s="70"/>
      <c r="HO64" s="70"/>
      <c r="HP64" s="70"/>
      <c r="HQ64" s="70"/>
      <c r="HR64" s="70"/>
      <c r="HS64" s="70"/>
      <c r="HT64" s="70"/>
      <c r="HU64" s="70"/>
      <c r="HV64" s="70"/>
      <c r="HW64" s="70"/>
      <c r="HX64" s="70"/>
      <c r="HY64" s="70"/>
      <c r="HZ64" s="70"/>
      <c r="IA64" s="70"/>
      <c r="IB64" s="70"/>
      <c r="IC64" s="70"/>
      <c r="ID64" s="70"/>
      <c r="IE64" s="70"/>
      <c r="IF64" s="70"/>
      <c r="IG64" s="70"/>
      <c r="IH64" s="70"/>
      <c r="II64" s="70"/>
      <c r="IJ64" s="70"/>
      <c r="IK64" s="70"/>
      <c r="IL64" s="70"/>
      <c r="IM64" s="70"/>
      <c r="IN64" s="70"/>
      <c r="IO64" s="70"/>
      <c r="IP64" s="70"/>
      <c r="IQ64" s="70"/>
      <c r="IR64" s="70"/>
      <c r="IS64" s="70"/>
      <c r="IT64" s="70"/>
      <c r="IU64" s="70"/>
      <c r="IV64" s="70"/>
      <c r="IW64" s="70"/>
      <c r="IX64" s="70"/>
      <c r="IY64" s="70"/>
      <c r="IZ64" s="70"/>
      <c r="JA64" s="70"/>
      <c r="JB64" s="70"/>
      <c r="JC64" s="70"/>
      <c r="JD64" s="70"/>
      <c r="JE64" s="70"/>
      <c r="JF64" s="70"/>
      <c r="JG64" s="70"/>
      <c r="JH64" s="70"/>
      <c r="JI64" s="70"/>
      <c r="JJ64" s="70"/>
      <c r="JK64" s="70"/>
      <c r="JL64" s="70"/>
      <c r="JM64" s="70"/>
      <c r="JN64" s="70"/>
      <c r="JO64" s="70"/>
      <c r="JP64" s="70"/>
      <c r="JQ64" s="70"/>
      <c r="JR64" s="70"/>
      <c r="JS64" s="70"/>
      <c r="JT64" s="70"/>
      <c r="JU64" s="70"/>
      <c r="JV64" s="70"/>
      <c r="JW64" s="70"/>
      <c r="JX64" s="70"/>
      <c r="JY64" s="70"/>
      <c r="JZ64" s="99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</row>
    <row r="65" spans="1:669" ht="15.75" thickBot="1" x14ac:dyDescent="0.3">
      <c r="A65" s="141">
        <f>B61</f>
        <v>0</v>
      </c>
      <c r="B65" s="233"/>
      <c r="C65" s="158" t="str">
        <f t="shared" si="325"/>
        <v>MELITTA</v>
      </c>
      <c r="D65" s="230"/>
      <c r="E65" s="177" t="s">
        <v>46</v>
      </c>
      <c r="F65" s="183"/>
      <c r="G65" s="178" t="s">
        <v>43</v>
      </c>
      <c r="H65" s="179">
        <v>1.645</v>
      </c>
      <c r="I65" s="246" t="s">
        <v>19</v>
      </c>
      <c r="J65" s="101" t="str">
        <f t="shared" si="326"/>
        <v>CORTE</v>
      </c>
      <c r="K65" s="282"/>
      <c r="L65" s="102"/>
      <c r="M65" s="103"/>
      <c r="N65" s="103"/>
      <c r="O65" s="103"/>
      <c r="P65" s="103"/>
      <c r="Q65" s="103"/>
      <c r="R65" s="103"/>
      <c r="S65" s="103"/>
      <c r="T65" s="103"/>
      <c r="U65" s="103"/>
      <c r="V65" s="104">
        <f t="shared" ref="V65:CG65" ca="1" si="332">IF(V3&gt;$J$5,"",U65+V62-V64)</f>
        <v>0</v>
      </c>
      <c r="W65" s="104">
        <f t="shared" ca="1" si="332"/>
        <v>0</v>
      </c>
      <c r="X65" s="104">
        <f t="shared" ca="1" si="332"/>
        <v>0</v>
      </c>
      <c r="Y65" s="104">
        <f t="shared" ca="1" si="332"/>
        <v>0</v>
      </c>
      <c r="Z65" s="104">
        <f t="shared" ca="1" si="332"/>
        <v>0</v>
      </c>
      <c r="AA65" s="104">
        <f t="shared" ca="1" si="332"/>
        <v>0</v>
      </c>
      <c r="AB65" s="104">
        <f t="shared" ca="1" si="332"/>
        <v>0</v>
      </c>
      <c r="AC65" s="104">
        <f t="shared" ca="1" si="332"/>
        <v>0</v>
      </c>
      <c r="AD65" s="104">
        <f t="shared" ca="1" si="332"/>
        <v>0</v>
      </c>
      <c r="AE65" s="104">
        <f t="shared" ca="1" si="332"/>
        <v>0</v>
      </c>
      <c r="AF65" s="104">
        <f t="shared" ca="1" si="332"/>
        <v>0</v>
      </c>
      <c r="AG65" s="104">
        <f t="shared" ca="1" si="332"/>
        <v>0</v>
      </c>
      <c r="AH65" s="104">
        <f t="shared" ca="1" si="332"/>
        <v>0</v>
      </c>
      <c r="AI65" s="104">
        <f t="shared" ca="1" si="332"/>
        <v>0</v>
      </c>
      <c r="AJ65" s="104">
        <f t="shared" ca="1" si="332"/>
        <v>0</v>
      </c>
      <c r="AK65" s="104">
        <f t="shared" ca="1" si="332"/>
        <v>0</v>
      </c>
      <c r="AL65" s="104">
        <f t="shared" ca="1" si="332"/>
        <v>0</v>
      </c>
      <c r="AM65" s="104">
        <f t="shared" ca="1" si="332"/>
        <v>0</v>
      </c>
      <c r="AN65" s="104">
        <f t="shared" ca="1" si="332"/>
        <v>0</v>
      </c>
      <c r="AO65" s="104">
        <f t="shared" ca="1" si="332"/>
        <v>0</v>
      </c>
      <c r="AP65" s="104">
        <f t="shared" ca="1" si="332"/>
        <v>0</v>
      </c>
      <c r="AQ65" s="104">
        <f t="shared" ca="1" si="332"/>
        <v>0</v>
      </c>
      <c r="AR65" s="104">
        <f t="shared" ca="1" si="332"/>
        <v>0</v>
      </c>
      <c r="AS65" s="104">
        <f t="shared" ca="1" si="332"/>
        <v>0</v>
      </c>
      <c r="AT65" s="104">
        <f t="shared" ca="1" si="332"/>
        <v>0</v>
      </c>
      <c r="AU65" s="104">
        <f t="shared" ca="1" si="332"/>
        <v>0</v>
      </c>
      <c r="AV65" s="104">
        <f t="shared" ca="1" si="332"/>
        <v>0</v>
      </c>
      <c r="AW65" s="104">
        <f t="shared" ca="1" si="332"/>
        <v>0</v>
      </c>
      <c r="AX65" s="104">
        <f t="shared" ca="1" si="332"/>
        <v>0</v>
      </c>
      <c r="AY65" s="104">
        <f t="shared" ca="1" si="332"/>
        <v>0</v>
      </c>
      <c r="AZ65" s="104">
        <f t="shared" ca="1" si="332"/>
        <v>0</v>
      </c>
      <c r="BA65" s="104">
        <f t="shared" ca="1" si="332"/>
        <v>0</v>
      </c>
      <c r="BB65" s="104">
        <f t="shared" ca="1" si="332"/>
        <v>0</v>
      </c>
      <c r="BC65" s="104">
        <f t="shared" ca="1" si="332"/>
        <v>0</v>
      </c>
      <c r="BD65" s="104">
        <f t="shared" ca="1" si="332"/>
        <v>0</v>
      </c>
      <c r="BE65" s="104">
        <f t="shared" ca="1" si="332"/>
        <v>0</v>
      </c>
      <c r="BF65" s="104">
        <f t="shared" ca="1" si="332"/>
        <v>0</v>
      </c>
      <c r="BG65" s="104">
        <f t="shared" ca="1" si="332"/>
        <v>0</v>
      </c>
      <c r="BH65" s="104">
        <f t="shared" ca="1" si="332"/>
        <v>0</v>
      </c>
      <c r="BI65" s="104">
        <f t="shared" ca="1" si="332"/>
        <v>0</v>
      </c>
      <c r="BJ65" s="104">
        <f t="shared" ca="1" si="332"/>
        <v>0</v>
      </c>
      <c r="BK65" s="104">
        <f t="shared" ca="1" si="332"/>
        <v>0</v>
      </c>
      <c r="BL65" s="104">
        <f t="shared" ca="1" si="332"/>
        <v>0</v>
      </c>
      <c r="BM65" s="104">
        <f t="shared" ca="1" si="332"/>
        <v>0</v>
      </c>
      <c r="BN65" s="104">
        <f t="shared" ca="1" si="332"/>
        <v>0</v>
      </c>
      <c r="BO65" s="104">
        <f t="shared" ca="1" si="332"/>
        <v>0</v>
      </c>
      <c r="BP65" s="104">
        <f t="shared" ca="1" si="332"/>
        <v>0</v>
      </c>
      <c r="BQ65" s="104">
        <f t="shared" ca="1" si="332"/>
        <v>0</v>
      </c>
      <c r="BR65" s="104">
        <f t="shared" ca="1" si="332"/>
        <v>0</v>
      </c>
      <c r="BS65" s="104">
        <f t="shared" ca="1" si="332"/>
        <v>0</v>
      </c>
      <c r="BT65" s="104">
        <f t="shared" ca="1" si="332"/>
        <v>0</v>
      </c>
      <c r="BU65" s="104">
        <f t="shared" ca="1" si="332"/>
        <v>0</v>
      </c>
      <c r="BV65" s="104">
        <f t="shared" ca="1" si="332"/>
        <v>0</v>
      </c>
      <c r="BW65" s="104">
        <f t="shared" ca="1" si="332"/>
        <v>0</v>
      </c>
      <c r="BX65" s="104">
        <f t="shared" ca="1" si="332"/>
        <v>0</v>
      </c>
      <c r="BY65" s="104">
        <f t="shared" ca="1" si="332"/>
        <v>0</v>
      </c>
      <c r="BZ65" s="104">
        <f t="shared" ca="1" si="332"/>
        <v>0</v>
      </c>
      <c r="CA65" s="104">
        <f t="shared" ca="1" si="332"/>
        <v>0</v>
      </c>
      <c r="CB65" s="104">
        <f t="shared" ca="1" si="332"/>
        <v>0</v>
      </c>
      <c r="CC65" s="104">
        <f t="shared" ca="1" si="332"/>
        <v>0</v>
      </c>
      <c r="CD65" s="104">
        <f t="shared" ca="1" si="332"/>
        <v>0</v>
      </c>
      <c r="CE65" s="104">
        <f t="shared" ca="1" si="332"/>
        <v>0</v>
      </c>
      <c r="CF65" s="104">
        <f t="shared" ca="1" si="332"/>
        <v>0</v>
      </c>
      <c r="CG65" s="104">
        <f t="shared" ca="1" si="332"/>
        <v>0</v>
      </c>
      <c r="CH65" s="104">
        <f t="shared" ref="CH65:ES65" ca="1" si="333">IF(CH3&gt;$J$5,"",CG65+CH62-CH64)</f>
        <v>0</v>
      </c>
      <c r="CI65" s="104">
        <f t="shared" ca="1" si="333"/>
        <v>0</v>
      </c>
      <c r="CJ65" s="104">
        <f t="shared" ca="1" si="333"/>
        <v>0</v>
      </c>
      <c r="CK65" s="104">
        <f t="shared" ca="1" si="333"/>
        <v>0</v>
      </c>
      <c r="CL65" s="104">
        <f t="shared" ca="1" si="333"/>
        <v>0</v>
      </c>
      <c r="CM65" s="104">
        <f t="shared" ca="1" si="333"/>
        <v>0</v>
      </c>
      <c r="CN65" s="104">
        <f t="shared" ca="1" si="333"/>
        <v>0</v>
      </c>
      <c r="CO65" s="104">
        <f t="shared" ca="1" si="333"/>
        <v>0</v>
      </c>
      <c r="CP65" s="104">
        <f t="shared" ca="1" si="333"/>
        <v>0</v>
      </c>
      <c r="CQ65" s="104">
        <f t="shared" ca="1" si="333"/>
        <v>0</v>
      </c>
      <c r="CR65" s="104">
        <f t="shared" ca="1" si="333"/>
        <v>0</v>
      </c>
      <c r="CS65" s="104">
        <f t="shared" ca="1" si="333"/>
        <v>0</v>
      </c>
      <c r="CT65" s="104">
        <f t="shared" ca="1" si="333"/>
        <v>0</v>
      </c>
      <c r="CU65" s="104">
        <f t="shared" ca="1" si="333"/>
        <v>0</v>
      </c>
      <c r="CV65" s="104">
        <f t="shared" ca="1" si="333"/>
        <v>0</v>
      </c>
      <c r="CW65" s="104">
        <f t="shared" ca="1" si="333"/>
        <v>0</v>
      </c>
      <c r="CX65" s="104">
        <f t="shared" ca="1" si="333"/>
        <v>0</v>
      </c>
      <c r="CY65" s="104">
        <f t="shared" ca="1" si="333"/>
        <v>0</v>
      </c>
      <c r="CZ65" s="104">
        <f t="shared" ca="1" si="333"/>
        <v>0</v>
      </c>
      <c r="DA65" s="104">
        <f t="shared" ca="1" si="333"/>
        <v>0</v>
      </c>
      <c r="DB65" s="104">
        <f t="shared" ca="1" si="333"/>
        <v>0</v>
      </c>
      <c r="DC65" s="104">
        <f t="shared" ca="1" si="333"/>
        <v>0</v>
      </c>
      <c r="DD65" s="104">
        <f t="shared" ca="1" si="333"/>
        <v>0</v>
      </c>
      <c r="DE65" s="104">
        <f t="shared" ca="1" si="333"/>
        <v>0</v>
      </c>
      <c r="DF65" s="104">
        <f t="shared" ca="1" si="333"/>
        <v>0</v>
      </c>
      <c r="DG65" s="104">
        <f t="shared" ca="1" si="333"/>
        <v>0</v>
      </c>
      <c r="DH65" s="104">
        <f t="shared" ca="1" si="333"/>
        <v>0</v>
      </c>
      <c r="DI65" s="104">
        <f t="shared" ca="1" si="333"/>
        <v>0</v>
      </c>
      <c r="DJ65" s="104">
        <f t="shared" ca="1" si="333"/>
        <v>0</v>
      </c>
      <c r="DK65" s="104">
        <f t="shared" ca="1" si="333"/>
        <v>0</v>
      </c>
      <c r="DL65" s="104">
        <f t="shared" ca="1" si="333"/>
        <v>0</v>
      </c>
      <c r="DM65" s="104">
        <f t="shared" ca="1" si="333"/>
        <v>0</v>
      </c>
      <c r="DN65" s="104">
        <f t="shared" ca="1" si="333"/>
        <v>0</v>
      </c>
      <c r="DO65" s="104">
        <f t="shared" ca="1" si="333"/>
        <v>0</v>
      </c>
      <c r="DP65" s="104">
        <f t="shared" ca="1" si="333"/>
        <v>0</v>
      </c>
      <c r="DQ65" s="104">
        <f t="shared" ca="1" si="333"/>
        <v>0</v>
      </c>
      <c r="DR65" s="104">
        <f t="shared" ca="1" si="333"/>
        <v>0</v>
      </c>
      <c r="DS65" s="104">
        <f t="shared" ca="1" si="333"/>
        <v>0</v>
      </c>
      <c r="DT65" s="104">
        <f t="shared" ca="1" si="333"/>
        <v>0</v>
      </c>
      <c r="DU65" s="104">
        <f t="shared" ca="1" si="333"/>
        <v>0</v>
      </c>
      <c r="DV65" s="104">
        <f t="shared" ca="1" si="333"/>
        <v>0</v>
      </c>
      <c r="DW65" s="104">
        <f t="shared" ca="1" si="333"/>
        <v>0</v>
      </c>
      <c r="DX65" s="104">
        <f t="shared" ca="1" si="333"/>
        <v>0</v>
      </c>
      <c r="DY65" s="104">
        <f t="shared" ca="1" si="333"/>
        <v>0</v>
      </c>
      <c r="DZ65" s="104">
        <f t="shared" ca="1" si="333"/>
        <v>0</v>
      </c>
      <c r="EA65" s="104">
        <f t="shared" ca="1" si="333"/>
        <v>0</v>
      </c>
      <c r="EB65" s="104">
        <f t="shared" ca="1" si="333"/>
        <v>0</v>
      </c>
      <c r="EC65" s="104">
        <f t="shared" ca="1" si="333"/>
        <v>0</v>
      </c>
      <c r="ED65" s="104">
        <f t="shared" ca="1" si="333"/>
        <v>0</v>
      </c>
      <c r="EE65" s="104">
        <f t="shared" ca="1" si="333"/>
        <v>0</v>
      </c>
      <c r="EF65" s="104">
        <f t="shared" ca="1" si="333"/>
        <v>0</v>
      </c>
      <c r="EG65" s="104">
        <f t="shared" ca="1" si="333"/>
        <v>0</v>
      </c>
      <c r="EH65" s="104">
        <f t="shared" ca="1" si="333"/>
        <v>0</v>
      </c>
      <c r="EI65" s="104">
        <f t="shared" ca="1" si="333"/>
        <v>0</v>
      </c>
      <c r="EJ65" s="104">
        <f t="shared" ca="1" si="333"/>
        <v>0</v>
      </c>
      <c r="EK65" s="104">
        <f t="shared" ca="1" si="333"/>
        <v>0</v>
      </c>
      <c r="EL65" s="104">
        <f t="shared" ca="1" si="333"/>
        <v>0</v>
      </c>
      <c r="EM65" s="104">
        <f t="shared" ca="1" si="333"/>
        <v>0</v>
      </c>
      <c r="EN65" s="104">
        <f t="shared" ca="1" si="333"/>
        <v>0</v>
      </c>
      <c r="EO65" s="104">
        <f t="shared" ca="1" si="333"/>
        <v>0</v>
      </c>
      <c r="EP65" s="104">
        <f t="shared" ca="1" si="333"/>
        <v>0</v>
      </c>
      <c r="EQ65" s="104">
        <f t="shared" ca="1" si="333"/>
        <v>0</v>
      </c>
      <c r="ER65" s="104">
        <f t="shared" ca="1" si="333"/>
        <v>0</v>
      </c>
      <c r="ES65" s="104">
        <f t="shared" ca="1" si="333"/>
        <v>0</v>
      </c>
      <c r="ET65" s="104">
        <f t="shared" ref="ET65:HE65" ca="1" si="334">IF(ET3&gt;$J$5,"",ES65+ET62-ET64)</f>
        <v>0</v>
      </c>
      <c r="EU65" s="104">
        <f t="shared" ca="1" si="334"/>
        <v>0</v>
      </c>
      <c r="EV65" s="104">
        <f t="shared" ca="1" si="334"/>
        <v>0</v>
      </c>
      <c r="EW65" s="104">
        <f t="shared" ca="1" si="334"/>
        <v>0</v>
      </c>
      <c r="EX65" s="104">
        <f t="shared" ca="1" si="334"/>
        <v>0</v>
      </c>
      <c r="EY65" s="104">
        <f t="shared" ca="1" si="334"/>
        <v>0</v>
      </c>
      <c r="EZ65" s="104">
        <f t="shared" ca="1" si="334"/>
        <v>0</v>
      </c>
      <c r="FA65" s="104">
        <f t="shared" ca="1" si="334"/>
        <v>0</v>
      </c>
      <c r="FB65" s="104">
        <f t="shared" ca="1" si="334"/>
        <v>0</v>
      </c>
      <c r="FC65" s="104">
        <f t="shared" ca="1" si="334"/>
        <v>0</v>
      </c>
      <c r="FD65" s="104">
        <f t="shared" ca="1" si="334"/>
        <v>0</v>
      </c>
      <c r="FE65" s="104">
        <f t="shared" ca="1" si="334"/>
        <v>0</v>
      </c>
      <c r="FF65" s="104">
        <f t="shared" ca="1" si="334"/>
        <v>0</v>
      </c>
      <c r="FG65" s="104">
        <f t="shared" ca="1" si="334"/>
        <v>0</v>
      </c>
      <c r="FH65" s="104">
        <f t="shared" ca="1" si="334"/>
        <v>0</v>
      </c>
      <c r="FI65" s="104">
        <f t="shared" ca="1" si="334"/>
        <v>0</v>
      </c>
      <c r="FJ65" s="104">
        <f t="shared" ca="1" si="334"/>
        <v>0</v>
      </c>
      <c r="FK65" s="104">
        <f t="shared" ca="1" si="334"/>
        <v>0</v>
      </c>
      <c r="FL65" s="104">
        <f t="shared" ca="1" si="334"/>
        <v>0</v>
      </c>
      <c r="FM65" s="104">
        <f t="shared" ca="1" si="334"/>
        <v>0</v>
      </c>
      <c r="FN65" s="104">
        <f t="shared" ca="1" si="334"/>
        <v>0</v>
      </c>
      <c r="FO65" s="104">
        <f t="shared" ca="1" si="334"/>
        <v>0</v>
      </c>
      <c r="FP65" s="104">
        <f t="shared" ca="1" si="334"/>
        <v>0</v>
      </c>
      <c r="FQ65" s="104">
        <f t="shared" ca="1" si="334"/>
        <v>0</v>
      </c>
      <c r="FR65" s="104">
        <f t="shared" ca="1" si="334"/>
        <v>0</v>
      </c>
      <c r="FS65" s="104">
        <f t="shared" ca="1" si="334"/>
        <v>0</v>
      </c>
      <c r="FT65" s="104">
        <f t="shared" ca="1" si="334"/>
        <v>0</v>
      </c>
      <c r="FU65" s="104">
        <f t="shared" ca="1" si="334"/>
        <v>0</v>
      </c>
      <c r="FV65" s="104">
        <f t="shared" ca="1" si="334"/>
        <v>0</v>
      </c>
      <c r="FW65" s="104">
        <f t="shared" ca="1" si="334"/>
        <v>0</v>
      </c>
      <c r="FX65" s="104">
        <f t="shared" ca="1" si="334"/>
        <v>0</v>
      </c>
      <c r="FY65" s="104">
        <f t="shared" ca="1" si="334"/>
        <v>0</v>
      </c>
      <c r="FZ65" s="104">
        <f t="shared" ca="1" si="334"/>
        <v>0</v>
      </c>
      <c r="GA65" s="104">
        <f t="shared" ca="1" si="334"/>
        <v>0</v>
      </c>
      <c r="GB65" s="104">
        <f t="shared" ca="1" si="334"/>
        <v>0</v>
      </c>
      <c r="GC65" s="104">
        <f t="shared" ca="1" si="334"/>
        <v>0</v>
      </c>
      <c r="GD65" s="104">
        <f t="shared" ca="1" si="334"/>
        <v>0</v>
      </c>
      <c r="GE65" s="104">
        <f t="shared" ca="1" si="334"/>
        <v>0</v>
      </c>
      <c r="GF65" s="104">
        <f t="shared" ca="1" si="334"/>
        <v>0</v>
      </c>
      <c r="GG65" s="104">
        <f t="shared" ca="1" si="334"/>
        <v>0</v>
      </c>
      <c r="GH65" s="104">
        <f t="shared" ca="1" si="334"/>
        <v>0</v>
      </c>
      <c r="GI65" s="104">
        <f t="shared" ca="1" si="334"/>
        <v>0</v>
      </c>
      <c r="GJ65" s="104">
        <f t="shared" ca="1" si="334"/>
        <v>0</v>
      </c>
      <c r="GK65" s="104">
        <f t="shared" ca="1" si="334"/>
        <v>0</v>
      </c>
      <c r="GL65" s="104">
        <f t="shared" ca="1" si="334"/>
        <v>0</v>
      </c>
      <c r="GM65" s="104">
        <f t="shared" ca="1" si="334"/>
        <v>0</v>
      </c>
      <c r="GN65" s="104">
        <f t="shared" ca="1" si="334"/>
        <v>0</v>
      </c>
      <c r="GO65" s="104">
        <f t="shared" ca="1" si="334"/>
        <v>0</v>
      </c>
      <c r="GP65" s="104">
        <f t="shared" ca="1" si="334"/>
        <v>0</v>
      </c>
      <c r="GQ65" s="104">
        <f t="shared" ca="1" si="334"/>
        <v>0</v>
      </c>
      <c r="GR65" s="104">
        <f t="shared" ca="1" si="334"/>
        <v>0</v>
      </c>
      <c r="GS65" s="104">
        <f t="shared" ca="1" si="334"/>
        <v>0</v>
      </c>
      <c r="GT65" s="104">
        <f t="shared" ca="1" si="334"/>
        <v>0</v>
      </c>
      <c r="GU65" s="104">
        <f t="shared" ca="1" si="334"/>
        <v>0</v>
      </c>
      <c r="GV65" s="104">
        <f t="shared" ca="1" si="334"/>
        <v>0</v>
      </c>
      <c r="GW65" s="104">
        <f t="shared" ca="1" si="334"/>
        <v>0</v>
      </c>
      <c r="GX65" s="104">
        <f t="shared" ca="1" si="334"/>
        <v>0</v>
      </c>
      <c r="GY65" s="104">
        <f t="shared" ca="1" si="334"/>
        <v>0</v>
      </c>
      <c r="GZ65" s="104">
        <f t="shared" ca="1" si="334"/>
        <v>0</v>
      </c>
      <c r="HA65" s="104">
        <f t="shared" ca="1" si="334"/>
        <v>0</v>
      </c>
      <c r="HB65" s="104">
        <f t="shared" ca="1" si="334"/>
        <v>0</v>
      </c>
      <c r="HC65" s="104">
        <f t="shared" ca="1" si="334"/>
        <v>0</v>
      </c>
      <c r="HD65" s="104" t="str">
        <f t="shared" ca="1" si="334"/>
        <v/>
      </c>
      <c r="HE65" s="104" t="str">
        <f t="shared" ca="1" si="334"/>
        <v/>
      </c>
      <c r="HF65" s="104" t="str">
        <f t="shared" ref="HF65:JQ65" ca="1" si="335">IF(HF3&gt;$J$5,"",HE65+HF62-HF64)</f>
        <v/>
      </c>
      <c r="HG65" s="104" t="str">
        <f t="shared" ca="1" si="335"/>
        <v/>
      </c>
      <c r="HH65" s="104" t="str">
        <f t="shared" ca="1" si="335"/>
        <v/>
      </c>
      <c r="HI65" s="104" t="str">
        <f t="shared" ca="1" si="335"/>
        <v/>
      </c>
      <c r="HJ65" s="104" t="str">
        <f t="shared" ca="1" si="335"/>
        <v/>
      </c>
      <c r="HK65" s="104" t="str">
        <f t="shared" ca="1" si="335"/>
        <v/>
      </c>
      <c r="HL65" s="104" t="str">
        <f t="shared" ca="1" si="335"/>
        <v/>
      </c>
      <c r="HM65" s="104" t="str">
        <f t="shared" ca="1" si="335"/>
        <v/>
      </c>
      <c r="HN65" s="104" t="str">
        <f t="shared" ca="1" si="335"/>
        <v/>
      </c>
      <c r="HO65" s="104" t="str">
        <f t="shared" ca="1" si="335"/>
        <v/>
      </c>
      <c r="HP65" s="104" t="str">
        <f t="shared" ca="1" si="335"/>
        <v/>
      </c>
      <c r="HQ65" s="104" t="str">
        <f t="shared" ca="1" si="335"/>
        <v/>
      </c>
      <c r="HR65" s="104" t="str">
        <f t="shared" ca="1" si="335"/>
        <v/>
      </c>
      <c r="HS65" s="104" t="str">
        <f t="shared" ca="1" si="335"/>
        <v/>
      </c>
      <c r="HT65" s="104" t="str">
        <f t="shared" ca="1" si="335"/>
        <v/>
      </c>
      <c r="HU65" s="104" t="str">
        <f t="shared" ca="1" si="335"/>
        <v/>
      </c>
      <c r="HV65" s="104" t="str">
        <f t="shared" ca="1" si="335"/>
        <v/>
      </c>
      <c r="HW65" s="104" t="str">
        <f t="shared" ca="1" si="335"/>
        <v/>
      </c>
      <c r="HX65" s="104" t="str">
        <f t="shared" ca="1" si="335"/>
        <v/>
      </c>
      <c r="HY65" s="104" t="str">
        <f t="shared" ca="1" si="335"/>
        <v/>
      </c>
      <c r="HZ65" s="104" t="str">
        <f t="shared" ca="1" si="335"/>
        <v/>
      </c>
      <c r="IA65" s="104" t="str">
        <f t="shared" ca="1" si="335"/>
        <v/>
      </c>
      <c r="IB65" s="104" t="str">
        <f t="shared" ca="1" si="335"/>
        <v/>
      </c>
      <c r="IC65" s="104" t="str">
        <f t="shared" ca="1" si="335"/>
        <v/>
      </c>
      <c r="ID65" s="104" t="str">
        <f t="shared" ca="1" si="335"/>
        <v/>
      </c>
      <c r="IE65" s="104" t="str">
        <f t="shared" ca="1" si="335"/>
        <v/>
      </c>
      <c r="IF65" s="104" t="str">
        <f t="shared" ca="1" si="335"/>
        <v/>
      </c>
      <c r="IG65" s="104" t="str">
        <f t="shared" ca="1" si="335"/>
        <v/>
      </c>
      <c r="IH65" s="104" t="str">
        <f t="shared" ca="1" si="335"/>
        <v/>
      </c>
      <c r="II65" s="104" t="str">
        <f t="shared" ca="1" si="335"/>
        <v/>
      </c>
      <c r="IJ65" s="104" t="str">
        <f t="shared" ca="1" si="335"/>
        <v/>
      </c>
      <c r="IK65" s="104" t="str">
        <f t="shared" ca="1" si="335"/>
        <v/>
      </c>
      <c r="IL65" s="104" t="str">
        <f t="shared" ca="1" si="335"/>
        <v/>
      </c>
      <c r="IM65" s="104" t="str">
        <f t="shared" ca="1" si="335"/>
        <v/>
      </c>
      <c r="IN65" s="104" t="str">
        <f t="shared" ca="1" si="335"/>
        <v/>
      </c>
      <c r="IO65" s="104" t="str">
        <f t="shared" ca="1" si="335"/>
        <v/>
      </c>
      <c r="IP65" s="104" t="str">
        <f t="shared" ca="1" si="335"/>
        <v/>
      </c>
      <c r="IQ65" s="104" t="str">
        <f t="shared" ca="1" si="335"/>
        <v/>
      </c>
      <c r="IR65" s="104" t="str">
        <f t="shared" ca="1" si="335"/>
        <v/>
      </c>
      <c r="IS65" s="104" t="str">
        <f t="shared" ca="1" si="335"/>
        <v/>
      </c>
      <c r="IT65" s="104" t="str">
        <f t="shared" ca="1" si="335"/>
        <v/>
      </c>
      <c r="IU65" s="104" t="str">
        <f t="shared" ca="1" si="335"/>
        <v/>
      </c>
      <c r="IV65" s="104" t="str">
        <f t="shared" ca="1" si="335"/>
        <v/>
      </c>
      <c r="IW65" s="104" t="str">
        <f t="shared" ca="1" si="335"/>
        <v/>
      </c>
      <c r="IX65" s="104" t="str">
        <f t="shared" ca="1" si="335"/>
        <v/>
      </c>
      <c r="IY65" s="104" t="str">
        <f t="shared" ca="1" si="335"/>
        <v/>
      </c>
      <c r="IZ65" s="104" t="str">
        <f t="shared" ca="1" si="335"/>
        <v/>
      </c>
      <c r="JA65" s="104" t="str">
        <f t="shared" ca="1" si="335"/>
        <v/>
      </c>
      <c r="JB65" s="104" t="str">
        <f t="shared" ca="1" si="335"/>
        <v/>
      </c>
      <c r="JC65" s="104" t="str">
        <f t="shared" ca="1" si="335"/>
        <v/>
      </c>
      <c r="JD65" s="104" t="str">
        <f t="shared" ca="1" si="335"/>
        <v/>
      </c>
      <c r="JE65" s="104" t="str">
        <f t="shared" ca="1" si="335"/>
        <v/>
      </c>
      <c r="JF65" s="104" t="str">
        <f t="shared" ca="1" si="335"/>
        <v/>
      </c>
      <c r="JG65" s="104" t="str">
        <f t="shared" ca="1" si="335"/>
        <v/>
      </c>
      <c r="JH65" s="104" t="str">
        <f t="shared" ca="1" si="335"/>
        <v/>
      </c>
      <c r="JI65" s="104" t="str">
        <f t="shared" ca="1" si="335"/>
        <v/>
      </c>
      <c r="JJ65" s="104" t="str">
        <f t="shared" ca="1" si="335"/>
        <v/>
      </c>
      <c r="JK65" s="104" t="str">
        <f t="shared" ca="1" si="335"/>
        <v/>
      </c>
      <c r="JL65" s="104" t="str">
        <f t="shared" ca="1" si="335"/>
        <v/>
      </c>
      <c r="JM65" s="104" t="str">
        <f t="shared" ca="1" si="335"/>
        <v/>
      </c>
      <c r="JN65" s="104" t="str">
        <f t="shared" ca="1" si="335"/>
        <v/>
      </c>
      <c r="JO65" s="104" t="str">
        <f t="shared" ca="1" si="335"/>
        <v/>
      </c>
      <c r="JP65" s="104" t="str">
        <f t="shared" ca="1" si="335"/>
        <v/>
      </c>
      <c r="JQ65" s="104" t="str">
        <f t="shared" ca="1" si="335"/>
        <v/>
      </c>
      <c r="JR65" s="104" t="str">
        <f t="shared" ref="JR65:JZ65" ca="1" si="336">IF(JR3&gt;$J$5,"",JQ65+JR62-JR64)</f>
        <v/>
      </c>
      <c r="JS65" s="104" t="str">
        <f t="shared" ca="1" si="336"/>
        <v/>
      </c>
      <c r="JT65" s="104" t="str">
        <f t="shared" ca="1" si="336"/>
        <v/>
      </c>
      <c r="JU65" s="104" t="str">
        <f t="shared" ca="1" si="336"/>
        <v/>
      </c>
      <c r="JV65" s="104" t="str">
        <f t="shared" ca="1" si="336"/>
        <v/>
      </c>
      <c r="JW65" s="104" t="str">
        <f t="shared" ca="1" si="336"/>
        <v/>
      </c>
      <c r="JX65" s="104" t="str">
        <f t="shared" ca="1" si="336"/>
        <v/>
      </c>
      <c r="JY65" s="104" t="str">
        <f t="shared" ca="1" si="336"/>
        <v/>
      </c>
      <c r="JZ65" s="105" t="str">
        <f t="shared" ca="1" si="336"/>
        <v/>
      </c>
      <c r="KA65" s="17"/>
      <c r="KB65" s="17"/>
      <c r="KC65" s="17"/>
      <c r="KD65" s="17"/>
      <c r="KE65" s="17"/>
      <c r="KF65" s="17"/>
      <c r="KG65" s="17"/>
      <c r="KH65" s="17"/>
      <c r="KI65" s="17"/>
      <c r="KJ65" s="17"/>
      <c r="KK65" s="17"/>
      <c r="KL65" s="17"/>
      <c r="KM65" s="17"/>
      <c r="KN65" s="17"/>
      <c r="KO65" s="17"/>
      <c r="KP65" s="17"/>
      <c r="KQ65" s="17"/>
      <c r="KR65" s="17"/>
      <c r="KS65" s="17"/>
      <c r="KT65" s="17"/>
      <c r="KU65" s="17"/>
      <c r="KV65" s="17"/>
      <c r="KW65" s="17"/>
      <c r="KX65" s="17"/>
      <c r="KY65" s="17"/>
      <c r="KZ65" s="17"/>
      <c r="LA65" s="17"/>
      <c r="LB65" s="17"/>
      <c r="LC65" s="17"/>
      <c r="LD65" s="17"/>
      <c r="LE65" s="17"/>
      <c r="LF65" s="17"/>
      <c r="LG65" s="17"/>
      <c r="LH65" s="17"/>
      <c r="LI65" s="17"/>
      <c r="LJ65" s="17"/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/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/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/>
      <c r="NC65" s="17"/>
      <c r="ND65" s="17"/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/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/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</row>
    <row r="66" spans="1:669" ht="15.75" thickTop="1" x14ac:dyDescent="0.25">
      <c r="A66" s="140" t="str">
        <f>B66</f>
        <v>xx</v>
      </c>
      <c r="B66" s="231" t="s">
        <v>21</v>
      </c>
      <c r="C66" s="137" t="s">
        <v>22</v>
      </c>
      <c r="D66" s="228"/>
      <c r="E66" s="172" t="s">
        <v>42</v>
      </c>
      <c r="F66" s="180">
        <f ca="1">(F69+F67)*H67</f>
        <v>0</v>
      </c>
      <c r="G66" s="172" t="s">
        <v>37</v>
      </c>
      <c r="H66" s="169">
        <f ca="1">STDEVPA(V70:JZ70)</f>
        <v>0</v>
      </c>
      <c r="I66" s="247" t="s">
        <v>15</v>
      </c>
      <c r="J66" s="134" t="str">
        <f t="shared" si="326"/>
        <v>CORTE</v>
      </c>
      <c r="K66" s="283"/>
      <c r="L66" s="55"/>
      <c r="M66" s="56"/>
      <c r="N66" s="56"/>
      <c r="O66" s="56"/>
      <c r="P66" s="56"/>
      <c r="Q66" s="56"/>
      <c r="R66" s="56"/>
      <c r="S66" s="56"/>
      <c r="T66" s="56"/>
      <c r="U66" s="56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/>
      <c r="DA66" s="82"/>
      <c r="DB66" s="82"/>
      <c r="DC66" s="82"/>
      <c r="DD66" s="82"/>
      <c r="DE66" s="82"/>
      <c r="DF66" s="82"/>
      <c r="DG66" s="82"/>
      <c r="DH66" s="82"/>
      <c r="DI66" s="82"/>
      <c r="DJ66" s="82"/>
      <c r="DK66" s="82"/>
      <c r="DL66" s="82"/>
      <c r="DM66" s="82"/>
      <c r="DN66" s="82"/>
      <c r="DO66" s="82"/>
      <c r="DP66" s="82"/>
      <c r="DQ66" s="82"/>
      <c r="DR66" s="82"/>
      <c r="DS66" s="82"/>
      <c r="DT66" s="82"/>
      <c r="DU66" s="82"/>
      <c r="DV66" s="82"/>
      <c r="DW66" s="82"/>
      <c r="DX66" s="82"/>
      <c r="DY66" s="82"/>
      <c r="DZ66" s="82"/>
      <c r="EA66" s="82"/>
      <c r="EB66" s="82"/>
      <c r="EC66" s="82"/>
      <c r="ED66" s="82"/>
      <c r="EE66" s="82"/>
      <c r="EF66" s="82"/>
      <c r="EG66" s="82"/>
      <c r="EH66" s="82"/>
      <c r="EI66" s="82"/>
      <c r="EJ66" s="82"/>
      <c r="EK66" s="82"/>
      <c r="EL66" s="82"/>
      <c r="EM66" s="82"/>
      <c r="EN66" s="82"/>
      <c r="EO66" s="82"/>
      <c r="EP66" s="82"/>
      <c r="EQ66" s="82"/>
      <c r="ER66" s="82"/>
      <c r="ES66" s="82"/>
      <c r="ET66" s="82"/>
      <c r="EU66" s="82"/>
      <c r="EV66" s="82"/>
      <c r="EW66" s="82"/>
      <c r="EX66" s="82"/>
      <c r="EY66" s="82"/>
      <c r="EZ66" s="82"/>
      <c r="FA66" s="82"/>
      <c r="FB66" s="82"/>
      <c r="FC66" s="82"/>
      <c r="FD66" s="82"/>
      <c r="FE66" s="82"/>
      <c r="FF66" s="82"/>
      <c r="FG66" s="82"/>
      <c r="FH66" s="82"/>
      <c r="FI66" s="82"/>
      <c r="FJ66" s="82"/>
      <c r="FK66" s="82"/>
      <c r="FL66" s="82"/>
      <c r="FM66" s="82"/>
      <c r="FN66" s="82"/>
      <c r="FO66" s="82"/>
      <c r="FP66" s="82"/>
      <c r="FQ66" s="82"/>
      <c r="FR66" s="82"/>
      <c r="FS66" s="82"/>
      <c r="FT66" s="82"/>
      <c r="FU66" s="82"/>
      <c r="FV66" s="82"/>
      <c r="FW66" s="82"/>
      <c r="FX66" s="82"/>
      <c r="FY66" s="82"/>
      <c r="FZ66" s="82"/>
      <c r="GA66" s="82"/>
      <c r="GB66" s="82"/>
      <c r="GC66" s="82"/>
      <c r="GD66" s="82"/>
      <c r="GE66" s="82"/>
      <c r="GF66" s="82"/>
      <c r="GG66" s="82"/>
      <c r="GH66" s="82"/>
      <c r="GI66" s="82"/>
      <c r="GJ66" s="82"/>
      <c r="GK66" s="82"/>
      <c r="GL66" s="82"/>
      <c r="GM66" s="82"/>
      <c r="GN66" s="82"/>
      <c r="GO66" s="82"/>
      <c r="GP66" s="82"/>
      <c r="GQ66" s="82"/>
      <c r="GR66" s="82"/>
      <c r="GS66" s="82"/>
      <c r="GT66" s="82"/>
      <c r="GU66" s="82"/>
      <c r="GV66" s="82"/>
      <c r="GW66" s="82"/>
      <c r="GX66" s="82"/>
      <c r="GY66" s="82"/>
      <c r="GZ66" s="82"/>
      <c r="HA66" s="82"/>
      <c r="HB66" s="82"/>
      <c r="HC66" s="82"/>
      <c r="HD66" s="82"/>
      <c r="HE66" s="82"/>
      <c r="HF66" s="82"/>
      <c r="HG66" s="82"/>
      <c r="HH66" s="82"/>
      <c r="HI66" s="82"/>
      <c r="HJ66" s="82"/>
      <c r="HK66" s="82"/>
      <c r="HL66" s="82"/>
      <c r="HM66" s="82"/>
      <c r="HN66" s="82"/>
      <c r="HO66" s="82"/>
      <c r="HP66" s="82"/>
      <c r="HQ66" s="82"/>
      <c r="HR66" s="82"/>
      <c r="HS66" s="82"/>
      <c r="HT66" s="82"/>
      <c r="HU66" s="82"/>
      <c r="HV66" s="82"/>
      <c r="HW66" s="82"/>
      <c r="HX66" s="82"/>
      <c r="HY66" s="82"/>
      <c r="HZ66" s="82"/>
      <c r="IA66" s="82"/>
      <c r="IB66" s="82"/>
      <c r="IC66" s="82"/>
      <c r="ID66" s="82"/>
      <c r="IE66" s="82"/>
      <c r="IF66" s="82"/>
      <c r="IG66" s="82"/>
      <c r="IH66" s="82"/>
      <c r="II66" s="82"/>
      <c r="IJ66" s="82"/>
      <c r="IK66" s="82"/>
      <c r="IL66" s="82"/>
      <c r="IM66" s="82"/>
      <c r="IN66" s="82"/>
      <c r="IO66" s="82"/>
      <c r="IP66" s="82"/>
      <c r="IQ66" s="82"/>
      <c r="IR66" s="82"/>
      <c r="IS66" s="82"/>
      <c r="IT66" s="82"/>
      <c r="IU66" s="82"/>
      <c r="IV66" s="82"/>
      <c r="IW66" s="82"/>
      <c r="IX66" s="82"/>
      <c r="IY66" s="82"/>
      <c r="IZ66" s="82"/>
      <c r="JA66" s="82"/>
      <c r="JB66" s="82"/>
      <c r="JC66" s="82"/>
      <c r="JD66" s="82"/>
      <c r="JE66" s="82"/>
      <c r="JF66" s="82"/>
      <c r="JG66" s="82"/>
      <c r="JH66" s="82"/>
      <c r="JI66" s="82"/>
      <c r="JJ66" s="82"/>
      <c r="JK66" s="82"/>
      <c r="JL66" s="82"/>
      <c r="JM66" s="82"/>
      <c r="JN66" s="82"/>
      <c r="JO66" s="82"/>
      <c r="JP66" s="82"/>
      <c r="JQ66" s="82"/>
      <c r="JR66" s="82"/>
      <c r="JS66" s="82"/>
      <c r="JT66" s="82"/>
      <c r="JU66" s="82"/>
      <c r="JV66" s="82"/>
      <c r="JW66" s="82"/>
      <c r="JX66" s="82"/>
      <c r="JY66" s="82"/>
      <c r="JZ66" s="123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</row>
    <row r="67" spans="1:669" x14ac:dyDescent="0.25">
      <c r="A67" s="138" t="str">
        <f>B66</f>
        <v>xx</v>
      </c>
      <c r="B67" s="232"/>
      <c r="C67" s="81" t="str">
        <f>$C$66</f>
        <v>ddd</v>
      </c>
      <c r="D67" s="229"/>
      <c r="E67" s="173" t="s">
        <v>44</v>
      </c>
      <c r="F67" s="181">
        <f ca="1">AVERAGE(V70:JZ70)</f>
        <v>0</v>
      </c>
      <c r="G67" s="174" t="s">
        <v>38</v>
      </c>
      <c r="H67" s="170">
        <v>3</v>
      </c>
      <c r="I67" s="242" t="s">
        <v>16</v>
      </c>
      <c r="J67" s="135" t="str">
        <f t="shared" si="326"/>
        <v>CORTE</v>
      </c>
      <c r="K67" s="284"/>
      <c r="L67" s="57"/>
      <c r="M67" s="58"/>
      <c r="N67" s="58"/>
      <c r="O67" s="58"/>
      <c r="P67" s="58"/>
      <c r="Q67" s="58"/>
      <c r="R67" s="58"/>
      <c r="S67" s="58"/>
      <c r="T67" s="58"/>
      <c r="U67" s="58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  <c r="DF67" s="70"/>
      <c r="DG67" s="70"/>
      <c r="DH67" s="70"/>
      <c r="DI67" s="70"/>
      <c r="DJ67" s="70"/>
      <c r="DK67" s="70"/>
      <c r="DL67" s="70"/>
      <c r="DM67" s="70"/>
      <c r="DN67" s="70"/>
      <c r="DO67" s="70"/>
      <c r="DP67" s="70"/>
      <c r="DQ67" s="70"/>
      <c r="DR67" s="70"/>
      <c r="DS67" s="70"/>
      <c r="DT67" s="70"/>
      <c r="DU67" s="70"/>
      <c r="DV67" s="70"/>
      <c r="DW67" s="70"/>
      <c r="DX67" s="70"/>
      <c r="DY67" s="70"/>
      <c r="DZ67" s="70"/>
      <c r="EA67" s="70"/>
      <c r="EB67" s="70"/>
      <c r="EC67" s="70"/>
      <c r="ED67" s="70"/>
      <c r="EE67" s="70"/>
      <c r="EF67" s="70"/>
      <c r="EG67" s="70"/>
      <c r="EH67" s="70"/>
      <c r="EI67" s="70"/>
      <c r="EJ67" s="70"/>
      <c r="EK67" s="70"/>
      <c r="EL67" s="70"/>
      <c r="EM67" s="70"/>
      <c r="EN67" s="70"/>
      <c r="EO67" s="70"/>
      <c r="EP67" s="70"/>
      <c r="EQ67" s="70"/>
      <c r="ER67" s="70"/>
      <c r="ES67" s="70"/>
      <c r="ET67" s="70"/>
      <c r="EU67" s="70"/>
      <c r="EV67" s="70"/>
      <c r="EW67" s="70"/>
      <c r="EX67" s="70"/>
      <c r="EY67" s="70"/>
      <c r="EZ67" s="70"/>
      <c r="FA67" s="70"/>
      <c r="FB67" s="70"/>
      <c r="FC67" s="70"/>
      <c r="FD67" s="70"/>
      <c r="FE67" s="70"/>
      <c r="FF67" s="70"/>
      <c r="FG67" s="70"/>
      <c r="FH67" s="70"/>
      <c r="FI67" s="70"/>
      <c r="FJ67" s="70"/>
      <c r="FK67" s="70"/>
      <c r="FL67" s="70"/>
      <c r="FM67" s="70"/>
      <c r="FN67" s="70"/>
      <c r="FO67" s="70"/>
      <c r="FP67" s="70"/>
      <c r="FQ67" s="70"/>
      <c r="FR67" s="70"/>
      <c r="FS67" s="70"/>
      <c r="FT67" s="70"/>
      <c r="FU67" s="70"/>
      <c r="FV67" s="70"/>
      <c r="FW67" s="70"/>
      <c r="FX67" s="70"/>
      <c r="FY67" s="70"/>
      <c r="FZ67" s="70"/>
      <c r="GA67" s="70"/>
      <c r="GB67" s="70"/>
      <c r="GC67" s="70"/>
      <c r="GD67" s="70"/>
      <c r="GE67" s="70"/>
      <c r="GF67" s="70"/>
      <c r="GG67" s="70"/>
      <c r="GH67" s="70"/>
      <c r="GI67" s="70"/>
      <c r="GJ67" s="70"/>
      <c r="GK67" s="70"/>
      <c r="GL67" s="70"/>
      <c r="GM67" s="70"/>
      <c r="GN67" s="70"/>
      <c r="GO67" s="70"/>
      <c r="GP67" s="70"/>
      <c r="GQ67" s="70"/>
      <c r="GR67" s="70"/>
      <c r="GS67" s="70"/>
      <c r="GT67" s="70"/>
      <c r="GU67" s="70"/>
      <c r="GV67" s="70"/>
      <c r="GW67" s="70"/>
      <c r="GX67" s="70"/>
      <c r="GY67" s="70"/>
      <c r="GZ67" s="70"/>
      <c r="HA67" s="70"/>
      <c r="HB67" s="70"/>
      <c r="HC67" s="70"/>
      <c r="HD67" s="70"/>
      <c r="HE67" s="70"/>
      <c r="HF67" s="70"/>
      <c r="HG67" s="70"/>
      <c r="HH67" s="70"/>
      <c r="HI67" s="70"/>
      <c r="HJ67" s="70"/>
      <c r="HK67" s="70"/>
      <c r="HL67" s="70"/>
      <c r="HM67" s="70"/>
      <c r="HN67" s="70"/>
      <c r="HO67" s="70"/>
      <c r="HP67" s="70"/>
      <c r="HQ67" s="70"/>
      <c r="HR67" s="70"/>
      <c r="HS67" s="70"/>
      <c r="HT67" s="70"/>
      <c r="HU67" s="70"/>
      <c r="HV67" s="70"/>
      <c r="HW67" s="70"/>
      <c r="HX67" s="70"/>
      <c r="HY67" s="70"/>
      <c r="HZ67" s="70"/>
      <c r="IA67" s="70"/>
      <c r="IB67" s="70"/>
      <c r="IC67" s="70"/>
      <c r="ID67" s="70"/>
      <c r="IE67" s="70"/>
      <c r="IF67" s="70"/>
      <c r="IG67" s="70"/>
      <c r="IH67" s="70"/>
      <c r="II67" s="70"/>
      <c r="IJ67" s="70"/>
      <c r="IK67" s="70"/>
      <c r="IL67" s="70"/>
      <c r="IM67" s="70"/>
      <c r="IN67" s="70"/>
      <c r="IO67" s="70"/>
      <c r="IP67" s="70"/>
      <c r="IQ67" s="70"/>
      <c r="IR67" s="70"/>
      <c r="IS67" s="70"/>
      <c r="IT67" s="70"/>
      <c r="IU67" s="70"/>
      <c r="IV67" s="70"/>
      <c r="IW67" s="70"/>
      <c r="IX67" s="70"/>
      <c r="IY67" s="70"/>
      <c r="IZ67" s="70"/>
      <c r="JA67" s="70"/>
      <c r="JB67" s="70"/>
      <c r="JC67" s="70"/>
      <c r="JD67" s="70"/>
      <c r="JE67" s="70"/>
      <c r="JF67" s="70"/>
      <c r="JG67" s="70"/>
      <c r="JH67" s="70"/>
      <c r="JI67" s="70"/>
      <c r="JJ67" s="70"/>
      <c r="JK67" s="70"/>
      <c r="JL67" s="70"/>
      <c r="JM67" s="70"/>
      <c r="JN67" s="70"/>
      <c r="JO67" s="70"/>
      <c r="JP67" s="70"/>
      <c r="JQ67" s="70"/>
      <c r="JR67" s="70"/>
      <c r="JS67" s="70"/>
      <c r="JT67" s="70"/>
      <c r="JU67" s="70"/>
      <c r="JV67" s="70"/>
      <c r="JW67" s="70"/>
      <c r="JX67" s="70"/>
      <c r="JY67" s="70"/>
      <c r="JZ67" s="99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/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/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</row>
    <row r="68" spans="1:669" x14ac:dyDescent="0.25">
      <c r="A68" s="138" t="str">
        <f>B66</f>
        <v>xx</v>
      </c>
      <c r="B68" s="232"/>
      <c r="C68" s="81" t="str">
        <f t="shared" ref="C68:C70" si="337">$C$66</f>
        <v>ddd</v>
      </c>
      <c r="D68" s="229"/>
      <c r="E68" s="173" t="s">
        <v>41</v>
      </c>
      <c r="F68" s="181">
        <f ca="1">(F67*H67)+F69</f>
        <v>0</v>
      </c>
      <c r="G68" s="175" t="s">
        <v>39</v>
      </c>
      <c r="H68" s="170">
        <v>1</v>
      </c>
      <c r="I68" s="242" t="s">
        <v>17</v>
      </c>
      <c r="J68" s="135" t="str">
        <f t="shared" si="326"/>
        <v>CORTE</v>
      </c>
      <c r="K68" s="284"/>
      <c r="L68" s="57"/>
      <c r="M68" s="58"/>
      <c r="N68" s="58"/>
      <c r="O68" s="58"/>
      <c r="P68" s="58"/>
      <c r="Q68" s="58"/>
      <c r="R68" s="58"/>
      <c r="S68" s="58"/>
      <c r="T68" s="58"/>
      <c r="U68" s="58"/>
      <c r="V68" s="68">
        <f t="shared" ref="V68:CG68" ca="1" si="338">IF(V3&gt;$J$5,"",U68+V66-V67)</f>
        <v>0</v>
      </c>
      <c r="W68" s="68">
        <f t="shared" ca="1" si="338"/>
        <v>0</v>
      </c>
      <c r="X68" s="68">
        <f t="shared" ca="1" si="338"/>
        <v>0</v>
      </c>
      <c r="Y68" s="68">
        <f t="shared" ca="1" si="338"/>
        <v>0</v>
      </c>
      <c r="Z68" s="68">
        <f t="shared" ca="1" si="338"/>
        <v>0</v>
      </c>
      <c r="AA68" s="68">
        <f t="shared" ca="1" si="338"/>
        <v>0</v>
      </c>
      <c r="AB68" s="68">
        <f t="shared" ca="1" si="338"/>
        <v>0</v>
      </c>
      <c r="AC68" s="68">
        <f t="shared" ca="1" si="338"/>
        <v>0</v>
      </c>
      <c r="AD68" s="68">
        <f t="shared" ca="1" si="338"/>
        <v>0</v>
      </c>
      <c r="AE68" s="68">
        <f t="shared" ca="1" si="338"/>
        <v>0</v>
      </c>
      <c r="AF68" s="68">
        <f t="shared" ca="1" si="338"/>
        <v>0</v>
      </c>
      <c r="AG68" s="68">
        <f t="shared" ca="1" si="338"/>
        <v>0</v>
      </c>
      <c r="AH68" s="68">
        <f t="shared" ca="1" si="338"/>
        <v>0</v>
      </c>
      <c r="AI68" s="68">
        <f t="shared" ca="1" si="338"/>
        <v>0</v>
      </c>
      <c r="AJ68" s="68">
        <f t="shared" ca="1" si="338"/>
        <v>0</v>
      </c>
      <c r="AK68" s="68">
        <f t="shared" ca="1" si="338"/>
        <v>0</v>
      </c>
      <c r="AL68" s="68">
        <f t="shared" ca="1" si="338"/>
        <v>0</v>
      </c>
      <c r="AM68" s="68">
        <f t="shared" ca="1" si="338"/>
        <v>0</v>
      </c>
      <c r="AN68" s="68">
        <f t="shared" ca="1" si="338"/>
        <v>0</v>
      </c>
      <c r="AO68" s="68">
        <f t="shared" ca="1" si="338"/>
        <v>0</v>
      </c>
      <c r="AP68" s="68">
        <f t="shared" ca="1" si="338"/>
        <v>0</v>
      </c>
      <c r="AQ68" s="68">
        <f t="shared" ca="1" si="338"/>
        <v>0</v>
      </c>
      <c r="AR68" s="68">
        <f t="shared" ca="1" si="338"/>
        <v>0</v>
      </c>
      <c r="AS68" s="68">
        <f t="shared" ca="1" si="338"/>
        <v>0</v>
      </c>
      <c r="AT68" s="68">
        <f t="shared" ca="1" si="338"/>
        <v>0</v>
      </c>
      <c r="AU68" s="68">
        <f t="shared" ca="1" si="338"/>
        <v>0</v>
      </c>
      <c r="AV68" s="68">
        <f t="shared" ca="1" si="338"/>
        <v>0</v>
      </c>
      <c r="AW68" s="68">
        <f t="shared" ca="1" si="338"/>
        <v>0</v>
      </c>
      <c r="AX68" s="68">
        <f t="shared" ca="1" si="338"/>
        <v>0</v>
      </c>
      <c r="AY68" s="68">
        <f t="shared" ca="1" si="338"/>
        <v>0</v>
      </c>
      <c r="AZ68" s="68">
        <f t="shared" ca="1" si="338"/>
        <v>0</v>
      </c>
      <c r="BA68" s="68">
        <f t="shared" ca="1" si="338"/>
        <v>0</v>
      </c>
      <c r="BB68" s="68">
        <f t="shared" ca="1" si="338"/>
        <v>0</v>
      </c>
      <c r="BC68" s="68">
        <f t="shared" ca="1" si="338"/>
        <v>0</v>
      </c>
      <c r="BD68" s="68">
        <f t="shared" ca="1" si="338"/>
        <v>0</v>
      </c>
      <c r="BE68" s="68">
        <f t="shared" ca="1" si="338"/>
        <v>0</v>
      </c>
      <c r="BF68" s="68">
        <f t="shared" ca="1" si="338"/>
        <v>0</v>
      </c>
      <c r="BG68" s="68">
        <f t="shared" ca="1" si="338"/>
        <v>0</v>
      </c>
      <c r="BH68" s="68">
        <f t="shared" ca="1" si="338"/>
        <v>0</v>
      </c>
      <c r="BI68" s="68">
        <f t="shared" ca="1" si="338"/>
        <v>0</v>
      </c>
      <c r="BJ68" s="68">
        <f t="shared" ca="1" si="338"/>
        <v>0</v>
      </c>
      <c r="BK68" s="68">
        <f t="shared" ca="1" si="338"/>
        <v>0</v>
      </c>
      <c r="BL68" s="68">
        <f t="shared" ca="1" si="338"/>
        <v>0</v>
      </c>
      <c r="BM68" s="68">
        <f t="shared" ca="1" si="338"/>
        <v>0</v>
      </c>
      <c r="BN68" s="68">
        <f t="shared" ca="1" si="338"/>
        <v>0</v>
      </c>
      <c r="BO68" s="68">
        <f t="shared" ca="1" si="338"/>
        <v>0</v>
      </c>
      <c r="BP68" s="68">
        <f t="shared" ca="1" si="338"/>
        <v>0</v>
      </c>
      <c r="BQ68" s="68">
        <f t="shared" ca="1" si="338"/>
        <v>0</v>
      </c>
      <c r="BR68" s="68">
        <f t="shared" ca="1" si="338"/>
        <v>0</v>
      </c>
      <c r="BS68" s="68">
        <f t="shared" ca="1" si="338"/>
        <v>0</v>
      </c>
      <c r="BT68" s="68">
        <f t="shared" ca="1" si="338"/>
        <v>0</v>
      </c>
      <c r="BU68" s="68">
        <f t="shared" ca="1" si="338"/>
        <v>0</v>
      </c>
      <c r="BV68" s="68">
        <f t="shared" ca="1" si="338"/>
        <v>0</v>
      </c>
      <c r="BW68" s="68">
        <f t="shared" ca="1" si="338"/>
        <v>0</v>
      </c>
      <c r="BX68" s="68">
        <f t="shared" ca="1" si="338"/>
        <v>0</v>
      </c>
      <c r="BY68" s="68">
        <f t="shared" ca="1" si="338"/>
        <v>0</v>
      </c>
      <c r="BZ68" s="68">
        <f t="shared" ca="1" si="338"/>
        <v>0</v>
      </c>
      <c r="CA68" s="68">
        <f t="shared" ca="1" si="338"/>
        <v>0</v>
      </c>
      <c r="CB68" s="68">
        <f t="shared" ca="1" si="338"/>
        <v>0</v>
      </c>
      <c r="CC68" s="68">
        <f t="shared" ca="1" si="338"/>
        <v>0</v>
      </c>
      <c r="CD68" s="68">
        <f t="shared" ca="1" si="338"/>
        <v>0</v>
      </c>
      <c r="CE68" s="68">
        <f t="shared" ca="1" si="338"/>
        <v>0</v>
      </c>
      <c r="CF68" s="68">
        <f t="shared" ca="1" si="338"/>
        <v>0</v>
      </c>
      <c r="CG68" s="68">
        <f t="shared" ca="1" si="338"/>
        <v>0</v>
      </c>
      <c r="CH68" s="68">
        <f t="shared" ref="CH68:ES68" ca="1" si="339">IF(CH3&gt;$J$5,"",CG68+CH66-CH67)</f>
        <v>0</v>
      </c>
      <c r="CI68" s="68">
        <f t="shared" ca="1" si="339"/>
        <v>0</v>
      </c>
      <c r="CJ68" s="68">
        <f t="shared" ca="1" si="339"/>
        <v>0</v>
      </c>
      <c r="CK68" s="68">
        <f t="shared" ca="1" si="339"/>
        <v>0</v>
      </c>
      <c r="CL68" s="68">
        <f t="shared" ca="1" si="339"/>
        <v>0</v>
      </c>
      <c r="CM68" s="68">
        <f t="shared" ca="1" si="339"/>
        <v>0</v>
      </c>
      <c r="CN68" s="68">
        <f t="shared" ca="1" si="339"/>
        <v>0</v>
      </c>
      <c r="CO68" s="68">
        <f t="shared" ca="1" si="339"/>
        <v>0</v>
      </c>
      <c r="CP68" s="68">
        <f t="shared" ca="1" si="339"/>
        <v>0</v>
      </c>
      <c r="CQ68" s="68">
        <f t="shared" ca="1" si="339"/>
        <v>0</v>
      </c>
      <c r="CR68" s="68">
        <f t="shared" ca="1" si="339"/>
        <v>0</v>
      </c>
      <c r="CS68" s="68">
        <f t="shared" ca="1" si="339"/>
        <v>0</v>
      </c>
      <c r="CT68" s="68">
        <f t="shared" ca="1" si="339"/>
        <v>0</v>
      </c>
      <c r="CU68" s="68">
        <f t="shared" ca="1" si="339"/>
        <v>0</v>
      </c>
      <c r="CV68" s="68">
        <f t="shared" ca="1" si="339"/>
        <v>0</v>
      </c>
      <c r="CW68" s="68">
        <f t="shared" ca="1" si="339"/>
        <v>0</v>
      </c>
      <c r="CX68" s="68">
        <f t="shared" ca="1" si="339"/>
        <v>0</v>
      </c>
      <c r="CY68" s="68">
        <f t="shared" ca="1" si="339"/>
        <v>0</v>
      </c>
      <c r="CZ68" s="68">
        <f t="shared" ca="1" si="339"/>
        <v>0</v>
      </c>
      <c r="DA68" s="68">
        <f t="shared" ca="1" si="339"/>
        <v>0</v>
      </c>
      <c r="DB68" s="68">
        <f t="shared" ca="1" si="339"/>
        <v>0</v>
      </c>
      <c r="DC68" s="68">
        <f t="shared" ca="1" si="339"/>
        <v>0</v>
      </c>
      <c r="DD68" s="68">
        <f t="shared" ca="1" si="339"/>
        <v>0</v>
      </c>
      <c r="DE68" s="68">
        <f t="shared" ca="1" si="339"/>
        <v>0</v>
      </c>
      <c r="DF68" s="68">
        <f t="shared" ca="1" si="339"/>
        <v>0</v>
      </c>
      <c r="DG68" s="68">
        <f t="shared" ca="1" si="339"/>
        <v>0</v>
      </c>
      <c r="DH68" s="68">
        <f t="shared" ca="1" si="339"/>
        <v>0</v>
      </c>
      <c r="DI68" s="68">
        <f t="shared" ca="1" si="339"/>
        <v>0</v>
      </c>
      <c r="DJ68" s="68">
        <f t="shared" ca="1" si="339"/>
        <v>0</v>
      </c>
      <c r="DK68" s="68">
        <f t="shared" ca="1" si="339"/>
        <v>0</v>
      </c>
      <c r="DL68" s="68">
        <f t="shared" ca="1" si="339"/>
        <v>0</v>
      </c>
      <c r="DM68" s="68">
        <f t="shared" ca="1" si="339"/>
        <v>0</v>
      </c>
      <c r="DN68" s="68">
        <f t="shared" ca="1" si="339"/>
        <v>0</v>
      </c>
      <c r="DO68" s="68">
        <f t="shared" ca="1" si="339"/>
        <v>0</v>
      </c>
      <c r="DP68" s="68">
        <f t="shared" ca="1" si="339"/>
        <v>0</v>
      </c>
      <c r="DQ68" s="68">
        <f t="shared" ca="1" si="339"/>
        <v>0</v>
      </c>
      <c r="DR68" s="68">
        <f t="shared" ca="1" si="339"/>
        <v>0</v>
      </c>
      <c r="DS68" s="68">
        <f t="shared" ca="1" si="339"/>
        <v>0</v>
      </c>
      <c r="DT68" s="68">
        <f t="shared" ca="1" si="339"/>
        <v>0</v>
      </c>
      <c r="DU68" s="68">
        <f t="shared" ca="1" si="339"/>
        <v>0</v>
      </c>
      <c r="DV68" s="68">
        <f t="shared" ca="1" si="339"/>
        <v>0</v>
      </c>
      <c r="DW68" s="68">
        <f t="shared" ca="1" si="339"/>
        <v>0</v>
      </c>
      <c r="DX68" s="68">
        <f t="shared" ca="1" si="339"/>
        <v>0</v>
      </c>
      <c r="DY68" s="68">
        <f t="shared" ca="1" si="339"/>
        <v>0</v>
      </c>
      <c r="DZ68" s="68">
        <f t="shared" ca="1" si="339"/>
        <v>0</v>
      </c>
      <c r="EA68" s="68">
        <f t="shared" ca="1" si="339"/>
        <v>0</v>
      </c>
      <c r="EB68" s="68">
        <f t="shared" ca="1" si="339"/>
        <v>0</v>
      </c>
      <c r="EC68" s="68">
        <f t="shared" ca="1" si="339"/>
        <v>0</v>
      </c>
      <c r="ED68" s="68">
        <f t="shared" ca="1" si="339"/>
        <v>0</v>
      </c>
      <c r="EE68" s="68">
        <f t="shared" ca="1" si="339"/>
        <v>0</v>
      </c>
      <c r="EF68" s="68">
        <f t="shared" ca="1" si="339"/>
        <v>0</v>
      </c>
      <c r="EG68" s="68">
        <f t="shared" ca="1" si="339"/>
        <v>0</v>
      </c>
      <c r="EH68" s="68">
        <f t="shared" ca="1" si="339"/>
        <v>0</v>
      </c>
      <c r="EI68" s="68">
        <f t="shared" ca="1" si="339"/>
        <v>0</v>
      </c>
      <c r="EJ68" s="68">
        <f t="shared" ca="1" si="339"/>
        <v>0</v>
      </c>
      <c r="EK68" s="68">
        <f t="shared" ca="1" si="339"/>
        <v>0</v>
      </c>
      <c r="EL68" s="68">
        <f t="shared" ca="1" si="339"/>
        <v>0</v>
      </c>
      <c r="EM68" s="68">
        <f t="shared" ca="1" si="339"/>
        <v>0</v>
      </c>
      <c r="EN68" s="68">
        <f t="shared" ca="1" si="339"/>
        <v>0</v>
      </c>
      <c r="EO68" s="68">
        <f t="shared" ca="1" si="339"/>
        <v>0</v>
      </c>
      <c r="EP68" s="68">
        <f t="shared" ca="1" si="339"/>
        <v>0</v>
      </c>
      <c r="EQ68" s="68">
        <f t="shared" ca="1" si="339"/>
        <v>0</v>
      </c>
      <c r="ER68" s="68">
        <f t="shared" ca="1" si="339"/>
        <v>0</v>
      </c>
      <c r="ES68" s="68">
        <f t="shared" ca="1" si="339"/>
        <v>0</v>
      </c>
      <c r="ET68" s="68">
        <f t="shared" ref="ET68:HE68" ca="1" si="340">IF(ET3&gt;$J$5,"",ES68+ET66-ET67)</f>
        <v>0</v>
      </c>
      <c r="EU68" s="68">
        <f t="shared" ca="1" si="340"/>
        <v>0</v>
      </c>
      <c r="EV68" s="68">
        <f t="shared" ca="1" si="340"/>
        <v>0</v>
      </c>
      <c r="EW68" s="68">
        <f t="shared" ca="1" si="340"/>
        <v>0</v>
      </c>
      <c r="EX68" s="68">
        <f t="shared" ca="1" si="340"/>
        <v>0</v>
      </c>
      <c r="EY68" s="68">
        <f t="shared" ca="1" si="340"/>
        <v>0</v>
      </c>
      <c r="EZ68" s="68">
        <f t="shared" ca="1" si="340"/>
        <v>0</v>
      </c>
      <c r="FA68" s="68">
        <f t="shared" ca="1" si="340"/>
        <v>0</v>
      </c>
      <c r="FB68" s="68">
        <f t="shared" ca="1" si="340"/>
        <v>0</v>
      </c>
      <c r="FC68" s="68">
        <f t="shared" ca="1" si="340"/>
        <v>0</v>
      </c>
      <c r="FD68" s="68">
        <f t="shared" ca="1" si="340"/>
        <v>0</v>
      </c>
      <c r="FE68" s="68">
        <f t="shared" ca="1" si="340"/>
        <v>0</v>
      </c>
      <c r="FF68" s="68">
        <f t="shared" ca="1" si="340"/>
        <v>0</v>
      </c>
      <c r="FG68" s="68">
        <f t="shared" ca="1" si="340"/>
        <v>0</v>
      </c>
      <c r="FH68" s="68">
        <f t="shared" ca="1" si="340"/>
        <v>0</v>
      </c>
      <c r="FI68" s="68">
        <f t="shared" ca="1" si="340"/>
        <v>0</v>
      </c>
      <c r="FJ68" s="68">
        <f t="shared" ca="1" si="340"/>
        <v>0</v>
      </c>
      <c r="FK68" s="68">
        <f t="shared" ca="1" si="340"/>
        <v>0</v>
      </c>
      <c r="FL68" s="68">
        <f t="shared" ca="1" si="340"/>
        <v>0</v>
      </c>
      <c r="FM68" s="68">
        <f t="shared" ca="1" si="340"/>
        <v>0</v>
      </c>
      <c r="FN68" s="68">
        <f t="shared" ca="1" si="340"/>
        <v>0</v>
      </c>
      <c r="FO68" s="68">
        <f t="shared" ca="1" si="340"/>
        <v>0</v>
      </c>
      <c r="FP68" s="68">
        <f t="shared" ca="1" si="340"/>
        <v>0</v>
      </c>
      <c r="FQ68" s="68">
        <f t="shared" ca="1" si="340"/>
        <v>0</v>
      </c>
      <c r="FR68" s="68">
        <f t="shared" ca="1" si="340"/>
        <v>0</v>
      </c>
      <c r="FS68" s="68">
        <f t="shared" ca="1" si="340"/>
        <v>0</v>
      </c>
      <c r="FT68" s="68">
        <f t="shared" ca="1" si="340"/>
        <v>0</v>
      </c>
      <c r="FU68" s="68">
        <f t="shared" ca="1" si="340"/>
        <v>0</v>
      </c>
      <c r="FV68" s="68">
        <f t="shared" ca="1" si="340"/>
        <v>0</v>
      </c>
      <c r="FW68" s="68">
        <f t="shared" ca="1" si="340"/>
        <v>0</v>
      </c>
      <c r="FX68" s="68">
        <f t="shared" ca="1" si="340"/>
        <v>0</v>
      </c>
      <c r="FY68" s="68">
        <f t="shared" ca="1" si="340"/>
        <v>0</v>
      </c>
      <c r="FZ68" s="68">
        <f t="shared" ca="1" si="340"/>
        <v>0</v>
      </c>
      <c r="GA68" s="68">
        <f t="shared" ca="1" si="340"/>
        <v>0</v>
      </c>
      <c r="GB68" s="68">
        <f t="shared" ca="1" si="340"/>
        <v>0</v>
      </c>
      <c r="GC68" s="68">
        <f t="shared" ca="1" si="340"/>
        <v>0</v>
      </c>
      <c r="GD68" s="68">
        <f t="shared" ca="1" si="340"/>
        <v>0</v>
      </c>
      <c r="GE68" s="68">
        <f t="shared" ca="1" si="340"/>
        <v>0</v>
      </c>
      <c r="GF68" s="68">
        <f t="shared" ca="1" si="340"/>
        <v>0</v>
      </c>
      <c r="GG68" s="68">
        <f t="shared" ca="1" si="340"/>
        <v>0</v>
      </c>
      <c r="GH68" s="68">
        <f t="shared" ca="1" si="340"/>
        <v>0</v>
      </c>
      <c r="GI68" s="68">
        <f t="shared" ca="1" si="340"/>
        <v>0</v>
      </c>
      <c r="GJ68" s="68">
        <f t="shared" ca="1" si="340"/>
        <v>0</v>
      </c>
      <c r="GK68" s="68">
        <f t="shared" ca="1" si="340"/>
        <v>0</v>
      </c>
      <c r="GL68" s="68">
        <f t="shared" ca="1" si="340"/>
        <v>0</v>
      </c>
      <c r="GM68" s="68">
        <f t="shared" ca="1" si="340"/>
        <v>0</v>
      </c>
      <c r="GN68" s="68">
        <f t="shared" ca="1" si="340"/>
        <v>0</v>
      </c>
      <c r="GO68" s="68">
        <f t="shared" ca="1" si="340"/>
        <v>0</v>
      </c>
      <c r="GP68" s="68">
        <f t="shared" ca="1" si="340"/>
        <v>0</v>
      </c>
      <c r="GQ68" s="68">
        <f t="shared" ca="1" si="340"/>
        <v>0</v>
      </c>
      <c r="GR68" s="68">
        <f t="shared" ca="1" si="340"/>
        <v>0</v>
      </c>
      <c r="GS68" s="68">
        <f t="shared" ca="1" si="340"/>
        <v>0</v>
      </c>
      <c r="GT68" s="68">
        <f t="shared" ca="1" si="340"/>
        <v>0</v>
      </c>
      <c r="GU68" s="68">
        <f t="shared" ca="1" si="340"/>
        <v>0</v>
      </c>
      <c r="GV68" s="68">
        <f t="shared" ca="1" si="340"/>
        <v>0</v>
      </c>
      <c r="GW68" s="68">
        <f t="shared" ca="1" si="340"/>
        <v>0</v>
      </c>
      <c r="GX68" s="68">
        <f t="shared" ca="1" si="340"/>
        <v>0</v>
      </c>
      <c r="GY68" s="68">
        <f t="shared" ca="1" si="340"/>
        <v>0</v>
      </c>
      <c r="GZ68" s="68">
        <f t="shared" ca="1" si="340"/>
        <v>0</v>
      </c>
      <c r="HA68" s="68">
        <f t="shared" ca="1" si="340"/>
        <v>0</v>
      </c>
      <c r="HB68" s="68">
        <f t="shared" ca="1" si="340"/>
        <v>0</v>
      </c>
      <c r="HC68" s="68">
        <f t="shared" ca="1" si="340"/>
        <v>0</v>
      </c>
      <c r="HD68" s="68" t="str">
        <f t="shared" ca="1" si="340"/>
        <v/>
      </c>
      <c r="HE68" s="68" t="str">
        <f t="shared" ca="1" si="340"/>
        <v/>
      </c>
      <c r="HF68" s="68" t="str">
        <f t="shared" ref="HF68:JQ68" ca="1" si="341">IF(HF3&gt;$J$5,"",HE68+HF66-HF67)</f>
        <v/>
      </c>
      <c r="HG68" s="68" t="str">
        <f t="shared" ca="1" si="341"/>
        <v/>
      </c>
      <c r="HH68" s="68" t="str">
        <f t="shared" ca="1" si="341"/>
        <v/>
      </c>
      <c r="HI68" s="68" t="str">
        <f t="shared" ca="1" si="341"/>
        <v/>
      </c>
      <c r="HJ68" s="68" t="str">
        <f t="shared" ca="1" si="341"/>
        <v/>
      </c>
      <c r="HK68" s="68" t="str">
        <f t="shared" ca="1" si="341"/>
        <v/>
      </c>
      <c r="HL68" s="68" t="str">
        <f t="shared" ca="1" si="341"/>
        <v/>
      </c>
      <c r="HM68" s="68" t="str">
        <f t="shared" ca="1" si="341"/>
        <v/>
      </c>
      <c r="HN68" s="68" t="str">
        <f t="shared" ca="1" si="341"/>
        <v/>
      </c>
      <c r="HO68" s="68" t="str">
        <f t="shared" ca="1" si="341"/>
        <v/>
      </c>
      <c r="HP68" s="68" t="str">
        <f t="shared" ca="1" si="341"/>
        <v/>
      </c>
      <c r="HQ68" s="68" t="str">
        <f t="shared" ca="1" si="341"/>
        <v/>
      </c>
      <c r="HR68" s="68" t="str">
        <f t="shared" ca="1" si="341"/>
        <v/>
      </c>
      <c r="HS68" s="68" t="str">
        <f t="shared" ca="1" si="341"/>
        <v/>
      </c>
      <c r="HT68" s="68" t="str">
        <f t="shared" ca="1" si="341"/>
        <v/>
      </c>
      <c r="HU68" s="68" t="str">
        <f t="shared" ca="1" si="341"/>
        <v/>
      </c>
      <c r="HV68" s="68" t="str">
        <f t="shared" ca="1" si="341"/>
        <v/>
      </c>
      <c r="HW68" s="68" t="str">
        <f t="shared" ca="1" si="341"/>
        <v/>
      </c>
      <c r="HX68" s="68" t="str">
        <f t="shared" ca="1" si="341"/>
        <v/>
      </c>
      <c r="HY68" s="68" t="str">
        <f t="shared" ca="1" si="341"/>
        <v/>
      </c>
      <c r="HZ68" s="68" t="str">
        <f t="shared" ca="1" si="341"/>
        <v/>
      </c>
      <c r="IA68" s="68" t="str">
        <f t="shared" ca="1" si="341"/>
        <v/>
      </c>
      <c r="IB68" s="68" t="str">
        <f t="shared" ca="1" si="341"/>
        <v/>
      </c>
      <c r="IC68" s="68" t="str">
        <f t="shared" ca="1" si="341"/>
        <v/>
      </c>
      <c r="ID68" s="68" t="str">
        <f t="shared" ca="1" si="341"/>
        <v/>
      </c>
      <c r="IE68" s="68" t="str">
        <f t="shared" ca="1" si="341"/>
        <v/>
      </c>
      <c r="IF68" s="68" t="str">
        <f t="shared" ca="1" si="341"/>
        <v/>
      </c>
      <c r="IG68" s="68" t="str">
        <f t="shared" ca="1" si="341"/>
        <v/>
      </c>
      <c r="IH68" s="68" t="str">
        <f t="shared" ca="1" si="341"/>
        <v/>
      </c>
      <c r="II68" s="68" t="str">
        <f t="shared" ca="1" si="341"/>
        <v/>
      </c>
      <c r="IJ68" s="68" t="str">
        <f t="shared" ca="1" si="341"/>
        <v/>
      </c>
      <c r="IK68" s="68" t="str">
        <f t="shared" ca="1" si="341"/>
        <v/>
      </c>
      <c r="IL68" s="68" t="str">
        <f t="shared" ca="1" si="341"/>
        <v/>
      </c>
      <c r="IM68" s="68" t="str">
        <f t="shared" ca="1" si="341"/>
        <v/>
      </c>
      <c r="IN68" s="68" t="str">
        <f t="shared" ca="1" si="341"/>
        <v/>
      </c>
      <c r="IO68" s="68" t="str">
        <f t="shared" ca="1" si="341"/>
        <v/>
      </c>
      <c r="IP68" s="68" t="str">
        <f t="shared" ca="1" si="341"/>
        <v/>
      </c>
      <c r="IQ68" s="68" t="str">
        <f t="shared" ca="1" si="341"/>
        <v/>
      </c>
      <c r="IR68" s="68" t="str">
        <f t="shared" ca="1" si="341"/>
        <v/>
      </c>
      <c r="IS68" s="68" t="str">
        <f t="shared" ca="1" si="341"/>
        <v/>
      </c>
      <c r="IT68" s="68" t="str">
        <f t="shared" ca="1" si="341"/>
        <v/>
      </c>
      <c r="IU68" s="68" t="str">
        <f t="shared" ca="1" si="341"/>
        <v/>
      </c>
      <c r="IV68" s="68" t="str">
        <f t="shared" ca="1" si="341"/>
        <v/>
      </c>
      <c r="IW68" s="68" t="str">
        <f t="shared" ca="1" si="341"/>
        <v/>
      </c>
      <c r="IX68" s="68" t="str">
        <f t="shared" ca="1" si="341"/>
        <v/>
      </c>
      <c r="IY68" s="68" t="str">
        <f t="shared" ca="1" si="341"/>
        <v/>
      </c>
      <c r="IZ68" s="68" t="str">
        <f t="shared" ca="1" si="341"/>
        <v/>
      </c>
      <c r="JA68" s="68" t="str">
        <f t="shared" ca="1" si="341"/>
        <v/>
      </c>
      <c r="JB68" s="68" t="str">
        <f t="shared" ca="1" si="341"/>
        <v/>
      </c>
      <c r="JC68" s="68" t="str">
        <f t="shared" ca="1" si="341"/>
        <v/>
      </c>
      <c r="JD68" s="68" t="str">
        <f t="shared" ca="1" si="341"/>
        <v/>
      </c>
      <c r="JE68" s="68" t="str">
        <f t="shared" ca="1" si="341"/>
        <v/>
      </c>
      <c r="JF68" s="68" t="str">
        <f t="shared" ca="1" si="341"/>
        <v/>
      </c>
      <c r="JG68" s="68" t="str">
        <f t="shared" ca="1" si="341"/>
        <v/>
      </c>
      <c r="JH68" s="68" t="str">
        <f t="shared" ca="1" si="341"/>
        <v/>
      </c>
      <c r="JI68" s="68" t="str">
        <f t="shared" ca="1" si="341"/>
        <v/>
      </c>
      <c r="JJ68" s="68" t="str">
        <f t="shared" ca="1" si="341"/>
        <v/>
      </c>
      <c r="JK68" s="68" t="str">
        <f t="shared" ca="1" si="341"/>
        <v/>
      </c>
      <c r="JL68" s="68" t="str">
        <f t="shared" ca="1" si="341"/>
        <v/>
      </c>
      <c r="JM68" s="68" t="str">
        <f t="shared" ca="1" si="341"/>
        <v/>
      </c>
      <c r="JN68" s="68" t="str">
        <f t="shared" ca="1" si="341"/>
        <v/>
      </c>
      <c r="JO68" s="68" t="str">
        <f t="shared" ca="1" si="341"/>
        <v/>
      </c>
      <c r="JP68" s="68" t="str">
        <f t="shared" ca="1" si="341"/>
        <v/>
      </c>
      <c r="JQ68" s="68" t="str">
        <f t="shared" ca="1" si="341"/>
        <v/>
      </c>
      <c r="JR68" s="68" t="str">
        <f t="shared" ref="JR68:JZ68" ca="1" si="342">IF(JR3&gt;$J$5,"",JQ68+JR66-JR67)</f>
        <v/>
      </c>
      <c r="JS68" s="68" t="str">
        <f t="shared" ca="1" si="342"/>
        <v/>
      </c>
      <c r="JT68" s="68" t="str">
        <f t="shared" ca="1" si="342"/>
        <v/>
      </c>
      <c r="JU68" s="68" t="str">
        <f t="shared" ca="1" si="342"/>
        <v/>
      </c>
      <c r="JV68" s="68" t="str">
        <f t="shared" ca="1" si="342"/>
        <v/>
      </c>
      <c r="JW68" s="68" t="str">
        <f t="shared" ca="1" si="342"/>
        <v/>
      </c>
      <c r="JX68" s="68" t="str">
        <f t="shared" ca="1" si="342"/>
        <v/>
      </c>
      <c r="JY68" s="68" t="str">
        <f t="shared" ca="1" si="342"/>
        <v/>
      </c>
      <c r="JZ68" s="100" t="str">
        <f t="shared" ca="1" si="342"/>
        <v/>
      </c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  <c r="OW68" s="17"/>
      <c r="OX68" s="17"/>
      <c r="OY68" s="17"/>
      <c r="OZ68" s="17"/>
      <c r="PA68" s="17"/>
      <c r="PB68" s="17"/>
      <c r="PC68" s="17"/>
      <c r="PD68" s="17"/>
      <c r="PE68" s="17"/>
      <c r="PF68" s="17"/>
      <c r="PG68" s="17"/>
      <c r="PH68" s="17"/>
      <c r="PI68" s="17"/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/>
      <c r="QG68" s="17"/>
      <c r="QH68" s="17"/>
      <c r="QI68" s="17"/>
      <c r="QJ68" s="17"/>
      <c r="QK68" s="17"/>
      <c r="QL68" s="17"/>
      <c r="QM68" s="17"/>
      <c r="QN68" s="17"/>
      <c r="QO68" s="17"/>
      <c r="QP68" s="17"/>
      <c r="QQ68" s="17"/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17"/>
      <c r="RM68" s="17"/>
      <c r="RN68" s="17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17"/>
      <c r="SJ68" s="17"/>
      <c r="SK68" s="17"/>
      <c r="SL68" s="17"/>
      <c r="SM68" s="17"/>
      <c r="SN68" s="17"/>
      <c r="SO68" s="17"/>
      <c r="SP68" s="17"/>
      <c r="SQ68" s="17"/>
      <c r="SR68" s="17"/>
      <c r="SS68" s="17"/>
      <c r="ST68" s="17"/>
      <c r="SU68" s="17"/>
      <c r="SV68" s="17"/>
      <c r="SW68" s="17"/>
      <c r="SX68" s="17"/>
      <c r="SY68" s="17"/>
      <c r="SZ68" s="17"/>
      <c r="TA68" s="17"/>
      <c r="TB68" s="17"/>
      <c r="TC68" s="17"/>
      <c r="TD68" s="17"/>
      <c r="TE68" s="17"/>
      <c r="TF68" s="17"/>
      <c r="TG68" s="17"/>
      <c r="TH68" s="17"/>
      <c r="TI68" s="17"/>
      <c r="TJ68" s="17"/>
      <c r="TK68" s="17"/>
      <c r="TL68" s="17"/>
      <c r="TM68" s="17"/>
      <c r="TN68" s="17"/>
      <c r="TO68" s="17"/>
      <c r="TP68" s="17"/>
      <c r="TQ68" s="17"/>
      <c r="TR68" s="17"/>
      <c r="TS68" s="17"/>
      <c r="TT68" s="17"/>
      <c r="TU68" s="17"/>
      <c r="TV68" s="17"/>
      <c r="TW68" s="17"/>
      <c r="TX68" s="17"/>
      <c r="TY68" s="17"/>
      <c r="TZ68" s="17"/>
      <c r="UA68" s="17"/>
      <c r="UB68" s="17"/>
      <c r="UC68" s="17"/>
      <c r="UD68" s="17"/>
      <c r="UE68" s="17"/>
      <c r="UF68" s="17"/>
      <c r="UG68" s="17"/>
      <c r="UH68" s="17"/>
      <c r="UI68" s="17"/>
      <c r="UJ68" s="17"/>
      <c r="UK68" s="17"/>
      <c r="UL68" s="17"/>
      <c r="UM68" s="17"/>
      <c r="UN68" s="17"/>
      <c r="UO68" s="17"/>
      <c r="UP68" s="17"/>
      <c r="UQ68" s="17"/>
      <c r="UR68" s="17"/>
      <c r="US68" s="17"/>
      <c r="UT68" s="17"/>
      <c r="UU68" s="17"/>
      <c r="UV68" s="17"/>
      <c r="UW68" s="17"/>
      <c r="UX68" s="17"/>
      <c r="UY68" s="17"/>
      <c r="UZ68" s="17"/>
      <c r="VA68" s="17"/>
      <c r="VB68" s="17"/>
      <c r="VC68" s="17"/>
      <c r="VD68" s="17"/>
      <c r="VE68" s="17"/>
      <c r="VF68" s="17"/>
      <c r="VG68" s="17"/>
      <c r="VH68" s="17"/>
      <c r="VI68" s="17"/>
      <c r="VJ68" s="17"/>
      <c r="VK68" s="17"/>
      <c r="VL68" s="17"/>
      <c r="VM68" s="17"/>
      <c r="VN68" s="17"/>
      <c r="VO68" s="17"/>
      <c r="VP68" s="17"/>
      <c r="VQ68" s="17"/>
      <c r="VR68" s="17"/>
      <c r="VS68" s="17"/>
      <c r="VT68" s="17"/>
      <c r="VU68" s="17"/>
      <c r="VV68" s="17"/>
      <c r="VW68" s="17"/>
      <c r="VX68" s="17"/>
      <c r="VY68" s="17"/>
      <c r="VZ68" s="17"/>
      <c r="WA68" s="17"/>
      <c r="WB68" s="17"/>
      <c r="WC68" s="17"/>
      <c r="WD68" s="17"/>
      <c r="WE68" s="17"/>
      <c r="WF68" s="17"/>
      <c r="WG68" s="17"/>
      <c r="WH68" s="17"/>
      <c r="WI68" s="17"/>
      <c r="WJ68" s="17"/>
      <c r="WK68" s="17"/>
      <c r="WL68" s="17"/>
      <c r="WM68" s="17"/>
      <c r="WN68" s="17"/>
      <c r="WO68" s="17"/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/>
      <c r="XM68" s="17"/>
      <c r="XN68" s="17"/>
      <c r="XO68" s="17"/>
      <c r="XP68" s="17"/>
      <c r="XQ68" s="17"/>
      <c r="XR68" s="17"/>
      <c r="XS68" s="17"/>
      <c r="XT68" s="17"/>
      <c r="XU68" s="17"/>
      <c r="XV68" s="17"/>
      <c r="XW68" s="17"/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</row>
    <row r="69" spans="1:669" x14ac:dyDescent="0.25">
      <c r="A69" s="138" t="str">
        <f>B66</f>
        <v>xx</v>
      </c>
      <c r="B69" s="232"/>
      <c r="C69" s="81" t="str">
        <f t="shared" si="337"/>
        <v>ddd</v>
      </c>
      <c r="D69" s="229"/>
      <c r="E69" s="173" t="s">
        <v>40</v>
      </c>
      <c r="F69" s="182">
        <f ca="1">(H70*H66)*SQRT(H67/H68)</f>
        <v>0</v>
      </c>
      <c r="G69" s="176" t="s">
        <v>45</v>
      </c>
      <c r="H69" s="171">
        <v>0.95</v>
      </c>
      <c r="I69" s="242" t="s">
        <v>18</v>
      </c>
      <c r="J69" s="135" t="str">
        <f t="shared" si="326"/>
        <v>CORTE</v>
      </c>
      <c r="K69" s="284"/>
      <c r="L69" s="60"/>
      <c r="M69" s="61"/>
      <c r="N69" s="61"/>
      <c r="O69" s="61"/>
      <c r="P69" s="61"/>
      <c r="Q69" s="61"/>
      <c r="R69" s="61"/>
      <c r="S69" s="61"/>
      <c r="T69" s="61"/>
      <c r="U69" s="61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70"/>
      <c r="ED69" s="70"/>
      <c r="EE69" s="70"/>
      <c r="EF69" s="70"/>
      <c r="EG69" s="70"/>
      <c r="EH69" s="70"/>
      <c r="EI69" s="70"/>
      <c r="EJ69" s="70"/>
      <c r="EK69" s="70"/>
      <c r="EL69" s="70"/>
      <c r="EM69" s="70"/>
      <c r="EN69" s="70"/>
      <c r="EO69" s="70"/>
      <c r="EP69" s="70"/>
      <c r="EQ69" s="70"/>
      <c r="ER69" s="70"/>
      <c r="ES69" s="70"/>
      <c r="ET69" s="70"/>
      <c r="EU69" s="70"/>
      <c r="EV69" s="70"/>
      <c r="EW69" s="70"/>
      <c r="EX69" s="70"/>
      <c r="EY69" s="70"/>
      <c r="EZ69" s="70"/>
      <c r="FA69" s="70"/>
      <c r="FB69" s="70"/>
      <c r="FC69" s="70"/>
      <c r="FD69" s="70"/>
      <c r="FE69" s="70"/>
      <c r="FF69" s="70"/>
      <c r="FG69" s="70"/>
      <c r="FH69" s="70"/>
      <c r="FI69" s="70"/>
      <c r="FJ69" s="70"/>
      <c r="FK69" s="70"/>
      <c r="FL69" s="70"/>
      <c r="FM69" s="70"/>
      <c r="FN69" s="70"/>
      <c r="FO69" s="70"/>
      <c r="FP69" s="70"/>
      <c r="FQ69" s="70"/>
      <c r="FR69" s="70"/>
      <c r="FS69" s="70"/>
      <c r="FT69" s="70"/>
      <c r="FU69" s="70"/>
      <c r="FV69" s="70"/>
      <c r="FW69" s="70"/>
      <c r="FX69" s="70"/>
      <c r="FY69" s="70"/>
      <c r="FZ69" s="70"/>
      <c r="GA69" s="70"/>
      <c r="GB69" s="70"/>
      <c r="GC69" s="70"/>
      <c r="GD69" s="70"/>
      <c r="GE69" s="70"/>
      <c r="GF69" s="70"/>
      <c r="GG69" s="70"/>
      <c r="GH69" s="70"/>
      <c r="GI69" s="70"/>
      <c r="GJ69" s="70"/>
      <c r="GK69" s="70"/>
      <c r="GL69" s="70"/>
      <c r="GM69" s="70"/>
      <c r="GN69" s="70"/>
      <c r="GO69" s="70"/>
      <c r="GP69" s="70"/>
      <c r="GQ69" s="70"/>
      <c r="GR69" s="70"/>
      <c r="GS69" s="70"/>
      <c r="GT69" s="70"/>
      <c r="GU69" s="70"/>
      <c r="GV69" s="70"/>
      <c r="GW69" s="70"/>
      <c r="GX69" s="70"/>
      <c r="GY69" s="70"/>
      <c r="GZ69" s="70"/>
      <c r="HA69" s="70"/>
      <c r="HB69" s="70"/>
      <c r="HC69" s="70"/>
      <c r="HD69" s="70"/>
      <c r="HE69" s="70"/>
      <c r="HF69" s="70"/>
      <c r="HG69" s="70"/>
      <c r="HH69" s="70"/>
      <c r="HI69" s="70"/>
      <c r="HJ69" s="70"/>
      <c r="HK69" s="70"/>
      <c r="HL69" s="70"/>
      <c r="HM69" s="70"/>
      <c r="HN69" s="70"/>
      <c r="HO69" s="70"/>
      <c r="HP69" s="70"/>
      <c r="HQ69" s="70"/>
      <c r="HR69" s="70"/>
      <c r="HS69" s="70"/>
      <c r="HT69" s="70"/>
      <c r="HU69" s="70"/>
      <c r="HV69" s="70"/>
      <c r="HW69" s="70"/>
      <c r="HX69" s="70"/>
      <c r="HY69" s="70"/>
      <c r="HZ69" s="70"/>
      <c r="IA69" s="70"/>
      <c r="IB69" s="70"/>
      <c r="IC69" s="70"/>
      <c r="ID69" s="70"/>
      <c r="IE69" s="70"/>
      <c r="IF69" s="70"/>
      <c r="IG69" s="70"/>
      <c r="IH69" s="70"/>
      <c r="II69" s="70"/>
      <c r="IJ69" s="70"/>
      <c r="IK69" s="70"/>
      <c r="IL69" s="70"/>
      <c r="IM69" s="70"/>
      <c r="IN69" s="70"/>
      <c r="IO69" s="70"/>
      <c r="IP69" s="70"/>
      <c r="IQ69" s="70"/>
      <c r="IR69" s="70"/>
      <c r="IS69" s="70"/>
      <c r="IT69" s="70"/>
      <c r="IU69" s="70"/>
      <c r="IV69" s="70"/>
      <c r="IW69" s="70"/>
      <c r="IX69" s="70"/>
      <c r="IY69" s="70"/>
      <c r="IZ69" s="70"/>
      <c r="JA69" s="70"/>
      <c r="JB69" s="70"/>
      <c r="JC69" s="70"/>
      <c r="JD69" s="70"/>
      <c r="JE69" s="70"/>
      <c r="JF69" s="70"/>
      <c r="JG69" s="70"/>
      <c r="JH69" s="70"/>
      <c r="JI69" s="70"/>
      <c r="JJ69" s="70"/>
      <c r="JK69" s="70"/>
      <c r="JL69" s="70"/>
      <c r="JM69" s="70"/>
      <c r="JN69" s="70"/>
      <c r="JO69" s="70"/>
      <c r="JP69" s="70"/>
      <c r="JQ69" s="70"/>
      <c r="JR69" s="70"/>
      <c r="JS69" s="70"/>
      <c r="JT69" s="70"/>
      <c r="JU69" s="70"/>
      <c r="JV69" s="70"/>
      <c r="JW69" s="70"/>
      <c r="JX69" s="70"/>
      <c r="JY69" s="70"/>
      <c r="JZ69" s="99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  <c r="OW69" s="17"/>
      <c r="OX69" s="17"/>
      <c r="OY69" s="17"/>
      <c r="OZ69" s="17"/>
      <c r="PA69" s="17"/>
      <c r="PB69" s="17"/>
      <c r="PC69" s="17"/>
      <c r="PD69" s="17"/>
      <c r="PE69" s="17"/>
      <c r="PF69" s="17"/>
      <c r="PG69" s="17"/>
      <c r="PH69" s="17"/>
      <c r="PI69" s="17"/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/>
      <c r="QG69" s="17"/>
      <c r="QH69" s="17"/>
      <c r="QI69" s="17"/>
      <c r="QJ69" s="17"/>
      <c r="QK69" s="17"/>
      <c r="QL69" s="17"/>
      <c r="QM69" s="17"/>
      <c r="QN69" s="17"/>
      <c r="QO69" s="17"/>
      <c r="QP69" s="17"/>
      <c r="QQ69" s="17"/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17"/>
      <c r="RM69" s="17"/>
      <c r="RN69" s="17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17"/>
      <c r="SJ69" s="17"/>
      <c r="SK69" s="17"/>
      <c r="SL69" s="17"/>
      <c r="SM69" s="17"/>
      <c r="SN69" s="17"/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/>
      <c r="UJ69" s="17"/>
      <c r="UK69" s="17"/>
      <c r="UL69" s="17"/>
      <c r="UM69" s="17"/>
      <c r="UN69" s="17"/>
      <c r="UO69" s="17"/>
      <c r="UP69" s="17"/>
      <c r="UQ69" s="17"/>
      <c r="UR69" s="17"/>
      <c r="US69" s="17"/>
      <c r="UT69" s="17"/>
      <c r="UU69" s="17"/>
      <c r="UV69" s="17"/>
      <c r="UW69" s="17"/>
      <c r="UX69" s="17"/>
      <c r="UY69" s="17"/>
      <c r="UZ69" s="17"/>
      <c r="VA69" s="17"/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17"/>
      <c r="VZ69" s="17"/>
      <c r="WA69" s="17"/>
      <c r="WB69" s="17"/>
      <c r="WC69" s="17"/>
      <c r="WD69" s="17"/>
      <c r="WE69" s="17"/>
      <c r="WF69" s="17"/>
      <c r="WG69" s="17"/>
      <c r="WH69" s="17"/>
      <c r="WI69" s="17"/>
      <c r="WJ69" s="17"/>
      <c r="WK69" s="17"/>
      <c r="WL69" s="17"/>
      <c r="WM69" s="17"/>
      <c r="WN69" s="17"/>
      <c r="WO69" s="17"/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/>
      <c r="XM69" s="17"/>
      <c r="XN69" s="17"/>
      <c r="XO69" s="17"/>
      <c r="XP69" s="17"/>
      <c r="XQ69" s="17"/>
      <c r="XR69" s="17"/>
      <c r="XS69" s="17"/>
      <c r="XT69" s="17"/>
      <c r="XU69" s="17"/>
      <c r="XV69" s="17"/>
      <c r="XW69" s="17"/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</row>
    <row r="70" spans="1:669" ht="15.75" thickBot="1" x14ac:dyDescent="0.3">
      <c r="A70" s="141" t="str">
        <f>B66</f>
        <v>xx</v>
      </c>
      <c r="B70" s="233"/>
      <c r="C70" s="158" t="str">
        <f t="shared" si="337"/>
        <v>ddd</v>
      </c>
      <c r="D70" s="230"/>
      <c r="E70" s="177" t="s">
        <v>46</v>
      </c>
      <c r="F70" s="183"/>
      <c r="G70" s="178" t="s">
        <v>43</v>
      </c>
      <c r="H70" s="179">
        <v>1.645</v>
      </c>
      <c r="I70" s="246" t="s">
        <v>19</v>
      </c>
      <c r="J70" s="136" t="str">
        <f t="shared" si="326"/>
        <v>CORTE</v>
      </c>
      <c r="K70" s="285"/>
      <c r="L70" s="102"/>
      <c r="M70" s="103"/>
      <c r="N70" s="103"/>
      <c r="O70" s="103"/>
      <c r="P70" s="103"/>
      <c r="Q70" s="103"/>
      <c r="R70" s="103"/>
      <c r="S70" s="103"/>
      <c r="T70" s="103"/>
      <c r="U70" s="103"/>
      <c r="V70" s="104">
        <f t="shared" ref="V70:CG70" ca="1" si="343">IF(V3&gt;$J$5,"",U70+V67-V69)</f>
        <v>0</v>
      </c>
      <c r="W70" s="104">
        <f t="shared" ca="1" si="343"/>
        <v>0</v>
      </c>
      <c r="X70" s="104">
        <f t="shared" ca="1" si="343"/>
        <v>0</v>
      </c>
      <c r="Y70" s="104">
        <f t="shared" ca="1" si="343"/>
        <v>0</v>
      </c>
      <c r="Z70" s="104">
        <f t="shared" ca="1" si="343"/>
        <v>0</v>
      </c>
      <c r="AA70" s="104">
        <f t="shared" ca="1" si="343"/>
        <v>0</v>
      </c>
      <c r="AB70" s="104">
        <f t="shared" ca="1" si="343"/>
        <v>0</v>
      </c>
      <c r="AC70" s="104">
        <f t="shared" ca="1" si="343"/>
        <v>0</v>
      </c>
      <c r="AD70" s="104">
        <f t="shared" ca="1" si="343"/>
        <v>0</v>
      </c>
      <c r="AE70" s="104">
        <f t="shared" ca="1" si="343"/>
        <v>0</v>
      </c>
      <c r="AF70" s="104">
        <f t="shared" ca="1" si="343"/>
        <v>0</v>
      </c>
      <c r="AG70" s="104">
        <f t="shared" ca="1" si="343"/>
        <v>0</v>
      </c>
      <c r="AH70" s="104">
        <f t="shared" ca="1" si="343"/>
        <v>0</v>
      </c>
      <c r="AI70" s="104">
        <f t="shared" ca="1" si="343"/>
        <v>0</v>
      </c>
      <c r="AJ70" s="104">
        <f t="shared" ca="1" si="343"/>
        <v>0</v>
      </c>
      <c r="AK70" s="104">
        <f t="shared" ca="1" si="343"/>
        <v>0</v>
      </c>
      <c r="AL70" s="104">
        <f t="shared" ca="1" si="343"/>
        <v>0</v>
      </c>
      <c r="AM70" s="104">
        <f t="shared" ca="1" si="343"/>
        <v>0</v>
      </c>
      <c r="AN70" s="104">
        <f t="shared" ca="1" si="343"/>
        <v>0</v>
      </c>
      <c r="AO70" s="104">
        <f t="shared" ca="1" si="343"/>
        <v>0</v>
      </c>
      <c r="AP70" s="104">
        <f t="shared" ca="1" si="343"/>
        <v>0</v>
      </c>
      <c r="AQ70" s="104">
        <f t="shared" ca="1" si="343"/>
        <v>0</v>
      </c>
      <c r="AR70" s="104">
        <f t="shared" ca="1" si="343"/>
        <v>0</v>
      </c>
      <c r="AS70" s="104">
        <f t="shared" ca="1" si="343"/>
        <v>0</v>
      </c>
      <c r="AT70" s="104">
        <f t="shared" ca="1" si="343"/>
        <v>0</v>
      </c>
      <c r="AU70" s="104">
        <f t="shared" ca="1" si="343"/>
        <v>0</v>
      </c>
      <c r="AV70" s="104">
        <f t="shared" ca="1" si="343"/>
        <v>0</v>
      </c>
      <c r="AW70" s="104">
        <f t="shared" ca="1" si="343"/>
        <v>0</v>
      </c>
      <c r="AX70" s="104">
        <f t="shared" ca="1" si="343"/>
        <v>0</v>
      </c>
      <c r="AY70" s="104">
        <f t="shared" ca="1" si="343"/>
        <v>0</v>
      </c>
      <c r="AZ70" s="104">
        <f t="shared" ca="1" si="343"/>
        <v>0</v>
      </c>
      <c r="BA70" s="104">
        <f t="shared" ca="1" si="343"/>
        <v>0</v>
      </c>
      <c r="BB70" s="104">
        <f t="shared" ca="1" si="343"/>
        <v>0</v>
      </c>
      <c r="BC70" s="104">
        <f t="shared" ca="1" si="343"/>
        <v>0</v>
      </c>
      <c r="BD70" s="104">
        <f t="shared" ca="1" si="343"/>
        <v>0</v>
      </c>
      <c r="BE70" s="104">
        <f t="shared" ca="1" si="343"/>
        <v>0</v>
      </c>
      <c r="BF70" s="104">
        <f t="shared" ca="1" si="343"/>
        <v>0</v>
      </c>
      <c r="BG70" s="104">
        <f t="shared" ca="1" si="343"/>
        <v>0</v>
      </c>
      <c r="BH70" s="104">
        <f t="shared" ca="1" si="343"/>
        <v>0</v>
      </c>
      <c r="BI70" s="104">
        <f t="shared" ca="1" si="343"/>
        <v>0</v>
      </c>
      <c r="BJ70" s="104">
        <f t="shared" ca="1" si="343"/>
        <v>0</v>
      </c>
      <c r="BK70" s="104">
        <f t="shared" ca="1" si="343"/>
        <v>0</v>
      </c>
      <c r="BL70" s="104">
        <f t="shared" ca="1" si="343"/>
        <v>0</v>
      </c>
      <c r="BM70" s="104">
        <f t="shared" ca="1" si="343"/>
        <v>0</v>
      </c>
      <c r="BN70" s="104">
        <f t="shared" ca="1" si="343"/>
        <v>0</v>
      </c>
      <c r="BO70" s="104">
        <f t="shared" ca="1" si="343"/>
        <v>0</v>
      </c>
      <c r="BP70" s="104">
        <f t="shared" ca="1" si="343"/>
        <v>0</v>
      </c>
      <c r="BQ70" s="104">
        <f t="shared" ca="1" si="343"/>
        <v>0</v>
      </c>
      <c r="BR70" s="104">
        <f t="shared" ca="1" si="343"/>
        <v>0</v>
      </c>
      <c r="BS70" s="104">
        <f t="shared" ca="1" si="343"/>
        <v>0</v>
      </c>
      <c r="BT70" s="104">
        <f t="shared" ca="1" si="343"/>
        <v>0</v>
      </c>
      <c r="BU70" s="104">
        <f t="shared" ca="1" si="343"/>
        <v>0</v>
      </c>
      <c r="BV70" s="104">
        <f t="shared" ca="1" si="343"/>
        <v>0</v>
      </c>
      <c r="BW70" s="104">
        <f t="shared" ca="1" si="343"/>
        <v>0</v>
      </c>
      <c r="BX70" s="104">
        <f t="shared" ca="1" si="343"/>
        <v>0</v>
      </c>
      <c r="BY70" s="104">
        <f t="shared" ca="1" si="343"/>
        <v>0</v>
      </c>
      <c r="BZ70" s="104">
        <f t="shared" ca="1" si="343"/>
        <v>0</v>
      </c>
      <c r="CA70" s="104">
        <f t="shared" ca="1" si="343"/>
        <v>0</v>
      </c>
      <c r="CB70" s="104">
        <f t="shared" ca="1" si="343"/>
        <v>0</v>
      </c>
      <c r="CC70" s="104">
        <f t="shared" ca="1" si="343"/>
        <v>0</v>
      </c>
      <c r="CD70" s="104">
        <f t="shared" ca="1" si="343"/>
        <v>0</v>
      </c>
      <c r="CE70" s="104">
        <f t="shared" ca="1" si="343"/>
        <v>0</v>
      </c>
      <c r="CF70" s="104">
        <f t="shared" ca="1" si="343"/>
        <v>0</v>
      </c>
      <c r="CG70" s="104">
        <f t="shared" ca="1" si="343"/>
        <v>0</v>
      </c>
      <c r="CH70" s="104">
        <f t="shared" ref="CH70:ES70" ca="1" si="344">IF(CH3&gt;$J$5,"",CG70+CH67-CH69)</f>
        <v>0</v>
      </c>
      <c r="CI70" s="104">
        <f t="shared" ca="1" si="344"/>
        <v>0</v>
      </c>
      <c r="CJ70" s="104">
        <f t="shared" ca="1" si="344"/>
        <v>0</v>
      </c>
      <c r="CK70" s="104">
        <f t="shared" ca="1" si="344"/>
        <v>0</v>
      </c>
      <c r="CL70" s="104">
        <f t="shared" ca="1" si="344"/>
        <v>0</v>
      </c>
      <c r="CM70" s="104">
        <f t="shared" ca="1" si="344"/>
        <v>0</v>
      </c>
      <c r="CN70" s="104">
        <f t="shared" ca="1" si="344"/>
        <v>0</v>
      </c>
      <c r="CO70" s="104">
        <f t="shared" ca="1" si="344"/>
        <v>0</v>
      </c>
      <c r="CP70" s="104">
        <f t="shared" ca="1" si="344"/>
        <v>0</v>
      </c>
      <c r="CQ70" s="104">
        <f t="shared" ca="1" si="344"/>
        <v>0</v>
      </c>
      <c r="CR70" s="104">
        <f t="shared" ca="1" si="344"/>
        <v>0</v>
      </c>
      <c r="CS70" s="104">
        <f t="shared" ca="1" si="344"/>
        <v>0</v>
      </c>
      <c r="CT70" s="104">
        <f t="shared" ca="1" si="344"/>
        <v>0</v>
      </c>
      <c r="CU70" s="104">
        <f t="shared" ca="1" si="344"/>
        <v>0</v>
      </c>
      <c r="CV70" s="104">
        <f t="shared" ca="1" si="344"/>
        <v>0</v>
      </c>
      <c r="CW70" s="104">
        <f t="shared" ca="1" si="344"/>
        <v>0</v>
      </c>
      <c r="CX70" s="104">
        <f t="shared" ca="1" si="344"/>
        <v>0</v>
      </c>
      <c r="CY70" s="104">
        <f t="shared" ca="1" si="344"/>
        <v>0</v>
      </c>
      <c r="CZ70" s="104">
        <f t="shared" ca="1" si="344"/>
        <v>0</v>
      </c>
      <c r="DA70" s="104">
        <f t="shared" ca="1" si="344"/>
        <v>0</v>
      </c>
      <c r="DB70" s="104">
        <f t="shared" ca="1" si="344"/>
        <v>0</v>
      </c>
      <c r="DC70" s="104">
        <f t="shared" ca="1" si="344"/>
        <v>0</v>
      </c>
      <c r="DD70" s="104">
        <f t="shared" ca="1" si="344"/>
        <v>0</v>
      </c>
      <c r="DE70" s="104">
        <f t="shared" ca="1" si="344"/>
        <v>0</v>
      </c>
      <c r="DF70" s="104">
        <f t="shared" ca="1" si="344"/>
        <v>0</v>
      </c>
      <c r="DG70" s="104">
        <f t="shared" ca="1" si="344"/>
        <v>0</v>
      </c>
      <c r="DH70" s="104">
        <f t="shared" ca="1" si="344"/>
        <v>0</v>
      </c>
      <c r="DI70" s="104">
        <f t="shared" ca="1" si="344"/>
        <v>0</v>
      </c>
      <c r="DJ70" s="104">
        <f t="shared" ca="1" si="344"/>
        <v>0</v>
      </c>
      <c r="DK70" s="104">
        <f t="shared" ca="1" si="344"/>
        <v>0</v>
      </c>
      <c r="DL70" s="104">
        <f t="shared" ca="1" si="344"/>
        <v>0</v>
      </c>
      <c r="DM70" s="104">
        <f t="shared" ca="1" si="344"/>
        <v>0</v>
      </c>
      <c r="DN70" s="104">
        <f t="shared" ca="1" si="344"/>
        <v>0</v>
      </c>
      <c r="DO70" s="104">
        <f t="shared" ca="1" si="344"/>
        <v>0</v>
      </c>
      <c r="DP70" s="104">
        <f t="shared" ca="1" si="344"/>
        <v>0</v>
      </c>
      <c r="DQ70" s="104">
        <f t="shared" ca="1" si="344"/>
        <v>0</v>
      </c>
      <c r="DR70" s="104">
        <f t="shared" ca="1" si="344"/>
        <v>0</v>
      </c>
      <c r="DS70" s="104">
        <f t="shared" ca="1" si="344"/>
        <v>0</v>
      </c>
      <c r="DT70" s="104">
        <f t="shared" ca="1" si="344"/>
        <v>0</v>
      </c>
      <c r="DU70" s="104">
        <f t="shared" ca="1" si="344"/>
        <v>0</v>
      </c>
      <c r="DV70" s="104">
        <f t="shared" ca="1" si="344"/>
        <v>0</v>
      </c>
      <c r="DW70" s="104">
        <f t="shared" ca="1" si="344"/>
        <v>0</v>
      </c>
      <c r="DX70" s="104">
        <f t="shared" ca="1" si="344"/>
        <v>0</v>
      </c>
      <c r="DY70" s="104">
        <f t="shared" ca="1" si="344"/>
        <v>0</v>
      </c>
      <c r="DZ70" s="104">
        <f t="shared" ca="1" si="344"/>
        <v>0</v>
      </c>
      <c r="EA70" s="104">
        <f t="shared" ca="1" si="344"/>
        <v>0</v>
      </c>
      <c r="EB70" s="104">
        <f t="shared" ca="1" si="344"/>
        <v>0</v>
      </c>
      <c r="EC70" s="104">
        <f t="shared" ca="1" si="344"/>
        <v>0</v>
      </c>
      <c r="ED70" s="104">
        <f t="shared" ca="1" si="344"/>
        <v>0</v>
      </c>
      <c r="EE70" s="104">
        <f t="shared" ca="1" si="344"/>
        <v>0</v>
      </c>
      <c r="EF70" s="104">
        <f t="shared" ca="1" si="344"/>
        <v>0</v>
      </c>
      <c r="EG70" s="104">
        <f t="shared" ca="1" si="344"/>
        <v>0</v>
      </c>
      <c r="EH70" s="104">
        <f t="shared" ca="1" si="344"/>
        <v>0</v>
      </c>
      <c r="EI70" s="104">
        <f t="shared" ca="1" si="344"/>
        <v>0</v>
      </c>
      <c r="EJ70" s="104">
        <f t="shared" ca="1" si="344"/>
        <v>0</v>
      </c>
      <c r="EK70" s="104">
        <f t="shared" ca="1" si="344"/>
        <v>0</v>
      </c>
      <c r="EL70" s="104">
        <f t="shared" ca="1" si="344"/>
        <v>0</v>
      </c>
      <c r="EM70" s="104">
        <f t="shared" ca="1" si="344"/>
        <v>0</v>
      </c>
      <c r="EN70" s="104">
        <f t="shared" ca="1" si="344"/>
        <v>0</v>
      </c>
      <c r="EO70" s="104">
        <f t="shared" ca="1" si="344"/>
        <v>0</v>
      </c>
      <c r="EP70" s="104">
        <f t="shared" ca="1" si="344"/>
        <v>0</v>
      </c>
      <c r="EQ70" s="104">
        <f t="shared" ca="1" si="344"/>
        <v>0</v>
      </c>
      <c r="ER70" s="104">
        <f t="shared" ca="1" si="344"/>
        <v>0</v>
      </c>
      <c r="ES70" s="104">
        <f t="shared" ca="1" si="344"/>
        <v>0</v>
      </c>
      <c r="ET70" s="104">
        <f t="shared" ref="ET70:HE70" ca="1" si="345">IF(ET3&gt;$J$5,"",ES70+ET67-ET69)</f>
        <v>0</v>
      </c>
      <c r="EU70" s="104">
        <f t="shared" ca="1" si="345"/>
        <v>0</v>
      </c>
      <c r="EV70" s="104">
        <f t="shared" ca="1" si="345"/>
        <v>0</v>
      </c>
      <c r="EW70" s="104">
        <f t="shared" ca="1" si="345"/>
        <v>0</v>
      </c>
      <c r="EX70" s="104">
        <f t="shared" ca="1" si="345"/>
        <v>0</v>
      </c>
      <c r="EY70" s="104">
        <f t="shared" ca="1" si="345"/>
        <v>0</v>
      </c>
      <c r="EZ70" s="104">
        <f t="shared" ca="1" si="345"/>
        <v>0</v>
      </c>
      <c r="FA70" s="104">
        <f t="shared" ca="1" si="345"/>
        <v>0</v>
      </c>
      <c r="FB70" s="104">
        <f t="shared" ca="1" si="345"/>
        <v>0</v>
      </c>
      <c r="FC70" s="104">
        <f t="shared" ca="1" si="345"/>
        <v>0</v>
      </c>
      <c r="FD70" s="104">
        <f t="shared" ca="1" si="345"/>
        <v>0</v>
      </c>
      <c r="FE70" s="104">
        <f t="shared" ca="1" si="345"/>
        <v>0</v>
      </c>
      <c r="FF70" s="104">
        <f t="shared" ca="1" si="345"/>
        <v>0</v>
      </c>
      <c r="FG70" s="104">
        <f t="shared" ca="1" si="345"/>
        <v>0</v>
      </c>
      <c r="FH70" s="104">
        <f t="shared" ca="1" si="345"/>
        <v>0</v>
      </c>
      <c r="FI70" s="104">
        <f t="shared" ca="1" si="345"/>
        <v>0</v>
      </c>
      <c r="FJ70" s="104">
        <f t="shared" ca="1" si="345"/>
        <v>0</v>
      </c>
      <c r="FK70" s="104">
        <f t="shared" ca="1" si="345"/>
        <v>0</v>
      </c>
      <c r="FL70" s="104">
        <f t="shared" ca="1" si="345"/>
        <v>0</v>
      </c>
      <c r="FM70" s="104">
        <f t="shared" ca="1" si="345"/>
        <v>0</v>
      </c>
      <c r="FN70" s="104">
        <f t="shared" ca="1" si="345"/>
        <v>0</v>
      </c>
      <c r="FO70" s="104">
        <f t="shared" ca="1" si="345"/>
        <v>0</v>
      </c>
      <c r="FP70" s="104">
        <f t="shared" ca="1" si="345"/>
        <v>0</v>
      </c>
      <c r="FQ70" s="104">
        <f t="shared" ca="1" si="345"/>
        <v>0</v>
      </c>
      <c r="FR70" s="104">
        <f t="shared" ca="1" si="345"/>
        <v>0</v>
      </c>
      <c r="FS70" s="104">
        <f t="shared" ca="1" si="345"/>
        <v>0</v>
      </c>
      <c r="FT70" s="104">
        <f t="shared" ca="1" si="345"/>
        <v>0</v>
      </c>
      <c r="FU70" s="104">
        <f t="shared" ca="1" si="345"/>
        <v>0</v>
      </c>
      <c r="FV70" s="104">
        <f t="shared" ca="1" si="345"/>
        <v>0</v>
      </c>
      <c r="FW70" s="104">
        <f t="shared" ca="1" si="345"/>
        <v>0</v>
      </c>
      <c r="FX70" s="104">
        <f t="shared" ca="1" si="345"/>
        <v>0</v>
      </c>
      <c r="FY70" s="104">
        <f t="shared" ca="1" si="345"/>
        <v>0</v>
      </c>
      <c r="FZ70" s="104">
        <f t="shared" ca="1" si="345"/>
        <v>0</v>
      </c>
      <c r="GA70" s="104">
        <f t="shared" ca="1" si="345"/>
        <v>0</v>
      </c>
      <c r="GB70" s="104">
        <f t="shared" ca="1" si="345"/>
        <v>0</v>
      </c>
      <c r="GC70" s="104">
        <f t="shared" ca="1" si="345"/>
        <v>0</v>
      </c>
      <c r="GD70" s="104">
        <f t="shared" ca="1" si="345"/>
        <v>0</v>
      </c>
      <c r="GE70" s="104">
        <f t="shared" ca="1" si="345"/>
        <v>0</v>
      </c>
      <c r="GF70" s="104">
        <f t="shared" ca="1" si="345"/>
        <v>0</v>
      </c>
      <c r="GG70" s="104">
        <f t="shared" ca="1" si="345"/>
        <v>0</v>
      </c>
      <c r="GH70" s="104">
        <f t="shared" ca="1" si="345"/>
        <v>0</v>
      </c>
      <c r="GI70" s="104">
        <f t="shared" ca="1" si="345"/>
        <v>0</v>
      </c>
      <c r="GJ70" s="104">
        <f t="shared" ca="1" si="345"/>
        <v>0</v>
      </c>
      <c r="GK70" s="104">
        <f t="shared" ca="1" si="345"/>
        <v>0</v>
      </c>
      <c r="GL70" s="104">
        <f t="shared" ca="1" si="345"/>
        <v>0</v>
      </c>
      <c r="GM70" s="104">
        <f t="shared" ca="1" si="345"/>
        <v>0</v>
      </c>
      <c r="GN70" s="104">
        <f t="shared" ca="1" si="345"/>
        <v>0</v>
      </c>
      <c r="GO70" s="104">
        <f t="shared" ca="1" si="345"/>
        <v>0</v>
      </c>
      <c r="GP70" s="104">
        <f t="shared" ca="1" si="345"/>
        <v>0</v>
      </c>
      <c r="GQ70" s="104">
        <f t="shared" ca="1" si="345"/>
        <v>0</v>
      </c>
      <c r="GR70" s="104">
        <f t="shared" ca="1" si="345"/>
        <v>0</v>
      </c>
      <c r="GS70" s="104">
        <f t="shared" ca="1" si="345"/>
        <v>0</v>
      </c>
      <c r="GT70" s="104">
        <f t="shared" ca="1" si="345"/>
        <v>0</v>
      </c>
      <c r="GU70" s="104">
        <f t="shared" ca="1" si="345"/>
        <v>0</v>
      </c>
      <c r="GV70" s="104">
        <f t="shared" ca="1" si="345"/>
        <v>0</v>
      </c>
      <c r="GW70" s="104">
        <f t="shared" ca="1" si="345"/>
        <v>0</v>
      </c>
      <c r="GX70" s="104">
        <f t="shared" ca="1" si="345"/>
        <v>0</v>
      </c>
      <c r="GY70" s="104">
        <f t="shared" ca="1" si="345"/>
        <v>0</v>
      </c>
      <c r="GZ70" s="104">
        <f t="shared" ca="1" si="345"/>
        <v>0</v>
      </c>
      <c r="HA70" s="104">
        <f t="shared" ca="1" si="345"/>
        <v>0</v>
      </c>
      <c r="HB70" s="104">
        <f t="shared" ca="1" si="345"/>
        <v>0</v>
      </c>
      <c r="HC70" s="104">
        <f t="shared" ca="1" si="345"/>
        <v>0</v>
      </c>
      <c r="HD70" s="104" t="str">
        <f t="shared" ca="1" si="345"/>
        <v/>
      </c>
      <c r="HE70" s="104" t="str">
        <f t="shared" ca="1" si="345"/>
        <v/>
      </c>
      <c r="HF70" s="104" t="str">
        <f t="shared" ref="HF70:JQ70" ca="1" si="346">IF(HF3&gt;$J$5,"",HE70+HF67-HF69)</f>
        <v/>
      </c>
      <c r="HG70" s="104" t="str">
        <f t="shared" ca="1" si="346"/>
        <v/>
      </c>
      <c r="HH70" s="104" t="str">
        <f t="shared" ca="1" si="346"/>
        <v/>
      </c>
      <c r="HI70" s="104" t="str">
        <f t="shared" ca="1" si="346"/>
        <v/>
      </c>
      <c r="HJ70" s="104" t="str">
        <f t="shared" ca="1" si="346"/>
        <v/>
      </c>
      <c r="HK70" s="104" t="str">
        <f t="shared" ca="1" si="346"/>
        <v/>
      </c>
      <c r="HL70" s="104" t="str">
        <f t="shared" ca="1" si="346"/>
        <v/>
      </c>
      <c r="HM70" s="104" t="str">
        <f t="shared" ca="1" si="346"/>
        <v/>
      </c>
      <c r="HN70" s="104" t="str">
        <f t="shared" ca="1" si="346"/>
        <v/>
      </c>
      <c r="HO70" s="104" t="str">
        <f t="shared" ca="1" si="346"/>
        <v/>
      </c>
      <c r="HP70" s="104" t="str">
        <f t="shared" ca="1" si="346"/>
        <v/>
      </c>
      <c r="HQ70" s="104" t="str">
        <f t="shared" ca="1" si="346"/>
        <v/>
      </c>
      <c r="HR70" s="104" t="str">
        <f t="shared" ca="1" si="346"/>
        <v/>
      </c>
      <c r="HS70" s="104" t="str">
        <f t="shared" ca="1" si="346"/>
        <v/>
      </c>
      <c r="HT70" s="104" t="str">
        <f t="shared" ca="1" si="346"/>
        <v/>
      </c>
      <c r="HU70" s="104" t="str">
        <f t="shared" ca="1" si="346"/>
        <v/>
      </c>
      <c r="HV70" s="104" t="str">
        <f t="shared" ca="1" si="346"/>
        <v/>
      </c>
      <c r="HW70" s="104" t="str">
        <f t="shared" ca="1" si="346"/>
        <v/>
      </c>
      <c r="HX70" s="104" t="str">
        <f t="shared" ca="1" si="346"/>
        <v/>
      </c>
      <c r="HY70" s="104" t="str">
        <f t="shared" ca="1" si="346"/>
        <v/>
      </c>
      <c r="HZ70" s="104" t="str">
        <f t="shared" ca="1" si="346"/>
        <v/>
      </c>
      <c r="IA70" s="104" t="str">
        <f t="shared" ca="1" si="346"/>
        <v/>
      </c>
      <c r="IB70" s="104" t="str">
        <f t="shared" ca="1" si="346"/>
        <v/>
      </c>
      <c r="IC70" s="104" t="str">
        <f t="shared" ca="1" si="346"/>
        <v/>
      </c>
      <c r="ID70" s="104" t="str">
        <f t="shared" ca="1" si="346"/>
        <v/>
      </c>
      <c r="IE70" s="104" t="str">
        <f t="shared" ca="1" si="346"/>
        <v/>
      </c>
      <c r="IF70" s="104" t="str">
        <f t="shared" ca="1" si="346"/>
        <v/>
      </c>
      <c r="IG70" s="104" t="str">
        <f t="shared" ca="1" si="346"/>
        <v/>
      </c>
      <c r="IH70" s="104" t="str">
        <f t="shared" ca="1" si="346"/>
        <v/>
      </c>
      <c r="II70" s="104" t="str">
        <f t="shared" ca="1" si="346"/>
        <v/>
      </c>
      <c r="IJ70" s="104" t="str">
        <f t="shared" ca="1" si="346"/>
        <v/>
      </c>
      <c r="IK70" s="104" t="str">
        <f t="shared" ca="1" si="346"/>
        <v/>
      </c>
      <c r="IL70" s="104" t="str">
        <f t="shared" ca="1" si="346"/>
        <v/>
      </c>
      <c r="IM70" s="104" t="str">
        <f t="shared" ca="1" si="346"/>
        <v/>
      </c>
      <c r="IN70" s="104" t="str">
        <f t="shared" ca="1" si="346"/>
        <v/>
      </c>
      <c r="IO70" s="104" t="str">
        <f t="shared" ca="1" si="346"/>
        <v/>
      </c>
      <c r="IP70" s="104" t="str">
        <f t="shared" ca="1" si="346"/>
        <v/>
      </c>
      <c r="IQ70" s="104" t="str">
        <f t="shared" ca="1" si="346"/>
        <v/>
      </c>
      <c r="IR70" s="104" t="str">
        <f t="shared" ca="1" si="346"/>
        <v/>
      </c>
      <c r="IS70" s="104" t="str">
        <f t="shared" ca="1" si="346"/>
        <v/>
      </c>
      <c r="IT70" s="104" t="str">
        <f t="shared" ca="1" si="346"/>
        <v/>
      </c>
      <c r="IU70" s="104" t="str">
        <f t="shared" ca="1" si="346"/>
        <v/>
      </c>
      <c r="IV70" s="104" t="str">
        <f t="shared" ca="1" si="346"/>
        <v/>
      </c>
      <c r="IW70" s="104" t="str">
        <f t="shared" ca="1" si="346"/>
        <v/>
      </c>
      <c r="IX70" s="104" t="str">
        <f t="shared" ca="1" si="346"/>
        <v/>
      </c>
      <c r="IY70" s="104" t="str">
        <f t="shared" ca="1" si="346"/>
        <v/>
      </c>
      <c r="IZ70" s="104" t="str">
        <f t="shared" ca="1" si="346"/>
        <v/>
      </c>
      <c r="JA70" s="104" t="str">
        <f t="shared" ca="1" si="346"/>
        <v/>
      </c>
      <c r="JB70" s="104" t="str">
        <f t="shared" ca="1" si="346"/>
        <v/>
      </c>
      <c r="JC70" s="104" t="str">
        <f t="shared" ca="1" si="346"/>
        <v/>
      </c>
      <c r="JD70" s="104" t="str">
        <f t="shared" ca="1" si="346"/>
        <v/>
      </c>
      <c r="JE70" s="104" t="str">
        <f t="shared" ca="1" si="346"/>
        <v/>
      </c>
      <c r="JF70" s="104" t="str">
        <f t="shared" ca="1" si="346"/>
        <v/>
      </c>
      <c r="JG70" s="104" t="str">
        <f t="shared" ca="1" si="346"/>
        <v/>
      </c>
      <c r="JH70" s="104" t="str">
        <f t="shared" ca="1" si="346"/>
        <v/>
      </c>
      <c r="JI70" s="104" t="str">
        <f t="shared" ca="1" si="346"/>
        <v/>
      </c>
      <c r="JJ70" s="104" t="str">
        <f t="shared" ca="1" si="346"/>
        <v/>
      </c>
      <c r="JK70" s="104" t="str">
        <f t="shared" ca="1" si="346"/>
        <v/>
      </c>
      <c r="JL70" s="104" t="str">
        <f t="shared" ca="1" si="346"/>
        <v/>
      </c>
      <c r="JM70" s="104" t="str">
        <f t="shared" ca="1" si="346"/>
        <v/>
      </c>
      <c r="JN70" s="104" t="str">
        <f t="shared" ca="1" si="346"/>
        <v/>
      </c>
      <c r="JO70" s="104" t="str">
        <f t="shared" ca="1" si="346"/>
        <v/>
      </c>
      <c r="JP70" s="104" t="str">
        <f t="shared" ca="1" si="346"/>
        <v/>
      </c>
      <c r="JQ70" s="104" t="str">
        <f t="shared" ca="1" si="346"/>
        <v/>
      </c>
      <c r="JR70" s="104" t="str">
        <f t="shared" ref="JR70:JZ70" ca="1" si="347">IF(JR3&gt;$J$5,"",JQ70+JR67-JR69)</f>
        <v/>
      </c>
      <c r="JS70" s="104" t="str">
        <f t="shared" ca="1" si="347"/>
        <v/>
      </c>
      <c r="JT70" s="104" t="str">
        <f t="shared" ca="1" si="347"/>
        <v/>
      </c>
      <c r="JU70" s="104" t="str">
        <f t="shared" ca="1" si="347"/>
        <v/>
      </c>
      <c r="JV70" s="104" t="str">
        <f t="shared" ca="1" si="347"/>
        <v/>
      </c>
      <c r="JW70" s="104" t="str">
        <f t="shared" ca="1" si="347"/>
        <v/>
      </c>
      <c r="JX70" s="104" t="str">
        <f t="shared" ca="1" si="347"/>
        <v/>
      </c>
      <c r="JY70" s="104" t="str">
        <f t="shared" ca="1" si="347"/>
        <v/>
      </c>
      <c r="JZ70" s="105" t="str">
        <f t="shared" ca="1" si="347"/>
        <v/>
      </c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/>
      <c r="SJ70" s="17"/>
      <c r="SK70" s="17"/>
      <c r="SL70" s="17"/>
      <c r="SM70" s="17"/>
      <c r="SN70" s="17"/>
      <c r="SO70" s="17"/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/>
      <c r="UJ70" s="17"/>
      <c r="UK70" s="17"/>
      <c r="UL70" s="17"/>
      <c r="UM70" s="17"/>
      <c r="UN70" s="17"/>
      <c r="UO70" s="17"/>
      <c r="UP70" s="17"/>
      <c r="UQ70" s="17"/>
      <c r="UR70" s="17"/>
      <c r="US70" s="17"/>
      <c r="UT70" s="17"/>
      <c r="UU70" s="17"/>
      <c r="UV70" s="17"/>
      <c r="UW70" s="17"/>
      <c r="UX70" s="17"/>
      <c r="UY70" s="17"/>
      <c r="UZ70" s="17"/>
      <c r="VA70" s="17"/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17"/>
      <c r="VZ70" s="17"/>
      <c r="WA70" s="17"/>
      <c r="WB70" s="17"/>
      <c r="WC70" s="17"/>
      <c r="WD70" s="17"/>
      <c r="WE70" s="17"/>
      <c r="WF70" s="17"/>
      <c r="WG70" s="17"/>
      <c r="WH70" s="17"/>
      <c r="WI70" s="17"/>
      <c r="WJ70" s="17"/>
      <c r="WK70" s="17"/>
      <c r="WL70" s="17"/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</row>
    <row r="71" spans="1:669" ht="4.5" customHeight="1" thickTop="1" x14ac:dyDescent="0.25">
      <c r="A71" s="49"/>
      <c r="B71" s="49"/>
      <c r="C71" s="49"/>
      <c r="D71" s="49"/>
      <c r="E71" s="49"/>
      <c r="F71" s="185"/>
      <c r="G71" s="49"/>
      <c r="H71" s="49"/>
      <c r="I71" s="240"/>
      <c r="J71" s="286" t="s">
        <v>8</v>
      </c>
      <c r="K71" s="112"/>
      <c r="L71" s="124"/>
      <c r="M71" s="116"/>
      <c r="N71" s="116"/>
      <c r="O71" s="116"/>
      <c r="P71" s="116"/>
      <c r="Q71" s="116"/>
      <c r="R71" s="116"/>
      <c r="S71" s="116"/>
      <c r="T71" s="116"/>
      <c r="U71" s="116"/>
      <c r="V71" s="115"/>
      <c r="W71" s="116"/>
      <c r="X71" s="116"/>
      <c r="Y71" s="115"/>
      <c r="Z71" s="116"/>
      <c r="AA71" s="116"/>
      <c r="AB71" s="115"/>
      <c r="AC71" s="116"/>
      <c r="AD71" s="116"/>
      <c r="AE71" s="115"/>
      <c r="AF71" s="116"/>
      <c r="AG71" s="116"/>
      <c r="AH71" s="115"/>
      <c r="AI71" s="116"/>
      <c r="AJ71" s="116"/>
      <c r="AK71" s="115"/>
      <c r="AL71" s="116"/>
      <c r="AM71" s="116"/>
      <c r="AN71" s="115"/>
      <c r="AO71" s="116"/>
      <c r="AP71" s="116"/>
      <c r="AQ71" s="115"/>
      <c r="AR71" s="116"/>
      <c r="AS71" s="116"/>
      <c r="AT71" s="115"/>
      <c r="AU71" s="116"/>
      <c r="AV71" s="116"/>
      <c r="AW71" s="115"/>
      <c r="AX71" s="116"/>
      <c r="AY71" s="116"/>
      <c r="AZ71" s="115"/>
      <c r="BA71" s="116"/>
      <c r="BB71" s="116"/>
      <c r="BC71" s="115"/>
      <c r="BD71" s="116"/>
      <c r="BE71" s="116"/>
      <c r="BF71" s="115"/>
      <c r="BG71" s="116"/>
      <c r="BH71" s="116"/>
      <c r="BI71" s="115"/>
      <c r="BJ71" s="116"/>
      <c r="BK71" s="116"/>
      <c r="BL71" s="115"/>
      <c r="BM71" s="116"/>
      <c r="BN71" s="116"/>
      <c r="BO71" s="115"/>
      <c r="BP71" s="116"/>
      <c r="BQ71" s="116"/>
      <c r="BR71" s="115"/>
      <c r="BS71" s="116"/>
      <c r="BT71" s="116"/>
      <c r="BU71" s="115"/>
      <c r="BV71" s="116"/>
      <c r="BW71" s="116"/>
      <c r="BX71" s="115"/>
      <c r="BY71" s="116"/>
      <c r="BZ71" s="116"/>
      <c r="CA71" s="115"/>
      <c r="CB71" s="116"/>
      <c r="CC71" s="116"/>
      <c r="CD71" s="115"/>
      <c r="CE71" s="116"/>
      <c r="CF71" s="116"/>
      <c r="CG71" s="115"/>
      <c r="CH71" s="116"/>
      <c r="CI71" s="116"/>
      <c r="CJ71" s="115"/>
      <c r="CK71" s="116"/>
      <c r="CL71" s="116"/>
      <c r="CM71" s="115"/>
      <c r="CN71" s="116"/>
      <c r="CO71" s="116"/>
      <c r="CP71" s="115"/>
      <c r="CQ71" s="116"/>
      <c r="CR71" s="116"/>
      <c r="CS71" s="115"/>
      <c r="CT71" s="116"/>
      <c r="CU71" s="116"/>
      <c r="CV71" s="115"/>
      <c r="CW71" s="116"/>
      <c r="CX71" s="116"/>
      <c r="CY71" s="115"/>
      <c r="CZ71" s="116"/>
      <c r="DA71" s="116"/>
      <c r="DB71" s="115"/>
      <c r="DC71" s="116"/>
      <c r="DD71" s="116"/>
      <c r="DE71" s="115"/>
      <c r="DF71" s="116"/>
      <c r="DG71" s="116"/>
      <c r="DH71" s="115"/>
      <c r="DI71" s="116"/>
      <c r="DJ71" s="116"/>
      <c r="DK71" s="115"/>
      <c r="DL71" s="116"/>
      <c r="DM71" s="116"/>
      <c r="DN71" s="115"/>
      <c r="DO71" s="116"/>
      <c r="DP71" s="116"/>
      <c r="DQ71" s="115"/>
      <c r="DR71" s="116"/>
      <c r="DS71" s="116"/>
      <c r="DT71" s="115"/>
      <c r="DU71" s="116"/>
      <c r="DV71" s="116"/>
      <c r="DW71" s="115"/>
      <c r="DX71" s="116"/>
      <c r="DY71" s="116"/>
      <c r="DZ71" s="115"/>
      <c r="EA71" s="116"/>
      <c r="EB71" s="116"/>
      <c r="EC71" s="115"/>
      <c r="ED71" s="116"/>
      <c r="EE71" s="116"/>
      <c r="EF71" s="115"/>
      <c r="EG71" s="116"/>
      <c r="EH71" s="116"/>
      <c r="EI71" s="115"/>
      <c r="EJ71" s="116"/>
      <c r="EK71" s="116"/>
      <c r="EL71" s="115"/>
      <c r="EM71" s="116"/>
      <c r="EN71" s="116"/>
      <c r="EO71" s="115"/>
      <c r="EP71" s="116"/>
      <c r="EQ71" s="116"/>
      <c r="ER71" s="115"/>
      <c r="ES71" s="116"/>
      <c r="ET71" s="116"/>
      <c r="EU71" s="115"/>
      <c r="EV71" s="116"/>
      <c r="EW71" s="116"/>
      <c r="EX71" s="115"/>
      <c r="EY71" s="116"/>
      <c r="EZ71" s="116"/>
      <c r="FA71" s="115"/>
      <c r="FB71" s="116"/>
      <c r="FC71" s="116"/>
      <c r="FD71" s="115"/>
      <c r="FE71" s="116"/>
      <c r="FF71" s="116"/>
      <c r="FG71" s="115"/>
      <c r="FH71" s="116"/>
      <c r="FI71" s="116"/>
      <c r="FJ71" s="115"/>
      <c r="FK71" s="116"/>
      <c r="FL71" s="116"/>
      <c r="FM71" s="115"/>
      <c r="FN71" s="116"/>
      <c r="FO71" s="116"/>
      <c r="FP71" s="115"/>
      <c r="FQ71" s="116"/>
      <c r="FR71" s="116"/>
      <c r="FS71" s="115"/>
      <c r="FT71" s="116"/>
      <c r="FU71" s="116"/>
      <c r="FV71" s="115"/>
      <c r="FW71" s="116"/>
      <c r="FX71" s="116"/>
      <c r="FY71" s="115"/>
      <c r="FZ71" s="116"/>
      <c r="GA71" s="116"/>
      <c r="GB71" s="115"/>
      <c r="GC71" s="116"/>
      <c r="GD71" s="116"/>
      <c r="GE71" s="115"/>
      <c r="GF71" s="116"/>
      <c r="GG71" s="116"/>
      <c r="GH71" s="115"/>
      <c r="GI71" s="116"/>
      <c r="GJ71" s="116"/>
      <c r="GK71" s="116"/>
      <c r="GL71" s="116"/>
      <c r="GM71" s="116"/>
      <c r="GN71" s="116"/>
      <c r="GO71" s="116"/>
      <c r="GP71" s="116"/>
      <c r="GQ71" s="116"/>
      <c r="GR71" s="116"/>
      <c r="GS71" s="116"/>
      <c r="GT71" s="116"/>
      <c r="GU71" s="116"/>
      <c r="GV71" s="116"/>
      <c r="GW71" s="116"/>
      <c r="GX71" s="116"/>
      <c r="GY71" s="116"/>
      <c r="GZ71" s="116"/>
      <c r="HA71" s="116"/>
      <c r="HB71" s="116"/>
      <c r="HC71" s="116"/>
      <c r="HD71" s="116"/>
      <c r="HE71" s="116"/>
      <c r="HF71" s="116"/>
      <c r="HG71" s="116"/>
      <c r="HH71" s="116"/>
      <c r="HI71" s="116"/>
      <c r="HJ71" s="116"/>
      <c r="HK71" s="116"/>
      <c r="HL71" s="116"/>
      <c r="HM71" s="116"/>
      <c r="HN71" s="116"/>
      <c r="HO71" s="116"/>
      <c r="HP71" s="116"/>
      <c r="HQ71" s="116"/>
      <c r="HR71" s="116"/>
      <c r="HS71" s="116"/>
      <c r="HT71" s="116"/>
      <c r="HU71" s="116"/>
      <c r="HV71" s="116"/>
      <c r="HW71" s="116"/>
      <c r="HX71" s="116"/>
      <c r="HY71" s="116"/>
      <c r="HZ71" s="116"/>
      <c r="IA71" s="116"/>
      <c r="IB71" s="116"/>
      <c r="IC71" s="116"/>
      <c r="ID71" s="116"/>
      <c r="IE71" s="116"/>
      <c r="IF71" s="116"/>
      <c r="IG71" s="116"/>
      <c r="IH71" s="116"/>
      <c r="II71" s="116"/>
      <c r="IJ71" s="116"/>
      <c r="IK71" s="116"/>
      <c r="IL71" s="116"/>
      <c r="IM71" s="116"/>
      <c r="IN71" s="116"/>
      <c r="IO71" s="116"/>
      <c r="IP71" s="116"/>
      <c r="IQ71" s="116"/>
      <c r="IR71" s="116"/>
      <c r="IS71" s="116"/>
      <c r="IT71" s="116"/>
      <c r="IU71" s="116"/>
      <c r="IV71" s="116"/>
      <c r="IW71" s="116"/>
      <c r="IX71" s="116"/>
      <c r="IY71" s="116"/>
      <c r="IZ71" s="116"/>
      <c r="JA71" s="116"/>
      <c r="JB71" s="116"/>
      <c r="JC71" s="116"/>
      <c r="JD71" s="116"/>
      <c r="JE71" s="116"/>
      <c r="JF71" s="116"/>
      <c r="JG71" s="116"/>
      <c r="JH71" s="116"/>
      <c r="JI71" s="116"/>
      <c r="JJ71" s="116"/>
      <c r="JK71" s="116"/>
      <c r="JL71" s="116"/>
      <c r="JM71" s="116"/>
      <c r="JN71" s="116"/>
      <c r="JO71" s="116"/>
      <c r="JP71" s="116"/>
      <c r="JQ71" s="116"/>
      <c r="JR71" s="116"/>
      <c r="JS71" s="116"/>
      <c r="JT71" s="116"/>
      <c r="JU71" s="116"/>
      <c r="JV71" s="116"/>
      <c r="JW71" s="116"/>
      <c r="JX71" s="116"/>
      <c r="JY71" s="116"/>
      <c r="JZ71" s="1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/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/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</row>
    <row r="72" spans="1:669" ht="3.75" customHeight="1" x14ac:dyDescent="0.25">
      <c r="A72" s="49"/>
      <c r="B72" s="49"/>
      <c r="C72" s="49"/>
      <c r="D72" s="49"/>
      <c r="E72" s="49"/>
      <c r="F72" s="185"/>
      <c r="G72" s="49"/>
      <c r="H72" s="49"/>
      <c r="I72" s="240"/>
      <c r="J72" s="287"/>
      <c r="K72" s="93"/>
      <c r="L72" s="60"/>
      <c r="M72" s="61"/>
      <c r="N72" s="61"/>
      <c r="O72" s="61"/>
      <c r="P72" s="61"/>
      <c r="Q72" s="61"/>
      <c r="R72" s="61"/>
      <c r="S72" s="61"/>
      <c r="T72" s="61"/>
      <c r="U72" s="61"/>
      <c r="V72" s="92"/>
      <c r="W72" s="61"/>
      <c r="X72" s="61"/>
      <c r="Y72" s="92"/>
      <c r="Z72" s="61"/>
      <c r="AA72" s="61"/>
      <c r="AB72" s="92"/>
      <c r="AC72" s="61"/>
      <c r="AD72" s="61"/>
      <c r="AE72" s="92"/>
      <c r="AF72" s="61"/>
      <c r="AG72" s="61"/>
      <c r="AH72" s="92"/>
      <c r="AI72" s="61"/>
      <c r="AJ72" s="61"/>
      <c r="AK72" s="92"/>
      <c r="AL72" s="61"/>
      <c r="AM72" s="61"/>
      <c r="AN72" s="92"/>
      <c r="AO72" s="61"/>
      <c r="AP72" s="61"/>
      <c r="AQ72" s="92"/>
      <c r="AR72" s="61"/>
      <c r="AS72" s="61"/>
      <c r="AT72" s="92"/>
      <c r="AU72" s="61"/>
      <c r="AV72" s="61"/>
      <c r="AW72" s="92"/>
      <c r="AX72" s="61"/>
      <c r="AY72" s="61"/>
      <c r="AZ72" s="92"/>
      <c r="BA72" s="61"/>
      <c r="BB72" s="61"/>
      <c r="BC72" s="92"/>
      <c r="BD72" s="61"/>
      <c r="BE72" s="61"/>
      <c r="BF72" s="92"/>
      <c r="BG72" s="61"/>
      <c r="BH72" s="61"/>
      <c r="BI72" s="92"/>
      <c r="BJ72" s="61"/>
      <c r="BK72" s="61"/>
      <c r="BL72" s="92"/>
      <c r="BM72" s="61"/>
      <c r="BN72" s="61"/>
      <c r="BO72" s="92"/>
      <c r="BP72" s="61"/>
      <c r="BQ72" s="61"/>
      <c r="BR72" s="92"/>
      <c r="BS72" s="61"/>
      <c r="BT72" s="61"/>
      <c r="BU72" s="92"/>
      <c r="BV72" s="61"/>
      <c r="BW72" s="61"/>
      <c r="BX72" s="92"/>
      <c r="BY72" s="61"/>
      <c r="BZ72" s="61"/>
      <c r="CA72" s="92"/>
      <c r="CB72" s="61"/>
      <c r="CC72" s="61"/>
      <c r="CD72" s="92"/>
      <c r="CE72" s="61"/>
      <c r="CF72" s="61"/>
      <c r="CG72" s="92"/>
      <c r="CH72" s="61"/>
      <c r="CI72" s="61"/>
      <c r="CJ72" s="92"/>
      <c r="CK72" s="61"/>
      <c r="CL72" s="61"/>
      <c r="CM72" s="92"/>
      <c r="CN72" s="61"/>
      <c r="CO72" s="61"/>
      <c r="CP72" s="92"/>
      <c r="CQ72" s="61"/>
      <c r="CR72" s="61"/>
      <c r="CS72" s="92"/>
      <c r="CT72" s="61"/>
      <c r="CU72" s="61"/>
      <c r="CV72" s="92"/>
      <c r="CW72" s="61"/>
      <c r="CX72" s="61"/>
      <c r="CY72" s="92"/>
      <c r="CZ72" s="61"/>
      <c r="DA72" s="61"/>
      <c r="DB72" s="92"/>
      <c r="DC72" s="61"/>
      <c r="DD72" s="61"/>
      <c r="DE72" s="92"/>
      <c r="DF72" s="61"/>
      <c r="DG72" s="61"/>
      <c r="DH72" s="92"/>
      <c r="DI72" s="61"/>
      <c r="DJ72" s="61"/>
      <c r="DK72" s="92"/>
      <c r="DL72" s="61"/>
      <c r="DM72" s="61"/>
      <c r="DN72" s="92"/>
      <c r="DO72" s="61"/>
      <c r="DP72" s="61"/>
      <c r="DQ72" s="92"/>
      <c r="DR72" s="61"/>
      <c r="DS72" s="61"/>
      <c r="DT72" s="92"/>
      <c r="DU72" s="61"/>
      <c r="DV72" s="61"/>
      <c r="DW72" s="92"/>
      <c r="DX72" s="61"/>
      <c r="DY72" s="61"/>
      <c r="DZ72" s="92"/>
      <c r="EA72" s="61"/>
      <c r="EB72" s="61"/>
      <c r="EC72" s="92"/>
      <c r="ED72" s="61"/>
      <c r="EE72" s="61"/>
      <c r="EF72" s="92"/>
      <c r="EG72" s="61"/>
      <c r="EH72" s="61"/>
      <c r="EI72" s="92"/>
      <c r="EJ72" s="61"/>
      <c r="EK72" s="61"/>
      <c r="EL72" s="92"/>
      <c r="EM72" s="61"/>
      <c r="EN72" s="61"/>
      <c r="EO72" s="92"/>
      <c r="EP72" s="61"/>
      <c r="EQ72" s="61"/>
      <c r="ER72" s="92"/>
      <c r="ES72" s="61"/>
      <c r="ET72" s="61"/>
      <c r="EU72" s="92"/>
      <c r="EV72" s="61"/>
      <c r="EW72" s="61"/>
      <c r="EX72" s="92"/>
      <c r="EY72" s="61"/>
      <c r="EZ72" s="61"/>
      <c r="FA72" s="92"/>
      <c r="FB72" s="61"/>
      <c r="FC72" s="61"/>
      <c r="FD72" s="92"/>
      <c r="FE72" s="61"/>
      <c r="FF72" s="61"/>
      <c r="FG72" s="92"/>
      <c r="FH72" s="61"/>
      <c r="FI72" s="61"/>
      <c r="FJ72" s="92"/>
      <c r="FK72" s="61"/>
      <c r="FL72" s="61"/>
      <c r="FM72" s="92"/>
      <c r="FN72" s="61"/>
      <c r="FO72" s="61"/>
      <c r="FP72" s="92"/>
      <c r="FQ72" s="61"/>
      <c r="FR72" s="61"/>
      <c r="FS72" s="92"/>
      <c r="FT72" s="61"/>
      <c r="FU72" s="61"/>
      <c r="FV72" s="92"/>
      <c r="FW72" s="61"/>
      <c r="FX72" s="61"/>
      <c r="FY72" s="92"/>
      <c r="FZ72" s="61"/>
      <c r="GA72" s="61"/>
      <c r="GB72" s="92"/>
      <c r="GC72" s="61"/>
      <c r="GD72" s="61"/>
      <c r="GE72" s="92"/>
      <c r="GF72" s="61"/>
      <c r="GG72" s="61"/>
      <c r="GH72" s="92"/>
      <c r="GI72" s="61"/>
      <c r="GJ72" s="61"/>
      <c r="GK72" s="61"/>
      <c r="GL72" s="61"/>
      <c r="GM72" s="61"/>
      <c r="GN72" s="61"/>
      <c r="GO72" s="61"/>
      <c r="GP72" s="61"/>
      <c r="GQ72" s="61"/>
      <c r="GR72" s="61"/>
      <c r="GS72" s="61"/>
      <c r="GT72" s="61"/>
      <c r="GU72" s="61"/>
      <c r="GV72" s="61"/>
      <c r="GW72" s="61"/>
      <c r="GX72" s="61"/>
      <c r="GY72" s="61"/>
      <c r="GZ72" s="61"/>
      <c r="HA72" s="61"/>
      <c r="HB72" s="61"/>
      <c r="HC72" s="61"/>
      <c r="HD72" s="61"/>
      <c r="HE72" s="61"/>
      <c r="HF72" s="61"/>
      <c r="HG72" s="61"/>
      <c r="HH72" s="61"/>
      <c r="HI72" s="61"/>
      <c r="HJ72" s="61"/>
      <c r="HK72" s="61"/>
      <c r="HL72" s="61"/>
      <c r="HM72" s="61"/>
      <c r="HN72" s="61"/>
      <c r="HO72" s="61"/>
      <c r="HP72" s="61"/>
      <c r="HQ72" s="61"/>
      <c r="HR72" s="61"/>
      <c r="HS72" s="61"/>
      <c r="HT72" s="61"/>
      <c r="HU72" s="61"/>
      <c r="HV72" s="61"/>
      <c r="HW72" s="61"/>
      <c r="HX72" s="61"/>
      <c r="HY72" s="61"/>
      <c r="HZ72" s="61"/>
      <c r="IA72" s="61"/>
      <c r="IB72" s="61"/>
      <c r="IC72" s="61"/>
      <c r="ID72" s="61"/>
      <c r="IE72" s="61"/>
      <c r="IF72" s="61"/>
      <c r="IG72" s="61"/>
      <c r="IH72" s="61"/>
      <c r="II72" s="61"/>
      <c r="IJ72" s="61"/>
      <c r="IK72" s="61"/>
      <c r="IL72" s="61"/>
      <c r="IM72" s="61"/>
      <c r="IN72" s="61"/>
      <c r="IO72" s="61"/>
      <c r="IP72" s="61"/>
      <c r="IQ72" s="61"/>
      <c r="IR72" s="61"/>
      <c r="IS72" s="61"/>
      <c r="IT72" s="61"/>
      <c r="IU72" s="61"/>
      <c r="IV72" s="61"/>
      <c r="IW72" s="61"/>
      <c r="IX72" s="61"/>
      <c r="IY72" s="61"/>
      <c r="IZ72" s="61"/>
      <c r="JA72" s="61"/>
      <c r="JB72" s="61"/>
      <c r="JC72" s="61"/>
      <c r="JD72" s="61"/>
      <c r="JE72" s="61"/>
      <c r="JF72" s="61"/>
      <c r="JG72" s="61"/>
      <c r="JH72" s="61"/>
      <c r="JI72" s="61"/>
      <c r="JJ72" s="61"/>
      <c r="JK72" s="61"/>
      <c r="JL72" s="61"/>
      <c r="JM72" s="61"/>
      <c r="JN72" s="61"/>
      <c r="JO72" s="61"/>
      <c r="JP72" s="61"/>
      <c r="JQ72" s="61"/>
      <c r="JR72" s="61"/>
      <c r="JS72" s="61"/>
      <c r="JT72" s="61"/>
      <c r="JU72" s="61"/>
      <c r="JV72" s="61"/>
      <c r="JW72" s="61"/>
      <c r="JX72" s="61"/>
      <c r="JY72" s="61"/>
      <c r="JZ72" s="111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/>
      <c r="SJ72" s="17"/>
      <c r="SK72" s="17"/>
      <c r="SL72" s="17"/>
      <c r="SM72" s="17"/>
      <c r="SN72" s="17"/>
      <c r="SO72" s="17"/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17"/>
      <c r="VZ72" s="17"/>
      <c r="WA72" s="17"/>
      <c r="WB72" s="17"/>
      <c r="WC72" s="17"/>
      <c r="WD72" s="17"/>
      <c r="WE72" s="17"/>
      <c r="WF72" s="17"/>
      <c r="WG72" s="17"/>
      <c r="WH72" s="17"/>
      <c r="WI72" s="17"/>
      <c r="WJ72" s="17"/>
      <c r="WK72" s="17"/>
      <c r="WL72" s="17"/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</row>
    <row r="73" spans="1:669" ht="5.25" customHeight="1" thickBot="1" x14ac:dyDescent="0.3">
      <c r="A73" s="129"/>
      <c r="B73" s="129"/>
      <c r="C73" s="129"/>
      <c r="D73" s="129"/>
      <c r="E73" s="129"/>
      <c r="F73" s="186"/>
      <c r="G73" s="129"/>
      <c r="H73" s="129"/>
      <c r="I73" s="244"/>
      <c r="J73" s="288"/>
      <c r="K73" s="128"/>
      <c r="L73" s="46"/>
      <c r="M73" s="118"/>
      <c r="N73" s="118"/>
      <c r="O73" s="118"/>
      <c r="P73" s="118"/>
      <c r="Q73" s="118"/>
      <c r="R73" s="118"/>
      <c r="S73" s="118"/>
      <c r="T73" s="118"/>
      <c r="U73" s="118"/>
      <c r="V73" s="119"/>
      <c r="W73" s="118"/>
      <c r="X73" s="118"/>
      <c r="Y73" s="119"/>
      <c r="Z73" s="118"/>
      <c r="AA73" s="118"/>
      <c r="AB73" s="119"/>
      <c r="AC73" s="118"/>
      <c r="AD73" s="118"/>
      <c r="AE73" s="119"/>
      <c r="AF73" s="118"/>
      <c r="AG73" s="118"/>
      <c r="AH73" s="119"/>
      <c r="AI73" s="118"/>
      <c r="AJ73" s="118"/>
      <c r="AK73" s="119"/>
      <c r="AL73" s="118"/>
      <c r="AM73" s="118"/>
      <c r="AN73" s="119"/>
      <c r="AO73" s="118"/>
      <c r="AP73" s="118"/>
      <c r="AQ73" s="119"/>
      <c r="AR73" s="118"/>
      <c r="AS73" s="118"/>
      <c r="AT73" s="119"/>
      <c r="AU73" s="118"/>
      <c r="AV73" s="118"/>
      <c r="AW73" s="119"/>
      <c r="AX73" s="118"/>
      <c r="AY73" s="118"/>
      <c r="AZ73" s="119"/>
      <c r="BA73" s="118"/>
      <c r="BB73" s="118"/>
      <c r="BC73" s="119"/>
      <c r="BD73" s="118"/>
      <c r="BE73" s="118"/>
      <c r="BF73" s="119"/>
      <c r="BG73" s="118"/>
      <c r="BH73" s="118"/>
      <c r="BI73" s="119"/>
      <c r="BJ73" s="118"/>
      <c r="BK73" s="118"/>
      <c r="BL73" s="119"/>
      <c r="BM73" s="118"/>
      <c r="BN73" s="118"/>
      <c r="BO73" s="119"/>
      <c r="BP73" s="118"/>
      <c r="BQ73" s="118"/>
      <c r="BR73" s="119"/>
      <c r="BS73" s="118"/>
      <c r="BT73" s="118"/>
      <c r="BU73" s="119"/>
      <c r="BV73" s="118"/>
      <c r="BW73" s="118"/>
      <c r="BX73" s="119"/>
      <c r="BY73" s="118"/>
      <c r="BZ73" s="118"/>
      <c r="CA73" s="119"/>
      <c r="CB73" s="118"/>
      <c r="CC73" s="118"/>
      <c r="CD73" s="119"/>
      <c r="CE73" s="118"/>
      <c r="CF73" s="118"/>
      <c r="CG73" s="119"/>
      <c r="CH73" s="118"/>
      <c r="CI73" s="118"/>
      <c r="CJ73" s="119"/>
      <c r="CK73" s="118"/>
      <c r="CL73" s="118"/>
      <c r="CM73" s="119"/>
      <c r="CN73" s="118"/>
      <c r="CO73" s="118"/>
      <c r="CP73" s="119"/>
      <c r="CQ73" s="118"/>
      <c r="CR73" s="118"/>
      <c r="CS73" s="119"/>
      <c r="CT73" s="118"/>
      <c r="CU73" s="118"/>
      <c r="CV73" s="119"/>
      <c r="CW73" s="118"/>
      <c r="CX73" s="118"/>
      <c r="CY73" s="119"/>
      <c r="CZ73" s="118"/>
      <c r="DA73" s="118"/>
      <c r="DB73" s="119"/>
      <c r="DC73" s="118"/>
      <c r="DD73" s="118"/>
      <c r="DE73" s="119"/>
      <c r="DF73" s="118"/>
      <c r="DG73" s="118"/>
      <c r="DH73" s="119"/>
      <c r="DI73" s="118"/>
      <c r="DJ73" s="118"/>
      <c r="DK73" s="119"/>
      <c r="DL73" s="118"/>
      <c r="DM73" s="118"/>
      <c r="DN73" s="119"/>
      <c r="DO73" s="118"/>
      <c r="DP73" s="118"/>
      <c r="DQ73" s="119"/>
      <c r="DR73" s="118"/>
      <c r="DS73" s="118"/>
      <c r="DT73" s="119"/>
      <c r="DU73" s="118"/>
      <c r="DV73" s="118"/>
      <c r="DW73" s="119"/>
      <c r="DX73" s="118"/>
      <c r="DY73" s="118"/>
      <c r="DZ73" s="119"/>
      <c r="EA73" s="118"/>
      <c r="EB73" s="118"/>
      <c r="EC73" s="119"/>
      <c r="ED73" s="118"/>
      <c r="EE73" s="118"/>
      <c r="EF73" s="119"/>
      <c r="EG73" s="118"/>
      <c r="EH73" s="118"/>
      <c r="EI73" s="119"/>
      <c r="EJ73" s="118"/>
      <c r="EK73" s="118"/>
      <c r="EL73" s="119"/>
      <c r="EM73" s="118"/>
      <c r="EN73" s="118"/>
      <c r="EO73" s="119"/>
      <c r="EP73" s="118"/>
      <c r="EQ73" s="118"/>
      <c r="ER73" s="119"/>
      <c r="ES73" s="118"/>
      <c r="ET73" s="118"/>
      <c r="EU73" s="119"/>
      <c r="EV73" s="118"/>
      <c r="EW73" s="118"/>
      <c r="EX73" s="119"/>
      <c r="EY73" s="118"/>
      <c r="EZ73" s="118"/>
      <c r="FA73" s="119"/>
      <c r="FB73" s="118"/>
      <c r="FC73" s="118"/>
      <c r="FD73" s="119"/>
      <c r="FE73" s="118"/>
      <c r="FF73" s="118"/>
      <c r="FG73" s="119"/>
      <c r="FH73" s="118"/>
      <c r="FI73" s="118"/>
      <c r="FJ73" s="119"/>
      <c r="FK73" s="118"/>
      <c r="FL73" s="118"/>
      <c r="FM73" s="119"/>
      <c r="FN73" s="118"/>
      <c r="FO73" s="118"/>
      <c r="FP73" s="119"/>
      <c r="FQ73" s="118"/>
      <c r="FR73" s="118"/>
      <c r="FS73" s="119"/>
      <c r="FT73" s="118"/>
      <c r="FU73" s="118"/>
      <c r="FV73" s="119"/>
      <c r="FW73" s="118"/>
      <c r="FX73" s="118"/>
      <c r="FY73" s="119"/>
      <c r="FZ73" s="118"/>
      <c r="GA73" s="118"/>
      <c r="GB73" s="119"/>
      <c r="GC73" s="118"/>
      <c r="GD73" s="118"/>
      <c r="GE73" s="119"/>
      <c r="GF73" s="118"/>
      <c r="GG73" s="118"/>
      <c r="GH73" s="119"/>
      <c r="GI73" s="118"/>
      <c r="GJ73" s="118"/>
      <c r="GK73" s="118"/>
      <c r="GL73" s="118"/>
      <c r="GM73" s="118"/>
      <c r="GN73" s="118"/>
      <c r="GO73" s="118"/>
      <c r="GP73" s="118"/>
      <c r="GQ73" s="118"/>
      <c r="GR73" s="118"/>
      <c r="GS73" s="118"/>
      <c r="GT73" s="118"/>
      <c r="GU73" s="118"/>
      <c r="GV73" s="118"/>
      <c r="GW73" s="118"/>
      <c r="GX73" s="118"/>
      <c r="GY73" s="118"/>
      <c r="GZ73" s="118"/>
      <c r="HA73" s="118"/>
      <c r="HB73" s="118"/>
      <c r="HC73" s="118"/>
      <c r="HD73" s="118"/>
      <c r="HE73" s="118"/>
      <c r="HF73" s="118"/>
      <c r="HG73" s="118"/>
      <c r="HH73" s="118"/>
      <c r="HI73" s="118"/>
      <c r="HJ73" s="118"/>
      <c r="HK73" s="118"/>
      <c r="HL73" s="118"/>
      <c r="HM73" s="118"/>
      <c r="HN73" s="118"/>
      <c r="HO73" s="118"/>
      <c r="HP73" s="118"/>
      <c r="HQ73" s="118"/>
      <c r="HR73" s="118"/>
      <c r="HS73" s="118"/>
      <c r="HT73" s="118"/>
      <c r="HU73" s="118"/>
      <c r="HV73" s="118"/>
      <c r="HW73" s="118"/>
      <c r="HX73" s="118"/>
      <c r="HY73" s="118"/>
      <c r="HZ73" s="118"/>
      <c r="IA73" s="118"/>
      <c r="IB73" s="118"/>
      <c r="IC73" s="118"/>
      <c r="ID73" s="118"/>
      <c r="IE73" s="118"/>
      <c r="IF73" s="118"/>
      <c r="IG73" s="118"/>
      <c r="IH73" s="118"/>
      <c r="II73" s="118"/>
      <c r="IJ73" s="118"/>
      <c r="IK73" s="118"/>
      <c r="IL73" s="118"/>
      <c r="IM73" s="118"/>
      <c r="IN73" s="118"/>
      <c r="IO73" s="118"/>
      <c r="IP73" s="118"/>
      <c r="IQ73" s="118"/>
      <c r="IR73" s="118"/>
      <c r="IS73" s="118"/>
      <c r="IT73" s="118"/>
      <c r="IU73" s="118"/>
      <c r="IV73" s="118"/>
      <c r="IW73" s="118"/>
      <c r="IX73" s="118"/>
      <c r="IY73" s="118"/>
      <c r="IZ73" s="118"/>
      <c r="JA73" s="118"/>
      <c r="JB73" s="118"/>
      <c r="JC73" s="118"/>
      <c r="JD73" s="118"/>
      <c r="JE73" s="118"/>
      <c r="JF73" s="118"/>
      <c r="JG73" s="118"/>
      <c r="JH73" s="118"/>
      <c r="JI73" s="118"/>
      <c r="JJ73" s="118"/>
      <c r="JK73" s="118"/>
      <c r="JL73" s="118"/>
      <c r="JM73" s="118"/>
      <c r="JN73" s="118"/>
      <c r="JO73" s="118"/>
      <c r="JP73" s="118"/>
      <c r="JQ73" s="118"/>
      <c r="JR73" s="118"/>
      <c r="JS73" s="118"/>
      <c r="JT73" s="118"/>
      <c r="JU73" s="118"/>
      <c r="JV73" s="118"/>
      <c r="JW73" s="118"/>
      <c r="JX73" s="118"/>
      <c r="JY73" s="118"/>
      <c r="JZ73" s="120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  <c r="OW73" s="17"/>
      <c r="OX73" s="17"/>
      <c r="OY73" s="17"/>
      <c r="OZ73" s="17"/>
      <c r="PA73" s="17"/>
      <c r="PB73" s="17"/>
      <c r="PC73" s="17"/>
      <c r="PD73" s="17"/>
      <c r="PE73" s="17"/>
      <c r="PF73" s="17"/>
      <c r="PG73" s="17"/>
      <c r="PH73" s="17"/>
      <c r="PI73" s="17"/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/>
      <c r="QG73" s="17"/>
      <c r="QH73" s="17"/>
      <c r="QI73" s="17"/>
      <c r="QJ73" s="17"/>
      <c r="QK73" s="17"/>
      <c r="QL73" s="17"/>
      <c r="QM73" s="17"/>
      <c r="QN73" s="17"/>
      <c r="QO73" s="17"/>
      <c r="QP73" s="17"/>
      <c r="QQ73" s="17"/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17"/>
      <c r="RM73" s="17"/>
      <c r="RN73" s="17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17"/>
      <c r="SJ73" s="17"/>
      <c r="SK73" s="17"/>
      <c r="SL73" s="17"/>
      <c r="SM73" s="17"/>
      <c r="SN73" s="17"/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17"/>
      <c r="VZ73" s="17"/>
      <c r="WA73" s="17"/>
      <c r="WB73" s="17"/>
      <c r="WC73" s="17"/>
      <c r="WD73" s="17"/>
      <c r="WE73" s="17"/>
      <c r="WF73" s="17"/>
      <c r="WG73" s="17"/>
      <c r="WH73" s="17"/>
      <c r="WI73" s="17"/>
      <c r="WJ73" s="17"/>
      <c r="WK73" s="17"/>
      <c r="WL73" s="17"/>
      <c r="WM73" s="17"/>
      <c r="WN73" s="17"/>
      <c r="WO73" s="17"/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/>
      <c r="XM73" s="17"/>
      <c r="XN73" s="17"/>
      <c r="XO73" s="17"/>
      <c r="XP73" s="17"/>
      <c r="XQ73" s="17"/>
      <c r="XR73" s="17"/>
      <c r="XS73" s="17"/>
      <c r="XT73" s="17"/>
      <c r="XU73" s="17"/>
      <c r="XV73" s="17"/>
      <c r="XW73" s="17"/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</row>
    <row r="74" spans="1:669" ht="15" customHeight="1" thickTop="1" x14ac:dyDescent="0.25">
      <c r="A74" s="142">
        <f>B74</f>
        <v>0</v>
      </c>
      <c r="B74" s="231"/>
      <c r="C74" s="137" t="s">
        <v>13</v>
      </c>
      <c r="D74" s="228" t="s">
        <v>14</v>
      </c>
      <c r="E74" s="172" t="s">
        <v>42</v>
      </c>
      <c r="F74" s="180">
        <f ca="1">(F77+F75)*H75</f>
        <v>0</v>
      </c>
      <c r="G74" s="172" t="s">
        <v>37</v>
      </c>
      <c r="H74" s="169">
        <f ca="1">STDEVPA(V78:JZ78)</f>
        <v>0</v>
      </c>
      <c r="I74" s="245" t="s">
        <v>15</v>
      </c>
      <c r="J74" s="121" t="str">
        <f>J71</f>
        <v>CORTE</v>
      </c>
      <c r="K74" s="281" t="s">
        <v>10</v>
      </c>
      <c r="L74" s="95"/>
      <c r="M74" s="96"/>
      <c r="N74" s="96"/>
      <c r="O74" s="96"/>
      <c r="P74" s="96"/>
      <c r="Q74" s="96"/>
      <c r="R74" s="96"/>
      <c r="S74" s="96"/>
      <c r="T74" s="96"/>
      <c r="U74" s="96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7"/>
      <c r="BQ74" s="97"/>
      <c r="BR74" s="97"/>
      <c r="BS74" s="97"/>
      <c r="BT74" s="97"/>
      <c r="BU74" s="97"/>
      <c r="BV74" s="97"/>
      <c r="BW74" s="97"/>
      <c r="BX74" s="97"/>
      <c r="BY74" s="97"/>
      <c r="BZ74" s="97"/>
      <c r="CA74" s="97"/>
      <c r="CB74" s="97"/>
      <c r="CC74" s="97"/>
      <c r="CD74" s="97"/>
      <c r="CE74" s="97"/>
      <c r="CF74" s="97"/>
      <c r="CG74" s="97"/>
      <c r="CH74" s="97"/>
      <c r="CI74" s="97"/>
      <c r="CJ74" s="97"/>
      <c r="CK74" s="97"/>
      <c r="CL74" s="97"/>
      <c r="CM74" s="97"/>
      <c r="CN74" s="97"/>
      <c r="CO74" s="97"/>
      <c r="CP74" s="97"/>
      <c r="CQ74" s="97"/>
      <c r="CR74" s="97"/>
      <c r="CS74" s="97"/>
      <c r="CT74" s="97"/>
      <c r="CU74" s="97"/>
      <c r="CV74" s="97"/>
      <c r="CW74" s="97"/>
      <c r="CX74" s="97"/>
      <c r="CY74" s="97"/>
      <c r="CZ74" s="97"/>
      <c r="DA74" s="97"/>
      <c r="DB74" s="97"/>
      <c r="DC74" s="97"/>
      <c r="DD74" s="97"/>
      <c r="DE74" s="97"/>
      <c r="DF74" s="97"/>
      <c r="DG74" s="97"/>
      <c r="DH74" s="97"/>
      <c r="DI74" s="97"/>
      <c r="DJ74" s="97"/>
      <c r="DK74" s="97"/>
      <c r="DL74" s="97"/>
      <c r="DM74" s="97"/>
      <c r="DN74" s="97"/>
      <c r="DO74" s="97"/>
      <c r="DP74" s="97"/>
      <c r="DQ74" s="97"/>
      <c r="DR74" s="97"/>
      <c r="DS74" s="97"/>
      <c r="DT74" s="97"/>
      <c r="DU74" s="97"/>
      <c r="DV74" s="97"/>
      <c r="DW74" s="97"/>
      <c r="DX74" s="97"/>
      <c r="DY74" s="97"/>
      <c r="DZ74" s="97"/>
      <c r="EA74" s="97"/>
      <c r="EB74" s="97"/>
      <c r="EC74" s="97"/>
      <c r="ED74" s="97"/>
      <c r="EE74" s="97"/>
      <c r="EF74" s="97"/>
      <c r="EG74" s="97"/>
      <c r="EH74" s="97"/>
      <c r="EI74" s="97"/>
      <c r="EJ74" s="97"/>
      <c r="EK74" s="97"/>
      <c r="EL74" s="97"/>
      <c r="EM74" s="97"/>
      <c r="EN74" s="97"/>
      <c r="EO74" s="97"/>
      <c r="EP74" s="97"/>
      <c r="EQ74" s="97"/>
      <c r="ER74" s="97"/>
      <c r="ES74" s="97"/>
      <c r="ET74" s="97"/>
      <c r="EU74" s="97"/>
      <c r="EV74" s="97"/>
      <c r="EW74" s="97"/>
      <c r="EX74" s="97"/>
      <c r="EY74" s="97"/>
      <c r="EZ74" s="97"/>
      <c r="FA74" s="97"/>
      <c r="FB74" s="97"/>
      <c r="FC74" s="97"/>
      <c r="FD74" s="97"/>
      <c r="FE74" s="97"/>
      <c r="FF74" s="97"/>
      <c r="FG74" s="97"/>
      <c r="FH74" s="97"/>
      <c r="FI74" s="97"/>
      <c r="FJ74" s="97"/>
      <c r="FK74" s="97"/>
      <c r="FL74" s="97"/>
      <c r="FM74" s="97"/>
      <c r="FN74" s="97"/>
      <c r="FO74" s="97"/>
      <c r="FP74" s="97"/>
      <c r="FQ74" s="97"/>
      <c r="FR74" s="97"/>
      <c r="FS74" s="97"/>
      <c r="FT74" s="97"/>
      <c r="FU74" s="97"/>
      <c r="FV74" s="97"/>
      <c r="FW74" s="97"/>
      <c r="FX74" s="97"/>
      <c r="FY74" s="97"/>
      <c r="FZ74" s="97"/>
      <c r="GA74" s="97"/>
      <c r="GB74" s="97"/>
      <c r="GC74" s="97"/>
      <c r="GD74" s="97"/>
      <c r="GE74" s="97"/>
      <c r="GF74" s="97"/>
      <c r="GG74" s="97"/>
      <c r="GH74" s="97"/>
      <c r="GI74" s="97"/>
      <c r="GJ74" s="97"/>
      <c r="GK74" s="97"/>
      <c r="GL74" s="97"/>
      <c r="GM74" s="97"/>
      <c r="GN74" s="97"/>
      <c r="GO74" s="97"/>
      <c r="GP74" s="97"/>
      <c r="GQ74" s="97"/>
      <c r="GR74" s="97"/>
      <c r="GS74" s="97"/>
      <c r="GT74" s="97"/>
      <c r="GU74" s="97"/>
      <c r="GV74" s="97"/>
      <c r="GW74" s="97"/>
      <c r="GX74" s="97"/>
      <c r="GY74" s="97"/>
      <c r="GZ74" s="97"/>
      <c r="HA74" s="97"/>
      <c r="HB74" s="97"/>
      <c r="HC74" s="97"/>
      <c r="HD74" s="97"/>
      <c r="HE74" s="97"/>
      <c r="HF74" s="97"/>
      <c r="HG74" s="97"/>
      <c r="HH74" s="97"/>
      <c r="HI74" s="97"/>
      <c r="HJ74" s="97"/>
      <c r="HK74" s="97"/>
      <c r="HL74" s="97"/>
      <c r="HM74" s="97"/>
      <c r="HN74" s="97"/>
      <c r="HO74" s="97"/>
      <c r="HP74" s="97"/>
      <c r="HQ74" s="97"/>
      <c r="HR74" s="97"/>
      <c r="HS74" s="97"/>
      <c r="HT74" s="97"/>
      <c r="HU74" s="97"/>
      <c r="HV74" s="97"/>
      <c r="HW74" s="97"/>
      <c r="HX74" s="97"/>
      <c r="HY74" s="97"/>
      <c r="HZ74" s="97"/>
      <c r="IA74" s="97"/>
      <c r="IB74" s="97"/>
      <c r="IC74" s="97"/>
      <c r="ID74" s="97"/>
      <c r="IE74" s="97"/>
      <c r="IF74" s="97"/>
      <c r="IG74" s="97"/>
      <c r="IH74" s="97"/>
      <c r="II74" s="97"/>
      <c r="IJ74" s="97"/>
      <c r="IK74" s="97"/>
      <c r="IL74" s="97"/>
      <c r="IM74" s="97"/>
      <c r="IN74" s="97"/>
      <c r="IO74" s="97"/>
      <c r="IP74" s="97"/>
      <c r="IQ74" s="97"/>
      <c r="IR74" s="97"/>
      <c r="IS74" s="97"/>
      <c r="IT74" s="97"/>
      <c r="IU74" s="97"/>
      <c r="IV74" s="97"/>
      <c r="IW74" s="97"/>
      <c r="IX74" s="97"/>
      <c r="IY74" s="97"/>
      <c r="IZ74" s="97"/>
      <c r="JA74" s="97"/>
      <c r="JB74" s="97"/>
      <c r="JC74" s="97"/>
      <c r="JD74" s="97"/>
      <c r="JE74" s="97"/>
      <c r="JF74" s="97"/>
      <c r="JG74" s="97"/>
      <c r="JH74" s="97"/>
      <c r="JI74" s="97"/>
      <c r="JJ74" s="97"/>
      <c r="JK74" s="97"/>
      <c r="JL74" s="97"/>
      <c r="JM74" s="97"/>
      <c r="JN74" s="97"/>
      <c r="JO74" s="97"/>
      <c r="JP74" s="97"/>
      <c r="JQ74" s="97"/>
      <c r="JR74" s="97"/>
      <c r="JS74" s="97"/>
      <c r="JT74" s="97"/>
      <c r="JU74" s="97"/>
      <c r="JV74" s="97"/>
      <c r="JW74" s="97"/>
      <c r="JX74" s="97"/>
      <c r="JY74" s="97"/>
      <c r="JZ74" s="98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/>
      <c r="LD74" s="17"/>
      <c r="LE74" s="17"/>
      <c r="LF74" s="17"/>
      <c r="LG74" s="17"/>
      <c r="LH74" s="17"/>
      <c r="LI74" s="17"/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/>
      <c r="SJ74" s="17"/>
      <c r="SK74" s="17"/>
      <c r="SL74" s="17"/>
      <c r="SM74" s="17"/>
      <c r="SN74" s="17"/>
      <c r="SO74" s="17"/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17"/>
      <c r="VZ74" s="17"/>
      <c r="WA74" s="17"/>
      <c r="WB74" s="17"/>
      <c r="WC74" s="17"/>
      <c r="WD74" s="17"/>
      <c r="WE74" s="17"/>
      <c r="WF74" s="17"/>
      <c r="WG74" s="17"/>
      <c r="WH74" s="17"/>
      <c r="WI74" s="17"/>
      <c r="WJ74" s="17"/>
      <c r="WK74" s="17"/>
      <c r="WL74" s="17"/>
      <c r="WM74" s="17"/>
      <c r="WN74" s="17"/>
      <c r="WO74" s="17"/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/>
      <c r="XM74" s="17"/>
      <c r="XN74" s="17"/>
      <c r="XO74" s="17"/>
      <c r="XP74" s="17"/>
      <c r="XQ74" s="17"/>
      <c r="XR74" s="17"/>
      <c r="XS74" s="17"/>
      <c r="XT74" s="17"/>
      <c r="XU74" s="17"/>
      <c r="XV74" s="17"/>
      <c r="XW74" s="17"/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</row>
    <row r="75" spans="1:669" x14ac:dyDescent="0.25">
      <c r="A75" s="138">
        <f>B74</f>
        <v>0</v>
      </c>
      <c r="B75" s="232"/>
      <c r="C75" s="81" t="str">
        <f>$C$74</f>
        <v>MELITTA</v>
      </c>
      <c r="D75" s="229"/>
      <c r="E75" s="173" t="s">
        <v>44</v>
      </c>
      <c r="F75" s="181">
        <f ca="1">AVERAGE(V78:JZ78)</f>
        <v>0</v>
      </c>
      <c r="G75" s="174" t="s">
        <v>38</v>
      </c>
      <c r="H75" s="170">
        <v>3</v>
      </c>
      <c r="I75" s="242" t="s">
        <v>16</v>
      </c>
      <c r="J75" s="83" t="str">
        <f>J74</f>
        <v>CORTE</v>
      </c>
      <c r="K75" s="281"/>
      <c r="L75" s="57"/>
      <c r="M75" s="58"/>
      <c r="N75" s="58"/>
      <c r="O75" s="58"/>
      <c r="P75" s="58"/>
      <c r="Q75" s="58"/>
      <c r="R75" s="58"/>
      <c r="S75" s="58"/>
      <c r="T75" s="58"/>
      <c r="U75" s="58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G75" s="70"/>
      <c r="CH75" s="70"/>
      <c r="CI75" s="70"/>
      <c r="CJ75" s="70"/>
      <c r="CK75" s="70"/>
      <c r="CL75" s="70"/>
      <c r="CM75" s="70"/>
      <c r="CN75" s="70"/>
      <c r="CO75" s="70"/>
      <c r="CP75" s="70"/>
      <c r="CQ75" s="70"/>
      <c r="CR75" s="70"/>
      <c r="CS75" s="70"/>
      <c r="CT75" s="70"/>
      <c r="CU75" s="70"/>
      <c r="CV75" s="70"/>
      <c r="CW75" s="70"/>
      <c r="CX75" s="70"/>
      <c r="CY75" s="70"/>
      <c r="CZ75" s="70"/>
      <c r="DA75" s="70"/>
      <c r="DB75" s="70"/>
      <c r="DC75" s="70"/>
      <c r="DD75" s="70"/>
      <c r="DE75" s="70"/>
      <c r="DF75" s="70"/>
      <c r="DG75" s="70"/>
      <c r="DH75" s="70"/>
      <c r="DI75" s="70"/>
      <c r="DJ75" s="70"/>
      <c r="DK75" s="70"/>
      <c r="DL75" s="70"/>
      <c r="DM75" s="70"/>
      <c r="DN75" s="70"/>
      <c r="DO75" s="70"/>
      <c r="DP75" s="70"/>
      <c r="DQ75" s="70"/>
      <c r="DR75" s="70"/>
      <c r="DS75" s="70"/>
      <c r="DT75" s="70"/>
      <c r="DU75" s="70"/>
      <c r="DV75" s="70"/>
      <c r="DW75" s="70"/>
      <c r="DX75" s="70"/>
      <c r="DY75" s="70"/>
      <c r="DZ75" s="70"/>
      <c r="EA75" s="70"/>
      <c r="EB75" s="70"/>
      <c r="EC75" s="70"/>
      <c r="ED75" s="70"/>
      <c r="EE75" s="70"/>
      <c r="EF75" s="70"/>
      <c r="EG75" s="70"/>
      <c r="EH75" s="70"/>
      <c r="EI75" s="70"/>
      <c r="EJ75" s="70"/>
      <c r="EK75" s="70"/>
      <c r="EL75" s="70"/>
      <c r="EM75" s="70"/>
      <c r="EN75" s="70"/>
      <c r="EO75" s="70"/>
      <c r="EP75" s="70"/>
      <c r="EQ75" s="70"/>
      <c r="ER75" s="70"/>
      <c r="ES75" s="70"/>
      <c r="ET75" s="70"/>
      <c r="EU75" s="70"/>
      <c r="EV75" s="70"/>
      <c r="EW75" s="70"/>
      <c r="EX75" s="70"/>
      <c r="EY75" s="70"/>
      <c r="EZ75" s="70"/>
      <c r="FA75" s="70"/>
      <c r="FB75" s="70"/>
      <c r="FC75" s="70"/>
      <c r="FD75" s="70"/>
      <c r="FE75" s="70"/>
      <c r="FF75" s="70"/>
      <c r="FG75" s="70"/>
      <c r="FH75" s="70"/>
      <c r="FI75" s="70"/>
      <c r="FJ75" s="70"/>
      <c r="FK75" s="70"/>
      <c r="FL75" s="70"/>
      <c r="FM75" s="70"/>
      <c r="FN75" s="70"/>
      <c r="FO75" s="70"/>
      <c r="FP75" s="70"/>
      <c r="FQ75" s="70"/>
      <c r="FR75" s="70"/>
      <c r="FS75" s="70"/>
      <c r="FT75" s="70"/>
      <c r="FU75" s="70"/>
      <c r="FV75" s="70"/>
      <c r="FW75" s="70"/>
      <c r="FX75" s="70"/>
      <c r="FY75" s="70"/>
      <c r="FZ75" s="70"/>
      <c r="GA75" s="70"/>
      <c r="GB75" s="70"/>
      <c r="GC75" s="70"/>
      <c r="GD75" s="70"/>
      <c r="GE75" s="70"/>
      <c r="GF75" s="70"/>
      <c r="GG75" s="70"/>
      <c r="GH75" s="70"/>
      <c r="GI75" s="70"/>
      <c r="GJ75" s="70"/>
      <c r="GK75" s="70"/>
      <c r="GL75" s="70"/>
      <c r="GM75" s="70"/>
      <c r="GN75" s="70"/>
      <c r="GO75" s="70"/>
      <c r="GP75" s="70"/>
      <c r="GQ75" s="70"/>
      <c r="GR75" s="70"/>
      <c r="GS75" s="70"/>
      <c r="GT75" s="70"/>
      <c r="GU75" s="70"/>
      <c r="GV75" s="70"/>
      <c r="GW75" s="70"/>
      <c r="GX75" s="70"/>
      <c r="GY75" s="70"/>
      <c r="GZ75" s="70"/>
      <c r="HA75" s="70"/>
      <c r="HB75" s="70"/>
      <c r="HC75" s="70"/>
      <c r="HD75" s="70"/>
      <c r="HE75" s="70"/>
      <c r="HF75" s="70"/>
      <c r="HG75" s="70"/>
      <c r="HH75" s="70"/>
      <c r="HI75" s="70"/>
      <c r="HJ75" s="70"/>
      <c r="HK75" s="70"/>
      <c r="HL75" s="70"/>
      <c r="HM75" s="70"/>
      <c r="HN75" s="70"/>
      <c r="HO75" s="70"/>
      <c r="HP75" s="70"/>
      <c r="HQ75" s="70"/>
      <c r="HR75" s="70"/>
      <c r="HS75" s="70"/>
      <c r="HT75" s="70"/>
      <c r="HU75" s="70"/>
      <c r="HV75" s="70"/>
      <c r="HW75" s="70"/>
      <c r="HX75" s="70"/>
      <c r="HY75" s="70"/>
      <c r="HZ75" s="70"/>
      <c r="IA75" s="70"/>
      <c r="IB75" s="70"/>
      <c r="IC75" s="70"/>
      <c r="ID75" s="70"/>
      <c r="IE75" s="70"/>
      <c r="IF75" s="70"/>
      <c r="IG75" s="70"/>
      <c r="IH75" s="70"/>
      <c r="II75" s="70"/>
      <c r="IJ75" s="70"/>
      <c r="IK75" s="70"/>
      <c r="IL75" s="70"/>
      <c r="IM75" s="70"/>
      <c r="IN75" s="70"/>
      <c r="IO75" s="70"/>
      <c r="IP75" s="70"/>
      <c r="IQ75" s="70"/>
      <c r="IR75" s="70"/>
      <c r="IS75" s="70"/>
      <c r="IT75" s="70"/>
      <c r="IU75" s="70"/>
      <c r="IV75" s="70"/>
      <c r="IW75" s="70"/>
      <c r="IX75" s="70"/>
      <c r="IY75" s="70"/>
      <c r="IZ75" s="70"/>
      <c r="JA75" s="70"/>
      <c r="JB75" s="70"/>
      <c r="JC75" s="70"/>
      <c r="JD75" s="70"/>
      <c r="JE75" s="70"/>
      <c r="JF75" s="70"/>
      <c r="JG75" s="70"/>
      <c r="JH75" s="70"/>
      <c r="JI75" s="70"/>
      <c r="JJ75" s="70"/>
      <c r="JK75" s="70"/>
      <c r="JL75" s="70"/>
      <c r="JM75" s="70"/>
      <c r="JN75" s="70"/>
      <c r="JO75" s="70"/>
      <c r="JP75" s="70"/>
      <c r="JQ75" s="70"/>
      <c r="JR75" s="70"/>
      <c r="JS75" s="70"/>
      <c r="JT75" s="70"/>
      <c r="JU75" s="70"/>
      <c r="JV75" s="70"/>
      <c r="JW75" s="70"/>
      <c r="JX75" s="70"/>
      <c r="JY75" s="70"/>
      <c r="JZ75" s="99"/>
      <c r="KA75" s="17"/>
      <c r="KB75" s="17"/>
      <c r="KC75" s="17"/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/>
      <c r="KU75" s="17"/>
      <c r="KV75" s="17"/>
      <c r="KW75" s="17"/>
      <c r="KX75" s="17"/>
      <c r="KY75" s="17"/>
      <c r="KZ75" s="17"/>
      <c r="LA75" s="1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7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17"/>
      <c r="SJ75" s="17"/>
      <c r="SK75" s="17"/>
      <c r="SL75" s="17"/>
      <c r="SM75" s="17"/>
      <c r="SN75" s="17"/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17"/>
      <c r="VZ75" s="17"/>
      <c r="WA75" s="17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/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/>
      <c r="XM75" s="17"/>
      <c r="XN75" s="17"/>
      <c r="XO75" s="17"/>
      <c r="XP75" s="17"/>
      <c r="XQ75" s="17"/>
      <c r="XR75" s="17"/>
      <c r="XS75" s="17"/>
      <c r="XT75" s="17"/>
      <c r="XU75" s="17"/>
      <c r="XV75" s="17"/>
      <c r="XW75" s="17"/>
      <c r="XX75" s="17"/>
      <c r="XY75" s="17"/>
      <c r="XZ75" s="17"/>
      <c r="YA75" s="17"/>
      <c r="YB75" s="17"/>
      <c r="YC75" s="17"/>
      <c r="YD75" s="17"/>
      <c r="YE75" s="17"/>
      <c r="YF75" s="17"/>
      <c r="YG75" s="17"/>
      <c r="YH75" s="17"/>
      <c r="YI75" s="17"/>
      <c r="YJ75" s="17"/>
      <c r="YK75" s="17"/>
      <c r="YL75" s="17"/>
      <c r="YM75" s="17"/>
      <c r="YN75" s="17"/>
      <c r="YO75" s="17"/>
      <c r="YP75" s="17"/>
      <c r="YQ75" s="17"/>
      <c r="YR75" s="17"/>
      <c r="YS75" s="17"/>
    </row>
    <row r="76" spans="1:669" x14ac:dyDescent="0.25">
      <c r="A76" s="138">
        <f>B74</f>
        <v>0</v>
      </c>
      <c r="B76" s="232"/>
      <c r="C76" s="81" t="str">
        <f t="shared" ref="C76:C78" si="348">$C$74</f>
        <v>MELITTA</v>
      </c>
      <c r="D76" s="229"/>
      <c r="E76" s="173" t="s">
        <v>41</v>
      </c>
      <c r="F76" s="181">
        <f ca="1">(F75*H75)+F77</f>
        <v>0</v>
      </c>
      <c r="G76" s="175" t="s">
        <v>39</v>
      </c>
      <c r="H76" s="170">
        <v>1</v>
      </c>
      <c r="I76" s="242" t="s">
        <v>17</v>
      </c>
      <c r="J76" s="83" t="str">
        <f t="shared" ref="J76:J83" si="349">J75</f>
        <v>CORTE</v>
      </c>
      <c r="K76" s="281"/>
      <c r="L76" s="57"/>
      <c r="M76" s="58"/>
      <c r="N76" s="58"/>
      <c r="O76" s="58"/>
      <c r="P76" s="58"/>
      <c r="Q76" s="58"/>
      <c r="R76" s="58"/>
      <c r="S76" s="58"/>
      <c r="T76" s="58"/>
      <c r="U76" s="58"/>
      <c r="V76" s="68">
        <f t="shared" ref="V76:CG76" ca="1" si="350">IF(V3&gt;$J$5,"",U76+V74-V75)</f>
        <v>0</v>
      </c>
      <c r="W76" s="68">
        <f t="shared" ca="1" si="350"/>
        <v>0</v>
      </c>
      <c r="X76" s="68">
        <f t="shared" ca="1" si="350"/>
        <v>0</v>
      </c>
      <c r="Y76" s="68">
        <f t="shared" ca="1" si="350"/>
        <v>0</v>
      </c>
      <c r="Z76" s="68">
        <f t="shared" ca="1" si="350"/>
        <v>0</v>
      </c>
      <c r="AA76" s="68">
        <f t="shared" ca="1" si="350"/>
        <v>0</v>
      </c>
      <c r="AB76" s="68">
        <f t="shared" ca="1" si="350"/>
        <v>0</v>
      </c>
      <c r="AC76" s="68">
        <f t="shared" ca="1" si="350"/>
        <v>0</v>
      </c>
      <c r="AD76" s="68">
        <f t="shared" ca="1" si="350"/>
        <v>0</v>
      </c>
      <c r="AE76" s="68">
        <f t="shared" ca="1" si="350"/>
        <v>0</v>
      </c>
      <c r="AF76" s="68">
        <f t="shared" ca="1" si="350"/>
        <v>0</v>
      </c>
      <c r="AG76" s="68">
        <f t="shared" ca="1" si="350"/>
        <v>0</v>
      </c>
      <c r="AH76" s="68">
        <f t="shared" ca="1" si="350"/>
        <v>0</v>
      </c>
      <c r="AI76" s="68">
        <f t="shared" ca="1" si="350"/>
        <v>0</v>
      </c>
      <c r="AJ76" s="68">
        <f t="shared" ca="1" si="350"/>
        <v>0</v>
      </c>
      <c r="AK76" s="68">
        <f t="shared" ca="1" si="350"/>
        <v>0</v>
      </c>
      <c r="AL76" s="68">
        <f t="shared" ca="1" si="350"/>
        <v>0</v>
      </c>
      <c r="AM76" s="68">
        <f t="shared" ca="1" si="350"/>
        <v>0</v>
      </c>
      <c r="AN76" s="68">
        <f t="shared" ca="1" si="350"/>
        <v>0</v>
      </c>
      <c r="AO76" s="68">
        <f t="shared" ca="1" si="350"/>
        <v>0</v>
      </c>
      <c r="AP76" s="68">
        <f t="shared" ca="1" si="350"/>
        <v>0</v>
      </c>
      <c r="AQ76" s="68">
        <f t="shared" ca="1" si="350"/>
        <v>0</v>
      </c>
      <c r="AR76" s="68">
        <f t="shared" ca="1" si="350"/>
        <v>0</v>
      </c>
      <c r="AS76" s="68">
        <f t="shared" ca="1" si="350"/>
        <v>0</v>
      </c>
      <c r="AT76" s="68">
        <f t="shared" ca="1" si="350"/>
        <v>0</v>
      </c>
      <c r="AU76" s="68">
        <f t="shared" ca="1" si="350"/>
        <v>0</v>
      </c>
      <c r="AV76" s="68">
        <f t="shared" ca="1" si="350"/>
        <v>0</v>
      </c>
      <c r="AW76" s="68">
        <f t="shared" ca="1" si="350"/>
        <v>0</v>
      </c>
      <c r="AX76" s="68">
        <f t="shared" ca="1" si="350"/>
        <v>0</v>
      </c>
      <c r="AY76" s="68">
        <f t="shared" ca="1" si="350"/>
        <v>0</v>
      </c>
      <c r="AZ76" s="68">
        <f t="shared" ca="1" si="350"/>
        <v>0</v>
      </c>
      <c r="BA76" s="68">
        <f t="shared" ca="1" si="350"/>
        <v>0</v>
      </c>
      <c r="BB76" s="68">
        <f t="shared" ca="1" si="350"/>
        <v>0</v>
      </c>
      <c r="BC76" s="68">
        <f t="shared" ca="1" si="350"/>
        <v>0</v>
      </c>
      <c r="BD76" s="68">
        <f t="shared" ca="1" si="350"/>
        <v>0</v>
      </c>
      <c r="BE76" s="68">
        <f t="shared" ca="1" si="350"/>
        <v>0</v>
      </c>
      <c r="BF76" s="68">
        <f t="shared" ca="1" si="350"/>
        <v>0</v>
      </c>
      <c r="BG76" s="68">
        <f t="shared" ca="1" si="350"/>
        <v>0</v>
      </c>
      <c r="BH76" s="68">
        <f t="shared" ca="1" si="350"/>
        <v>0</v>
      </c>
      <c r="BI76" s="68">
        <f t="shared" ca="1" si="350"/>
        <v>0</v>
      </c>
      <c r="BJ76" s="68">
        <f t="shared" ca="1" si="350"/>
        <v>0</v>
      </c>
      <c r="BK76" s="68">
        <f t="shared" ca="1" si="350"/>
        <v>0</v>
      </c>
      <c r="BL76" s="68">
        <f t="shared" ca="1" si="350"/>
        <v>0</v>
      </c>
      <c r="BM76" s="68">
        <f t="shared" ca="1" si="350"/>
        <v>0</v>
      </c>
      <c r="BN76" s="68">
        <f t="shared" ca="1" si="350"/>
        <v>0</v>
      </c>
      <c r="BO76" s="68">
        <f t="shared" ca="1" si="350"/>
        <v>0</v>
      </c>
      <c r="BP76" s="68">
        <f t="shared" ca="1" si="350"/>
        <v>0</v>
      </c>
      <c r="BQ76" s="68">
        <f t="shared" ca="1" si="350"/>
        <v>0</v>
      </c>
      <c r="BR76" s="68">
        <f t="shared" ca="1" si="350"/>
        <v>0</v>
      </c>
      <c r="BS76" s="68">
        <f t="shared" ca="1" si="350"/>
        <v>0</v>
      </c>
      <c r="BT76" s="68">
        <f t="shared" ca="1" si="350"/>
        <v>0</v>
      </c>
      <c r="BU76" s="68">
        <f t="shared" ca="1" si="350"/>
        <v>0</v>
      </c>
      <c r="BV76" s="68">
        <f t="shared" ca="1" si="350"/>
        <v>0</v>
      </c>
      <c r="BW76" s="68">
        <f t="shared" ca="1" si="350"/>
        <v>0</v>
      </c>
      <c r="BX76" s="68">
        <f t="shared" ca="1" si="350"/>
        <v>0</v>
      </c>
      <c r="BY76" s="68">
        <f t="shared" ca="1" si="350"/>
        <v>0</v>
      </c>
      <c r="BZ76" s="68">
        <f t="shared" ca="1" si="350"/>
        <v>0</v>
      </c>
      <c r="CA76" s="68">
        <f t="shared" ca="1" si="350"/>
        <v>0</v>
      </c>
      <c r="CB76" s="68">
        <f t="shared" ca="1" si="350"/>
        <v>0</v>
      </c>
      <c r="CC76" s="68">
        <f t="shared" ca="1" si="350"/>
        <v>0</v>
      </c>
      <c r="CD76" s="68">
        <f t="shared" ca="1" si="350"/>
        <v>0</v>
      </c>
      <c r="CE76" s="68">
        <f t="shared" ca="1" si="350"/>
        <v>0</v>
      </c>
      <c r="CF76" s="68">
        <f t="shared" ca="1" si="350"/>
        <v>0</v>
      </c>
      <c r="CG76" s="68">
        <f t="shared" ca="1" si="350"/>
        <v>0</v>
      </c>
      <c r="CH76" s="68">
        <f t="shared" ref="CH76:ES76" ca="1" si="351">IF(CH3&gt;$J$5,"",CG76+CH74-CH75)</f>
        <v>0</v>
      </c>
      <c r="CI76" s="68">
        <f t="shared" ca="1" si="351"/>
        <v>0</v>
      </c>
      <c r="CJ76" s="68">
        <f t="shared" ca="1" si="351"/>
        <v>0</v>
      </c>
      <c r="CK76" s="68">
        <f t="shared" ca="1" si="351"/>
        <v>0</v>
      </c>
      <c r="CL76" s="68">
        <f t="shared" ca="1" si="351"/>
        <v>0</v>
      </c>
      <c r="CM76" s="68">
        <f t="shared" ca="1" si="351"/>
        <v>0</v>
      </c>
      <c r="CN76" s="68">
        <f t="shared" ca="1" si="351"/>
        <v>0</v>
      </c>
      <c r="CO76" s="68">
        <f t="shared" ca="1" si="351"/>
        <v>0</v>
      </c>
      <c r="CP76" s="68">
        <f t="shared" ca="1" si="351"/>
        <v>0</v>
      </c>
      <c r="CQ76" s="68">
        <f t="shared" ca="1" si="351"/>
        <v>0</v>
      </c>
      <c r="CR76" s="68">
        <f t="shared" ca="1" si="351"/>
        <v>0</v>
      </c>
      <c r="CS76" s="68">
        <f t="shared" ca="1" si="351"/>
        <v>0</v>
      </c>
      <c r="CT76" s="68">
        <f t="shared" ca="1" si="351"/>
        <v>0</v>
      </c>
      <c r="CU76" s="68">
        <f t="shared" ca="1" si="351"/>
        <v>0</v>
      </c>
      <c r="CV76" s="68">
        <f t="shared" ca="1" si="351"/>
        <v>0</v>
      </c>
      <c r="CW76" s="68">
        <f t="shared" ca="1" si="351"/>
        <v>0</v>
      </c>
      <c r="CX76" s="68">
        <f t="shared" ca="1" si="351"/>
        <v>0</v>
      </c>
      <c r="CY76" s="68">
        <f t="shared" ca="1" si="351"/>
        <v>0</v>
      </c>
      <c r="CZ76" s="68">
        <f t="shared" ca="1" si="351"/>
        <v>0</v>
      </c>
      <c r="DA76" s="68">
        <f t="shared" ca="1" si="351"/>
        <v>0</v>
      </c>
      <c r="DB76" s="68">
        <f t="shared" ca="1" si="351"/>
        <v>0</v>
      </c>
      <c r="DC76" s="68">
        <f t="shared" ca="1" si="351"/>
        <v>0</v>
      </c>
      <c r="DD76" s="68">
        <f t="shared" ca="1" si="351"/>
        <v>0</v>
      </c>
      <c r="DE76" s="68">
        <f t="shared" ca="1" si="351"/>
        <v>0</v>
      </c>
      <c r="DF76" s="68">
        <f t="shared" ca="1" si="351"/>
        <v>0</v>
      </c>
      <c r="DG76" s="68">
        <f t="shared" ca="1" si="351"/>
        <v>0</v>
      </c>
      <c r="DH76" s="68">
        <f t="shared" ca="1" si="351"/>
        <v>0</v>
      </c>
      <c r="DI76" s="68">
        <f t="shared" ca="1" si="351"/>
        <v>0</v>
      </c>
      <c r="DJ76" s="68">
        <f t="shared" ca="1" si="351"/>
        <v>0</v>
      </c>
      <c r="DK76" s="68">
        <f t="shared" ca="1" si="351"/>
        <v>0</v>
      </c>
      <c r="DL76" s="68">
        <f t="shared" ca="1" si="351"/>
        <v>0</v>
      </c>
      <c r="DM76" s="68">
        <f t="shared" ca="1" si="351"/>
        <v>0</v>
      </c>
      <c r="DN76" s="68">
        <f t="shared" ca="1" si="351"/>
        <v>0</v>
      </c>
      <c r="DO76" s="68">
        <f t="shared" ca="1" si="351"/>
        <v>0</v>
      </c>
      <c r="DP76" s="68">
        <f t="shared" ca="1" si="351"/>
        <v>0</v>
      </c>
      <c r="DQ76" s="68">
        <f t="shared" ca="1" si="351"/>
        <v>0</v>
      </c>
      <c r="DR76" s="68">
        <f t="shared" ca="1" si="351"/>
        <v>0</v>
      </c>
      <c r="DS76" s="68">
        <f t="shared" ca="1" si="351"/>
        <v>0</v>
      </c>
      <c r="DT76" s="68">
        <f t="shared" ca="1" si="351"/>
        <v>0</v>
      </c>
      <c r="DU76" s="68">
        <f t="shared" ca="1" si="351"/>
        <v>0</v>
      </c>
      <c r="DV76" s="68">
        <f t="shared" ca="1" si="351"/>
        <v>0</v>
      </c>
      <c r="DW76" s="68">
        <f t="shared" ca="1" si="351"/>
        <v>0</v>
      </c>
      <c r="DX76" s="68">
        <f t="shared" ca="1" si="351"/>
        <v>0</v>
      </c>
      <c r="DY76" s="68">
        <f t="shared" ca="1" si="351"/>
        <v>0</v>
      </c>
      <c r="DZ76" s="68">
        <f t="shared" ca="1" si="351"/>
        <v>0</v>
      </c>
      <c r="EA76" s="68">
        <f t="shared" ca="1" si="351"/>
        <v>0</v>
      </c>
      <c r="EB76" s="68">
        <f t="shared" ca="1" si="351"/>
        <v>0</v>
      </c>
      <c r="EC76" s="68">
        <f t="shared" ca="1" si="351"/>
        <v>0</v>
      </c>
      <c r="ED76" s="68">
        <f t="shared" ca="1" si="351"/>
        <v>0</v>
      </c>
      <c r="EE76" s="68">
        <f t="shared" ca="1" si="351"/>
        <v>0</v>
      </c>
      <c r="EF76" s="68">
        <f t="shared" ca="1" si="351"/>
        <v>0</v>
      </c>
      <c r="EG76" s="68">
        <f t="shared" ca="1" si="351"/>
        <v>0</v>
      </c>
      <c r="EH76" s="68">
        <f t="shared" ca="1" si="351"/>
        <v>0</v>
      </c>
      <c r="EI76" s="68">
        <f t="shared" ca="1" si="351"/>
        <v>0</v>
      </c>
      <c r="EJ76" s="68">
        <f t="shared" ca="1" si="351"/>
        <v>0</v>
      </c>
      <c r="EK76" s="68">
        <f t="shared" ca="1" si="351"/>
        <v>0</v>
      </c>
      <c r="EL76" s="68">
        <f t="shared" ca="1" si="351"/>
        <v>0</v>
      </c>
      <c r="EM76" s="68">
        <f t="shared" ca="1" si="351"/>
        <v>0</v>
      </c>
      <c r="EN76" s="68">
        <f t="shared" ca="1" si="351"/>
        <v>0</v>
      </c>
      <c r="EO76" s="68">
        <f t="shared" ca="1" si="351"/>
        <v>0</v>
      </c>
      <c r="EP76" s="68">
        <f t="shared" ca="1" si="351"/>
        <v>0</v>
      </c>
      <c r="EQ76" s="68">
        <f t="shared" ca="1" si="351"/>
        <v>0</v>
      </c>
      <c r="ER76" s="68">
        <f t="shared" ca="1" si="351"/>
        <v>0</v>
      </c>
      <c r="ES76" s="68">
        <f t="shared" ca="1" si="351"/>
        <v>0</v>
      </c>
      <c r="ET76" s="68">
        <f t="shared" ref="ET76:HE76" ca="1" si="352">IF(ET3&gt;$J$5,"",ES76+ET74-ET75)</f>
        <v>0</v>
      </c>
      <c r="EU76" s="68">
        <f t="shared" ca="1" si="352"/>
        <v>0</v>
      </c>
      <c r="EV76" s="68">
        <f t="shared" ca="1" si="352"/>
        <v>0</v>
      </c>
      <c r="EW76" s="68">
        <f t="shared" ca="1" si="352"/>
        <v>0</v>
      </c>
      <c r="EX76" s="68">
        <f t="shared" ca="1" si="352"/>
        <v>0</v>
      </c>
      <c r="EY76" s="68">
        <f t="shared" ca="1" si="352"/>
        <v>0</v>
      </c>
      <c r="EZ76" s="68">
        <f t="shared" ca="1" si="352"/>
        <v>0</v>
      </c>
      <c r="FA76" s="68">
        <f t="shared" ca="1" si="352"/>
        <v>0</v>
      </c>
      <c r="FB76" s="68">
        <f t="shared" ca="1" si="352"/>
        <v>0</v>
      </c>
      <c r="FC76" s="68">
        <f t="shared" ca="1" si="352"/>
        <v>0</v>
      </c>
      <c r="FD76" s="68">
        <f t="shared" ca="1" si="352"/>
        <v>0</v>
      </c>
      <c r="FE76" s="68">
        <f t="shared" ca="1" si="352"/>
        <v>0</v>
      </c>
      <c r="FF76" s="68">
        <f t="shared" ca="1" si="352"/>
        <v>0</v>
      </c>
      <c r="FG76" s="68">
        <f t="shared" ca="1" si="352"/>
        <v>0</v>
      </c>
      <c r="FH76" s="68">
        <f t="shared" ca="1" si="352"/>
        <v>0</v>
      </c>
      <c r="FI76" s="68">
        <f t="shared" ca="1" si="352"/>
        <v>0</v>
      </c>
      <c r="FJ76" s="68">
        <f t="shared" ca="1" si="352"/>
        <v>0</v>
      </c>
      <c r="FK76" s="68">
        <f t="shared" ca="1" si="352"/>
        <v>0</v>
      </c>
      <c r="FL76" s="68">
        <f t="shared" ca="1" si="352"/>
        <v>0</v>
      </c>
      <c r="FM76" s="68">
        <f t="shared" ca="1" si="352"/>
        <v>0</v>
      </c>
      <c r="FN76" s="68">
        <f t="shared" ca="1" si="352"/>
        <v>0</v>
      </c>
      <c r="FO76" s="68">
        <f t="shared" ca="1" si="352"/>
        <v>0</v>
      </c>
      <c r="FP76" s="68">
        <f t="shared" ca="1" si="352"/>
        <v>0</v>
      </c>
      <c r="FQ76" s="68">
        <f t="shared" ca="1" si="352"/>
        <v>0</v>
      </c>
      <c r="FR76" s="68">
        <f t="shared" ca="1" si="352"/>
        <v>0</v>
      </c>
      <c r="FS76" s="68">
        <f t="shared" ca="1" si="352"/>
        <v>0</v>
      </c>
      <c r="FT76" s="68">
        <f t="shared" ca="1" si="352"/>
        <v>0</v>
      </c>
      <c r="FU76" s="68">
        <f t="shared" ca="1" si="352"/>
        <v>0</v>
      </c>
      <c r="FV76" s="68">
        <f t="shared" ca="1" si="352"/>
        <v>0</v>
      </c>
      <c r="FW76" s="68">
        <f t="shared" ca="1" si="352"/>
        <v>0</v>
      </c>
      <c r="FX76" s="68">
        <f t="shared" ca="1" si="352"/>
        <v>0</v>
      </c>
      <c r="FY76" s="68">
        <f t="shared" ca="1" si="352"/>
        <v>0</v>
      </c>
      <c r="FZ76" s="68">
        <f t="shared" ca="1" si="352"/>
        <v>0</v>
      </c>
      <c r="GA76" s="68">
        <f t="shared" ca="1" si="352"/>
        <v>0</v>
      </c>
      <c r="GB76" s="68">
        <f t="shared" ca="1" si="352"/>
        <v>0</v>
      </c>
      <c r="GC76" s="68">
        <f t="shared" ca="1" si="352"/>
        <v>0</v>
      </c>
      <c r="GD76" s="68">
        <f t="shared" ca="1" si="352"/>
        <v>0</v>
      </c>
      <c r="GE76" s="68">
        <f t="shared" ca="1" si="352"/>
        <v>0</v>
      </c>
      <c r="GF76" s="68">
        <f t="shared" ca="1" si="352"/>
        <v>0</v>
      </c>
      <c r="GG76" s="68">
        <f t="shared" ca="1" si="352"/>
        <v>0</v>
      </c>
      <c r="GH76" s="68">
        <f t="shared" ca="1" si="352"/>
        <v>0</v>
      </c>
      <c r="GI76" s="68">
        <f t="shared" ca="1" si="352"/>
        <v>0</v>
      </c>
      <c r="GJ76" s="68">
        <f t="shared" ca="1" si="352"/>
        <v>0</v>
      </c>
      <c r="GK76" s="68">
        <f t="shared" ca="1" si="352"/>
        <v>0</v>
      </c>
      <c r="GL76" s="68">
        <f t="shared" ca="1" si="352"/>
        <v>0</v>
      </c>
      <c r="GM76" s="68">
        <f t="shared" ca="1" si="352"/>
        <v>0</v>
      </c>
      <c r="GN76" s="68">
        <f t="shared" ca="1" si="352"/>
        <v>0</v>
      </c>
      <c r="GO76" s="68">
        <f t="shared" ca="1" si="352"/>
        <v>0</v>
      </c>
      <c r="GP76" s="68">
        <f t="shared" ca="1" si="352"/>
        <v>0</v>
      </c>
      <c r="GQ76" s="68">
        <f t="shared" ca="1" si="352"/>
        <v>0</v>
      </c>
      <c r="GR76" s="68">
        <f t="shared" ca="1" si="352"/>
        <v>0</v>
      </c>
      <c r="GS76" s="68">
        <f t="shared" ca="1" si="352"/>
        <v>0</v>
      </c>
      <c r="GT76" s="68">
        <f t="shared" ca="1" si="352"/>
        <v>0</v>
      </c>
      <c r="GU76" s="68">
        <f t="shared" ca="1" si="352"/>
        <v>0</v>
      </c>
      <c r="GV76" s="68">
        <f t="shared" ca="1" si="352"/>
        <v>0</v>
      </c>
      <c r="GW76" s="68">
        <f t="shared" ca="1" si="352"/>
        <v>0</v>
      </c>
      <c r="GX76" s="68">
        <f t="shared" ca="1" si="352"/>
        <v>0</v>
      </c>
      <c r="GY76" s="68">
        <f t="shared" ca="1" si="352"/>
        <v>0</v>
      </c>
      <c r="GZ76" s="68">
        <f t="shared" ca="1" si="352"/>
        <v>0</v>
      </c>
      <c r="HA76" s="68">
        <f t="shared" ca="1" si="352"/>
        <v>0</v>
      </c>
      <c r="HB76" s="68">
        <f t="shared" ca="1" si="352"/>
        <v>0</v>
      </c>
      <c r="HC76" s="68">
        <f t="shared" ca="1" si="352"/>
        <v>0</v>
      </c>
      <c r="HD76" s="68" t="str">
        <f t="shared" ca="1" si="352"/>
        <v/>
      </c>
      <c r="HE76" s="68" t="str">
        <f t="shared" ca="1" si="352"/>
        <v/>
      </c>
      <c r="HF76" s="68" t="str">
        <f t="shared" ref="HF76:JQ76" ca="1" si="353">IF(HF3&gt;$J$5,"",HE76+HF74-HF75)</f>
        <v/>
      </c>
      <c r="HG76" s="68" t="str">
        <f t="shared" ca="1" si="353"/>
        <v/>
      </c>
      <c r="HH76" s="68" t="str">
        <f t="shared" ca="1" si="353"/>
        <v/>
      </c>
      <c r="HI76" s="68" t="str">
        <f t="shared" ca="1" si="353"/>
        <v/>
      </c>
      <c r="HJ76" s="68" t="str">
        <f t="shared" ca="1" si="353"/>
        <v/>
      </c>
      <c r="HK76" s="68" t="str">
        <f t="shared" ca="1" si="353"/>
        <v/>
      </c>
      <c r="HL76" s="68" t="str">
        <f t="shared" ca="1" si="353"/>
        <v/>
      </c>
      <c r="HM76" s="68" t="str">
        <f t="shared" ca="1" si="353"/>
        <v/>
      </c>
      <c r="HN76" s="68" t="str">
        <f t="shared" ca="1" si="353"/>
        <v/>
      </c>
      <c r="HO76" s="68" t="str">
        <f t="shared" ca="1" si="353"/>
        <v/>
      </c>
      <c r="HP76" s="68" t="str">
        <f t="shared" ca="1" si="353"/>
        <v/>
      </c>
      <c r="HQ76" s="68" t="str">
        <f t="shared" ca="1" si="353"/>
        <v/>
      </c>
      <c r="HR76" s="68" t="str">
        <f t="shared" ca="1" si="353"/>
        <v/>
      </c>
      <c r="HS76" s="68" t="str">
        <f t="shared" ca="1" si="353"/>
        <v/>
      </c>
      <c r="HT76" s="68" t="str">
        <f t="shared" ca="1" si="353"/>
        <v/>
      </c>
      <c r="HU76" s="68" t="str">
        <f t="shared" ca="1" si="353"/>
        <v/>
      </c>
      <c r="HV76" s="68" t="str">
        <f t="shared" ca="1" si="353"/>
        <v/>
      </c>
      <c r="HW76" s="68" t="str">
        <f t="shared" ca="1" si="353"/>
        <v/>
      </c>
      <c r="HX76" s="68" t="str">
        <f t="shared" ca="1" si="353"/>
        <v/>
      </c>
      <c r="HY76" s="68" t="str">
        <f t="shared" ca="1" si="353"/>
        <v/>
      </c>
      <c r="HZ76" s="68" t="str">
        <f t="shared" ca="1" si="353"/>
        <v/>
      </c>
      <c r="IA76" s="68" t="str">
        <f t="shared" ca="1" si="353"/>
        <v/>
      </c>
      <c r="IB76" s="68" t="str">
        <f t="shared" ca="1" si="353"/>
        <v/>
      </c>
      <c r="IC76" s="68" t="str">
        <f t="shared" ca="1" si="353"/>
        <v/>
      </c>
      <c r="ID76" s="68" t="str">
        <f t="shared" ca="1" si="353"/>
        <v/>
      </c>
      <c r="IE76" s="68" t="str">
        <f t="shared" ca="1" si="353"/>
        <v/>
      </c>
      <c r="IF76" s="68" t="str">
        <f t="shared" ca="1" si="353"/>
        <v/>
      </c>
      <c r="IG76" s="68" t="str">
        <f t="shared" ca="1" si="353"/>
        <v/>
      </c>
      <c r="IH76" s="68" t="str">
        <f t="shared" ca="1" si="353"/>
        <v/>
      </c>
      <c r="II76" s="68" t="str">
        <f t="shared" ca="1" si="353"/>
        <v/>
      </c>
      <c r="IJ76" s="68" t="str">
        <f t="shared" ca="1" si="353"/>
        <v/>
      </c>
      <c r="IK76" s="68" t="str">
        <f t="shared" ca="1" si="353"/>
        <v/>
      </c>
      <c r="IL76" s="68" t="str">
        <f t="shared" ca="1" si="353"/>
        <v/>
      </c>
      <c r="IM76" s="68" t="str">
        <f t="shared" ca="1" si="353"/>
        <v/>
      </c>
      <c r="IN76" s="68" t="str">
        <f t="shared" ca="1" si="353"/>
        <v/>
      </c>
      <c r="IO76" s="68" t="str">
        <f t="shared" ca="1" si="353"/>
        <v/>
      </c>
      <c r="IP76" s="68" t="str">
        <f t="shared" ca="1" si="353"/>
        <v/>
      </c>
      <c r="IQ76" s="68" t="str">
        <f t="shared" ca="1" si="353"/>
        <v/>
      </c>
      <c r="IR76" s="68" t="str">
        <f t="shared" ca="1" si="353"/>
        <v/>
      </c>
      <c r="IS76" s="68" t="str">
        <f t="shared" ca="1" si="353"/>
        <v/>
      </c>
      <c r="IT76" s="68" t="str">
        <f t="shared" ca="1" si="353"/>
        <v/>
      </c>
      <c r="IU76" s="68" t="str">
        <f t="shared" ca="1" si="353"/>
        <v/>
      </c>
      <c r="IV76" s="68" t="str">
        <f t="shared" ca="1" si="353"/>
        <v/>
      </c>
      <c r="IW76" s="68" t="str">
        <f t="shared" ca="1" si="353"/>
        <v/>
      </c>
      <c r="IX76" s="68" t="str">
        <f t="shared" ca="1" si="353"/>
        <v/>
      </c>
      <c r="IY76" s="68" t="str">
        <f t="shared" ca="1" si="353"/>
        <v/>
      </c>
      <c r="IZ76" s="68" t="str">
        <f t="shared" ca="1" si="353"/>
        <v/>
      </c>
      <c r="JA76" s="68" t="str">
        <f t="shared" ca="1" si="353"/>
        <v/>
      </c>
      <c r="JB76" s="68" t="str">
        <f t="shared" ca="1" si="353"/>
        <v/>
      </c>
      <c r="JC76" s="68" t="str">
        <f t="shared" ca="1" si="353"/>
        <v/>
      </c>
      <c r="JD76" s="68" t="str">
        <f t="shared" ca="1" si="353"/>
        <v/>
      </c>
      <c r="JE76" s="68" t="str">
        <f t="shared" ca="1" si="353"/>
        <v/>
      </c>
      <c r="JF76" s="68" t="str">
        <f t="shared" ca="1" si="353"/>
        <v/>
      </c>
      <c r="JG76" s="68" t="str">
        <f t="shared" ca="1" si="353"/>
        <v/>
      </c>
      <c r="JH76" s="68" t="str">
        <f t="shared" ca="1" si="353"/>
        <v/>
      </c>
      <c r="JI76" s="68" t="str">
        <f t="shared" ca="1" si="353"/>
        <v/>
      </c>
      <c r="JJ76" s="68" t="str">
        <f t="shared" ca="1" si="353"/>
        <v/>
      </c>
      <c r="JK76" s="68" t="str">
        <f t="shared" ca="1" si="353"/>
        <v/>
      </c>
      <c r="JL76" s="68" t="str">
        <f t="shared" ca="1" si="353"/>
        <v/>
      </c>
      <c r="JM76" s="68" t="str">
        <f t="shared" ca="1" si="353"/>
        <v/>
      </c>
      <c r="JN76" s="68" t="str">
        <f t="shared" ca="1" si="353"/>
        <v/>
      </c>
      <c r="JO76" s="68" t="str">
        <f t="shared" ca="1" si="353"/>
        <v/>
      </c>
      <c r="JP76" s="68" t="str">
        <f t="shared" ca="1" si="353"/>
        <v/>
      </c>
      <c r="JQ76" s="68" t="str">
        <f t="shared" ca="1" si="353"/>
        <v/>
      </c>
      <c r="JR76" s="68" t="str">
        <f t="shared" ref="JR76:JZ76" ca="1" si="354">IF(JR3&gt;$J$5,"",JQ76+JR74-JR75)</f>
        <v/>
      </c>
      <c r="JS76" s="68" t="str">
        <f t="shared" ca="1" si="354"/>
        <v/>
      </c>
      <c r="JT76" s="68" t="str">
        <f t="shared" ca="1" si="354"/>
        <v/>
      </c>
      <c r="JU76" s="68" t="str">
        <f t="shared" ca="1" si="354"/>
        <v/>
      </c>
      <c r="JV76" s="68" t="str">
        <f t="shared" ca="1" si="354"/>
        <v/>
      </c>
      <c r="JW76" s="68" t="str">
        <f t="shared" ca="1" si="354"/>
        <v/>
      </c>
      <c r="JX76" s="68" t="str">
        <f t="shared" ca="1" si="354"/>
        <v/>
      </c>
      <c r="JY76" s="68" t="str">
        <f t="shared" ca="1" si="354"/>
        <v/>
      </c>
      <c r="JZ76" s="100" t="str">
        <f t="shared" ca="1" si="354"/>
        <v/>
      </c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/>
      <c r="QK76" s="17"/>
      <c r="QL76" s="17"/>
      <c r="QM76" s="17"/>
      <c r="QN76" s="17"/>
      <c r="QO76" s="17"/>
      <c r="QP76" s="17"/>
      <c r="QQ76" s="17"/>
      <c r="QR76" s="17"/>
      <c r="QS76" s="17"/>
      <c r="QT76" s="17"/>
      <c r="QU76" s="17"/>
      <c r="QV76" s="17"/>
      <c r="QW76" s="17"/>
      <c r="QX76" s="17"/>
      <c r="QY76" s="17"/>
      <c r="QZ76" s="17"/>
      <c r="RA76" s="17"/>
      <c r="RB76" s="17"/>
      <c r="RC76" s="17"/>
      <c r="RD76" s="17"/>
      <c r="RE76" s="17"/>
      <c r="RF76" s="17"/>
      <c r="RG76" s="17"/>
      <c r="RH76" s="17"/>
      <c r="RI76" s="17"/>
      <c r="RJ76" s="17"/>
      <c r="RK76" s="17"/>
      <c r="RL76" s="17"/>
      <c r="RM76" s="17"/>
      <c r="RN76" s="17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/>
      <c r="SA76" s="17"/>
      <c r="SB76" s="17"/>
      <c r="SC76" s="17"/>
      <c r="SD76" s="17"/>
      <c r="SE76" s="17"/>
      <c r="SF76" s="17"/>
      <c r="SG76" s="17"/>
      <c r="SH76" s="17"/>
      <c r="SI76" s="17"/>
      <c r="SJ76" s="17"/>
      <c r="SK76" s="17"/>
      <c r="SL76" s="17"/>
      <c r="SM76" s="17"/>
      <c r="SN76" s="17"/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17"/>
      <c r="VZ76" s="17"/>
      <c r="WA76" s="17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/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/>
      <c r="XQ76" s="17"/>
      <c r="XR76" s="17"/>
      <c r="XS76" s="17"/>
      <c r="XT76" s="17"/>
      <c r="XU76" s="17"/>
      <c r="XV76" s="17"/>
      <c r="XW76" s="17"/>
      <c r="XX76" s="17"/>
      <c r="XY76" s="17"/>
      <c r="XZ76" s="17"/>
      <c r="YA76" s="17"/>
      <c r="YB76" s="17"/>
      <c r="YC76" s="17"/>
      <c r="YD76" s="17"/>
      <c r="YE76" s="17"/>
      <c r="YF76" s="17"/>
      <c r="YG76" s="17"/>
      <c r="YH76" s="17"/>
      <c r="YI76" s="17"/>
      <c r="YJ76" s="17"/>
      <c r="YK76" s="17"/>
      <c r="YL76" s="17"/>
      <c r="YM76" s="17"/>
      <c r="YN76" s="17"/>
      <c r="YO76" s="17"/>
      <c r="YP76" s="17"/>
      <c r="YQ76" s="17"/>
      <c r="YR76" s="17"/>
      <c r="YS76" s="17"/>
    </row>
    <row r="77" spans="1:669" x14ac:dyDescent="0.25">
      <c r="A77" s="138">
        <f>B74</f>
        <v>0</v>
      </c>
      <c r="B77" s="232"/>
      <c r="C77" s="81" t="str">
        <f t="shared" si="348"/>
        <v>MELITTA</v>
      </c>
      <c r="D77" s="229"/>
      <c r="E77" s="173" t="s">
        <v>40</v>
      </c>
      <c r="F77" s="182">
        <f ca="1">(H78*H74)*SQRT(H75/H76)</f>
        <v>0</v>
      </c>
      <c r="G77" s="176" t="s">
        <v>45</v>
      </c>
      <c r="H77" s="171">
        <v>0.95</v>
      </c>
      <c r="I77" s="242" t="s">
        <v>18</v>
      </c>
      <c r="J77" s="83" t="str">
        <f t="shared" si="349"/>
        <v>CORTE</v>
      </c>
      <c r="K77" s="281"/>
      <c r="L77" s="60"/>
      <c r="M77" s="61"/>
      <c r="N77" s="61"/>
      <c r="O77" s="61"/>
      <c r="P77" s="61"/>
      <c r="Q77" s="61"/>
      <c r="R77" s="61"/>
      <c r="S77" s="61"/>
      <c r="T77" s="61"/>
      <c r="U77" s="61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70"/>
      <c r="CM77" s="70"/>
      <c r="CN77" s="70"/>
      <c r="CO77" s="70"/>
      <c r="CP77" s="70"/>
      <c r="CQ77" s="70"/>
      <c r="CR77" s="70"/>
      <c r="CS77" s="70"/>
      <c r="CT77" s="70"/>
      <c r="CU77" s="70"/>
      <c r="CV77" s="70"/>
      <c r="CW77" s="70"/>
      <c r="CX77" s="70"/>
      <c r="CY77" s="70"/>
      <c r="CZ77" s="70"/>
      <c r="DA77" s="70"/>
      <c r="DB77" s="70"/>
      <c r="DC77" s="70"/>
      <c r="DD77" s="70"/>
      <c r="DE77" s="70"/>
      <c r="DF77" s="70"/>
      <c r="DG77" s="70"/>
      <c r="DH77" s="70"/>
      <c r="DI77" s="70"/>
      <c r="DJ77" s="70"/>
      <c r="DK77" s="70"/>
      <c r="DL77" s="70"/>
      <c r="DM77" s="70"/>
      <c r="DN77" s="70"/>
      <c r="DO77" s="70"/>
      <c r="DP77" s="70"/>
      <c r="DQ77" s="70"/>
      <c r="DR77" s="70"/>
      <c r="DS77" s="70"/>
      <c r="DT77" s="70"/>
      <c r="DU77" s="70"/>
      <c r="DV77" s="70"/>
      <c r="DW77" s="70"/>
      <c r="DX77" s="70"/>
      <c r="DY77" s="70"/>
      <c r="DZ77" s="70"/>
      <c r="EA77" s="70"/>
      <c r="EB77" s="70"/>
      <c r="EC77" s="70"/>
      <c r="ED77" s="70"/>
      <c r="EE77" s="70"/>
      <c r="EF77" s="70"/>
      <c r="EG77" s="70"/>
      <c r="EH77" s="70"/>
      <c r="EI77" s="70"/>
      <c r="EJ77" s="70"/>
      <c r="EK77" s="70"/>
      <c r="EL77" s="70"/>
      <c r="EM77" s="70"/>
      <c r="EN77" s="70"/>
      <c r="EO77" s="70"/>
      <c r="EP77" s="70"/>
      <c r="EQ77" s="70"/>
      <c r="ER77" s="70"/>
      <c r="ES77" s="70"/>
      <c r="ET77" s="70"/>
      <c r="EU77" s="70"/>
      <c r="EV77" s="70"/>
      <c r="EW77" s="70"/>
      <c r="EX77" s="70"/>
      <c r="EY77" s="70"/>
      <c r="EZ77" s="70"/>
      <c r="FA77" s="70"/>
      <c r="FB77" s="70"/>
      <c r="FC77" s="70"/>
      <c r="FD77" s="70"/>
      <c r="FE77" s="70"/>
      <c r="FF77" s="70"/>
      <c r="FG77" s="70"/>
      <c r="FH77" s="70"/>
      <c r="FI77" s="70"/>
      <c r="FJ77" s="70"/>
      <c r="FK77" s="70"/>
      <c r="FL77" s="70"/>
      <c r="FM77" s="70"/>
      <c r="FN77" s="70"/>
      <c r="FO77" s="70"/>
      <c r="FP77" s="70"/>
      <c r="FQ77" s="70"/>
      <c r="FR77" s="70"/>
      <c r="FS77" s="70"/>
      <c r="FT77" s="70"/>
      <c r="FU77" s="70"/>
      <c r="FV77" s="70"/>
      <c r="FW77" s="70"/>
      <c r="FX77" s="70"/>
      <c r="FY77" s="70"/>
      <c r="FZ77" s="70"/>
      <c r="GA77" s="70"/>
      <c r="GB77" s="70"/>
      <c r="GC77" s="70"/>
      <c r="GD77" s="70"/>
      <c r="GE77" s="70"/>
      <c r="GF77" s="70"/>
      <c r="GG77" s="70"/>
      <c r="GH77" s="70"/>
      <c r="GI77" s="70"/>
      <c r="GJ77" s="70"/>
      <c r="GK77" s="70"/>
      <c r="GL77" s="70"/>
      <c r="GM77" s="70"/>
      <c r="GN77" s="70"/>
      <c r="GO77" s="70"/>
      <c r="GP77" s="70"/>
      <c r="GQ77" s="70"/>
      <c r="GR77" s="70"/>
      <c r="GS77" s="70"/>
      <c r="GT77" s="70"/>
      <c r="GU77" s="70"/>
      <c r="GV77" s="70"/>
      <c r="GW77" s="70"/>
      <c r="GX77" s="70"/>
      <c r="GY77" s="70"/>
      <c r="GZ77" s="70"/>
      <c r="HA77" s="70"/>
      <c r="HB77" s="70"/>
      <c r="HC77" s="70"/>
      <c r="HD77" s="70"/>
      <c r="HE77" s="70"/>
      <c r="HF77" s="70"/>
      <c r="HG77" s="70"/>
      <c r="HH77" s="70"/>
      <c r="HI77" s="70"/>
      <c r="HJ77" s="70"/>
      <c r="HK77" s="70"/>
      <c r="HL77" s="70"/>
      <c r="HM77" s="70"/>
      <c r="HN77" s="70"/>
      <c r="HO77" s="70"/>
      <c r="HP77" s="70"/>
      <c r="HQ77" s="70"/>
      <c r="HR77" s="70"/>
      <c r="HS77" s="70"/>
      <c r="HT77" s="70"/>
      <c r="HU77" s="70"/>
      <c r="HV77" s="70"/>
      <c r="HW77" s="70"/>
      <c r="HX77" s="70"/>
      <c r="HY77" s="70"/>
      <c r="HZ77" s="70"/>
      <c r="IA77" s="70"/>
      <c r="IB77" s="70"/>
      <c r="IC77" s="70"/>
      <c r="ID77" s="70"/>
      <c r="IE77" s="70"/>
      <c r="IF77" s="70"/>
      <c r="IG77" s="70"/>
      <c r="IH77" s="70"/>
      <c r="II77" s="70"/>
      <c r="IJ77" s="70"/>
      <c r="IK77" s="70"/>
      <c r="IL77" s="70"/>
      <c r="IM77" s="70"/>
      <c r="IN77" s="70"/>
      <c r="IO77" s="70"/>
      <c r="IP77" s="70"/>
      <c r="IQ77" s="70"/>
      <c r="IR77" s="70"/>
      <c r="IS77" s="70"/>
      <c r="IT77" s="70"/>
      <c r="IU77" s="70"/>
      <c r="IV77" s="70"/>
      <c r="IW77" s="70"/>
      <c r="IX77" s="70"/>
      <c r="IY77" s="70"/>
      <c r="IZ77" s="70"/>
      <c r="JA77" s="70"/>
      <c r="JB77" s="70"/>
      <c r="JC77" s="70"/>
      <c r="JD77" s="70"/>
      <c r="JE77" s="70"/>
      <c r="JF77" s="70"/>
      <c r="JG77" s="70"/>
      <c r="JH77" s="70"/>
      <c r="JI77" s="70"/>
      <c r="JJ77" s="70"/>
      <c r="JK77" s="70"/>
      <c r="JL77" s="70"/>
      <c r="JM77" s="70"/>
      <c r="JN77" s="70"/>
      <c r="JO77" s="70"/>
      <c r="JP77" s="70"/>
      <c r="JQ77" s="70"/>
      <c r="JR77" s="70"/>
      <c r="JS77" s="70"/>
      <c r="JT77" s="70"/>
      <c r="JU77" s="70"/>
      <c r="JV77" s="70"/>
      <c r="JW77" s="70"/>
      <c r="JX77" s="70"/>
      <c r="JY77" s="70"/>
      <c r="JZ77" s="99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/>
      <c r="LF77" s="17"/>
      <c r="LG77" s="17"/>
      <c r="LH77" s="17"/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7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</row>
    <row r="78" spans="1:669" ht="15.75" thickBot="1" x14ac:dyDescent="0.3">
      <c r="A78" s="141">
        <f>B74</f>
        <v>0</v>
      </c>
      <c r="B78" s="233"/>
      <c r="C78" s="158" t="str">
        <f t="shared" si="348"/>
        <v>MELITTA</v>
      </c>
      <c r="D78" s="230"/>
      <c r="E78" s="177" t="s">
        <v>46</v>
      </c>
      <c r="F78" s="183"/>
      <c r="G78" s="178" t="s">
        <v>43</v>
      </c>
      <c r="H78" s="179">
        <v>1.645</v>
      </c>
      <c r="I78" s="246" t="s">
        <v>19</v>
      </c>
      <c r="J78" s="101" t="str">
        <f t="shared" si="349"/>
        <v>CORTE</v>
      </c>
      <c r="K78" s="282"/>
      <c r="L78" s="102"/>
      <c r="M78" s="103"/>
      <c r="N78" s="103"/>
      <c r="O78" s="103"/>
      <c r="P78" s="103"/>
      <c r="Q78" s="103"/>
      <c r="R78" s="103"/>
      <c r="S78" s="103"/>
      <c r="T78" s="103"/>
      <c r="U78" s="103"/>
      <c r="V78" s="104">
        <f t="shared" ref="V78:CG78" ca="1" si="355">IF(V3&gt;$J$5,"",U78+V75-V77)</f>
        <v>0</v>
      </c>
      <c r="W78" s="104">
        <f t="shared" ca="1" si="355"/>
        <v>0</v>
      </c>
      <c r="X78" s="104">
        <f t="shared" ca="1" si="355"/>
        <v>0</v>
      </c>
      <c r="Y78" s="104">
        <f t="shared" ca="1" si="355"/>
        <v>0</v>
      </c>
      <c r="Z78" s="104">
        <f t="shared" ca="1" si="355"/>
        <v>0</v>
      </c>
      <c r="AA78" s="104">
        <f t="shared" ca="1" si="355"/>
        <v>0</v>
      </c>
      <c r="AB78" s="104">
        <f t="shared" ca="1" si="355"/>
        <v>0</v>
      </c>
      <c r="AC78" s="104">
        <f t="shared" ca="1" si="355"/>
        <v>0</v>
      </c>
      <c r="AD78" s="104">
        <f t="shared" ca="1" si="355"/>
        <v>0</v>
      </c>
      <c r="AE78" s="104">
        <f t="shared" ca="1" si="355"/>
        <v>0</v>
      </c>
      <c r="AF78" s="104">
        <f t="shared" ca="1" si="355"/>
        <v>0</v>
      </c>
      <c r="AG78" s="104">
        <f t="shared" ca="1" si="355"/>
        <v>0</v>
      </c>
      <c r="AH78" s="104">
        <f t="shared" ca="1" si="355"/>
        <v>0</v>
      </c>
      <c r="AI78" s="104">
        <f t="shared" ca="1" si="355"/>
        <v>0</v>
      </c>
      <c r="AJ78" s="104">
        <f t="shared" ca="1" si="355"/>
        <v>0</v>
      </c>
      <c r="AK78" s="104">
        <f t="shared" ca="1" si="355"/>
        <v>0</v>
      </c>
      <c r="AL78" s="104">
        <f t="shared" ca="1" si="355"/>
        <v>0</v>
      </c>
      <c r="AM78" s="104">
        <f t="shared" ca="1" si="355"/>
        <v>0</v>
      </c>
      <c r="AN78" s="104">
        <f t="shared" ca="1" si="355"/>
        <v>0</v>
      </c>
      <c r="AO78" s="104">
        <f t="shared" ca="1" si="355"/>
        <v>0</v>
      </c>
      <c r="AP78" s="104">
        <f t="shared" ca="1" si="355"/>
        <v>0</v>
      </c>
      <c r="AQ78" s="104">
        <f t="shared" ca="1" si="355"/>
        <v>0</v>
      </c>
      <c r="AR78" s="104">
        <f t="shared" ca="1" si="355"/>
        <v>0</v>
      </c>
      <c r="AS78" s="104">
        <f t="shared" ca="1" si="355"/>
        <v>0</v>
      </c>
      <c r="AT78" s="104">
        <f t="shared" ca="1" si="355"/>
        <v>0</v>
      </c>
      <c r="AU78" s="104">
        <f t="shared" ca="1" si="355"/>
        <v>0</v>
      </c>
      <c r="AV78" s="104">
        <f t="shared" ca="1" si="355"/>
        <v>0</v>
      </c>
      <c r="AW78" s="104">
        <f t="shared" ca="1" si="355"/>
        <v>0</v>
      </c>
      <c r="AX78" s="104">
        <f t="shared" ca="1" si="355"/>
        <v>0</v>
      </c>
      <c r="AY78" s="104">
        <f t="shared" ca="1" si="355"/>
        <v>0</v>
      </c>
      <c r="AZ78" s="104">
        <f t="shared" ca="1" si="355"/>
        <v>0</v>
      </c>
      <c r="BA78" s="104">
        <f t="shared" ca="1" si="355"/>
        <v>0</v>
      </c>
      <c r="BB78" s="104">
        <f t="shared" ca="1" si="355"/>
        <v>0</v>
      </c>
      <c r="BC78" s="104">
        <f t="shared" ca="1" si="355"/>
        <v>0</v>
      </c>
      <c r="BD78" s="104">
        <f t="shared" ca="1" si="355"/>
        <v>0</v>
      </c>
      <c r="BE78" s="104">
        <f t="shared" ca="1" si="355"/>
        <v>0</v>
      </c>
      <c r="BF78" s="104">
        <f t="shared" ca="1" si="355"/>
        <v>0</v>
      </c>
      <c r="BG78" s="104">
        <f t="shared" ca="1" si="355"/>
        <v>0</v>
      </c>
      <c r="BH78" s="104">
        <f t="shared" ca="1" si="355"/>
        <v>0</v>
      </c>
      <c r="BI78" s="104">
        <f t="shared" ca="1" si="355"/>
        <v>0</v>
      </c>
      <c r="BJ78" s="104">
        <f t="shared" ca="1" si="355"/>
        <v>0</v>
      </c>
      <c r="BK78" s="104">
        <f t="shared" ca="1" si="355"/>
        <v>0</v>
      </c>
      <c r="BL78" s="104">
        <f t="shared" ca="1" si="355"/>
        <v>0</v>
      </c>
      <c r="BM78" s="104">
        <f t="shared" ca="1" si="355"/>
        <v>0</v>
      </c>
      <c r="BN78" s="104">
        <f t="shared" ca="1" si="355"/>
        <v>0</v>
      </c>
      <c r="BO78" s="104">
        <f t="shared" ca="1" si="355"/>
        <v>0</v>
      </c>
      <c r="BP78" s="104">
        <f t="shared" ca="1" si="355"/>
        <v>0</v>
      </c>
      <c r="BQ78" s="104">
        <f t="shared" ca="1" si="355"/>
        <v>0</v>
      </c>
      <c r="BR78" s="104">
        <f t="shared" ca="1" si="355"/>
        <v>0</v>
      </c>
      <c r="BS78" s="104">
        <f t="shared" ca="1" si="355"/>
        <v>0</v>
      </c>
      <c r="BT78" s="104">
        <f t="shared" ca="1" si="355"/>
        <v>0</v>
      </c>
      <c r="BU78" s="104">
        <f t="shared" ca="1" si="355"/>
        <v>0</v>
      </c>
      <c r="BV78" s="104">
        <f t="shared" ca="1" si="355"/>
        <v>0</v>
      </c>
      <c r="BW78" s="104">
        <f t="shared" ca="1" si="355"/>
        <v>0</v>
      </c>
      <c r="BX78" s="104">
        <f t="shared" ca="1" si="355"/>
        <v>0</v>
      </c>
      <c r="BY78" s="104">
        <f t="shared" ca="1" si="355"/>
        <v>0</v>
      </c>
      <c r="BZ78" s="104">
        <f t="shared" ca="1" si="355"/>
        <v>0</v>
      </c>
      <c r="CA78" s="104">
        <f t="shared" ca="1" si="355"/>
        <v>0</v>
      </c>
      <c r="CB78" s="104">
        <f t="shared" ca="1" si="355"/>
        <v>0</v>
      </c>
      <c r="CC78" s="104">
        <f t="shared" ca="1" si="355"/>
        <v>0</v>
      </c>
      <c r="CD78" s="104">
        <f t="shared" ca="1" si="355"/>
        <v>0</v>
      </c>
      <c r="CE78" s="104">
        <f t="shared" ca="1" si="355"/>
        <v>0</v>
      </c>
      <c r="CF78" s="104">
        <f t="shared" ca="1" si="355"/>
        <v>0</v>
      </c>
      <c r="CG78" s="104">
        <f t="shared" ca="1" si="355"/>
        <v>0</v>
      </c>
      <c r="CH78" s="104">
        <f t="shared" ref="CH78:ES78" ca="1" si="356">IF(CH3&gt;$J$5,"",CG78+CH75-CH77)</f>
        <v>0</v>
      </c>
      <c r="CI78" s="104">
        <f t="shared" ca="1" si="356"/>
        <v>0</v>
      </c>
      <c r="CJ78" s="104">
        <f t="shared" ca="1" si="356"/>
        <v>0</v>
      </c>
      <c r="CK78" s="104">
        <f t="shared" ca="1" si="356"/>
        <v>0</v>
      </c>
      <c r="CL78" s="104">
        <f t="shared" ca="1" si="356"/>
        <v>0</v>
      </c>
      <c r="CM78" s="104">
        <f t="shared" ca="1" si="356"/>
        <v>0</v>
      </c>
      <c r="CN78" s="104">
        <f t="shared" ca="1" si="356"/>
        <v>0</v>
      </c>
      <c r="CO78" s="104">
        <f t="shared" ca="1" si="356"/>
        <v>0</v>
      </c>
      <c r="CP78" s="104">
        <f t="shared" ca="1" si="356"/>
        <v>0</v>
      </c>
      <c r="CQ78" s="104">
        <f t="shared" ca="1" si="356"/>
        <v>0</v>
      </c>
      <c r="CR78" s="104">
        <f t="shared" ca="1" si="356"/>
        <v>0</v>
      </c>
      <c r="CS78" s="104">
        <f t="shared" ca="1" si="356"/>
        <v>0</v>
      </c>
      <c r="CT78" s="104">
        <f t="shared" ca="1" si="356"/>
        <v>0</v>
      </c>
      <c r="CU78" s="104">
        <f t="shared" ca="1" si="356"/>
        <v>0</v>
      </c>
      <c r="CV78" s="104">
        <f t="shared" ca="1" si="356"/>
        <v>0</v>
      </c>
      <c r="CW78" s="104">
        <f t="shared" ca="1" si="356"/>
        <v>0</v>
      </c>
      <c r="CX78" s="104">
        <f t="shared" ca="1" si="356"/>
        <v>0</v>
      </c>
      <c r="CY78" s="104">
        <f t="shared" ca="1" si="356"/>
        <v>0</v>
      </c>
      <c r="CZ78" s="104">
        <f t="shared" ca="1" si="356"/>
        <v>0</v>
      </c>
      <c r="DA78" s="104">
        <f t="shared" ca="1" si="356"/>
        <v>0</v>
      </c>
      <c r="DB78" s="104">
        <f t="shared" ca="1" si="356"/>
        <v>0</v>
      </c>
      <c r="DC78" s="104">
        <f t="shared" ca="1" si="356"/>
        <v>0</v>
      </c>
      <c r="DD78" s="104">
        <f t="shared" ca="1" si="356"/>
        <v>0</v>
      </c>
      <c r="DE78" s="104">
        <f t="shared" ca="1" si="356"/>
        <v>0</v>
      </c>
      <c r="DF78" s="104">
        <f t="shared" ca="1" si="356"/>
        <v>0</v>
      </c>
      <c r="DG78" s="104">
        <f t="shared" ca="1" si="356"/>
        <v>0</v>
      </c>
      <c r="DH78" s="104">
        <f t="shared" ca="1" si="356"/>
        <v>0</v>
      </c>
      <c r="DI78" s="104">
        <f t="shared" ca="1" si="356"/>
        <v>0</v>
      </c>
      <c r="DJ78" s="104">
        <f t="shared" ca="1" si="356"/>
        <v>0</v>
      </c>
      <c r="DK78" s="104">
        <f t="shared" ca="1" si="356"/>
        <v>0</v>
      </c>
      <c r="DL78" s="104">
        <f t="shared" ca="1" si="356"/>
        <v>0</v>
      </c>
      <c r="DM78" s="104">
        <f t="shared" ca="1" si="356"/>
        <v>0</v>
      </c>
      <c r="DN78" s="104">
        <f t="shared" ca="1" si="356"/>
        <v>0</v>
      </c>
      <c r="DO78" s="104">
        <f t="shared" ca="1" si="356"/>
        <v>0</v>
      </c>
      <c r="DP78" s="104">
        <f t="shared" ca="1" si="356"/>
        <v>0</v>
      </c>
      <c r="DQ78" s="104">
        <f t="shared" ca="1" si="356"/>
        <v>0</v>
      </c>
      <c r="DR78" s="104">
        <f t="shared" ca="1" si="356"/>
        <v>0</v>
      </c>
      <c r="DS78" s="104">
        <f t="shared" ca="1" si="356"/>
        <v>0</v>
      </c>
      <c r="DT78" s="104">
        <f t="shared" ca="1" si="356"/>
        <v>0</v>
      </c>
      <c r="DU78" s="104">
        <f t="shared" ca="1" si="356"/>
        <v>0</v>
      </c>
      <c r="DV78" s="104">
        <f t="shared" ca="1" si="356"/>
        <v>0</v>
      </c>
      <c r="DW78" s="104">
        <f t="shared" ca="1" si="356"/>
        <v>0</v>
      </c>
      <c r="DX78" s="104">
        <f t="shared" ca="1" si="356"/>
        <v>0</v>
      </c>
      <c r="DY78" s="104">
        <f t="shared" ca="1" si="356"/>
        <v>0</v>
      </c>
      <c r="DZ78" s="104">
        <f t="shared" ca="1" si="356"/>
        <v>0</v>
      </c>
      <c r="EA78" s="104">
        <f t="shared" ca="1" si="356"/>
        <v>0</v>
      </c>
      <c r="EB78" s="104">
        <f t="shared" ca="1" si="356"/>
        <v>0</v>
      </c>
      <c r="EC78" s="104">
        <f t="shared" ca="1" si="356"/>
        <v>0</v>
      </c>
      <c r="ED78" s="104">
        <f t="shared" ca="1" si="356"/>
        <v>0</v>
      </c>
      <c r="EE78" s="104">
        <f t="shared" ca="1" si="356"/>
        <v>0</v>
      </c>
      <c r="EF78" s="104">
        <f t="shared" ca="1" si="356"/>
        <v>0</v>
      </c>
      <c r="EG78" s="104">
        <f t="shared" ca="1" si="356"/>
        <v>0</v>
      </c>
      <c r="EH78" s="104">
        <f t="shared" ca="1" si="356"/>
        <v>0</v>
      </c>
      <c r="EI78" s="104">
        <f t="shared" ca="1" si="356"/>
        <v>0</v>
      </c>
      <c r="EJ78" s="104">
        <f t="shared" ca="1" si="356"/>
        <v>0</v>
      </c>
      <c r="EK78" s="104">
        <f t="shared" ca="1" si="356"/>
        <v>0</v>
      </c>
      <c r="EL78" s="104">
        <f t="shared" ca="1" si="356"/>
        <v>0</v>
      </c>
      <c r="EM78" s="104">
        <f t="shared" ca="1" si="356"/>
        <v>0</v>
      </c>
      <c r="EN78" s="104">
        <f t="shared" ca="1" si="356"/>
        <v>0</v>
      </c>
      <c r="EO78" s="104">
        <f t="shared" ca="1" si="356"/>
        <v>0</v>
      </c>
      <c r="EP78" s="104">
        <f t="shared" ca="1" si="356"/>
        <v>0</v>
      </c>
      <c r="EQ78" s="104">
        <f t="shared" ca="1" si="356"/>
        <v>0</v>
      </c>
      <c r="ER78" s="104">
        <f t="shared" ca="1" si="356"/>
        <v>0</v>
      </c>
      <c r="ES78" s="104">
        <f t="shared" ca="1" si="356"/>
        <v>0</v>
      </c>
      <c r="ET78" s="104">
        <f t="shared" ref="ET78:HE78" ca="1" si="357">IF(ET3&gt;$J$5,"",ES78+ET75-ET77)</f>
        <v>0</v>
      </c>
      <c r="EU78" s="104">
        <f t="shared" ca="1" si="357"/>
        <v>0</v>
      </c>
      <c r="EV78" s="104">
        <f t="shared" ca="1" si="357"/>
        <v>0</v>
      </c>
      <c r="EW78" s="104">
        <f t="shared" ca="1" si="357"/>
        <v>0</v>
      </c>
      <c r="EX78" s="104">
        <f t="shared" ca="1" si="357"/>
        <v>0</v>
      </c>
      <c r="EY78" s="104">
        <f t="shared" ca="1" si="357"/>
        <v>0</v>
      </c>
      <c r="EZ78" s="104">
        <f t="shared" ca="1" si="357"/>
        <v>0</v>
      </c>
      <c r="FA78" s="104">
        <f t="shared" ca="1" si="357"/>
        <v>0</v>
      </c>
      <c r="FB78" s="104">
        <f t="shared" ca="1" si="357"/>
        <v>0</v>
      </c>
      <c r="FC78" s="104">
        <f t="shared" ca="1" si="357"/>
        <v>0</v>
      </c>
      <c r="FD78" s="104">
        <f t="shared" ca="1" si="357"/>
        <v>0</v>
      </c>
      <c r="FE78" s="104">
        <f t="shared" ca="1" si="357"/>
        <v>0</v>
      </c>
      <c r="FF78" s="104">
        <f t="shared" ca="1" si="357"/>
        <v>0</v>
      </c>
      <c r="FG78" s="104">
        <f t="shared" ca="1" si="357"/>
        <v>0</v>
      </c>
      <c r="FH78" s="104">
        <f t="shared" ca="1" si="357"/>
        <v>0</v>
      </c>
      <c r="FI78" s="104">
        <f t="shared" ca="1" si="357"/>
        <v>0</v>
      </c>
      <c r="FJ78" s="104">
        <f t="shared" ca="1" si="357"/>
        <v>0</v>
      </c>
      <c r="FK78" s="104">
        <f t="shared" ca="1" si="357"/>
        <v>0</v>
      </c>
      <c r="FL78" s="104">
        <f t="shared" ca="1" si="357"/>
        <v>0</v>
      </c>
      <c r="FM78" s="104">
        <f t="shared" ca="1" si="357"/>
        <v>0</v>
      </c>
      <c r="FN78" s="104">
        <f t="shared" ca="1" si="357"/>
        <v>0</v>
      </c>
      <c r="FO78" s="104">
        <f t="shared" ca="1" si="357"/>
        <v>0</v>
      </c>
      <c r="FP78" s="104">
        <f t="shared" ca="1" si="357"/>
        <v>0</v>
      </c>
      <c r="FQ78" s="104">
        <f t="shared" ca="1" si="357"/>
        <v>0</v>
      </c>
      <c r="FR78" s="104">
        <f t="shared" ca="1" si="357"/>
        <v>0</v>
      </c>
      <c r="FS78" s="104">
        <f t="shared" ca="1" si="357"/>
        <v>0</v>
      </c>
      <c r="FT78" s="104">
        <f t="shared" ca="1" si="357"/>
        <v>0</v>
      </c>
      <c r="FU78" s="104">
        <f t="shared" ca="1" si="357"/>
        <v>0</v>
      </c>
      <c r="FV78" s="104">
        <f t="shared" ca="1" si="357"/>
        <v>0</v>
      </c>
      <c r="FW78" s="104">
        <f t="shared" ca="1" si="357"/>
        <v>0</v>
      </c>
      <c r="FX78" s="104">
        <f t="shared" ca="1" si="357"/>
        <v>0</v>
      </c>
      <c r="FY78" s="104">
        <f t="shared" ca="1" si="357"/>
        <v>0</v>
      </c>
      <c r="FZ78" s="104">
        <f t="shared" ca="1" si="357"/>
        <v>0</v>
      </c>
      <c r="GA78" s="104">
        <f t="shared" ca="1" si="357"/>
        <v>0</v>
      </c>
      <c r="GB78" s="104">
        <f t="shared" ca="1" si="357"/>
        <v>0</v>
      </c>
      <c r="GC78" s="104">
        <f t="shared" ca="1" si="357"/>
        <v>0</v>
      </c>
      <c r="GD78" s="104">
        <f t="shared" ca="1" si="357"/>
        <v>0</v>
      </c>
      <c r="GE78" s="104">
        <f t="shared" ca="1" si="357"/>
        <v>0</v>
      </c>
      <c r="GF78" s="104">
        <f t="shared" ca="1" si="357"/>
        <v>0</v>
      </c>
      <c r="GG78" s="104">
        <f t="shared" ca="1" si="357"/>
        <v>0</v>
      </c>
      <c r="GH78" s="104">
        <f t="shared" ca="1" si="357"/>
        <v>0</v>
      </c>
      <c r="GI78" s="104">
        <f t="shared" ca="1" si="357"/>
        <v>0</v>
      </c>
      <c r="GJ78" s="104">
        <f t="shared" ca="1" si="357"/>
        <v>0</v>
      </c>
      <c r="GK78" s="104">
        <f t="shared" ca="1" si="357"/>
        <v>0</v>
      </c>
      <c r="GL78" s="104">
        <f t="shared" ca="1" si="357"/>
        <v>0</v>
      </c>
      <c r="GM78" s="104">
        <f t="shared" ca="1" si="357"/>
        <v>0</v>
      </c>
      <c r="GN78" s="104">
        <f t="shared" ca="1" si="357"/>
        <v>0</v>
      </c>
      <c r="GO78" s="104">
        <f t="shared" ca="1" si="357"/>
        <v>0</v>
      </c>
      <c r="GP78" s="104">
        <f t="shared" ca="1" si="357"/>
        <v>0</v>
      </c>
      <c r="GQ78" s="104">
        <f t="shared" ca="1" si="357"/>
        <v>0</v>
      </c>
      <c r="GR78" s="104">
        <f t="shared" ca="1" si="357"/>
        <v>0</v>
      </c>
      <c r="GS78" s="104">
        <f t="shared" ca="1" si="357"/>
        <v>0</v>
      </c>
      <c r="GT78" s="104">
        <f t="shared" ca="1" si="357"/>
        <v>0</v>
      </c>
      <c r="GU78" s="104">
        <f t="shared" ca="1" si="357"/>
        <v>0</v>
      </c>
      <c r="GV78" s="104">
        <f t="shared" ca="1" si="357"/>
        <v>0</v>
      </c>
      <c r="GW78" s="104">
        <f t="shared" ca="1" si="357"/>
        <v>0</v>
      </c>
      <c r="GX78" s="104">
        <f t="shared" ca="1" si="357"/>
        <v>0</v>
      </c>
      <c r="GY78" s="104">
        <f t="shared" ca="1" si="357"/>
        <v>0</v>
      </c>
      <c r="GZ78" s="104">
        <f t="shared" ca="1" si="357"/>
        <v>0</v>
      </c>
      <c r="HA78" s="104">
        <f t="shared" ca="1" si="357"/>
        <v>0</v>
      </c>
      <c r="HB78" s="104">
        <f t="shared" ca="1" si="357"/>
        <v>0</v>
      </c>
      <c r="HC78" s="104">
        <f t="shared" ca="1" si="357"/>
        <v>0</v>
      </c>
      <c r="HD78" s="104" t="str">
        <f t="shared" ca="1" si="357"/>
        <v/>
      </c>
      <c r="HE78" s="104" t="str">
        <f t="shared" ca="1" si="357"/>
        <v/>
      </c>
      <c r="HF78" s="104" t="str">
        <f t="shared" ref="HF78:JQ78" ca="1" si="358">IF(HF3&gt;$J$5,"",HE78+HF75-HF77)</f>
        <v/>
      </c>
      <c r="HG78" s="104" t="str">
        <f t="shared" ca="1" si="358"/>
        <v/>
      </c>
      <c r="HH78" s="104" t="str">
        <f t="shared" ca="1" si="358"/>
        <v/>
      </c>
      <c r="HI78" s="104" t="str">
        <f t="shared" ca="1" si="358"/>
        <v/>
      </c>
      <c r="HJ78" s="104" t="str">
        <f t="shared" ca="1" si="358"/>
        <v/>
      </c>
      <c r="HK78" s="104" t="str">
        <f t="shared" ca="1" si="358"/>
        <v/>
      </c>
      <c r="HL78" s="104" t="str">
        <f t="shared" ca="1" si="358"/>
        <v/>
      </c>
      <c r="HM78" s="104" t="str">
        <f t="shared" ca="1" si="358"/>
        <v/>
      </c>
      <c r="HN78" s="104" t="str">
        <f t="shared" ca="1" si="358"/>
        <v/>
      </c>
      <c r="HO78" s="104" t="str">
        <f t="shared" ca="1" si="358"/>
        <v/>
      </c>
      <c r="HP78" s="104" t="str">
        <f t="shared" ca="1" si="358"/>
        <v/>
      </c>
      <c r="HQ78" s="104" t="str">
        <f t="shared" ca="1" si="358"/>
        <v/>
      </c>
      <c r="HR78" s="104" t="str">
        <f t="shared" ca="1" si="358"/>
        <v/>
      </c>
      <c r="HS78" s="104" t="str">
        <f t="shared" ca="1" si="358"/>
        <v/>
      </c>
      <c r="HT78" s="104" t="str">
        <f t="shared" ca="1" si="358"/>
        <v/>
      </c>
      <c r="HU78" s="104" t="str">
        <f t="shared" ca="1" si="358"/>
        <v/>
      </c>
      <c r="HV78" s="104" t="str">
        <f t="shared" ca="1" si="358"/>
        <v/>
      </c>
      <c r="HW78" s="104" t="str">
        <f t="shared" ca="1" si="358"/>
        <v/>
      </c>
      <c r="HX78" s="104" t="str">
        <f t="shared" ca="1" si="358"/>
        <v/>
      </c>
      <c r="HY78" s="104" t="str">
        <f t="shared" ca="1" si="358"/>
        <v/>
      </c>
      <c r="HZ78" s="104" t="str">
        <f t="shared" ca="1" si="358"/>
        <v/>
      </c>
      <c r="IA78" s="104" t="str">
        <f t="shared" ca="1" si="358"/>
        <v/>
      </c>
      <c r="IB78" s="104" t="str">
        <f t="shared" ca="1" si="358"/>
        <v/>
      </c>
      <c r="IC78" s="104" t="str">
        <f t="shared" ca="1" si="358"/>
        <v/>
      </c>
      <c r="ID78" s="104" t="str">
        <f t="shared" ca="1" si="358"/>
        <v/>
      </c>
      <c r="IE78" s="104" t="str">
        <f t="shared" ca="1" si="358"/>
        <v/>
      </c>
      <c r="IF78" s="104" t="str">
        <f t="shared" ca="1" si="358"/>
        <v/>
      </c>
      <c r="IG78" s="104" t="str">
        <f t="shared" ca="1" si="358"/>
        <v/>
      </c>
      <c r="IH78" s="104" t="str">
        <f t="shared" ca="1" si="358"/>
        <v/>
      </c>
      <c r="II78" s="104" t="str">
        <f t="shared" ca="1" si="358"/>
        <v/>
      </c>
      <c r="IJ78" s="104" t="str">
        <f t="shared" ca="1" si="358"/>
        <v/>
      </c>
      <c r="IK78" s="104" t="str">
        <f t="shared" ca="1" si="358"/>
        <v/>
      </c>
      <c r="IL78" s="104" t="str">
        <f t="shared" ca="1" si="358"/>
        <v/>
      </c>
      <c r="IM78" s="104" t="str">
        <f t="shared" ca="1" si="358"/>
        <v/>
      </c>
      <c r="IN78" s="104" t="str">
        <f t="shared" ca="1" si="358"/>
        <v/>
      </c>
      <c r="IO78" s="104" t="str">
        <f t="shared" ca="1" si="358"/>
        <v/>
      </c>
      <c r="IP78" s="104" t="str">
        <f t="shared" ca="1" si="358"/>
        <v/>
      </c>
      <c r="IQ78" s="104" t="str">
        <f t="shared" ca="1" si="358"/>
        <v/>
      </c>
      <c r="IR78" s="104" t="str">
        <f t="shared" ca="1" si="358"/>
        <v/>
      </c>
      <c r="IS78" s="104" t="str">
        <f t="shared" ca="1" si="358"/>
        <v/>
      </c>
      <c r="IT78" s="104" t="str">
        <f t="shared" ca="1" si="358"/>
        <v/>
      </c>
      <c r="IU78" s="104" t="str">
        <f t="shared" ca="1" si="358"/>
        <v/>
      </c>
      <c r="IV78" s="104" t="str">
        <f t="shared" ca="1" si="358"/>
        <v/>
      </c>
      <c r="IW78" s="104" t="str">
        <f t="shared" ca="1" si="358"/>
        <v/>
      </c>
      <c r="IX78" s="104" t="str">
        <f t="shared" ca="1" si="358"/>
        <v/>
      </c>
      <c r="IY78" s="104" t="str">
        <f t="shared" ca="1" si="358"/>
        <v/>
      </c>
      <c r="IZ78" s="104" t="str">
        <f t="shared" ca="1" si="358"/>
        <v/>
      </c>
      <c r="JA78" s="104" t="str">
        <f t="shared" ca="1" si="358"/>
        <v/>
      </c>
      <c r="JB78" s="104" t="str">
        <f t="shared" ca="1" si="358"/>
        <v/>
      </c>
      <c r="JC78" s="104" t="str">
        <f t="shared" ca="1" si="358"/>
        <v/>
      </c>
      <c r="JD78" s="104" t="str">
        <f t="shared" ca="1" si="358"/>
        <v/>
      </c>
      <c r="JE78" s="104" t="str">
        <f t="shared" ca="1" si="358"/>
        <v/>
      </c>
      <c r="JF78" s="104" t="str">
        <f t="shared" ca="1" si="358"/>
        <v/>
      </c>
      <c r="JG78" s="104" t="str">
        <f t="shared" ca="1" si="358"/>
        <v/>
      </c>
      <c r="JH78" s="104" t="str">
        <f t="shared" ca="1" si="358"/>
        <v/>
      </c>
      <c r="JI78" s="104" t="str">
        <f t="shared" ca="1" si="358"/>
        <v/>
      </c>
      <c r="JJ78" s="104" t="str">
        <f t="shared" ca="1" si="358"/>
        <v/>
      </c>
      <c r="JK78" s="104" t="str">
        <f t="shared" ca="1" si="358"/>
        <v/>
      </c>
      <c r="JL78" s="104" t="str">
        <f t="shared" ca="1" si="358"/>
        <v/>
      </c>
      <c r="JM78" s="104" t="str">
        <f t="shared" ca="1" si="358"/>
        <v/>
      </c>
      <c r="JN78" s="104" t="str">
        <f t="shared" ca="1" si="358"/>
        <v/>
      </c>
      <c r="JO78" s="104" t="str">
        <f t="shared" ca="1" si="358"/>
        <v/>
      </c>
      <c r="JP78" s="104" t="str">
        <f t="shared" ca="1" si="358"/>
        <v/>
      </c>
      <c r="JQ78" s="104" t="str">
        <f t="shared" ca="1" si="358"/>
        <v/>
      </c>
      <c r="JR78" s="104" t="str">
        <f t="shared" ref="JR78:JZ78" ca="1" si="359">IF(JR3&gt;$J$5,"",JQ78+JR75-JR77)</f>
        <v/>
      </c>
      <c r="JS78" s="104" t="str">
        <f t="shared" ca="1" si="359"/>
        <v/>
      </c>
      <c r="JT78" s="104" t="str">
        <f t="shared" ca="1" si="359"/>
        <v/>
      </c>
      <c r="JU78" s="104" t="str">
        <f t="shared" ca="1" si="359"/>
        <v/>
      </c>
      <c r="JV78" s="104" t="str">
        <f t="shared" ca="1" si="359"/>
        <v/>
      </c>
      <c r="JW78" s="104" t="str">
        <f t="shared" ca="1" si="359"/>
        <v/>
      </c>
      <c r="JX78" s="104" t="str">
        <f t="shared" ca="1" si="359"/>
        <v/>
      </c>
      <c r="JY78" s="104" t="str">
        <f t="shared" ca="1" si="359"/>
        <v/>
      </c>
      <c r="JZ78" s="105" t="str">
        <f t="shared" ca="1" si="359"/>
        <v/>
      </c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/>
      <c r="LF78" s="17"/>
      <c r="LG78" s="17"/>
      <c r="LH78" s="17"/>
      <c r="LI78" s="17"/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7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</row>
    <row r="79" spans="1:669" ht="15.75" thickTop="1" x14ac:dyDescent="0.25">
      <c r="A79" s="142" t="str">
        <f>B79</f>
        <v>xx</v>
      </c>
      <c r="B79" s="231" t="s">
        <v>21</v>
      </c>
      <c r="C79" s="137" t="s">
        <v>22</v>
      </c>
      <c r="D79" s="228"/>
      <c r="E79" s="172" t="s">
        <v>42</v>
      </c>
      <c r="F79" s="180">
        <f ca="1">(F82+F80)*H80</f>
        <v>0</v>
      </c>
      <c r="G79" s="172" t="s">
        <v>37</v>
      </c>
      <c r="H79" s="169">
        <f ca="1">STDEVPA(V83:JZ83)</f>
        <v>0</v>
      </c>
      <c r="I79" s="245" t="s">
        <v>15</v>
      </c>
      <c r="J79" s="121" t="str">
        <f t="shared" si="349"/>
        <v>CORTE</v>
      </c>
      <c r="K79" s="280"/>
      <c r="L79" s="55"/>
      <c r="M79" s="56"/>
      <c r="N79" s="56"/>
      <c r="O79" s="56"/>
      <c r="P79" s="56"/>
      <c r="Q79" s="56"/>
      <c r="R79" s="56"/>
      <c r="S79" s="56"/>
      <c r="T79" s="56"/>
      <c r="U79" s="56"/>
      <c r="V79" s="82"/>
      <c r="W79" s="82"/>
      <c r="X79" s="82"/>
      <c r="Y79" s="122"/>
      <c r="Z79" s="82"/>
      <c r="AA79" s="82"/>
      <c r="AB79" s="122"/>
      <c r="AC79" s="82"/>
      <c r="AD79" s="82"/>
      <c r="AE79" s="122"/>
      <c r="AF79" s="82"/>
      <c r="AG79" s="82"/>
      <c r="AH79" s="122"/>
      <c r="AI79" s="82"/>
      <c r="AJ79" s="82"/>
      <c r="AK79" s="122"/>
      <c r="AL79" s="82"/>
      <c r="AM79" s="82"/>
      <c r="AN79" s="122"/>
      <c r="AO79" s="82"/>
      <c r="AP79" s="82"/>
      <c r="AQ79" s="122"/>
      <c r="AR79" s="82"/>
      <c r="AS79" s="82"/>
      <c r="AT79" s="122"/>
      <c r="AU79" s="82"/>
      <c r="AV79" s="82"/>
      <c r="AW79" s="122"/>
      <c r="AX79" s="82"/>
      <c r="AY79" s="82"/>
      <c r="AZ79" s="122"/>
      <c r="BA79" s="82"/>
      <c r="BB79" s="82"/>
      <c r="BC79" s="122"/>
      <c r="BD79" s="82"/>
      <c r="BE79" s="82"/>
      <c r="BF79" s="122"/>
      <c r="BG79" s="82"/>
      <c r="BH79" s="82"/>
      <c r="BI79" s="122"/>
      <c r="BJ79" s="82"/>
      <c r="BK79" s="82"/>
      <c r="BL79" s="122"/>
      <c r="BM79" s="82"/>
      <c r="BN79" s="82"/>
      <c r="BO79" s="122"/>
      <c r="BP79" s="82"/>
      <c r="BQ79" s="82"/>
      <c r="BR79" s="122"/>
      <c r="BS79" s="82"/>
      <c r="BT79" s="82"/>
      <c r="BU79" s="122"/>
      <c r="BV79" s="82"/>
      <c r="BW79" s="82"/>
      <c r="BX79" s="122"/>
      <c r="BY79" s="82"/>
      <c r="BZ79" s="82"/>
      <c r="CA79" s="122"/>
      <c r="CB79" s="82"/>
      <c r="CC79" s="82"/>
      <c r="CD79" s="122"/>
      <c r="CE79" s="82"/>
      <c r="CF79" s="82"/>
      <c r="CG79" s="122"/>
      <c r="CH79" s="82"/>
      <c r="CI79" s="82"/>
      <c r="CJ79" s="122"/>
      <c r="CK79" s="82"/>
      <c r="CL79" s="82"/>
      <c r="CM79" s="122"/>
      <c r="CN79" s="82"/>
      <c r="CO79" s="82"/>
      <c r="CP79" s="122"/>
      <c r="CQ79" s="82"/>
      <c r="CR79" s="82"/>
      <c r="CS79" s="122"/>
      <c r="CT79" s="82"/>
      <c r="CU79" s="82"/>
      <c r="CV79" s="122"/>
      <c r="CW79" s="82"/>
      <c r="CX79" s="82"/>
      <c r="CY79" s="122"/>
      <c r="CZ79" s="82"/>
      <c r="DA79" s="82"/>
      <c r="DB79" s="122"/>
      <c r="DC79" s="82"/>
      <c r="DD79" s="82"/>
      <c r="DE79" s="122"/>
      <c r="DF79" s="82"/>
      <c r="DG79" s="82"/>
      <c r="DH79" s="122"/>
      <c r="DI79" s="82"/>
      <c r="DJ79" s="82"/>
      <c r="DK79" s="122"/>
      <c r="DL79" s="82"/>
      <c r="DM79" s="82"/>
      <c r="DN79" s="122"/>
      <c r="DO79" s="82"/>
      <c r="DP79" s="82"/>
      <c r="DQ79" s="122"/>
      <c r="DR79" s="82"/>
      <c r="DS79" s="82"/>
      <c r="DT79" s="122"/>
      <c r="DU79" s="82"/>
      <c r="DV79" s="82"/>
      <c r="DW79" s="122"/>
      <c r="DX79" s="82"/>
      <c r="DY79" s="82"/>
      <c r="DZ79" s="122"/>
      <c r="EA79" s="82"/>
      <c r="EB79" s="82"/>
      <c r="EC79" s="122"/>
      <c r="ED79" s="82"/>
      <c r="EE79" s="82"/>
      <c r="EF79" s="122"/>
      <c r="EG79" s="82"/>
      <c r="EH79" s="82"/>
      <c r="EI79" s="122"/>
      <c r="EJ79" s="82"/>
      <c r="EK79" s="82"/>
      <c r="EL79" s="122"/>
      <c r="EM79" s="82"/>
      <c r="EN79" s="82"/>
      <c r="EO79" s="122"/>
      <c r="EP79" s="82"/>
      <c r="EQ79" s="82"/>
      <c r="ER79" s="122"/>
      <c r="ES79" s="82"/>
      <c r="ET79" s="82"/>
      <c r="EU79" s="122"/>
      <c r="EV79" s="82"/>
      <c r="EW79" s="82"/>
      <c r="EX79" s="122"/>
      <c r="EY79" s="82"/>
      <c r="EZ79" s="82"/>
      <c r="FA79" s="122"/>
      <c r="FB79" s="82"/>
      <c r="FC79" s="82"/>
      <c r="FD79" s="122"/>
      <c r="FE79" s="82"/>
      <c r="FF79" s="82"/>
      <c r="FG79" s="122"/>
      <c r="FH79" s="82"/>
      <c r="FI79" s="82"/>
      <c r="FJ79" s="122"/>
      <c r="FK79" s="82"/>
      <c r="FL79" s="82"/>
      <c r="FM79" s="122"/>
      <c r="FN79" s="82"/>
      <c r="FO79" s="82"/>
      <c r="FP79" s="122"/>
      <c r="FQ79" s="82"/>
      <c r="FR79" s="82"/>
      <c r="FS79" s="122"/>
      <c r="FT79" s="82"/>
      <c r="FU79" s="82"/>
      <c r="FV79" s="122"/>
      <c r="FW79" s="82"/>
      <c r="FX79" s="82"/>
      <c r="FY79" s="122"/>
      <c r="FZ79" s="82"/>
      <c r="GA79" s="82"/>
      <c r="GB79" s="122"/>
      <c r="GC79" s="82"/>
      <c r="GD79" s="82"/>
      <c r="GE79" s="122"/>
      <c r="GF79" s="82"/>
      <c r="GG79" s="82"/>
      <c r="GH79" s="122"/>
      <c r="GI79" s="82"/>
      <c r="GJ79" s="82"/>
      <c r="GK79" s="82"/>
      <c r="GL79" s="82"/>
      <c r="GM79" s="82"/>
      <c r="GN79" s="82"/>
      <c r="GO79" s="82"/>
      <c r="GP79" s="82"/>
      <c r="GQ79" s="82"/>
      <c r="GR79" s="82"/>
      <c r="GS79" s="82"/>
      <c r="GT79" s="82"/>
      <c r="GU79" s="82"/>
      <c r="GV79" s="82"/>
      <c r="GW79" s="82"/>
      <c r="GX79" s="82"/>
      <c r="GY79" s="82"/>
      <c r="GZ79" s="82"/>
      <c r="HA79" s="82"/>
      <c r="HB79" s="82"/>
      <c r="HC79" s="82"/>
      <c r="HD79" s="82"/>
      <c r="HE79" s="82"/>
      <c r="HF79" s="82"/>
      <c r="HG79" s="82"/>
      <c r="HH79" s="82"/>
      <c r="HI79" s="82"/>
      <c r="HJ79" s="82"/>
      <c r="HK79" s="82"/>
      <c r="HL79" s="82"/>
      <c r="HM79" s="82"/>
      <c r="HN79" s="82"/>
      <c r="HO79" s="82"/>
      <c r="HP79" s="82"/>
      <c r="HQ79" s="82"/>
      <c r="HR79" s="82"/>
      <c r="HS79" s="82"/>
      <c r="HT79" s="82"/>
      <c r="HU79" s="82"/>
      <c r="HV79" s="82"/>
      <c r="HW79" s="82"/>
      <c r="HX79" s="82"/>
      <c r="HY79" s="82"/>
      <c r="HZ79" s="82"/>
      <c r="IA79" s="82"/>
      <c r="IB79" s="82"/>
      <c r="IC79" s="82"/>
      <c r="ID79" s="82"/>
      <c r="IE79" s="82"/>
      <c r="IF79" s="82"/>
      <c r="IG79" s="82"/>
      <c r="IH79" s="82"/>
      <c r="II79" s="82"/>
      <c r="IJ79" s="82"/>
      <c r="IK79" s="82"/>
      <c r="IL79" s="82"/>
      <c r="IM79" s="82"/>
      <c r="IN79" s="82"/>
      <c r="IO79" s="82"/>
      <c r="IP79" s="82"/>
      <c r="IQ79" s="82"/>
      <c r="IR79" s="82"/>
      <c r="IS79" s="82"/>
      <c r="IT79" s="82"/>
      <c r="IU79" s="82"/>
      <c r="IV79" s="82"/>
      <c r="IW79" s="82"/>
      <c r="IX79" s="82"/>
      <c r="IY79" s="82"/>
      <c r="IZ79" s="82"/>
      <c r="JA79" s="82"/>
      <c r="JB79" s="82"/>
      <c r="JC79" s="82"/>
      <c r="JD79" s="82"/>
      <c r="JE79" s="82"/>
      <c r="JF79" s="82"/>
      <c r="JG79" s="82"/>
      <c r="JH79" s="82"/>
      <c r="JI79" s="82"/>
      <c r="JJ79" s="82"/>
      <c r="JK79" s="82"/>
      <c r="JL79" s="82"/>
      <c r="JM79" s="82"/>
      <c r="JN79" s="82"/>
      <c r="JO79" s="82"/>
      <c r="JP79" s="82"/>
      <c r="JQ79" s="82"/>
      <c r="JR79" s="82"/>
      <c r="JS79" s="82"/>
      <c r="JT79" s="82"/>
      <c r="JU79" s="82"/>
      <c r="JV79" s="82"/>
      <c r="JW79" s="82"/>
      <c r="JX79" s="82"/>
      <c r="JY79" s="82"/>
      <c r="JZ79" s="123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</row>
    <row r="80" spans="1:669" x14ac:dyDescent="0.25">
      <c r="A80" s="138" t="str">
        <f>B79</f>
        <v>xx</v>
      </c>
      <c r="B80" s="232"/>
      <c r="C80" s="81" t="str">
        <f>$C$79</f>
        <v>ddd</v>
      </c>
      <c r="D80" s="229"/>
      <c r="E80" s="173" t="s">
        <v>44</v>
      </c>
      <c r="F80" s="181">
        <f ca="1">AVERAGE(V83:JZ83)</f>
        <v>0</v>
      </c>
      <c r="G80" s="174" t="s">
        <v>38</v>
      </c>
      <c r="H80" s="170">
        <v>3</v>
      </c>
      <c r="I80" s="242" t="s">
        <v>16</v>
      </c>
      <c r="J80" s="83" t="str">
        <f t="shared" si="349"/>
        <v>CORTE</v>
      </c>
      <c r="K80" s="281"/>
      <c r="L80" s="57"/>
      <c r="M80" s="58"/>
      <c r="N80" s="58"/>
      <c r="O80" s="58"/>
      <c r="P80" s="58"/>
      <c r="Q80" s="58"/>
      <c r="R80" s="58"/>
      <c r="S80" s="58"/>
      <c r="T80" s="58"/>
      <c r="U80" s="58"/>
      <c r="V80" s="70"/>
      <c r="W80" s="70"/>
      <c r="X80" s="70"/>
      <c r="Y80" s="84"/>
      <c r="Z80" s="70"/>
      <c r="AA80" s="70"/>
      <c r="AB80" s="84"/>
      <c r="AC80" s="70"/>
      <c r="AD80" s="70"/>
      <c r="AE80" s="84"/>
      <c r="AF80" s="70"/>
      <c r="AG80" s="70"/>
      <c r="AH80" s="84"/>
      <c r="AI80" s="70"/>
      <c r="AJ80" s="70"/>
      <c r="AK80" s="84"/>
      <c r="AL80" s="70"/>
      <c r="AM80" s="70"/>
      <c r="AN80" s="84"/>
      <c r="AO80" s="70"/>
      <c r="AP80" s="70"/>
      <c r="AQ80" s="84"/>
      <c r="AR80" s="70"/>
      <c r="AS80" s="70"/>
      <c r="AT80" s="84"/>
      <c r="AU80" s="70"/>
      <c r="AV80" s="70"/>
      <c r="AW80" s="84"/>
      <c r="AX80" s="70"/>
      <c r="AY80" s="70"/>
      <c r="AZ80" s="84"/>
      <c r="BA80" s="70"/>
      <c r="BB80" s="70"/>
      <c r="BC80" s="84"/>
      <c r="BD80" s="70"/>
      <c r="BE80" s="70"/>
      <c r="BF80" s="84"/>
      <c r="BG80" s="70"/>
      <c r="BH80" s="70"/>
      <c r="BI80" s="84"/>
      <c r="BJ80" s="70"/>
      <c r="BK80" s="70"/>
      <c r="BL80" s="84"/>
      <c r="BM80" s="70"/>
      <c r="BN80" s="70"/>
      <c r="BO80" s="84"/>
      <c r="BP80" s="70"/>
      <c r="BQ80" s="70"/>
      <c r="BR80" s="84"/>
      <c r="BS80" s="70"/>
      <c r="BT80" s="70"/>
      <c r="BU80" s="84"/>
      <c r="BV80" s="70"/>
      <c r="BW80" s="70"/>
      <c r="BX80" s="84"/>
      <c r="BY80" s="70"/>
      <c r="BZ80" s="70"/>
      <c r="CA80" s="84"/>
      <c r="CB80" s="70"/>
      <c r="CC80" s="70"/>
      <c r="CD80" s="84"/>
      <c r="CE80" s="70"/>
      <c r="CF80" s="70"/>
      <c r="CG80" s="84"/>
      <c r="CH80" s="70"/>
      <c r="CI80" s="70"/>
      <c r="CJ80" s="84"/>
      <c r="CK80" s="70"/>
      <c r="CL80" s="70"/>
      <c r="CM80" s="84"/>
      <c r="CN80" s="70"/>
      <c r="CO80" s="70"/>
      <c r="CP80" s="84"/>
      <c r="CQ80" s="70"/>
      <c r="CR80" s="70"/>
      <c r="CS80" s="84"/>
      <c r="CT80" s="70"/>
      <c r="CU80" s="70"/>
      <c r="CV80" s="84"/>
      <c r="CW80" s="70"/>
      <c r="CX80" s="70"/>
      <c r="CY80" s="84"/>
      <c r="CZ80" s="70"/>
      <c r="DA80" s="70"/>
      <c r="DB80" s="84"/>
      <c r="DC80" s="70"/>
      <c r="DD80" s="70"/>
      <c r="DE80" s="84"/>
      <c r="DF80" s="70"/>
      <c r="DG80" s="70"/>
      <c r="DH80" s="84"/>
      <c r="DI80" s="70"/>
      <c r="DJ80" s="70"/>
      <c r="DK80" s="84"/>
      <c r="DL80" s="70"/>
      <c r="DM80" s="70"/>
      <c r="DN80" s="84"/>
      <c r="DO80" s="70"/>
      <c r="DP80" s="70"/>
      <c r="DQ80" s="84"/>
      <c r="DR80" s="70"/>
      <c r="DS80" s="70"/>
      <c r="DT80" s="84"/>
      <c r="DU80" s="70"/>
      <c r="DV80" s="70"/>
      <c r="DW80" s="84"/>
      <c r="DX80" s="70"/>
      <c r="DY80" s="70"/>
      <c r="DZ80" s="84"/>
      <c r="EA80" s="70"/>
      <c r="EB80" s="70"/>
      <c r="EC80" s="84"/>
      <c r="ED80" s="70"/>
      <c r="EE80" s="70"/>
      <c r="EF80" s="84"/>
      <c r="EG80" s="70"/>
      <c r="EH80" s="70"/>
      <c r="EI80" s="84"/>
      <c r="EJ80" s="70"/>
      <c r="EK80" s="70"/>
      <c r="EL80" s="84"/>
      <c r="EM80" s="70"/>
      <c r="EN80" s="70"/>
      <c r="EO80" s="84"/>
      <c r="EP80" s="70"/>
      <c r="EQ80" s="70"/>
      <c r="ER80" s="84"/>
      <c r="ES80" s="70"/>
      <c r="ET80" s="70"/>
      <c r="EU80" s="84"/>
      <c r="EV80" s="70"/>
      <c r="EW80" s="70"/>
      <c r="EX80" s="84"/>
      <c r="EY80" s="70"/>
      <c r="EZ80" s="70"/>
      <c r="FA80" s="84"/>
      <c r="FB80" s="70"/>
      <c r="FC80" s="70"/>
      <c r="FD80" s="84"/>
      <c r="FE80" s="70"/>
      <c r="FF80" s="70"/>
      <c r="FG80" s="84"/>
      <c r="FH80" s="70"/>
      <c r="FI80" s="70"/>
      <c r="FJ80" s="84"/>
      <c r="FK80" s="70"/>
      <c r="FL80" s="70"/>
      <c r="FM80" s="84"/>
      <c r="FN80" s="70"/>
      <c r="FO80" s="70"/>
      <c r="FP80" s="84"/>
      <c r="FQ80" s="70"/>
      <c r="FR80" s="70"/>
      <c r="FS80" s="84"/>
      <c r="FT80" s="70"/>
      <c r="FU80" s="70"/>
      <c r="FV80" s="84"/>
      <c r="FW80" s="70"/>
      <c r="FX80" s="70"/>
      <c r="FY80" s="84"/>
      <c r="FZ80" s="70"/>
      <c r="GA80" s="70"/>
      <c r="GB80" s="84"/>
      <c r="GC80" s="70"/>
      <c r="GD80" s="70"/>
      <c r="GE80" s="84"/>
      <c r="GF80" s="70"/>
      <c r="GG80" s="70"/>
      <c r="GH80" s="84"/>
      <c r="GI80" s="70"/>
      <c r="GJ80" s="70"/>
      <c r="GK80" s="70"/>
      <c r="GL80" s="70"/>
      <c r="GM80" s="70"/>
      <c r="GN80" s="70"/>
      <c r="GO80" s="70"/>
      <c r="GP80" s="70"/>
      <c r="GQ80" s="70"/>
      <c r="GR80" s="70"/>
      <c r="GS80" s="70"/>
      <c r="GT80" s="70"/>
      <c r="GU80" s="70"/>
      <c r="GV80" s="70"/>
      <c r="GW80" s="70"/>
      <c r="GX80" s="70"/>
      <c r="GY80" s="70"/>
      <c r="GZ80" s="70"/>
      <c r="HA80" s="70"/>
      <c r="HB80" s="70"/>
      <c r="HC80" s="70"/>
      <c r="HD80" s="70"/>
      <c r="HE80" s="70"/>
      <c r="HF80" s="70"/>
      <c r="HG80" s="70"/>
      <c r="HH80" s="70"/>
      <c r="HI80" s="70"/>
      <c r="HJ80" s="70"/>
      <c r="HK80" s="70"/>
      <c r="HL80" s="70"/>
      <c r="HM80" s="70"/>
      <c r="HN80" s="70"/>
      <c r="HO80" s="70"/>
      <c r="HP80" s="70"/>
      <c r="HQ80" s="70"/>
      <c r="HR80" s="70"/>
      <c r="HS80" s="70"/>
      <c r="HT80" s="70"/>
      <c r="HU80" s="70"/>
      <c r="HV80" s="70"/>
      <c r="HW80" s="70"/>
      <c r="HX80" s="70"/>
      <c r="HY80" s="70"/>
      <c r="HZ80" s="70"/>
      <c r="IA80" s="70"/>
      <c r="IB80" s="70"/>
      <c r="IC80" s="70"/>
      <c r="ID80" s="70"/>
      <c r="IE80" s="70"/>
      <c r="IF80" s="70"/>
      <c r="IG80" s="70"/>
      <c r="IH80" s="70"/>
      <c r="II80" s="70"/>
      <c r="IJ80" s="70"/>
      <c r="IK80" s="70"/>
      <c r="IL80" s="70"/>
      <c r="IM80" s="70"/>
      <c r="IN80" s="70"/>
      <c r="IO80" s="70"/>
      <c r="IP80" s="70"/>
      <c r="IQ80" s="70"/>
      <c r="IR80" s="70"/>
      <c r="IS80" s="70"/>
      <c r="IT80" s="70"/>
      <c r="IU80" s="70"/>
      <c r="IV80" s="70"/>
      <c r="IW80" s="70"/>
      <c r="IX80" s="70"/>
      <c r="IY80" s="70"/>
      <c r="IZ80" s="70"/>
      <c r="JA80" s="70"/>
      <c r="JB80" s="70"/>
      <c r="JC80" s="70"/>
      <c r="JD80" s="70"/>
      <c r="JE80" s="70"/>
      <c r="JF80" s="70"/>
      <c r="JG80" s="70"/>
      <c r="JH80" s="70"/>
      <c r="JI80" s="70"/>
      <c r="JJ80" s="70"/>
      <c r="JK80" s="70"/>
      <c r="JL80" s="70"/>
      <c r="JM80" s="70"/>
      <c r="JN80" s="70"/>
      <c r="JO80" s="70"/>
      <c r="JP80" s="70"/>
      <c r="JQ80" s="70"/>
      <c r="JR80" s="70"/>
      <c r="JS80" s="70"/>
      <c r="JT80" s="70"/>
      <c r="JU80" s="70"/>
      <c r="JV80" s="70"/>
      <c r="JW80" s="70"/>
      <c r="JX80" s="70"/>
      <c r="JY80" s="70"/>
      <c r="JZ80" s="99"/>
      <c r="KA80" s="17"/>
      <c r="KB80" s="17"/>
      <c r="KC80" s="17"/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7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/>
      <c r="SJ80" s="17"/>
      <c r="SK80" s="17"/>
      <c r="SL80" s="17"/>
      <c r="SM80" s="17"/>
      <c r="SN80" s="17"/>
      <c r="SO80" s="17"/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17"/>
      <c r="VZ80" s="17"/>
      <c r="WA80" s="17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/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/>
      <c r="XM80" s="17"/>
      <c r="XN80" s="17"/>
      <c r="XO80" s="17"/>
      <c r="XP80" s="17"/>
      <c r="XQ80" s="17"/>
      <c r="XR80" s="17"/>
      <c r="XS80" s="17"/>
      <c r="XT80" s="17"/>
      <c r="XU80" s="17"/>
      <c r="XV80" s="17"/>
      <c r="XW80" s="17"/>
      <c r="XX80" s="17"/>
      <c r="XY80" s="17"/>
      <c r="XZ80" s="17"/>
      <c r="YA80" s="17"/>
      <c r="YB80" s="17"/>
      <c r="YC80" s="17"/>
      <c r="YD80" s="17"/>
      <c r="YE80" s="17"/>
      <c r="YF80" s="17"/>
      <c r="YG80" s="17"/>
      <c r="YH80" s="17"/>
      <c r="YI80" s="17"/>
      <c r="YJ80" s="17"/>
      <c r="YK80" s="17"/>
      <c r="YL80" s="17"/>
      <c r="YM80" s="17"/>
      <c r="YN80" s="17"/>
      <c r="YO80" s="17"/>
      <c r="YP80" s="17"/>
      <c r="YQ80" s="17"/>
      <c r="YR80" s="17"/>
      <c r="YS80" s="17"/>
    </row>
    <row r="81" spans="1:669" x14ac:dyDescent="0.25">
      <c r="A81" s="138" t="str">
        <f>B79</f>
        <v>xx</v>
      </c>
      <c r="B81" s="232"/>
      <c r="C81" s="81" t="str">
        <f t="shared" ref="C81:C83" si="360">$C$79</f>
        <v>ddd</v>
      </c>
      <c r="D81" s="229"/>
      <c r="E81" s="173" t="s">
        <v>41</v>
      </c>
      <c r="F81" s="181">
        <f ca="1">(F80*H80)+F82</f>
        <v>0</v>
      </c>
      <c r="G81" s="175" t="s">
        <v>39</v>
      </c>
      <c r="H81" s="170">
        <v>1</v>
      </c>
      <c r="I81" s="242" t="s">
        <v>17</v>
      </c>
      <c r="J81" s="83" t="str">
        <f t="shared" si="349"/>
        <v>CORTE</v>
      </c>
      <c r="K81" s="281"/>
      <c r="L81" s="57"/>
      <c r="M81" s="58"/>
      <c r="N81" s="58"/>
      <c r="O81" s="58"/>
      <c r="P81" s="58"/>
      <c r="Q81" s="58"/>
      <c r="R81" s="58"/>
      <c r="S81" s="58"/>
      <c r="T81" s="58"/>
      <c r="U81" s="58"/>
      <c r="V81" s="68">
        <f t="shared" ref="V81:CG81" ca="1" si="361">IF(V3&gt;$J$5,"",U81+V79-V80)</f>
        <v>0</v>
      </c>
      <c r="W81" s="68">
        <f t="shared" ca="1" si="361"/>
        <v>0</v>
      </c>
      <c r="X81" s="68">
        <f t="shared" ca="1" si="361"/>
        <v>0</v>
      </c>
      <c r="Y81" s="68">
        <f t="shared" ca="1" si="361"/>
        <v>0</v>
      </c>
      <c r="Z81" s="68">
        <f t="shared" ca="1" si="361"/>
        <v>0</v>
      </c>
      <c r="AA81" s="68">
        <f t="shared" ca="1" si="361"/>
        <v>0</v>
      </c>
      <c r="AB81" s="68">
        <f t="shared" ca="1" si="361"/>
        <v>0</v>
      </c>
      <c r="AC81" s="68">
        <f t="shared" ca="1" si="361"/>
        <v>0</v>
      </c>
      <c r="AD81" s="68">
        <f t="shared" ca="1" si="361"/>
        <v>0</v>
      </c>
      <c r="AE81" s="68">
        <f t="shared" ca="1" si="361"/>
        <v>0</v>
      </c>
      <c r="AF81" s="68">
        <f t="shared" ca="1" si="361"/>
        <v>0</v>
      </c>
      <c r="AG81" s="68">
        <f t="shared" ca="1" si="361"/>
        <v>0</v>
      </c>
      <c r="AH81" s="68">
        <f t="shared" ca="1" si="361"/>
        <v>0</v>
      </c>
      <c r="AI81" s="68">
        <f t="shared" ca="1" si="361"/>
        <v>0</v>
      </c>
      <c r="AJ81" s="68">
        <f t="shared" ca="1" si="361"/>
        <v>0</v>
      </c>
      <c r="AK81" s="68">
        <f t="shared" ca="1" si="361"/>
        <v>0</v>
      </c>
      <c r="AL81" s="68">
        <f t="shared" ca="1" si="361"/>
        <v>0</v>
      </c>
      <c r="AM81" s="68">
        <f t="shared" ca="1" si="361"/>
        <v>0</v>
      </c>
      <c r="AN81" s="68">
        <f t="shared" ca="1" si="361"/>
        <v>0</v>
      </c>
      <c r="AO81" s="68">
        <f t="shared" ca="1" si="361"/>
        <v>0</v>
      </c>
      <c r="AP81" s="68">
        <f t="shared" ca="1" si="361"/>
        <v>0</v>
      </c>
      <c r="AQ81" s="68">
        <f t="shared" ca="1" si="361"/>
        <v>0</v>
      </c>
      <c r="AR81" s="68">
        <f t="shared" ca="1" si="361"/>
        <v>0</v>
      </c>
      <c r="AS81" s="68">
        <f t="shared" ca="1" si="361"/>
        <v>0</v>
      </c>
      <c r="AT81" s="68">
        <f t="shared" ca="1" si="361"/>
        <v>0</v>
      </c>
      <c r="AU81" s="68">
        <f t="shared" ca="1" si="361"/>
        <v>0</v>
      </c>
      <c r="AV81" s="68">
        <f t="shared" ca="1" si="361"/>
        <v>0</v>
      </c>
      <c r="AW81" s="68">
        <f t="shared" ca="1" si="361"/>
        <v>0</v>
      </c>
      <c r="AX81" s="68">
        <f t="shared" ca="1" si="361"/>
        <v>0</v>
      </c>
      <c r="AY81" s="68">
        <f t="shared" ca="1" si="361"/>
        <v>0</v>
      </c>
      <c r="AZ81" s="68">
        <f t="shared" ca="1" si="361"/>
        <v>0</v>
      </c>
      <c r="BA81" s="68">
        <f t="shared" ca="1" si="361"/>
        <v>0</v>
      </c>
      <c r="BB81" s="68">
        <f t="shared" ca="1" si="361"/>
        <v>0</v>
      </c>
      <c r="BC81" s="68">
        <f t="shared" ca="1" si="361"/>
        <v>0</v>
      </c>
      <c r="BD81" s="68">
        <f t="shared" ca="1" si="361"/>
        <v>0</v>
      </c>
      <c r="BE81" s="68">
        <f t="shared" ca="1" si="361"/>
        <v>0</v>
      </c>
      <c r="BF81" s="68">
        <f t="shared" ca="1" si="361"/>
        <v>0</v>
      </c>
      <c r="BG81" s="68">
        <f t="shared" ca="1" si="361"/>
        <v>0</v>
      </c>
      <c r="BH81" s="68">
        <f t="shared" ca="1" si="361"/>
        <v>0</v>
      </c>
      <c r="BI81" s="68">
        <f t="shared" ca="1" si="361"/>
        <v>0</v>
      </c>
      <c r="BJ81" s="68">
        <f t="shared" ca="1" si="361"/>
        <v>0</v>
      </c>
      <c r="BK81" s="68">
        <f t="shared" ca="1" si="361"/>
        <v>0</v>
      </c>
      <c r="BL81" s="68">
        <f t="shared" ca="1" si="361"/>
        <v>0</v>
      </c>
      <c r="BM81" s="68">
        <f t="shared" ca="1" si="361"/>
        <v>0</v>
      </c>
      <c r="BN81" s="68">
        <f t="shared" ca="1" si="361"/>
        <v>0</v>
      </c>
      <c r="BO81" s="68">
        <f t="shared" ca="1" si="361"/>
        <v>0</v>
      </c>
      <c r="BP81" s="68">
        <f t="shared" ca="1" si="361"/>
        <v>0</v>
      </c>
      <c r="BQ81" s="68">
        <f t="shared" ca="1" si="361"/>
        <v>0</v>
      </c>
      <c r="BR81" s="68">
        <f t="shared" ca="1" si="361"/>
        <v>0</v>
      </c>
      <c r="BS81" s="68">
        <f t="shared" ca="1" si="361"/>
        <v>0</v>
      </c>
      <c r="BT81" s="68">
        <f t="shared" ca="1" si="361"/>
        <v>0</v>
      </c>
      <c r="BU81" s="68">
        <f t="shared" ca="1" si="361"/>
        <v>0</v>
      </c>
      <c r="BV81" s="68">
        <f t="shared" ca="1" si="361"/>
        <v>0</v>
      </c>
      <c r="BW81" s="68">
        <f t="shared" ca="1" si="361"/>
        <v>0</v>
      </c>
      <c r="BX81" s="68">
        <f t="shared" ca="1" si="361"/>
        <v>0</v>
      </c>
      <c r="BY81" s="68">
        <f t="shared" ca="1" si="361"/>
        <v>0</v>
      </c>
      <c r="BZ81" s="68">
        <f t="shared" ca="1" si="361"/>
        <v>0</v>
      </c>
      <c r="CA81" s="68">
        <f t="shared" ca="1" si="361"/>
        <v>0</v>
      </c>
      <c r="CB81" s="68">
        <f t="shared" ca="1" si="361"/>
        <v>0</v>
      </c>
      <c r="CC81" s="68">
        <f t="shared" ca="1" si="361"/>
        <v>0</v>
      </c>
      <c r="CD81" s="68">
        <f t="shared" ca="1" si="361"/>
        <v>0</v>
      </c>
      <c r="CE81" s="68">
        <f t="shared" ca="1" si="361"/>
        <v>0</v>
      </c>
      <c r="CF81" s="68">
        <f t="shared" ca="1" si="361"/>
        <v>0</v>
      </c>
      <c r="CG81" s="68">
        <f t="shared" ca="1" si="361"/>
        <v>0</v>
      </c>
      <c r="CH81" s="68">
        <f t="shared" ref="CH81:ES81" ca="1" si="362">IF(CH3&gt;$J$5,"",CG81+CH79-CH80)</f>
        <v>0</v>
      </c>
      <c r="CI81" s="68">
        <f t="shared" ca="1" si="362"/>
        <v>0</v>
      </c>
      <c r="CJ81" s="68">
        <f t="shared" ca="1" si="362"/>
        <v>0</v>
      </c>
      <c r="CK81" s="68">
        <f t="shared" ca="1" si="362"/>
        <v>0</v>
      </c>
      <c r="CL81" s="68">
        <f t="shared" ca="1" si="362"/>
        <v>0</v>
      </c>
      <c r="CM81" s="68">
        <f t="shared" ca="1" si="362"/>
        <v>0</v>
      </c>
      <c r="CN81" s="68">
        <f t="shared" ca="1" si="362"/>
        <v>0</v>
      </c>
      <c r="CO81" s="68">
        <f t="shared" ca="1" si="362"/>
        <v>0</v>
      </c>
      <c r="CP81" s="68">
        <f t="shared" ca="1" si="362"/>
        <v>0</v>
      </c>
      <c r="CQ81" s="68">
        <f t="shared" ca="1" si="362"/>
        <v>0</v>
      </c>
      <c r="CR81" s="68">
        <f t="shared" ca="1" si="362"/>
        <v>0</v>
      </c>
      <c r="CS81" s="68">
        <f t="shared" ca="1" si="362"/>
        <v>0</v>
      </c>
      <c r="CT81" s="68">
        <f t="shared" ca="1" si="362"/>
        <v>0</v>
      </c>
      <c r="CU81" s="68">
        <f t="shared" ca="1" si="362"/>
        <v>0</v>
      </c>
      <c r="CV81" s="68">
        <f t="shared" ca="1" si="362"/>
        <v>0</v>
      </c>
      <c r="CW81" s="68">
        <f t="shared" ca="1" si="362"/>
        <v>0</v>
      </c>
      <c r="CX81" s="68">
        <f t="shared" ca="1" si="362"/>
        <v>0</v>
      </c>
      <c r="CY81" s="68">
        <f t="shared" ca="1" si="362"/>
        <v>0</v>
      </c>
      <c r="CZ81" s="68">
        <f t="shared" ca="1" si="362"/>
        <v>0</v>
      </c>
      <c r="DA81" s="68">
        <f t="shared" ca="1" si="362"/>
        <v>0</v>
      </c>
      <c r="DB81" s="68">
        <f t="shared" ca="1" si="362"/>
        <v>0</v>
      </c>
      <c r="DC81" s="68">
        <f t="shared" ca="1" si="362"/>
        <v>0</v>
      </c>
      <c r="DD81" s="68">
        <f t="shared" ca="1" si="362"/>
        <v>0</v>
      </c>
      <c r="DE81" s="68">
        <f t="shared" ca="1" si="362"/>
        <v>0</v>
      </c>
      <c r="DF81" s="68">
        <f t="shared" ca="1" si="362"/>
        <v>0</v>
      </c>
      <c r="DG81" s="68">
        <f t="shared" ca="1" si="362"/>
        <v>0</v>
      </c>
      <c r="DH81" s="68">
        <f t="shared" ca="1" si="362"/>
        <v>0</v>
      </c>
      <c r="DI81" s="68">
        <f t="shared" ca="1" si="362"/>
        <v>0</v>
      </c>
      <c r="DJ81" s="68">
        <f t="shared" ca="1" si="362"/>
        <v>0</v>
      </c>
      <c r="DK81" s="68">
        <f t="shared" ca="1" si="362"/>
        <v>0</v>
      </c>
      <c r="DL81" s="68">
        <f t="shared" ca="1" si="362"/>
        <v>0</v>
      </c>
      <c r="DM81" s="68">
        <f t="shared" ca="1" si="362"/>
        <v>0</v>
      </c>
      <c r="DN81" s="68">
        <f t="shared" ca="1" si="362"/>
        <v>0</v>
      </c>
      <c r="DO81" s="68">
        <f t="shared" ca="1" si="362"/>
        <v>0</v>
      </c>
      <c r="DP81" s="68">
        <f t="shared" ca="1" si="362"/>
        <v>0</v>
      </c>
      <c r="DQ81" s="68">
        <f t="shared" ca="1" si="362"/>
        <v>0</v>
      </c>
      <c r="DR81" s="68">
        <f t="shared" ca="1" si="362"/>
        <v>0</v>
      </c>
      <c r="DS81" s="68">
        <f t="shared" ca="1" si="362"/>
        <v>0</v>
      </c>
      <c r="DT81" s="68">
        <f t="shared" ca="1" si="362"/>
        <v>0</v>
      </c>
      <c r="DU81" s="68">
        <f t="shared" ca="1" si="362"/>
        <v>0</v>
      </c>
      <c r="DV81" s="68">
        <f t="shared" ca="1" si="362"/>
        <v>0</v>
      </c>
      <c r="DW81" s="68">
        <f t="shared" ca="1" si="362"/>
        <v>0</v>
      </c>
      <c r="DX81" s="68">
        <f t="shared" ca="1" si="362"/>
        <v>0</v>
      </c>
      <c r="DY81" s="68">
        <f t="shared" ca="1" si="362"/>
        <v>0</v>
      </c>
      <c r="DZ81" s="68">
        <f t="shared" ca="1" si="362"/>
        <v>0</v>
      </c>
      <c r="EA81" s="68">
        <f t="shared" ca="1" si="362"/>
        <v>0</v>
      </c>
      <c r="EB81" s="68">
        <f t="shared" ca="1" si="362"/>
        <v>0</v>
      </c>
      <c r="EC81" s="68">
        <f t="shared" ca="1" si="362"/>
        <v>0</v>
      </c>
      <c r="ED81" s="68">
        <f t="shared" ca="1" si="362"/>
        <v>0</v>
      </c>
      <c r="EE81" s="68">
        <f t="shared" ca="1" si="362"/>
        <v>0</v>
      </c>
      <c r="EF81" s="68">
        <f t="shared" ca="1" si="362"/>
        <v>0</v>
      </c>
      <c r="EG81" s="68">
        <f t="shared" ca="1" si="362"/>
        <v>0</v>
      </c>
      <c r="EH81" s="68">
        <f t="shared" ca="1" si="362"/>
        <v>0</v>
      </c>
      <c r="EI81" s="68">
        <f t="shared" ca="1" si="362"/>
        <v>0</v>
      </c>
      <c r="EJ81" s="68">
        <f t="shared" ca="1" si="362"/>
        <v>0</v>
      </c>
      <c r="EK81" s="68">
        <f t="shared" ca="1" si="362"/>
        <v>0</v>
      </c>
      <c r="EL81" s="68">
        <f t="shared" ca="1" si="362"/>
        <v>0</v>
      </c>
      <c r="EM81" s="68">
        <f t="shared" ca="1" si="362"/>
        <v>0</v>
      </c>
      <c r="EN81" s="68">
        <f t="shared" ca="1" si="362"/>
        <v>0</v>
      </c>
      <c r="EO81" s="68">
        <f t="shared" ca="1" si="362"/>
        <v>0</v>
      </c>
      <c r="EP81" s="68">
        <f t="shared" ca="1" si="362"/>
        <v>0</v>
      </c>
      <c r="EQ81" s="68">
        <f t="shared" ca="1" si="362"/>
        <v>0</v>
      </c>
      <c r="ER81" s="68">
        <f t="shared" ca="1" si="362"/>
        <v>0</v>
      </c>
      <c r="ES81" s="68">
        <f t="shared" ca="1" si="362"/>
        <v>0</v>
      </c>
      <c r="ET81" s="68">
        <f t="shared" ref="ET81:HE81" ca="1" si="363">IF(ET3&gt;$J$5,"",ES81+ET79-ET80)</f>
        <v>0</v>
      </c>
      <c r="EU81" s="68">
        <f t="shared" ca="1" si="363"/>
        <v>0</v>
      </c>
      <c r="EV81" s="68">
        <f t="shared" ca="1" si="363"/>
        <v>0</v>
      </c>
      <c r="EW81" s="68">
        <f t="shared" ca="1" si="363"/>
        <v>0</v>
      </c>
      <c r="EX81" s="68">
        <f t="shared" ca="1" si="363"/>
        <v>0</v>
      </c>
      <c r="EY81" s="68">
        <f t="shared" ca="1" si="363"/>
        <v>0</v>
      </c>
      <c r="EZ81" s="68">
        <f t="shared" ca="1" si="363"/>
        <v>0</v>
      </c>
      <c r="FA81" s="68">
        <f t="shared" ca="1" si="363"/>
        <v>0</v>
      </c>
      <c r="FB81" s="68">
        <f t="shared" ca="1" si="363"/>
        <v>0</v>
      </c>
      <c r="FC81" s="68">
        <f t="shared" ca="1" si="363"/>
        <v>0</v>
      </c>
      <c r="FD81" s="68">
        <f t="shared" ca="1" si="363"/>
        <v>0</v>
      </c>
      <c r="FE81" s="68">
        <f t="shared" ca="1" si="363"/>
        <v>0</v>
      </c>
      <c r="FF81" s="68">
        <f t="shared" ca="1" si="363"/>
        <v>0</v>
      </c>
      <c r="FG81" s="68">
        <f t="shared" ca="1" si="363"/>
        <v>0</v>
      </c>
      <c r="FH81" s="68">
        <f t="shared" ca="1" si="363"/>
        <v>0</v>
      </c>
      <c r="FI81" s="68">
        <f t="shared" ca="1" si="363"/>
        <v>0</v>
      </c>
      <c r="FJ81" s="68">
        <f t="shared" ca="1" si="363"/>
        <v>0</v>
      </c>
      <c r="FK81" s="68">
        <f t="shared" ca="1" si="363"/>
        <v>0</v>
      </c>
      <c r="FL81" s="68">
        <f t="shared" ca="1" si="363"/>
        <v>0</v>
      </c>
      <c r="FM81" s="68">
        <f t="shared" ca="1" si="363"/>
        <v>0</v>
      </c>
      <c r="FN81" s="68">
        <f t="shared" ca="1" si="363"/>
        <v>0</v>
      </c>
      <c r="FO81" s="68">
        <f t="shared" ca="1" si="363"/>
        <v>0</v>
      </c>
      <c r="FP81" s="68">
        <f t="shared" ca="1" si="363"/>
        <v>0</v>
      </c>
      <c r="FQ81" s="68">
        <f t="shared" ca="1" si="363"/>
        <v>0</v>
      </c>
      <c r="FR81" s="68">
        <f t="shared" ca="1" si="363"/>
        <v>0</v>
      </c>
      <c r="FS81" s="68">
        <f t="shared" ca="1" si="363"/>
        <v>0</v>
      </c>
      <c r="FT81" s="68">
        <f t="shared" ca="1" si="363"/>
        <v>0</v>
      </c>
      <c r="FU81" s="68">
        <f t="shared" ca="1" si="363"/>
        <v>0</v>
      </c>
      <c r="FV81" s="68">
        <f t="shared" ca="1" si="363"/>
        <v>0</v>
      </c>
      <c r="FW81" s="68">
        <f t="shared" ca="1" si="363"/>
        <v>0</v>
      </c>
      <c r="FX81" s="68">
        <f t="shared" ca="1" si="363"/>
        <v>0</v>
      </c>
      <c r="FY81" s="68">
        <f t="shared" ca="1" si="363"/>
        <v>0</v>
      </c>
      <c r="FZ81" s="68">
        <f t="shared" ca="1" si="363"/>
        <v>0</v>
      </c>
      <c r="GA81" s="68">
        <f t="shared" ca="1" si="363"/>
        <v>0</v>
      </c>
      <c r="GB81" s="68">
        <f t="shared" ca="1" si="363"/>
        <v>0</v>
      </c>
      <c r="GC81" s="68">
        <f t="shared" ca="1" si="363"/>
        <v>0</v>
      </c>
      <c r="GD81" s="68">
        <f t="shared" ca="1" si="363"/>
        <v>0</v>
      </c>
      <c r="GE81" s="68">
        <f t="shared" ca="1" si="363"/>
        <v>0</v>
      </c>
      <c r="GF81" s="68">
        <f t="shared" ca="1" si="363"/>
        <v>0</v>
      </c>
      <c r="GG81" s="68">
        <f t="shared" ca="1" si="363"/>
        <v>0</v>
      </c>
      <c r="GH81" s="68">
        <f t="shared" ca="1" si="363"/>
        <v>0</v>
      </c>
      <c r="GI81" s="68">
        <f t="shared" ca="1" si="363"/>
        <v>0</v>
      </c>
      <c r="GJ81" s="68">
        <f t="shared" ca="1" si="363"/>
        <v>0</v>
      </c>
      <c r="GK81" s="68">
        <f t="shared" ca="1" si="363"/>
        <v>0</v>
      </c>
      <c r="GL81" s="68">
        <f t="shared" ca="1" si="363"/>
        <v>0</v>
      </c>
      <c r="GM81" s="68">
        <f t="shared" ca="1" si="363"/>
        <v>0</v>
      </c>
      <c r="GN81" s="68">
        <f t="shared" ca="1" si="363"/>
        <v>0</v>
      </c>
      <c r="GO81" s="68">
        <f t="shared" ca="1" si="363"/>
        <v>0</v>
      </c>
      <c r="GP81" s="68">
        <f t="shared" ca="1" si="363"/>
        <v>0</v>
      </c>
      <c r="GQ81" s="68">
        <f t="shared" ca="1" si="363"/>
        <v>0</v>
      </c>
      <c r="GR81" s="68">
        <f t="shared" ca="1" si="363"/>
        <v>0</v>
      </c>
      <c r="GS81" s="68">
        <f t="shared" ca="1" si="363"/>
        <v>0</v>
      </c>
      <c r="GT81" s="68">
        <f t="shared" ca="1" si="363"/>
        <v>0</v>
      </c>
      <c r="GU81" s="68">
        <f t="shared" ca="1" si="363"/>
        <v>0</v>
      </c>
      <c r="GV81" s="68">
        <f t="shared" ca="1" si="363"/>
        <v>0</v>
      </c>
      <c r="GW81" s="68">
        <f t="shared" ca="1" si="363"/>
        <v>0</v>
      </c>
      <c r="GX81" s="68">
        <f t="shared" ca="1" si="363"/>
        <v>0</v>
      </c>
      <c r="GY81" s="68">
        <f t="shared" ca="1" si="363"/>
        <v>0</v>
      </c>
      <c r="GZ81" s="68">
        <f t="shared" ca="1" si="363"/>
        <v>0</v>
      </c>
      <c r="HA81" s="68">
        <f t="shared" ca="1" si="363"/>
        <v>0</v>
      </c>
      <c r="HB81" s="68">
        <f t="shared" ca="1" si="363"/>
        <v>0</v>
      </c>
      <c r="HC81" s="68">
        <f t="shared" ca="1" si="363"/>
        <v>0</v>
      </c>
      <c r="HD81" s="68" t="str">
        <f t="shared" ca="1" si="363"/>
        <v/>
      </c>
      <c r="HE81" s="68" t="str">
        <f t="shared" ca="1" si="363"/>
        <v/>
      </c>
      <c r="HF81" s="68" t="str">
        <f t="shared" ref="HF81:JQ81" ca="1" si="364">IF(HF3&gt;$J$5,"",HE81+HF79-HF80)</f>
        <v/>
      </c>
      <c r="HG81" s="68" t="str">
        <f t="shared" ca="1" si="364"/>
        <v/>
      </c>
      <c r="HH81" s="68" t="str">
        <f t="shared" ca="1" si="364"/>
        <v/>
      </c>
      <c r="HI81" s="68" t="str">
        <f t="shared" ca="1" si="364"/>
        <v/>
      </c>
      <c r="HJ81" s="68" t="str">
        <f t="shared" ca="1" si="364"/>
        <v/>
      </c>
      <c r="HK81" s="68" t="str">
        <f t="shared" ca="1" si="364"/>
        <v/>
      </c>
      <c r="HL81" s="68" t="str">
        <f t="shared" ca="1" si="364"/>
        <v/>
      </c>
      <c r="HM81" s="68" t="str">
        <f t="shared" ca="1" si="364"/>
        <v/>
      </c>
      <c r="HN81" s="68" t="str">
        <f t="shared" ca="1" si="364"/>
        <v/>
      </c>
      <c r="HO81" s="68" t="str">
        <f t="shared" ca="1" si="364"/>
        <v/>
      </c>
      <c r="HP81" s="68" t="str">
        <f t="shared" ca="1" si="364"/>
        <v/>
      </c>
      <c r="HQ81" s="68" t="str">
        <f t="shared" ca="1" si="364"/>
        <v/>
      </c>
      <c r="HR81" s="68" t="str">
        <f t="shared" ca="1" si="364"/>
        <v/>
      </c>
      <c r="HS81" s="68" t="str">
        <f t="shared" ca="1" si="364"/>
        <v/>
      </c>
      <c r="HT81" s="68" t="str">
        <f t="shared" ca="1" si="364"/>
        <v/>
      </c>
      <c r="HU81" s="68" t="str">
        <f t="shared" ca="1" si="364"/>
        <v/>
      </c>
      <c r="HV81" s="68" t="str">
        <f t="shared" ca="1" si="364"/>
        <v/>
      </c>
      <c r="HW81" s="68" t="str">
        <f t="shared" ca="1" si="364"/>
        <v/>
      </c>
      <c r="HX81" s="68" t="str">
        <f t="shared" ca="1" si="364"/>
        <v/>
      </c>
      <c r="HY81" s="68" t="str">
        <f t="shared" ca="1" si="364"/>
        <v/>
      </c>
      <c r="HZ81" s="68" t="str">
        <f t="shared" ca="1" si="364"/>
        <v/>
      </c>
      <c r="IA81" s="68" t="str">
        <f t="shared" ca="1" si="364"/>
        <v/>
      </c>
      <c r="IB81" s="68" t="str">
        <f t="shared" ca="1" si="364"/>
        <v/>
      </c>
      <c r="IC81" s="68" t="str">
        <f t="shared" ca="1" si="364"/>
        <v/>
      </c>
      <c r="ID81" s="68" t="str">
        <f t="shared" ca="1" si="364"/>
        <v/>
      </c>
      <c r="IE81" s="68" t="str">
        <f t="shared" ca="1" si="364"/>
        <v/>
      </c>
      <c r="IF81" s="68" t="str">
        <f t="shared" ca="1" si="364"/>
        <v/>
      </c>
      <c r="IG81" s="68" t="str">
        <f t="shared" ca="1" si="364"/>
        <v/>
      </c>
      <c r="IH81" s="68" t="str">
        <f t="shared" ca="1" si="364"/>
        <v/>
      </c>
      <c r="II81" s="68" t="str">
        <f t="shared" ca="1" si="364"/>
        <v/>
      </c>
      <c r="IJ81" s="68" t="str">
        <f t="shared" ca="1" si="364"/>
        <v/>
      </c>
      <c r="IK81" s="68" t="str">
        <f t="shared" ca="1" si="364"/>
        <v/>
      </c>
      <c r="IL81" s="68" t="str">
        <f t="shared" ca="1" si="364"/>
        <v/>
      </c>
      <c r="IM81" s="68" t="str">
        <f t="shared" ca="1" si="364"/>
        <v/>
      </c>
      <c r="IN81" s="68" t="str">
        <f t="shared" ca="1" si="364"/>
        <v/>
      </c>
      <c r="IO81" s="68" t="str">
        <f t="shared" ca="1" si="364"/>
        <v/>
      </c>
      <c r="IP81" s="68" t="str">
        <f t="shared" ca="1" si="364"/>
        <v/>
      </c>
      <c r="IQ81" s="68" t="str">
        <f t="shared" ca="1" si="364"/>
        <v/>
      </c>
      <c r="IR81" s="68" t="str">
        <f t="shared" ca="1" si="364"/>
        <v/>
      </c>
      <c r="IS81" s="68" t="str">
        <f t="shared" ca="1" si="364"/>
        <v/>
      </c>
      <c r="IT81" s="68" t="str">
        <f t="shared" ca="1" si="364"/>
        <v/>
      </c>
      <c r="IU81" s="68" t="str">
        <f t="shared" ca="1" si="364"/>
        <v/>
      </c>
      <c r="IV81" s="68" t="str">
        <f t="shared" ca="1" si="364"/>
        <v/>
      </c>
      <c r="IW81" s="68" t="str">
        <f t="shared" ca="1" si="364"/>
        <v/>
      </c>
      <c r="IX81" s="68" t="str">
        <f t="shared" ca="1" si="364"/>
        <v/>
      </c>
      <c r="IY81" s="68" t="str">
        <f t="shared" ca="1" si="364"/>
        <v/>
      </c>
      <c r="IZ81" s="68" t="str">
        <f t="shared" ca="1" si="364"/>
        <v/>
      </c>
      <c r="JA81" s="68" t="str">
        <f t="shared" ca="1" si="364"/>
        <v/>
      </c>
      <c r="JB81" s="68" t="str">
        <f t="shared" ca="1" si="364"/>
        <v/>
      </c>
      <c r="JC81" s="68" t="str">
        <f t="shared" ca="1" si="364"/>
        <v/>
      </c>
      <c r="JD81" s="68" t="str">
        <f t="shared" ca="1" si="364"/>
        <v/>
      </c>
      <c r="JE81" s="68" t="str">
        <f t="shared" ca="1" si="364"/>
        <v/>
      </c>
      <c r="JF81" s="68" t="str">
        <f t="shared" ca="1" si="364"/>
        <v/>
      </c>
      <c r="JG81" s="68" t="str">
        <f t="shared" ca="1" si="364"/>
        <v/>
      </c>
      <c r="JH81" s="68" t="str">
        <f t="shared" ca="1" si="364"/>
        <v/>
      </c>
      <c r="JI81" s="68" t="str">
        <f t="shared" ca="1" si="364"/>
        <v/>
      </c>
      <c r="JJ81" s="68" t="str">
        <f t="shared" ca="1" si="364"/>
        <v/>
      </c>
      <c r="JK81" s="68" t="str">
        <f t="shared" ca="1" si="364"/>
        <v/>
      </c>
      <c r="JL81" s="68" t="str">
        <f t="shared" ca="1" si="364"/>
        <v/>
      </c>
      <c r="JM81" s="68" t="str">
        <f t="shared" ca="1" si="364"/>
        <v/>
      </c>
      <c r="JN81" s="68" t="str">
        <f t="shared" ca="1" si="364"/>
        <v/>
      </c>
      <c r="JO81" s="68" t="str">
        <f t="shared" ca="1" si="364"/>
        <v/>
      </c>
      <c r="JP81" s="68" t="str">
        <f t="shared" ca="1" si="364"/>
        <v/>
      </c>
      <c r="JQ81" s="68" t="str">
        <f t="shared" ca="1" si="364"/>
        <v/>
      </c>
      <c r="JR81" s="68" t="str">
        <f t="shared" ref="JR81:JZ81" ca="1" si="365">IF(JR3&gt;$J$5,"",JQ81+JR79-JR80)</f>
        <v/>
      </c>
      <c r="JS81" s="68" t="str">
        <f t="shared" ca="1" si="365"/>
        <v/>
      </c>
      <c r="JT81" s="68" t="str">
        <f t="shared" ca="1" si="365"/>
        <v/>
      </c>
      <c r="JU81" s="68" t="str">
        <f t="shared" ca="1" si="365"/>
        <v/>
      </c>
      <c r="JV81" s="68" t="str">
        <f t="shared" ca="1" si="365"/>
        <v/>
      </c>
      <c r="JW81" s="68" t="str">
        <f t="shared" ca="1" si="365"/>
        <v/>
      </c>
      <c r="JX81" s="68" t="str">
        <f t="shared" ca="1" si="365"/>
        <v/>
      </c>
      <c r="JY81" s="68" t="str">
        <f t="shared" ca="1" si="365"/>
        <v/>
      </c>
      <c r="JZ81" s="100" t="str">
        <f t="shared" ca="1" si="365"/>
        <v/>
      </c>
      <c r="KA81" s="17"/>
      <c r="KB81" s="17"/>
      <c r="KC81" s="17"/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7"/>
      <c r="KZ81" s="17"/>
      <c r="LA81" s="17"/>
      <c r="LB81" s="17"/>
      <c r="LC81" s="17"/>
      <c r="LD81" s="17"/>
      <c r="LE81" s="17"/>
      <c r="LF81" s="17"/>
      <c r="LG81" s="17"/>
      <c r="LH81" s="17"/>
      <c r="LI81" s="17"/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F81" s="17"/>
      <c r="MG81" s="17"/>
      <c r="MH81" s="17"/>
      <c r="MI81" s="17"/>
      <c r="MJ81" s="17"/>
      <c r="MK81" s="17"/>
      <c r="ML81" s="17"/>
      <c r="MM81" s="17"/>
      <c r="MN81" s="17"/>
      <c r="MO81" s="17"/>
      <c r="MP81" s="17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/>
      <c r="SJ81" s="17"/>
      <c r="SK81" s="17"/>
      <c r="SL81" s="17"/>
      <c r="SM81" s="17"/>
      <c r="SN81" s="17"/>
      <c r="SO81" s="17"/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17"/>
      <c r="VZ81" s="17"/>
      <c r="WA81" s="17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/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/>
      <c r="XM81" s="17"/>
      <c r="XN81" s="17"/>
      <c r="XO81" s="17"/>
      <c r="XP81" s="17"/>
      <c r="XQ81" s="17"/>
      <c r="XR81" s="17"/>
      <c r="XS81" s="17"/>
      <c r="XT81" s="17"/>
      <c r="XU81" s="17"/>
      <c r="XV81" s="17"/>
      <c r="XW81" s="17"/>
      <c r="XX81" s="17"/>
      <c r="XY81" s="17"/>
      <c r="XZ81" s="17"/>
      <c r="YA81" s="17"/>
      <c r="YB81" s="17"/>
      <c r="YC81" s="17"/>
      <c r="YD81" s="17"/>
      <c r="YE81" s="17"/>
      <c r="YF81" s="17"/>
      <c r="YG81" s="17"/>
      <c r="YH81" s="17"/>
      <c r="YI81" s="17"/>
      <c r="YJ81" s="17"/>
      <c r="YK81" s="17"/>
      <c r="YL81" s="17"/>
      <c r="YM81" s="17"/>
      <c r="YN81" s="17"/>
      <c r="YO81" s="17"/>
      <c r="YP81" s="17"/>
      <c r="YQ81" s="17"/>
      <c r="YR81" s="17"/>
      <c r="YS81" s="17"/>
    </row>
    <row r="82" spans="1:669" x14ac:dyDescent="0.25">
      <c r="A82" s="138" t="str">
        <f>B79</f>
        <v>xx</v>
      </c>
      <c r="B82" s="232"/>
      <c r="C82" s="81" t="str">
        <f t="shared" si="360"/>
        <v>ddd</v>
      </c>
      <c r="D82" s="229"/>
      <c r="E82" s="173" t="s">
        <v>40</v>
      </c>
      <c r="F82" s="182">
        <f ca="1">(H83*H79)*SQRT(H80/H81)</f>
        <v>0</v>
      </c>
      <c r="G82" s="176" t="s">
        <v>45</v>
      </c>
      <c r="H82" s="171">
        <v>0.95</v>
      </c>
      <c r="I82" s="242" t="s">
        <v>18</v>
      </c>
      <c r="J82" s="83" t="str">
        <f t="shared" si="349"/>
        <v>CORTE</v>
      </c>
      <c r="K82" s="281"/>
      <c r="L82" s="60"/>
      <c r="M82" s="61"/>
      <c r="N82" s="61"/>
      <c r="O82" s="61"/>
      <c r="P82" s="61"/>
      <c r="Q82" s="61"/>
      <c r="R82" s="61"/>
      <c r="S82" s="61"/>
      <c r="T82" s="61"/>
      <c r="U82" s="61"/>
      <c r="V82" s="70"/>
      <c r="W82" s="70"/>
      <c r="X82" s="70"/>
      <c r="Y82" s="84"/>
      <c r="Z82" s="70"/>
      <c r="AA82" s="70"/>
      <c r="AB82" s="84"/>
      <c r="AC82" s="70"/>
      <c r="AD82" s="70"/>
      <c r="AE82" s="84"/>
      <c r="AF82" s="70"/>
      <c r="AG82" s="70"/>
      <c r="AH82" s="84"/>
      <c r="AI82" s="70"/>
      <c r="AJ82" s="70"/>
      <c r="AK82" s="84"/>
      <c r="AL82" s="70"/>
      <c r="AM82" s="70"/>
      <c r="AN82" s="84"/>
      <c r="AO82" s="70"/>
      <c r="AP82" s="70"/>
      <c r="AQ82" s="84"/>
      <c r="AR82" s="70"/>
      <c r="AS82" s="70"/>
      <c r="AT82" s="84"/>
      <c r="AU82" s="70"/>
      <c r="AV82" s="70"/>
      <c r="AW82" s="84"/>
      <c r="AX82" s="70"/>
      <c r="AY82" s="70"/>
      <c r="AZ82" s="84"/>
      <c r="BA82" s="70"/>
      <c r="BB82" s="70"/>
      <c r="BC82" s="84"/>
      <c r="BD82" s="70"/>
      <c r="BE82" s="70"/>
      <c r="BF82" s="84"/>
      <c r="BG82" s="70"/>
      <c r="BH82" s="70"/>
      <c r="BI82" s="84"/>
      <c r="BJ82" s="70"/>
      <c r="BK82" s="70"/>
      <c r="BL82" s="84"/>
      <c r="BM82" s="70"/>
      <c r="BN82" s="70"/>
      <c r="BO82" s="84"/>
      <c r="BP82" s="70"/>
      <c r="BQ82" s="70"/>
      <c r="BR82" s="84"/>
      <c r="BS82" s="70"/>
      <c r="BT82" s="70"/>
      <c r="BU82" s="84"/>
      <c r="BV82" s="70"/>
      <c r="BW82" s="70"/>
      <c r="BX82" s="84"/>
      <c r="BY82" s="70"/>
      <c r="BZ82" s="70"/>
      <c r="CA82" s="84"/>
      <c r="CB82" s="70"/>
      <c r="CC82" s="70"/>
      <c r="CD82" s="84"/>
      <c r="CE82" s="70"/>
      <c r="CF82" s="70"/>
      <c r="CG82" s="84"/>
      <c r="CH82" s="70"/>
      <c r="CI82" s="70"/>
      <c r="CJ82" s="84"/>
      <c r="CK82" s="70"/>
      <c r="CL82" s="70"/>
      <c r="CM82" s="84"/>
      <c r="CN82" s="70"/>
      <c r="CO82" s="70"/>
      <c r="CP82" s="84"/>
      <c r="CQ82" s="70"/>
      <c r="CR82" s="70"/>
      <c r="CS82" s="84"/>
      <c r="CT82" s="70"/>
      <c r="CU82" s="70"/>
      <c r="CV82" s="84"/>
      <c r="CW82" s="70"/>
      <c r="CX82" s="70"/>
      <c r="CY82" s="84"/>
      <c r="CZ82" s="70"/>
      <c r="DA82" s="70"/>
      <c r="DB82" s="84"/>
      <c r="DC82" s="70"/>
      <c r="DD82" s="70"/>
      <c r="DE82" s="84"/>
      <c r="DF82" s="70"/>
      <c r="DG82" s="70"/>
      <c r="DH82" s="84"/>
      <c r="DI82" s="70"/>
      <c r="DJ82" s="70"/>
      <c r="DK82" s="84"/>
      <c r="DL82" s="70"/>
      <c r="DM82" s="70"/>
      <c r="DN82" s="84"/>
      <c r="DO82" s="70"/>
      <c r="DP82" s="70"/>
      <c r="DQ82" s="84"/>
      <c r="DR82" s="70"/>
      <c r="DS82" s="70"/>
      <c r="DT82" s="84"/>
      <c r="DU82" s="70"/>
      <c r="DV82" s="70"/>
      <c r="DW82" s="84"/>
      <c r="DX82" s="70"/>
      <c r="DY82" s="70"/>
      <c r="DZ82" s="84"/>
      <c r="EA82" s="70"/>
      <c r="EB82" s="70"/>
      <c r="EC82" s="84"/>
      <c r="ED82" s="70"/>
      <c r="EE82" s="70"/>
      <c r="EF82" s="84"/>
      <c r="EG82" s="70"/>
      <c r="EH82" s="70"/>
      <c r="EI82" s="84"/>
      <c r="EJ82" s="70"/>
      <c r="EK82" s="70"/>
      <c r="EL82" s="84"/>
      <c r="EM82" s="70"/>
      <c r="EN82" s="70"/>
      <c r="EO82" s="84"/>
      <c r="EP82" s="70"/>
      <c r="EQ82" s="70"/>
      <c r="ER82" s="84"/>
      <c r="ES82" s="70"/>
      <c r="ET82" s="70"/>
      <c r="EU82" s="84"/>
      <c r="EV82" s="70"/>
      <c r="EW82" s="70"/>
      <c r="EX82" s="84"/>
      <c r="EY82" s="70"/>
      <c r="EZ82" s="70"/>
      <c r="FA82" s="84"/>
      <c r="FB82" s="70"/>
      <c r="FC82" s="70"/>
      <c r="FD82" s="84"/>
      <c r="FE82" s="70"/>
      <c r="FF82" s="70"/>
      <c r="FG82" s="84"/>
      <c r="FH82" s="70"/>
      <c r="FI82" s="70"/>
      <c r="FJ82" s="84"/>
      <c r="FK82" s="70"/>
      <c r="FL82" s="70"/>
      <c r="FM82" s="84"/>
      <c r="FN82" s="70"/>
      <c r="FO82" s="70"/>
      <c r="FP82" s="84"/>
      <c r="FQ82" s="70"/>
      <c r="FR82" s="70"/>
      <c r="FS82" s="84"/>
      <c r="FT82" s="70"/>
      <c r="FU82" s="70"/>
      <c r="FV82" s="84"/>
      <c r="FW82" s="70"/>
      <c r="FX82" s="70"/>
      <c r="FY82" s="84"/>
      <c r="FZ82" s="70"/>
      <c r="GA82" s="70"/>
      <c r="GB82" s="84"/>
      <c r="GC82" s="70"/>
      <c r="GD82" s="70"/>
      <c r="GE82" s="84"/>
      <c r="GF82" s="70"/>
      <c r="GG82" s="70"/>
      <c r="GH82" s="84"/>
      <c r="GI82" s="70"/>
      <c r="GJ82" s="70"/>
      <c r="GK82" s="70"/>
      <c r="GL82" s="70"/>
      <c r="GM82" s="70"/>
      <c r="GN82" s="70"/>
      <c r="GO82" s="70"/>
      <c r="GP82" s="70"/>
      <c r="GQ82" s="70"/>
      <c r="GR82" s="70"/>
      <c r="GS82" s="70"/>
      <c r="GT82" s="70"/>
      <c r="GU82" s="70"/>
      <c r="GV82" s="70"/>
      <c r="GW82" s="70"/>
      <c r="GX82" s="70"/>
      <c r="GY82" s="70"/>
      <c r="GZ82" s="70"/>
      <c r="HA82" s="70"/>
      <c r="HB82" s="70"/>
      <c r="HC82" s="70"/>
      <c r="HD82" s="70"/>
      <c r="HE82" s="70"/>
      <c r="HF82" s="70"/>
      <c r="HG82" s="70"/>
      <c r="HH82" s="70"/>
      <c r="HI82" s="70"/>
      <c r="HJ82" s="70"/>
      <c r="HK82" s="70"/>
      <c r="HL82" s="70"/>
      <c r="HM82" s="70"/>
      <c r="HN82" s="70"/>
      <c r="HO82" s="70"/>
      <c r="HP82" s="70"/>
      <c r="HQ82" s="70"/>
      <c r="HR82" s="70"/>
      <c r="HS82" s="70"/>
      <c r="HT82" s="70"/>
      <c r="HU82" s="70"/>
      <c r="HV82" s="70"/>
      <c r="HW82" s="70"/>
      <c r="HX82" s="70"/>
      <c r="HY82" s="70"/>
      <c r="HZ82" s="70"/>
      <c r="IA82" s="70"/>
      <c r="IB82" s="70"/>
      <c r="IC82" s="70"/>
      <c r="ID82" s="70"/>
      <c r="IE82" s="70"/>
      <c r="IF82" s="70"/>
      <c r="IG82" s="70"/>
      <c r="IH82" s="70"/>
      <c r="II82" s="70"/>
      <c r="IJ82" s="70"/>
      <c r="IK82" s="70"/>
      <c r="IL82" s="70"/>
      <c r="IM82" s="70"/>
      <c r="IN82" s="70"/>
      <c r="IO82" s="70"/>
      <c r="IP82" s="70"/>
      <c r="IQ82" s="70"/>
      <c r="IR82" s="70"/>
      <c r="IS82" s="70"/>
      <c r="IT82" s="70"/>
      <c r="IU82" s="70"/>
      <c r="IV82" s="70"/>
      <c r="IW82" s="70"/>
      <c r="IX82" s="70"/>
      <c r="IY82" s="70"/>
      <c r="IZ82" s="70"/>
      <c r="JA82" s="70"/>
      <c r="JB82" s="70"/>
      <c r="JC82" s="70"/>
      <c r="JD82" s="70"/>
      <c r="JE82" s="70"/>
      <c r="JF82" s="70"/>
      <c r="JG82" s="70"/>
      <c r="JH82" s="70"/>
      <c r="JI82" s="70"/>
      <c r="JJ82" s="70"/>
      <c r="JK82" s="70"/>
      <c r="JL82" s="70"/>
      <c r="JM82" s="70"/>
      <c r="JN82" s="70"/>
      <c r="JO82" s="70"/>
      <c r="JP82" s="70"/>
      <c r="JQ82" s="70"/>
      <c r="JR82" s="70"/>
      <c r="JS82" s="70"/>
      <c r="JT82" s="70"/>
      <c r="JU82" s="70"/>
      <c r="JV82" s="70"/>
      <c r="JW82" s="70"/>
      <c r="JX82" s="70"/>
      <c r="JY82" s="70"/>
      <c r="JZ82" s="99"/>
      <c r="KA82" s="17"/>
      <c r="KB82" s="17"/>
      <c r="KC82" s="17"/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7"/>
      <c r="KZ82" s="17"/>
      <c r="LA82" s="17"/>
      <c r="LB82" s="17"/>
      <c r="LC82" s="17"/>
      <c r="LD82" s="17"/>
      <c r="LE82" s="17"/>
      <c r="LF82" s="17"/>
      <c r="LG82" s="17"/>
      <c r="LH82" s="17"/>
      <c r="LI82" s="17"/>
      <c r="LJ82" s="17"/>
      <c r="LK82" s="17"/>
      <c r="LL82" s="17"/>
      <c r="LM82" s="17"/>
      <c r="LN82" s="17"/>
      <c r="LO82" s="17"/>
      <c r="LP82" s="17"/>
      <c r="LQ82" s="17"/>
      <c r="LR82" s="17"/>
      <c r="LS82" s="17"/>
      <c r="LT82" s="17"/>
      <c r="LU82" s="17"/>
      <c r="LV82" s="17"/>
      <c r="LW82" s="17"/>
      <c r="LX82" s="17"/>
      <c r="LY82" s="17"/>
      <c r="LZ82" s="17"/>
      <c r="MA82" s="17"/>
      <c r="MB82" s="17"/>
      <c r="MC82" s="17"/>
      <c r="MD82" s="17"/>
      <c r="ME82" s="17"/>
      <c r="MF82" s="17"/>
      <c r="MG82" s="17"/>
      <c r="MH82" s="17"/>
      <c r="MI82" s="17"/>
      <c r="MJ82" s="17"/>
      <c r="MK82" s="17"/>
      <c r="ML82" s="17"/>
      <c r="MM82" s="17"/>
      <c r="MN82" s="17"/>
      <c r="MO82" s="17"/>
      <c r="MP82" s="17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/>
      <c r="QG82" s="17"/>
      <c r="QH82" s="17"/>
      <c r="QI82" s="17"/>
      <c r="QJ82" s="17"/>
      <c r="QK82" s="17"/>
      <c r="QL82" s="17"/>
      <c r="QM82" s="17"/>
      <c r="QN82" s="17"/>
      <c r="QO82" s="17"/>
      <c r="QP82" s="17"/>
      <c r="QQ82" s="17"/>
      <c r="QR82" s="17"/>
      <c r="QS82" s="17"/>
      <c r="QT82" s="17"/>
      <c r="QU82" s="17"/>
      <c r="QV82" s="17"/>
      <c r="QW82" s="17"/>
      <c r="QX82" s="17"/>
      <c r="QY82" s="17"/>
      <c r="QZ82" s="17"/>
      <c r="RA82" s="17"/>
      <c r="RB82" s="17"/>
      <c r="RC82" s="17"/>
      <c r="RD82" s="17"/>
      <c r="RE82" s="17"/>
      <c r="RF82" s="17"/>
      <c r="RG82" s="17"/>
      <c r="RH82" s="17"/>
      <c r="RI82" s="17"/>
      <c r="RJ82" s="17"/>
      <c r="RK82" s="17"/>
      <c r="RL82" s="17"/>
      <c r="RM82" s="17"/>
      <c r="RN82" s="17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17"/>
      <c r="SJ82" s="17"/>
      <c r="SK82" s="17"/>
      <c r="SL82" s="17"/>
      <c r="SM82" s="17"/>
      <c r="SN82" s="17"/>
      <c r="SO82" s="17"/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17"/>
      <c r="VZ82" s="17"/>
      <c r="WA82" s="17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/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/>
      <c r="XM82" s="17"/>
      <c r="XN82" s="17"/>
      <c r="XO82" s="17"/>
      <c r="XP82" s="17"/>
      <c r="XQ82" s="17"/>
      <c r="XR82" s="17"/>
      <c r="XS82" s="17"/>
      <c r="XT82" s="17"/>
      <c r="XU82" s="17"/>
      <c r="XV82" s="17"/>
      <c r="XW82" s="17"/>
      <c r="XX82" s="17"/>
      <c r="XY82" s="17"/>
      <c r="XZ82" s="17"/>
      <c r="YA82" s="17"/>
      <c r="YB82" s="17"/>
      <c r="YC82" s="17"/>
      <c r="YD82" s="17"/>
      <c r="YE82" s="17"/>
      <c r="YF82" s="17"/>
      <c r="YG82" s="17"/>
      <c r="YH82" s="17"/>
      <c r="YI82" s="17"/>
      <c r="YJ82" s="17"/>
      <c r="YK82" s="17"/>
      <c r="YL82" s="17"/>
      <c r="YM82" s="17"/>
      <c r="YN82" s="17"/>
      <c r="YO82" s="17"/>
      <c r="YP82" s="17"/>
      <c r="YQ82" s="17"/>
      <c r="YR82" s="17"/>
      <c r="YS82" s="17"/>
    </row>
    <row r="83" spans="1:669" ht="15.75" thickBot="1" x14ac:dyDescent="0.3">
      <c r="A83" s="141" t="str">
        <f>B79</f>
        <v>xx</v>
      </c>
      <c r="B83" s="233"/>
      <c r="C83" s="158" t="str">
        <f t="shared" si="360"/>
        <v>ddd</v>
      </c>
      <c r="D83" s="230"/>
      <c r="E83" s="177" t="s">
        <v>46</v>
      </c>
      <c r="F83" s="183"/>
      <c r="G83" s="178" t="s">
        <v>43</v>
      </c>
      <c r="H83" s="179">
        <v>1.645</v>
      </c>
      <c r="I83" s="246" t="s">
        <v>19</v>
      </c>
      <c r="J83" s="101" t="str">
        <f t="shared" si="349"/>
        <v>CORTE</v>
      </c>
      <c r="K83" s="282"/>
      <c r="L83" s="102"/>
      <c r="M83" s="103"/>
      <c r="N83" s="103"/>
      <c r="O83" s="103"/>
      <c r="P83" s="103"/>
      <c r="Q83" s="103"/>
      <c r="R83" s="103"/>
      <c r="S83" s="103"/>
      <c r="T83" s="103"/>
      <c r="U83" s="103"/>
      <c r="V83" s="104">
        <f t="shared" ref="V83:CG83" ca="1" si="366">IF(V3&gt;$J$5,"",U83+V80-V82)</f>
        <v>0</v>
      </c>
      <c r="W83" s="104">
        <f t="shared" ca="1" si="366"/>
        <v>0</v>
      </c>
      <c r="X83" s="104">
        <f t="shared" ca="1" si="366"/>
        <v>0</v>
      </c>
      <c r="Y83" s="104">
        <f t="shared" ca="1" si="366"/>
        <v>0</v>
      </c>
      <c r="Z83" s="104">
        <f t="shared" ca="1" si="366"/>
        <v>0</v>
      </c>
      <c r="AA83" s="104">
        <f t="shared" ca="1" si="366"/>
        <v>0</v>
      </c>
      <c r="AB83" s="104">
        <f t="shared" ca="1" si="366"/>
        <v>0</v>
      </c>
      <c r="AC83" s="104">
        <f t="shared" ca="1" si="366"/>
        <v>0</v>
      </c>
      <c r="AD83" s="104">
        <f t="shared" ca="1" si="366"/>
        <v>0</v>
      </c>
      <c r="AE83" s="104">
        <f t="shared" ca="1" si="366"/>
        <v>0</v>
      </c>
      <c r="AF83" s="104">
        <f t="shared" ca="1" si="366"/>
        <v>0</v>
      </c>
      <c r="AG83" s="104">
        <f t="shared" ca="1" si="366"/>
        <v>0</v>
      </c>
      <c r="AH83" s="104">
        <f t="shared" ca="1" si="366"/>
        <v>0</v>
      </c>
      <c r="AI83" s="104">
        <f t="shared" ca="1" si="366"/>
        <v>0</v>
      </c>
      <c r="AJ83" s="104">
        <f t="shared" ca="1" si="366"/>
        <v>0</v>
      </c>
      <c r="AK83" s="104">
        <f t="shared" ca="1" si="366"/>
        <v>0</v>
      </c>
      <c r="AL83" s="104">
        <f t="shared" ca="1" si="366"/>
        <v>0</v>
      </c>
      <c r="AM83" s="104">
        <f t="shared" ca="1" si="366"/>
        <v>0</v>
      </c>
      <c r="AN83" s="104">
        <f t="shared" ca="1" si="366"/>
        <v>0</v>
      </c>
      <c r="AO83" s="104">
        <f t="shared" ca="1" si="366"/>
        <v>0</v>
      </c>
      <c r="AP83" s="104">
        <f t="shared" ca="1" si="366"/>
        <v>0</v>
      </c>
      <c r="AQ83" s="104">
        <f t="shared" ca="1" si="366"/>
        <v>0</v>
      </c>
      <c r="AR83" s="104">
        <f t="shared" ca="1" si="366"/>
        <v>0</v>
      </c>
      <c r="AS83" s="104">
        <f t="shared" ca="1" si="366"/>
        <v>0</v>
      </c>
      <c r="AT83" s="104">
        <f t="shared" ca="1" si="366"/>
        <v>0</v>
      </c>
      <c r="AU83" s="104">
        <f t="shared" ca="1" si="366"/>
        <v>0</v>
      </c>
      <c r="AV83" s="104">
        <f t="shared" ca="1" si="366"/>
        <v>0</v>
      </c>
      <c r="AW83" s="104">
        <f t="shared" ca="1" si="366"/>
        <v>0</v>
      </c>
      <c r="AX83" s="104">
        <f t="shared" ca="1" si="366"/>
        <v>0</v>
      </c>
      <c r="AY83" s="104">
        <f t="shared" ca="1" si="366"/>
        <v>0</v>
      </c>
      <c r="AZ83" s="104">
        <f t="shared" ca="1" si="366"/>
        <v>0</v>
      </c>
      <c r="BA83" s="104">
        <f t="shared" ca="1" si="366"/>
        <v>0</v>
      </c>
      <c r="BB83" s="104">
        <f t="shared" ca="1" si="366"/>
        <v>0</v>
      </c>
      <c r="BC83" s="104">
        <f t="shared" ca="1" si="366"/>
        <v>0</v>
      </c>
      <c r="BD83" s="104">
        <f t="shared" ca="1" si="366"/>
        <v>0</v>
      </c>
      <c r="BE83" s="104">
        <f t="shared" ca="1" si="366"/>
        <v>0</v>
      </c>
      <c r="BF83" s="104">
        <f t="shared" ca="1" si="366"/>
        <v>0</v>
      </c>
      <c r="BG83" s="104">
        <f t="shared" ca="1" si="366"/>
        <v>0</v>
      </c>
      <c r="BH83" s="104">
        <f t="shared" ca="1" si="366"/>
        <v>0</v>
      </c>
      <c r="BI83" s="104">
        <f t="shared" ca="1" si="366"/>
        <v>0</v>
      </c>
      <c r="BJ83" s="104">
        <f t="shared" ca="1" si="366"/>
        <v>0</v>
      </c>
      <c r="BK83" s="104">
        <f t="shared" ca="1" si="366"/>
        <v>0</v>
      </c>
      <c r="BL83" s="104">
        <f t="shared" ca="1" si="366"/>
        <v>0</v>
      </c>
      <c r="BM83" s="104">
        <f t="shared" ca="1" si="366"/>
        <v>0</v>
      </c>
      <c r="BN83" s="104">
        <f t="shared" ca="1" si="366"/>
        <v>0</v>
      </c>
      <c r="BO83" s="104">
        <f t="shared" ca="1" si="366"/>
        <v>0</v>
      </c>
      <c r="BP83" s="104">
        <f t="shared" ca="1" si="366"/>
        <v>0</v>
      </c>
      <c r="BQ83" s="104">
        <f t="shared" ca="1" si="366"/>
        <v>0</v>
      </c>
      <c r="BR83" s="104">
        <f t="shared" ca="1" si="366"/>
        <v>0</v>
      </c>
      <c r="BS83" s="104">
        <f t="shared" ca="1" si="366"/>
        <v>0</v>
      </c>
      <c r="BT83" s="104">
        <f t="shared" ca="1" si="366"/>
        <v>0</v>
      </c>
      <c r="BU83" s="104">
        <f t="shared" ca="1" si="366"/>
        <v>0</v>
      </c>
      <c r="BV83" s="104">
        <f t="shared" ca="1" si="366"/>
        <v>0</v>
      </c>
      <c r="BW83" s="104">
        <f t="shared" ca="1" si="366"/>
        <v>0</v>
      </c>
      <c r="BX83" s="104">
        <f t="shared" ca="1" si="366"/>
        <v>0</v>
      </c>
      <c r="BY83" s="104">
        <f t="shared" ca="1" si="366"/>
        <v>0</v>
      </c>
      <c r="BZ83" s="104">
        <f t="shared" ca="1" si="366"/>
        <v>0</v>
      </c>
      <c r="CA83" s="104">
        <f t="shared" ca="1" si="366"/>
        <v>0</v>
      </c>
      <c r="CB83" s="104">
        <f t="shared" ca="1" si="366"/>
        <v>0</v>
      </c>
      <c r="CC83" s="104">
        <f t="shared" ca="1" si="366"/>
        <v>0</v>
      </c>
      <c r="CD83" s="104">
        <f t="shared" ca="1" si="366"/>
        <v>0</v>
      </c>
      <c r="CE83" s="104">
        <f t="shared" ca="1" si="366"/>
        <v>0</v>
      </c>
      <c r="CF83" s="104">
        <f t="shared" ca="1" si="366"/>
        <v>0</v>
      </c>
      <c r="CG83" s="104">
        <f t="shared" ca="1" si="366"/>
        <v>0</v>
      </c>
      <c r="CH83" s="104">
        <f t="shared" ref="CH83:ES83" ca="1" si="367">IF(CH3&gt;$J$5,"",CG83+CH80-CH82)</f>
        <v>0</v>
      </c>
      <c r="CI83" s="104">
        <f t="shared" ca="1" si="367"/>
        <v>0</v>
      </c>
      <c r="CJ83" s="104">
        <f t="shared" ca="1" si="367"/>
        <v>0</v>
      </c>
      <c r="CK83" s="104">
        <f t="shared" ca="1" si="367"/>
        <v>0</v>
      </c>
      <c r="CL83" s="104">
        <f t="shared" ca="1" si="367"/>
        <v>0</v>
      </c>
      <c r="CM83" s="104">
        <f t="shared" ca="1" si="367"/>
        <v>0</v>
      </c>
      <c r="CN83" s="104">
        <f t="shared" ca="1" si="367"/>
        <v>0</v>
      </c>
      <c r="CO83" s="104">
        <f t="shared" ca="1" si="367"/>
        <v>0</v>
      </c>
      <c r="CP83" s="104">
        <f t="shared" ca="1" si="367"/>
        <v>0</v>
      </c>
      <c r="CQ83" s="104">
        <f t="shared" ca="1" si="367"/>
        <v>0</v>
      </c>
      <c r="CR83" s="104">
        <f t="shared" ca="1" si="367"/>
        <v>0</v>
      </c>
      <c r="CS83" s="104">
        <f t="shared" ca="1" si="367"/>
        <v>0</v>
      </c>
      <c r="CT83" s="104">
        <f t="shared" ca="1" si="367"/>
        <v>0</v>
      </c>
      <c r="CU83" s="104">
        <f t="shared" ca="1" si="367"/>
        <v>0</v>
      </c>
      <c r="CV83" s="104">
        <f t="shared" ca="1" si="367"/>
        <v>0</v>
      </c>
      <c r="CW83" s="104">
        <f t="shared" ca="1" si="367"/>
        <v>0</v>
      </c>
      <c r="CX83" s="104">
        <f t="shared" ca="1" si="367"/>
        <v>0</v>
      </c>
      <c r="CY83" s="104">
        <f t="shared" ca="1" si="367"/>
        <v>0</v>
      </c>
      <c r="CZ83" s="104">
        <f t="shared" ca="1" si="367"/>
        <v>0</v>
      </c>
      <c r="DA83" s="104">
        <f t="shared" ca="1" si="367"/>
        <v>0</v>
      </c>
      <c r="DB83" s="104">
        <f t="shared" ca="1" si="367"/>
        <v>0</v>
      </c>
      <c r="DC83" s="104">
        <f t="shared" ca="1" si="367"/>
        <v>0</v>
      </c>
      <c r="DD83" s="104">
        <f t="shared" ca="1" si="367"/>
        <v>0</v>
      </c>
      <c r="DE83" s="104">
        <f t="shared" ca="1" si="367"/>
        <v>0</v>
      </c>
      <c r="DF83" s="104">
        <f t="shared" ca="1" si="367"/>
        <v>0</v>
      </c>
      <c r="DG83" s="104">
        <f t="shared" ca="1" si="367"/>
        <v>0</v>
      </c>
      <c r="DH83" s="104">
        <f t="shared" ca="1" si="367"/>
        <v>0</v>
      </c>
      <c r="DI83" s="104">
        <f t="shared" ca="1" si="367"/>
        <v>0</v>
      </c>
      <c r="DJ83" s="104">
        <f t="shared" ca="1" si="367"/>
        <v>0</v>
      </c>
      <c r="DK83" s="104">
        <f t="shared" ca="1" si="367"/>
        <v>0</v>
      </c>
      <c r="DL83" s="104">
        <f t="shared" ca="1" si="367"/>
        <v>0</v>
      </c>
      <c r="DM83" s="104">
        <f t="shared" ca="1" si="367"/>
        <v>0</v>
      </c>
      <c r="DN83" s="104">
        <f t="shared" ca="1" si="367"/>
        <v>0</v>
      </c>
      <c r="DO83" s="104">
        <f t="shared" ca="1" si="367"/>
        <v>0</v>
      </c>
      <c r="DP83" s="104">
        <f t="shared" ca="1" si="367"/>
        <v>0</v>
      </c>
      <c r="DQ83" s="104">
        <f t="shared" ca="1" si="367"/>
        <v>0</v>
      </c>
      <c r="DR83" s="104">
        <f t="shared" ca="1" si="367"/>
        <v>0</v>
      </c>
      <c r="DS83" s="104">
        <f t="shared" ca="1" si="367"/>
        <v>0</v>
      </c>
      <c r="DT83" s="104">
        <f t="shared" ca="1" si="367"/>
        <v>0</v>
      </c>
      <c r="DU83" s="104">
        <f t="shared" ca="1" si="367"/>
        <v>0</v>
      </c>
      <c r="DV83" s="104">
        <f t="shared" ca="1" si="367"/>
        <v>0</v>
      </c>
      <c r="DW83" s="104">
        <f t="shared" ca="1" si="367"/>
        <v>0</v>
      </c>
      <c r="DX83" s="104">
        <f t="shared" ca="1" si="367"/>
        <v>0</v>
      </c>
      <c r="DY83" s="104">
        <f t="shared" ca="1" si="367"/>
        <v>0</v>
      </c>
      <c r="DZ83" s="104">
        <f t="shared" ca="1" si="367"/>
        <v>0</v>
      </c>
      <c r="EA83" s="104">
        <f t="shared" ca="1" si="367"/>
        <v>0</v>
      </c>
      <c r="EB83" s="104">
        <f t="shared" ca="1" si="367"/>
        <v>0</v>
      </c>
      <c r="EC83" s="104">
        <f t="shared" ca="1" si="367"/>
        <v>0</v>
      </c>
      <c r="ED83" s="104">
        <f t="shared" ca="1" si="367"/>
        <v>0</v>
      </c>
      <c r="EE83" s="104">
        <f t="shared" ca="1" si="367"/>
        <v>0</v>
      </c>
      <c r="EF83" s="104">
        <f t="shared" ca="1" si="367"/>
        <v>0</v>
      </c>
      <c r="EG83" s="104">
        <f t="shared" ca="1" si="367"/>
        <v>0</v>
      </c>
      <c r="EH83" s="104">
        <f t="shared" ca="1" si="367"/>
        <v>0</v>
      </c>
      <c r="EI83" s="104">
        <f t="shared" ca="1" si="367"/>
        <v>0</v>
      </c>
      <c r="EJ83" s="104">
        <f t="shared" ca="1" si="367"/>
        <v>0</v>
      </c>
      <c r="EK83" s="104">
        <f t="shared" ca="1" si="367"/>
        <v>0</v>
      </c>
      <c r="EL83" s="104">
        <f t="shared" ca="1" si="367"/>
        <v>0</v>
      </c>
      <c r="EM83" s="104">
        <f t="shared" ca="1" si="367"/>
        <v>0</v>
      </c>
      <c r="EN83" s="104">
        <f t="shared" ca="1" si="367"/>
        <v>0</v>
      </c>
      <c r="EO83" s="104">
        <f t="shared" ca="1" si="367"/>
        <v>0</v>
      </c>
      <c r="EP83" s="104">
        <f t="shared" ca="1" si="367"/>
        <v>0</v>
      </c>
      <c r="EQ83" s="104">
        <f t="shared" ca="1" si="367"/>
        <v>0</v>
      </c>
      <c r="ER83" s="104">
        <f t="shared" ca="1" si="367"/>
        <v>0</v>
      </c>
      <c r="ES83" s="104">
        <f t="shared" ca="1" si="367"/>
        <v>0</v>
      </c>
      <c r="ET83" s="104">
        <f t="shared" ref="ET83:HE83" ca="1" si="368">IF(ET3&gt;$J$5,"",ES83+ET80-ET82)</f>
        <v>0</v>
      </c>
      <c r="EU83" s="104">
        <f t="shared" ca="1" si="368"/>
        <v>0</v>
      </c>
      <c r="EV83" s="104">
        <f t="shared" ca="1" si="368"/>
        <v>0</v>
      </c>
      <c r="EW83" s="104">
        <f t="shared" ca="1" si="368"/>
        <v>0</v>
      </c>
      <c r="EX83" s="104">
        <f t="shared" ca="1" si="368"/>
        <v>0</v>
      </c>
      <c r="EY83" s="104">
        <f t="shared" ca="1" si="368"/>
        <v>0</v>
      </c>
      <c r="EZ83" s="104">
        <f t="shared" ca="1" si="368"/>
        <v>0</v>
      </c>
      <c r="FA83" s="104">
        <f t="shared" ca="1" si="368"/>
        <v>0</v>
      </c>
      <c r="FB83" s="104">
        <f t="shared" ca="1" si="368"/>
        <v>0</v>
      </c>
      <c r="FC83" s="104">
        <f t="shared" ca="1" si="368"/>
        <v>0</v>
      </c>
      <c r="FD83" s="104">
        <f t="shared" ca="1" si="368"/>
        <v>0</v>
      </c>
      <c r="FE83" s="104">
        <f t="shared" ca="1" si="368"/>
        <v>0</v>
      </c>
      <c r="FF83" s="104">
        <f t="shared" ca="1" si="368"/>
        <v>0</v>
      </c>
      <c r="FG83" s="104">
        <f t="shared" ca="1" si="368"/>
        <v>0</v>
      </c>
      <c r="FH83" s="104">
        <f t="shared" ca="1" si="368"/>
        <v>0</v>
      </c>
      <c r="FI83" s="104">
        <f t="shared" ca="1" si="368"/>
        <v>0</v>
      </c>
      <c r="FJ83" s="104">
        <f t="shared" ca="1" si="368"/>
        <v>0</v>
      </c>
      <c r="FK83" s="104">
        <f t="shared" ca="1" si="368"/>
        <v>0</v>
      </c>
      <c r="FL83" s="104">
        <f t="shared" ca="1" si="368"/>
        <v>0</v>
      </c>
      <c r="FM83" s="104">
        <f t="shared" ca="1" si="368"/>
        <v>0</v>
      </c>
      <c r="FN83" s="104">
        <f t="shared" ca="1" si="368"/>
        <v>0</v>
      </c>
      <c r="FO83" s="104">
        <f t="shared" ca="1" si="368"/>
        <v>0</v>
      </c>
      <c r="FP83" s="104">
        <f t="shared" ca="1" si="368"/>
        <v>0</v>
      </c>
      <c r="FQ83" s="104">
        <f t="shared" ca="1" si="368"/>
        <v>0</v>
      </c>
      <c r="FR83" s="104">
        <f t="shared" ca="1" si="368"/>
        <v>0</v>
      </c>
      <c r="FS83" s="104">
        <f t="shared" ca="1" si="368"/>
        <v>0</v>
      </c>
      <c r="FT83" s="104">
        <f t="shared" ca="1" si="368"/>
        <v>0</v>
      </c>
      <c r="FU83" s="104">
        <f t="shared" ca="1" si="368"/>
        <v>0</v>
      </c>
      <c r="FV83" s="104">
        <f t="shared" ca="1" si="368"/>
        <v>0</v>
      </c>
      <c r="FW83" s="104">
        <f t="shared" ca="1" si="368"/>
        <v>0</v>
      </c>
      <c r="FX83" s="104">
        <f t="shared" ca="1" si="368"/>
        <v>0</v>
      </c>
      <c r="FY83" s="104">
        <f t="shared" ca="1" si="368"/>
        <v>0</v>
      </c>
      <c r="FZ83" s="104">
        <f t="shared" ca="1" si="368"/>
        <v>0</v>
      </c>
      <c r="GA83" s="104">
        <f t="shared" ca="1" si="368"/>
        <v>0</v>
      </c>
      <c r="GB83" s="104">
        <f t="shared" ca="1" si="368"/>
        <v>0</v>
      </c>
      <c r="GC83" s="104">
        <f t="shared" ca="1" si="368"/>
        <v>0</v>
      </c>
      <c r="GD83" s="104">
        <f t="shared" ca="1" si="368"/>
        <v>0</v>
      </c>
      <c r="GE83" s="104">
        <f t="shared" ca="1" si="368"/>
        <v>0</v>
      </c>
      <c r="GF83" s="104">
        <f t="shared" ca="1" si="368"/>
        <v>0</v>
      </c>
      <c r="GG83" s="104">
        <f t="shared" ca="1" si="368"/>
        <v>0</v>
      </c>
      <c r="GH83" s="104">
        <f t="shared" ca="1" si="368"/>
        <v>0</v>
      </c>
      <c r="GI83" s="104">
        <f t="shared" ca="1" si="368"/>
        <v>0</v>
      </c>
      <c r="GJ83" s="104">
        <f t="shared" ca="1" si="368"/>
        <v>0</v>
      </c>
      <c r="GK83" s="104">
        <f t="shared" ca="1" si="368"/>
        <v>0</v>
      </c>
      <c r="GL83" s="104">
        <f t="shared" ca="1" si="368"/>
        <v>0</v>
      </c>
      <c r="GM83" s="104">
        <f t="shared" ca="1" si="368"/>
        <v>0</v>
      </c>
      <c r="GN83" s="104">
        <f t="shared" ca="1" si="368"/>
        <v>0</v>
      </c>
      <c r="GO83" s="104">
        <f t="shared" ca="1" si="368"/>
        <v>0</v>
      </c>
      <c r="GP83" s="104">
        <f t="shared" ca="1" si="368"/>
        <v>0</v>
      </c>
      <c r="GQ83" s="104">
        <f t="shared" ca="1" si="368"/>
        <v>0</v>
      </c>
      <c r="GR83" s="104">
        <f t="shared" ca="1" si="368"/>
        <v>0</v>
      </c>
      <c r="GS83" s="104">
        <f t="shared" ca="1" si="368"/>
        <v>0</v>
      </c>
      <c r="GT83" s="104">
        <f t="shared" ca="1" si="368"/>
        <v>0</v>
      </c>
      <c r="GU83" s="104">
        <f t="shared" ca="1" si="368"/>
        <v>0</v>
      </c>
      <c r="GV83" s="104">
        <f t="shared" ca="1" si="368"/>
        <v>0</v>
      </c>
      <c r="GW83" s="104">
        <f t="shared" ca="1" si="368"/>
        <v>0</v>
      </c>
      <c r="GX83" s="104">
        <f t="shared" ca="1" si="368"/>
        <v>0</v>
      </c>
      <c r="GY83" s="104">
        <f t="shared" ca="1" si="368"/>
        <v>0</v>
      </c>
      <c r="GZ83" s="104">
        <f t="shared" ca="1" si="368"/>
        <v>0</v>
      </c>
      <c r="HA83" s="104">
        <f t="shared" ca="1" si="368"/>
        <v>0</v>
      </c>
      <c r="HB83" s="104">
        <f t="shared" ca="1" si="368"/>
        <v>0</v>
      </c>
      <c r="HC83" s="104">
        <f t="shared" ca="1" si="368"/>
        <v>0</v>
      </c>
      <c r="HD83" s="104" t="str">
        <f t="shared" ca="1" si="368"/>
        <v/>
      </c>
      <c r="HE83" s="104" t="str">
        <f t="shared" ca="1" si="368"/>
        <v/>
      </c>
      <c r="HF83" s="104" t="str">
        <f t="shared" ref="HF83:JQ83" ca="1" si="369">IF(HF3&gt;$J$5,"",HE83+HF80-HF82)</f>
        <v/>
      </c>
      <c r="HG83" s="104" t="str">
        <f t="shared" ca="1" si="369"/>
        <v/>
      </c>
      <c r="HH83" s="104" t="str">
        <f t="shared" ca="1" si="369"/>
        <v/>
      </c>
      <c r="HI83" s="104" t="str">
        <f t="shared" ca="1" si="369"/>
        <v/>
      </c>
      <c r="HJ83" s="104" t="str">
        <f t="shared" ca="1" si="369"/>
        <v/>
      </c>
      <c r="HK83" s="104" t="str">
        <f t="shared" ca="1" si="369"/>
        <v/>
      </c>
      <c r="HL83" s="104" t="str">
        <f t="shared" ca="1" si="369"/>
        <v/>
      </c>
      <c r="HM83" s="104" t="str">
        <f t="shared" ca="1" si="369"/>
        <v/>
      </c>
      <c r="HN83" s="104" t="str">
        <f t="shared" ca="1" si="369"/>
        <v/>
      </c>
      <c r="HO83" s="104" t="str">
        <f t="shared" ca="1" si="369"/>
        <v/>
      </c>
      <c r="HP83" s="104" t="str">
        <f t="shared" ca="1" si="369"/>
        <v/>
      </c>
      <c r="HQ83" s="104" t="str">
        <f t="shared" ca="1" si="369"/>
        <v/>
      </c>
      <c r="HR83" s="104" t="str">
        <f t="shared" ca="1" si="369"/>
        <v/>
      </c>
      <c r="HS83" s="104" t="str">
        <f t="shared" ca="1" si="369"/>
        <v/>
      </c>
      <c r="HT83" s="104" t="str">
        <f t="shared" ca="1" si="369"/>
        <v/>
      </c>
      <c r="HU83" s="104" t="str">
        <f t="shared" ca="1" si="369"/>
        <v/>
      </c>
      <c r="HV83" s="104" t="str">
        <f t="shared" ca="1" si="369"/>
        <v/>
      </c>
      <c r="HW83" s="104" t="str">
        <f t="shared" ca="1" si="369"/>
        <v/>
      </c>
      <c r="HX83" s="104" t="str">
        <f t="shared" ca="1" si="369"/>
        <v/>
      </c>
      <c r="HY83" s="104" t="str">
        <f t="shared" ca="1" si="369"/>
        <v/>
      </c>
      <c r="HZ83" s="104" t="str">
        <f t="shared" ca="1" si="369"/>
        <v/>
      </c>
      <c r="IA83" s="104" t="str">
        <f t="shared" ca="1" si="369"/>
        <v/>
      </c>
      <c r="IB83" s="104" t="str">
        <f t="shared" ca="1" si="369"/>
        <v/>
      </c>
      <c r="IC83" s="104" t="str">
        <f t="shared" ca="1" si="369"/>
        <v/>
      </c>
      <c r="ID83" s="104" t="str">
        <f t="shared" ca="1" si="369"/>
        <v/>
      </c>
      <c r="IE83" s="104" t="str">
        <f t="shared" ca="1" si="369"/>
        <v/>
      </c>
      <c r="IF83" s="104" t="str">
        <f t="shared" ca="1" si="369"/>
        <v/>
      </c>
      <c r="IG83" s="104" t="str">
        <f t="shared" ca="1" si="369"/>
        <v/>
      </c>
      <c r="IH83" s="104" t="str">
        <f t="shared" ca="1" si="369"/>
        <v/>
      </c>
      <c r="II83" s="104" t="str">
        <f t="shared" ca="1" si="369"/>
        <v/>
      </c>
      <c r="IJ83" s="104" t="str">
        <f t="shared" ca="1" si="369"/>
        <v/>
      </c>
      <c r="IK83" s="104" t="str">
        <f t="shared" ca="1" si="369"/>
        <v/>
      </c>
      <c r="IL83" s="104" t="str">
        <f t="shared" ca="1" si="369"/>
        <v/>
      </c>
      <c r="IM83" s="104" t="str">
        <f t="shared" ca="1" si="369"/>
        <v/>
      </c>
      <c r="IN83" s="104" t="str">
        <f t="shared" ca="1" si="369"/>
        <v/>
      </c>
      <c r="IO83" s="104" t="str">
        <f t="shared" ca="1" si="369"/>
        <v/>
      </c>
      <c r="IP83" s="104" t="str">
        <f t="shared" ca="1" si="369"/>
        <v/>
      </c>
      <c r="IQ83" s="104" t="str">
        <f t="shared" ca="1" si="369"/>
        <v/>
      </c>
      <c r="IR83" s="104" t="str">
        <f t="shared" ca="1" si="369"/>
        <v/>
      </c>
      <c r="IS83" s="104" t="str">
        <f t="shared" ca="1" si="369"/>
        <v/>
      </c>
      <c r="IT83" s="104" t="str">
        <f t="shared" ca="1" si="369"/>
        <v/>
      </c>
      <c r="IU83" s="104" t="str">
        <f t="shared" ca="1" si="369"/>
        <v/>
      </c>
      <c r="IV83" s="104" t="str">
        <f t="shared" ca="1" si="369"/>
        <v/>
      </c>
      <c r="IW83" s="104" t="str">
        <f t="shared" ca="1" si="369"/>
        <v/>
      </c>
      <c r="IX83" s="104" t="str">
        <f t="shared" ca="1" si="369"/>
        <v/>
      </c>
      <c r="IY83" s="104" t="str">
        <f t="shared" ca="1" si="369"/>
        <v/>
      </c>
      <c r="IZ83" s="104" t="str">
        <f t="shared" ca="1" si="369"/>
        <v/>
      </c>
      <c r="JA83" s="104" t="str">
        <f t="shared" ca="1" si="369"/>
        <v/>
      </c>
      <c r="JB83" s="104" t="str">
        <f t="shared" ca="1" si="369"/>
        <v/>
      </c>
      <c r="JC83" s="104" t="str">
        <f t="shared" ca="1" si="369"/>
        <v/>
      </c>
      <c r="JD83" s="104" t="str">
        <f t="shared" ca="1" si="369"/>
        <v/>
      </c>
      <c r="JE83" s="104" t="str">
        <f t="shared" ca="1" si="369"/>
        <v/>
      </c>
      <c r="JF83" s="104" t="str">
        <f t="shared" ca="1" si="369"/>
        <v/>
      </c>
      <c r="JG83" s="104" t="str">
        <f t="shared" ca="1" si="369"/>
        <v/>
      </c>
      <c r="JH83" s="104" t="str">
        <f t="shared" ca="1" si="369"/>
        <v/>
      </c>
      <c r="JI83" s="104" t="str">
        <f t="shared" ca="1" si="369"/>
        <v/>
      </c>
      <c r="JJ83" s="104" t="str">
        <f t="shared" ca="1" si="369"/>
        <v/>
      </c>
      <c r="JK83" s="104" t="str">
        <f t="shared" ca="1" si="369"/>
        <v/>
      </c>
      <c r="JL83" s="104" t="str">
        <f t="shared" ca="1" si="369"/>
        <v/>
      </c>
      <c r="JM83" s="104" t="str">
        <f t="shared" ca="1" si="369"/>
        <v/>
      </c>
      <c r="JN83" s="104" t="str">
        <f t="shared" ca="1" si="369"/>
        <v/>
      </c>
      <c r="JO83" s="104" t="str">
        <f t="shared" ca="1" si="369"/>
        <v/>
      </c>
      <c r="JP83" s="104" t="str">
        <f t="shared" ca="1" si="369"/>
        <v/>
      </c>
      <c r="JQ83" s="104" t="str">
        <f t="shared" ca="1" si="369"/>
        <v/>
      </c>
      <c r="JR83" s="104" t="str">
        <f t="shared" ref="JR83:JZ83" ca="1" si="370">IF(JR3&gt;$J$5,"",JQ83+JR80-JR82)</f>
        <v/>
      </c>
      <c r="JS83" s="104" t="str">
        <f t="shared" ca="1" si="370"/>
        <v/>
      </c>
      <c r="JT83" s="104" t="str">
        <f t="shared" ca="1" si="370"/>
        <v/>
      </c>
      <c r="JU83" s="104" t="str">
        <f t="shared" ca="1" si="370"/>
        <v/>
      </c>
      <c r="JV83" s="104" t="str">
        <f t="shared" ca="1" si="370"/>
        <v/>
      </c>
      <c r="JW83" s="104" t="str">
        <f t="shared" ca="1" si="370"/>
        <v/>
      </c>
      <c r="JX83" s="104" t="str">
        <f t="shared" ca="1" si="370"/>
        <v/>
      </c>
      <c r="JY83" s="104" t="str">
        <f t="shared" ca="1" si="370"/>
        <v/>
      </c>
      <c r="JZ83" s="105" t="str">
        <f t="shared" ca="1" si="370"/>
        <v/>
      </c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</row>
    <row r="84" spans="1:669" ht="15" customHeight="1" thickTop="1" x14ac:dyDescent="0.25"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/>
      <c r="LF84" s="17"/>
      <c r="LG84" s="17"/>
      <c r="LH84" s="17"/>
      <c r="LI84" s="17"/>
      <c r="LJ84" s="17"/>
      <c r="LK84" s="17"/>
      <c r="LL84" s="17"/>
      <c r="LM84" s="17"/>
      <c r="LN84" s="17"/>
      <c r="LO84" s="17"/>
      <c r="LP84" s="17"/>
      <c r="LQ84" s="17"/>
      <c r="LR84" s="17"/>
      <c r="LS84" s="17"/>
      <c r="LT84" s="17"/>
      <c r="LU84" s="17"/>
      <c r="LV84" s="17"/>
      <c r="LW84" s="17"/>
      <c r="LX84" s="17"/>
      <c r="LY84" s="17"/>
      <c r="LZ84" s="17"/>
      <c r="MA84" s="17"/>
      <c r="MB84" s="17"/>
      <c r="MC84" s="17"/>
      <c r="MD84" s="17"/>
      <c r="ME84" s="17"/>
      <c r="MF84" s="17"/>
      <c r="MG84" s="17"/>
      <c r="MH84" s="17"/>
      <c r="MI84" s="17"/>
      <c r="MJ84" s="17"/>
      <c r="MK84" s="17"/>
      <c r="ML84" s="17"/>
      <c r="MM84" s="17"/>
      <c r="MN84" s="17"/>
      <c r="MO84" s="17"/>
      <c r="MP84" s="17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</row>
    <row r="85" spans="1:669" x14ac:dyDescent="0.25">
      <c r="JF85" s="17"/>
      <c r="JG85" s="17"/>
      <c r="JH85" s="17"/>
      <c r="JI85" s="17"/>
      <c r="JJ85" s="17"/>
      <c r="JK85" s="17"/>
      <c r="JL85" s="17"/>
      <c r="JM85" s="17"/>
      <c r="JN85" s="17"/>
      <c r="JO85" s="17"/>
      <c r="JP85" s="17"/>
      <c r="JQ85" s="17"/>
      <c r="JR85" s="17"/>
      <c r="JS85" s="17"/>
      <c r="JT85" s="17"/>
      <c r="JU85" s="17"/>
      <c r="JV85" s="17"/>
      <c r="JW85" s="17"/>
      <c r="JX85" s="17"/>
      <c r="JY85" s="17"/>
      <c r="JZ85" s="17"/>
      <c r="KA85" s="17"/>
      <c r="KB85" s="17"/>
      <c r="KC85" s="17"/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/>
      <c r="LF85" s="17"/>
      <c r="LG85" s="17"/>
      <c r="LH85" s="17"/>
      <c r="LI85" s="17"/>
      <c r="LJ85" s="17"/>
      <c r="LK85" s="17"/>
      <c r="LL85" s="17"/>
      <c r="LM85" s="17"/>
      <c r="LN85" s="17"/>
      <c r="LO85" s="17"/>
      <c r="LP85" s="17"/>
      <c r="LQ85" s="17"/>
      <c r="LR85" s="17"/>
      <c r="LS85" s="17"/>
      <c r="LT85" s="17"/>
      <c r="LU85" s="17"/>
      <c r="LV85" s="17"/>
      <c r="LW85" s="17"/>
      <c r="LX85" s="17"/>
      <c r="LY85" s="17"/>
      <c r="LZ85" s="17"/>
      <c r="MA85" s="17"/>
      <c r="MB85" s="17"/>
      <c r="MC85" s="17"/>
      <c r="MD85" s="17"/>
      <c r="ME85" s="17"/>
      <c r="MF85" s="17"/>
      <c r="MG85" s="17"/>
      <c r="MH85" s="17"/>
      <c r="MI85" s="17"/>
      <c r="MJ85" s="17"/>
      <c r="MK85" s="17"/>
      <c r="ML85" s="17"/>
      <c r="MM85" s="17"/>
      <c r="MN85" s="17"/>
      <c r="MO85" s="17"/>
      <c r="MP85" s="17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</row>
    <row r="86" spans="1:669" x14ac:dyDescent="0.25"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</row>
    <row r="87" spans="1:669" x14ac:dyDescent="0.25"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</row>
    <row r="88" spans="1:669" x14ac:dyDescent="0.25"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</row>
    <row r="89" spans="1:669" x14ac:dyDescent="0.25"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</row>
    <row r="90" spans="1:669" x14ac:dyDescent="0.25"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</row>
    <row r="91" spans="1:669" x14ac:dyDescent="0.25"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</row>
    <row r="92" spans="1:669" x14ac:dyDescent="0.25"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</row>
    <row r="93" spans="1:669" x14ac:dyDescent="0.25"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</row>
    <row r="94" spans="1:669" x14ac:dyDescent="0.25"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</row>
    <row r="95" spans="1:669" x14ac:dyDescent="0.25"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</row>
    <row r="96" spans="1:669" x14ac:dyDescent="0.25"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</row>
    <row r="97" spans="266:669" x14ac:dyDescent="0.25"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</row>
    <row r="98" spans="266:669" x14ac:dyDescent="0.25"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</row>
    <row r="99" spans="266:669" x14ac:dyDescent="0.25"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</row>
    <row r="100" spans="266:669" x14ac:dyDescent="0.25"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17"/>
      <c r="KG100" s="17"/>
      <c r="KH100" s="17"/>
      <c r="KI100" s="17"/>
      <c r="KJ100" s="17"/>
      <c r="KK100" s="17"/>
      <c r="KL100" s="17"/>
      <c r="KM100" s="17"/>
      <c r="KN100" s="17"/>
      <c r="KO100" s="17"/>
      <c r="KP100" s="17"/>
      <c r="KQ100" s="17"/>
      <c r="KR100" s="17"/>
      <c r="KS100" s="17"/>
      <c r="KT100" s="17"/>
      <c r="KU100" s="17"/>
      <c r="KV100" s="17"/>
      <c r="KW100" s="17"/>
      <c r="KX100" s="17"/>
      <c r="KY100" s="17"/>
      <c r="KZ100" s="17"/>
      <c r="LA100" s="17"/>
      <c r="LB100" s="17"/>
      <c r="LC100" s="17"/>
      <c r="LD100" s="17"/>
      <c r="LE100" s="17"/>
      <c r="LF100" s="17"/>
      <c r="LG100" s="17"/>
      <c r="LH100" s="17"/>
      <c r="LI100" s="17"/>
      <c r="LJ100" s="17"/>
      <c r="LK100" s="17"/>
      <c r="LL100" s="17"/>
      <c r="LM100" s="17"/>
      <c r="LN100" s="17"/>
      <c r="LO100" s="17"/>
      <c r="LP100" s="17"/>
      <c r="LQ100" s="17"/>
      <c r="LR100" s="17"/>
      <c r="LS100" s="17"/>
      <c r="LT100" s="17"/>
      <c r="LU100" s="17"/>
      <c r="LV100" s="17"/>
      <c r="LW100" s="17"/>
      <c r="LX100" s="17"/>
      <c r="LY100" s="17"/>
      <c r="LZ100" s="17"/>
      <c r="MA100" s="17"/>
      <c r="MB100" s="17"/>
      <c r="MC100" s="17"/>
      <c r="MD100" s="17"/>
      <c r="ME100" s="17"/>
      <c r="MF100" s="17"/>
      <c r="MG100" s="17"/>
      <c r="MH100" s="17"/>
      <c r="MI100" s="17"/>
      <c r="MJ100" s="17"/>
      <c r="MK100" s="17"/>
      <c r="ML100" s="17"/>
      <c r="MM100" s="17"/>
      <c r="MN100" s="17"/>
      <c r="MO100" s="17"/>
      <c r="MP100" s="17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7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17"/>
      <c r="PH100" s="17"/>
      <c r="PI100" s="17"/>
      <c r="PJ100" s="17"/>
      <c r="PK100" s="17"/>
      <c r="PL100" s="17"/>
      <c r="PM100" s="17"/>
      <c r="PN100" s="17"/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17"/>
      <c r="QP100" s="17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17"/>
      <c r="RM100" s="17"/>
      <c r="RN100" s="17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/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</row>
    <row r="101" spans="266:669" x14ac:dyDescent="0.25">
      <c r="JF101" s="17"/>
      <c r="JG101" s="17"/>
      <c r="JH101" s="17"/>
      <c r="JI101" s="17"/>
      <c r="JJ101" s="17"/>
      <c r="JK101" s="17"/>
      <c r="JL101" s="17"/>
      <c r="JM101" s="17"/>
      <c r="JN101" s="17"/>
      <c r="JO101" s="17"/>
      <c r="JP101" s="17"/>
      <c r="JQ101" s="17"/>
      <c r="JR101" s="17"/>
      <c r="JS101" s="17"/>
      <c r="JT101" s="17"/>
      <c r="JU101" s="17"/>
      <c r="JV101" s="17"/>
      <c r="JW101" s="17"/>
      <c r="JX101" s="17"/>
      <c r="JY101" s="17"/>
      <c r="JZ101" s="17"/>
      <c r="KA101" s="17"/>
      <c r="KB101" s="17"/>
      <c r="KC101" s="17"/>
      <c r="KD101" s="17"/>
      <c r="KE101" s="17"/>
      <c r="KF101" s="17"/>
      <c r="KG101" s="17"/>
      <c r="KH101" s="17"/>
      <c r="KI101" s="17"/>
      <c r="KJ101" s="17"/>
      <c r="KK101" s="17"/>
      <c r="KL101" s="17"/>
      <c r="KM101" s="17"/>
      <c r="KN101" s="17"/>
      <c r="KO101" s="17"/>
      <c r="KP101" s="17"/>
      <c r="KQ101" s="17"/>
      <c r="KR101" s="17"/>
      <c r="KS101" s="17"/>
      <c r="KT101" s="17"/>
      <c r="KU101" s="17"/>
      <c r="KV101" s="17"/>
      <c r="KW101" s="17"/>
      <c r="KX101" s="17"/>
      <c r="KY101" s="17"/>
      <c r="KZ101" s="17"/>
      <c r="LA101" s="17"/>
      <c r="LB101" s="17"/>
      <c r="LC101" s="17"/>
      <c r="LD101" s="17"/>
      <c r="LE101" s="17"/>
      <c r="LF101" s="17"/>
      <c r="LG101" s="17"/>
      <c r="LH101" s="17"/>
      <c r="LI101" s="17"/>
      <c r="LJ101" s="17"/>
      <c r="LK101" s="17"/>
      <c r="LL101" s="17"/>
      <c r="LM101" s="17"/>
      <c r="LN101" s="17"/>
      <c r="LO101" s="17"/>
      <c r="LP101" s="17"/>
      <c r="LQ101" s="17"/>
      <c r="LR101" s="17"/>
      <c r="LS101" s="17"/>
      <c r="LT101" s="17"/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F101" s="17"/>
      <c r="MG101" s="17"/>
      <c r="MH101" s="17"/>
      <c r="MI101" s="17"/>
      <c r="MJ101" s="17"/>
      <c r="MK101" s="17"/>
      <c r="ML101" s="17"/>
      <c r="MM101" s="17"/>
      <c r="MN101" s="17"/>
      <c r="MO101" s="17"/>
      <c r="MP101" s="17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/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17"/>
      <c r="PG101" s="17"/>
      <c r="PH101" s="17"/>
      <c r="PI101" s="17"/>
      <c r="PJ101" s="17"/>
      <c r="PK101" s="17"/>
      <c r="PL101" s="17"/>
      <c r="PM101" s="17"/>
      <c r="PN101" s="17"/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17"/>
      <c r="QP101" s="17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17"/>
      <c r="RM101" s="17"/>
      <c r="RN101" s="17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/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/>
      <c r="VL101" s="17"/>
      <c r="VM101" s="17"/>
      <c r="VN101" s="17"/>
      <c r="VO101" s="17"/>
      <c r="VP101" s="17"/>
      <c r="VQ101" s="17"/>
      <c r="VR101" s="17"/>
      <c r="VS101" s="17"/>
      <c r="VT101" s="17"/>
      <c r="VU101" s="17"/>
      <c r="VV101" s="17"/>
      <c r="VW101" s="17"/>
      <c r="VX101" s="17"/>
      <c r="VY101" s="17"/>
      <c r="VZ101" s="17"/>
      <c r="WA101" s="17"/>
      <c r="WB101" s="17"/>
      <c r="WC101" s="17"/>
      <c r="WD101" s="17"/>
      <c r="WE101" s="17"/>
      <c r="WF101" s="17"/>
      <c r="WG101" s="17"/>
      <c r="WH101" s="17"/>
      <c r="WI101" s="17"/>
      <c r="WJ101" s="17"/>
      <c r="WK101" s="17"/>
      <c r="WL101" s="17"/>
      <c r="WM101" s="17"/>
      <c r="WN101" s="17"/>
      <c r="WO101" s="17"/>
      <c r="WP101" s="17"/>
      <c r="WQ101" s="17"/>
      <c r="WR101" s="17"/>
      <c r="WS101" s="17"/>
      <c r="WT101" s="17"/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</row>
    <row r="102" spans="266:669" x14ac:dyDescent="0.25">
      <c r="JF102" s="17"/>
      <c r="JG102" s="17"/>
      <c r="JH102" s="17"/>
      <c r="JI102" s="17"/>
      <c r="JJ102" s="17"/>
      <c r="JK102" s="17"/>
      <c r="JL102" s="17"/>
      <c r="JM102" s="17"/>
      <c r="JN102" s="17"/>
      <c r="JO102" s="17"/>
      <c r="JP102" s="17"/>
      <c r="JQ102" s="17"/>
      <c r="JR102" s="17"/>
      <c r="JS102" s="17"/>
      <c r="JT102" s="17"/>
      <c r="JU102" s="17"/>
      <c r="JV102" s="17"/>
      <c r="JW102" s="17"/>
      <c r="JX102" s="17"/>
      <c r="JY102" s="17"/>
      <c r="JZ102" s="17"/>
      <c r="KA102" s="17"/>
      <c r="KB102" s="17"/>
      <c r="KC102" s="17"/>
      <c r="KD102" s="17"/>
      <c r="KE102" s="17"/>
      <c r="KF102" s="17"/>
      <c r="KG102" s="17"/>
      <c r="KH102" s="17"/>
      <c r="KI102" s="17"/>
      <c r="KJ102" s="17"/>
      <c r="KK102" s="17"/>
      <c r="KL102" s="17"/>
      <c r="KM102" s="17"/>
      <c r="KN102" s="17"/>
      <c r="KO102" s="17"/>
      <c r="KP102" s="17"/>
      <c r="KQ102" s="17"/>
      <c r="KR102" s="17"/>
      <c r="KS102" s="17"/>
      <c r="KT102" s="17"/>
      <c r="KU102" s="17"/>
      <c r="KV102" s="17"/>
      <c r="KW102" s="17"/>
      <c r="KX102" s="17"/>
      <c r="KY102" s="17"/>
      <c r="KZ102" s="17"/>
      <c r="LA102" s="17"/>
      <c r="LB102" s="17"/>
      <c r="LC102" s="17"/>
      <c r="LD102" s="17"/>
      <c r="LE102" s="17"/>
      <c r="LF102" s="17"/>
      <c r="LG102" s="17"/>
      <c r="LH102" s="17"/>
      <c r="LI102" s="17"/>
      <c r="LJ102" s="17"/>
      <c r="LK102" s="17"/>
      <c r="LL102" s="17"/>
      <c r="LM102" s="17"/>
      <c r="LN102" s="17"/>
      <c r="LO102" s="17"/>
      <c r="LP102" s="17"/>
      <c r="LQ102" s="17"/>
      <c r="LR102" s="17"/>
      <c r="LS102" s="17"/>
      <c r="LT102" s="17"/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F102" s="17"/>
      <c r="MG102" s="17"/>
      <c r="MH102" s="17"/>
      <c r="MI102" s="17"/>
      <c r="MJ102" s="17"/>
      <c r="MK102" s="17"/>
      <c r="ML102" s="17"/>
      <c r="MM102" s="17"/>
      <c r="MN102" s="17"/>
      <c r="MO102" s="17"/>
      <c r="MP102" s="17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17"/>
      <c r="OP102" s="17"/>
      <c r="OQ102" s="17"/>
      <c r="OR102" s="17"/>
      <c r="OS102" s="17"/>
      <c r="OT102" s="17"/>
      <c r="OU102" s="17"/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17"/>
      <c r="PG102" s="17"/>
      <c r="PH102" s="17"/>
      <c r="PI102" s="17"/>
      <c r="PJ102" s="17"/>
      <c r="PK102" s="17"/>
      <c r="PL102" s="17"/>
      <c r="PM102" s="17"/>
      <c r="PN102" s="17"/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17"/>
      <c r="QP102" s="17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17"/>
      <c r="RM102" s="17"/>
      <c r="RN102" s="17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/>
      <c r="VL102" s="17"/>
      <c r="VM102" s="17"/>
      <c r="VN102" s="17"/>
      <c r="VO102" s="17"/>
      <c r="VP102" s="17"/>
      <c r="VQ102" s="17"/>
      <c r="VR102" s="17"/>
      <c r="VS102" s="17"/>
      <c r="VT102" s="17"/>
      <c r="VU102" s="17"/>
      <c r="VV102" s="17"/>
      <c r="VW102" s="17"/>
      <c r="VX102" s="17"/>
      <c r="VY102" s="17"/>
      <c r="VZ102" s="17"/>
      <c r="WA102" s="17"/>
      <c r="WB102" s="17"/>
      <c r="WC102" s="17"/>
      <c r="WD102" s="17"/>
      <c r="WE102" s="17"/>
      <c r="WF102" s="17"/>
      <c r="WG102" s="17"/>
      <c r="WH102" s="17"/>
      <c r="WI102" s="17"/>
      <c r="WJ102" s="17"/>
      <c r="WK102" s="17"/>
      <c r="WL102" s="17"/>
      <c r="WM102" s="17"/>
      <c r="WN102" s="17"/>
      <c r="WO102" s="17"/>
      <c r="WP102" s="17"/>
      <c r="WQ102" s="17"/>
      <c r="WR102" s="17"/>
      <c r="WS102" s="17"/>
      <c r="WT102" s="17"/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</row>
    <row r="103" spans="266:669" x14ac:dyDescent="0.25">
      <c r="JF103" s="17"/>
      <c r="JG103" s="17"/>
      <c r="JH103" s="17"/>
      <c r="JI103" s="17"/>
      <c r="JJ103" s="17"/>
      <c r="JK103" s="17"/>
      <c r="JL103" s="17"/>
      <c r="JM103" s="17"/>
      <c r="JN103" s="17"/>
      <c r="JO103" s="17"/>
      <c r="JP103" s="17"/>
      <c r="JQ103" s="17"/>
      <c r="JR103" s="17"/>
      <c r="JS103" s="17"/>
      <c r="JT103" s="17"/>
      <c r="JU103" s="17"/>
      <c r="JV103" s="17"/>
      <c r="JW103" s="17"/>
      <c r="JX103" s="17"/>
      <c r="JY103" s="17"/>
      <c r="JZ103" s="17"/>
      <c r="KA103" s="17"/>
      <c r="KB103" s="17"/>
      <c r="KC103" s="17"/>
      <c r="KD103" s="17"/>
      <c r="KE103" s="17"/>
      <c r="KF103" s="17"/>
      <c r="KG103" s="17"/>
      <c r="KH103" s="17"/>
      <c r="KI103" s="17"/>
      <c r="KJ103" s="17"/>
      <c r="KK103" s="17"/>
      <c r="KL103" s="17"/>
      <c r="KM103" s="17"/>
      <c r="KN103" s="17"/>
      <c r="KO103" s="17"/>
      <c r="KP103" s="17"/>
      <c r="KQ103" s="17"/>
      <c r="KR103" s="17"/>
      <c r="KS103" s="17"/>
      <c r="KT103" s="17"/>
      <c r="KU103" s="17"/>
      <c r="KV103" s="17"/>
      <c r="KW103" s="17"/>
      <c r="KX103" s="17"/>
      <c r="KY103" s="17"/>
      <c r="KZ103" s="17"/>
      <c r="LA103" s="17"/>
      <c r="LB103" s="17"/>
      <c r="LC103" s="17"/>
      <c r="LD103" s="17"/>
      <c r="LE103" s="17"/>
      <c r="LF103" s="17"/>
      <c r="LG103" s="17"/>
      <c r="LH103" s="17"/>
      <c r="LI103" s="17"/>
      <c r="LJ103" s="17"/>
      <c r="LK103" s="17"/>
      <c r="LL103" s="17"/>
      <c r="LM103" s="17"/>
      <c r="LN103" s="17"/>
      <c r="LO103" s="17"/>
      <c r="LP103" s="17"/>
      <c r="LQ103" s="17"/>
      <c r="LR103" s="17"/>
      <c r="LS103" s="17"/>
      <c r="LT103" s="17"/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F103" s="17"/>
      <c r="MG103" s="17"/>
      <c r="MH103" s="17"/>
      <c r="MI103" s="17"/>
      <c r="MJ103" s="17"/>
      <c r="MK103" s="17"/>
      <c r="ML103" s="17"/>
      <c r="MM103" s="17"/>
      <c r="MN103" s="17"/>
      <c r="MO103" s="17"/>
      <c r="MP103" s="17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  <c r="NX103" s="17"/>
      <c r="NY103" s="17"/>
      <c r="NZ103" s="17"/>
      <c r="OA103" s="17"/>
      <c r="OB103" s="17"/>
      <c r="OC103" s="17"/>
      <c r="OD103" s="17"/>
      <c r="OE103" s="17"/>
      <c r="OF103" s="17"/>
      <c r="OG103" s="17"/>
      <c r="OH103" s="17"/>
      <c r="OI103" s="17"/>
      <c r="OJ103" s="17"/>
      <c r="OK103" s="17"/>
      <c r="OL103" s="17"/>
      <c r="OM103" s="17"/>
      <c r="ON103" s="17"/>
      <c r="OO103" s="17"/>
      <c r="OP103" s="17"/>
      <c r="OQ103" s="17"/>
      <c r="OR103" s="17"/>
      <c r="OS103" s="17"/>
      <c r="OT103" s="17"/>
      <c r="OU103" s="17"/>
      <c r="OV103" s="17"/>
      <c r="OW103" s="17"/>
      <c r="OX103" s="17"/>
      <c r="OY103" s="17"/>
      <c r="OZ103" s="17"/>
      <c r="PA103" s="17"/>
      <c r="PB103" s="17"/>
      <c r="PC103" s="17"/>
      <c r="PD103" s="17"/>
      <c r="PE103" s="17"/>
      <c r="PF103" s="17"/>
      <c r="PG103" s="17"/>
      <c r="PH103" s="17"/>
      <c r="PI103" s="17"/>
      <c r="PJ103" s="17"/>
      <c r="PK103" s="17"/>
      <c r="PL103" s="17"/>
      <c r="PM103" s="17"/>
      <c r="PN103" s="17"/>
      <c r="PO103" s="17"/>
      <c r="PP103" s="17"/>
      <c r="PQ103" s="17"/>
      <c r="PR103" s="17"/>
      <c r="PS103" s="17"/>
      <c r="PT103" s="17"/>
      <c r="PU103" s="17"/>
      <c r="PV103" s="17"/>
      <c r="PW103" s="17"/>
      <c r="PX103" s="17"/>
      <c r="PY103" s="17"/>
      <c r="PZ103" s="17"/>
      <c r="QA103" s="17"/>
      <c r="QB103" s="17"/>
      <c r="QC103" s="17"/>
      <c r="QD103" s="17"/>
      <c r="QE103" s="17"/>
      <c r="QF103" s="17"/>
      <c r="QG103" s="17"/>
      <c r="QH103" s="17"/>
      <c r="QI103" s="17"/>
      <c r="QJ103" s="17"/>
      <c r="QK103" s="17"/>
      <c r="QL103" s="17"/>
      <c r="QM103" s="17"/>
      <c r="QN103" s="17"/>
      <c r="QO103" s="17"/>
      <c r="QP103" s="17"/>
      <c r="QQ103" s="17"/>
      <c r="QR103" s="17"/>
      <c r="QS103" s="17"/>
      <c r="QT103" s="17"/>
      <c r="QU103" s="17"/>
      <c r="QV103" s="17"/>
      <c r="QW103" s="17"/>
      <c r="QX103" s="17"/>
      <c r="QY103" s="17"/>
      <c r="QZ103" s="17"/>
      <c r="RA103" s="17"/>
      <c r="RB103" s="17"/>
      <c r="RC103" s="17"/>
      <c r="RD103" s="17"/>
      <c r="RE103" s="17"/>
      <c r="RF103" s="17"/>
      <c r="RG103" s="17"/>
      <c r="RH103" s="17"/>
      <c r="RI103" s="17"/>
      <c r="RJ103" s="17"/>
      <c r="RK103" s="17"/>
      <c r="RL103" s="17"/>
      <c r="RM103" s="17"/>
      <c r="RN103" s="17"/>
      <c r="RO103" s="17"/>
      <c r="RP103" s="17"/>
      <c r="RQ103" s="17"/>
      <c r="RR103" s="17"/>
      <c r="RS103" s="17"/>
      <c r="RT103" s="17"/>
      <c r="RU103" s="17"/>
      <c r="RV103" s="17"/>
      <c r="RW103" s="17"/>
      <c r="RX103" s="17"/>
      <c r="RY103" s="17"/>
      <c r="RZ103" s="17"/>
      <c r="SA103" s="17"/>
      <c r="SB103" s="17"/>
      <c r="SC103" s="17"/>
      <c r="SD103" s="17"/>
      <c r="SE103" s="17"/>
      <c r="SF103" s="17"/>
      <c r="SG103" s="17"/>
      <c r="SH103" s="17"/>
      <c r="SI103" s="17"/>
      <c r="SJ103" s="17"/>
      <c r="SK103" s="17"/>
      <c r="SL103" s="17"/>
      <c r="SM103" s="17"/>
      <c r="SN103" s="17"/>
      <c r="SO103" s="17"/>
      <c r="SP103" s="17"/>
      <c r="SQ103" s="17"/>
      <c r="SR103" s="17"/>
      <c r="SS103" s="17"/>
      <c r="ST103" s="17"/>
      <c r="SU103" s="17"/>
      <c r="SV103" s="17"/>
      <c r="SW103" s="17"/>
      <c r="SX103" s="17"/>
      <c r="SY103" s="17"/>
      <c r="SZ103" s="17"/>
      <c r="TA103" s="17"/>
      <c r="TB103" s="17"/>
      <c r="TC103" s="17"/>
      <c r="TD103" s="17"/>
      <c r="TE103" s="17"/>
      <c r="TF103" s="17"/>
      <c r="TG103" s="17"/>
      <c r="TH103" s="17"/>
      <c r="TI103" s="17"/>
      <c r="TJ103" s="17"/>
      <c r="TK103" s="17"/>
      <c r="TL103" s="17"/>
      <c r="TM103" s="17"/>
      <c r="TN103" s="17"/>
      <c r="TO103" s="17"/>
      <c r="TP103" s="17"/>
      <c r="TQ103" s="17"/>
      <c r="TR103" s="17"/>
      <c r="TS103" s="17"/>
      <c r="TT103" s="17"/>
      <c r="TU103" s="17"/>
      <c r="TV103" s="17"/>
      <c r="TW103" s="17"/>
      <c r="TX103" s="17"/>
      <c r="TY103" s="17"/>
      <c r="TZ103" s="17"/>
      <c r="UA103" s="17"/>
      <c r="UB103" s="17"/>
      <c r="UC103" s="17"/>
      <c r="UD103" s="17"/>
      <c r="UE103" s="17"/>
      <c r="UF103" s="17"/>
      <c r="UG103" s="17"/>
      <c r="UH103" s="17"/>
      <c r="UI103" s="17"/>
      <c r="UJ103" s="17"/>
      <c r="UK103" s="17"/>
      <c r="UL103" s="17"/>
      <c r="UM103" s="17"/>
      <c r="UN103" s="17"/>
      <c r="UO103" s="17"/>
      <c r="UP103" s="17"/>
      <c r="UQ103" s="17"/>
      <c r="UR103" s="17"/>
      <c r="US103" s="17"/>
      <c r="UT103" s="17"/>
      <c r="UU103" s="17"/>
      <c r="UV103" s="17"/>
      <c r="UW103" s="17"/>
      <c r="UX103" s="17"/>
      <c r="UY103" s="17"/>
      <c r="UZ103" s="17"/>
      <c r="VA103" s="17"/>
      <c r="VB103" s="17"/>
      <c r="VC103" s="17"/>
      <c r="VD103" s="17"/>
      <c r="VE103" s="17"/>
      <c r="VF103" s="17"/>
      <c r="VG103" s="17"/>
      <c r="VH103" s="17"/>
      <c r="VI103" s="17"/>
      <c r="VJ103" s="17"/>
      <c r="VK103" s="17"/>
      <c r="VL103" s="17"/>
      <c r="VM103" s="17"/>
      <c r="VN103" s="17"/>
      <c r="VO103" s="17"/>
      <c r="VP103" s="17"/>
      <c r="VQ103" s="17"/>
      <c r="VR103" s="17"/>
      <c r="VS103" s="17"/>
      <c r="VT103" s="17"/>
      <c r="VU103" s="17"/>
      <c r="VV103" s="17"/>
      <c r="VW103" s="17"/>
      <c r="VX103" s="17"/>
      <c r="VY103" s="17"/>
      <c r="VZ103" s="17"/>
      <c r="WA103" s="17"/>
      <c r="WB103" s="17"/>
      <c r="WC103" s="17"/>
      <c r="WD103" s="17"/>
      <c r="WE103" s="17"/>
      <c r="WF103" s="17"/>
      <c r="WG103" s="17"/>
      <c r="WH103" s="17"/>
      <c r="WI103" s="17"/>
      <c r="WJ103" s="17"/>
      <c r="WK103" s="17"/>
      <c r="WL103" s="17"/>
      <c r="WM103" s="17"/>
      <c r="WN103" s="17"/>
      <c r="WO103" s="17"/>
      <c r="WP103" s="17"/>
      <c r="WQ103" s="17"/>
      <c r="WR103" s="17"/>
      <c r="WS103" s="17"/>
      <c r="WT103" s="17"/>
      <c r="WU103" s="17"/>
      <c r="WV103" s="17"/>
      <c r="WW103" s="17"/>
      <c r="WX103" s="17"/>
      <c r="WY103" s="17"/>
      <c r="WZ103" s="17"/>
      <c r="XA103" s="17"/>
      <c r="XB103" s="17"/>
      <c r="XC103" s="17"/>
      <c r="XD103" s="17"/>
      <c r="XE103" s="17"/>
      <c r="XF103" s="17"/>
      <c r="XG103" s="17"/>
      <c r="XH103" s="17"/>
      <c r="XI103" s="17"/>
      <c r="XJ103" s="17"/>
      <c r="XK103" s="17"/>
      <c r="XL103" s="17"/>
      <c r="XM103" s="17"/>
      <c r="XN103" s="17"/>
      <c r="XO103" s="17"/>
      <c r="XP103" s="17"/>
      <c r="XQ103" s="17"/>
      <c r="XR103" s="17"/>
      <c r="XS103" s="17"/>
      <c r="XT103" s="17"/>
      <c r="XU103" s="17"/>
      <c r="XV103" s="17"/>
      <c r="XW103" s="17"/>
      <c r="XX103" s="17"/>
      <c r="XY103" s="17"/>
      <c r="XZ103" s="17"/>
      <c r="YA103" s="17"/>
      <c r="YB103" s="17"/>
      <c r="YC103" s="17"/>
      <c r="YD103" s="17"/>
      <c r="YE103" s="17"/>
      <c r="YF103" s="17"/>
      <c r="YG103" s="17"/>
      <c r="YH103" s="17"/>
      <c r="YI103" s="17"/>
      <c r="YJ103" s="17"/>
      <c r="YK103" s="17"/>
      <c r="YL103" s="17"/>
      <c r="YM103" s="17"/>
      <c r="YN103" s="17"/>
      <c r="YO103" s="17"/>
      <c r="YP103" s="17"/>
      <c r="YQ103" s="17"/>
      <c r="YR103" s="17"/>
      <c r="YS103" s="17"/>
    </row>
    <row r="104" spans="266:669" x14ac:dyDescent="0.25"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17"/>
      <c r="KG104" s="17"/>
      <c r="KH104" s="17"/>
      <c r="KI104" s="17"/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7"/>
      <c r="LL104" s="17"/>
      <c r="LM104" s="17"/>
      <c r="LN104" s="17"/>
      <c r="LO104" s="17"/>
      <c r="LP104" s="17"/>
      <c r="LQ104" s="17"/>
      <c r="LR104" s="17"/>
      <c r="LS104" s="17"/>
      <c r="LT104" s="17"/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F104" s="17"/>
      <c r="MG104" s="17"/>
      <c r="MH104" s="17"/>
      <c r="MI104" s="17"/>
      <c r="MJ104" s="17"/>
      <c r="MK104" s="17"/>
      <c r="ML104" s="17"/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17"/>
      <c r="RM104" s="17"/>
      <c r="RN104" s="17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17"/>
      <c r="VZ104" s="17"/>
      <c r="WA104" s="17"/>
      <c r="WB104" s="17"/>
      <c r="WC104" s="17"/>
      <c r="WD104" s="17"/>
      <c r="WE104" s="17"/>
      <c r="WF104" s="17"/>
      <c r="WG104" s="17"/>
      <c r="WH104" s="17"/>
      <c r="WI104" s="17"/>
      <c r="WJ104" s="17"/>
      <c r="WK104" s="17"/>
      <c r="WL104" s="17"/>
      <c r="WM104" s="17"/>
      <c r="WN104" s="17"/>
      <c r="WO104" s="17"/>
      <c r="WP104" s="17"/>
      <c r="WQ104" s="17"/>
      <c r="WR104" s="17"/>
      <c r="WS104" s="17"/>
      <c r="WT104" s="17"/>
      <c r="WU104" s="17"/>
      <c r="WV104" s="17"/>
      <c r="WW104" s="17"/>
      <c r="WX104" s="17"/>
      <c r="WY104" s="17"/>
      <c r="WZ104" s="17"/>
      <c r="XA104" s="17"/>
      <c r="XB104" s="17"/>
      <c r="XC104" s="17"/>
      <c r="XD104" s="17"/>
      <c r="XE104" s="17"/>
      <c r="XF104" s="17"/>
      <c r="XG104" s="17"/>
      <c r="XH104" s="17"/>
      <c r="XI104" s="17"/>
      <c r="XJ104" s="17"/>
      <c r="XK104" s="17"/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</row>
    <row r="105" spans="266:669" x14ac:dyDescent="0.25">
      <c r="JF105" s="17"/>
      <c r="JG105" s="17"/>
      <c r="JH105" s="17"/>
      <c r="JI105" s="17"/>
      <c r="JJ105" s="17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/>
      <c r="KA105" s="17"/>
      <c r="KB105" s="17"/>
      <c r="KC105" s="17"/>
      <c r="KD105" s="17"/>
      <c r="KE105" s="17"/>
      <c r="KF105" s="17"/>
      <c r="KG105" s="17"/>
      <c r="KH105" s="17"/>
      <c r="KI105" s="17"/>
      <c r="KJ105" s="17"/>
      <c r="KK105" s="17"/>
      <c r="KL105" s="17"/>
      <c r="KM105" s="17"/>
      <c r="KN105" s="17"/>
      <c r="KO105" s="17"/>
      <c r="KP105" s="17"/>
      <c r="KQ105" s="17"/>
      <c r="KR105" s="17"/>
      <c r="KS105" s="17"/>
      <c r="KT105" s="17"/>
      <c r="KU105" s="17"/>
      <c r="KV105" s="17"/>
      <c r="KW105" s="17"/>
      <c r="KX105" s="17"/>
      <c r="KY105" s="17"/>
      <c r="KZ105" s="17"/>
      <c r="LA105" s="17"/>
      <c r="LB105" s="17"/>
      <c r="LC105" s="17"/>
      <c r="LD105" s="17"/>
      <c r="LE105" s="17"/>
      <c r="LF105" s="17"/>
      <c r="LG105" s="17"/>
      <c r="LH105" s="17"/>
      <c r="LI105" s="17"/>
      <c r="LJ105" s="17"/>
      <c r="LK105" s="17"/>
      <c r="LL105" s="17"/>
      <c r="LM105" s="17"/>
      <c r="LN105" s="17"/>
      <c r="LO105" s="17"/>
      <c r="LP105" s="17"/>
      <c r="LQ105" s="17"/>
      <c r="LR105" s="17"/>
      <c r="LS105" s="17"/>
      <c r="LT105" s="17"/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F105" s="17"/>
      <c r="MG105" s="17"/>
      <c r="MH105" s="17"/>
      <c r="MI105" s="17"/>
      <c r="MJ105" s="17"/>
      <c r="MK105" s="17"/>
      <c r="ML105" s="17"/>
      <c r="MM105" s="17"/>
      <c r="MN105" s="17"/>
      <c r="MO105" s="17"/>
      <c r="MP105" s="17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17"/>
      <c r="RM105" s="17"/>
      <c r="RN105" s="17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17"/>
      <c r="VZ105" s="17"/>
      <c r="WA105" s="17"/>
      <c r="WB105" s="17"/>
      <c r="WC105" s="17"/>
      <c r="WD105" s="17"/>
      <c r="WE105" s="17"/>
      <c r="WF105" s="17"/>
      <c r="WG105" s="17"/>
      <c r="WH105" s="17"/>
      <c r="WI105" s="17"/>
      <c r="WJ105" s="17"/>
      <c r="WK105" s="17"/>
      <c r="WL105" s="17"/>
      <c r="WM105" s="17"/>
      <c r="WN105" s="17"/>
      <c r="WO105" s="17"/>
      <c r="WP105" s="17"/>
      <c r="WQ105" s="17"/>
      <c r="WR105" s="17"/>
      <c r="WS105" s="17"/>
      <c r="WT105" s="17"/>
      <c r="WU105" s="17"/>
      <c r="WV105" s="17"/>
      <c r="WW105" s="17"/>
      <c r="WX105" s="17"/>
      <c r="WY105" s="17"/>
      <c r="WZ105" s="17"/>
      <c r="XA105" s="17"/>
      <c r="XB105" s="17"/>
      <c r="XC105" s="17"/>
      <c r="XD105" s="17"/>
      <c r="XE105" s="17"/>
      <c r="XF105" s="17"/>
      <c r="XG105" s="17"/>
      <c r="XH105" s="17"/>
      <c r="XI105" s="17"/>
      <c r="XJ105" s="17"/>
      <c r="XK105" s="17"/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</row>
    <row r="106" spans="266:669" x14ac:dyDescent="0.25">
      <c r="JF106" s="17"/>
      <c r="JG106" s="17"/>
      <c r="JH106" s="17"/>
      <c r="JI106" s="17"/>
      <c r="JJ106" s="17"/>
      <c r="JK106" s="17"/>
      <c r="JL106" s="17"/>
      <c r="JM106" s="17"/>
      <c r="JN106" s="17"/>
      <c r="JO106" s="17"/>
      <c r="JP106" s="17"/>
      <c r="JQ106" s="17"/>
      <c r="JR106" s="17"/>
      <c r="JS106" s="17"/>
      <c r="JT106" s="17"/>
      <c r="JU106" s="17"/>
      <c r="JV106" s="17"/>
      <c r="JW106" s="17"/>
      <c r="JX106" s="17"/>
      <c r="JY106" s="17"/>
      <c r="JZ106" s="17"/>
      <c r="KA106" s="17"/>
      <c r="KB106" s="17"/>
      <c r="KC106" s="17"/>
      <c r="KD106" s="17"/>
      <c r="KE106" s="17"/>
      <c r="KF106" s="17"/>
      <c r="KG106" s="17"/>
      <c r="KH106" s="17"/>
      <c r="KI106" s="17"/>
      <c r="KJ106" s="17"/>
      <c r="KK106" s="17"/>
      <c r="KL106" s="17"/>
      <c r="KM106" s="17"/>
      <c r="KN106" s="17"/>
      <c r="KO106" s="17"/>
      <c r="KP106" s="17"/>
      <c r="KQ106" s="17"/>
      <c r="KR106" s="17"/>
      <c r="KS106" s="17"/>
      <c r="KT106" s="17"/>
      <c r="KU106" s="17"/>
      <c r="KV106" s="17"/>
      <c r="KW106" s="17"/>
      <c r="KX106" s="17"/>
      <c r="KY106" s="17"/>
      <c r="KZ106" s="17"/>
      <c r="LA106" s="17"/>
      <c r="LB106" s="17"/>
      <c r="LC106" s="17"/>
      <c r="LD106" s="17"/>
      <c r="LE106" s="17"/>
      <c r="LF106" s="17"/>
      <c r="LG106" s="17"/>
      <c r="LH106" s="17"/>
      <c r="LI106" s="17"/>
      <c r="LJ106" s="17"/>
      <c r="LK106" s="17"/>
      <c r="LL106" s="17"/>
      <c r="LM106" s="17"/>
      <c r="LN106" s="17"/>
      <c r="LO106" s="17"/>
      <c r="LP106" s="17"/>
      <c r="LQ106" s="17"/>
      <c r="LR106" s="17"/>
      <c r="LS106" s="17"/>
      <c r="LT106" s="17"/>
      <c r="LU106" s="17"/>
      <c r="LV106" s="17"/>
      <c r="LW106" s="17"/>
      <c r="LX106" s="17"/>
      <c r="LY106" s="17"/>
      <c r="LZ106" s="17"/>
      <c r="MA106" s="17"/>
      <c r="MB106" s="17"/>
      <c r="MC106" s="17"/>
      <c r="MD106" s="17"/>
      <c r="ME106" s="17"/>
      <c r="MF106" s="17"/>
      <c r="MG106" s="17"/>
      <c r="MH106" s="17"/>
      <c r="MI106" s="17"/>
      <c r="MJ106" s="17"/>
      <c r="MK106" s="17"/>
      <c r="ML106" s="17"/>
      <c r="MM106" s="17"/>
      <c r="MN106" s="17"/>
      <c r="MO106" s="17"/>
      <c r="MP106" s="17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</row>
    <row r="107" spans="266:669" x14ac:dyDescent="0.25">
      <c r="JF107" s="17"/>
      <c r="JG107" s="17"/>
      <c r="JH107" s="17"/>
      <c r="JI107" s="17"/>
      <c r="JJ107" s="17"/>
      <c r="JK107" s="17"/>
      <c r="JL107" s="17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7"/>
      <c r="KS107" s="17"/>
      <c r="KT107" s="17"/>
      <c r="KU107" s="17"/>
      <c r="KV107" s="17"/>
      <c r="KW107" s="17"/>
      <c r="KX107" s="17"/>
      <c r="KY107" s="17"/>
      <c r="KZ107" s="17"/>
      <c r="LA107" s="17"/>
      <c r="LB107" s="17"/>
      <c r="LC107" s="17"/>
      <c r="LD107" s="17"/>
      <c r="LE107" s="17"/>
      <c r="LF107" s="17"/>
      <c r="LG107" s="17"/>
      <c r="LH107" s="17"/>
      <c r="LI107" s="17"/>
      <c r="LJ107" s="17"/>
      <c r="LK107" s="17"/>
      <c r="LL107" s="17"/>
      <c r="LM107" s="17"/>
      <c r="LN107" s="17"/>
      <c r="LO107" s="17"/>
      <c r="LP107" s="17"/>
      <c r="LQ107" s="17"/>
      <c r="LR107" s="17"/>
      <c r="LS107" s="17"/>
      <c r="LT107" s="17"/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F107" s="17"/>
      <c r="MG107" s="17"/>
      <c r="MH107" s="17"/>
      <c r="MI107" s="17"/>
      <c r="MJ107" s="17"/>
      <c r="MK107" s="17"/>
      <c r="ML107" s="17"/>
      <c r="MM107" s="17"/>
      <c r="MN107" s="17"/>
      <c r="MO107" s="17"/>
      <c r="MP107" s="17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17"/>
      <c r="PB107" s="17"/>
      <c r="PC107" s="17"/>
      <c r="PD107" s="17"/>
      <c r="PE107" s="17"/>
      <c r="PF107" s="17"/>
      <c r="PG107" s="17"/>
      <c r="PH107" s="17"/>
      <c r="PI107" s="17"/>
      <c r="PJ107" s="17"/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/>
      <c r="QG107" s="17"/>
      <c r="QH107" s="17"/>
      <c r="QI107" s="17"/>
      <c r="QJ107" s="17"/>
      <c r="QK107" s="17"/>
      <c r="QL107" s="17"/>
      <c r="QM107" s="17"/>
      <c r="QN107" s="17"/>
      <c r="QO107" s="17"/>
      <c r="QP107" s="17"/>
      <c r="QQ107" s="17"/>
      <c r="QR107" s="17"/>
      <c r="QS107" s="17"/>
      <c r="QT107" s="17"/>
      <c r="QU107" s="17"/>
      <c r="QV107" s="17"/>
      <c r="QW107" s="17"/>
      <c r="QX107" s="17"/>
      <c r="QY107" s="17"/>
      <c r="QZ107" s="17"/>
      <c r="RA107" s="17"/>
      <c r="RB107" s="17"/>
      <c r="RC107" s="17"/>
      <c r="RD107" s="17"/>
      <c r="RE107" s="17"/>
      <c r="RF107" s="17"/>
      <c r="RG107" s="17"/>
      <c r="RH107" s="17"/>
      <c r="RI107" s="17"/>
      <c r="RJ107" s="17"/>
      <c r="RK107" s="17"/>
      <c r="RL107" s="17"/>
      <c r="RM107" s="17"/>
      <c r="RN107" s="17"/>
      <c r="RO107" s="17"/>
      <c r="RP107" s="17"/>
      <c r="RQ107" s="17"/>
      <c r="RR107" s="17"/>
      <c r="RS107" s="17"/>
      <c r="RT107" s="17"/>
      <c r="RU107" s="17"/>
      <c r="RV107" s="17"/>
      <c r="RW107" s="17"/>
      <c r="RX107" s="17"/>
      <c r="RY107" s="17"/>
      <c r="RZ107" s="17"/>
      <c r="SA107" s="17"/>
      <c r="SB107" s="17"/>
      <c r="SC107" s="17"/>
      <c r="SD107" s="17"/>
      <c r="SE107" s="17"/>
      <c r="SF107" s="17"/>
      <c r="SG107" s="17"/>
      <c r="SH107" s="17"/>
      <c r="SI107" s="17"/>
      <c r="SJ107" s="17"/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17"/>
      <c r="VZ107" s="17"/>
      <c r="WA107" s="17"/>
      <c r="WB107" s="17"/>
      <c r="WC107" s="17"/>
      <c r="WD107" s="17"/>
      <c r="WE107" s="17"/>
      <c r="WF107" s="17"/>
      <c r="WG107" s="17"/>
      <c r="WH107" s="17"/>
      <c r="WI107" s="17"/>
      <c r="WJ107" s="17"/>
      <c r="WK107" s="17"/>
      <c r="WL107" s="17"/>
      <c r="WM107" s="17"/>
      <c r="WN107" s="17"/>
      <c r="WO107" s="17"/>
      <c r="WP107" s="17"/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/>
      <c r="XM107" s="17"/>
      <c r="XN107" s="17"/>
      <c r="XO107" s="17"/>
      <c r="XP107" s="17"/>
      <c r="XQ107" s="17"/>
      <c r="XR107" s="17"/>
      <c r="XS107" s="17"/>
      <c r="XT107" s="17"/>
      <c r="XU107" s="17"/>
      <c r="XV107" s="17"/>
      <c r="XW107" s="17"/>
      <c r="XX107" s="17"/>
      <c r="XY107" s="17"/>
      <c r="XZ107" s="17"/>
      <c r="YA107" s="17"/>
      <c r="YB107" s="17"/>
      <c r="YC107" s="17"/>
      <c r="YD107" s="17"/>
      <c r="YE107" s="17"/>
      <c r="YF107" s="17"/>
      <c r="YG107" s="17"/>
      <c r="YH107" s="17"/>
      <c r="YI107" s="17"/>
      <c r="YJ107" s="17"/>
      <c r="YK107" s="17"/>
      <c r="YL107" s="17"/>
      <c r="YM107" s="17"/>
      <c r="YN107" s="17"/>
      <c r="YO107" s="17"/>
      <c r="YP107" s="17"/>
      <c r="YQ107" s="17"/>
      <c r="YR107" s="17"/>
      <c r="YS107" s="17"/>
    </row>
    <row r="108" spans="266:669" x14ac:dyDescent="0.25"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  <c r="KO108" s="17"/>
      <c r="KP108" s="17"/>
      <c r="KQ108" s="17"/>
      <c r="KR108" s="17"/>
      <c r="KS108" s="17"/>
      <c r="KT108" s="17"/>
      <c r="KU108" s="17"/>
      <c r="KV108" s="17"/>
      <c r="KW108" s="17"/>
      <c r="KX108" s="17"/>
      <c r="KY108" s="17"/>
      <c r="KZ108" s="17"/>
      <c r="LA108" s="17"/>
      <c r="LB108" s="17"/>
      <c r="LC108" s="17"/>
      <c r="LD108" s="17"/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/>
      <c r="MD108" s="17"/>
      <c r="ME108" s="17"/>
      <c r="MF108" s="17"/>
      <c r="MG108" s="17"/>
      <c r="MH108" s="17"/>
      <c r="MI108" s="17"/>
      <c r="MJ108" s="17"/>
      <c r="MK108" s="17"/>
      <c r="ML108" s="17"/>
      <c r="MM108" s="17"/>
      <c r="MN108" s="17"/>
      <c r="MO108" s="17"/>
      <c r="MP108" s="17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</row>
    <row r="109" spans="266:669" x14ac:dyDescent="0.25">
      <c r="JF109" s="17"/>
      <c r="JG109" s="17"/>
      <c r="JH109" s="17"/>
      <c r="JI109" s="17"/>
      <c r="JJ109" s="17"/>
      <c r="JK109" s="17"/>
      <c r="JL109" s="17"/>
      <c r="JM109" s="17"/>
      <c r="JN109" s="17"/>
      <c r="JO109" s="17"/>
      <c r="JP109" s="17"/>
      <c r="JQ109" s="17"/>
      <c r="JR109" s="17"/>
      <c r="JS109" s="17"/>
      <c r="JT109" s="17"/>
      <c r="JU109" s="17"/>
      <c r="JV109" s="17"/>
      <c r="JW109" s="17"/>
      <c r="JX109" s="17"/>
      <c r="JY109" s="17"/>
      <c r="JZ109" s="17"/>
      <c r="KA109" s="17"/>
      <c r="KB109" s="17"/>
      <c r="KC109" s="17"/>
      <c r="KD109" s="17"/>
      <c r="KE109" s="17"/>
      <c r="KF109" s="17"/>
      <c r="KG109" s="17"/>
      <c r="KH109" s="17"/>
      <c r="KI109" s="17"/>
      <c r="KJ109" s="17"/>
      <c r="KK109" s="17"/>
      <c r="KL109" s="17"/>
      <c r="KM109" s="17"/>
      <c r="KN109" s="17"/>
      <c r="KO109" s="17"/>
      <c r="KP109" s="17"/>
      <c r="KQ109" s="17"/>
      <c r="KR109" s="17"/>
      <c r="KS109" s="17"/>
      <c r="KT109" s="17"/>
      <c r="KU109" s="17"/>
      <c r="KV109" s="17"/>
      <c r="KW109" s="17"/>
      <c r="KX109" s="17"/>
      <c r="KY109" s="17"/>
      <c r="KZ109" s="17"/>
      <c r="LA109" s="17"/>
      <c r="LB109" s="17"/>
      <c r="LC109" s="17"/>
      <c r="LD109" s="17"/>
      <c r="LE109" s="17"/>
      <c r="LF109" s="17"/>
      <c r="LG109" s="17"/>
      <c r="LH109" s="17"/>
      <c r="LI109" s="17"/>
      <c r="LJ109" s="17"/>
      <c r="LK109" s="17"/>
      <c r="LL109" s="17"/>
      <c r="LM109" s="17"/>
      <c r="LN109" s="17"/>
      <c r="LO109" s="17"/>
      <c r="LP109" s="17"/>
      <c r="LQ109" s="17"/>
      <c r="LR109" s="17"/>
      <c r="LS109" s="17"/>
      <c r="LT109" s="17"/>
      <c r="LU109" s="17"/>
      <c r="LV109" s="17"/>
      <c r="LW109" s="17"/>
      <c r="LX109" s="17"/>
      <c r="LY109" s="17"/>
      <c r="LZ109" s="17"/>
      <c r="MA109" s="17"/>
      <c r="MB109" s="17"/>
      <c r="MC109" s="17"/>
      <c r="MD109" s="17"/>
      <c r="ME109" s="17"/>
      <c r="MF109" s="17"/>
      <c r="MG109" s="17"/>
      <c r="MH109" s="17"/>
      <c r="MI109" s="17"/>
      <c r="MJ109" s="17"/>
      <c r="MK109" s="17"/>
      <c r="ML109" s="17"/>
      <c r="MM109" s="17"/>
      <c r="MN109" s="17"/>
      <c r="MO109" s="17"/>
      <c r="MP109" s="17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/>
      <c r="QG109" s="17"/>
      <c r="QH109" s="17"/>
      <c r="QI109" s="17"/>
      <c r="QJ109" s="17"/>
      <c r="QK109" s="17"/>
      <c r="QL109" s="17"/>
      <c r="QM109" s="17"/>
      <c r="QN109" s="17"/>
      <c r="QO109" s="17"/>
      <c r="QP109" s="17"/>
      <c r="QQ109" s="17"/>
      <c r="QR109" s="17"/>
      <c r="QS109" s="17"/>
      <c r="QT109" s="17"/>
      <c r="QU109" s="17"/>
      <c r="QV109" s="17"/>
      <c r="QW109" s="17"/>
      <c r="QX109" s="17"/>
      <c r="QY109" s="17"/>
      <c r="QZ109" s="17"/>
      <c r="RA109" s="17"/>
      <c r="RB109" s="17"/>
      <c r="RC109" s="17"/>
      <c r="RD109" s="17"/>
      <c r="RE109" s="17"/>
      <c r="RF109" s="17"/>
      <c r="RG109" s="17"/>
      <c r="RH109" s="17"/>
      <c r="RI109" s="17"/>
      <c r="RJ109" s="17"/>
      <c r="RK109" s="17"/>
      <c r="RL109" s="17"/>
      <c r="RM109" s="17"/>
      <c r="RN109" s="17"/>
      <c r="RO109" s="17"/>
      <c r="RP109" s="17"/>
      <c r="RQ109" s="17"/>
      <c r="RR109" s="17"/>
      <c r="RS109" s="17"/>
      <c r="RT109" s="17"/>
      <c r="RU109" s="17"/>
      <c r="RV109" s="17"/>
      <c r="RW109" s="17"/>
      <c r="RX109" s="17"/>
      <c r="RY109" s="17"/>
      <c r="RZ109" s="17"/>
      <c r="SA109" s="17"/>
      <c r="SB109" s="17"/>
      <c r="SC109" s="17"/>
      <c r="SD109" s="17"/>
      <c r="SE109" s="17"/>
      <c r="SF109" s="17"/>
      <c r="SG109" s="17"/>
      <c r="SH109" s="17"/>
      <c r="SI109" s="17"/>
      <c r="SJ109" s="17"/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17"/>
      <c r="VZ109" s="17"/>
      <c r="WA109" s="17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/>
      <c r="XM109" s="17"/>
      <c r="XN109" s="17"/>
      <c r="XO109" s="17"/>
      <c r="XP109" s="17"/>
      <c r="XQ109" s="17"/>
      <c r="XR109" s="17"/>
      <c r="XS109" s="17"/>
      <c r="XT109" s="17"/>
      <c r="XU109" s="17"/>
      <c r="XV109" s="17"/>
      <c r="XW109" s="17"/>
      <c r="XX109" s="17"/>
      <c r="XY109" s="17"/>
      <c r="XZ109" s="17"/>
      <c r="YA109" s="17"/>
      <c r="YB109" s="17"/>
      <c r="YC109" s="17"/>
      <c r="YD109" s="17"/>
      <c r="YE109" s="17"/>
      <c r="YF109" s="17"/>
      <c r="YG109" s="17"/>
      <c r="YH109" s="17"/>
      <c r="YI109" s="17"/>
      <c r="YJ109" s="17"/>
      <c r="YK109" s="17"/>
      <c r="YL109" s="17"/>
      <c r="YM109" s="17"/>
      <c r="YN109" s="17"/>
      <c r="YO109" s="17"/>
      <c r="YP109" s="17"/>
      <c r="YQ109" s="17"/>
      <c r="YR109" s="17"/>
      <c r="YS109" s="17"/>
    </row>
    <row r="110" spans="266:669" x14ac:dyDescent="0.25">
      <c r="JF110" s="17"/>
      <c r="JG110" s="17"/>
      <c r="JH110" s="17"/>
      <c r="JI110" s="17"/>
      <c r="JJ110" s="17"/>
      <c r="JK110" s="17"/>
      <c r="JL110" s="17"/>
      <c r="JM110" s="17"/>
      <c r="JN110" s="17"/>
      <c r="JO110" s="17"/>
      <c r="JP110" s="17"/>
      <c r="JQ110" s="17"/>
      <c r="JR110" s="17"/>
      <c r="JS110" s="17"/>
      <c r="JT110" s="17"/>
      <c r="JU110" s="17"/>
      <c r="JV110" s="17"/>
      <c r="JW110" s="17"/>
      <c r="JX110" s="17"/>
      <c r="JY110" s="17"/>
      <c r="JZ110" s="17"/>
      <c r="KA110" s="17"/>
      <c r="KB110" s="17"/>
      <c r="KC110" s="17"/>
      <c r="KD110" s="17"/>
      <c r="KE110" s="17"/>
      <c r="KF110" s="17"/>
      <c r="KG110" s="17"/>
      <c r="KH110" s="17"/>
      <c r="KI110" s="17"/>
      <c r="KJ110" s="17"/>
      <c r="KK110" s="17"/>
      <c r="KL110" s="17"/>
      <c r="KM110" s="17"/>
      <c r="KN110" s="17"/>
      <c r="KO110" s="17"/>
      <c r="KP110" s="17"/>
      <c r="KQ110" s="17"/>
      <c r="KR110" s="17"/>
      <c r="KS110" s="17"/>
      <c r="KT110" s="17"/>
      <c r="KU110" s="17"/>
      <c r="KV110" s="17"/>
      <c r="KW110" s="17"/>
      <c r="KX110" s="17"/>
      <c r="KY110" s="17"/>
      <c r="KZ110" s="17"/>
      <c r="LA110" s="17"/>
      <c r="LB110" s="17"/>
      <c r="LC110" s="17"/>
      <c r="LD110" s="17"/>
      <c r="LE110" s="17"/>
      <c r="LF110" s="17"/>
      <c r="LG110" s="17"/>
      <c r="LH110" s="17"/>
      <c r="LI110" s="17"/>
      <c r="LJ110" s="17"/>
      <c r="LK110" s="17"/>
      <c r="LL110" s="17"/>
      <c r="LM110" s="17"/>
      <c r="LN110" s="17"/>
      <c r="LO110" s="17"/>
      <c r="LP110" s="17"/>
      <c r="LQ110" s="17"/>
      <c r="LR110" s="17"/>
      <c r="LS110" s="17"/>
      <c r="LT110" s="17"/>
      <c r="LU110" s="17"/>
      <c r="LV110" s="17"/>
      <c r="LW110" s="17"/>
      <c r="LX110" s="17"/>
      <c r="LY110" s="17"/>
      <c r="LZ110" s="17"/>
      <c r="MA110" s="17"/>
      <c r="MB110" s="17"/>
      <c r="MC110" s="17"/>
      <c r="MD110" s="17"/>
      <c r="ME110" s="17"/>
      <c r="MF110" s="17"/>
      <c r="MG110" s="17"/>
      <c r="MH110" s="17"/>
      <c r="MI110" s="17"/>
      <c r="MJ110" s="17"/>
      <c r="MK110" s="17"/>
      <c r="ML110" s="17"/>
      <c r="MM110" s="17"/>
      <c r="MN110" s="17"/>
      <c r="MO110" s="17"/>
      <c r="MP110" s="17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</row>
    <row r="111" spans="266:669" x14ac:dyDescent="0.25">
      <c r="JF111" s="17"/>
      <c r="JG111" s="17"/>
      <c r="JH111" s="17"/>
      <c r="JI111" s="17"/>
      <c r="JJ111" s="17"/>
      <c r="JK111" s="17"/>
      <c r="JL111" s="17"/>
      <c r="JM111" s="17"/>
      <c r="JN111" s="17"/>
      <c r="JO111" s="17"/>
      <c r="JP111" s="17"/>
      <c r="JQ111" s="17"/>
      <c r="JR111" s="17"/>
      <c r="JS111" s="17"/>
      <c r="JT111" s="17"/>
      <c r="JU111" s="17"/>
      <c r="JV111" s="17"/>
      <c r="JW111" s="17"/>
      <c r="JX111" s="17"/>
      <c r="JY111" s="17"/>
      <c r="JZ111" s="17"/>
      <c r="KA111" s="17"/>
      <c r="KB111" s="17"/>
      <c r="KC111" s="17"/>
      <c r="KD111" s="17"/>
      <c r="KE111" s="17"/>
      <c r="KF111" s="17"/>
      <c r="KG111" s="17"/>
      <c r="KH111" s="17"/>
      <c r="KI111" s="17"/>
      <c r="KJ111" s="17"/>
      <c r="KK111" s="17"/>
      <c r="KL111" s="17"/>
      <c r="KM111" s="17"/>
      <c r="KN111" s="17"/>
      <c r="KO111" s="17"/>
      <c r="KP111" s="17"/>
      <c r="KQ111" s="17"/>
      <c r="KR111" s="17"/>
      <c r="KS111" s="17"/>
      <c r="KT111" s="17"/>
      <c r="KU111" s="17"/>
      <c r="KV111" s="17"/>
      <c r="KW111" s="17"/>
      <c r="KX111" s="17"/>
      <c r="KY111" s="17"/>
      <c r="KZ111" s="17"/>
      <c r="LA111" s="17"/>
      <c r="LB111" s="17"/>
      <c r="LC111" s="17"/>
      <c r="LD111" s="17"/>
      <c r="LE111" s="17"/>
      <c r="LF111" s="17"/>
      <c r="LG111" s="17"/>
      <c r="LH111" s="17"/>
      <c r="LI111" s="17"/>
      <c r="LJ111" s="17"/>
      <c r="LK111" s="17"/>
      <c r="LL111" s="17"/>
      <c r="LM111" s="17"/>
      <c r="LN111" s="17"/>
      <c r="LO111" s="17"/>
      <c r="LP111" s="17"/>
      <c r="LQ111" s="17"/>
      <c r="LR111" s="17"/>
      <c r="LS111" s="17"/>
      <c r="LT111" s="17"/>
      <c r="LU111" s="17"/>
      <c r="LV111" s="17"/>
      <c r="LW111" s="17"/>
      <c r="LX111" s="17"/>
      <c r="LY111" s="17"/>
      <c r="LZ111" s="17"/>
      <c r="MA111" s="17"/>
      <c r="MB111" s="17"/>
      <c r="MC111" s="17"/>
      <c r="MD111" s="17"/>
      <c r="ME111" s="17"/>
      <c r="MF111" s="17"/>
      <c r="MG111" s="17"/>
      <c r="MH111" s="17"/>
      <c r="MI111" s="17"/>
      <c r="MJ111" s="17"/>
      <c r="MK111" s="17"/>
      <c r="ML111" s="17"/>
      <c r="MM111" s="17"/>
      <c r="MN111" s="17"/>
      <c r="MO111" s="17"/>
      <c r="MP111" s="17"/>
      <c r="MQ111" s="17"/>
      <c r="MR111" s="17"/>
      <c r="MS111" s="17"/>
      <c r="MT111" s="17"/>
      <c r="MU111" s="17"/>
      <c r="MV111" s="17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/>
      <c r="QG111" s="17"/>
      <c r="QH111" s="17"/>
      <c r="QI111" s="17"/>
      <c r="QJ111" s="17"/>
      <c r="QK111" s="17"/>
      <c r="QL111" s="17"/>
      <c r="QM111" s="17"/>
      <c r="QN111" s="17"/>
      <c r="QO111" s="17"/>
      <c r="QP111" s="17"/>
      <c r="QQ111" s="17"/>
      <c r="QR111" s="17"/>
      <c r="QS111" s="17"/>
      <c r="QT111" s="17"/>
      <c r="QU111" s="17"/>
      <c r="QV111" s="17"/>
      <c r="QW111" s="17"/>
      <c r="QX111" s="17"/>
      <c r="QY111" s="17"/>
      <c r="QZ111" s="17"/>
      <c r="RA111" s="17"/>
      <c r="RB111" s="17"/>
      <c r="RC111" s="17"/>
      <c r="RD111" s="17"/>
      <c r="RE111" s="17"/>
      <c r="RF111" s="17"/>
      <c r="RG111" s="17"/>
      <c r="RH111" s="17"/>
      <c r="RI111" s="17"/>
      <c r="RJ111" s="17"/>
      <c r="RK111" s="17"/>
      <c r="RL111" s="17"/>
      <c r="RM111" s="17"/>
      <c r="RN111" s="17"/>
      <c r="RO111" s="17"/>
      <c r="RP111" s="17"/>
      <c r="RQ111" s="17"/>
      <c r="RR111" s="17"/>
      <c r="RS111" s="17"/>
      <c r="RT111" s="17"/>
      <c r="RU111" s="17"/>
      <c r="RV111" s="17"/>
      <c r="RW111" s="17"/>
      <c r="RX111" s="17"/>
      <c r="RY111" s="17"/>
      <c r="RZ111" s="17"/>
      <c r="SA111" s="17"/>
      <c r="SB111" s="17"/>
      <c r="SC111" s="17"/>
      <c r="SD111" s="17"/>
      <c r="SE111" s="17"/>
      <c r="SF111" s="17"/>
      <c r="SG111" s="17"/>
      <c r="SH111" s="17"/>
      <c r="SI111" s="17"/>
      <c r="SJ111" s="17"/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17"/>
      <c r="VZ111" s="17"/>
      <c r="WA111" s="17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/>
      <c r="XM111" s="17"/>
      <c r="XN111" s="17"/>
      <c r="XO111" s="17"/>
      <c r="XP111" s="17"/>
      <c r="XQ111" s="17"/>
      <c r="XR111" s="17"/>
      <c r="XS111" s="17"/>
      <c r="XT111" s="17"/>
      <c r="XU111" s="17"/>
      <c r="XV111" s="17"/>
      <c r="XW111" s="17"/>
      <c r="XX111" s="17"/>
      <c r="XY111" s="17"/>
      <c r="XZ111" s="17"/>
      <c r="YA111" s="17"/>
      <c r="YB111" s="17"/>
      <c r="YC111" s="17"/>
      <c r="YD111" s="17"/>
      <c r="YE111" s="17"/>
      <c r="YF111" s="17"/>
      <c r="YG111" s="17"/>
      <c r="YH111" s="17"/>
      <c r="YI111" s="17"/>
      <c r="YJ111" s="17"/>
      <c r="YK111" s="17"/>
      <c r="YL111" s="17"/>
      <c r="YM111" s="17"/>
      <c r="YN111" s="17"/>
      <c r="YO111" s="17"/>
      <c r="YP111" s="17"/>
      <c r="YQ111" s="17"/>
      <c r="YR111" s="17"/>
      <c r="YS111" s="17"/>
    </row>
    <row r="112" spans="266:669" x14ac:dyDescent="0.25">
      <c r="JF112" s="17"/>
      <c r="JG112" s="17"/>
      <c r="JH112" s="17"/>
      <c r="JI112" s="17"/>
      <c r="JJ112" s="17"/>
      <c r="JK112" s="17"/>
      <c r="JL112" s="17"/>
      <c r="JM112" s="17"/>
      <c r="JN112" s="17"/>
      <c r="JO112" s="17"/>
      <c r="JP112" s="17"/>
      <c r="JQ112" s="17"/>
      <c r="JR112" s="17"/>
      <c r="JS112" s="17"/>
      <c r="JT112" s="17"/>
      <c r="JU112" s="17"/>
      <c r="JV112" s="17"/>
      <c r="JW112" s="17"/>
      <c r="JX112" s="17"/>
      <c r="JY112" s="17"/>
      <c r="JZ112" s="17"/>
      <c r="KA112" s="17"/>
      <c r="KB112" s="17"/>
      <c r="KC112" s="17"/>
      <c r="KD112" s="17"/>
      <c r="KE112" s="17"/>
      <c r="KF112" s="17"/>
      <c r="KG112" s="17"/>
      <c r="KH112" s="17"/>
      <c r="KI112" s="17"/>
      <c r="KJ112" s="17"/>
      <c r="KK112" s="17"/>
      <c r="KL112" s="17"/>
      <c r="KM112" s="17"/>
      <c r="KN112" s="17"/>
      <c r="KO112" s="17"/>
      <c r="KP112" s="17"/>
      <c r="KQ112" s="17"/>
      <c r="KR112" s="17"/>
      <c r="KS112" s="17"/>
      <c r="KT112" s="17"/>
      <c r="KU112" s="17"/>
      <c r="KV112" s="17"/>
      <c r="KW112" s="17"/>
      <c r="KX112" s="17"/>
      <c r="KY112" s="17"/>
      <c r="KZ112" s="17"/>
      <c r="LA112" s="17"/>
      <c r="LB112" s="17"/>
      <c r="LC112" s="17"/>
      <c r="LD112" s="17"/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</row>
    <row r="113" spans="266:669" x14ac:dyDescent="0.25">
      <c r="JF113" s="17"/>
      <c r="JG113" s="17"/>
      <c r="JH113" s="17"/>
      <c r="JI113" s="17"/>
      <c r="JJ113" s="17"/>
      <c r="JK113" s="17"/>
      <c r="JL113" s="17"/>
      <c r="JM113" s="17"/>
      <c r="JN113" s="17"/>
      <c r="JO113" s="17"/>
      <c r="JP113" s="17"/>
      <c r="JQ113" s="17"/>
      <c r="JR113" s="17"/>
      <c r="JS113" s="17"/>
      <c r="JT113" s="17"/>
      <c r="JU113" s="17"/>
      <c r="JV113" s="17"/>
      <c r="JW113" s="17"/>
      <c r="JX113" s="17"/>
      <c r="JY113" s="17"/>
      <c r="JZ113" s="17"/>
      <c r="KA113" s="17"/>
      <c r="KB113" s="17"/>
      <c r="KC113" s="17"/>
      <c r="KD113" s="17"/>
      <c r="KE113" s="17"/>
      <c r="KF113" s="17"/>
      <c r="KG113" s="17"/>
      <c r="KH113" s="17"/>
      <c r="KI113" s="17"/>
      <c r="KJ113" s="17"/>
      <c r="KK113" s="17"/>
      <c r="KL113" s="17"/>
      <c r="KM113" s="17"/>
      <c r="KN113" s="17"/>
      <c r="KO113" s="17"/>
      <c r="KP113" s="17"/>
      <c r="KQ113" s="17"/>
      <c r="KR113" s="17"/>
      <c r="KS113" s="17"/>
      <c r="KT113" s="17"/>
      <c r="KU113" s="17"/>
      <c r="KV113" s="17"/>
      <c r="KW113" s="17"/>
      <c r="KX113" s="17"/>
      <c r="KY113" s="17"/>
      <c r="KZ113" s="17"/>
      <c r="LA113" s="17"/>
      <c r="LB113" s="17"/>
      <c r="LC113" s="17"/>
      <c r="LD113" s="17"/>
      <c r="LE113" s="17"/>
      <c r="LF113" s="17"/>
      <c r="LG113" s="17"/>
      <c r="LH113" s="17"/>
      <c r="LI113" s="17"/>
      <c r="LJ113" s="17"/>
      <c r="LK113" s="17"/>
      <c r="LL113" s="17"/>
      <c r="LM113" s="17"/>
      <c r="LN113" s="17"/>
      <c r="LO113" s="17"/>
      <c r="LP113" s="17"/>
      <c r="LQ113" s="17"/>
      <c r="LR113" s="17"/>
      <c r="LS113" s="17"/>
      <c r="LT113" s="17"/>
      <c r="LU113" s="17"/>
      <c r="LV113" s="17"/>
      <c r="LW113" s="17"/>
      <c r="LX113" s="17"/>
      <c r="LY113" s="17"/>
      <c r="LZ113" s="17"/>
      <c r="MA113" s="17"/>
      <c r="MB113" s="17"/>
      <c r="MC113" s="17"/>
      <c r="MD113" s="17"/>
      <c r="ME113" s="17"/>
      <c r="MF113" s="17"/>
      <c r="MG113" s="17"/>
      <c r="MH113" s="17"/>
      <c r="MI113" s="17"/>
      <c r="MJ113" s="17"/>
      <c r="MK113" s="17"/>
      <c r="ML113" s="17"/>
      <c r="MM113" s="17"/>
      <c r="MN113" s="17"/>
      <c r="MO113" s="17"/>
      <c r="MP113" s="17"/>
      <c r="MQ113" s="17"/>
      <c r="MR113" s="17"/>
      <c r="MS113" s="17"/>
      <c r="MT113" s="17"/>
      <c r="MU113" s="17"/>
      <c r="MV113" s="17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/>
      <c r="QG113" s="17"/>
      <c r="QH113" s="17"/>
      <c r="QI113" s="17"/>
      <c r="QJ113" s="17"/>
      <c r="QK113" s="17"/>
      <c r="QL113" s="17"/>
      <c r="QM113" s="17"/>
      <c r="QN113" s="17"/>
      <c r="QO113" s="17"/>
      <c r="QP113" s="17"/>
      <c r="QQ113" s="17"/>
      <c r="QR113" s="17"/>
      <c r="QS113" s="17"/>
      <c r="QT113" s="17"/>
      <c r="QU113" s="17"/>
      <c r="QV113" s="17"/>
      <c r="QW113" s="17"/>
      <c r="QX113" s="17"/>
      <c r="QY113" s="17"/>
      <c r="QZ113" s="17"/>
      <c r="RA113" s="17"/>
      <c r="RB113" s="17"/>
      <c r="RC113" s="17"/>
      <c r="RD113" s="17"/>
      <c r="RE113" s="17"/>
      <c r="RF113" s="17"/>
      <c r="RG113" s="17"/>
      <c r="RH113" s="17"/>
      <c r="RI113" s="17"/>
      <c r="RJ113" s="17"/>
      <c r="RK113" s="17"/>
      <c r="RL113" s="17"/>
      <c r="RM113" s="17"/>
      <c r="RN113" s="17"/>
      <c r="RO113" s="17"/>
      <c r="RP113" s="17"/>
      <c r="RQ113" s="17"/>
      <c r="RR113" s="17"/>
      <c r="RS113" s="17"/>
      <c r="RT113" s="17"/>
      <c r="RU113" s="17"/>
      <c r="RV113" s="17"/>
      <c r="RW113" s="17"/>
      <c r="RX113" s="17"/>
      <c r="RY113" s="17"/>
      <c r="RZ113" s="17"/>
      <c r="SA113" s="17"/>
      <c r="SB113" s="17"/>
      <c r="SC113" s="17"/>
      <c r="SD113" s="17"/>
      <c r="SE113" s="17"/>
      <c r="SF113" s="17"/>
      <c r="SG113" s="17"/>
      <c r="SH113" s="17"/>
      <c r="SI113" s="17"/>
      <c r="SJ113" s="17"/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17"/>
      <c r="VZ113" s="17"/>
      <c r="WA113" s="17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/>
      <c r="XM113" s="17"/>
      <c r="XN113" s="17"/>
      <c r="XO113" s="17"/>
      <c r="XP113" s="17"/>
      <c r="XQ113" s="17"/>
      <c r="XR113" s="17"/>
      <c r="XS113" s="17"/>
      <c r="XT113" s="17"/>
      <c r="XU113" s="17"/>
      <c r="XV113" s="17"/>
      <c r="XW113" s="17"/>
      <c r="XX113" s="17"/>
      <c r="XY113" s="17"/>
      <c r="XZ113" s="17"/>
      <c r="YA113" s="17"/>
      <c r="YB113" s="17"/>
      <c r="YC113" s="17"/>
      <c r="YD113" s="17"/>
      <c r="YE113" s="17"/>
      <c r="YF113" s="17"/>
      <c r="YG113" s="17"/>
      <c r="YH113" s="17"/>
      <c r="YI113" s="17"/>
      <c r="YJ113" s="17"/>
      <c r="YK113" s="17"/>
      <c r="YL113" s="17"/>
      <c r="YM113" s="17"/>
      <c r="YN113" s="17"/>
      <c r="YO113" s="17"/>
      <c r="YP113" s="17"/>
      <c r="YQ113" s="17"/>
      <c r="YR113" s="17"/>
      <c r="YS113" s="17"/>
    </row>
    <row r="114" spans="266:669" x14ac:dyDescent="0.25">
      <c r="JF114" s="17"/>
      <c r="JG114" s="17"/>
      <c r="JH114" s="17"/>
      <c r="JI114" s="17"/>
      <c r="JJ114" s="17"/>
      <c r="JK114" s="17"/>
      <c r="JL114" s="17"/>
      <c r="JM114" s="17"/>
      <c r="JN114" s="17"/>
      <c r="JO114" s="17"/>
      <c r="JP114" s="17"/>
      <c r="JQ114" s="17"/>
      <c r="JR114" s="17"/>
      <c r="JS114" s="17"/>
      <c r="JT114" s="17"/>
      <c r="JU114" s="17"/>
      <c r="JV114" s="17"/>
      <c r="JW114" s="17"/>
      <c r="JX114" s="17"/>
      <c r="JY114" s="17"/>
      <c r="JZ114" s="17"/>
      <c r="KA114" s="17"/>
      <c r="KB114" s="17"/>
      <c r="KC114" s="17"/>
      <c r="KD114" s="17"/>
      <c r="KE114" s="17"/>
      <c r="KF114" s="17"/>
      <c r="KG114" s="17"/>
      <c r="KH114" s="17"/>
      <c r="KI114" s="17"/>
      <c r="KJ114" s="17"/>
      <c r="KK114" s="17"/>
      <c r="KL114" s="17"/>
      <c r="KM114" s="17"/>
      <c r="KN114" s="17"/>
      <c r="KO114" s="17"/>
      <c r="KP114" s="17"/>
      <c r="KQ114" s="17"/>
      <c r="KR114" s="17"/>
      <c r="KS114" s="17"/>
      <c r="KT114" s="17"/>
      <c r="KU114" s="17"/>
      <c r="KV114" s="17"/>
      <c r="KW114" s="17"/>
      <c r="KX114" s="17"/>
      <c r="KY114" s="17"/>
      <c r="KZ114" s="17"/>
      <c r="LA114" s="17"/>
      <c r="LB114" s="17"/>
      <c r="LC114" s="17"/>
      <c r="LD114" s="17"/>
      <c r="LE114" s="17"/>
      <c r="LF114" s="17"/>
      <c r="LG114" s="17"/>
      <c r="LH114" s="17"/>
      <c r="LI114" s="17"/>
      <c r="LJ114" s="17"/>
      <c r="LK114" s="17"/>
      <c r="LL114" s="17"/>
      <c r="LM114" s="17"/>
      <c r="LN114" s="17"/>
      <c r="LO114" s="17"/>
      <c r="LP114" s="17"/>
      <c r="LQ114" s="17"/>
      <c r="LR114" s="17"/>
      <c r="LS114" s="17"/>
      <c r="LT114" s="17"/>
      <c r="LU114" s="17"/>
      <c r="LV114" s="17"/>
      <c r="LW114" s="17"/>
      <c r="LX114" s="17"/>
      <c r="LY114" s="17"/>
      <c r="LZ114" s="17"/>
      <c r="MA114" s="17"/>
      <c r="MB114" s="17"/>
      <c r="MC114" s="17"/>
      <c r="MD114" s="17"/>
      <c r="ME114" s="17"/>
      <c r="MF114" s="17"/>
      <c r="MG114" s="17"/>
      <c r="MH114" s="17"/>
      <c r="MI114" s="17"/>
      <c r="MJ114" s="17"/>
      <c r="MK114" s="17"/>
      <c r="ML114" s="17"/>
      <c r="MM114" s="17"/>
      <c r="MN114" s="17"/>
      <c r="MO114" s="17"/>
      <c r="MP114" s="17"/>
      <c r="MQ114" s="17"/>
      <c r="MR114" s="17"/>
      <c r="MS114" s="17"/>
      <c r="MT114" s="17"/>
      <c r="MU114" s="17"/>
      <c r="MV114" s="17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</row>
    <row r="115" spans="266:669" x14ac:dyDescent="0.25">
      <c r="JF115" s="17"/>
      <c r="JG115" s="17"/>
      <c r="JH115" s="17"/>
      <c r="JI115" s="17"/>
      <c r="JJ115" s="17"/>
      <c r="JK115" s="17"/>
      <c r="JL115" s="17"/>
      <c r="JM115" s="17"/>
      <c r="JN115" s="17"/>
      <c r="JO115" s="17"/>
      <c r="JP115" s="17"/>
      <c r="JQ115" s="17"/>
      <c r="JR115" s="17"/>
      <c r="JS115" s="17"/>
      <c r="JT115" s="17"/>
      <c r="JU115" s="17"/>
      <c r="JV115" s="17"/>
      <c r="JW115" s="17"/>
      <c r="JX115" s="17"/>
      <c r="JY115" s="17"/>
      <c r="JZ115" s="17"/>
      <c r="KA115" s="17"/>
      <c r="KB115" s="17"/>
      <c r="KC115" s="17"/>
      <c r="KD115" s="17"/>
      <c r="KE115" s="17"/>
      <c r="KF115" s="17"/>
      <c r="KG115" s="17"/>
      <c r="KH115" s="17"/>
      <c r="KI115" s="17"/>
      <c r="KJ115" s="17"/>
      <c r="KK115" s="17"/>
      <c r="KL115" s="17"/>
      <c r="KM115" s="17"/>
      <c r="KN115" s="17"/>
      <c r="KO115" s="17"/>
      <c r="KP115" s="17"/>
      <c r="KQ115" s="17"/>
      <c r="KR115" s="17"/>
      <c r="KS115" s="17"/>
      <c r="KT115" s="17"/>
      <c r="KU115" s="17"/>
      <c r="KV115" s="17"/>
      <c r="KW115" s="17"/>
      <c r="KX115" s="17"/>
      <c r="KY115" s="17"/>
      <c r="KZ115" s="17"/>
      <c r="LA115" s="17"/>
      <c r="LB115" s="17"/>
      <c r="LC115" s="17"/>
      <c r="LD115" s="17"/>
      <c r="LE115" s="17"/>
      <c r="LF115" s="17"/>
      <c r="LG115" s="17"/>
      <c r="LH115" s="17"/>
      <c r="LI115" s="17"/>
      <c r="LJ115" s="17"/>
      <c r="LK115" s="17"/>
      <c r="LL115" s="17"/>
      <c r="LM115" s="17"/>
      <c r="LN115" s="17"/>
      <c r="LO115" s="17"/>
      <c r="LP115" s="17"/>
      <c r="LQ115" s="17"/>
      <c r="LR115" s="17"/>
      <c r="LS115" s="17"/>
      <c r="LT115" s="17"/>
      <c r="LU115" s="17"/>
      <c r="LV115" s="17"/>
      <c r="LW115" s="17"/>
      <c r="LX115" s="17"/>
      <c r="LY115" s="17"/>
      <c r="LZ115" s="17"/>
      <c r="MA115" s="17"/>
      <c r="MB115" s="17"/>
      <c r="MC115" s="17"/>
      <c r="MD115" s="17"/>
      <c r="ME115" s="17"/>
      <c r="MF115" s="17"/>
      <c r="MG115" s="17"/>
      <c r="MH115" s="17"/>
      <c r="MI115" s="17"/>
      <c r="MJ115" s="17"/>
      <c r="MK115" s="17"/>
      <c r="ML115" s="17"/>
      <c r="MM115" s="17"/>
      <c r="MN115" s="17"/>
      <c r="MO115" s="17"/>
      <c r="MP115" s="17"/>
      <c r="MQ115" s="17"/>
      <c r="MR115" s="17"/>
      <c r="MS115" s="17"/>
      <c r="MT115" s="17"/>
      <c r="MU115" s="17"/>
      <c r="MV115" s="17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/>
      <c r="QG115" s="17"/>
      <c r="QH115" s="17"/>
      <c r="QI115" s="17"/>
      <c r="QJ115" s="17"/>
      <c r="QK115" s="17"/>
      <c r="QL115" s="17"/>
      <c r="QM115" s="17"/>
      <c r="QN115" s="17"/>
      <c r="QO115" s="17"/>
      <c r="QP115" s="17"/>
      <c r="QQ115" s="17"/>
      <c r="QR115" s="17"/>
      <c r="QS115" s="17"/>
      <c r="QT115" s="17"/>
      <c r="QU115" s="17"/>
      <c r="QV115" s="17"/>
      <c r="QW115" s="17"/>
      <c r="QX115" s="17"/>
      <c r="QY115" s="17"/>
      <c r="QZ115" s="17"/>
      <c r="RA115" s="17"/>
      <c r="RB115" s="17"/>
      <c r="RC115" s="17"/>
      <c r="RD115" s="17"/>
      <c r="RE115" s="17"/>
      <c r="RF115" s="17"/>
      <c r="RG115" s="17"/>
      <c r="RH115" s="17"/>
      <c r="RI115" s="17"/>
      <c r="RJ115" s="17"/>
      <c r="RK115" s="17"/>
      <c r="RL115" s="17"/>
      <c r="RM115" s="17"/>
      <c r="RN115" s="17"/>
      <c r="RO115" s="17"/>
      <c r="RP115" s="17"/>
      <c r="RQ115" s="17"/>
      <c r="RR115" s="17"/>
      <c r="RS115" s="17"/>
      <c r="RT115" s="17"/>
      <c r="RU115" s="17"/>
      <c r="RV115" s="17"/>
      <c r="RW115" s="17"/>
      <c r="RX115" s="17"/>
      <c r="RY115" s="17"/>
      <c r="RZ115" s="17"/>
      <c r="SA115" s="17"/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17"/>
      <c r="VZ115" s="17"/>
      <c r="WA115" s="17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/>
      <c r="XM115" s="17"/>
      <c r="XN115" s="17"/>
      <c r="XO115" s="17"/>
      <c r="XP115" s="17"/>
      <c r="XQ115" s="17"/>
      <c r="XR115" s="17"/>
      <c r="XS115" s="17"/>
      <c r="XT115" s="17"/>
      <c r="XU115" s="17"/>
      <c r="XV115" s="17"/>
      <c r="XW115" s="17"/>
      <c r="XX115" s="17"/>
      <c r="XY115" s="17"/>
      <c r="XZ115" s="17"/>
      <c r="YA115" s="17"/>
      <c r="YB115" s="17"/>
      <c r="YC115" s="17"/>
      <c r="YD115" s="17"/>
      <c r="YE115" s="17"/>
      <c r="YF115" s="17"/>
      <c r="YG115" s="17"/>
      <c r="YH115" s="17"/>
      <c r="YI115" s="17"/>
      <c r="YJ115" s="17"/>
      <c r="YK115" s="17"/>
      <c r="YL115" s="17"/>
      <c r="YM115" s="17"/>
      <c r="YN115" s="17"/>
      <c r="YO115" s="17"/>
      <c r="YP115" s="17"/>
      <c r="YQ115" s="17"/>
      <c r="YR115" s="17"/>
      <c r="YS115" s="17"/>
    </row>
    <row r="116" spans="266:669" x14ac:dyDescent="0.25"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  <c r="KG116" s="17"/>
      <c r="KH116" s="17"/>
      <c r="KI116" s="17"/>
      <c r="KJ116" s="17"/>
      <c r="KK116" s="17"/>
      <c r="KL116" s="17"/>
      <c r="KM116" s="17"/>
      <c r="KN116" s="17"/>
      <c r="KO116" s="17"/>
      <c r="KP116" s="17"/>
      <c r="KQ116" s="17"/>
      <c r="KR116" s="17"/>
      <c r="KS116" s="17"/>
      <c r="KT116" s="17"/>
      <c r="KU116" s="17"/>
      <c r="KV116" s="17"/>
      <c r="KW116" s="17"/>
      <c r="KX116" s="17"/>
      <c r="KY116" s="17"/>
      <c r="KZ116" s="17"/>
      <c r="LA116" s="17"/>
      <c r="LB116" s="17"/>
      <c r="LC116" s="17"/>
      <c r="LD116" s="17"/>
      <c r="LE116" s="17"/>
      <c r="LF116" s="17"/>
      <c r="LG116" s="17"/>
      <c r="LH116" s="17"/>
      <c r="LI116" s="17"/>
      <c r="LJ116" s="17"/>
      <c r="LK116" s="17"/>
      <c r="LL116" s="17"/>
      <c r="LM116" s="17"/>
      <c r="LN116" s="17"/>
      <c r="LO116" s="17"/>
      <c r="LP116" s="17"/>
      <c r="LQ116" s="17"/>
      <c r="LR116" s="17"/>
      <c r="LS116" s="17"/>
      <c r="LT116" s="17"/>
      <c r="LU116" s="17"/>
      <c r="LV116" s="17"/>
      <c r="LW116" s="17"/>
      <c r="LX116" s="17"/>
      <c r="LY116" s="17"/>
      <c r="LZ116" s="17"/>
      <c r="MA116" s="17"/>
      <c r="MB116" s="17"/>
      <c r="MC116" s="17"/>
      <c r="MD116" s="17"/>
      <c r="ME116" s="17"/>
      <c r="MF116" s="17"/>
      <c r="MG116" s="17"/>
      <c r="MH116" s="17"/>
      <c r="MI116" s="17"/>
      <c r="MJ116" s="17"/>
      <c r="MK116" s="17"/>
      <c r="ML116" s="17"/>
      <c r="MM116" s="17"/>
      <c r="MN116" s="17"/>
      <c r="MO116" s="17"/>
      <c r="MP116" s="17"/>
      <c r="MQ116" s="17"/>
      <c r="MR116" s="17"/>
      <c r="MS116" s="17"/>
      <c r="MT116" s="17"/>
      <c r="MU116" s="17"/>
      <c r="MV116" s="17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</row>
    <row r="117" spans="266:669" x14ac:dyDescent="0.25">
      <c r="JF117" s="17"/>
      <c r="JG117" s="17"/>
      <c r="JH117" s="17"/>
      <c r="JI117" s="17"/>
      <c r="JJ117" s="17"/>
      <c r="JK117" s="17"/>
      <c r="JL117" s="17"/>
      <c r="JM117" s="17"/>
      <c r="JN117" s="17"/>
      <c r="JO117" s="17"/>
      <c r="JP117" s="17"/>
      <c r="JQ117" s="17"/>
      <c r="JR117" s="17"/>
      <c r="JS117" s="17"/>
      <c r="JT117" s="17"/>
      <c r="JU117" s="17"/>
      <c r="JV117" s="17"/>
      <c r="JW117" s="17"/>
      <c r="JX117" s="17"/>
      <c r="JY117" s="17"/>
      <c r="JZ117" s="17"/>
      <c r="KA117" s="17"/>
      <c r="KB117" s="17"/>
      <c r="KC117" s="17"/>
      <c r="KD117" s="17"/>
      <c r="KE117" s="17"/>
      <c r="KF117" s="17"/>
      <c r="KG117" s="17"/>
      <c r="KH117" s="17"/>
      <c r="KI117" s="17"/>
      <c r="KJ117" s="17"/>
      <c r="KK117" s="17"/>
      <c r="KL117" s="17"/>
      <c r="KM117" s="17"/>
      <c r="KN117" s="17"/>
      <c r="KO117" s="17"/>
      <c r="KP117" s="17"/>
      <c r="KQ117" s="17"/>
      <c r="KR117" s="17"/>
      <c r="KS117" s="17"/>
      <c r="KT117" s="17"/>
      <c r="KU117" s="17"/>
      <c r="KV117" s="17"/>
      <c r="KW117" s="17"/>
      <c r="KX117" s="17"/>
      <c r="KY117" s="17"/>
      <c r="KZ117" s="17"/>
      <c r="LA117" s="17"/>
      <c r="LB117" s="17"/>
      <c r="LC117" s="17"/>
      <c r="LD117" s="17"/>
      <c r="LE117" s="17"/>
      <c r="LF117" s="17"/>
      <c r="LG117" s="17"/>
      <c r="LH117" s="17"/>
      <c r="LI117" s="17"/>
      <c r="LJ117" s="17"/>
      <c r="LK117" s="17"/>
      <c r="LL117" s="17"/>
      <c r="LM117" s="17"/>
      <c r="LN117" s="17"/>
      <c r="LO117" s="17"/>
      <c r="LP117" s="17"/>
      <c r="LQ117" s="17"/>
      <c r="LR117" s="17"/>
      <c r="LS117" s="17"/>
      <c r="LT117" s="17"/>
      <c r="LU117" s="17"/>
      <c r="LV117" s="17"/>
      <c r="LW117" s="17"/>
      <c r="LX117" s="17"/>
      <c r="LY117" s="17"/>
      <c r="LZ117" s="17"/>
      <c r="MA117" s="17"/>
      <c r="MB117" s="17"/>
      <c r="MC117" s="17"/>
      <c r="MD117" s="17"/>
      <c r="ME117" s="17"/>
      <c r="MF117" s="17"/>
      <c r="MG117" s="17"/>
      <c r="MH117" s="17"/>
      <c r="MI117" s="17"/>
      <c r="MJ117" s="17"/>
      <c r="MK117" s="17"/>
      <c r="ML117" s="17"/>
      <c r="MM117" s="17"/>
      <c r="MN117" s="17"/>
      <c r="MO117" s="17"/>
      <c r="MP117" s="17"/>
      <c r="MQ117" s="17"/>
      <c r="MR117" s="17"/>
      <c r="MS117" s="17"/>
      <c r="MT117" s="17"/>
      <c r="MU117" s="17"/>
      <c r="MV117" s="17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17"/>
      <c r="PD117" s="17"/>
      <c r="PE117" s="17"/>
      <c r="PF117" s="17"/>
      <c r="PG117" s="17"/>
      <c r="PH117" s="17"/>
      <c r="PI117" s="17"/>
      <c r="PJ117" s="17"/>
      <c r="PK117" s="17"/>
      <c r="PL117" s="17"/>
      <c r="PM117" s="17"/>
      <c r="PN117" s="17"/>
      <c r="PO117" s="17"/>
      <c r="PP117" s="17"/>
      <c r="PQ117" s="17"/>
      <c r="PR117" s="17"/>
      <c r="PS117" s="17"/>
      <c r="PT117" s="17"/>
      <c r="PU117" s="17"/>
      <c r="PV117" s="17"/>
      <c r="PW117" s="17"/>
      <c r="PX117" s="17"/>
      <c r="PY117" s="17"/>
      <c r="PZ117" s="17"/>
      <c r="QA117" s="17"/>
      <c r="QB117" s="17"/>
      <c r="QC117" s="17"/>
      <c r="QD117" s="17"/>
      <c r="QE117" s="17"/>
      <c r="QF117" s="17"/>
      <c r="QG117" s="17"/>
      <c r="QH117" s="17"/>
      <c r="QI117" s="17"/>
      <c r="QJ117" s="17"/>
      <c r="QK117" s="17"/>
      <c r="QL117" s="17"/>
      <c r="QM117" s="17"/>
      <c r="QN117" s="17"/>
      <c r="QO117" s="17"/>
      <c r="QP117" s="17"/>
      <c r="QQ117" s="17"/>
      <c r="QR117" s="17"/>
      <c r="QS117" s="17"/>
      <c r="QT117" s="17"/>
      <c r="QU117" s="17"/>
      <c r="QV117" s="17"/>
      <c r="QW117" s="17"/>
      <c r="QX117" s="17"/>
      <c r="QY117" s="17"/>
      <c r="QZ117" s="17"/>
      <c r="RA117" s="17"/>
      <c r="RB117" s="17"/>
      <c r="RC117" s="17"/>
      <c r="RD117" s="17"/>
      <c r="RE117" s="17"/>
      <c r="RF117" s="17"/>
      <c r="RG117" s="17"/>
      <c r="RH117" s="17"/>
      <c r="RI117" s="17"/>
      <c r="RJ117" s="17"/>
      <c r="RK117" s="17"/>
      <c r="RL117" s="17"/>
      <c r="RM117" s="17"/>
      <c r="RN117" s="17"/>
      <c r="RO117" s="17"/>
      <c r="RP117" s="17"/>
      <c r="RQ117" s="17"/>
      <c r="RR117" s="17"/>
      <c r="RS117" s="17"/>
      <c r="RT117" s="17"/>
      <c r="RU117" s="17"/>
      <c r="RV117" s="17"/>
      <c r="RW117" s="17"/>
      <c r="RX117" s="17"/>
      <c r="RY117" s="17"/>
      <c r="RZ117" s="17"/>
      <c r="SA117" s="17"/>
      <c r="SB117" s="17"/>
      <c r="SC117" s="17"/>
      <c r="SD117" s="17"/>
      <c r="SE117" s="17"/>
      <c r="SF117" s="17"/>
      <c r="SG117" s="17"/>
      <c r="SH117" s="17"/>
      <c r="SI117" s="17"/>
      <c r="SJ117" s="17"/>
      <c r="SK117" s="17"/>
      <c r="SL117" s="17"/>
      <c r="SM117" s="17"/>
      <c r="SN117" s="17"/>
      <c r="SO117" s="17"/>
      <c r="SP117" s="17"/>
      <c r="SQ117" s="17"/>
      <c r="SR117" s="17"/>
      <c r="SS117" s="17"/>
      <c r="ST117" s="17"/>
      <c r="SU117" s="17"/>
      <c r="SV117" s="17"/>
      <c r="SW117" s="17"/>
      <c r="SX117" s="17"/>
      <c r="SY117" s="17"/>
      <c r="SZ117" s="17"/>
      <c r="TA117" s="17"/>
      <c r="TB117" s="17"/>
      <c r="TC117" s="17"/>
      <c r="TD117" s="17"/>
      <c r="TE117" s="17"/>
      <c r="TF117" s="17"/>
      <c r="TG117" s="17"/>
      <c r="TH117" s="17"/>
      <c r="TI117" s="17"/>
      <c r="TJ117" s="17"/>
      <c r="TK117" s="17"/>
      <c r="TL117" s="17"/>
      <c r="TM117" s="17"/>
      <c r="TN117" s="17"/>
      <c r="TO117" s="17"/>
      <c r="TP117" s="17"/>
      <c r="TQ117" s="17"/>
      <c r="TR117" s="17"/>
      <c r="TS117" s="17"/>
      <c r="TT117" s="17"/>
      <c r="TU117" s="17"/>
      <c r="TV117" s="17"/>
      <c r="TW117" s="17"/>
      <c r="TX117" s="17"/>
      <c r="TY117" s="17"/>
      <c r="TZ117" s="17"/>
      <c r="UA117" s="17"/>
      <c r="UB117" s="17"/>
      <c r="UC117" s="17"/>
      <c r="UD117" s="17"/>
      <c r="UE117" s="17"/>
      <c r="UF117" s="17"/>
      <c r="UG117" s="17"/>
      <c r="UH117" s="17"/>
      <c r="UI117" s="17"/>
      <c r="UJ117" s="17"/>
      <c r="UK117" s="17"/>
      <c r="UL117" s="17"/>
      <c r="UM117" s="17"/>
      <c r="UN117" s="17"/>
      <c r="UO117" s="17"/>
      <c r="UP117" s="17"/>
      <c r="UQ117" s="17"/>
      <c r="UR117" s="17"/>
      <c r="US117" s="17"/>
      <c r="UT117" s="17"/>
      <c r="UU117" s="17"/>
      <c r="UV117" s="17"/>
      <c r="UW117" s="17"/>
      <c r="UX117" s="17"/>
      <c r="UY117" s="17"/>
      <c r="UZ117" s="17"/>
      <c r="VA117" s="17"/>
      <c r="VB117" s="17"/>
      <c r="VC117" s="17"/>
      <c r="VD117" s="17"/>
      <c r="VE117" s="17"/>
      <c r="VF117" s="17"/>
      <c r="VG117" s="17"/>
      <c r="VH117" s="17"/>
      <c r="VI117" s="17"/>
      <c r="VJ117" s="17"/>
      <c r="VK117" s="17"/>
      <c r="VL117" s="17"/>
      <c r="VM117" s="17"/>
      <c r="VN117" s="17"/>
      <c r="VO117" s="17"/>
      <c r="VP117" s="17"/>
      <c r="VQ117" s="17"/>
      <c r="VR117" s="17"/>
      <c r="VS117" s="17"/>
      <c r="VT117" s="17"/>
      <c r="VU117" s="17"/>
      <c r="VV117" s="17"/>
      <c r="VW117" s="17"/>
      <c r="VX117" s="17"/>
      <c r="VY117" s="17"/>
      <c r="VZ117" s="17"/>
      <c r="WA117" s="17"/>
      <c r="WB117" s="17"/>
      <c r="WC117" s="17"/>
      <c r="WD117" s="17"/>
      <c r="WE117" s="17"/>
      <c r="WF117" s="17"/>
      <c r="WG117" s="17"/>
      <c r="WH117" s="17"/>
      <c r="WI117" s="17"/>
      <c r="WJ117" s="17"/>
      <c r="WK117" s="17"/>
      <c r="WL117" s="17"/>
      <c r="WM117" s="17"/>
      <c r="WN117" s="17"/>
      <c r="WO117" s="17"/>
      <c r="WP117" s="17"/>
      <c r="WQ117" s="17"/>
      <c r="WR117" s="17"/>
      <c r="WS117" s="17"/>
      <c r="WT117" s="17"/>
      <c r="WU117" s="17"/>
      <c r="WV117" s="17"/>
      <c r="WW117" s="17"/>
      <c r="WX117" s="17"/>
      <c r="WY117" s="17"/>
      <c r="WZ117" s="17"/>
      <c r="XA117" s="17"/>
      <c r="XB117" s="17"/>
      <c r="XC117" s="17"/>
      <c r="XD117" s="17"/>
      <c r="XE117" s="17"/>
      <c r="XF117" s="17"/>
      <c r="XG117" s="17"/>
      <c r="XH117" s="17"/>
      <c r="XI117" s="17"/>
      <c r="XJ117" s="17"/>
      <c r="XK117" s="17"/>
      <c r="XL117" s="17"/>
      <c r="XM117" s="17"/>
      <c r="XN117" s="17"/>
      <c r="XO117" s="17"/>
      <c r="XP117" s="17"/>
      <c r="XQ117" s="17"/>
      <c r="XR117" s="17"/>
      <c r="XS117" s="17"/>
      <c r="XT117" s="17"/>
      <c r="XU117" s="17"/>
      <c r="XV117" s="17"/>
      <c r="XW117" s="17"/>
      <c r="XX117" s="17"/>
      <c r="XY117" s="17"/>
      <c r="XZ117" s="17"/>
      <c r="YA117" s="17"/>
      <c r="YB117" s="17"/>
      <c r="YC117" s="17"/>
      <c r="YD117" s="17"/>
      <c r="YE117" s="17"/>
      <c r="YF117" s="17"/>
      <c r="YG117" s="17"/>
      <c r="YH117" s="17"/>
      <c r="YI117" s="17"/>
      <c r="YJ117" s="17"/>
      <c r="YK117" s="17"/>
      <c r="YL117" s="17"/>
      <c r="YM117" s="17"/>
      <c r="YN117" s="17"/>
      <c r="YO117" s="17"/>
      <c r="YP117" s="17"/>
      <c r="YQ117" s="17"/>
      <c r="YR117" s="17"/>
      <c r="YS117" s="17"/>
    </row>
    <row r="118" spans="266:669" x14ac:dyDescent="0.25">
      <c r="JF118" s="17"/>
      <c r="JG118" s="17"/>
      <c r="JH118" s="17"/>
      <c r="JI118" s="17"/>
      <c r="JJ118" s="17"/>
      <c r="JK118" s="17"/>
      <c r="JL118" s="17"/>
      <c r="JM118" s="17"/>
      <c r="JN118" s="17"/>
      <c r="JO118" s="17"/>
      <c r="JP118" s="17"/>
      <c r="JQ118" s="17"/>
      <c r="JR118" s="17"/>
      <c r="JS118" s="17"/>
      <c r="JT118" s="17"/>
      <c r="JU118" s="17"/>
      <c r="JV118" s="17"/>
      <c r="JW118" s="17"/>
      <c r="JX118" s="17"/>
      <c r="JY118" s="17"/>
      <c r="JZ118" s="17"/>
      <c r="KA118" s="17"/>
      <c r="KB118" s="17"/>
      <c r="KC118" s="17"/>
      <c r="KD118" s="17"/>
      <c r="KE118" s="17"/>
      <c r="KF118" s="17"/>
      <c r="KG118" s="17"/>
      <c r="KH118" s="17"/>
      <c r="KI118" s="17"/>
      <c r="KJ118" s="17"/>
      <c r="KK118" s="17"/>
      <c r="KL118" s="17"/>
      <c r="KM118" s="17"/>
      <c r="KN118" s="17"/>
      <c r="KO118" s="17"/>
      <c r="KP118" s="17"/>
      <c r="KQ118" s="17"/>
      <c r="KR118" s="17"/>
      <c r="KS118" s="17"/>
      <c r="KT118" s="17"/>
      <c r="KU118" s="17"/>
      <c r="KV118" s="17"/>
      <c r="KW118" s="17"/>
      <c r="KX118" s="17"/>
      <c r="KY118" s="17"/>
      <c r="KZ118" s="17"/>
      <c r="LA118" s="17"/>
      <c r="LB118" s="17"/>
      <c r="LC118" s="17"/>
      <c r="LD118" s="17"/>
      <c r="LE118" s="17"/>
      <c r="LF118" s="17"/>
      <c r="LG118" s="17"/>
      <c r="LH118" s="17"/>
      <c r="LI118" s="17"/>
      <c r="LJ118" s="17"/>
      <c r="LK118" s="17"/>
      <c r="LL118" s="17"/>
      <c r="LM118" s="17"/>
      <c r="LN118" s="17"/>
      <c r="LO118" s="17"/>
      <c r="LP118" s="17"/>
      <c r="LQ118" s="17"/>
      <c r="LR118" s="17"/>
      <c r="LS118" s="17"/>
      <c r="LT118" s="17"/>
      <c r="LU118" s="17"/>
      <c r="LV118" s="17"/>
      <c r="LW118" s="17"/>
      <c r="LX118" s="17"/>
      <c r="LY118" s="17"/>
      <c r="LZ118" s="17"/>
      <c r="MA118" s="17"/>
      <c r="MB118" s="17"/>
      <c r="MC118" s="17"/>
      <c r="MD118" s="17"/>
      <c r="ME118" s="17"/>
      <c r="MF118" s="17"/>
      <c r="MG118" s="17"/>
      <c r="MH118" s="17"/>
      <c r="MI118" s="17"/>
      <c r="MJ118" s="17"/>
      <c r="MK118" s="17"/>
      <c r="ML118" s="17"/>
      <c r="MM118" s="17"/>
      <c r="MN118" s="17"/>
      <c r="MO118" s="17"/>
      <c r="MP118" s="17"/>
      <c r="MQ118" s="17"/>
      <c r="MR118" s="17"/>
      <c r="MS118" s="17"/>
      <c r="MT118" s="17"/>
      <c r="MU118" s="17"/>
      <c r="MV118" s="17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17"/>
      <c r="PJ118" s="17"/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/>
      <c r="QG118" s="17"/>
      <c r="QH118" s="17"/>
      <c r="QI118" s="17"/>
      <c r="QJ118" s="17"/>
      <c r="QK118" s="17"/>
      <c r="QL118" s="17"/>
      <c r="QM118" s="17"/>
      <c r="QN118" s="17"/>
      <c r="QO118" s="17"/>
      <c r="QP118" s="17"/>
      <c r="QQ118" s="17"/>
      <c r="QR118" s="17"/>
      <c r="QS118" s="17"/>
      <c r="QT118" s="17"/>
      <c r="QU118" s="17"/>
      <c r="QV118" s="17"/>
      <c r="QW118" s="17"/>
      <c r="QX118" s="17"/>
      <c r="QY118" s="17"/>
      <c r="QZ118" s="17"/>
      <c r="RA118" s="17"/>
      <c r="RB118" s="17"/>
      <c r="RC118" s="17"/>
      <c r="RD118" s="17"/>
      <c r="RE118" s="17"/>
      <c r="RF118" s="17"/>
      <c r="RG118" s="17"/>
      <c r="RH118" s="17"/>
      <c r="RI118" s="17"/>
      <c r="RJ118" s="17"/>
      <c r="RK118" s="17"/>
      <c r="RL118" s="17"/>
      <c r="RM118" s="17"/>
      <c r="RN118" s="17"/>
      <c r="RO118" s="17"/>
      <c r="RP118" s="17"/>
      <c r="RQ118" s="17"/>
      <c r="RR118" s="17"/>
      <c r="RS118" s="17"/>
      <c r="RT118" s="17"/>
      <c r="RU118" s="17"/>
      <c r="RV118" s="17"/>
      <c r="RW118" s="17"/>
      <c r="RX118" s="17"/>
      <c r="RY118" s="17"/>
      <c r="RZ118" s="17"/>
      <c r="SA118" s="17"/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17"/>
      <c r="VZ118" s="17"/>
      <c r="WA118" s="17"/>
      <c r="WB118" s="17"/>
      <c r="WC118" s="17"/>
      <c r="WD118" s="17"/>
      <c r="WE118" s="17"/>
      <c r="WF118" s="17"/>
      <c r="WG118" s="17"/>
      <c r="WH118" s="17"/>
      <c r="WI118" s="17"/>
      <c r="WJ118" s="17"/>
      <c r="WK118" s="17"/>
      <c r="WL118" s="17"/>
      <c r="WM118" s="17"/>
      <c r="WN118" s="17"/>
      <c r="WO118" s="17"/>
      <c r="WP118" s="17"/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/>
      <c r="XM118" s="17"/>
      <c r="XN118" s="17"/>
      <c r="XO118" s="17"/>
      <c r="XP118" s="17"/>
      <c r="XQ118" s="17"/>
      <c r="XR118" s="17"/>
      <c r="XS118" s="17"/>
      <c r="XT118" s="17"/>
      <c r="XU118" s="17"/>
      <c r="XV118" s="17"/>
      <c r="XW118" s="17"/>
      <c r="XX118" s="17"/>
      <c r="XY118" s="17"/>
      <c r="XZ118" s="17"/>
      <c r="YA118" s="17"/>
      <c r="YB118" s="17"/>
      <c r="YC118" s="17"/>
      <c r="YD118" s="17"/>
      <c r="YE118" s="17"/>
      <c r="YF118" s="17"/>
      <c r="YG118" s="17"/>
      <c r="YH118" s="17"/>
      <c r="YI118" s="17"/>
      <c r="YJ118" s="17"/>
      <c r="YK118" s="17"/>
      <c r="YL118" s="17"/>
      <c r="YM118" s="17"/>
      <c r="YN118" s="17"/>
      <c r="YO118" s="17"/>
      <c r="YP118" s="17"/>
      <c r="YQ118" s="17"/>
      <c r="YR118" s="17"/>
      <c r="YS118" s="17"/>
    </row>
    <row r="119" spans="266:669" x14ac:dyDescent="0.25">
      <c r="JF119" s="17"/>
      <c r="JG119" s="17"/>
      <c r="JH119" s="17"/>
      <c r="JI119" s="17"/>
      <c r="JJ119" s="17"/>
      <c r="JK119" s="17"/>
      <c r="JL119" s="17"/>
      <c r="JM119" s="17"/>
      <c r="JN119" s="17"/>
      <c r="JO119" s="17"/>
      <c r="JP119" s="17"/>
      <c r="JQ119" s="17"/>
      <c r="JR119" s="17"/>
      <c r="JS119" s="17"/>
      <c r="JT119" s="17"/>
      <c r="JU119" s="17"/>
      <c r="JV119" s="17"/>
      <c r="JW119" s="17"/>
      <c r="JX119" s="17"/>
      <c r="JY119" s="17"/>
      <c r="JZ119" s="17"/>
      <c r="KA119" s="17"/>
      <c r="KB119" s="17"/>
      <c r="KC119" s="17"/>
      <c r="KD119" s="17"/>
      <c r="KE119" s="17"/>
      <c r="KF119" s="17"/>
      <c r="KG119" s="17"/>
      <c r="KH119" s="17"/>
      <c r="KI119" s="17"/>
      <c r="KJ119" s="17"/>
      <c r="KK119" s="17"/>
      <c r="KL119" s="17"/>
      <c r="KM119" s="17"/>
      <c r="KN119" s="17"/>
      <c r="KO119" s="17"/>
      <c r="KP119" s="17"/>
      <c r="KQ119" s="17"/>
      <c r="KR119" s="17"/>
      <c r="KS119" s="17"/>
      <c r="KT119" s="17"/>
      <c r="KU119" s="17"/>
      <c r="KV119" s="17"/>
      <c r="KW119" s="17"/>
      <c r="KX119" s="17"/>
      <c r="KY119" s="17"/>
      <c r="KZ119" s="17"/>
      <c r="LA119" s="17"/>
      <c r="LB119" s="17"/>
      <c r="LC119" s="17"/>
      <c r="LD119" s="17"/>
      <c r="LE119" s="17"/>
      <c r="LF119" s="17"/>
      <c r="LG119" s="17"/>
      <c r="LH119" s="17"/>
      <c r="LI119" s="17"/>
      <c r="LJ119" s="17"/>
      <c r="LK119" s="17"/>
      <c r="LL119" s="17"/>
      <c r="LM119" s="17"/>
      <c r="LN119" s="17"/>
      <c r="LO119" s="17"/>
      <c r="LP119" s="17"/>
      <c r="LQ119" s="17"/>
      <c r="LR119" s="17"/>
      <c r="LS119" s="17"/>
      <c r="LT119" s="17"/>
      <c r="LU119" s="17"/>
      <c r="LV119" s="17"/>
      <c r="LW119" s="17"/>
      <c r="LX119" s="17"/>
      <c r="LY119" s="17"/>
      <c r="LZ119" s="17"/>
      <c r="MA119" s="17"/>
      <c r="MB119" s="17"/>
      <c r="MC119" s="17"/>
      <c r="MD119" s="17"/>
      <c r="ME119" s="17"/>
      <c r="MF119" s="17"/>
      <c r="MG119" s="17"/>
      <c r="MH119" s="17"/>
      <c r="MI119" s="17"/>
      <c r="MJ119" s="17"/>
      <c r="MK119" s="17"/>
      <c r="ML119" s="17"/>
      <c r="MM119" s="17"/>
      <c r="MN119" s="17"/>
      <c r="MO119" s="17"/>
      <c r="MP119" s="17"/>
      <c r="MQ119" s="17"/>
      <c r="MR119" s="17"/>
      <c r="MS119" s="17"/>
      <c r="MT119" s="17"/>
      <c r="MU119" s="17"/>
      <c r="MV119" s="17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17"/>
      <c r="PD119" s="17"/>
      <c r="PE119" s="17"/>
      <c r="PF119" s="17"/>
      <c r="PG119" s="17"/>
      <c r="PH119" s="17"/>
      <c r="PI119" s="17"/>
      <c r="PJ119" s="17"/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/>
      <c r="QG119" s="17"/>
      <c r="QH119" s="17"/>
      <c r="QI119" s="17"/>
      <c r="QJ119" s="17"/>
      <c r="QK119" s="17"/>
      <c r="QL119" s="17"/>
      <c r="QM119" s="17"/>
      <c r="QN119" s="17"/>
      <c r="QO119" s="17"/>
      <c r="QP119" s="17"/>
      <c r="QQ119" s="17"/>
      <c r="QR119" s="17"/>
      <c r="QS119" s="17"/>
      <c r="QT119" s="17"/>
      <c r="QU119" s="17"/>
      <c r="QV119" s="17"/>
      <c r="QW119" s="17"/>
      <c r="QX119" s="17"/>
      <c r="QY119" s="17"/>
      <c r="QZ119" s="17"/>
      <c r="RA119" s="17"/>
      <c r="RB119" s="17"/>
      <c r="RC119" s="17"/>
      <c r="RD119" s="17"/>
      <c r="RE119" s="17"/>
      <c r="RF119" s="17"/>
      <c r="RG119" s="17"/>
      <c r="RH119" s="17"/>
      <c r="RI119" s="17"/>
      <c r="RJ119" s="17"/>
      <c r="RK119" s="17"/>
      <c r="RL119" s="17"/>
      <c r="RM119" s="17"/>
      <c r="RN119" s="17"/>
      <c r="RO119" s="17"/>
      <c r="RP119" s="17"/>
      <c r="RQ119" s="17"/>
      <c r="RR119" s="17"/>
      <c r="RS119" s="17"/>
      <c r="RT119" s="17"/>
      <c r="RU119" s="17"/>
      <c r="RV119" s="17"/>
      <c r="RW119" s="17"/>
      <c r="RX119" s="17"/>
      <c r="RY119" s="17"/>
      <c r="RZ119" s="17"/>
      <c r="SA119" s="17"/>
      <c r="SB119" s="17"/>
      <c r="SC119" s="17"/>
      <c r="SD119" s="17"/>
      <c r="SE119" s="17"/>
      <c r="SF119" s="17"/>
      <c r="SG119" s="17"/>
      <c r="SH119" s="17"/>
      <c r="SI119" s="17"/>
      <c r="SJ119" s="17"/>
      <c r="SK119" s="17"/>
      <c r="SL119" s="17"/>
      <c r="SM119" s="17"/>
      <c r="SN119" s="17"/>
      <c r="SO119" s="17"/>
      <c r="SP119" s="17"/>
      <c r="SQ119" s="17"/>
      <c r="SR119" s="17"/>
      <c r="SS119" s="17"/>
      <c r="ST119" s="17"/>
      <c r="SU119" s="17"/>
      <c r="SV119" s="17"/>
      <c r="SW119" s="17"/>
      <c r="SX119" s="17"/>
      <c r="SY119" s="17"/>
      <c r="SZ119" s="17"/>
      <c r="TA119" s="17"/>
      <c r="TB119" s="17"/>
      <c r="TC119" s="17"/>
      <c r="TD119" s="17"/>
      <c r="TE119" s="17"/>
      <c r="TF119" s="17"/>
      <c r="TG119" s="17"/>
      <c r="TH119" s="17"/>
      <c r="TI119" s="17"/>
      <c r="TJ119" s="17"/>
      <c r="TK119" s="17"/>
      <c r="TL119" s="17"/>
      <c r="TM119" s="17"/>
      <c r="TN119" s="17"/>
      <c r="TO119" s="17"/>
      <c r="TP119" s="17"/>
      <c r="TQ119" s="17"/>
      <c r="TR119" s="17"/>
      <c r="TS119" s="17"/>
      <c r="TT119" s="17"/>
      <c r="TU119" s="17"/>
      <c r="TV119" s="17"/>
      <c r="TW119" s="17"/>
      <c r="TX119" s="17"/>
      <c r="TY119" s="17"/>
      <c r="TZ119" s="17"/>
      <c r="UA119" s="17"/>
      <c r="UB119" s="17"/>
      <c r="UC119" s="17"/>
      <c r="UD119" s="17"/>
      <c r="UE119" s="17"/>
      <c r="UF119" s="17"/>
      <c r="UG119" s="17"/>
      <c r="UH119" s="17"/>
      <c r="UI119" s="17"/>
      <c r="UJ119" s="17"/>
      <c r="UK119" s="17"/>
      <c r="UL119" s="17"/>
      <c r="UM119" s="17"/>
      <c r="UN119" s="17"/>
      <c r="UO119" s="17"/>
      <c r="UP119" s="17"/>
      <c r="UQ119" s="17"/>
      <c r="UR119" s="17"/>
      <c r="US119" s="17"/>
      <c r="UT119" s="17"/>
      <c r="UU119" s="17"/>
      <c r="UV119" s="17"/>
      <c r="UW119" s="17"/>
      <c r="UX119" s="17"/>
      <c r="UY119" s="17"/>
      <c r="UZ119" s="17"/>
      <c r="VA119" s="17"/>
      <c r="VB119" s="17"/>
      <c r="VC119" s="17"/>
      <c r="VD119" s="17"/>
      <c r="VE119" s="17"/>
      <c r="VF119" s="17"/>
      <c r="VG119" s="17"/>
      <c r="VH119" s="17"/>
      <c r="VI119" s="17"/>
      <c r="VJ119" s="17"/>
      <c r="VK119" s="17"/>
      <c r="VL119" s="17"/>
      <c r="VM119" s="17"/>
      <c r="VN119" s="17"/>
      <c r="VO119" s="17"/>
      <c r="VP119" s="17"/>
      <c r="VQ119" s="17"/>
      <c r="VR119" s="17"/>
      <c r="VS119" s="17"/>
      <c r="VT119" s="17"/>
      <c r="VU119" s="17"/>
      <c r="VV119" s="17"/>
      <c r="VW119" s="17"/>
      <c r="VX119" s="17"/>
      <c r="VY119" s="17"/>
      <c r="VZ119" s="17"/>
      <c r="WA119" s="17"/>
      <c r="WB119" s="17"/>
      <c r="WC119" s="17"/>
      <c r="WD119" s="17"/>
      <c r="WE119" s="17"/>
      <c r="WF119" s="17"/>
      <c r="WG119" s="17"/>
      <c r="WH119" s="17"/>
      <c r="WI119" s="17"/>
      <c r="WJ119" s="17"/>
      <c r="WK119" s="17"/>
      <c r="WL119" s="17"/>
      <c r="WM119" s="17"/>
      <c r="WN119" s="17"/>
      <c r="WO119" s="17"/>
      <c r="WP119" s="17"/>
      <c r="WQ119" s="17"/>
      <c r="WR119" s="17"/>
      <c r="WS119" s="17"/>
      <c r="WT119" s="17"/>
      <c r="WU119" s="17"/>
      <c r="WV119" s="17"/>
      <c r="WW119" s="17"/>
      <c r="WX119" s="17"/>
      <c r="WY119" s="17"/>
      <c r="WZ119" s="17"/>
      <c r="XA119" s="17"/>
      <c r="XB119" s="17"/>
      <c r="XC119" s="17"/>
      <c r="XD119" s="17"/>
      <c r="XE119" s="17"/>
      <c r="XF119" s="17"/>
      <c r="XG119" s="17"/>
      <c r="XH119" s="17"/>
      <c r="XI119" s="17"/>
      <c r="XJ119" s="17"/>
      <c r="XK119" s="17"/>
      <c r="XL119" s="17"/>
      <c r="XM119" s="17"/>
      <c r="XN119" s="17"/>
      <c r="XO119" s="17"/>
      <c r="XP119" s="17"/>
      <c r="XQ119" s="17"/>
      <c r="XR119" s="17"/>
      <c r="XS119" s="17"/>
      <c r="XT119" s="17"/>
      <c r="XU119" s="17"/>
      <c r="XV119" s="17"/>
      <c r="XW119" s="17"/>
      <c r="XX119" s="17"/>
      <c r="XY119" s="17"/>
      <c r="XZ119" s="17"/>
      <c r="YA119" s="17"/>
      <c r="YB119" s="17"/>
      <c r="YC119" s="17"/>
      <c r="YD119" s="17"/>
      <c r="YE119" s="17"/>
      <c r="YF119" s="17"/>
      <c r="YG119" s="17"/>
      <c r="YH119" s="17"/>
      <c r="YI119" s="17"/>
      <c r="YJ119" s="17"/>
      <c r="YK119" s="17"/>
      <c r="YL119" s="17"/>
      <c r="YM119" s="17"/>
      <c r="YN119" s="17"/>
      <c r="YO119" s="17"/>
      <c r="YP119" s="17"/>
      <c r="YQ119" s="17"/>
      <c r="YR119" s="17"/>
      <c r="YS119" s="17"/>
    </row>
    <row r="120" spans="266:669" x14ac:dyDescent="0.25">
      <c r="JF120" s="17"/>
      <c r="JG120" s="17"/>
      <c r="JH120" s="17"/>
      <c r="JI120" s="17"/>
      <c r="JJ120" s="17"/>
      <c r="JK120" s="17"/>
      <c r="JL120" s="17"/>
      <c r="JM120" s="17"/>
      <c r="JN120" s="17"/>
      <c r="JO120" s="17"/>
      <c r="JP120" s="17"/>
      <c r="JQ120" s="17"/>
      <c r="JR120" s="17"/>
      <c r="JS120" s="17"/>
      <c r="JT120" s="17"/>
      <c r="JU120" s="17"/>
      <c r="JV120" s="17"/>
      <c r="JW120" s="17"/>
      <c r="JX120" s="17"/>
      <c r="JY120" s="17"/>
      <c r="JZ120" s="17"/>
      <c r="KA120" s="17"/>
      <c r="KB120" s="17"/>
      <c r="KC120" s="17"/>
      <c r="KD120" s="17"/>
      <c r="KE120" s="17"/>
      <c r="KF120" s="17"/>
      <c r="KG120" s="17"/>
      <c r="KH120" s="17"/>
      <c r="KI120" s="17"/>
      <c r="KJ120" s="17"/>
      <c r="KK120" s="17"/>
      <c r="KL120" s="17"/>
      <c r="KM120" s="17"/>
      <c r="KN120" s="17"/>
      <c r="KO120" s="17"/>
      <c r="KP120" s="17"/>
      <c r="KQ120" s="17"/>
      <c r="KR120" s="17"/>
      <c r="KS120" s="17"/>
      <c r="KT120" s="17"/>
      <c r="KU120" s="17"/>
      <c r="KV120" s="17"/>
      <c r="KW120" s="17"/>
      <c r="KX120" s="17"/>
      <c r="KY120" s="17"/>
      <c r="KZ120" s="17"/>
      <c r="LA120" s="17"/>
      <c r="LB120" s="17"/>
      <c r="LC120" s="17"/>
      <c r="LD120" s="17"/>
      <c r="LE120" s="17"/>
      <c r="LF120" s="17"/>
      <c r="LG120" s="17"/>
      <c r="LH120" s="17"/>
      <c r="LI120" s="17"/>
      <c r="LJ120" s="17"/>
      <c r="LK120" s="17"/>
      <c r="LL120" s="17"/>
      <c r="LM120" s="17"/>
      <c r="LN120" s="17"/>
      <c r="LO120" s="17"/>
      <c r="LP120" s="17"/>
      <c r="LQ120" s="17"/>
      <c r="LR120" s="17"/>
      <c r="LS120" s="17"/>
      <c r="LT120" s="17"/>
      <c r="LU120" s="17"/>
      <c r="LV120" s="17"/>
      <c r="LW120" s="17"/>
      <c r="LX120" s="17"/>
      <c r="LY120" s="17"/>
      <c r="LZ120" s="17"/>
      <c r="MA120" s="17"/>
      <c r="MB120" s="17"/>
      <c r="MC120" s="17"/>
      <c r="MD120" s="17"/>
      <c r="ME120" s="17"/>
      <c r="MF120" s="17"/>
      <c r="MG120" s="17"/>
      <c r="MH120" s="17"/>
      <c r="MI120" s="17"/>
      <c r="MJ120" s="17"/>
      <c r="MK120" s="17"/>
      <c r="ML120" s="17"/>
      <c r="MM120" s="17"/>
      <c r="MN120" s="17"/>
      <c r="MO120" s="17"/>
      <c r="MP120" s="17"/>
      <c r="MQ120" s="17"/>
      <c r="MR120" s="17"/>
      <c r="MS120" s="17"/>
      <c r="MT120" s="17"/>
      <c r="MU120" s="17"/>
      <c r="MV120" s="17"/>
      <c r="MW120" s="17"/>
      <c r="MX120" s="17"/>
      <c r="MY120" s="17"/>
      <c r="MZ120" s="17"/>
      <c r="NA120" s="17"/>
      <c r="NB120" s="17"/>
      <c r="NC120" s="17"/>
      <c r="ND120" s="17"/>
      <c r="NE120" s="17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  <c r="NX120" s="17"/>
      <c r="NY120" s="17"/>
      <c r="NZ120" s="17"/>
      <c r="OA120" s="17"/>
      <c r="OB120" s="17"/>
      <c r="OC120" s="17"/>
      <c r="OD120" s="17"/>
      <c r="OE120" s="17"/>
      <c r="OF120" s="17"/>
      <c r="OG120" s="17"/>
      <c r="OH120" s="17"/>
      <c r="OI120" s="17"/>
      <c r="OJ120" s="17"/>
      <c r="OK120" s="17"/>
      <c r="OL120" s="17"/>
      <c r="OM120" s="17"/>
      <c r="ON120" s="17"/>
      <c r="OO120" s="17"/>
      <c r="OP120" s="17"/>
      <c r="OQ120" s="17"/>
      <c r="OR120" s="17"/>
      <c r="OS120" s="17"/>
      <c r="OT120" s="17"/>
      <c r="OU120" s="17"/>
      <c r="OV120" s="17"/>
      <c r="OW120" s="17"/>
      <c r="OX120" s="17"/>
      <c r="OY120" s="17"/>
      <c r="OZ120" s="17"/>
      <c r="PA120" s="17"/>
      <c r="PB120" s="17"/>
      <c r="PC120" s="17"/>
      <c r="PD120" s="17"/>
      <c r="PE120" s="17"/>
      <c r="PF120" s="17"/>
      <c r="PG120" s="17"/>
      <c r="PH120" s="17"/>
      <c r="PI120" s="17"/>
      <c r="PJ120" s="17"/>
      <c r="PK120" s="17"/>
      <c r="PL120" s="17"/>
      <c r="PM120" s="17"/>
      <c r="PN120" s="17"/>
      <c r="PO120" s="17"/>
      <c r="PP120" s="17"/>
      <c r="PQ120" s="17"/>
      <c r="PR120" s="17"/>
      <c r="PS120" s="17"/>
      <c r="PT120" s="17"/>
      <c r="PU120" s="17"/>
      <c r="PV120" s="17"/>
      <c r="PW120" s="17"/>
      <c r="PX120" s="17"/>
      <c r="PY120" s="17"/>
      <c r="PZ120" s="17"/>
      <c r="QA120" s="17"/>
      <c r="QB120" s="17"/>
      <c r="QC120" s="17"/>
      <c r="QD120" s="17"/>
      <c r="QE120" s="17"/>
      <c r="QF120" s="17"/>
      <c r="QG120" s="17"/>
      <c r="QH120" s="17"/>
      <c r="QI120" s="17"/>
      <c r="QJ120" s="17"/>
      <c r="QK120" s="17"/>
      <c r="QL120" s="17"/>
      <c r="QM120" s="17"/>
      <c r="QN120" s="17"/>
      <c r="QO120" s="17"/>
      <c r="QP120" s="17"/>
      <c r="QQ120" s="17"/>
      <c r="QR120" s="17"/>
      <c r="QS120" s="17"/>
      <c r="QT120" s="17"/>
      <c r="QU120" s="17"/>
      <c r="QV120" s="17"/>
      <c r="QW120" s="17"/>
      <c r="QX120" s="17"/>
      <c r="QY120" s="17"/>
      <c r="QZ120" s="17"/>
      <c r="RA120" s="17"/>
      <c r="RB120" s="17"/>
      <c r="RC120" s="17"/>
      <c r="RD120" s="17"/>
      <c r="RE120" s="17"/>
      <c r="RF120" s="17"/>
      <c r="RG120" s="17"/>
      <c r="RH120" s="17"/>
      <c r="RI120" s="17"/>
      <c r="RJ120" s="17"/>
      <c r="RK120" s="17"/>
      <c r="RL120" s="17"/>
      <c r="RM120" s="17"/>
      <c r="RN120" s="17"/>
      <c r="RO120" s="17"/>
      <c r="RP120" s="17"/>
      <c r="RQ120" s="17"/>
      <c r="RR120" s="17"/>
      <c r="RS120" s="17"/>
      <c r="RT120" s="17"/>
      <c r="RU120" s="17"/>
      <c r="RV120" s="17"/>
      <c r="RW120" s="17"/>
      <c r="RX120" s="17"/>
      <c r="RY120" s="17"/>
      <c r="RZ120" s="17"/>
      <c r="SA120" s="17"/>
      <c r="SB120" s="17"/>
      <c r="SC120" s="17"/>
      <c r="SD120" s="17"/>
      <c r="SE120" s="17"/>
      <c r="SF120" s="17"/>
      <c r="SG120" s="17"/>
      <c r="SH120" s="17"/>
      <c r="SI120" s="17"/>
      <c r="SJ120" s="17"/>
      <c r="SK120" s="17"/>
      <c r="SL120" s="17"/>
      <c r="SM120" s="17"/>
      <c r="SN120" s="17"/>
      <c r="SO120" s="17"/>
      <c r="SP120" s="17"/>
      <c r="SQ120" s="17"/>
      <c r="SR120" s="17"/>
      <c r="SS120" s="17"/>
      <c r="ST120" s="17"/>
      <c r="SU120" s="17"/>
      <c r="SV120" s="17"/>
      <c r="SW120" s="17"/>
      <c r="SX120" s="17"/>
      <c r="SY120" s="17"/>
      <c r="SZ120" s="17"/>
      <c r="TA120" s="17"/>
      <c r="TB120" s="17"/>
      <c r="TC120" s="17"/>
      <c r="TD120" s="17"/>
      <c r="TE120" s="17"/>
      <c r="TF120" s="17"/>
      <c r="TG120" s="17"/>
      <c r="TH120" s="17"/>
      <c r="TI120" s="17"/>
      <c r="TJ120" s="17"/>
      <c r="TK120" s="17"/>
      <c r="TL120" s="17"/>
      <c r="TM120" s="17"/>
      <c r="TN120" s="17"/>
      <c r="TO120" s="17"/>
      <c r="TP120" s="17"/>
      <c r="TQ120" s="17"/>
      <c r="TR120" s="17"/>
      <c r="TS120" s="17"/>
      <c r="TT120" s="17"/>
      <c r="TU120" s="17"/>
      <c r="TV120" s="17"/>
      <c r="TW120" s="17"/>
      <c r="TX120" s="17"/>
      <c r="TY120" s="17"/>
      <c r="TZ120" s="17"/>
      <c r="UA120" s="17"/>
      <c r="UB120" s="17"/>
      <c r="UC120" s="17"/>
      <c r="UD120" s="17"/>
      <c r="UE120" s="17"/>
      <c r="UF120" s="17"/>
      <c r="UG120" s="17"/>
      <c r="UH120" s="17"/>
      <c r="UI120" s="17"/>
      <c r="UJ120" s="17"/>
      <c r="UK120" s="17"/>
      <c r="UL120" s="17"/>
      <c r="UM120" s="17"/>
      <c r="UN120" s="17"/>
      <c r="UO120" s="17"/>
      <c r="UP120" s="17"/>
      <c r="UQ120" s="17"/>
      <c r="UR120" s="17"/>
      <c r="US120" s="17"/>
      <c r="UT120" s="17"/>
      <c r="UU120" s="17"/>
      <c r="UV120" s="17"/>
      <c r="UW120" s="17"/>
      <c r="UX120" s="17"/>
      <c r="UY120" s="17"/>
      <c r="UZ120" s="17"/>
      <c r="VA120" s="17"/>
      <c r="VB120" s="17"/>
      <c r="VC120" s="17"/>
      <c r="VD120" s="17"/>
      <c r="VE120" s="17"/>
      <c r="VF120" s="17"/>
      <c r="VG120" s="17"/>
      <c r="VH120" s="17"/>
      <c r="VI120" s="17"/>
      <c r="VJ120" s="17"/>
      <c r="VK120" s="17"/>
      <c r="VL120" s="17"/>
      <c r="VM120" s="17"/>
      <c r="VN120" s="17"/>
      <c r="VO120" s="17"/>
      <c r="VP120" s="17"/>
      <c r="VQ120" s="17"/>
      <c r="VR120" s="17"/>
      <c r="VS120" s="17"/>
      <c r="VT120" s="17"/>
      <c r="VU120" s="17"/>
      <c r="VV120" s="17"/>
      <c r="VW120" s="17"/>
      <c r="VX120" s="17"/>
      <c r="VY120" s="17"/>
      <c r="VZ120" s="17"/>
      <c r="WA120" s="17"/>
      <c r="WB120" s="17"/>
      <c r="WC120" s="17"/>
      <c r="WD120" s="17"/>
      <c r="WE120" s="17"/>
      <c r="WF120" s="17"/>
      <c r="WG120" s="17"/>
      <c r="WH120" s="17"/>
      <c r="WI120" s="17"/>
      <c r="WJ120" s="17"/>
      <c r="WK120" s="17"/>
      <c r="WL120" s="17"/>
      <c r="WM120" s="17"/>
      <c r="WN120" s="17"/>
      <c r="WO120" s="17"/>
      <c r="WP120" s="17"/>
      <c r="WQ120" s="17"/>
      <c r="WR120" s="17"/>
      <c r="WS120" s="17"/>
      <c r="WT120" s="17"/>
      <c r="WU120" s="17"/>
      <c r="WV120" s="17"/>
      <c r="WW120" s="17"/>
      <c r="WX120" s="17"/>
      <c r="WY120" s="17"/>
      <c r="WZ120" s="17"/>
      <c r="XA120" s="17"/>
      <c r="XB120" s="17"/>
      <c r="XC120" s="17"/>
      <c r="XD120" s="17"/>
      <c r="XE120" s="17"/>
      <c r="XF120" s="17"/>
      <c r="XG120" s="17"/>
      <c r="XH120" s="17"/>
      <c r="XI120" s="17"/>
      <c r="XJ120" s="17"/>
      <c r="XK120" s="17"/>
      <c r="XL120" s="17"/>
      <c r="XM120" s="17"/>
      <c r="XN120" s="17"/>
      <c r="XO120" s="17"/>
      <c r="XP120" s="17"/>
      <c r="XQ120" s="17"/>
      <c r="XR120" s="17"/>
      <c r="XS120" s="17"/>
      <c r="XT120" s="17"/>
      <c r="XU120" s="17"/>
      <c r="XV120" s="17"/>
      <c r="XW120" s="17"/>
      <c r="XX120" s="17"/>
      <c r="XY120" s="17"/>
      <c r="XZ120" s="17"/>
      <c r="YA120" s="17"/>
      <c r="YB120" s="17"/>
      <c r="YC120" s="17"/>
      <c r="YD120" s="17"/>
      <c r="YE120" s="17"/>
      <c r="YF120" s="17"/>
      <c r="YG120" s="17"/>
      <c r="YH120" s="17"/>
      <c r="YI120" s="17"/>
      <c r="YJ120" s="17"/>
      <c r="YK120" s="17"/>
      <c r="YL120" s="17"/>
      <c r="YM120" s="17"/>
      <c r="YN120" s="17"/>
      <c r="YO120" s="17"/>
      <c r="YP120" s="17"/>
      <c r="YQ120" s="17"/>
      <c r="YR120" s="17"/>
      <c r="YS120" s="17"/>
    </row>
    <row r="121" spans="266:669" x14ac:dyDescent="0.25">
      <c r="JF121" s="17"/>
      <c r="JG121" s="17"/>
      <c r="JH121" s="17"/>
      <c r="JI121" s="17"/>
      <c r="JJ121" s="17"/>
      <c r="JK121" s="17"/>
      <c r="JL121" s="17"/>
      <c r="JM121" s="17"/>
      <c r="JN121" s="17"/>
      <c r="JO121" s="17"/>
      <c r="JP121" s="17"/>
      <c r="JQ121" s="17"/>
      <c r="JR121" s="17"/>
      <c r="JS121" s="17"/>
      <c r="JT121" s="17"/>
      <c r="JU121" s="17"/>
      <c r="JV121" s="17"/>
      <c r="JW121" s="17"/>
      <c r="JX121" s="17"/>
      <c r="JY121" s="17"/>
      <c r="JZ121" s="17"/>
      <c r="KA121" s="17"/>
      <c r="KB121" s="17"/>
      <c r="KC121" s="17"/>
      <c r="KD121" s="17"/>
      <c r="KE121" s="17"/>
      <c r="KF121" s="17"/>
      <c r="KG121" s="17"/>
      <c r="KH121" s="17"/>
      <c r="KI121" s="17"/>
      <c r="KJ121" s="17"/>
      <c r="KK121" s="17"/>
      <c r="KL121" s="17"/>
      <c r="KM121" s="17"/>
      <c r="KN121" s="17"/>
      <c r="KO121" s="17"/>
      <c r="KP121" s="17"/>
      <c r="KQ121" s="17"/>
      <c r="KR121" s="17"/>
      <c r="KS121" s="17"/>
      <c r="KT121" s="17"/>
      <c r="KU121" s="17"/>
      <c r="KV121" s="17"/>
      <c r="KW121" s="17"/>
      <c r="KX121" s="17"/>
      <c r="KY121" s="17"/>
      <c r="KZ121" s="17"/>
      <c r="LA121" s="17"/>
      <c r="LB121" s="17"/>
      <c r="LC121" s="17"/>
      <c r="LD121" s="17"/>
      <c r="LE121" s="17"/>
      <c r="LF121" s="17"/>
      <c r="LG121" s="17"/>
      <c r="LH121" s="17"/>
      <c r="LI121" s="17"/>
      <c r="LJ121" s="17"/>
      <c r="LK121" s="17"/>
      <c r="LL121" s="17"/>
      <c r="LM121" s="17"/>
      <c r="LN121" s="17"/>
      <c r="LO121" s="17"/>
      <c r="LP121" s="17"/>
      <c r="LQ121" s="17"/>
      <c r="LR121" s="17"/>
      <c r="LS121" s="17"/>
      <c r="LT121" s="17"/>
      <c r="LU121" s="17"/>
      <c r="LV121" s="17"/>
      <c r="LW121" s="17"/>
      <c r="LX121" s="17"/>
      <c r="LY121" s="17"/>
      <c r="LZ121" s="17"/>
      <c r="MA121" s="17"/>
      <c r="MB121" s="17"/>
      <c r="MC121" s="17"/>
      <c r="MD121" s="17"/>
      <c r="ME121" s="17"/>
      <c r="MF121" s="17"/>
      <c r="MG121" s="17"/>
      <c r="MH121" s="17"/>
      <c r="MI121" s="17"/>
      <c r="MJ121" s="17"/>
      <c r="MK121" s="17"/>
      <c r="ML121" s="17"/>
      <c r="MM121" s="17"/>
      <c r="MN121" s="17"/>
      <c r="MO121" s="17"/>
      <c r="MP121" s="17"/>
      <c r="MQ121" s="17"/>
      <c r="MR121" s="17"/>
      <c r="MS121" s="17"/>
      <c r="MT121" s="17"/>
      <c r="MU121" s="17"/>
      <c r="MV121" s="17"/>
      <c r="MW121" s="17"/>
      <c r="MX121" s="17"/>
      <c r="MY121" s="17"/>
      <c r="MZ121" s="17"/>
      <c r="NA121" s="17"/>
      <c r="NB121" s="17"/>
      <c r="NC121" s="17"/>
      <c r="ND121" s="17"/>
      <c r="NE121" s="17"/>
      <c r="NF121" s="17"/>
      <c r="NG121" s="17"/>
      <c r="NH121" s="17"/>
      <c r="NI121" s="17"/>
      <c r="NJ121" s="17"/>
      <c r="NK121" s="17"/>
      <c r="NL121" s="17"/>
      <c r="NM121" s="17"/>
      <c r="NN121" s="17"/>
      <c r="NO121" s="17"/>
      <c r="NP121" s="17"/>
      <c r="NQ121" s="17"/>
      <c r="NR121" s="17"/>
      <c r="NS121" s="17"/>
      <c r="NT121" s="17"/>
      <c r="NU121" s="17"/>
      <c r="NV121" s="17"/>
      <c r="NW121" s="17"/>
      <c r="NX121" s="17"/>
      <c r="NY121" s="17"/>
      <c r="NZ121" s="17"/>
      <c r="OA121" s="17"/>
      <c r="OB121" s="17"/>
      <c r="OC121" s="17"/>
      <c r="OD121" s="17"/>
      <c r="OE121" s="17"/>
      <c r="OF121" s="17"/>
      <c r="OG121" s="17"/>
      <c r="OH121" s="17"/>
      <c r="OI121" s="17"/>
      <c r="OJ121" s="17"/>
      <c r="OK121" s="17"/>
      <c r="OL121" s="17"/>
      <c r="OM121" s="17"/>
      <c r="ON121" s="17"/>
      <c r="OO121" s="17"/>
      <c r="OP121" s="17"/>
      <c r="OQ121" s="17"/>
      <c r="OR121" s="17"/>
      <c r="OS121" s="17"/>
      <c r="OT121" s="17"/>
      <c r="OU121" s="17"/>
      <c r="OV121" s="17"/>
      <c r="OW121" s="17"/>
      <c r="OX121" s="17"/>
      <c r="OY121" s="17"/>
      <c r="OZ121" s="17"/>
      <c r="PA121" s="17"/>
      <c r="PB121" s="17"/>
      <c r="PC121" s="17"/>
      <c r="PD121" s="17"/>
      <c r="PE121" s="17"/>
      <c r="PF121" s="17"/>
      <c r="PG121" s="17"/>
      <c r="PH121" s="17"/>
      <c r="PI121" s="17"/>
      <c r="PJ121" s="17"/>
      <c r="PK121" s="17"/>
      <c r="PL121" s="17"/>
      <c r="PM121" s="17"/>
      <c r="PN121" s="17"/>
      <c r="PO121" s="17"/>
      <c r="PP121" s="17"/>
      <c r="PQ121" s="17"/>
      <c r="PR121" s="17"/>
      <c r="PS121" s="17"/>
      <c r="PT121" s="17"/>
      <c r="PU121" s="17"/>
      <c r="PV121" s="17"/>
      <c r="PW121" s="17"/>
      <c r="PX121" s="17"/>
      <c r="PY121" s="17"/>
      <c r="PZ121" s="17"/>
      <c r="QA121" s="17"/>
      <c r="QB121" s="17"/>
      <c r="QC121" s="17"/>
      <c r="QD121" s="17"/>
      <c r="QE121" s="17"/>
      <c r="QF121" s="17"/>
      <c r="QG121" s="17"/>
      <c r="QH121" s="17"/>
      <c r="QI121" s="17"/>
      <c r="QJ121" s="17"/>
      <c r="QK121" s="17"/>
      <c r="QL121" s="17"/>
      <c r="QM121" s="17"/>
      <c r="QN121" s="17"/>
      <c r="QO121" s="17"/>
      <c r="QP121" s="17"/>
      <c r="QQ121" s="17"/>
      <c r="QR121" s="17"/>
      <c r="QS121" s="17"/>
      <c r="QT121" s="17"/>
      <c r="QU121" s="17"/>
      <c r="QV121" s="17"/>
      <c r="QW121" s="17"/>
      <c r="QX121" s="17"/>
      <c r="QY121" s="17"/>
      <c r="QZ121" s="17"/>
      <c r="RA121" s="17"/>
      <c r="RB121" s="17"/>
      <c r="RC121" s="17"/>
      <c r="RD121" s="17"/>
      <c r="RE121" s="17"/>
      <c r="RF121" s="17"/>
      <c r="RG121" s="17"/>
      <c r="RH121" s="17"/>
      <c r="RI121" s="17"/>
      <c r="RJ121" s="17"/>
      <c r="RK121" s="17"/>
      <c r="RL121" s="17"/>
      <c r="RM121" s="17"/>
      <c r="RN121" s="17"/>
      <c r="RO121" s="17"/>
      <c r="RP121" s="17"/>
      <c r="RQ121" s="17"/>
      <c r="RR121" s="17"/>
      <c r="RS121" s="17"/>
      <c r="RT121" s="17"/>
      <c r="RU121" s="17"/>
      <c r="RV121" s="17"/>
      <c r="RW121" s="17"/>
      <c r="RX121" s="17"/>
      <c r="RY121" s="17"/>
      <c r="RZ121" s="17"/>
      <c r="SA121" s="17"/>
      <c r="SB121" s="17"/>
      <c r="SC121" s="17"/>
      <c r="SD121" s="17"/>
      <c r="SE121" s="17"/>
      <c r="SF121" s="17"/>
      <c r="SG121" s="17"/>
      <c r="SH121" s="17"/>
      <c r="SI121" s="17"/>
      <c r="SJ121" s="17"/>
      <c r="SK121" s="17"/>
      <c r="SL121" s="17"/>
      <c r="SM121" s="17"/>
      <c r="SN121" s="17"/>
      <c r="SO121" s="17"/>
      <c r="SP121" s="17"/>
      <c r="SQ121" s="17"/>
      <c r="SR121" s="17"/>
      <c r="SS121" s="17"/>
      <c r="ST121" s="17"/>
      <c r="SU121" s="17"/>
      <c r="SV121" s="17"/>
      <c r="SW121" s="17"/>
      <c r="SX121" s="17"/>
      <c r="SY121" s="17"/>
      <c r="SZ121" s="17"/>
      <c r="TA121" s="17"/>
      <c r="TB121" s="17"/>
      <c r="TC121" s="17"/>
      <c r="TD121" s="17"/>
      <c r="TE121" s="17"/>
      <c r="TF121" s="17"/>
      <c r="TG121" s="17"/>
      <c r="TH121" s="17"/>
      <c r="TI121" s="17"/>
      <c r="TJ121" s="17"/>
      <c r="TK121" s="17"/>
      <c r="TL121" s="17"/>
      <c r="TM121" s="17"/>
      <c r="TN121" s="17"/>
      <c r="TO121" s="17"/>
      <c r="TP121" s="17"/>
      <c r="TQ121" s="17"/>
      <c r="TR121" s="17"/>
      <c r="TS121" s="17"/>
      <c r="TT121" s="17"/>
      <c r="TU121" s="17"/>
      <c r="TV121" s="17"/>
      <c r="TW121" s="17"/>
      <c r="TX121" s="17"/>
      <c r="TY121" s="17"/>
      <c r="TZ121" s="17"/>
      <c r="UA121" s="17"/>
      <c r="UB121" s="17"/>
      <c r="UC121" s="17"/>
      <c r="UD121" s="17"/>
      <c r="UE121" s="17"/>
      <c r="UF121" s="17"/>
      <c r="UG121" s="17"/>
      <c r="UH121" s="17"/>
      <c r="UI121" s="17"/>
      <c r="UJ121" s="17"/>
      <c r="UK121" s="17"/>
      <c r="UL121" s="17"/>
      <c r="UM121" s="17"/>
      <c r="UN121" s="17"/>
      <c r="UO121" s="17"/>
      <c r="UP121" s="17"/>
      <c r="UQ121" s="17"/>
      <c r="UR121" s="17"/>
      <c r="US121" s="17"/>
      <c r="UT121" s="17"/>
      <c r="UU121" s="17"/>
      <c r="UV121" s="17"/>
      <c r="UW121" s="17"/>
      <c r="UX121" s="17"/>
      <c r="UY121" s="17"/>
      <c r="UZ121" s="17"/>
      <c r="VA121" s="17"/>
      <c r="VB121" s="17"/>
      <c r="VC121" s="17"/>
      <c r="VD121" s="17"/>
      <c r="VE121" s="17"/>
      <c r="VF121" s="17"/>
      <c r="VG121" s="17"/>
      <c r="VH121" s="17"/>
      <c r="VI121" s="17"/>
      <c r="VJ121" s="17"/>
      <c r="VK121" s="17"/>
      <c r="VL121" s="17"/>
      <c r="VM121" s="17"/>
      <c r="VN121" s="17"/>
      <c r="VO121" s="17"/>
      <c r="VP121" s="17"/>
      <c r="VQ121" s="17"/>
      <c r="VR121" s="17"/>
      <c r="VS121" s="17"/>
      <c r="VT121" s="17"/>
      <c r="VU121" s="17"/>
      <c r="VV121" s="17"/>
      <c r="VW121" s="17"/>
      <c r="VX121" s="17"/>
      <c r="VY121" s="17"/>
      <c r="VZ121" s="17"/>
      <c r="WA121" s="17"/>
      <c r="WB121" s="17"/>
      <c r="WC121" s="17"/>
      <c r="WD121" s="17"/>
      <c r="WE121" s="17"/>
      <c r="WF121" s="17"/>
      <c r="WG121" s="17"/>
      <c r="WH121" s="17"/>
      <c r="WI121" s="17"/>
      <c r="WJ121" s="17"/>
      <c r="WK121" s="17"/>
      <c r="WL121" s="17"/>
      <c r="WM121" s="17"/>
      <c r="WN121" s="17"/>
      <c r="WO121" s="17"/>
      <c r="WP121" s="17"/>
      <c r="WQ121" s="17"/>
      <c r="WR121" s="17"/>
      <c r="WS121" s="17"/>
      <c r="WT121" s="17"/>
      <c r="WU121" s="17"/>
      <c r="WV121" s="17"/>
      <c r="WW121" s="17"/>
      <c r="WX121" s="17"/>
      <c r="WY121" s="17"/>
      <c r="WZ121" s="17"/>
      <c r="XA121" s="17"/>
      <c r="XB121" s="17"/>
      <c r="XC121" s="17"/>
      <c r="XD121" s="17"/>
      <c r="XE121" s="17"/>
      <c r="XF121" s="17"/>
      <c r="XG121" s="17"/>
      <c r="XH121" s="17"/>
      <c r="XI121" s="17"/>
      <c r="XJ121" s="17"/>
      <c r="XK121" s="17"/>
      <c r="XL121" s="17"/>
      <c r="XM121" s="17"/>
      <c r="XN121" s="17"/>
      <c r="XO121" s="17"/>
      <c r="XP121" s="17"/>
      <c r="XQ121" s="17"/>
      <c r="XR121" s="17"/>
      <c r="XS121" s="17"/>
      <c r="XT121" s="17"/>
      <c r="XU121" s="17"/>
      <c r="XV121" s="17"/>
      <c r="XW121" s="17"/>
      <c r="XX121" s="17"/>
      <c r="XY121" s="17"/>
      <c r="XZ121" s="17"/>
      <c r="YA121" s="17"/>
      <c r="YB121" s="17"/>
      <c r="YC121" s="17"/>
      <c r="YD121" s="17"/>
      <c r="YE121" s="17"/>
      <c r="YF121" s="17"/>
      <c r="YG121" s="17"/>
      <c r="YH121" s="17"/>
      <c r="YI121" s="17"/>
      <c r="YJ121" s="17"/>
      <c r="YK121" s="17"/>
      <c r="YL121" s="17"/>
      <c r="YM121" s="17"/>
      <c r="YN121" s="17"/>
      <c r="YO121" s="17"/>
      <c r="YP121" s="17"/>
      <c r="YQ121" s="17"/>
      <c r="YR121" s="17"/>
      <c r="YS121" s="17"/>
    </row>
    <row r="122" spans="266:669" x14ac:dyDescent="0.25">
      <c r="JF122" s="17"/>
      <c r="JG122" s="17"/>
      <c r="JH122" s="17"/>
      <c r="JI122" s="17"/>
      <c r="JJ122" s="17"/>
      <c r="JK122" s="17"/>
      <c r="JL122" s="17"/>
      <c r="JM122" s="17"/>
      <c r="JN122" s="17"/>
      <c r="JO122" s="17"/>
      <c r="JP122" s="17"/>
      <c r="JQ122" s="17"/>
      <c r="JR122" s="17"/>
      <c r="JS122" s="17"/>
      <c r="JT122" s="17"/>
      <c r="JU122" s="17"/>
      <c r="JV122" s="17"/>
      <c r="JW122" s="17"/>
      <c r="JX122" s="17"/>
      <c r="JY122" s="17"/>
      <c r="JZ122" s="17"/>
      <c r="KA122" s="17"/>
      <c r="KB122" s="17"/>
      <c r="KC122" s="17"/>
      <c r="KD122" s="17"/>
      <c r="KE122" s="17"/>
      <c r="KF122" s="17"/>
      <c r="KG122" s="17"/>
      <c r="KH122" s="17"/>
      <c r="KI122" s="17"/>
      <c r="KJ122" s="17"/>
      <c r="KK122" s="17"/>
      <c r="KL122" s="17"/>
      <c r="KM122" s="17"/>
      <c r="KN122" s="17"/>
      <c r="KO122" s="17"/>
      <c r="KP122" s="17"/>
      <c r="KQ122" s="17"/>
      <c r="KR122" s="17"/>
      <c r="KS122" s="17"/>
      <c r="KT122" s="17"/>
      <c r="KU122" s="17"/>
      <c r="KV122" s="17"/>
      <c r="KW122" s="17"/>
      <c r="KX122" s="17"/>
      <c r="KY122" s="17"/>
      <c r="KZ122" s="17"/>
      <c r="LA122" s="17"/>
      <c r="LB122" s="17"/>
      <c r="LC122" s="17"/>
      <c r="LD122" s="17"/>
      <c r="LE122" s="17"/>
      <c r="LF122" s="17"/>
      <c r="LG122" s="17"/>
      <c r="LH122" s="17"/>
      <c r="LI122" s="17"/>
      <c r="LJ122" s="17"/>
      <c r="LK122" s="17"/>
      <c r="LL122" s="17"/>
      <c r="LM122" s="17"/>
      <c r="LN122" s="17"/>
      <c r="LO122" s="17"/>
      <c r="LP122" s="17"/>
      <c r="LQ122" s="17"/>
      <c r="LR122" s="17"/>
      <c r="LS122" s="17"/>
      <c r="LT122" s="17"/>
      <c r="LU122" s="17"/>
      <c r="LV122" s="17"/>
      <c r="LW122" s="17"/>
      <c r="LX122" s="17"/>
      <c r="LY122" s="17"/>
      <c r="LZ122" s="17"/>
      <c r="MA122" s="17"/>
      <c r="MB122" s="17"/>
      <c r="MC122" s="17"/>
      <c r="MD122" s="17"/>
      <c r="ME122" s="17"/>
      <c r="MF122" s="17"/>
      <c r="MG122" s="17"/>
      <c r="MH122" s="17"/>
      <c r="MI122" s="17"/>
      <c r="MJ122" s="17"/>
      <c r="MK122" s="17"/>
      <c r="ML122" s="17"/>
      <c r="MM122" s="17"/>
      <c r="MN122" s="17"/>
      <c r="MO122" s="17"/>
      <c r="MP122" s="17"/>
      <c r="MQ122" s="17"/>
      <c r="MR122" s="17"/>
      <c r="MS122" s="17"/>
      <c r="MT122" s="17"/>
      <c r="MU122" s="17"/>
      <c r="MV122" s="17"/>
      <c r="MW122" s="17"/>
      <c r="MX122" s="17"/>
      <c r="MY122" s="17"/>
      <c r="MZ122" s="17"/>
      <c r="NA122" s="17"/>
      <c r="NB122" s="17"/>
      <c r="NC122" s="17"/>
      <c r="ND122" s="17"/>
      <c r="NE122" s="17"/>
      <c r="NF122" s="17"/>
      <c r="NG122" s="17"/>
      <c r="NH122" s="17"/>
      <c r="NI122" s="17"/>
      <c r="NJ122" s="17"/>
      <c r="NK122" s="17"/>
      <c r="NL122" s="17"/>
      <c r="NM122" s="17"/>
      <c r="NN122" s="17"/>
      <c r="NO122" s="17"/>
      <c r="NP122" s="17"/>
      <c r="NQ122" s="17"/>
      <c r="NR122" s="17"/>
      <c r="NS122" s="17"/>
      <c r="NT122" s="17"/>
      <c r="NU122" s="17"/>
      <c r="NV122" s="17"/>
      <c r="NW122" s="17"/>
      <c r="NX122" s="17"/>
      <c r="NY122" s="17"/>
      <c r="NZ122" s="17"/>
      <c r="OA122" s="17"/>
      <c r="OB122" s="17"/>
      <c r="OC122" s="17"/>
      <c r="OD122" s="17"/>
      <c r="OE122" s="17"/>
      <c r="OF122" s="17"/>
      <c r="OG122" s="17"/>
      <c r="OH122" s="17"/>
      <c r="OI122" s="17"/>
      <c r="OJ122" s="17"/>
      <c r="OK122" s="17"/>
      <c r="OL122" s="17"/>
      <c r="OM122" s="17"/>
      <c r="ON122" s="17"/>
      <c r="OO122" s="17"/>
      <c r="OP122" s="17"/>
      <c r="OQ122" s="17"/>
      <c r="OR122" s="17"/>
      <c r="OS122" s="17"/>
      <c r="OT122" s="17"/>
      <c r="OU122" s="17"/>
      <c r="OV122" s="17"/>
      <c r="OW122" s="17"/>
      <c r="OX122" s="17"/>
      <c r="OY122" s="17"/>
      <c r="OZ122" s="17"/>
      <c r="PA122" s="17"/>
      <c r="PB122" s="17"/>
      <c r="PC122" s="17"/>
      <c r="PD122" s="17"/>
      <c r="PE122" s="17"/>
      <c r="PF122" s="17"/>
      <c r="PG122" s="17"/>
      <c r="PH122" s="17"/>
      <c r="PI122" s="17"/>
      <c r="PJ122" s="17"/>
      <c r="PK122" s="17"/>
      <c r="PL122" s="17"/>
      <c r="PM122" s="17"/>
      <c r="PN122" s="17"/>
      <c r="PO122" s="17"/>
      <c r="PP122" s="17"/>
      <c r="PQ122" s="17"/>
      <c r="PR122" s="17"/>
      <c r="PS122" s="17"/>
      <c r="PT122" s="17"/>
      <c r="PU122" s="17"/>
      <c r="PV122" s="17"/>
      <c r="PW122" s="17"/>
      <c r="PX122" s="17"/>
      <c r="PY122" s="17"/>
      <c r="PZ122" s="17"/>
      <c r="QA122" s="17"/>
      <c r="QB122" s="17"/>
      <c r="QC122" s="17"/>
      <c r="QD122" s="17"/>
      <c r="QE122" s="17"/>
      <c r="QF122" s="17"/>
      <c r="QG122" s="17"/>
      <c r="QH122" s="17"/>
      <c r="QI122" s="17"/>
      <c r="QJ122" s="17"/>
      <c r="QK122" s="17"/>
      <c r="QL122" s="17"/>
      <c r="QM122" s="17"/>
      <c r="QN122" s="17"/>
      <c r="QO122" s="17"/>
      <c r="QP122" s="17"/>
      <c r="QQ122" s="17"/>
      <c r="QR122" s="17"/>
      <c r="QS122" s="17"/>
      <c r="QT122" s="17"/>
      <c r="QU122" s="17"/>
      <c r="QV122" s="17"/>
      <c r="QW122" s="17"/>
      <c r="QX122" s="17"/>
      <c r="QY122" s="17"/>
      <c r="QZ122" s="17"/>
      <c r="RA122" s="17"/>
      <c r="RB122" s="17"/>
      <c r="RC122" s="17"/>
      <c r="RD122" s="17"/>
      <c r="RE122" s="17"/>
      <c r="RF122" s="17"/>
      <c r="RG122" s="17"/>
      <c r="RH122" s="17"/>
      <c r="RI122" s="17"/>
      <c r="RJ122" s="17"/>
      <c r="RK122" s="17"/>
      <c r="RL122" s="17"/>
      <c r="RM122" s="17"/>
      <c r="RN122" s="17"/>
      <c r="RO122" s="17"/>
      <c r="RP122" s="17"/>
      <c r="RQ122" s="17"/>
      <c r="RR122" s="17"/>
      <c r="RS122" s="17"/>
      <c r="RT122" s="17"/>
      <c r="RU122" s="17"/>
      <c r="RV122" s="17"/>
      <c r="RW122" s="17"/>
      <c r="RX122" s="17"/>
      <c r="RY122" s="17"/>
      <c r="RZ122" s="17"/>
      <c r="SA122" s="17"/>
      <c r="SB122" s="17"/>
      <c r="SC122" s="17"/>
      <c r="SD122" s="17"/>
      <c r="SE122" s="17"/>
      <c r="SF122" s="17"/>
      <c r="SG122" s="17"/>
      <c r="SH122" s="17"/>
      <c r="SI122" s="17"/>
      <c r="SJ122" s="17"/>
      <c r="SK122" s="17"/>
      <c r="SL122" s="17"/>
      <c r="SM122" s="17"/>
      <c r="SN122" s="17"/>
      <c r="SO122" s="17"/>
      <c r="SP122" s="17"/>
      <c r="SQ122" s="17"/>
      <c r="SR122" s="17"/>
      <c r="SS122" s="17"/>
      <c r="ST122" s="17"/>
      <c r="SU122" s="17"/>
      <c r="SV122" s="17"/>
      <c r="SW122" s="17"/>
      <c r="SX122" s="17"/>
      <c r="SY122" s="17"/>
      <c r="SZ122" s="17"/>
      <c r="TA122" s="17"/>
      <c r="TB122" s="17"/>
      <c r="TC122" s="17"/>
      <c r="TD122" s="17"/>
      <c r="TE122" s="17"/>
      <c r="TF122" s="17"/>
      <c r="TG122" s="17"/>
      <c r="TH122" s="17"/>
      <c r="TI122" s="17"/>
      <c r="TJ122" s="17"/>
      <c r="TK122" s="17"/>
      <c r="TL122" s="17"/>
      <c r="TM122" s="17"/>
      <c r="TN122" s="17"/>
      <c r="TO122" s="17"/>
      <c r="TP122" s="17"/>
      <c r="TQ122" s="17"/>
      <c r="TR122" s="17"/>
      <c r="TS122" s="17"/>
      <c r="TT122" s="17"/>
      <c r="TU122" s="17"/>
      <c r="TV122" s="17"/>
      <c r="TW122" s="17"/>
      <c r="TX122" s="17"/>
      <c r="TY122" s="17"/>
      <c r="TZ122" s="17"/>
      <c r="UA122" s="17"/>
      <c r="UB122" s="17"/>
      <c r="UC122" s="17"/>
      <c r="UD122" s="17"/>
      <c r="UE122" s="17"/>
      <c r="UF122" s="17"/>
      <c r="UG122" s="17"/>
      <c r="UH122" s="17"/>
      <c r="UI122" s="17"/>
      <c r="UJ122" s="17"/>
      <c r="UK122" s="17"/>
      <c r="UL122" s="17"/>
      <c r="UM122" s="17"/>
      <c r="UN122" s="17"/>
      <c r="UO122" s="17"/>
      <c r="UP122" s="17"/>
      <c r="UQ122" s="17"/>
      <c r="UR122" s="17"/>
      <c r="US122" s="17"/>
      <c r="UT122" s="17"/>
      <c r="UU122" s="17"/>
      <c r="UV122" s="17"/>
      <c r="UW122" s="17"/>
      <c r="UX122" s="17"/>
      <c r="UY122" s="17"/>
      <c r="UZ122" s="17"/>
      <c r="VA122" s="17"/>
      <c r="VB122" s="17"/>
      <c r="VC122" s="17"/>
      <c r="VD122" s="17"/>
      <c r="VE122" s="17"/>
      <c r="VF122" s="17"/>
      <c r="VG122" s="17"/>
      <c r="VH122" s="17"/>
      <c r="VI122" s="17"/>
      <c r="VJ122" s="17"/>
      <c r="VK122" s="17"/>
      <c r="VL122" s="17"/>
      <c r="VM122" s="17"/>
      <c r="VN122" s="17"/>
      <c r="VO122" s="17"/>
      <c r="VP122" s="17"/>
      <c r="VQ122" s="17"/>
      <c r="VR122" s="17"/>
      <c r="VS122" s="17"/>
      <c r="VT122" s="17"/>
      <c r="VU122" s="17"/>
      <c r="VV122" s="17"/>
      <c r="VW122" s="17"/>
      <c r="VX122" s="17"/>
      <c r="VY122" s="17"/>
      <c r="VZ122" s="17"/>
      <c r="WA122" s="17"/>
      <c r="WB122" s="17"/>
      <c r="WC122" s="17"/>
      <c r="WD122" s="17"/>
      <c r="WE122" s="17"/>
      <c r="WF122" s="17"/>
      <c r="WG122" s="17"/>
      <c r="WH122" s="17"/>
      <c r="WI122" s="17"/>
      <c r="WJ122" s="17"/>
      <c r="WK122" s="17"/>
      <c r="WL122" s="17"/>
      <c r="WM122" s="17"/>
      <c r="WN122" s="17"/>
      <c r="WO122" s="17"/>
      <c r="WP122" s="17"/>
      <c r="WQ122" s="17"/>
      <c r="WR122" s="17"/>
      <c r="WS122" s="17"/>
      <c r="WT122" s="17"/>
      <c r="WU122" s="17"/>
      <c r="WV122" s="17"/>
      <c r="WW122" s="17"/>
      <c r="WX122" s="17"/>
      <c r="WY122" s="17"/>
      <c r="WZ122" s="17"/>
      <c r="XA122" s="17"/>
      <c r="XB122" s="17"/>
      <c r="XC122" s="17"/>
      <c r="XD122" s="17"/>
      <c r="XE122" s="17"/>
      <c r="XF122" s="17"/>
      <c r="XG122" s="17"/>
      <c r="XH122" s="17"/>
      <c r="XI122" s="17"/>
      <c r="XJ122" s="17"/>
      <c r="XK122" s="17"/>
      <c r="XL122" s="17"/>
      <c r="XM122" s="17"/>
      <c r="XN122" s="17"/>
      <c r="XO122" s="17"/>
      <c r="XP122" s="17"/>
      <c r="XQ122" s="17"/>
      <c r="XR122" s="17"/>
      <c r="XS122" s="17"/>
      <c r="XT122" s="17"/>
      <c r="XU122" s="17"/>
      <c r="XV122" s="17"/>
      <c r="XW122" s="17"/>
      <c r="XX122" s="17"/>
      <c r="XY122" s="17"/>
      <c r="XZ122" s="17"/>
      <c r="YA122" s="17"/>
      <c r="YB122" s="17"/>
      <c r="YC122" s="17"/>
      <c r="YD122" s="17"/>
      <c r="YE122" s="17"/>
      <c r="YF122" s="17"/>
      <c r="YG122" s="17"/>
      <c r="YH122" s="17"/>
      <c r="YI122" s="17"/>
      <c r="YJ122" s="17"/>
      <c r="YK122" s="17"/>
      <c r="YL122" s="17"/>
      <c r="YM122" s="17"/>
      <c r="YN122" s="17"/>
      <c r="YO122" s="17"/>
      <c r="YP122" s="17"/>
      <c r="YQ122" s="17"/>
      <c r="YR122" s="17"/>
      <c r="YS122" s="17"/>
    </row>
    <row r="123" spans="266:669" x14ac:dyDescent="0.25">
      <c r="JF123" s="17"/>
      <c r="JG123" s="17"/>
      <c r="JH123" s="17"/>
      <c r="JI123" s="17"/>
      <c r="JJ123" s="17"/>
      <c r="JK123" s="17"/>
      <c r="JL123" s="17"/>
      <c r="JM123" s="17"/>
      <c r="JN123" s="17"/>
      <c r="JO123" s="17"/>
      <c r="JP123" s="17"/>
      <c r="JQ123" s="17"/>
      <c r="JR123" s="17"/>
      <c r="JS123" s="17"/>
      <c r="JT123" s="17"/>
      <c r="JU123" s="17"/>
      <c r="JV123" s="17"/>
      <c r="JW123" s="17"/>
      <c r="JX123" s="17"/>
      <c r="JY123" s="17"/>
      <c r="JZ123" s="17"/>
      <c r="KA123" s="17"/>
      <c r="KB123" s="17"/>
      <c r="KC123" s="17"/>
      <c r="KD123" s="17"/>
      <c r="KE123" s="17"/>
      <c r="KF123" s="17"/>
      <c r="KG123" s="17"/>
      <c r="KH123" s="17"/>
      <c r="KI123" s="17"/>
      <c r="KJ123" s="17"/>
      <c r="KK123" s="17"/>
      <c r="KL123" s="17"/>
      <c r="KM123" s="17"/>
      <c r="KN123" s="17"/>
      <c r="KO123" s="17"/>
      <c r="KP123" s="17"/>
      <c r="KQ123" s="17"/>
      <c r="KR123" s="17"/>
      <c r="KS123" s="17"/>
      <c r="KT123" s="17"/>
      <c r="KU123" s="17"/>
      <c r="KV123" s="17"/>
      <c r="KW123" s="17"/>
      <c r="KX123" s="17"/>
      <c r="KY123" s="17"/>
      <c r="KZ123" s="17"/>
      <c r="LA123" s="17"/>
      <c r="LB123" s="17"/>
      <c r="LC123" s="17"/>
      <c r="LD123" s="17"/>
      <c r="LE123" s="17"/>
      <c r="LF123" s="17"/>
      <c r="LG123" s="17"/>
      <c r="LH123" s="17"/>
      <c r="LI123" s="17"/>
      <c r="LJ123" s="17"/>
      <c r="LK123" s="17"/>
      <c r="LL123" s="17"/>
      <c r="LM123" s="17"/>
      <c r="LN123" s="17"/>
      <c r="LO123" s="17"/>
      <c r="LP123" s="17"/>
      <c r="LQ123" s="17"/>
      <c r="LR123" s="17"/>
      <c r="LS123" s="17"/>
      <c r="LT123" s="17"/>
      <c r="LU123" s="17"/>
      <c r="LV123" s="17"/>
      <c r="LW123" s="17"/>
      <c r="LX123" s="17"/>
      <c r="LY123" s="17"/>
      <c r="LZ123" s="17"/>
      <c r="MA123" s="17"/>
      <c r="MB123" s="17"/>
      <c r="MC123" s="17"/>
      <c r="MD123" s="17"/>
      <c r="ME123" s="17"/>
      <c r="MF123" s="17"/>
      <c r="MG123" s="17"/>
      <c r="MH123" s="17"/>
      <c r="MI123" s="17"/>
      <c r="MJ123" s="17"/>
      <c r="MK123" s="17"/>
      <c r="ML123" s="17"/>
      <c r="MM123" s="17"/>
      <c r="MN123" s="17"/>
      <c r="MO123" s="17"/>
      <c r="MP123" s="17"/>
      <c r="MQ123" s="17"/>
      <c r="MR123" s="17"/>
      <c r="MS123" s="17"/>
      <c r="MT123" s="17"/>
      <c r="MU123" s="17"/>
      <c r="MV123" s="17"/>
      <c r="MW123" s="17"/>
      <c r="MX123" s="17"/>
      <c r="MY123" s="17"/>
      <c r="MZ123" s="17"/>
      <c r="NA123" s="17"/>
      <c r="NB123" s="17"/>
      <c r="NC123" s="17"/>
      <c r="ND123" s="17"/>
      <c r="NE123" s="17"/>
      <c r="NF123" s="17"/>
      <c r="NG123" s="17"/>
      <c r="NH123" s="17"/>
      <c r="NI123" s="17"/>
      <c r="NJ123" s="17"/>
      <c r="NK123" s="17"/>
      <c r="NL123" s="17"/>
      <c r="NM123" s="17"/>
      <c r="NN123" s="17"/>
      <c r="NO123" s="17"/>
      <c r="NP123" s="17"/>
      <c r="NQ123" s="17"/>
      <c r="NR123" s="17"/>
      <c r="NS123" s="17"/>
      <c r="NT123" s="17"/>
      <c r="NU123" s="17"/>
      <c r="NV123" s="17"/>
      <c r="NW123" s="17"/>
      <c r="NX123" s="17"/>
      <c r="NY123" s="17"/>
      <c r="NZ123" s="17"/>
      <c r="OA123" s="17"/>
      <c r="OB123" s="17"/>
      <c r="OC123" s="17"/>
      <c r="OD123" s="17"/>
      <c r="OE123" s="17"/>
      <c r="OF123" s="17"/>
      <c r="OG123" s="17"/>
      <c r="OH123" s="17"/>
      <c r="OI123" s="17"/>
      <c r="OJ123" s="17"/>
      <c r="OK123" s="17"/>
      <c r="OL123" s="17"/>
      <c r="OM123" s="17"/>
      <c r="ON123" s="17"/>
      <c r="OO123" s="17"/>
      <c r="OP123" s="17"/>
      <c r="OQ123" s="17"/>
      <c r="OR123" s="17"/>
      <c r="OS123" s="17"/>
      <c r="OT123" s="17"/>
      <c r="OU123" s="17"/>
      <c r="OV123" s="17"/>
      <c r="OW123" s="17"/>
      <c r="OX123" s="17"/>
      <c r="OY123" s="17"/>
      <c r="OZ123" s="17"/>
      <c r="PA123" s="17"/>
      <c r="PB123" s="17"/>
      <c r="PC123" s="17"/>
      <c r="PD123" s="17"/>
      <c r="PE123" s="17"/>
      <c r="PF123" s="17"/>
      <c r="PG123" s="17"/>
      <c r="PH123" s="17"/>
      <c r="PI123" s="17"/>
      <c r="PJ123" s="17"/>
      <c r="PK123" s="17"/>
      <c r="PL123" s="17"/>
      <c r="PM123" s="17"/>
      <c r="PN123" s="17"/>
      <c r="PO123" s="17"/>
      <c r="PP123" s="17"/>
      <c r="PQ123" s="17"/>
      <c r="PR123" s="17"/>
      <c r="PS123" s="17"/>
      <c r="PT123" s="17"/>
      <c r="PU123" s="17"/>
      <c r="PV123" s="17"/>
      <c r="PW123" s="17"/>
      <c r="PX123" s="17"/>
      <c r="PY123" s="17"/>
      <c r="PZ123" s="17"/>
      <c r="QA123" s="17"/>
      <c r="QB123" s="17"/>
      <c r="QC123" s="17"/>
      <c r="QD123" s="17"/>
      <c r="QE123" s="17"/>
      <c r="QF123" s="17"/>
      <c r="QG123" s="17"/>
      <c r="QH123" s="17"/>
      <c r="QI123" s="17"/>
      <c r="QJ123" s="17"/>
      <c r="QK123" s="17"/>
      <c r="QL123" s="17"/>
      <c r="QM123" s="17"/>
      <c r="QN123" s="17"/>
      <c r="QO123" s="17"/>
      <c r="QP123" s="17"/>
      <c r="QQ123" s="17"/>
      <c r="QR123" s="17"/>
      <c r="QS123" s="17"/>
      <c r="QT123" s="17"/>
      <c r="QU123" s="17"/>
      <c r="QV123" s="17"/>
      <c r="QW123" s="17"/>
      <c r="QX123" s="17"/>
      <c r="QY123" s="17"/>
      <c r="QZ123" s="17"/>
      <c r="RA123" s="17"/>
      <c r="RB123" s="17"/>
      <c r="RC123" s="17"/>
      <c r="RD123" s="17"/>
      <c r="RE123" s="17"/>
      <c r="RF123" s="17"/>
      <c r="RG123" s="17"/>
      <c r="RH123" s="17"/>
      <c r="RI123" s="17"/>
      <c r="RJ123" s="17"/>
      <c r="RK123" s="17"/>
      <c r="RL123" s="17"/>
      <c r="RM123" s="17"/>
      <c r="RN123" s="17"/>
      <c r="RO123" s="17"/>
      <c r="RP123" s="17"/>
      <c r="RQ123" s="17"/>
      <c r="RR123" s="17"/>
      <c r="RS123" s="17"/>
      <c r="RT123" s="17"/>
      <c r="RU123" s="17"/>
      <c r="RV123" s="17"/>
      <c r="RW123" s="17"/>
      <c r="RX123" s="17"/>
      <c r="RY123" s="17"/>
      <c r="RZ123" s="17"/>
      <c r="SA123" s="17"/>
      <c r="SB123" s="17"/>
      <c r="SC123" s="17"/>
      <c r="SD123" s="17"/>
      <c r="SE123" s="17"/>
      <c r="SF123" s="17"/>
      <c r="SG123" s="17"/>
      <c r="SH123" s="17"/>
      <c r="SI123" s="17"/>
      <c r="SJ123" s="17"/>
      <c r="SK123" s="17"/>
      <c r="SL123" s="17"/>
      <c r="SM123" s="17"/>
      <c r="SN123" s="17"/>
      <c r="SO123" s="17"/>
      <c r="SP123" s="17"/>
      <c r="SQ123" s="17"/>
      <c r="SR123" s="17"/>
      <c r="SS123" s="17"/>
      <c r="ST123" s="17"/>
      <c r="SU123" s="17"/>
      <c r="SV123" s="17"/>
      <c r="SW123" s="17"/>
      <c r="SX123" s="17"/>
      <c r="SY123" s="17"/>
      <c r="SZ123" s="17"/>
      <c r="TA123" s="17"/>
      <c r="TB123" s="17"/>
      <c r="TC123" s="17"/>
      <c r="TD123" s="17"/>
      <c r="TE123" s="17"/>
      <c r="TF123" s="17"/>
      <c r="TG123" s="17"/>
      <c r="TH123" s="17"/>
      <c r="TI123" s="17"/>
      <c r="TJ123" s="17"/>
      <c r="TK123" s="17"/>
      <c r="TL123" s="17"/>
      <c r="TM123" s="17"/>
      <c r="TN123" s="17"/>
      <c r="TO123" s="17"/>
      <c r="TP123" s="17"/>
      <c r="TQ123" s="17"/>
      <c r="TR123" s="17"/>
      <c r="TS123" s="17"/>
      <c r="TT123" s="17"/>
      <c r="TU123" s="17"/>
      <c r="TV123" s="17"/>
      <c r="TW123" s="17"/>
      <c r="TX123" s="17"/>
      <c r="TY123" s="17"/>
      <c r="TZ123" s="17"/>
      <c r="UA123" s="17"/>
      <c r="UB123" s="17"/>
      <c r="UC123" s="17"/>
      <c r="UD123" s="17"/>
      <c r="UE123" s="17"/>
      <c r="UF123" s="17"/>
      <c r="UG123" s="17"/>
      <c r="UH123" s="17"/>
      <c r="UI123" s="17"/>
      <c r="UJ123" s="17"/>
      <c r="UK123" s="17"/>
      <c r="UL123" s="17"/>
      <c r="UM123" s="17"/>
      <c r="UN123" s="17"/>
      <c r="UO123" s="17"/>
      <c r="UP123" s="17"/>
      <c r="UQ123" s="17"/>
      <c r="UR123" s="17"/>
      <c r="US123" s="17"/>
      <c r="UT123" s="17"/>
      <c r="UU123" s="17"/>
      <c r="UV123" s="17"/>
      <c r="UW123" s="17"/>
      <c r="UX123" s="17"/>
      <c r="UY123" s="17"/>
      <c r="UZ123" s="17"/>
      <c r="VA123" s="17"/>
      <c r="VB123" s="17"/>
      <c r="VC123" s="17"/>
      <c r="VD123" s="17"/>
      <c r="VE123" s="17"/>
      <c r="VF123" s="17"/>
      <c r="VG123" s="17"/>
      <c r="VH123" s="17"/>
      <c r="VI123" s="17"/>
      <c r="VJ123" s="17"/>
      <c r="VK123" s="17"/>
      <c r="VL123" s="17"/>
      <c r="VM123" s="17"/>
      <c r="VN123" s="17"/>
      <c r="VO123" s="17"/>
      <c r="VP123" s="17"/>
      <c r="VQ123" s="17"/>
      <c r="VR123" s="17"/>
      <c r="VS123" s="17"/>
      <c r="VT123" s="17"/>
      <c r="VU123" s="17"/>
      <c r="VV123" s="17"/>
      <c r="VW123" s="17"/>
      <c r="VX123" s="17"/>
      <c r="VY123" s="17"/>
      <c r="VZ123" s="17"/>
      <c r="WA123" s="17"/>
      <c r="WB123" s="17"/>
      <c r="WC123" s="17"/>
      <c r="WD123" s="17"/>
      <c r="WE123" s="17"/>
      <c r="WF123" s="17"/>
      <c r="WG123" s="17"/>
      <c r="WH123" s="17"/>
      <c r="WI123" s="17"/>
      <c r="WJ123" s="17"/>
      <c r="WK123" s="17"/>
      <c r="WL123" s="17"/>
      <c r="WM123" s="17"/>
      <c r="WN123" s="17"/>
      <c r="WO123" s="17"/>
      <c r="WP123" s="17"/>
      <c r="WQ123" s="17"/>
      <c r="WR123" s="17"/>
      <c r="WS123" s="17"/>
      <c r="WT123" s="17"/>
      <c r="WU123" s="17"/>
      <c r="WV123" s="17"/>
      <c r="WW123" s="17"/>
      <c r="WX123" s="17"/>
      <c r="WY123" s="17"/>
      <c r="WZ123" s="17"/>
      <c r="XA123" s="17"/>
      <c r="XB123" s="17"/>
      <c r="XC123" s="17"/>
      <c r="XD123" s="17"/>
      <c r="XE123" s="17"/>
      <c r="XF123" s="17"/>
      <c r="XG123" s="17"/>
      <c r="XH123" s="17"/>
      <c r="XI123" s="17"/>
      <c r="XJ123" s="17"/>
      <c r="XK123" s="17"/>
      <c r="XL123" s="17"/>
      <c r="XM123" s="17"/>
      <c r="XN123" s="17"/>
      <c r="XO123" s="17"/>
      <c r="XP123" s="17"/>
      <c r="XQ123" s="17"/>
      <c r="XR123" s="17"/>
      <c r="XS123" s="17"/>
      <c r="XT123" s="17"/>
      <c r="XU123" s="17"/>
      <c r="XV123" s="17"/>
      <c r="XW123" s="17"/>
      <c r="XX123" s="17"/>
      <c r="XY123" s="17"/>
      <c r="XZ123" s="17"/>
      <c r="YA123" s="17"/>
      <c r="YB123" s="17"/>
      <c r="YC123" s="17"/>
      <c r="YD123" s="17"/>
      <c r="YE123" s="17"/>
      <c r="YF123" s="17"/>
      <c r="YG123" s="17"/>
      <c r="YH123" s="17"/>
      <c r="YI123" s="17"/>
      <c r="YJ123" s="17"/>
      <c r="YK123" s="17"/>
      <c r="YL123" s="17"/>
      <c r="YM123" s="17"/>
      <c r="YN123" s="17"/>
      <c r="YO123" s="17"/>
      <c r="YP123" s="17"/>
      <c r="YQ123" s="17"/>
      <c r="YR123" s="17"/>
      <c r="YS123" s="17"/>
    </row>
    <row r="124" spans="266:669" x14ac:dyDescent="0.25">
      <c r="JF124" s="17"/>
      <c r="JG124" s="17"/>
      <c r="JH124" s="17"/>
      <c r="JI124" s="17"/>
      <c r="JJ124" s="17"/>
      <c r="JK124" s="17"/>
      <c r="JL124" s="17"/>
      <c r="JM124" s="17"/>
      <c r="JN124" s="17"/>
      <c r="JO124" s="17"/>
      <c r="JP124" s="17"/>
      <c r="JQ124" s="17"/>
      <c r="JR124" s="17"/>
      <c r="JS124" s="17"/>
      <c r="JT124" s="17"/>
      <c r="JU124" s="17"/>
      <c r="JV124" s="17"/>
      <c r="JW124" s="17"/>
      <c r="JX124" s="17"/>
      <c r="JY124" s="17"/>
      <c r="JZ124" s="17"/>
      <c r="KA124" s="17"/>
      <c r="KB124" s="17"/>
      <c r="KC124" s="17"/>
      <c r="KD124" s="17"/>
      <c r="KE124" s="17"/>
      <c r="KF124" s="17"/>
      <c r="KG124" s="17"/>
      <c r="KH124" s="17"/>
      <c r="KI124" s="17"/>
      <c r="KJ124" s="17"/>
      <c r="KK124" s="17"/>
      <c r="KL124" s="17"/>
      <c r="KM124" s="17"/>
      <c r="KN124" s="17"/>
      <c r="KO124" s="17"/>
      <c r="KP124" s="17"/>
      <c r="KQ124" s="17"/>
      <c r="KR124" s="17"/>
      <c r="KS124" s="17"/>
      <c r="KT124" s="17"/>
      <c r="KU124" s="17"/>
      <c r="KV124" s="17"/>
      <c r="KW124" s="17"/>
      <c r="KX124" s="17"/>
      <c r="KY124" s="17"/>
      <c r="KZ124" s="17"/>
      <c r="LA124" s="17"/>
      <c r="LB124" s="17"/>
      <c r="LC124" s="17"/>
      <c r="LD124" s="17"/>
      <c r="LE124" s="17"/>
      <c r="LF124" s="17"/>
      <c r="LG124" s="17"/>
      <c r="LH124" s="17"/>
      <c r="LI124" s="17"/>
      <c r="LJ124" s="17"/>
      <c r="LK124" s="17"/>
      <c r="LL124" s="17"/>
      <c r="LM124" s="17"/>
      <c r="LN124" s="17"/>
      <c r="LO124" s="17"/>
      <c r="LP124" s="17"/>
      <c r="LQ124" s="17"/>
      <c r="LR124" s="17"/>
      <c r="LS124" s="17"/>
      <c r="LT124" s="17"/>
      <c r="LU124" s="17"/>
      <c r="LV124" s="17"/>
      <c r="LW124" s="17"/>
      <c r="LX124" s="17"/>
      <c r="LY124" s="17"/>
      <c r="LZ124" s="17"/>
      <c r="MA124" s="17"/>
      <c r="MB124" s="17"/>
      <c r="MC124" s="17"/>
      <c r="MD124" s="17"/>
      <c r="ME124" s="17"/>
      <c r="MF124" s="17"/>
      <c r="MG124" s="17"/>
      <c r="MH124" s="17"/>
      <c r="MI124" s="17"/>
      <c r="MJ124" s="17"/>
      <c r="MK124" s="17"/>
      <c r="ML124" s="17"/>
      <c r="MM124" s="17"/>
      <c r="MN124" s="17"/>
      <c r="MO124" s="17"/>
      <c r="MP124" s="17"/>
      <c r="MQ124" s="17"/>
      <c r="MR124" s="17"/>
      <c r="MS124" s="17"/>
      <c r="MT124" s="17"/>
      <c r="MU124" s="17"/>
      <c r="MV124" s="17"/>
      <c r="MW124" s="17"/>
      <c r="MX124" s="17"/>
      <c r="MY124" s="17"/>
      <c r="MZ124" s="17"/>
      <c r="NA124" s="17"/>
      <c r="NB124" s="17"/>
      <c r="NC124" s="17"/>
      <c r="ND124" s="17"/>
      <c r="NE124" s="17"/>
      <c r="NF124" s="17"/>
      <c r="NG124" s="17"/>
      <c r="NH124" s="17"/>
      <c r="NI124" s="17"/>
      <c r="NJ124" s="17"/>
      <c r="NK124" s="17"/>
      <c r="NL124" s="17"/>
      <c r="NM124" s="17"/>
      <c r="NN124" s="17"/>
      <c r="NO124" s="17"/>
      <c r="NP124" s="17"/>
      <c r="NQ124" s="17"/>
      <c r="NR124" s="17"/>
      <c r="NS124" s="17"/>
      <c r="NT124" s="17"/>
      <c r="NU124" s="17"/>
      <c r="NV124" s="17"/>
      <c r="NW124" s="17"/>
      <c r="NX124" s="17"/>
      <c r="NY124" s="17"/>
      <c r="NZ124" s="17"/>
      <c r="OA124" s="17"/>
      <c r="OB124" s="17"/>
      <c r="OC124" s="17"/>
      <c r="OD124" s="17"/>
      <c r="OE124" s="17"/>
      <c r="OF124" s="17"/>
      <c r="OG124" s="17"/>
      <c r="OH124" s="17"/>
      <c r="OI124" s="17"/>
      <c r="OJ124" s="17"/>
      <c r="OK124" s="17"/>
      <c r="OL124" s="17"/>
      <c r="OM124" s="17"/>
      <c r="ON124" s="17"/>
      <c r="OO124" s="17"/>
      <c r="OP124" s="17"/>
      <c r="OQ124" s="17"/>
      <c r="OR124" s="17"/>
      <c r="OS124" s="17"/>
      <c r="OT124" s="17"/>
      <c r="OU124" s="17"/>
      <c r="OV124" s="17"/>
      <c r="OW124" s="17"/>
      <c r="OX124" s="17"/>
      <c r="OY124" s="17"/>
      <c r="OZ124" s="17"/>
      <c r="PA124" s="17"/>
      <c r="PB124" s="17"/>
      <c r="PC124" s="17"/>
      <c r="PD124" s="17"/>
      <c r="PE124" s="17"/>
      <c r="PF124" s="17"/>
      <c r="PG124" s="17"/>
      <c r="PH124" s="17"/>
      <c r="PI124" s="17"/>
      <c r="PJ124" s="17"/>
      <c r="PK124" s="17"/>
      <c r="PL124" s="17"/>
      <c r="PM124" s="17"/>
      <c r="PN124" s="17"/>
      <c r="PO124" s="17"/>
      <c r="PP124" s="17"/>
      <c r="PQ124" s="17"/>
      <c r="PR124" s="17"/>
      <c r="PS124" s="17"/>
      <c r="PT124" s="17"/>
      <c r="PU124" s="17"/>
      <c r="PV124" s="17"/>
      <c r="PW124" s="17"/>
      <c r="PX124" s="17"/>
      <c r="PY124" s="17"/>
      <c r="PZ124" s="17"/>
      <c r="QA124" s="17"/>
      <c r="QB124" s="17"/>
      <c r="QC124" s="17"/>
      <c r="QD124" s="17"/>
      <c r="QE124" s="17"/>
      <c r="QF124" s="17"/>
      <c r="QG124" s="17"/>
      <c r="QH124" s="17"/>
      <c r="QI124" s="17"/>
      <c r="QJ124" s="17"/>
      <c r="QK124" s="17"/>
      <c r="QL124" s="17"/>
      <c r="QM124" s="17"/>
      <c r="QN124" s="17"/>
      <c r="QO124" s="17"/>
      <c r="QP124" s="17"/>
      <c r="QQ124" s="17"/>
      <c r="QR124" s="17"/>
      <c r="QS124" s="17"/>
      <c r="QT124" s="17"/>
      <c r="QU124" s="17"/>
      <c r="QV124" s="17"/>
      <c r="QW124" s="17"/>
      <c r="QX124" s="17"/>
      <c r="QY124" s="17"/>
      <c r="QZ124" s="17"/>
      <c r="RA124" s="17"/>
      <c r="RB124" s="17"/>
      <c r="RC124" s="17"/>
      <c r="RD124" s="17"/>
      <c r="RE124" s="17"/>
      <c r="RF124" s="17"/>
      <c r="RG124" s="17"/>
      <c r="RH124" s="17"/>
      <c r="RI124" s="17"/>
      <c r="RJ124" s="17"/>
      <c r="RK124" s="17"/>
      <c r="RL124" s="17"/>
      <c r="RM124" s="17"/>
      <c r="RN124" s="17"/>
      <c r="RO124" s="17"/>
      <c r="RP124" s="17"/>
      <c r="RQ124" s="17"/>
      <c r="RR124" s="17"/>
      <c r="RS124" s="17"/>
      <c r="RT124" s="17"/>
      <c r="RU124" s="17"/>
      <c r="RV124" s="17"/>
      <c r="RW124" s="17"/>
      <c r="RX124" s="17"/>
      <c r="RY124" s="17"/>
      <c r="RZ124" s="17"/>
      <c r="SA124" s="17"/>
      <c r="SB124" s="17"/>
      <c r="SC124" s="17"/>
      <c r="SD124" s="17"/>
      <c r="SE124" s="17"/>
      <c r="SF124" s="17"/>
      <c r="SG124" s="17"/>
      <c r="SH124" s="17"/>
      <c r="SI124" s="17"/>
      <c r="SJ124" s="17"/>
      <c r="SK124" s="17"/>
      <c r="SL124" s="17"/>
      <c r="SM124" s="17"/>
      <c r="SN124" s="17"/>
      <c r="SO124" s="17"/>
      <c r="SP124" s="17"/>
      <c r="SQ124" s="17"/>
      <c r="SR124" s="17"/>
      <c r="SS124" s="17"/>
      <c r="ST124" s="17"/>
      <c r="SU124" s="17"/>
      <c r="SV124" s="17"/>
      <c r="SW124" s="17"/>
      <c r="SX124" s="17"/>
      <c r="SY124" s="17"/>
      <c r="SZ124" s="17"/>
      <c r="TA124" s="17"/>
      <c r="TB124" s="17"/>
      <c r="TC124" s="17"/>
      <c r="TD124" s="17"/>
      <c r="TE124" s="17"/>
      <c r="TF124" s="17"/>
      <c r="TG124" s="17"/>
      <c r="TH124" s="17"/>
      <c r="TI124" s="17"/>
      <c r="TJ124" s="17"/>
      <c r="TK124" s="17"/>
      <c r="TL124" s="17"/>
      <c r="TM124" s="17"/>
      <c r="TN124" s="17"/>
      <c r="TO124" s="17"/>
      <c r="TP124" s="17"/>
      <c r="TQ124" s="17"/>
      <c r="TR124" s="17"/>
      <c r="TS124" s="17"/>
      <c r="TT124" s="17"/>
      <c r="TU124" s="17"/>
      <c r="TV124" s="17"/>
      <c r="TW124" s="17"/>
      <c r="TX124" s="17"/>
      <c r="TY124" s="17"/>
      <c r="TZ124" s="17"/>
      <c r="UA124" s="17"/>
      <c r="UB124" s="17"/>
      <c r="UC124" s="17"/>
      <c r="UD124" s="17"/>
      <c r="UE124" s="17"/>
      <c r="UF124" s="17"/>
      <c r="UG124" s="17"/>
      <c r="UH124" s="17"/>
      <c r="UI124" s="17"/>
      <c r="UJ124" s="17"/>
      <c r="UK124" s="17"/>
      <c r="UL124" s="17"/>
      <c r="UM124" s="17"/>
      <c r="UN124" s="17"/>
      <c r="UO124" s="17"/>
      <c r="UP124" s="17"/>
      <c r="UQ124" s="17"/>
      <c r="UR124" s="17"/>
      <c r="US124" s="17"/>
      <c r="UT124" s="17"/>
      <c r="UU124" s="17"/>
      <c r="UV124" s="17"/>
      <c r="UW124" s="17"/>
      <c r="UX124" s="17"/>
      <c r="UY124" s="17"/>
      <c r="UZ124" s="17"/>
      <c r="VA124" s="17"/>
      <c r="VB124" s="17"/>
      <c r="VC124" s="17"/>
      <c r="VD124" s="17"/>
      <c r="VE124" s="17"/>
      <c r="VF124" s="17"/>
      <c r="VG124" s="17"/>
      <c r="VH124" s="17"/>
      <c r="VI124" s="17"/>
      <c r="VJ124" s="17"/>
      <c r="VK124" s="17"/>
      <c r="VL124" s="17"/>
      <c r="VM124" s="17"/>
      <c r="VN124" s="17"/>
      <c r="VO124" s="17"/>
      <c r="VP124" s="17"/>
      <c r="VQ124" s="17"/>
      <c r="VR124" s="17"/>
      <c r="VS124" s="17"/>
      <c r="VT124" s="17"/>
      <c r="VU124" s="17"/>
      <c r="VV124" s="17"/>
      <c r="VW124" s="17"/>
      <c r="VX124" s="17"/>
      <c r="VY124" s="17"/>
      <c r="VZ124" s="17"/>
      <c r="WA124" s="17"/>
      <c r="WB124" s="17"/>
      <c r="WC124" s="17"/>
      <c r="WD124" s="17"/>
      <c r="WE124" s="17"/>
      <c r="WF124" s="17"/>
      <c r="WG124" s="17"/>
      <c r="WH124" s="17"/>
      <c r="WI124" s="17"/>
      <c r="WJ124" s="17"/>
      <c r="WK124" s="17"/>
      <c r="WL124" s="17"/>
      <c r="WM124" s="17"/>
      <c r="WN124" s="17"/>
      <c r="WO124" s="17"/>
      <c r="WP124" s="17"/>
      <c r="WQ124" s="17"/>
      <c r="WR124" s="17"/>
      <c r="WS124" s="17"/>
      <c r="WT124" s="17"/>
      <c r="WU124" s="17"/>
      <c r="WV124" s="17"/>
      <c r="WW124" s="17"/>
      <c r="WX124" s="17"/>
      <c r="WY124" s="17"/>
      <c r="WZ124" s="17"/>
      <c r="XA124" s="17"/>
      <c r="XB124" s="17"/>
      <c r="XC124" s="17"/>
      <c r="XD124" s="17"/>
      <c r="XE124" s="17"/>
      <c r="XF124" s="17"/>
      <c r="XG124" s="17"/>
      <c r="XH124" s="17"/>
      <c r="XI124" s="17"/>
      <c r="XJ124" s="17"/>
      <c r="XK124" s="17"/>
      <c r="XL124" s="17"/>
      <c r="XM124" s="17"/>
      <c r="XN124" s="17"/>
      <c r="XO124" s="17"/>
      <c r="XP124" s="17"/>
      <c r="XQ124" s="17"/>
      <c r="XR124" s="17"/>
      <c r="XS124" s="17"/>
      <c r="XT124" s="17"/>
      <c r="XU124" s="17"/>
      <c r="XV124" s="17"/>
      <c r="XW124" s="17"/>
      <c r="XX124" s="17"/>
      <c r="XY124" s="17"/>
      <c r="XZ124" s="17"/>
      <c r="YA124" s="17"/>
      <c r="YB124" s="17"/>
      <c r="YC124" s="17"/>
      <c r="YD124" s="17"/>
      <c r="YE124" s="17"/>
      <c r="YF124" s="17"/>
      <c r="YG124" s="17"/>
      <c r="YH124" s="17"/>
      <c r="YI124" s="17"/>
      <c r="YJ124" s="17"/>
      <c r="YK124" s="17"/>
      <c r="YL124" s="17"/>
      <c r="YM124" s="17"/>
      <c r="YN124" s="17"/>
      <c r="YO124" s="17"/>
      <c r="YP124" s="17"/>
      <c r="YQ124" s="17"/>
      <c r="YR124" s="17"/>
      <c r="YS124" s="17"/>
    </row>
    <row r="125" spans="266:669" x14ac:dyDescent="0.25">
      <c r="JF125" s="17"/>
      <c r="JG125" s="17"/>
      <c r="JH125" s="17"/>
      <c r="JI125" s="17"/>
      <c r="JJ125" s="17"/>
      <c r="JK125" s="17"/>
      <c r="JL125" s="17"/>
      <c r="JM125" s="17"/>
      <c r="JN125" s="17"/>
      <c r="JO125" s="17"/>
      <c r="JP125" s="17"/>
      <c r="JQ125" s="17"/>
      <c r="JR125" s="17"/>
      <c r="JS125" s="17"/>
      <c r="JT125" s="17"/>
      <c r="JU125" s="17"/>
      <c r="JV125" s="17"/>
      <c r="JW125" s="17"/>
      <c r="JX125" s="17"/>
      <c r="JY125" s="17"/>
      <c r="JZ125" s="17"/>
      <c r="KA125" s="17"/>
      <c r="KB125" s="17"/>
      <c r="KC125" s="17"/>
      <c r="KD125" s="17"/>
      <c r="KE125" s="17"/>
      <c r="KF125" s="17"/>
      <c r="KG125" s="17"/>
      <c r="KH125" s="17"/>
      <c r="KI125" s="17"/>
      <c r="KJ125" s="17"/>
      <c r="KK125" s="17"/>
      <c r="KL125" s="17"/>
      <c r="KM125" s="17"/>
      <c r="KN125" s="17"/>
      <c r="KO125" s="17"/>
      <c r="KP125" s="17"/>
      <c r="KQ125" s="17"/>
      <c r="KR125" s="17"/>
      <c r="KS125" s="17"/>
      <c r="KT125" s="17"/>
      <c r="KU125" s="17"/>
      <c r="KV125" s="17"/>
      <c r="KW125" s="17"/>
      <c r="KX125" s="17"/>
      <c r="KY125" s="17"/>
      <c r="KZ125" s="17"/>
      <c r="LA125" s="17"/>
      <c r="LB125" s="17"/>
      <c r="LC125" s="17"/>
      <c r="LD125" s="17"/>
      <c r="LE125" s="17"/>
      <c r="LF125" s="17"/>
      <c r="LG125" s="17"/>
      <c r="LH125" s="17"/>
      <c r="LI125" s="17"/>
      <c r="LJ125" s="17"/>
      <c r="LK125" s="17"/>
      <c r="LL125" s="17"/>
      <c r="LM125" s="17"/>
      <c r="LN125" s="17"/>
      <c r="LO125" s="17"/>
      <c r="LP125" s="17"/>
      <c r="LQ125" s="17"/>
      <c r="LR125" s="17"/>
      <c r="LS125" s="17"/>
      <c r="LT125" s="17"/>
      <c r="LU125" s="17"/>
      <c r="LV125" s="17"/>
      <c r="LW125" s="17"/>
      <c r="LX125" s="17"/>
      <c r="LY125" s="17"/>
      <c r="LZ125" s="17"/>
      <c r="MA125" s="17"/>
      <c r="MB125" s="17"/>
      <c r="MC125" s="17"/>
      <c r="MD125" s="17"/>
      <c r="ME125" s="17"/>
      <c r="MF125" s="17"/>
      <c r="MG125" s="17"/>
      <c r="MH125" s="17"/>
      <c r="MI125" s="17"/>
      <c r="MJ125" s="17"/>
      <c r="MK125" s="17"/>
      <c r="ML125" s="17"/>
      <c r="MM125" s="17"/>
      <c r="MN125" s="17"/>
      <c r="MO125" s="17"/>
      <c r="MP125" s="17"/>
      <c r="MQ125" s="17"/>
      <c r="MR125" s="17"/>
      <c r="MS125" s="17"/>
      <c r="MT125" s="17"/>
      <c r="MU125" s="17"/>
      <c r="MV125" s="17"/>
      <c r="MW125" s="17"/>
      <c r="MX125" s="17"/>
      <c r="MY125" s="17"/>
      <c r="MZ125" s="17"/>
      <c r="NA125" s="17"/>
      <c r="NB125" s="17"/>
      <c r="NC125" s="17"/>
      <c r="ND125" s="17"/>
      <c r="NE125" s="17"/>
      <c r="NF125" s="17"/>
      <c r="NG125" s="17"/>
      <c r="NH125" s="17"/>
      <c r="NI125" s="17"/>
      <c r="NJ125" s="17"/>
      <c r="NK125" s="17"/>
      <c r="NL125" s="17"/>
      <c r="NM125" s="17"/>
      <c r="NN125" s="17"/>
      <c r="NO125" s="17"/>
      <c r="NP125" s="17"/>
      <c r="NQ125" s="17"/>
      <c r="NR125" s="17"/>
      <c r="NS125" s="17"/>
      <c r="NT125" s="17"/>
      <c r="NU125" s="17"/>
      <c r="NV125" s="17"/>
      <c r="NW125" s="17"/>
      <c r="NX125" s="17"/>
      <c r="NY125" s="17"/>
      <c r="NZ125" s="17"/>
      <c r="OA125" s="17"/>
      <c r="OB125" s="17"/>
      <c r="OC125" s="17"/>
      <c r="OD125" s="17"/>
      <c r="OE125" s="17"/>
      <c r="OF125" s="17"/>
      <c r="OG125" s="17"/>
      <c r="OH125" s="17"/>
      <c r="OI125" s="17"/>
      <c r="OJ125" s="17"/>
      <c r="OK125" s="17"/>
      <c r="OL125" s="17"/>
      <c r="OM125" s="17"/>
      <c r="ON125" s="17"/>
      <c r="OO125" s="17"/>
      <c r="OP125" s="17"/>
      <c r="OQ125" s="17"/>
      <c r="OR125" s="17"/>
      <c r="OS125" s="17"/>
      <c r="OT125" s="17"/>
      <c r="OU125" s="17"/>
      <c r="OV125" s="17"/>
      <c r="OW125" s="17"/>
      <c r="OX125" s="17"/>
      <c r="OY125" s="17"/>
      <c r="OZ125" s="17"/>
      <c r="PA125" s="17"/>
      <c r="PB125" s="17"/>
      <c r="PC125" s="17"/>
      <c r="PD125" s="17"/>
      <c r="PE125" s="17"/>
      <c r="PF125" s="17"/>
      <c r="PG125" s="17"/>
      <c r="PH125" s="17"/>
      <c r="PI125" s="17"/>
      <c r="PJ125" s="17"/>
      <c r="PK125" s="17"/>
      <c r="PL125" s="17"/>
      <c r="PM125" s="17"/>
      <c r="PN125" s="17"/>
      <c r="PO125" s="17"/>
      <c r="PP125" s="17"/>
      <c r="PQ125" s="17"/>
      <c r="PR125" s="17"/>
      <c r="PS125" s="17"/>
      <c r="PT125" s="17"/>
      <c r="PU125" s="17"/>
      <c r="PV125" s="17"/>
      <c r="PW125" s="17"/>
      <c r="PX125" s="17"/>
      <c r="PY125" s="17"/>
      <c r="PZ125" s="17"/>
      <c r="QA125" s="17"/>
      <c r="QB125" s="17"/>
      <c r="QC125" s="17"/>
      <c r="QD125" s="17"/>
      <c r="QE125" s="17"/>
      <c r="QF125" s="17"/>
      <c r="QG125" s="17"/>
      <c r="QH125" s="17"/>
      <c r="QI125" s="17"/>
      <c r="QJ125" s="17"/>
      <c r="QK125" s="17"/>
      <c r="QL125" s="17"/>
      <c r="QM125" s="17"/>
      <c r="QN125" s="17"/>
      <c r="QO125" s="17"/>
      <c r="QP125" s="17"/>
      <c r="QQ125" s="17"/>
      <c r="QR125" s="17"/>
      <c r="QS125" s="17"/>
      <c r="QT125" s="17"/>
      <c r="QU125" s="17"/>
      <c r="QV125" s="17"/>
      <c r="QW125" s="17"/>
      <c r="QX125" s="17"/>
      <c r="QY125" s="17"/>
      <c r="QZ125" s="17"/>
      <c r="RA125" s="17"/>
      <c r="RB125" s="17"/>
      <c r="RC125" s="17"/>
      <c r="RD125" s="17"/>
      <c r="RE125" s="17"/>
      <c r="RF125" s="17"/>
      <c r="RG125" s="17"/>
      <c r="RH125" s="17"/>
      <c r="RI125" s="17"/>
      <c r="RJ125" s="17"/>
      <c r="RK125" s="17"/>
      <c r="RL125" s="17"/>
      <c r="RM125" s="17"/>
      <c r="RN125" s="17"/>
      <c r="RO125" s="17"/>
      <c r="RP125" s="17"/>
      <c r="RQ125" s="17"/>
      <c r="RR125" s="17"/>
      <c r="RS125" s="17"/>
      <c r="RT125" s="17"/>
      <c r="RU125" s="17"/>
      <c r="RV125" s="17"/>
      <c r="RW125" s="17"/>
      <c r="RX125" s="17"/>
      <c r="RY125" s="17"/>
      <c r="RZ125" s="17"/>
      <c r="SA125" s="17"/>
      <c r="SB125" s="17"/>
      <c r="SC125" s="17"/>
      <c r="SD125" s="17"/>
      <c r="SE125" s="17"/>
      <c r="SF125" s="17"/>
      <c r="SG125" s="17"/>
      <c r="SH125" s="17"/>
      <c r="SI125" s="17"/>
      <c r="SJ125" s="17"/>
      <c r="SK125" s="17"/>
      <c r="SL125" s="17"/>
      <c r="SM125" s="17"/>
      <c r="SN125" s="17"/>
      <c r="SO125" s="17"/>
      <c r="SP125" s="17"/>
      <c r="SQ125" s="17"/>
      <c r="SR125" s="17"/>
      <c r="SS125" s="17"/>
      <c r="ST125" s="17"/>
      <c r="SU125" s="17"/>
      <c r="SV125" s="17"/>
      <c r="SW125" s="17"/>
      <c r="SX125" s="17"/>
      <c r="SY125" s="17"/>
      <c r="SZ125" s="17"/>
      <c r="TA125" s="17"/>
      <c r="TB125" s="17"/>
      <c r="TC125" s="17"/>
      <c r="TD125" s="17"/>
      <c r="TE125" s="17"/>
      <c r="TF125" s="17"/>
      <c r="TG125" s="17"/>
      <c r="TH125" s="17"/>
      <c r="TI125" s="17"/>
      <c r="TJ125" s="17"/>
      <c r="TK125" s="17"/>
      <c r="TL125" s="17"/>
      <c r="TM125" s="17"/>
      <c r="TN125" s="17"/>
      <c r="TO125" s="17"/>
      <c r="TP125" s="17"/>
      <c r="TQ125" s="17"/>
      <c r="TR125" s="17"/>
      <c r="TS125" s="17"/>
      <c r="TT125" s="17"/>
      <c r="TU125" s="17"/>
      <c r="TV125" s="17"/>
      <c r="TW125" s="17"/>
      <c r="TX125" s="17"/>
      <c r="TY125" s="17"/>
      <c r="TZ125" s="17"/>
      <c r="UA125" s="17"/>
      <c r="UB125" s="17"/>
      <c r="UC125" s="17"/>
      <c r="UD125" s="17"/>
      <c r="UE125" s="17"/>
      <c r="UF125" s="17"/>
      <c r="UG125" s="17"/>
      <c r="UH125" s="17"/>
      <c r="UI125" s="17"/>
      <c r="UJ125" s="17"/>
      <c r="UK125" s="17"/>
      <c r="UL125" s="17"/>
      <c r="UM125" s="17"/>
      <c r="UN125" s="17"/>
      <c r="UO125" s="17"/>
      <c r="UP125" s="17"/>
      <c r="UQ125" s="17"/>
      <c r="UR125" s="17"/>
      <c r="US125" s="17"/>
      <c r="UT125" s="17"/>
      <c r="UU125" s="17"/>
      <c r="UV125" s="17"/>
      <c r="UW125" s="17"/>
      <c r="UX125" s="17"/>
      <c r="UY125" s="17"/>
      <c r="UZ125" s="17"/>
      <c r="VA125" s="17"/>
      <c r="VB125" s="17"/>
      <c r="VC125" s="17"/>
      <c r="VD125" s="17"/>
      <c r="VE125" s="17"/>
      <c r="VF125" s="17"/>
      <c r="VG125" s="17"/>
      <c r="VH125" s="17"/>
      <c r="VI125" s="17"/>
      <c r="VJ125" s="17"/>
      <c r="VK125" s="17"/>
      <c r="VL125" s="17"/>
      <c r="VM125" s="17"/>
      <c r="VN125" s="17"/>
      <c r="VO125" s="17"/>
      <c r="VP125" s="17"/>
      <c r="VQ125" s="17"/>
      <c r="VR125" s="17"/>
      <c r="VS125" s="17"/>
      <c r="VT125" s="17"/>
      <c r="VU125" s="17"/>
      <c r="VV125" s="17"/>
      <c r="VW125" s="17"/>
      <c r="VX125" s="17"/>
      <c r="VY125" s="17"/>
      <c r="VZ125" s="17"/>
      <c r="WA125" s="17"/>
      <c r="WB125" s="17"/>
      <c r="WC125" s="17"/>
      <c r="WD125" s="17"/>
      <c r="WE125" s="17"/>
      <c r="WF125" s="17"/>
      <c r="WG125" s="17"/>
      <c r="WH125" s="17"/>
      <c r="WI125" s="17"/>
      <c r="WJ125" s="17"/>
      <c r="WK125" s="17"/>
      <c r="WL125" s="17"/>
      <c r="WM125" s="17"/>
      <c r="WN125" s="17"/>
      <c r="WO125" s="17"/>
      <c r="WP125" s="17"/>
      <c r="WQ125" s="17"/>
      <c r="WR125" s="17"/>
      <c r="WS125" s="17"/>
      <c r="WT125" s="17"/>
      <c r="WU125" s="17"/>
      <c r="WV125" s="17"/>
      <c r="WW125" s="17"/>
      <c r="WX125" s="17"/>
      <c r="WY125" s="17"/>
      <c r="WZ125" s="17"/>
      <c r="XA125" s="17"/>
      <c r="XB125" s="17"/>
      <c r="XC125" s="17"/>
      <c r="XD125" s="17"/>
      <c r="XE125" s="17"/>
      <c r="XF125" s="17"/>
      <c r="XG125" s="17"/>
      <c r="XH125" s="17"/>
      <c r="XI125" s="17"/>
      <c r="XJ125" s="17"/>
      <c r="XK125" s="17"/>
      <c r="XL125" s="17"/>
      <c r="XM125" s="17"/>
      <c r="XN125" s="17"/>
      <c r="XO125" s="17"/>
      <c r="XP125" s="17"/>
      <c r="XQ125" s="17"/>
      <c r="XR125" s="17"/>
      <c r="XS125" s="17"/>
      <c r="XT125" s="17"/>
      <c r="XU125" s="17"/>
      <c r="XV125" s="17"/>
      <c r="XW125" s="17"/>
      <c r="XX125" s="17"/>
      <c r="XY125" s="17"/>
      <c r="XZ125" s="17"/>
      <c r="YA125" s="17"/>
      <c r="YB125" s="17"/>
      <c r="YC125" s="17"/>
      <c r="YD125" s="17"/>
      <c r="YE125" s="17"/>
      <c r="YF125" s="17"/>
      <c r="YG125" s="17"/>
      <c r="YH125" s="17"/>
      <c r="YI125" s="17"/>
      <c r="YJ125" s="17"/>
      <c r="YK125" s="17"/>
      <c r="YL125" s="17"/>
      <c r="YM125" s="17"/>
      <c r="YN125" s="17"/>
      <c r="YO125" s="17"/>
      <c r="YP125" s="17"/>
      <c r="YQ125" s="17"/>
      <c r="YR125" s="17"/>
      <c r="YS125" s="17"/>
    </row>
    <row r="126" spans="266:669" x14ac:dyDescent="0.25">
      <c r="JF126" s="17"/>
      <c r="JG126" s="17"/>
      <c r="JH126" s="17"/>
      <c r="JI126" s="17"/>
      <c r="JJ126" s="17"/>
      <c r="JK126" s="17"/>
      <c r="JL126" s="17"/>
      <c r="JM126" s="17"/>
      <c r="JN126" s="17"/>
      <c r="JO126" s="17"/>
      <c r="JP126" s="17"/>
      <c r="JQ126" s="17"/>
      <c r="JR126" s="17"/>
      <c r="JS126" s="17"/>
      <c r="JT126" s="17"/>
      <c r="JU126" s="17"/>
      <c r="JV126" s="17"/>
      <c r="JW126" s="17"/>
      <c r="JX126" s="17"/>
      <c r="JY126" s="17"/>
      <c r="JZ126" s="17"/>
      <c r="KA126" s="17"/>
      <c r="KB126" s="17"/>
      <c r="KC126" s="17"/>
      <c r="KD126" s="17"/>
      <c r="KE126" s="17"/>
      <c r="KF126" s="17"/>
      <c r="KG126" s="17"/>
      <c r="KH126" s="17"/>
      <c r="KI126" s="17"/>
      <c r="KJ126" s="17"/>
      <c r="KK126" s="17"/>
      <c r="KL126" s="17"/>
      <c r="KM126" s="17"/>
      <c r="KN126" s="17"/>
      <c r="KO126" s="17"/>
      <c r="KP126" s="17"/>
      <c r="KQ126" s="17"/>
      <c r="KR126" s="17"/>
      <c r="KS126" s="17"/>
      <c r="KT126" s="17"/>
      <c r="KU126" s="17"/>
      <c r="KV126" s="17"/>
      <c r="KW126" s="17"/>
      <c r="KX126" s="17"/>
      <c r="KY126" s="17"/>
      <c r="KZ126" s="17"/>
      <c r="LA126" s="17"/>
      <c r="LB126" s="17"/>
      <c r="LC126" s="17"/>
      <c r="LD126" s="17"/>
      <c r="LE126" s="17"/>
      <c r="LF126" s="17"/>
      <c r="LG126" s="17"/>
      <c r="LH126" s="17"/>
      <c r="LI126" s="17"/>
      <c r="LJ126" s="17"/>
      <c r="LK126" s="17"/>
      <c r="LL126" s="17"/>
      <c r="LM126" s="17"/>
      <c r="LN126" s="17"/>
      <c r="LO126" s="17"/>
      <c r="LP126" s="17"/>
      <c r="LQ126" s="17"/>
      <c r="LR126" s="17"/>
      <c r="LS126" s="17"/>
      <c r="LT126" s="17"/>
      <c r="LU126" s="17"/>
      <c r="LV126" s="17"/>
      <c r="LW126" s="17"/>
      <c r="LX126" s="17"/>
      <c r="LY126" s="17"/>
      <c r="LZ126" s="17"/>
      <c r="MA126" s="17"/>
      <c r="MB126" s="17"/>
      <c r="MC126" s="17"/>
      <c r="MD126" s="17"/>
      <c r="ME126" s="17"/>
      <c r="MF126" s="17"/>
      <c r="MG126" s="17"/>
      <c r="MH126" s="17"/>
      <c r="MI126" s="17"/>
      <c r="MJ126" s="17"/>
      <c r="MK126" s="17"/>
      <c r="ML126" s="17"/>
      <c r="MM126" s="17"/>
      <c r="MN126" s="17"/>
      <c r="MO126" s="17"/>
      <c r="MP126" s="17"/>
      <c r="MQ126" s="17"/>
      <c r="MR126" s="17"/>
      <c r="MS126" s="17"/>
      <c r="MT126" s="17"/>
      <c r="MU126" s="17"/>
      <c r="MV126" s="17"/>
      <c r="MW126" s="17"/>
      <c r="MX126" s="17"/>
      <c r="MY126" s="17"/>
      <c r="MZ126" s="17"/>
      <c r="NA126" s="17"/>
      <c r="NB126" s="17"/>
      <c r="NC126" s="17"/>
      <c r="ND126" s="17"/>
      <c r="NE126" s="17"/>
      <c r="NF126" s="17"/>
      <c r="NG126" s="17"/>
      <c r="NH126" s="17"/>
      <c r="NI126" s="17"/>
      <c r="NJ126" s="17"/>
      <c r="NK126" s="17"/>
      <c r="NL126" s="17"/>
      <c r="NM126" s="17"/>
      <c r="NN126" s="17"/>
      <c r="NO126" s="17"/>
      <c r="NP126" s="17"/>
      <c r="NQ126" s="17"/>
      <c r="NR126" s="17"/>
      <c r="NS126" s="17"/>
      <c r="NT126" s="17"/>
      <c r="NU126" s="17"/>
      <c r="NV126" s="17"/>
      <c r="NW126" s="17"/>
      <c r="NX126" s="17"/>
      <c r="NY126" s="17"/>
      <c r="NZ126" s="17"/>
      <c r="OA126" s="17"/>
      <c r="OB126" s="17"/>
      <c r="OC126" s="17"/>
      <c r="OD126" s="17"/>
      <c r="OE126" s="17"/>
      <c r="OF126" s="17"/>
      <c r="OG126" s="17"/>
      <c r="OH126" s="17"/>
      <c r="OI126" s="17"/>
      <c r="OJ126" s="17"/>
      <c r="OK126" s="17"/>
      <c r="OL126" s="17"/>
      <c r="OM126" s="17"/>
      <c r="ON126" s="17"/>
      <c r="OO126" s="17"/>
      <c r="OP126" s="17"/>
      <c r="OQ126" s="17"/>
      <c r="OR126" s="17"/>
      <c r="OS126" s="17"/>
      <c r="OT126" s="17"/>
      <c r="OU126" s="17"/>
      <c r="OV126" s="17"/>
      <c r="OW126" s="17"/>
      <c r="OX126" s="17"/>
      <c r="OY126" s="17"/>
      <c r="OZ126" s="17"/>
      <c r="PA126" s="17"/>
      <c r="PB126" s="17"/>
      <c r="PC126" s="17"/>
      <c r="PD126" s="17"/>
      <c r="PE126" s="17"/>
      <c r="PF126" s="17"/>
      <c r="PG126" s="17"/>
      <c r="PH126" s="17"/>
      <c r="PI126" s="17"/>
      <c r="PJ126" s="17"/>
      <c r="PK126" s="17"/>
      <c r="PL126" s="17"/>
      <c r="PM126" s="17"/>
      <c r="PN126" s="17"/>
      <c r="PO126" s="17"/>
      <c r="PP126" s="17"/>
      <c r="PQ126" s="17"/>
      <c r="PR126" s="17"/>
      <c r="PS126" s="17"/>
      <c r="PT126" s="17"/>
      <c r="PU126" s="17"/>
      <c r="PV126" s="17"/>
      <c r="PW126" s="17"/>
      <c r="PX126" s="17"/>
      <c r="PY126" s="17"/>
      <c r="PZ126" s="17"/>
      <c r="QA126" s="17"/>
      <c r="QB126" s="17"/>
      <c r="QC126" s="17"/>
      <c r="QD126" s="17"/>
      <c r="QE126" s="17"/>
      <c r="QF126" s="17"/>
      <c r="QG126" s="17"/>
      <c r="QH126" s="17"/>
      <c r="QI126" s="17"/>
      <c r="QJ126" s="17"/>
      <c r="QK126" s="17"/>
      <c r="QL126" s="17"/>
      <c r="QM126" s="17"/>
      <c r="QN126" s="17"/>
      <c r="QO126" s="17"/>
      <c r="QP126" s="17"/>
      <c r="QQ126" s="17"/>
      <c r="QR126" s="17"/>
      <c r="QS126" s="17"/>
      <c r="QT126" s="17"/>
      <c r="QU126" s="17"/>
      <c r="QV126" s="17"/>
      <c r="QW126" s="17"/>
      <c r="QX126" s="17"/>
      <c r="QY126" s="17"/>
      <c r="QZ126" s="17"/>
      <c r="RA126" s="17"/>
      <c r="RB126" s="17"/>
      <c r="RC126" s="17"/>
      <c r="RD126" s="17"/>
      <c r="RE126" s="17"/>
      <c r="RF126" s="17"/>
      <c r="RG126" s="17"/>
      <c r="RH126" s="17"/>
      <c r="RI126" s="17"/>
      <c r="RJ126" s="17"/>
      <c r="RK126" s="17"/>
      <c r="RL126" s="17"/>
      <c r="RM126" s="17"/>
      <c r="RN126" s="17"/>
      <c r="RO126" s="17"/>
      <c r="RP126" s="17"/>
      <c r="RQ126" s="17"/>
      <c r="RR126" s="17"/>
      <c r="RS126" s="17"/>
      <c r="RT126" s="17"/>
      <c r="RU126" s="17"/>
      <c r="RV126" s="17"/>
      <c r="RW126" s="17"/>
      <c r="RX126" s="17"/>
      <c r="RY126" s="17"/>
      <c r="RZ126" s="17"/>
      <c r="SA126" s="17"/>
      <c r="SB126" s="17"/>
      <c r="SC126" s="17"/>
      <c r="SD126" s="17"/>
      <c r="SE126" s="17"/>
      <c r="SF126" s="17"/>
      <c r="SG126" s="17"/>
      <c r="SH126" s="17"/>
      <c r="SI126" s="17"/>
      <c r="SJ126" s="17"/>
      <c r="SK126" s="17"/>
      <c r="SL126" s="17"/>
      <c r="SM126" s="17"/>
      <c r="SN126" s="17"/>
      <c r="SO126" s="17"/>
      <c r="SP126" s="17"/>
      <c r="SQ126" s="17"/>
      <c r="SR126" s="17"/>
      <c r="SS126" s="17"/>
      <c r="ST126" s="17"/>
      <c r="SU126" s="17"/>
      <c r="SV126" s="17"/>
      <c r="SW126" s="17"/>
      <c r="SX126" s="17"/>
      <c r="SY126" s="17"/>
      <c r="SZ126" s="17"/>
      <c r="TA126" s="17"/>
      <c r="TB126" s="17"/>
      <c r="TC126" s="17"/>
      <c r="TD126" s="17"/>
      <c r="TE126" s="17"/>
      <c r="TF126" s="17"/>
      <c r="TG126" s="17"/>
      <c r="TH126" s="17"/>
      <c r="TI126" s="17"/>
      <c r="TJ126" s="17"/>
      <c r="TK126" s="17"/>
      <c r="TL126" s="17"/>
      <c r="TM126" s="17"/>
      <c r="TN126" s="17"/>
      <c r="TO126" s="17"/>
      <c r="TP126" s="17"/>
      <c r="TQ126" s="17"/>
      <c r="TR126" s="17"/>
      <c r="TS126" s="17"/>
      <c r="TT126" s="17"/>
      <c r="TU126" s="17"/>
      <c r="TV126" s="17"/>
      <c r="TW126" s="17"/>
      <c r="TX126" s="17"/>
      <c r="TY126" s="17"/>
      <c r="TZ126" s="17"/>
      <c r="UA126" s="17"/>
      <c r="UB126" s="17"/>
      <c r="UC126" s="17"/>
      <c r="UD126" s="17"/>
      <c r="UE126" s="17"/>
      <c r="UF126" s="17"/>
      <c r="UG126" s="17"/>
      <c r="UH126" s="17"/>
      <c r="UI126" s="17"/>
      <c r="UJ126" s="17"/>
      <c r="UK126" s="17"/>
      <c r="UL126" s="17"/>
      <c r="UM126" s="17"/>
      <c r="UN126" s="17"/>
      <c r="UO126" s="17"/>
      <c r="UP126" s="17"/>
      <c r="UQ126" s="17"/>
      <c r="UR126" s="17"/>
      <c r="US126" s="17"/>
      <c r="UT126" s="17"/>
      <c r="UU126" s="17"/>
      <c r="UV126" s="17"/>
      <c r="UW126" s="17"/>
      <c r="UX126" s="17"/>
      <c r="UY126" s="17"/>
      <c r="UZ126" s="17"/>
      <c r="VA126" s="17"/>
      <c r="VB126" s="17"/>
      <c r="VC126" s="17"/>
      <c r="VD126" s="17"/>
      <c r="VE126" s="17"/>
      <c r="VF126" s="17"/>
      <c r="VG126" s="17"/>
      <c r="VH126" s="17"/>
      <c r="VI126" s="17"/>
      <c r="VJ126" s="17"/>
      <c r="VK126" s="17"/>
      <c r="VL126" s="17"/>
      <c r="VM126" s="17"/>
      <c r="VN126" s="17"/>
      <c r="VO126" s="17"/>
      <c r="VP126" s="17"/>
      <c r="VQ126" s="17"/>
      <c r="VR126" s="17"/>
      <c r="VS126" s="17"/>
      <c r="VT126" s="17"/>
      <c r="VU126" s="17"/>
      <c r="VV126" s="17"/>
      <c r="VW126" s="17"/>
      <c r="VX126" s="17"/>
      <c r="VY126" s="17"/>
      <c r="VZ126" s="17"/>
      <c r="WA126" s="17"/>
      <c r="WB126" s="17"/>
      <c r="WC126" s="17"/>
      <c r="WD126" s="17"/>
      <c r="WE126" s="17"/>
      <c r="WF126" s="17"/>
      <c r="WG126" s="17"/>
      <c r="WH126" s="17"/>
      <c r="WI126" s="17"/>
      <c r="WJ126" s="17"/>
      <c r="WK126" s="17"/>
      <c r="WL126" s="17"/>
      <c r="WM126" s="17"/>
      <c r="WN126" s="17"/>
      <c r="WO126" s="17"/>
      <c r="WP126" s="17"/>
      <c r="WQ126" s="17"/>
      <c r="WR126" s="17"/>
      <c r="WS126" s="17"/>
      <c r="WT126" s="17"/>
      <c r="WU126" s="17"/>
      <c r="WV126" s="17"/>
      <c r="WW126" s="17"/>
      <c r="WX126" s="17"/>
      <c r="WY126" s="17"/>
      <c r="WZ126" s="17"/>
      <c r="XA126" s="17"/>
      <c r="XB126" s="17"/>
      <c r="XC126" s="17"/>
      <c r="XD126" s="17"/>
      <c r="XE126" s="17"/>
      <c r="XF126" s="17"/>
      <c r="XG126" s="17"/>
      <c r="XH126" s="17"/>
      <c r="XI126" s="17"/>
      <c r="XJ126" s="17"/>
      <c r="XK126" s="17"/>
      <c r="XL126" s="17"/>
      <c r="XM126" s="17"/>
      <c r="XN126" s="17"/>
      <c r="XO126" s="17"/>
      <c r="XP126" s="17"/>
      <c r="XQ126" s="17"/>
      <c r="XR126" s="17"/>
      <c r="XS126" s="17"/>
      <c r="XT126" s="17"/>
      <c r="XU126" s="17"/>
      <c r="XV126" s="17"/>
      <c r="XW126" s="17"/>
      <c r="XX126" s="17"/>
      <c r="XY126" s="17"/>
      <c r="XZ126" s="17"/>
      <c r="YA126" s="17"/>
      <c r="YB126" s="17"/>
      <c r="YC126" s="17"/>
      <c r="YD126" s="17"/>
      <c r="YE126" s="17"/>
      <c r="YF126" s="17"/>
      <c r="YG126" s="17"/>
      <c r="YH126" s="17"/>
      <c r="YI126" s="17"/>
      <c r="YJ126" s="17"/>
      <c r="YK126" s="17"/>
      <c r="YL126" s="17"/>
      <c r="YM126" s="17"/>
      <c r="YN126" s="17"/>
      <c r="YO126" s="17"/>
      <c r="YP126" s="17"/>
      <c r="YQ126" s="17"/>
      <c r="YR126" s="17"/>
      <c r="YS126" s="17"/>
    </row>
    <row r="127" spans="266:669" x14ac:dyDescent="0.25">
      <c r="JF127" s="17"/>
      <c r="JG127" s="17"/>
      <c r="JH127" s="17"/>
      <c r="JI127" s="17"/>
      <c r="JJ127" s="17"/>
      <c r="JK127" s="17"/>
      <c r="JL127" s="17"/>
      <c r="JM127" s="17"/>
      <c r="JN127" s="17"/>
      <c r="JO127" s="17"/>
      <c r="JP127" s="17"/>
      <c r="JQ127" s="17"/>
      <c r="JR127" s="17"/>
      <c r="JS127" s="17"/>
      <c r="JT127" s="17"/>
      <c r="JU127" s="17"/>
      <c r="JV127" s="17"/>
      <c r="JW127" s="17"/>
      <c r="JX127" s="17"/>
      <c r="JY127" s="17"/>
      <c r="JZ127" s="17"/>
      <c r="KA127" s="17"/>
      <c r="KB127" s="17"/>
      <c r="KC127" s="17"/>
      <c r="KD127" s="17"/>
      <c r="KE127" s="17"/>
      <c r="KF127" s="17"/>
      <c r="KG127" s="17"/>
      <c r="KH127" s="17"/>
      <c r="KI127" s="17"/>
      <c r="KJ127" s="17"/>
      <c r="KK127" s="17"/>
      <c r="KL127" s="17"/>
      <c r="KM127" s="17"/>
      <c r="KN127" s="17"/>
      <c r="KO127" s="17"/>
      <c r="KP127" s="17"/>
      <c r="KQ127" s="17"/>
      <c r="KR127" s="17"/>
      <c r="KS127" s="17"/>
      <c r="KT127" s="17"/>
      <c r="KU127" s="17"/>
      <c r="KV127" s="17"/>
      <c r="KW127" s="17"/>
      <c r="KX127" s="17"/>
      <c r="KY127" s="17"/>
      <c r="KZ127" s="17"/>
      <c r="LA127" s="17"/>
      <c r="LB127" s="17"/>
      <c r="LC127" s="17"/>
      <c r="LD127" s="17"/>
      <c r="LE127" s="17"/>
      <c r="LF127" s="17"/>
      <c r="LG127" s="17"/>
      <c r="LH127" s="17"/>
      <c r="LI127" s="17"/>
      <c r="LJ127" s="17"/>
      <c r="LK127" s="17"/>
      <c r="LL127" s="17"/>
      <c r="LM127" s="17"/>
      <c r="LN127" s="17"/>
      <c r="LO127" s="17"/>
      <c r="LP127" s="17"/>
      <c r="LQ127" s="17"/>
      <c r="LR127" s="17"/>
      <c r="LS127" s="17"/>
      <c r="LT127" s="17"/>
      <c r="LU127" s="17"/>
      <c r="LV127" s="17"/>
      <c r="LW127" s="17"/>
      <c r="LX127" s="17"/>
      <c r="LY127" s="17"/>
      <c r="LZ127" s="17"/>
      <c r="MA127" s="17"/>
      <c r="MB127" s="17"/>
      <c r="MC127" s="17"/>
      <c r="MD127" s="17"/>
      <c r="ME127" s="17"/>
      <c r="MF127" s="17"/>
      <c r="MG127" s="17"/>
      <c r="MH127" s="17"/>
      <c r="MI127" s="17"/>
      <c r="MJ127" s="17"/>
      <c r="MK127" s="17"/>
      <c r="ML127" s="17"/>
      <c r="MM127" s="17"/>
      <c r="MN127" s="17"/>
      <c r="MO127" s="17"/>
      <c r="MP127" s="17"/>
      <c r="MQ127" s="17"/>
      <c r="MR127" s="17"/>
      <c r="MS127" s="17"/>
      <c r="MT127" s="17"/>
      <c r="MU127" s="17"/>
      <c r="MV127" s="17"/>
      <c r="MW127" s="17"/>
      <c r="MX127" s="17"/>
      <c r="MY127" s="17"/>
      <c r="MZ127" s="17"/>
      <c r="NA127" s="17"/>
      <c r="NB127" s="17"/>
      <c r="NC127" s="17"/>
      <c r="ND127" s="17"/>
      <c r="NE127" s="17"/>
      <c r="NF127" s="17"/>
      <c r="NG127" s="17"/>
      <c r="NH127" s="17"/>
      <c r="NI127" s="17"/>
      <c r="NJ127" s="17"/>
      <c r="NK127" s="17"/>
      <c r="NL127" s="17"/>
      <c r="NM127" s="17"/>
      <c r="NN127" s="17"/>
      <c r="NO127" s="17"/>
      <c r="NP127" s="17"/>
      <c r="NQ127" s="17"/>
      <c r="NR127" s="17"/>
      <c r="NS127" s="17"/>
      <c r="NT127" s="17"/>
      <c r="NU127" s="17"/>
      <c r="NV127" s="17"/>
      <c r="NW127" s="17"/>
      <c r="NX127" s="17"/>
      <c r="NY127" s="17"/>
      <c r="NZ127" s="17"/>
      <c r="OA127" s="17"/>
      <c r="OB127" s="17"/>
      <c r="OC127" s="17"/>
      <c r="OD127" s="17"/>
      <c r="OE127" s="17"/>
      <c r="OF127" s="17"/>
      <c r="OG127" s="17"/>
      <c r="OH127" s="17"/>
      <c r="OI127" s="17"/>
      <c r="OJ127" s="17"/>
      <c r="OK127" s="17"/>
      <c r="OL127" s="17"/>
      <c r="OM127" s="17"/>
      <c r="ON127" s="17"/>
      <c r="OO127" s="17"/>
      <c r="OP127" s="17"/>
      <c r="OQ127" s="17"/>
      <c r="OR127" s="17"/>
      <c r="OS127" s="17"/>
      <c r="OT127" s="17"/>
      <c r="OU127" s="17"/>
      <c r="OV127" s="17"/>
      <c r="OW127" s="17"/>
      <c r="OX127" s="17"/>
      <c r="OY127" s="17"/>
      <c r="OZ127" s="17"/>
      <c r="PA127" s="17"/>
      <c r="PB127" s="17"/>
      <c r="PC127" s="17"/>
      <c r="PD127" s="17"/>
      <c r="PE127" s="17"/>
      <c r="PF127" s="17"/>
      <c r="PG127" s="17"/>
      <c r="PH127" s="17"/>
      <c r="PI127" s="17"/>
      <c r="PJ127" s="17"/>
      <c r="PK127" s="17"/>
      <c r="PL127" s="17"/>
      <c r="PM127" s="17"/>
      <c r="PN127" s="17"/>
      <c r="PO127" s="17"/>
      <c r="PP127" s="17"/>
      <c r="PQ127" s="17"/>
      <c r="PR127" s="17"/>
      <c r="PS127" s="17"/>
      <c r="PT127" s="17"/>
      <c r="PU127" s="17"/>
      <c r="PV127" s="17"/>
      <c r="PW127" s="17"/>
      <c r="PX127" s="17"/>
      <c r="PY127" s="17"/>
      <c r="PZ127" s="17"/>
      <c r="QA127" s="17"/>
      <c r="QB127" s="17"/>
      <c r="QC127" s="17"/>
      <c r="QD127" s="17"/>
      <c r="QE127" s="17"/>
      <c r="QF127" s="17"/>
      <c r="QG127" s="17"/>
      <c r="QH127" s="17"/>
      <c r="QI127" s="17"/>
      <c r="QJ127" s="17"/>
      <c r="QK127" s="17"/>
      <c r="QL127" s="17"/>
      <c r="QM127" s="17"/>
      <c r="QN127" s="17"/>
      <c r="QO127" s="17"/>
      <c r="QP127" s="17"/>
      <c r="QQ127" s="17"/>
      <c r="QR127" s="17"/>
      <c r="QS127" s="17"/>
      <c r="QT127" s="17"/>
      <c r="QU127" s="17"/>
      <c r="QV127" s="17"/>
      <c r="QW127" s="17"/>
      <c r="QX127" s="17"/>
      <c r="QY127" s="17"/>
      <c r="QZ127" s="17"/>
      <c r="RA127" s="17"/>
      <c r="RB127" s="17"/>
      <c r="RC127" s="17"/>
      <c r="RD127" s="17"/>
      <c r="RE127" s="17"/>
      <c r="RF127" s="17"/>
      <c r="RG127" s="17"/>
      <c r="RH127" s="17"/>
      <c r="RI127" s="17"/>
      <c r="RJ127" s="17"/>
      <c r="RK127" s="17"/>
      <c r="RL127" s="17"/>
      <c r="RM127" s="17"/>
      <c r="RN127" s="17"/>
      <c r="RO127" s="17"/>
      <c r="RP127" s="17"/>
      <c r="RQ127" s="17"/>
      <c r="RR127" s="17"/>
      <c r="RS127" s="17"/>
      <c r="RT127" s="17"/>
      <c r="RU127" s="17"/>
      <c r="RV127" s="17"/>
      <c r="RW127" s="17"/>
      <c r="RX127" s="17"/>
      <c r="RY127" s="17"/>
      <c r="RZ127" s="17"/>
      <c r="SA127" s="17"/>
      <c r="SB127" s="17"/>
      <c r="SC127" s="17"/>
      <c r="SD127" s="17"/>
      <c r="SE127" s="17"/>
      <c r="SF127" s="17"/>
      <c r="SG127" s="17"/>
      <c r="SH127" s="17"/>
      <c r="SI127" s="17"/>
      <c r="SJ127" s="17"/>
      <c r="SK127" s="17"/>
      <c r="SL127" s="17"/>
      <c r="SM127" s="17"/>
      <c r="SN127" s="17"/>
      <c r="SO127" s="17"/>
      <c r="SP127" s="17"/>
      <c r="SQ127" s="17"/>
      <c r="SR127" s="17"/>
      <c r="SS127" s="17"/>
      <c r="ST127" s="17"/>
      <c r="SU127" s="17"/>
      <c r="SV127" s="17"/>
      <c r="SW127" s="17"/>
      <c r="SX127" s="17"/>
      <c r="SY127" s="17"/>
      <c r="SZ127" s="17"/>
      <c r="TA127" s="17"/>
      <c r="TB127" s="17"/>
      <c r="TC127" s="17"/>
      <c r="TD127" s="17"/>
      <c r="TE127" s="17"/>
      <c r="TF127" s="17"/>
      <c r="TG127" s="17"/>
      <c r="TH127" s="17"/>
      <c r="TI127" s="17"/>
      <c r="TJ127" s="17"/>
      <c r="TK127" s="17"/>
      <c r="TL127" s="17"/>
      <c r="TM127" s="17"/>
      <c r="TN127" s="17"/>
      <c r="TO127" s="17"/>
      <c r="TP127" s="17"/>
      <c r="TQ127" s="17"/>
      <c r="TR127" s="17"/>
      <c r="TS127" s="17"/>
      <c r="TT127" s="17"/>
      <c r="TU127" s="17"/>
      <c r="TV127" s="17"/>
      <c r="TW127" s="17"/>
      <c r="TX127" s="17"/>
      <c r="TY127" s="17"/>
      <c r="TZ127" s="17"/>
      <c r="UA127" s="17"/>
      <c r="UB127" s="17"/>
      <c r="UC127" s="17"/>
      <c r="UD127" s="17"/>
      <c r="UE127" s="17"/>
      <c r="UF127" s="17"/>
      <c r="UG127" s="17"/>
      <c r="UH127" s="17"/>
      <c r="UI127" s="17"/>
      <c r="UJ127" s="17"/>
      <c r="UK127" s="17"/>
      <c r="UL127" s="17"/>
      <c r="UM127" s="17"/>
      <c r="UN127" s="17"/>
      <c r="UO127" s="17"/>
      <c r="UP127" s="17"/>
      <c r="UQ127" s="17"/>
      <c r="UR127" s="17"/>
      <c r="US127" s="17"/>
      <c r="UT127" s="17"/>
      <c r="UU127" s="17"/>
      <c r="UV127" s="17"/>
      <c r="UW127" s="17"/>
      <c r="UX127" s="17"/>
      <c r="UY127" s="17"/>
      <c r="UZ127" s="17"/>
      <c r="VA127" s="17"/>
      <c r="VB127" s="17"/>
      <c r="VC127" s="17"/>
      <c r="VD127" s="17"/>
      <c r="VE127" s="17"/>
      <c r="VF127" s="17"/>
      <c r="VG127" s="17"/>
      <c r="VH127" s="17"/>
      <c r="VI127" s="17"/>
      <c r="VJ127" s="17"/>
      <c r="VK127" s="17"/>
      <c r="VL127" s="17"/>
      <c r="VM127" s="17"/>
      <c r="VN127" s="17"/>
      <c r="VO127" s="17"/>
      <c r="VP127" s="17"/>
      <c r="VQ127" s="17"/>
      <c r="VR127" s="17"/>
      <c r="VS127" s="17"/>
      <c r="VT127" s="17"/>
      <c r="VU127" s="17"/>
      <c r="VV127" s="17"/>
      <c r="VW127" s="17"/>
      <c r="VX127" s="17"/>
      <c r="VY127" s="17"/>
      <c r="VZ127" s="17"/>
      <c r="WA127" s="17"/>
      <c r="WB127" s="17"/>
      <c r="WC127" s="17"/>
      <c r="WD127" s="17"/>
      <c r="WE127" s="17"/>
      <c r="WF127" s="17"/>
      <c r="WG127" s="17"/>
      <c r="WH127" s="17"/>
      <c r="WI127" s="17"/>
      <c r="WJ127" s="17"/>
      <c r="WK127" s="17"/>
      <c r="WL127" s="17"/>
      <c r="WM127" s="17"/>
      <c r="WN127" s="17"/>
      <c r="WO127" s="17"/>
      <c r="WP127" s="17"/>
      <c r="WQ127" s="17"/>
      <c r="WR127" s="17"/>
      <c r="WS127" s="17"/>
      <c r="WT127" s="17"/>
      <c r="WU127" s="17"/>
      <c r="WV127" s="17"/>
      <c r="WW127" s="17"/>
      <c r="WX127" s="17"/>
      <c r="WY127" s="17"/>
      <c r="WZ127" s="17"/>
      <c r="XA127" s="17"/>
      <c r="XB127" s="17"/>
      <c r="XC127" s="17"/>
      <c r="XD127" s="17"/>
      <c r="XE127" s="17"/>
      <c r="XF127" s="17"/>
      <c r="XG127" s="17"/>
      <c r="XH127" s="17"/>
      <c r="XI127" s="17"/>
      <c r="XJ127" s="17"/>
      <c r="XK127" s="17"/>
      <c r="XL127" s="17"/>
      <c r="XM127" s="17"/>
      <c r="XN127" s="17"/>
      <c r="XO127" s="17"/>
      <c r="XP127" s="17"/>
      <c r="XQ127" s="17"/>
      <c r="XR127" s="17"/>
      <c r="XS127" s="17"/>
      <c r="XT127" s="17"/>
      <c r="XU127" s="17"/>
      <c r="XV127" s="17"/>
      <c r="XW127" s="17"/>
      <c r="XX127" s="17"/>
      <c r="XY127" s="17"/>
      <c r="XZ127" s="17"/>
      <c r="YA127" s="17"/>
      <c r="YB127" s="17"/>
      <c r="YC127" s="17"/>
      <c r="YD127" s="17"/>
      <c r="YE127" s="17"/>
      <c r="YF127" s="17"/>
      <c r="YG127" s="17"/>
      <c r="YH127" s="17"/>
      <c r="YI127" s="17"/>
      <c r="YJ127" s="17"/>
      <c r="YK127" s="17"/>
      <c r="YL127" s="17"/>
      <c r="YM127" s="17"/>
      <c r="YN127" s="17"/>
      <c r="YO127" s="17"/>
      <c r="YP127" s="17"/>
      <c r="YQ127" s="17"/>
      <c r="YR127" s="17"/>
      <c r="YS127" s="17"/>
    </row>
    <row r="128" spans="266:669" x14ac:dyDescent="0.25">
      <c r="JF128" s="17"/>
      <c r="JG128" s="17"/>
      <c r="JH128" s="17"/>
      <c r="JI128" s="17"/>
      <c r="JJ128" s="17"/>
      <c r="JK128" s="17"/>
      <c r="JL128" s="17"/>
      <c r="JM128" s="17"/>
      <c r="JN128" s="17"/>
      <c r="JO128" s="17"/>
      <c r="JP128" s="17"/>
      <c r="JQ128" s="17"/>
      <c r="JR128" s="17"/>
      <c r="JS128" s="17"/>
      <c r="JT128" s="17"/>
      <c r="JU128" s="17"/>
      <c r="JV128" s="17"/>
      <c r="JW128" s="17"/>
      <c r="JX128" s="17"/>
      <c r="JY128" s="17"/>
      <c r="JZ128" s="17"/>
      <c r="KA128" s="17"/>
      <c r="KB128" s="17"/>
      <c r="KC128" s="17"/>
      <c r="KD128" s="17"/>
      <c r="KE128" s="17"/>
      <c r="KF128" s="17"/>
      <c r="KG128" s="17"/>
      <c r="KH128" s="17"/>
      <c r="KI128" s="17"/>
      <c r="KJ128" s="17"/>
      <c r="KK128" s="17"/>
      <c r="KL128" s="17"/>
      <c r="KM128" s="17"/>
      <c r="KN128" s="17"/>
      <c r="KO128" s="17"/>
      <c r="KP128" s="17"/>
      <c r="KQ128" s="17"/>
      <c r="KR128" s="17"/>
      <c r="KS128" s="17"/>
      <c r="KT128" s="17"/>
      <c r="KU128" s="17"/>
      <c r="KV128" s="17"/>
      <c r="KW128" s="17"/>
      <c r="KX128" s="17"/>
      <c r="KY128" s="17"/>
      <c r="KZ128" s="17"/>
      <c r="LA128" s="17"/>
      <c r="LB128" s="17"/>
      <c r="LC128" s="17"/>
      <c r="LD128" s="17"/>
      <c r="LE128" s="17"/>
      <c r="LF128" s="17"/>
      <c r="LG128" s="17"/>
      <c r="LH128" s="17"/>
      <c r="LI128" s="17"/>
      <c r="LJ128" s="17"/>
      <c r="LK128" s="17"/>
      <c r="LL128" s="17"/>
      <c r="LM128" s="17"/>
      <c r="LN128" s="17"/>
      <c r="LO128" s="17"/>
      <c r="LP128" s="17"/>
      <c r="LQ128" s="17"/>
      <c r="LR128" s="17"/>
      <c r="LS128" s="17"/>
      <c r="LT128" s="17"/>
      <c r="LU128" s="17"/>
      <c r="LV128" s="17"/>
      <c r="LW128" s="17"/>
      <c r="LX128" s="17"/>
      <c r="LY128" s="17"/>
      <c r="LZ128" s="17"/>
      <c r="MA128" s="17"/>
      <c r="MB128" s="17"/>
      <c r="MC128" s="17"/>
      <c r="MD128" s="17"/>
      <c r="ME128" s="17"/>
      <c r="MF128" s="17"/>
      <c r="MG128" s="17"/>
      <c r="MH128" s="17"/>
      <c r="MI128" s="17"/>
      <c r="MJ128" s="17"/>
      <c r="MK128" s="17"/>
      <c r="ML128" s="17"/>
      <c r="MM128" s="17"/>
      <c r="MN128" s="17"/>
      <c r="MO128" s="17"/>
      <c r="MP128" s="17"/>
      <c r="MQ128" s="17"/>
      <c r="MR128" s="17"/>
      <c r="MS128" s="17"/>
      <c r="MT128" s="17"/>
      <c r="MU128" s="17"/>
      <c r="MV128" s="17"/>
      <c r="MW128" s="17"/>
      <c r="MX128" s="17"/>
      <c r="MY128" s="17"/>
      <c r="MZ128" s="17"/>
      <c r="NA128" s="17"/>
      <c r="NB128" s="17"/>
      <c r="NC128" s="17"/>
      <c r="ND128" s="17"/>
      <c r="NE128" s="17"/>
      <c r="NF128" s="17"/>
      <c r="NG128" s="17"/>
      <c r="NH128" s="17"/>
      <c r="NI128" s="17"/>
      <c r="NJ128" s="17"/>
      <c r="NK128" s="17"/>
      <c r="NL128" s="17"/>
      <c r="NM128" s="17"/>
      <c r="NN128" s="17"/>
      <c r="NO128" s="17"/>
      <c r="NP128" s="17"/>
      <c r="NQ128" s="17"/>
      <c r="NR128" s="17"/>
      <c r="NS128" s="17"/>
      <c r="NT128" s="17"/>
      <c r="NU128" s="17"/>
      <c r="NV128" s="17"/>
      <c r="NW128" s="17"/>
      <c r="NX128" s="17"/>
      <c r="NY128" s="17"/>
      <c r="NZ128" s="17"/>
      <c r="OA128" s="17"/>
      <c r="OB128" s="17"/>
      <c r="OC128" s="17"/>
      <c r="OD128" s="17"/>
      <c r="OE128" s="17"/>
      <c r="OF128" s="17"/>
      <c r="OG128" s="17"/>
      <c r="OH128" s="17"/>
      <c r="OI128" s="17"/>
      <c r="OJ128" s="17"/>
      <c r="OK128" s="17"/>
      <c r="OL128" s="17"/>
      <c r="OM128" s="17"/>
      <c r="ON128" s="17"/>
      <c r="OO128" s="17"/>
      <c r="OP128" s="17"/>
      <c r="OQ128" s="17"/>
      <c r="OR128" s="17"/>
      <c r="OS128" s="17"/>
      <c r="OT128" s="17"/>
      <c r="OU128" s="17"/>
      <c r="OV128" s="17"/>
      <c r="OW128" s="17"/>
      <c r="OX128" s="17"/>
      <c r="OY128" s="17"/>
      <c r="OZ128" s="17"/>
      <c r="PA128" s="17"/>
      <c r="PB128" s="17"/>
      <c r="PC128" s="17"/>
      <c r="PD128" s="17"/>
      <c r="PE128" s="17"/>
      <c r="PF128" s="17"/>
      <c r="PG128" s="17"/>
      <c r="PH128" s="17"/>
      <c r="PI128" s="17"/>
      <c r="PJ128" s="17"/>
      <c r="PK128" s="17"/>
      <c r="PL128" s="17"/>
      <c r="PM128" s="17"/>
      <c r="PN128" s="17"/>
      <c r="PO128" s="17"/>
      <c r="PP128" s="17"/>
      <c r="PQ128" s="17"/>
      <c r="PR128" s="17"/>
      <c r="PS128" s="17"/>
      <c r="PT128" s="17"/>
      <c r="PU128" s="17"/>
      <c r="PV128" s="17"/>
      <c r="PW128" s="17"/>
      <c r="PX128" s="17"/>
      <c r="PY128" s="17"/>
      <c r="PZ128" s="17"/>
      <c r="QA128" s="17"/>
      <c r="QB128" s="17"/>
      <c r="QC128" s="17"/>
      <c r="QD128" s="17"/>
      <c r="QE128" s="17"/>
      <c r="QF128" s="17"/>
      <c r="QG128" s="17"/>
      <c r="QH128" s="17"/>
      <c r="QI128" s="17"/>
      <c r="QJ128" s="17"/>
      <c r="QK128" s="17"/>
      <c r="QL128" s="17"/>
      <c r="QM128" s="17"/>
      <c r="QN128" s="17"/>
      <c r="QO128" s="17"/>
      <c r="QP128" s="17"/>
      <c r="QQ128" s="17"/>
      <c r="QR128" s="17"/>
      <c r="QS128" s="17"/>
      <c r="QT128" s="17"/>
      <c r="QU128" s="17"/>
      <c r="QV128" s="17"/>
      <c r="QW128" s="17"/>
      <c r="QX128" s="17"/>
      <c r="QY128" s="17"/>
      <c r="QZ128" s="17"/>
      <c r="RA128" s="17"/>
      <c r="RB128" s="17"/>
      <c r="RC128" s="17"/>
      <c r="RD128" s="17"/>
      <c r="RE128" s="17"/>
      <c r="RF128" s="17"/>
      <c r="RG128" s="17"/>
      <c r="RH128" s="17"/>
      <c r="RI128" s="17"/>
      <c r="RJ128" s="17"/>
      <c r="RK128" s="17"/>
      <c r="RL128" s="17"/>
      <c r="RM128" s="17"/>
      <c r="RN128" s="17"/>
      <c r="RO128" s="17"/>
      <c r="RP128" s="17"/>
      <c r="RQ128" s="17"/>
      <c r="RR128" s="17"/>
      <c r="RS128" s="17"/>
      <c r="RT128" s="17"/>
      <c r="RU128" s="17"/>
      <c r="RV128" s="17"/>
      <c r="RW128" s="17"/>
      <c r="RX128" s="17"/>
      <c r="RY128" s="17"/>
      <c r="RZ128" s="17"/>
      <c r="SA128" s="17"/>
      <c r="SB128" s="17"/>
      <c r="SC128" s="17"/>
      <c r="SD128" s="17"/>
      <c r="SE128" s="17"/>
      <c r="SF128" s="17"/>
      <c r="SG128" s="17"/>
      <c r="SH128" s="17"/>
      <c r="SI128" s="17"/>
      <c r="SJ128" s="17"/>
      <c r="SK128" s="17"/>
      <c r="SL128" s="17"/>
      <c r="SM128" s="17"/>
      <c r="SN128" s="17"/>
      <c r="SO128" s="17"/>
      <c r="SP128" s="17"/>
      <c r="SQ128" s="17"/>
      <c r="SR128" s="17"/>
      <c r="SS128" s="17"/>
      <c r="ST128" s="17"/>
      <c r="SU128" s="17"/>
      <c r="SV128" s="17"/>
      <c r="SW128" s="17"/>
      <c r="SX128" s="17"/>
      <c r="SY128" s="17"/>
      <c r="SZ128" s="17"/>
      <c r="TA128" s="17"/>
      <c r="TB128" s="17"/>
      <c r="TC128" s="17"/>
      <c r="TD128" s="17"/>
      <c r="TE128" s="17"/>
      <c r="TF128" s="17"/>
      <c r="TG128" s="17"/>
      <c r="TH128" s="17"/>
      <c r="TI128" s="17"/>
      <c r="TJ128" s="17"/>
      <c r="TK128" s="17"/>
      <c r="TL128" s="17"/>
      <c r="TM128" s="17"/>
      <c r="TN128" s="17"/>
      <c r="TO128" s="17"/>
      <c r="TP128" s="17"/>
      <c r="TQ128" s="17"/>
      <c r="TR128" s="17"/>
      <c r="TS128" s="17"/>
      <c r="TT128" s="17"/>
      <c r="TU128" s="17"/>
      <c r="TV128" s="17"/>
      <c r="TW128" s="17"/>
      <c r="TX128" s="17"/>
      <c r="TY128" s="17"/>
      <c r="TZ128" s="17"/>
      <c r="UA128" s="17"/>
      <c r="UB128" s="17"/>
      <c r="UC128" s="17"/>
      <c r="UD128" s="17"/>
      <c r="UE128" s="17"/>
      <c r="UF128" s="17"/>
      <c r="UG128" s="17"/>
      <c r="UH128" s="17"/>
      <c r="UI128" s="17"/>
      <c r="UJ128" s="17"/>
      <c r="UK128" s="17"/>
      <c r="UL128" s="17"/>
      <c r="UM128" s="17"/>
      <c r="UN128" s="17"/>
      <c r="UO128" s="17"/>
      <c r="UP128" s="17"/>
      <c r="UQ128" s="17"/>
      <c r="UR128" s="17"/>
      <c r="US128" s="17"/>
      <c r="UT128" s="17"/>
      <c r="UU128" s="17"/>
      <c r="UV128" s="17"/>
      <c r="UW128" s="17"/>
      <c r="UX128" s="17"/>
      <c r="UY128" s="17"/>
      <c r="UZ128" s="17"/>
      <c r="VA128" s="17"/>
      <c r="VB128" s="17"/>
      <c r="VC128" s="17"/>
      <c r="VD128" s="17"/>
      <c r="VE128" s="17"/>
      <c r="VF128" s="17"/>
      <c r="VG128" s="17"/>
      <c r="VH128" s="17"/>
      <c r="VI128" s="17"/>
      <c r="VJ128" s="17"/>
      <c r="VK128" s="17"/>
      <c r="VL128" s="17"/>
      <c r="VM128" s="17"/>
      <c r="VN128" s="17"/>
      <c r="VO128" s="17"/>
      <c r="VP128" s="17"/>
      <c r="VQ128" s="17"/>
      <c r="VR128" s="17"/>
      <c r="VS128" s="17"/>
      <c r="VT128" s="17"/>
      <c r="VU128" s="17"/>
      <c r="VV128" s="17"/>
      <c r="VW128" s="17"/>
      <c r="VX128" s="17"/>
      <c r="VY128" s="17"/>
      <c r="VZ128" s="17"/>
      <c r="WA128" s="17"/>
      <c r="WB128" s="17"/>
      <c r="WC128" s="17"/>
      <c r="WD128" s="17"/>
      <c r="WE128" s="17"/>
      <c r="WF128" s="17"/>
      <c r="WG128" s="17"/>
      <c r="WH128" s="17"/>
      <c r="WI128" s="17"/>
      <c r="WJ128" s="17"/>
      <c r="WK128" s="17"/>
      <c r="WL128" s="17"/>
      <c r="WM128" s="17"/>
      <c r="WN128" s="17"/>
      <c r="WO128" s="17"/>
      <c r="WP128" s="17"/>
      <c r="WQ128" s="17"/>
      <c r="WR128" s="17"/>
      <c r="WS128" s="17"/>
      <c r="WT128" s="17"/>
      <c r="WU128" s="17"/>
      <c r="WV128" s="17"/>
      <c r="WW128" s="17"/>
      <c r="WX128" s="17"/>
      <c r="WY128" s="17"/>
      <c r="WZ128" s="17"/>
      <c r="XA128" s="17"/>
      <c r="XB128" s="17"/>
      <c r="XC128" s="17"/>
      <c r="XD128" s="17"/>
      <c r="XE128" s="17"/>
      <c r="XF128" s="17"/>
      <c r="XG128" s="17"/>
      <c r="XH128" s="17"/>
      <c r="XI128" s="17"/>
      <c r="XJ128" s="17"/>
      <c r="XK128" s="17"/>
      <c r="XL128" s="17"/>
      <c r="XM128" s="17"/>
      <c r="XN128" s="17"/>
      <c r="XO128" s="17"/>
      <c r="XP128" s="17"/>
      <c r="XQ128" s="17"/>
      <c r="XR128" s="17"/>
      <c r="XS128" s="17"/>
      <c r="XT128" s="17"/>
      <c r="XU128" s="17"/>
      <c r="XV128" s="17"/>
      <c r="XW128" s="17"/>
      <c r="XX128" s="17"/>
      <c r="XY128" s="17"/>
      <c r="XZ128" s="17"/>
      <c r="YA128" s="17"/>
      <c r="YB128" s="17"/>
      <c r="YC128" s="17"/>
      <c r="YD128" s="17"/>
      <c r="YE128" s="17"/>
      <c r="YF128" s="17"/>
      <c r="YG128" s="17"/>
      <c r="YH128" s="17"/>
      <c r="YI128" s="17"/>
      <c r="YJ128" s="17"/>
      <c r="YK128" s="17"/>
      <c r="YL128" s="17"/>
      <c r="YM128" s="17"/>
      <c r="YN128" s="17"/>
      <c r="YO128" s="17"/>
      <c r="YP128" s="17"/>
      <c r="YQ128" s="17"/>
      <c r="YR128" s="17"/>
      <c r="YS128" s="17"/>
    </row>
    <row r="129" spans="266:669" x14ac:dyDescent="0.25">
      <c r="JF129" s="17"/>
      <c r="JG129" s="17"/>
      <c r="JH129" s="17"/>
      <c r="JI129" s="17"/>
      <c r="JJ129" s="17"/>
      <c r="JK129" s="17"/>
      <c r="JL129" s="17"/>
      <c r="JM129" s="17"/>
      <c r="JN129" s="17"/>
      <c r="JO129" s="17"/>
      <c r="JP129" s="17"/>
      <c r="JQ129" s="17"/>
      <c r="JR129" s="17"/>
      <c r="JS129" s="17"/>
      <c r="JT129" s="17"/>
      <c r="JU129" s="17"/>
      <c r="JV129" s="17"/>
      <c r="JW129" s="17"/>
      <c r="JX129" s="17"/>
      <c r="JY129" s="17"/>
      <c r="JZ129" s="17"/>
      <c r="KA129" s="17"/>
      <c r="KB129" s="17"/>
      <c r="KC129" s="17"/>
      <c r="KD129" s="17"/>
      <c r="KE129" s="17"/>
      <c r="KF129" s="17"/>
      <c r="KG129" s="17"/>
      <c r="KH129" s="17"/>
      <c r="KI129" s="17"/>
      <c r="KJ129" s="17"/>
      <c r="KK129" s="17"/>
      <c r="KL129" s="17"/>
      <c r="KM129" s="17"/>
      <c r="KN129" s="17"/>
      <c r="KO129" s="17"/>
      <c r="KP129" s="17"/>
      <c r="KQ129" s="17"/>
      <c r="KR129" s="17"/>
      <c r="KS129" s="17"/>
      <c r="KT129" s="17"/>
      <c r="KU129" s="17"/>
      <c r="KV129" s="17"/>
      <c r="KW129" s="17"/>
      <c r="KX129" s="17"/>
      <c r="KY129" s="17"/>
      <c r="KZ129" s="17"/>
      <c r="LA129" s="17"/>
      <c r="LB129" s="17"/>
      <c r="LC129" s="17"/>
      <c r="LD129" s="17"/>
      <c r="LE129" s="17"/>
      <c r="LF129" s="17"/>
      <c r="LG129" s="17"/>
      <c r="LH129" s="17"/>
      <c r="LI129" s="17"/>
      <c r="LJ129" s="17"/>
      <c r="LK129" s="17"/>
      <c r="LL129" s="17"/>
      <c r="LM129" s="17"/>
      <c r="LN129" s="17"/>
      <c r="LO129" s="17"/>
      <c r="LP129" s="17"/>
      <c r="LQ129" s="17"/>
      <c r="LR129" s="17"/>
      <c r="LS129" s="17"/>
      <c r="LT129" s="17"/>
      <c r="LU129" s="17"/>
      <c r="LV129" s="17"/>
      <c r="LW129" s="17"/>
      <c r="LX129" s="17"/>
      <c r="LY129" s="17"/>
      <c r="LZ129" s="17"/>
      <c r="MA129" s="17"/>
      <c r="MB129" s="17"/>
      <c r="MC129" s="17"/>
      <c r="MD129" s="17"/>
      <c r="ME129" s="17"/>
      <c r="MF129" s="17"/>
      <c r="MG129" s="17"/>
      <c r="MH129" s="17"/>
      <c r="MI129" s="17"/>
      <c r="MJ129" s="17"/>
      <c r="MK129" s="17"/>
      <c r="ML129" s="17"/>
      <c r="MM129" s="17"/>
      <c r="MN129" s="17"/>
      <c r="MO129" s="17"/>
      <c r="MP129" s="17"/>
      <c r="MQ129" s="17"/>
      <c r="MR129" s="17"/>
      <c r="MS129" s="17"/>
      <c r="MT129" s="17"/>
      <c r="MU129" s="17"/>
      <c r="MV129" s="17"/>
      <c r="MW129" s="17"/>
      <c r="MX129" s="17"/>
      <c r="MY129" s="17"/>
      <c r="MZ129" s="17"/>
      <c r="NA129" s="17"/>
      <c r="NB129" s="17"/>
      <c r="NC129" s="17"/>
      <c r="ND129" s="17"/>
      <c r="NE129" s="17"/>
      <c r="NF129" s="17"/>
      <c r="NG129" s="17"/>
      <c r="NH129" s="17"/>
      <c r="NI129" s="17"/>
      <c r="NJ129" s="17"/>
      <c r="NK129" s="17"/>
      <c r="NL129" s="17"/>
      <c r="NM129" s="17"/>
      <c r="NN129" s="17"/>
      <c r="NO129" s="17"/>
      <c r="NP129" s="17"/>
      <c r="NQ129" s="17"/>
      <c r="NR129" s="17"/>
      <c r="NS129" s="17"/>
      <c r="NT129" s="17"/>
      <c r="NU129" s="17"/>
      <c r="NV129" s="17"/>
      <c r="NW129" s="17"/>
      <c r="NX129" s="17"/>
      <c r="NY129" s="17"/>
      <c r="NZ129" s="17"/>
      <c r="OA129" s="17"/>
      <c r="OB129" s="17"/>
      <c r="OC129" s="17"/>
      <c r="OD129" s="17"/>
      <c r="OE129" s="17"/>
      <c r="OF129" s="17"/>
      <c r="OG129" s="17"/>
      <c r="OH129" s="17"/>
      <c r="OI129" s="17"/>
      <c r="OJ129" s="17"/>
      <c r="OK129" s="17"/>
      <c r="OL129" s="17"/>
      <c r="OM129" s="17"/>
      <c r="ON129" s="17"/>
      <c r="OO129" s="17"/>
      <c r="OP129" s="17"/>
      <c r="OQ129" s="17"/>
      <c r="OR129" s="17"/>
      <c r="OS129" s="17"/>
      <c r="OT129" s="17"/>
      <c r="OU129" s="17"/>
      <c r="OV129" s="17"/>
      <c r="OW129" s="17"/>
      <c r="OX129" s="17"/>
      <c r="OY129" s="17"/>
      <c r="OZ129" s="17"/>
      <c r="PA129" s="17"/>
      <c r="PB129" s="17"/>
      <c r="PC129" s="17"/>
      <c r="PD129" s="17"/>
      <c r="PE129" s="17"/>
      <c r="PF129" s="17"/>
      <c r="PG129" s="17"/>
      <c r="PH129" s="17"/>
      <c r="PI129" s="17"/>
      <c r="PJ129" s="17"/>
      <c r="PK129" s="17"/>
      <c r="PL129" s="17"/>
      <c r="PM129" s="17"/>
      <c r="PN129" s="17"/>
      <c r="PO129" s="17"/>
      <c r="PP129" s="17"/>
      <c r="PQ129" s="17"/>
      <c r="PR129" s="17"/>
      <c r="PS129" s="17"/>
      <c r="PT129" s="17"/>
      <c r="PU129" s="17"/>
      <c r="PV129" s="17"/>
      <c r="PW129" s="17"/>
      <c r="PX129" s="17"/>
      <c r="PY129" s="17"/>
      <c r="PZ129" s="17"/>
      <c r="QA129" s="17"/>
      <c r="QB129" s="17"/>
      <c r="QC129" s="17"/>
      <c r="QD129" s="17"/>
      <c r="QE129" s="17"/>
      <c r="QF129" s="17"/>
      <c r="QG129" s="17"/>
      <c r="QH129" s="17"/>
      <c r="QI129" s="17"/>
      <c r="QJ129" s="17"/>
      <c r="QK129" s="17"/>
      <c r="QL129" s="17"/>
      <c r="QM129" s="17"/>
      <c r="QN129" s="17"/>
      <c r="QO129" s="17"/>
      <c r="QP129" s="17"/>
      <c r="QQ129" s="17"/>
      <c r="QR129" s="17"/>
      <c r="QS129" s="17"/>
      <c r="QT129" s="17"/>
      <c r="QU129" s="17"/>
      <c r="QV129" s="17"/>
      <c r="QW129" s="17"/>
      <c r="QX129" s="17"/>
      <c r="QY129" s="17"/>
      <c r="QZ129" s="17"/>
      <c r="RA129" s="17"/>
      <c r="RB129" s="17"/>
      <c r="RC129" s="17"/>
      <c r="RD129" s="17"/>
      <c r="RE129" s="17"/>
      <c r="RF129" s="17"/>
      <c r="RG129" s="17"/>
      <c r="RH129" s="17"/>
      <c r="RI129" s="17"/>
      <c r="RJ129" s="17"/>
      <c r="RK129" s="17"/>
      <c r="RL129" s="17"/>
      <c r="RM129" s="17"/>
      <c r="RN129" s="17"/>
      <c r="RO129" s="17"/>
      <c r="RP129" s="17"/>
      <c r="RQ129" s="17"/>
      <c r="RR129" s="17"/>
      <c r="RS129" s="17"/>
      <c r="RT129" s="17"/>
      <c r="RU129" s="17"/>
      <c r="RV129" s="17"/>
      <c r="RW129" s="17"/>
      <c r="RX129" s="17"/>
      <c r="RY129" s="17"/>
      <c r="RZ129" s="17"/>
      <c r="SA129" s="17"/>
      <c r="SB129" s="17"/>
      <c r="SC129" s="17"/>
      <c r="SD129" s="17"/>
      <c r="SE129" s="17"/>
      <c r="SF129" s="17"/>
      <c r="SG129" s="17"/>
      <c r="SH129" s="17"/>
      <c r="SI129" s="17"/>
      <c r="SJ129" s="17"/>
      <c r="SK129" s="17"/>
      <c r="SL129" s="17"/>
      <c r="SM129" s="17"/>
      <c r="SN129" s="17"/>
      <c r="SO129" s="17"/>
      <c r="SP129" s="17"/>
      <c r="SQ129" s="17"/>
      <c r="SR129" s="17"/>
      <c r="SS129" s="17"/>
      <c r="ST129" s="17"/>
      <c r="SU129" s="17"/>
      <c r="SV129" s="17"/>
      <c r="SW129" s="17"/>
      <c r="SX129" s="17"/>
      <c r="SY129" s="17"/>
      <c r="SZ129" s="17"/>
      <c r="TA129" s="17"/>
      <c r="TB129" s="17"/>
      <c r="TC129" s="17"/>
      <c r="TD129" s="17"/>
      <c r="TE129" s="17"/>
      <c r="TF129" s="17"/>
      <c r="TG129" s="17"/>
      <c r="TH129" s="17"/>
      <c r="TI129" s="17"/>
      <c r="TJ129" s="17"/>
      <c r="TK129" s="17"/>
      <c r="TL129" s="17"/>
      <c r="TM129" s="17"/>
      <c r="TN129" s="17"/>
      <c r="TO129" s="17"/>
      <c r="TP129" s="17"/>
      <c r="TQ129" s="17"/>
      <c r="TR129" s="17"/>
      <c r="TS129" s="17"/>
      <c r="TT129" s="17"/>
      <c r="TU129" s="17"/>
      <c r="TV129" s="17"/>
      <c r="TW129" s="17"/>
      <c r="TX129" s="17"/>
      <c r="TY129" s="17"/>
      <c r="TZ129" s="17"/>
      <c r="UA129" s="17"/>
      <c r="UB129" s="17"/>
      <c r="UC129" s="17"/>
      <c r="UD129" s="17"/>
      <c r="UE129" s="17"/>
      <c r="UF129" s="17"/>
      <c r="UG129" s="17"/>
      <c r="UH129" s="17"/>
      <c r="UI129" s="17"/>
      <c r="UJ129" s="17"/>
      <c r="UK129" s="17"/>
      <c r="UL129" s="17"/>
      <c r="UM129" s="17"/>
      <c r="UN129" s="17"/>
      <c r="UO129" s="17"/>
      <c r="UP129" s="17"/>
      <c r="UQ129" s="17"/>
      <c r="UR129" s="17"/>
      <c r="US129" s="17"/>
      <c r="UT129" s="17"/>
      <c r="UU129" s="17"/>
      <c r="UV129" s="17"/>
      <c r="UW129" s="17"/>
      <c r="UX129" s="17"/>
      <c r="UY129" s="17"/>
      <c r="UZ129" s="17"/>
      <c r="VA129" s="17"/>
      <c r="VB129" s="17"/>
      <c r="VC129" s="17"/>
      <c r="VD129" s="17"/>
      <c r="VE129" s="17"/>
      <c r="VF129" s="17"/>
      <c r="VG129" s="17"/>
      <c r="VH129" s="17"/>
      <c r="VI129" s="17"/>
      <c r="VJ129" s="17"/>
      <c r="VK129" s="17"/>
      <c r="VL129" s="17"/>
      <c r="VM129" s="17"/>
      <c r="VN129" s="17"/>
      <c r="VO129" s="17"/>
      <c r="VP129" s="17"/>
      <c r="VQ129" s="17"/>
      <c r="VR129" s="17"/>
      <c r="VS129" s="17"/>
      <c r="VT129" s="17"/>
      <c r="VU129" s="17"/>
      <c r="VV129" s="17"/>
      <c r="VW129" s="17"/>
      <c r="VX129" s="17"/>
      <c r="VY129" s="17"/>
      <c r="VZ129" s="17"/>
      <c r="WA129" s="17"/>
      <c r="WB129" s="17"/>
      <c r="WC129" s="17"/>
      <c r="WD129" s="17"/>
      <c r="WE129" s="17"/>
      <c r="WF129" s="17"/>
      <c r="WG129" s="17"/>
      <c r="WH129" s="17"/>
      <c r="WI129" s="17"/>
      <c r="WJ129" s="17"/>
      <c r="WK129" s="17"/>
      <c r="WL129" s="17"/>
      <c r="WM129" s="17"/>
      <c r="WN129" s="17"/>
      <c r="WO129" s="17"/>
      <c r="WP129" s="17"/>
      <c r="WQ129" s="17"/>
      <c r="WR129" s="17"/>
      <c r="WS129" s="17"/>
      <c r="WT129" s="17"/>
      <c r="WU129" s="17"/>
      <c r="WV129" s="17"/>
      <c r="WW129" s="17"/>
      <c r="WX129" s="17"/>
      <c r="WY129" s="17"/>
      <c r="WZ129" s="17"/>
      <c r="XA129" s="17"/>
      <c r="XB129" s="17"/>
      <c r="XC129" s="17"/>
      <c r="XD129" s="17"/>
      <c r="XE129" s="17"/>
      <c r="XF129" s="17"/>
      <c r="XG129" s="17"/>
      <c r="XH129" s="17"/>
      <c r="XI129" s="17"/>
      <c r="XJ129" s="17"/>
      <c r="XK129" s="17"/>
      <c r="XL129" s="17"/>
      <c r="XM129" s="17"/>
      <c r="XN129" s="17"/>
      <c r="XO129" s="17"/>
      <c r="XP129" s="17"/>
      <c r="XQ129" s="17"/>
      <c r="XR129" s="17"/>
      <c r="XS129" s="17"/>
      <c r="XT129" s="17"/>
      <c r="XU129" s="17"/>
      <c r="XV129" s="17"/>
      <c r="XW129" s="17"/>
      <c r="XX129" s="17"/>
      <c r="XY129" s="17"/>
      <c r="XZ129" s="17"/>
      <c r="YA129" s="17"/>
      <c r="YB129" s="17"/>
      <c r="YC129" s="17"/>
      <c r="YD129" s="17"/>
      <c r="YE129" s="17"/>
      <c r="YF129" s="17"/>
      <c r="YG129" s="17"/>
      <c r="YH129" s="17"/>
      <c r="YI129" s="17"/>
      <c r="YJ129" s="17"/>
      <c r="YK129" s="17"/>
      <c r="YL129" s="17"/>
      <c r="YM129" s="17"/>
      <c r="YN129" s="17"/>
      <c r="YO129" s="17"/>
      <c r="YP129" s="17"/>
      <c r="YQ129" s="17"/>
      <c r="YR129" s="17"/>
      <c r="YS129" s="17"/>
    </row>
    <row r="130" spans="266:669" x14ac:dyDescent="0.25">
      <c r="JF130" s="17"/>
      <c r="JG130" s="17"/>
      <c r="JH130" s="17"/>
      <c r="JI130" s="17"/>
      <c r="JJ130" s="17"/>
      <c r="JK130" s="17"/>
      <c r="JL130" s="17"/>
      <c r="JM130" s="17"/>
      <c r="JN130" s="17"/>
      <c r="JO130" s="17"/>
      <c r="JP130" s="17"/>
      <c r="JQ130" s="17"/>
      <c r="JR130" s="17"/>
      <c r="JS130" s="17"/>
      <c r="JT130" s="17"/>
      <c r="JU130" s="17"/>
      <c r="JV130" s="17"/>
      <c r="JW130" s="17"/>
      <c r="JX130" s="17"/>
      <c r="JY130" s="17"/>
      <c r="JZ130" s="17"/>
      <c r="KA130" s="17"/>
      <c r="KB130" s="17"/>
      <c r="KC130" s="17"/>
      <c r="KD130" s="17"/>
      <c r="KE130" s="17"/>
      <c r="KF130" s="17"/>
      <c r="KG130" s="17"/>
      <c r="KH130" s="17"/>
      <c r="KI130" s="17"/>
      <c r="KJ130" s="17"/>
      <c r="KK130" s="17"/>
      <c r="KL130" s="17"/>
      <c r="KM130" s="17"/>
      <c r="KN130" s="17"/>
      <c r="KO130" s="17"/>
      <c r="KP130" s="17"/>
      <c r="KQ130" s="17"/>
      <c r="KR130" s="17"/>
      <c r="KS130" s="17"/>
      <c r="KT130" s="17"/>
      <c r="KU130" s="17"/>
      <c r="KV130" s="17"/>
      <c r="KW130" s="17"/>
      <c r="KX130" s="17"/>
      <c r="KY130" s="17"/>
      <c r="KZ130" s="17"/>
      <c r="LA130" s="17"/>
      <c r="LB130" s="17"/>
      <c r="LC130" s="17"/>
      <c r="LD130" s="17"/>
      <c r="LE130" s="17"/>
      <c r="LF130" s="17"/>
      <c r="LG130" s="17"/>
      <c r="LH130" s="17"/>
      <c r="LI130" s="17"/>
      <c r="LJ130" s="17"/>
      <c r="LK130" s="17"/>
      <c r="LL130" s="17"/>
      <c r="LM130" s="17"/>
      <c r="LN130" s="17"/>
      <c r="LO130" s="17"/>
      <c r="LP130" s="17"/>
      <c r="LQ130" s="17"/>
      <c r="LR130" s="17"/>
      <c r="LS130" s="17"/>
      <c r="LT130" s="17"/>
      <c r="LU130" s="17"/>
      <c r="LV130" s="17"/>
      <c r="LW130" s="17"/>
      <c r="LX130" s="17"/>
      <c r="LY130" s="17"/>
      <c r="LZ130" s="17"/>
      <c r="MA130" s="17"/>
      <c r="MB130" s="17"/>
      <c r="MC130" s="17"/>
      <c r="MD130" s="17"/>
      <c r="ME130" s="17"/>
      <c r="MF130" s="17"/>
      <c r="MG130" s="17"/>
      <c r="MH130" s="17"/>
      <c r="MI130" s="17"/>
      <c r="MJ130" s="17"/>
      <c r="MK130" s="17"/>
      <c r="ML130" s="17"/>
      <c r="MM130" s="17"/>
      <c r="MN130" s="17"/>
      <c r="MO130" s="17"/>
      <c r="MP130" s="17"/>
      <c r="MQ130" s="17"/>
      <c r="MR130" s="17"/>
      <c r="MS130" s="17"/>
      <c r="MT130" s="17"/>
      <c r="MU130" s="17"/>
      <c r="MV130" s="17"/>
      <c r="MW130" s="17"/>
      <c r="MX130" s="17"/>
      <c r="MY130" s="17"/>
      <c r="MZ130" s="17"/>
      <c r="NA130" s="17"/>
      <c r="NB130" s="17"/>
      <c r="NC130" s="17"/>
      <c r="ND130" s="17"/>
      <c r="NE130" s="17"/>
      <c r="NF130" s="17"/>
      <c r="NG130" s="17"/>
      <c r="NH130" s="17"/>
      <c r="NI130" s="17"/>
      <c r="NJ130" s="17"/>
      <c r="NK130" s="17"/>
      <c r="NL130" s="17"/>
      <c r="NM130" s="17"/>
      <c r="NN130" s="17"/>
      <c r="NO130" s="17"/>
      <c r="NP130" s="17"/>
      <c r="NQ130" s="17"/>
      <c r="NR130" s="17"/>
      <c r="NS130" s="17"/>
      <c r="NT130" s="17"/>
      <c r="NU130" s="17"/>
      <c r="NV130" s="17"/>
      <c r="NW130" s="17"/>
      <c r="NX130" s="17"/>
      <c r="NY130" s="17"/>
      <c r="NZ130" s="17"/>
      <c r="OA130" s="17"/>
      <c r="OB130" s="17"/>
      <c r="OC130" s="17"/>
      <c r="OD130" s="17"/>
      <c r="OE130" s="17"/>
      <c r="OF130" s="17"/>
      <c r="OG130" s="17"/>
      <c r="OH130" s="17"/>
      <c r="OI130" s="17"/>
      <c r="OJ130" s="17"/>
      <c r="OK130" s="17"/>
      <c r="OL130" s="17"/>
      <c r="OM130" s="17"/>
      <c r="ON130" s="17"/>
      <c r="OO130" s="17"/>
      <c r="OP130" s="17"/>
      <c r="OQ130" s="17"/>
      <c r="OR130" s="17"/>
      <c r="OS130" s="17"/>
      <c r="OT130" s="17"/>
      <c r="OU130" s="17"/>
      <c r="OV130" s="17"/>
      <c r="OW130" s="17"/>
      <c r="OX130" s="17"/>
      <c r="OY130" s="17"/>
      <c r="OZ130" s="17"/>
      <c r="PA130" s="17"/>
      <c r="PB130" s="17"/>
      <c r="PC130" s="17"/>
      <c r="PD130" s="17"/>
      <c r="PE130" s="17"/>
      <c r="PF130" s="17"/>
      <c r="PG130" s="17"/>
      <c r="PH130" s="17"/>
      <c r="PI130" s="17"/>
      <c r="PJ130" s="17"/>
      <c r="PK130" s="17"/>
      <c r="PL130" s="17"/>
      <c r="PM130" s="17"/>
      <c r="PN130" s="17"/>
      <c r="PO130" s="17"/>
      <c r="PP130" s="17"/>
      <c r="PQ130" s="17"/>
      <c r="PR130" s="17"/>
      <c r="PS130" s="17"/>
      <c r="PT130" s="17"/>
      <c r="PU130" s="17"/>
      <c r="PV130" s="17"/>
      <c r="PW130" s="17"/>
      <c r="PX130" s="17"/>
      <c r="PY130" s="17"/>
      <c r="PZ130" s="17"/>
      <c r="QA130" s="17"/>
      <c r="QB130" s="17"/>
      <c r="QC130" s="17"/>
      <c r="QD130" s="17"/>
      <c r="QE130" s="17"/>
      <c r="QF130" s="17"/>
      <c r="QG130" s="17"/>
      <c r="QH130" s="17"/>
      <c r="QI130" s="17"/>
      <c r="QJ130" s="17"/>
      <c r="QK130" s="17"/>
      <c r="QL130" s="17"/>
      <c r="QM130" s="17"/>
      <c r="QN130" s="17"/>
      <c r="QO130" s="17"/>
      <c r="QP130" s="17"/>
      <c r="QQ130" s="17"/>
      <c r="QR130" s="17"/>
      <c r="QS130" s="17"/>
      <c r="QT130" s="17"/>
      <c r="QU130" s="17"/>
      <c r="QV130" s="17"/>
      <c r="QW130" s="17"/>
      <c r="QX130" s="17"/>
      <c r="QY130" s="17"/>
      <c r="QZ130" s="17"/>
      <c r="RA130" s="17"/>
      <c r="RB130" s="17"/>
      <c r="RC130" s="17"/>
      <c r="RD130" s="17"/>
      <c r="RE130" s="17"/>
      <c r="RF130" s="17"/>
      <c r="RG130" s="17"/>
      <c r="RH130" s="17"/>
      <c r="RI130" s="17"/>
      <c r="RJ130" s="17"/>
      <c r="RK130" s="17"/>
      <c r="RL130" s="17"/>
      <c r="RM130" s="17"/>
      <c r="RN130" s="17"/>
      <c r="RO130" s="17"/>
      <c r="RP130" s="17"/>
      <c r="RQ130" s="17"/>
      <c r="RR130" s="17"/>
      <c r="RS130" s="17"/>
      <c r="RT130" s="17"/>
      <c r="RU130" s="17"/>
      <c r="RV130" s="17"/>
      <c r="RW130" s="17"/>
      <c r="RX130" s="17"/>
      <c r="RY130" s="17"/>
      <c r="RZ130" s="17"/>
      <c r="SA130" s="17"/>
      <c r="SB130" s="17"/>
      <c r="SC130" s="17"/>
      <c r="SD130" s="17"/>
      <c r="SE130" s="17"/>
      <c r="SF130" s="17"/>
      <c r="SG130" s="17"/>
      <c r="SH130" s="17"/>
      <c r="SI130" s="17"/>
      <c r="SJ130" s="17"/>
      <c r="SK130" s="17"/>
      <c r="SL130" s="17"/>
      <c r="SM130" s="17"/>
      <c r="SN130" s="17"/>
      <c r="SO130" s="17"/>
      <c r="SP130" s="17"/>
      <c r="SQ130" s="17"/>
      <c r="SR130" s="17"/>
      <c r="SS130" s="17"/>
      <c r="ST130" s="17"/>
      <c r="SU130" s="17"/>
      <c r="SV130" s="17"/>
      <c r="SW130" s="17"/>
      <c r="SX130" s="17"/>
      <c r="SY130" s="17"/>
      <c r="SZ130" s="17"/>
      <c r="TA130" s="17"/>
      <c r="TB130" s="17"/>
      <c r="TC130" s="17"/>
      <c r="TD130" s="17"/>
      <c r="TE130" s="17"/>
      <c r="TF130" s="17"/>
      <c r="TG130" s="17"/>
      <c r="TH130" s="17"/>
      <c r="TI130" s="17"/>
      <c r="TJ130" s="17"/>
      <c r="TK130" s="17"/>
      <c r="TL130" s="17"/>
      <c r="TM130" s="17"/>
      <c r="TN130" s="17"/>
      <c r="TO130" s="17"/>
      <c r="TP130" s="17"/>
      <c r="TQ130" s="17"/>
      <c r="TR130" s="17"/>
      <c r="TS130" s="17"/>
      <c r="TT130" s="17"/>
      <c r="TU130" s="17"/>
      <c r="TV130" s="17"/>
      <c r="TW130" s="17"/>
      <c r="TX130" s="17"/>
      <c r="TY130" s="17"/>
      <c r="TZ130" s="17"/>
      <c r="UA130" s="17"/>
      <c r="UB130" s="17"/>
      <c r="UC130" s="17"/>
      <c r="UD130" s="17"/>
      <c r="UE130" s="17"/>
      <c r="UF130" s="17"/>
      <c r="UG130" s="17"/>
      <c r="UH130" s="17"/>
      <c r="UI130" s="17"/>
      <c r="UJ130" s="17"/>
      <c r="UK130" s="17"/>
      <c r="UL130" s="17"/>
      <c r="UM130" s="17"/>
      <c r="UN130" s="17"/>
      <c r="UO130" s="17"/>
      <c r="UP130" s="17"/>
      <c r="UQ130" s="17"/>
      <c r="UR130" s="17"/>
      <c r="US130" s="17"/>
      <c r="UT130" s="17"/>
      <c r="UU130" s="17"/>
      <c r="UV130" s="17"/>
      <c r="UW130" s="17"/>
      <c r="UX130" s="17"/>
      <c r="UY130" s="17"/>
      <c r="UZ130" s="17"/>
      <c r="VA130" s="17"/>
      <c r="VB130" s="17"/>
      <c r="VC130" s="17"/>
      <c r="VD130" s="17"/>
      <c r="VE130" s="17"/>
      <c r="VF130" s="17"/>
      <c r="VG130" s="17"/>
      <c r="VH130" s="17"/>
      <c r="VI130" s="17"/>
      <c r="VJ130" s="17"/>
      <c r="VK130" s="17"/>
      <c r="VL130" s="17"/>
      <c r="VM130" s="17"/>
      <c r="VN130" s="17"/>
      <c r="VO130" s="17"/>
      <c r="VP130" s="17"/>
      <c r="VQ130" s="17"/>
      <c r="VR130" s="17"/>
      <c r="VS130" s="17"/>
      <c r="VT130" s="17"/>
      <c r="VU130" s="17"/>
      <c r="VV130" s="17"/>
      <c r="VW130" s="17"/>
      <c r="VX130" s="17"/>
      <c r="VY130" s="17"/>
      <c r="VZ130" s="17"/>
      <c r="WA130" s="17"/>
      <c r="WB130" s="17"/>
      <c r="WC130" s="17"/>
      <c r="WD130" s="17"/>
      <c r="WE130" s="17"/>
      <c r="WF130" s="17"/>
      <c r="WG130" s="17"/>
      <c r="WH130" s="17"/>
      <c r="WI130" s="17"/>
      <c r="WJ130" s="17"/>
      <c r="WK130" s="17"/>
      <c r="WL130" s="17"/>
      <c r="WM130" s="17"/>
      <c r="WN130" s="17"/>
      <c r="WO130" s="17"/>
      <c r="WP130" s="17"/>
      <c r="WQ130" s="17"/>
      <c r="WR130" s="17"/>
      <c r="WS130" s="17"/>
      <c r="WT130" s="17"/>
      <c r="WU130" s="17"/>
      <c r="WV130" s="17"/>
      <c r="WW130" s="17"/>
      <c r="WX130" s="17"/>
      <c r="WY130" s="17"/>
      <c r="WZ130" s="17"/>
      <c r="XA130" s="17"/>
      <c r="XB130" s="17"/>
      <c r="XC130" s="17"/>
      <c r="XD130" s="17"/>
      <c r="XE130" s="17"/>
      <c r="XF130" s="17"/>
      <c r="XG130" s="17"/>
      <c r="XH130" s="17"/>
      <c r="XI130" s="17"/>
      <c r="XJ130" s="17"/>
      <c r="XK130" s="17"/>
      <c r="XL130" s="17"/>
      <c r="XM130" s="17"/>
      <c r="XN130" s="17"/>
      <c r="XO130" s="17"/>
      <c r="XP130" s="17"/>
      <c r="XQ130" s="17"/>
      <c r="XR130" s="17"/>
      <c r="XS130" s="17"/>
      <c r="XT130" s="17"/>
      <c r="XU130" s="17"/>
      <c r="XV130" s="17"/>
      <c r="XW130" s="17"/>
      <c r="XX130" s="17"/>
      <c r="XY130" s="17"/>
      <c r="XZ130" s="17"/>
      <c r="YA130" s="17"/>
      <c r="YB130" s="17"/>
      <c r="YC130" s="17"/>
      <c r="YD130" s="17"/>
      <c r="YE130" s="17"/>
      <c r="YF130" s="17"/>
      <c r="YG130" s="17"/>
      <c r="YH130" s="17"/>
      <c r="YI130" s="17"/>
      <c r="YJ130" s="17"/>
      <c r="YK130" s="17"/>
      <c r="YL130" s="17"/>
      <c r="YM130" s="17"/>
      <c r="YN130" s="17"/>
      <c r="YO130" s="17"/>
      <c r="YP130" s="17"/>
      <c r="YQ130" s="17"/>
      <c r="YR130" s="17"/>
      <c r="YS130" s="17"/>
    </row>
    <row r="131" spans="266:669" x14ac:dyDescent="0.25">
      <c r="JF131" s="17"/>
      <c r="JG131" s="17"/>
      <c r="JH131" s="17"/>
      <c r="JI131" s="17"/>
      <c r="JJ131" s="17"/>
      <c r="JK131" s="17"/>
      <c r="JL131" s="17"/>
      <c r="JM131" s="17"/>
      <c r="JN131" s="17"/>
      <c r="JO131" s="17"/>
      <c r="JP131" s="17"/>
      <c r="JQ131" s="17"/>
      <c r="JR131" s="17"/>
      <c r="JS131" s="17"/>
      <c r="JT131" s="17"/>
      <c r="JU131" s="17"/>
      <c r="JV131" s="17"/>
      <c r="JW131" s="17"/>
      <c r="JX131" s="17"/>
      <c r="JY131" s="17"/>
      <c r="JZ131" s="17"/>
      <c r="KA131" s="17"/>
      <c r="KB131" s="17"/>
      <c r="KC131" s="17"/>
      <c r="KD131" s="17"/>
      <c r="KE131" s="17"/>
      <c r="KF131" s="17"/>
      <c r="KG131" s="17"/>
      <c r="KH131" s="17"/>
      <c r="KI131" s="17"/>
      <c r="KJ131" s="17"/>
      <c r="KK131" s="17"/>
      <c r="KL131" s="17"/>
      <c r="KM131" s="17"/>
      <c r="KN131" s="17"/>
      <c r="KO131" s="17"/>
      <c r="KP131" s="17"/>
      <c r="KQ131" s="17"/>
      <c r="KR131" s="17"/>
      <c r="KS131" s="17"/>
      <c r="KT131" s="17"/>
      <c r="KU131" s="17"/>
      <c r="KV131" s="17"/>
      <c r="KW131" s="17"/>
      <c r="KX131" s="17"/>
      <c r="KY131" s="17"/>
      <c r="KZ131" s="17"/>
      <c r="LA131" s="17"/>
      <c r="LB131" s="17"/>
      <c r="LC131" s="17"/>
      <c r="LD131" s="17"/>
      <c r="LE131" s="17"/>
      <c r="LF131" s="17"/>
      <c r="LG131" s="17"/>
      <c r="LH131" s="17"/>
      <c r="LI131" s="17"/>
      <c r="LJ131" s="17"/>
      <c r="LK131" s="17"/>
      <c r="LL131" s="17"/>
      <c r="LM131" s="17"/>
      <c r="LN131" s="17"/>
      <c r="LO131" s="17"/>
      <c r="LP131" s="17"/>
      <c r="LQ131" s="17"/>
      <c r="LR131" s="17"/>
      <c r="LS131" s="17"/>
      <c r="LT131" s="17"/>
      <c r="LU131" s="17"/>
      <c r="LV131" s="17"/>
      <c r="LW131" s="17"/>
      <c r="LX131" s="17"/>
      <c r="LY131" s="17"/>
      <c r="LZ131" s="17"/>
      <c r="MA131" s="17"/>
      <c r="MB131" s="17"/>
      <c r="MC131" s="17"/>
      <c r="MD131" s="17"/>
      <c r="ME131" s="17"/>
      <c r="MF131" s="17"/>
      <c r="MG131" s="17"/>
      <c r="MH131" s="17"/>
      <c r="MI131" s="17"/>
      <c r="MJ131" s="17"/>
      <c r="MK131" s="17"/>
      <c r="ML131" s="17"/>
      <c r="MM131" s="17"/>
      <c r="MN131" s="17"/>
      <c r="MO131" s="17"/>
      <c r="MP131" s="17"/>
      <c r="MQ131" s="17"/>
      <c r="MR131" s="17"/>
      <c r="MS131" s="17"/>
      <c r="MT131" s="17"/>
      <c r="MU131" s="17"/>
      <c r="MV131" s="17"/>
      <c r="MW131" s="17"/>
      <c r="MX131" s="17"/>
      <c r="MY131" s="17"/>
      <c r="MZ131" s="17"/>
      <c r="NA131" s="17"/>
      <c r="NB131" s="17"/>
      <c r="NC131" s="17"/>
      <c r="ND131" s="17"/>
      <c r="NE131" s="17"/>
      <c r="NF131" s="17"/>
      <c r="NG131" s="17"/>
      <c r="NH131" s="17"/>
      <c r="NI131" s="17"/>
      <c r="NJ131" s="17"/>
      <c r="NK131" s="17"/>
      <c r="NL131" s="17"/>
      <c r="NM131" s="17"/>
      <c r="NN131" s="17"/>
      <c r="NO131" s="17"/>
      <c r="NP131" s="17"/>
      <c r="NQ131" s="17"/>
      <c r="NR131" s="17"/>
      <c r="NS131" s="17"/>
      <c r="NT131" s="17"/>
      <c r="NU131" s="17"/>
      <c r="NV131" s="17"/>
      <c r="NW131" s="17"/>
      <c r="NX131" s="17"/>
      <c r="NY131" s="17"/>
      <c r="NZ131" s="17"/>
      <c r="OA131" s="17"/>
      <c r="OB131" s="17"/>
      <c r="OC131" s="17"/>
      <c r="OD131" s="17"/>
      <c r="OE131" s="17"/>
      <c r="OF131" s="17"/>
      <c r="OG131" s="17"/>
      <c r="OH131" s="17"/>
      <c r="OI131" s="17"/>
      <c r="OJ131" s="17"/>
      <c r="OK131" s="17"/>
      <c r="OL131" s="17"/>
      <c r="OM131" s="17"/>
      <c r="ON131" s="17"/>
      <c r="OO131" s="17"/>
      <c r="OP131" s="17"/>
      <c r="OQ131" s="17"/>
      <c r="OR131" s="17"/>
      <c r="OS131" s="17"/>
      <c r="OT131" s="17"/>
      <c r="OU131" s="17"/>
      <c r="OV131" s="17"/>
      <c r="OW131" s="17"/>
      <c r="OX131" s="17"/>
      <c r="OY131" s="17"/>
      <c r="OZ131" s="17"/>
      <c r="PA131" s="17"/>
      <c r="PB131" s="17"/>
      <c r="PC131" s="17"/>
      <c r="PD131" s="17"/>
      <c r="PE131" s="17"/>
      <c r="PF131" s="17"/>
      <c r="PG131" s="17"/>
      <c r="PH131" s="17"/>
      <c r="PI131" s="17"/>
      <c r="PJ131" s="17"/>
      <c r="PK131" s="17"/>
      <c r="PL131" s="17"/>
      <c r="PM131" s="17"/>
      <c r="PN131" s="17"/>
      <c r="PO131" s="17"/>
      <c r="PP131" s="17"/>
      <c r="PQ131" s="17"/>
      <c r="PR131" s="17"/>
      <c r="PS131" s="17"/>
      <c r="PT131" s="17"/>
      <c r="PU131" s="17"/>
      <c r="PV131" s="17"/>
      <c r="PW131" s="17"/>
      <c r="PX131" s="17"/>
      <c r="PY131" s="17"/>
      <c r="PZ131" s="17"/>
      <c r="QA131" s="17"/>
      <c r="QB131" s="17"/>
      <c r="QC131" s="17"/>
      <c r="QD131" s="17"/>
      <c r="QE131" s="17"/>
      <c r="QF131" s="17"/>
      <c r="QG131" s="17"/>
      <c r="QH131" s="17"/>
      <c r="QI131" s="17"/>
      <c r="QJ131" s="17"/>
      <c r="QK131" s="17"/>
      <c r="QL131" s="17"/>
      <c r="QM131" s="17"/>
      <c r="QN131" s="17"/>
      <c r="QO131" s="17"/>
      <c r="QP131" s="17"/>
      <c r="QQ131" s="17"/>
      <c r="QR131" s="17"/>
      <c r="QS131" s="17"/>
      <c r="QT131" s="17"/>
      <c r="QU131" s="17"/>
      <c r="QV131" s="17"/>
      <c r="QW131" s="17"/>
      <c r="QX131" s="17"/>
      <c r="QY131" s="17"/>
      <c r="QZ131" s="17"/>
      <c r="RA131" s="17"/>
      <c r="RB131" s="17"/>
      <c r="RC131" s="17"/>
      <c r="RD131" s="17"/>
      <c r="RE131" s="17"/>
      <c r="RF131" s="17"/>
      <c r="RG131" s="17"/>
      <c r="RH131" s="17"/>
      <c r="RI131" s="17"/>
      <c r="RJ131" s="17"/>
      <c r="RK131" s="17"/>
      <c r="RL131" s="17"/>
      <c r="RM131" s="17"/>
      <c r="RN131" s="17"/>
      <c r="RO131" s="17"/>
      <c r="RP131" s="17"/>
      <c r="RQ131" s="17"/>
      <c r="RR131" s="17"/>
      <c r="RS131" s="17"/>
      <c r="RT131" s="17"/>
      <c r="RU131" s="17"/>
      <c r="RV131" s="17"/>
      <c r="RW131" s="17"/>
      <c r="RX131" s="17"/>
      <c r="RY131" s="17"/>
      <c r="RZ131" s="17"/>
      <c r="SA131" s="17"/>
      <c r="SB131" s="17"/>
      <c r="SC131" s="17"/>
      <c r="SD131" s="17"/>
      <c r="SE131" s="17"/>
      <c r="SF131" s="17"/>
      <c r="SG131" s="17"/>
      <c r="SH131" s="17"/>
      <c r="SI131" s="17"/>
      <c r="SJ131" s="17"/>
      <c r="SK131" s="17"/>
      <c r="SL131" s="17"/>
      <c r="SM131" s="17"/>
      <c r="SN131" s="17"/>
      <c r="SO131" s="17"/>
      <c r="SP131" s="17"/>
      <c r="SQ131" s="17"/>
      <c r="SR131" s="17"/>
      <c r="SS131" s="17"/>
      <c r="ST131" s="17"/>
      <c r="SU131" s="17"/>
      <c r="SV131" s="17"/>
      <c r="SW131" s="17"/>
      <c r="SX131" s="17"/>
      <c r="SY131" s="17"/>
      <c r="SZ131" s="17"/>
      <c r="TA131" s="17"/>
      <c r="TB131" s="17"/>
      <c r="TC131" s="17"/>
      <c r="TD131" s="17"/>
      <c r="TE131" s="17"/>
      <c r="TF131" s="17"/>
      <c r="TG131" s="17"/>
      <c r="TH131" s="17"/>
      <c r="TI131" s="17"/>
      <c r="TJ131" s="17"/>
      <c r="TK131" s="17"/>
      <c r="TL131" s="17"/>
      <c r="TM131" s="17"/>
      <c r="TN131" s="17"/>
      <c r="TO131" s="17"/>
      <c r="TP131" s="17"/>
      <c r="TQ131" s="17"/>
      <c r="TR131" s="17"/>
      <c r="TS131" s="17"/>
      <c r="TT131" s="17"/>
      <c r="TU131" s="17"/>
      <c r="TV131" s="17"/>
      <c r="TW131" s="17"/>
      <c r="TX131" s="17"/>
      <c r="TY131" s="17"/>
      <c r="TZ131" s="17"/>
      <c r="UA131" s="17"/>
      <c r="UB131" s="17"/>
      <c r="UC131" s="17"/>
      <c r="UD131" s="17"/>
      <c r="UE131" s="17"/>
      <c r="UF131" s="17"/>
      <c r="UG131" s="17"/>
      <c r="UH131" s="17"/>
      <c r="UI131" s="17"/>
      <c r="UJ131" s="17"/>
      <c r="UK131" s="17"/>
      <c r="UL131" s="17"/>
      <c r="UM131" s="17"/>
      <c r="UN131" s="17"/>
      <c r="UO131" s="17"/>
      <c r="UP131" s="17"/>
      <c r="UQ131" s="17"/>
      <c r="UR131" s="17"/>
      <c r="US131" s="17"/>
      <c r="UT131" s="17"/>
      <c r="UU131" s="17"/>
      <c r="UV131" s="17"/>
      <c r="UW131" s="17"/>
      <c r="UX131" s="17"/>
      <c r="UY131" s="17"/>
      <c r="UZ131" s="17"/>
      <c r="VA131" s="17"/>
      <c r="VB131" s="17"/>
      <c r="VC131" s="17"/>
      <c r="VD131" s="17"/>
      <c r="VE131" s="17"/>
      <c r="VF131" s="17"/>
      <c r="VG131" s="17"/>
      <c r="VH131" s="17"/>
      <c r="VI131" s="17"/>
      <c r="VJ131" s="17"/>
      <c r="VK131" s="17"/>
      <c r="VL131" s="17"/>
      <c r="VM131" s="17"/>
      <c r="VN131" s="17"/>
      <c r="VO131" s="17"/>
      <c r="VP131" s="17"/>
      <c r="VQ131" s="17"/>
      <c r="VR131" s="17"/>
      <c r="VS131" s="17"/>
      <c r="VT131" s="17"/>
      <c r="VU131" s="17"/>
      <c r="VV131" s="17"/>
      <c r="VW131" s="17"/>
      <c r="VX131" s="17"/>
      <c r="VY131" s="17"/>
      <c r="VZ131" s="17"/>
      <c r="WA131" s="17"/>
      <c r="WB131" s="17"/>
      <c r="WC131" s="17"/>
      <c r="WD131" s="17"/>
      <c r="WE131" s="17"/>
      <c r="WF131" s="17"/>
      <c r="WG131" s="17"/>
      <c r="WH131" s="17"/>
      <c r="WI131" s="17"/>
      <c r="WJ131" s="17"/>
      <c r="WK131" s="17"/>
      <c r="WL131" s="17"/>
      <c r="WM131" s="17"/>
      <c r="WN131" s="17"/>
      <c r="WO131" s="17"/>
      <c r="WP131" s="17"/>
      <c r="WQ131" s="17"/>
      <c r="WR131" s="17"/>
      <c r="WS131" s="17"/>
      <c r="WT131" s="17"/>
      <c r="WU131" s="17"/>
      <c r="WV131" s="17"/>
      <c r="WW131" s="17"/>
      <c r="WX131" s="17"/>
      <c r="WY131" s="17"/>
      <c r="WZ131" s="17"/>
      <c r="XA131" s="17"/>
      <c r="XB131" s="17"/>
      <c r="XC131" s="17"/>
      <c r="XD131" s="17"/>
      <c r="XE131" s="17"/>
      <c r="XF131" s="17"/>
      <c r="XG131" s="17"/>
      <c r="XH131" s="17"/>
      <c r="XI131" s="17"/>
      <c r="XJ131" s="17"/>
      <c r="XK131" s="17"/>
      <c r="XL131" s="17"/>
      <c r="XM131" s="17"/>
      <c r="XN131" s="17"/>
      <c r="XO131" s="17"/>
      <c r="XP131" s="17"/>
      <c r="XQ131" s="17"/>
      <c r="XR131" s="17"/>
      <c r="XS131" s="17"/>
      <c r="XT131" s="17"/>
      <c r="XU131" s="17"/>
      <c r="XV131" s="17"/>
      <c r="XW131" s="17"/>
      <c r="XX131" s="17"/>
      <c r="XY131" s="17"/>
      <c r="XZ131" s="17"/>
      <c r="YA131" s="17"/>
      <c r="YB131" s="17"/>
      <c r="YC131" s="17"/>
      <c r="YD131" s="17"/>
      <c r="YE131" s="17"/>
      <c r="YF131" s="17"/>
      <c r="YG131" s="17"/>
      <c r="YH131" s="17"/>
      <c r="YI131" s="17"/>
      <c r="YJ131" s="17"/>
      <c r="YK131" s="17"/>
      <c r="YL131" s="17"/>
      <c r="YM131" s="17"/>
      <c r="YN131" s="17"/>
      <c r="YO131" s="17"/>
      <c r="YP131" s="17"/>
      <c r="YQ131" s="17"/>
      <c r="YR131" s="17"/>
      <c r="YS131" s="17"/>
    </row>
    <row r="132" spans="266:669" x14ac:dyDescent="0.25">
      <c r="JF132" s="17"/>
      <c r="JG132" s="17"/>
      <c r="JH132" s="17"/>
      <c r="JI132" s="17"/>
      <c r="JJ132" s="17"/>
      <c r="JK132" s="17"/>
      <c r="JL132" s="17"/>
      <c r="JM132" s="17"/>
      <c r="JN132" s="17"/>
      <c r="JO132" s="17"/>
      <c r="JP132" s="17"/>
      <c r="JQ132" s="17"/>
      <c r="JR132" s="17"/>
      <c r="JS132" s="17"/>
      <c r="JT132" s="17"/>
      <c r="JU132" s="17"/>
      <c r="JV132" s="17"/>
      <c r="JW132" s="17"/>
      <c r="JX132" s="17"/>
      <c r="JY132" s="17"/>
      <c r="JZ132" s="17"/>
      <c r="KA132" s="17"/>
      <c r="KB132" s="17"/>
      <c r="KC132" s="17"/>
      <c r="KD132" s="17"/>
      <c r="KE132" s="17"/>
      <c r="KF132" s="17"/>
      <c r="KG132" s="17"/>
      <c r="KH132" s="17"/>
      <c r="KI132" s="17"/>
      <c r="KJ132" s="17"/>
      <c r="KK132" s="17"/>
      <c r="KL132" s="17"/>
      <c r="KM132" s="17"/>
      <c r="KN132" s="17"/>
      <c r="KO132" s="17"/>
      <c r="KP132" s="17"/>
      <c r="KQ132" s="17"/>
      <c r="KR132" s="17"/>
      <c r="KS132" s="17"/>
      <c r="KT132" s="17"/>
      <c r="KU132" s="17"/>
      <c r="KV132" s="17"/>
      <c r="KW132" s="17"/>
      <c r="KX132" s="17"/>
      <c r="KY132" s="17"/>
      <c r="KZ132" s="17"/>
      <c r="LA132" s="17"/>
      <c r="LB132" s="17"/>
      <c r="LC132" s="17"/>
      <c r="LD132" s="17"/>
      <c r="LE132" s="17"/>
      <c r="LF132" s="17"/>
      <c r="LG132" s="17"/>
      <c r="LH132" s="17"/>
      <c r="LI132" s="17"/>
      <c r="LJ132" s="17"/>
      <c r="LK132" s="17"/>
      <c r="LL132" s="17"/>
      <c r="LM132" s="17"/>
      <c r="LN132" s="17"/>
      <c r="LO132" s="17"/>
      <c r="LP132" s="17"/>
      <c r="LQ132" s="17"/>
      <c r="LR132" s="17"/>
      <c r="LS132" s="17"/>
      <c r="LT132" s="17"/>
      <c r="LU132" s="17"/>
      <c r="LV132" s="17"/>
      <c r="LW132" s="17"/>
      <c r="LX132" s="17"/>
      <c r="LY132" s="17"/>
      <c r="LZ132" s="17"/>
      <c r="MA132" s="17"/>
      <c r="MB132" s="17"/>
      <c r="MC132" s="17"/>
      <c r="MD132" s="17"/>
      <c r="ME132" s="17"/>
      <c r="MF132" s="17"/>
      <c r="MG132" s="17"/>
      <c r="MH132" s="17"/>
      <c r="MI132" s="17"/>
      <c r="MJ132" s="17"/>
      <c r="MK132" s="17"/>
      <c r="ML132" s="17"/>
      <c r="MM132" s="17"/>
      <c r="MN132" s="17"/>
      <c r="MO132" s="17"/>
      <c r="MP132" s="17"/>
      <c r="MQ132" s="17"/>
      <c r="MR132" s="17"/>
      <c r="MS132" s="17"/>
      <c r="MT132" s="17"/>
      <c r="MU132" s="17"/>
      <c r="MV132" s="17"/>
      <c r="MW132" s="17"/>
      <c r="MX132" s="17"/>
      <c r="MY132" s="17"/>
      <c r="MZ132" s="17"/>
      <c r="NA132" s="17"/>
      <c r="NB132" s="17"/>
      <c r="NC132" s="17"/>
      <c r="ND132" s="17"/>
      <c r="NE132" s="17"/>
      <c r="NF132" s="17"/>
      <c r="NG132" s="17"/>
      <c r="NH132" s="17"/>
      <c r="NI132" s="17"/>
      <c r="NJ132" s="17"/>
      <c r="NK132" s="17"/>
      <c r="NL132" s="17"/>
      <c r="NM132" s="17"/>
      <c r="NN132" s="17"/>
      <c r="NO132" s="17"/>
      <c r="NP132" s="17"/>
      <c r="NQ132" s="17"/>
      <c r="NR132" s="17"/>
      <c r="NS132" s="17"/>
      <c r="NT132" s="17"/>
      <c r="NU132" s="17"/>
      <c r="NV132" s="17"/>
      <c r="NW132" s="17"/>
      <c r="NX132" s="17"/>
      <c r="NY132" s="17"/>
      <c r="NZ132" s="17"/>
      <c r="OA132" s="17"/>
      <c r="OB132" s="17"/>
      <c r="OC132" s="17"/>
      <c r="OD132" s="17"/>
      <c r="OE132" s="17"/>
      <c r="OF132" s="17"/>
      <c r="OG132" s="17"/>
      <c r="OH132" s="17"/>
      <c r="OI132" s="17"/>
      <c r="OJ132" s="17"/>
      <c r="OK132" s="17"/>
      <c r="OL132" s="17"/>
      <c r="OM132" s="17"/>
      <c r="ON132" s="17"/>
      <c r="OO132" s="17"/>
      <c r="OP132" s="17"/>
      <c r="OQ132" s="17"/>
      <c r="OR132" s="17"/>
      <c r="OS132" s="17"/>
      <c r="OT132" s="17"/>
      <c r="OU132" s="17"/>
      <c r="OV132" s="17"/>
      <c r="OW132" s="17"/>
      <c r="OX132" s="17"/>
      <c r="OY132" s="17"/>
      <c r="OZ132" s="17"/>
      <c r="PA132" s="17"/>
      <c r="PB132" s="17"/>
      <c r="PC132" s="17"/>
      <c r="PD132" s="17"/>
      <c r="PE132" s="17"/>
      <c r="PF132" s="17"/>
      <c r="PG132" s="17"/>
      <c r="PH132" s="17"/>
      <c r="PI132" s="17"/>
      <c r="PJ132" s="17"/>
      <c r="PK132" s="17"/>
      <c r="PL132" s="17"/>
      <c r="PM132" s="17"/>
      <c r="PN132" s="17"/>
      <c r="PO132" s="17"/>
      <c r="PP132" s="17"/>
      <c r="PQ132" s="17"/>
      <c r="PR132" s="17"/>
      <c r="PS132" s="17"/>
      <c r="PT132" s="17"/>
      <c r="PU132" s="17"/>
      <c r="PV132" s="17"/>
      <c r="PW132" s="17"/>
      <c r="PX132" s="17"/>
      <c r="PY132" s="17"/>
      <c r="PZ132" s="17"/>
      <c r="QA132" s="17"/>
      <c r="QB132" s="17"/>
      <c r="QC132" s="17"/>
      <c r="QD132" s="17"/>
      <c r="QE132" s="17"/>
      <c r="QF132" s="17"/>
      <c r="QG132" s="17"/>
      <c r="QH132" s="17"/>
      <c r="QI132" s="17"/>
      <c r="QJ132" s="17"/>
      <c r="QK132" s="17"/>
      <c r="QL132" s="17"/>
      <c r="QM132" s="17"/>
      <c r="QN132" s="17"/>
      <c r="QO132" s="17"/>
      <c r="QP132" s="17"/>
      <c r="QQ132" s="17"/>
      <c r="QR132" s="17"/>
      <c r="QS132" s="17"/>
      <c r="QT132" s="17"/>
      <c r="QU132" s="17"/>
      <c r="QV132" s="17"/>
      <c r="QW132" s="17"/>
      <c r="QX132" s="17"/>
      <c r="QY132" s="17"/>
      <c r="QZ132" s="17"/>
      <c r="RA132" s="17"/>
      <c r="RB132" s="17"/>
      <c r="RC132" s="17"/>
      <c r="RD132" s="17"/>
      <c r="RE132" s="17"/>
      <c r="RF132" s="17"/>
      <c r="RG132" s="17"/>
      <c r="RH132" s="17"/>
      <c r="RI132" s="17"/>
      <c r="RJ132" s="17"/>
      <c r="RK132" s="17"/>
      <c r="RL132" s="17"/>
      <c r="RM132" s="17"/>
      <c r="RN132" s="17"/>
      <c r="RO132" s="17"/>
      <c r="RP132" s="17"/>
      <c r="RQ132" s="17"/>
      <c r="RR132" s="17"/>
      <c r="RS132" s="17"/>
      <c r="RT132" s="17"/>
      <c r="RU132" s="17"/>
      <c r="RV132" s="17"/>
      <c r="RW132" s="17"/>
      <c r="RX132" s="17"/>
      <c r="RY132" s="17"/>
      <c r="RZ132" s="17"/>
      <c r="SA132" s="17"/>
      <c r="SB132" s="17"/>
      <c r="SC132" s="17"/>
      <c r="SD132" s="17"/>
      <c r="SE132" s="17"/>
      <c r="SF132" s="17"/>
      <c r="SG132" s="17"/>
      <c r="SH132" s="17"/>
      <c r="SI132" s="17"/>
      <c r="SJ132" s="17"/>
      <c r="SK132" s="17"/>
      <c r="SL132" s="17"/>
      <c r="SM132" s="17"/>
      <c r="SN132" s="17"/>
      <c r="SO132" s="17"/>
      <c r="SP132" s="17"/>
      <c r="SQ132" s="17"/>
      <c r="SR132" s="17"/>
      <c r="SS132" s="17"/>
      <c r="ST132" s="17"/>
      <c r="SU132" s="17"/>
      <c r="SV132" s="17"/>
      <c r="SW132" s="17"/>
      <c r="SX132" s="17"/>
      <c r="SY132" s="17"/>
      <c r="SZ132" s="17"/>
      <c r="TA132" s="17"/>
      <c r="TB132" s="17"/>
      <c r="TC132" s="17"/>
      <c r="TD132" s="17"/>
      <c r="TE132" s="17"/>
      <c r="TF132" s="17"/>
      <c r="TG132" s="17"/>
      <c r="TH132" s="17"/>
      <c r="TI132" s="17"/>
      <c r="TJ132" s="17"/>
      <c r="TK132" s="17"/>
      <c r="TL132" s="17"/>
      <c r="TM132" s="17"/>
      <c r="TN132" s="17"/>
      <c r="TO132" s="17"/>
      <c r="TP132" s="17"/>
      <c r="TQ132" s="17"/>
      <c r="TR132" s="17"/>
      <c r="TS132" s="17"/>
      <c r="TT132" s="17"/>
      <c r="TU132" s="17"/>
      <c r="TV132" s="17"/>
      <c r="TW132" s="17"/>
      <c r="TX132" s="17"/>
      <c r="TY132" s="17"/>
      <c r="TZ132" s="17"/>
      <c r="UA132" s="17"/>
      <c r="UB132" s="17"/>
      <c r="UC132" s="17"/>
      <c r="UD132" s="17"/>
      <c r="UE132" s="17"/>
      <c r="UF132" s="17"/>
      <c r="UG132" s="17"/>
      <c r="UH132" s="17"/>
      <c r="UI132" s="17"/>
      <c r="UJ132" s="17"/>
      <c r="UK132" s="17"/>
      <c r="UL132" s="17"/>
      <c r="UM132" s="17"/>
      <c r="UN132" s="17"/>
      <c r="UO132" s="17"/>
      <c r="UP132" s="17"/>
      <c r="UQ132" s="17"/>
      <c r="UR132" s="17"/>
      <c r="US132" s="17"/>
      <c r="UT132" s="17"/>
      <c r="UU132" s="17"/>
      <c r="UV132" s="17"/>
      <c r="UW132" s="17"/>
      <c r="UX132" s="17"/>
      <c r="UY132" s="17"/>
      <c r="UZ132" s="17"/>
      <c r="VA132" s="17"/>
      <c r="VB132" s="17"/>
      <c r="VC132" s="17"/>
      <c r="VD132" s="17"/>
      <c r="VE132" s="17"/>
      <c r="VF132" s="17"/>
      <c r="VG132" s="17"/>
      <c r="VH132" s="17"/>
      <c r="VI132" s="17"/>
      <c r="VJ132" s="17"/>
      <c r="VK132" s="17"/>
      <c r="VL132" s="17"/>
      <c r="VM132" s="17"/>
      <c r="VN132" s="17"/>
      <c r="VO132" s="17"/>
      <c r="VP132" s="17"/>
      <c r="VQ132" s="17"/>
      <c r="VR132" s="17"/>
      <c r="VS132" s="17"/>
      <c r="VT132" s="17"/>
      <c r="VU132" s="17"/>
      <c r="VV132" s="17"/>
      <c r="VW132" s="17"/>
      <c r="VX132" s="17"/>
      <c r="VY132" s="17"/>
      <c r="VZ132" s="17"/>
      <c r="WA132" s="17"/>
      <c r="WB132" s="17"/>
      <c r="WC132" s="17"/>
      <c r="WD132" s="17"/>
      <c r="WE132" s="17"/>
      <c r="WF132" s="17"/>
      <c r="WG132" s="17"/>
      <c r="WH132" s="17"/>
      <c r="WI132" s="17"/>
      <c r="WJ132" s="17"/>
      <c r="WK132" s="17"/>
      <c r="WL132" s="17"/>
      <c r="WM132" s="17"/>
      <c r="WN132" s="17"/>
      <c r="WO132" s="17"/>
      <c r="WP132" s="17"/>
      <c r="WQ132" s="17"/>
      <c r="WR132" s="17"/>
      <c r="WS132" s="17"/>
      <c r="WT132" s="17"/>
      <c r="WU132" s="17"/>
      <c r="WV132" s="17"/>
      <c r="WW132" s="17"/>
      <c r="WX132" s="17"/>
      <c r="WY132" s="17"/>
      <c r="WZ132" s="17"/>
      <c r="XA132" s="17"/>
      <c r="XB132" s="17"/>
      <c r="XC132" s="17"/>
      <c r="XD132" s="17"/>
      <c r="XE132" s="17"/>
      <c r="XF132" s="17"/>
      <c r="XG132" s="17"/>
      <c r="XH132" s="17"/>
      <c r="XI132" s="17"/>
      <c r="XJ132" s="17"/>
      <c r="XK132" s="17"/>
      <c r="XL132" s="17"/>
      <c r="XM132" s="17"/>
      <c r="XN132" s="17"/>
      <c r="XO132" s="17"/>
      <c r="XP132" s="17"/>
      <c r="XQ132" s="17"/>
      <c r="XR132" s="17"/>
      <c r="XS132" s="17"/>
      <c r="XT132" s="17"/>
      <c r="XU132" s="17"/>
      <c r="XV132" s="17"/>
      <c r="XW132" s="17"/>
      <c r="XX132" s="17"/>
      <c r="XY132" s="17"/>
      <c r="XZ132" s="17"/>
      <c r="YA132" s="17"/>
      <c r="YB132" s="17"/>
      <c r="YC132" s="17"/>
      <c r="YD132" s="17"/>
      <c r="YE132" s="17"/>
      <c r="YF132" s="17"/>
      <c r="YG132" s="17"/>
      <c r="YH132" s="17"/>
      <c r="YI132" s="17"/>
      <c r="YJ132" s="17"/>
      <c r="YK132" s="17"/>
      <c r="YL132" s="17"/>
      <c r="YM132" s="17"/>
      <c r="YN132" s="17"/>
      <c r="YO132" s="17"/>
      <c r="YP132" s="17"/>
      <c r="YQ132" s="17"/>
      <c r="YR132" s="17"/>
      <c r="YS132" s="17"/>
    </row>
    <row r="133" spans="266:669" x14ac:dyDescent="0.25">
      <c r="JF133" s="17"/>
      <c r="JG133" s="17"/>
      <c r="JH133" s="17"/>
      <c r="JI133" s="17"/>
      <c r="JJ133" s="17"/>
      <c r="JK133" s="17"/>
      <c r="JL133" s="17"/>
      <c r="JM133" s="17"/>
      <c r="JN133" s="17"/>
      <c r="JO133" s="17"/>
      <c r="JP133" s="17"/>
      <c r="JQ133" s="17"/>
      <c r="JR133" s="17"/>
      <c r="JS133" s="17"/>
      <c r="JT133" s="17"/>
      <c r="JU133" s="17"/>
      <c r="JV133" s="17"/>
      <c r="JW133" s="17"/>
      <c r="JX133" s="17"/>
      <c r="JY133" s="17"/>
      <c r="JZ133" s="17"/>
      <c r="KA133" s="17"/>
      <c r="KB133" s="17"/>
      <c r="KC133" s="17"/>
      <c r="KD133" s="17"/>
      <c r="KE133" s="17"/>
      <c r="KF133" s="17"/>
      <c r="KG133" s="17"/>
      <c r="KH133" s="17"/>
      <c r="KI133" s="17"/>
      <c r="KJ133" s="17"/>
      <c r="KK133" s="17"/>
      <c r="KL133" s="17"/>
      <c r="KM133" s="17"/>
      <c r="KN133" s="17"/>
      <c r="KO133" s="17"/>
      <c r="KP133" s="17"/>
      <c r="KQ133" s="17"/>
      <c r="KR133" s="17"/>
      <c r="KS133" s="17"/>
      <c r="KT133" s="17"/>
      <c r="KU133" s="17"/>
      <c r="KV133" s="17"/>
      <c r="KW133" s="17"/>
      <c r="KX133" s="17"/>
      <c r="KY133" s="17"/>
      <c r="KZ133" s="17"/>
      <c r="LA133" s="17"/>
      <c r="LB133" s="17"/>
      <c r="LC133" s="17"/>
      <c r="LD133" s="17"/>
      <c r="LE133" s="17"/>
      <c r="LF133" s="17"/>
      <c r="LG133" s="17"/>
      <c r="LH133" s="17"/>
      <c r="LI133" s="17"/>
      <c r="LJ133" s="17"/>
      <c r="LK133" s="17"/>
      <c r="LL133" s="17"/>
      <c r="LM133" s="17"/>
      <c r="LN133" s="17"/>
      <c r="LO133" s="17"/>
      <c r="LP133" s="17"/>
      <c r="LQ133" s="17"/>
      <c r="LR133" s="17"/>
      <c r="LS133" s="17"/>
      <c r="LT133" s="17"/>
      <c r="LU133" s="17"/>
      <c r="LV133" s="17"/>
      <c r="LW133" s="17"/>
      <c r="LX133" s="17"/>
      <c r="LY133" s="17"/>
      <c r="LZ133" s="17"/>
      <c r="MA133" s="17"/>
      <c r="MB133" s="17"/>
      <c r="MC133" s="17"/>
      <c r="MD133" s="17"/>
      <c r="ME133" s="17"/>
      <c r="MF133" s="17"/>
      <c r="MG133" s="17"/>
      <c r="MH133" s="17"/>
      <c r="MI133" s="17"/>
      <c r="MJ133" s="17"/>
      <c r="MK133" s="17"/>
      <c r="ML133" s="17"/>
      <c r="MM133" s="17"/>
      <c r="MN133" s="17"/>
      <c r="MO133" s="17"/>
      <c r="MP133" s="17"/>
      <c r="MQ133" s="17"/>
      <c r="MR133" s="17"/>
      <c r="MS133" s="17"/>
      <c r="MT133" s="17"/>
      <c r="MU133" s="17"/>
      <c r="MV133" s="17"/>
      <c r="MW133" s="17"/>
      <c r="MX133" s="17"/>
      <c r="MY133" s="17"/>
      <c r="MZ133" s="17"/>
      <c r="NA133" s="17"/>
      <c r="NB133" s="17"/>
      <c r="NC133" s="17"/>
      <c r="ND133" s="17"/>
      <c r="NE133" s="17"/>
      <c r="NF133" s="17"/>
      <c r="NG133" s="17"/>
      <c r="NH133" s="17"/>
      <c r="NI133" s="17"/>
      <c r="NJ133" s="17"/>
      <c r="NK133" s="17"/>
      <c r="NL133" s="17"/>
      <c r="NM133" s="17"/>
      <c r="NN133" s="17"/>
      <c r="NO133" s="17"/>
      <c r="NP133" s="17"/>
      <c r="NQ133" s="17"/>
      <c r="NR133" s="17"/>
      <c r="NS133" s="17"/>
      <c r="NT133" s="17"/>
      <c r="NU133" s="17"/>
      <c r="NV133" s="17"/>
      <c r="NW133" s="17"/>
      <c r="NX133" s="17"/>
      <c r="NY133" s="17"/>
      <c r="NZ133" s="17"/>
      <c r="OA133" s="17"/>
      <c r="OB133" s="17"/>
      <c r="OC133" s="17"/>
      <c r="OD133" s="17"/>
      <c r="OE133" s="17"/>
      <c r="OF133" s="17"/>
      <c r="OG133" s="17"/>
      <c r="OH133" s="17"/>
      <c r="OI133" s="17"/>
      <c r="OJ133" s="17"/>
      <c r="OK133" s="17"/>
      <c r="OL133" s="17"/>
      <c r="OM133" s="17"/>
      <c r="ON133" s="17"/>
      <c r="OO133" s="17"/>
      <c r="OP133" s="17"/>
      <c r="OQ133" s="17"/>
      <c r="OR133" s="17"/>
      <c r="OS133" s="17"/>
      <c r="OT133" s="17"/>
      <c r="OU133" s="17"/>
      <c r="OV133" s="17"/>
      <c r="OW133" s="17"/>
      <c r="OX133" s="17"/>
      <c r="OY133" s="17"/>
      <c r="OZ133" s="17"/>
      <c r="PA133" s="17"/>
      <c r="PB133" s="17"/>
      <c r="PC133" s="17"/>
      <c r="PD133" s="17"/>
      <c r="PE133" s="17"/>
      <c r="PF133" s="17"/>
      <c r="PG133" s="17"/>
      <c r="PH133" s="17"/>
      <c r="PI133" s="17"/>
      <c r="PJ133" s="17"/>
      <c r="PK133" s="17"/>
      <c r="PL133" s="17"/>
      <c r="PM133" s="17"/>
      <c r="PN133" s="17"/>
      <c r="PO133" s="17"/>
      <c r="PP133" s="17"/>
      <c r="PQ133" s="17"/>
      <c r="PR133" s="17"/>
      <c r="PS133" s="17"/>
      <c r="PT133" s="17"/>
      <c r="PU133" s="17"/>
      <c r="PV133" s="17"/>
      <c r="PW133" s="17"/>
      <c r="PX133" s="17"/>
      <c r="PY133" s="17"/>
      <c r="PZ133" s="17"/>
      <c r="QA133" s="17"/>
      <c r="QB133" s="17"/>
      <c r="QC133" s="17"/>
      <c r="QD133" s="17"/>
      <c r="QE133" s="17"/>
      <c r="QF133" s="17"/>
      <c r="QG133" s="17"/>
      <c r="QH133" s="17"/>
      <c r="QI133" s="17"/>
      <c r="QJ133" s="17"/>
      <c r="QK133" s="17"/>
      <c r="QL133" s="17"/>
      <c r="QM133" s="17"/>
      <c r="QN133" s="17"/>
      <c r="QO133" s="17"/>
      <c r="QP133" s="17"/>
      <c r="QQ133" s="17"/>
      <c r="QR133" s="17"/>
      <c r="QS133" s="17"/>
      <c r="QT133" s="17"/>
      <c r="QU133" s="17"/>
      <c r="QV133" s="17"/>
      <c r="QW133" s="17"/>
      <c r="QX133" s="17"/>
      <c r="QY133" s="17"/>
      <c r="QZ133" s="17"/>
      <c r="RA133" s="17"/>
      <c r="RB133" s="17"/>
      <c r="RC133" s="17"/>
      <c r="RD133" s="17"/>
      <c r="RE133" s="17"/>
      <c r="RF133" s="17"/>
      <c r="RG133" s="17"/>
      <c r="RH133" s="17"/>
      <c r="RI133" s="17"/>
      <c r="RJ133" s="17"/>
      <c r="RK133" s="17"/>
      <c r="RL133" s="17"/>
      <c r="RM133" s="17"/>
      <c r="RN133" s="17"/>
      <c r="RO133" s="17"/>
      <c r="RP133" s="17"/>
      <c r="RQ133" s="17"/>
      <c r="RR133" s="17"/>
      <c r="RS133" s="17"/>
      <c r="RT133" s="17"/>
      <c r="RU133" s="17"/>
      <c r="RV133" s="17"/>
      <c r="RW133" s="17"/>
      <c r="RX133" s="17"/>
      <c r="RY133" s="17"/>
      <c r="RZ133" s="17"/>
      <c r="SA133" s="17"/>
      <c r="SB133" s="17"/>
      <c r="SC133" s="17"/>
      <c r="SD133" s="17"/>
      <c r="SE133" s="17"/>
      <c r="SF133" s="17"/>
      <c r="SG133" s="17"/>
      <c r="SH133" s="17"/>
      <c r="SI133" s="17"/>
      <c r="SJ133" s="17"/>
      <c r="SK133" s="17"/>
      <c r="SL133" s="17"/>
      <c r="SM133" s="17"/>
      <c r="SN133" s="17"/>
      <c r="SO133" s="17"/>
      <c r="SP133" s="17"/>
      <c r="SQ133" s="17"/>
      <c r="SR133" s="17"/>
      <c r="SS133" s="17"/>
      <c r="ST133" s="17"/>
      <c r="SU133" s="17"/>
      <c r="SV133" s="17"/>
      <c r="SW133" s="17"/>
      <c r="SX133" s="17"/>
      <c r="SY133" s="17"/>
      <c r="SZ133" s="17"/>
      <c r="TA133" s="17"/>
      <c r="TB133" s="17"/>
      <c r="TC133" s="17"/>
      <c r="TD133" s="17"/>
      <c r="TE133" s="17"/>
      <c r="TF133" s="17"/>
      <c r="TG133" s="17"/>
      <c r="TH133" s="17"/>
      <c r="TI133" s="17"/>
      <c r="TJ133" s="17"/>
      <c r="TK133" s="17"/>
      <c r="TL133" s="17"/>
      <c r="TM133" s="17"/>
      <c r="TN133" s="17"/>
      <c r="TO133" s="17"/>
      <c r="TP133" s="17"/>
      <c r="TQ133" s="17"/>
      <c r="TR133" s="17"/>
      <c r="TS133" s="17"/>
      <c r="TT133" s="17"/>
      <c r="TU133" s="17"/>
      <c r="TV133" s="17"/>
      <c r="TW133" s="17"/>
      <c r="TX133" s="17"/>
      <c r="TY133" s="17"/>
      <c r="TZ133" s="17"/>
      <c r="UA133" s="17"/>
      <c r="UB133" s="17"/>
      <c r="UC133" s="17"/>
      <c r="UD133" s="17"/>
      <c r="UE133" s="17"/>
      <c r="UF133" s="17"/>
      <c r="UG133" s="17"/>
      <c r="UH133" s="17"/>
      <c r="UI133" s="17"/>
      <c r="UJ133" s="17"/>
      <c r="UK133" s="17"/>
      <c r="UL133" s="17"/>
      <c r="UM133" s="17"/>
      <c r="UN133" s="17"/>
      <c r="UO133" s="17"/>
      <c r="UP133" s="17"/>
      <c r="UQ133" s="17"/>
      <c r="UR133" s="17"/>
      <c r="US133" s="17"/>
      <c r="UT133" s="17"/>
      <c r="UU133" s="17"/>
      <c r="UV133" s="17"/>
      <c r="UW133" s="17"/>
      <c r="UX133" s="17"/>
      <c r="UY133" s="17"/>
      <c r="UZ133" s="17"/>
      <c r="VA133" s="17"/>
      <c r="VB133" s="17"/>
      <c r="VC133" s="17"/>
      <c r="VD133" s="17"/>
      <c r="VE133" s="17"/>
      <c r="VF133" s="17"/>
      <c r="VG133" s="17"/>
      <c r="VH133" s="17"/>
      <c r="VI133" s="17"/>
      <c r="VJ133" s="17"/>
      <c r="VK133" s="17"/>
      <c r="VL133" s="17"/>
      <c r="VM133" s="17"/>
      <c r="VN133" s="17"/>
      <c r="VO133" s="17"/>
      <c r="VP133" s="17"/>
      <c r="VQ133" s="17"/>
      <c r="VR133" s="17"/>
      <c r="VS133" s="17"/>
      <c r="VT133" s="17"/>
      <c r="VU133" s="17"/>
      <c r="VV133" s="17"/>
      <c r="VW133" s="17"/>
      <c r="VX133" s="17"/>
      <c r="VY133" s="17"/>
      <c r="VZ133" s="17"/>
      <c r="WA133" s="17"/>
      <c r="WB133" s="17"/>
      <c r="WC133" s="17"/>
      <c r="WD133" s="17"/>
      <c r="WE133" s="17"/>
      <c r="WF133" s="17"/>
      <c r="WG133" s="17"/>
      <c r="WH133" s="17"/>
      <c r="WI133" s="17"/>
      <c r="WJ133" s="17"/>
      <c r="WK133" s="17"/>
      <c r="WL133" s="17"/>
      <c r="WM133" s="17"/>
      <c r="WN133" s="17"/>
      <c r="WO133" s="17"/>
      <c r="WP133" s="17"/>
      <c r="WQ133" s="17"/>
      <c r="WR133" s="17"/>
      <c r="WS133" s="17"/>
      <c r="WT133" s="17"/>
      <c r="WU133" s="17"/>
      <c r="WV133" s="17"/>
      <c r="WW133" s="17"/>
      <c r="WX133" s="17"/>
      <c r="WY133" s="17"/>
      <c r="WZ133" s="17"/>
      <c r="XA133" s="17"/>
      <c r="XB133" s="17"/>
      <c r="XC133" s="17"/>
      <c r="XD133" s="17"/>
      <c r="XE133" s="17"/>
      <c r="XF133" s="17"/>
      <c r="XG133" s="17"/>
      <c r="XH133" s="17"/>
      <c r="XI133" s="17"/>
      <c r="XJ133" s="17"/>
      <c r="XK133" s="17"/>
      <c r="XL133" s="17"/>
      <c r="XM133" s="17"/>
      <c r="XN133" s="17"/>
      <c r="XO133" s="17"/>
      <c r="XP133" s="17"/>
      <c r="XQ133" s="17"/>
      <c r="XR133" s="17"/>
      <c r="XS133" s="17"/>
      <c r="XT133" s="17"/>
      <c r="XU133" s="17"/>
      <c r="XV133" s="17"/>
      <c r="XW133" s="17"/>
      <c r="XX133" s="17"/>
      <c r="XY133" s="17"/>
      <c r="XZ133" s="17"/>
      <c r="YA133" s="17"/>
      <c r="YB133" s="17"/>
      <c r="YC133" s="17"/>
      <c r="YD133" s="17"/>
      <c r="YE133" s="17"/>
      <c r="YF133" s="17"/>
      <c r="YG133" s="17"/>
      <c r="YH133" s="17"/>
      <c r="YI133" s="17"/>
      <c r="YJ133" s="17"/>
      <c r="YK133" s="17"/>
      <c r="YL133" s="17"/>
      <c r="YM133" s="17"/>
      <c r="YN133" s="17"/>
      <c r="YO133" s="17"/>
      <c r="YP133" s="17"/>
      <c r="YQ133" s="17"/>
      <c r="YR133" s="17"/>
      <c r="YS133" s="17"/>
    </row>
    <row r="134" spans="266:669" x14ac:dyDescent="0.25">
      <c r="JF134" s="17"/>
      <c r="JG134" s="17"/>
      <c r="JH134" s="17"/>
      <c r="JI134" s="17"/>
      <c r="JJ134" s="17"/>
      <c r="JK134" s="17"/>
      <c r="JL134" s="17"/>
      <c r="JM134" s="17"/>
      <c r="JN134" s="17"/>
      <c r="JO134" s="17"/>
      <c r="JP134" s="17"/>
      <c r="JQ134" s="17"/>
      <c r="JR134" s="17"/>
      <c r="JS134" s="17"/>
      <c r="JT134" s="17"/>
      <c r="JU134" s="17"/>
      <c r="JV134" s="17"/>
      <c r="JW134" s="17"/>
      <c r="JX134" s="17"/>
      <c r="JY134" s="17"/>
      <c r="JZ134" s="17"/>
      <c r="KA134" s="17"/>
      <c r="KB134" s="17"/>
      <c r="KC134" s="17"/>
      <c r="KD134" s="17"/>
      <c r="KE134" s="17"/>
      <c r="KF134" s="17"/>
      <c r="KG134" s="17"/>
      <c r="KH134" s="17"/>
      <c r="KI134" s="17"/>
      <c r="KJ134" s="17"/>
      <c r="KK134" s="17"/>
      <c r="KL134" s="17"/>
      <c r="KM134" s="17"/>
      <c r="KN134" s="17"/>
      <c r="KO134" s="17"/>
      <c r="KP134" s="17"/>
      <c r="KQ134" s="17"/>
      <c r="KR134" s="17"/>
      <c r="KS134" s="17"/>
      <c r="KT134" s="17"/>
      <c r="KU134" s="17"/>
      <c r="KV134" s="17"/>
      <c r="KW134" s="17"/>
      <c r="KX134" s="17"/>
      <c r="KY134" s="17"/>
      <c r="KZ134" s="17"/>
      <c r="LA134" s="17"/>
      <c r="LB134" s="17"/>
      <c r="LC134" s="17"/>
      <c r="LD134" s="17"/>
      <c r="LE134" s="17"/>
      <c r="LF134" s="17"/>
      <c r="LG134" s="17"/>
      <c r="LH134" s="17"/>
      <c r="LI134" s="17"/>
      <c r="LJ134" s="17"/>
      <c r="LK134" s="17"/>
      <c r="LL134" s="17"/>
      <c r="LM134" s="17"/>
      <c r="LN134" s="17"/>
      <c r="LO134" s="17"/>
      <c r="LP134" s="17"/>
      <c r="LQ134" s="17"/>
      <c r="LR134" s="17"/>
      <c r="LS134" s="17"/>
      <c r="LT134" s="17"/>
      <c r="LU134" s="17"/>
      <c r="LV134" s="17"/>
      <c r="LW134" s="17"/>
      <c r="LX134" s="17"/>
      <c r="LY134" s="17"/>
      <c r="LZ134" s="17"/>
      <c r="MA134" s="17"/>
      <c r="MB134" s="17"/>
      <c r="MC134" s="17"/>
      <c r="MD134" s="17"/>
      <c r="ME134" s="17"/>
      <c r="MF134" s="17"/>
      <c r="MG134" s="17"/>
      <c r="MH134" s="17"/>
      <c r="MI134" s="17"/>
      <c r="MJ134" s="17"/>
      <c r="MK134" s="17"/>
      <c r="ML134" s="17"/>
      <c r="MM134" s="17"/>
      <c r="MN134" s="17"/>
      <c r="MO134" s="17"/>
      <c r="MP134" s="17"/>
      <c r="MQ134" s="17"/>
      <c r="MR134" s="17"/>
      <c r="MS134" s="17"/>
      <c r="MT134" s="17"/>
      <c r="MU134" s="17"/>
      <c r="MV134" s="17"/>
      <c r="MW134" s="17"/>
      <c r="MX134" s="17"/>
      <c r="MY134" s="17"/>
      <c r="MZ134" s="17"/>
      <c r="NA134" s="17"/>
      <c r="NB134" s="17"/>
      <c r="NC134" s="17"/>
      <c r="ND134" s="17"/>
      <c r="NE134" s="17"/>
      <c r="NF134" s="17"/>
      <c r="NG134" s="17"/>
      <c r="NH134" s="17"/>
      <c r="NI134" s="17"/>
      <c r="NJ134" s="17"/>
      <c r="NK134" s="17"/>
      <c r="NL134" s="17"/>
      <c r="NM134" s="17"/>
      <c r="NN134" s="17"/>
      <c r="NO134" s="17"/>
      <c r="NP134" s="17"/>
      <c r="NQ134" s="17"/>
      <c r="NR134" s="17"/>
      <c r="NS134" s="17"/>
      <c r="NT134" s="17"/>
      <c r="NU134" s="17"/>
      <c r="NV134" s="17"/>
      <c r="NW134" s="17"/>
      <c r="NX134" s="17"/>
      <c r="NY134" s="17"/>
      <c r="NZ134" s="17"/>
      <c r="OA134" s="17"/>
      <c r="OB134" s="17"/>
      <c r="OC134" s="17"/>
      <c r="OD134" s="17"/>
      <c r="OE134" s="17"/>
      <c r="OF134" s="17"/>
      <c r="OG134" s="17"/>
      <c r="OH134" s="17"/>
      <c r="OI134" s="17"/>
      <c r="OJ134" s="17"/>
      <c r="OK134" s="17"/>
      <c r="OL134" s="17"/>
      <c r="OM134" s="17"/>
      <c r="ON134" s="17"/>
      <c r="OO134" s="17"/>
      <c r="OP134" s="17"/>
      <c r="OQ134" s="17"/>
      <c r="OR134" s="17"/>
      <c r="OS134" s="17"/>
      <c r="OT134" s="17"/>
      <c r="OU134" s="17"/>
      <c r="OV134" s="17"/>
      <c r="OW134" s="17"/>
      <c r="OX134" s="17"/>
      <c r="OY134" s="17"/>
      <c r="OZ134" s="17"/>
      <c r="PA134" s="17"/>
      <c r="PB134" s="17"/>
      <c r="PC134" s="17"/>
      <c r="PD134" s="17"/>
      <c r="PE134" s="17"/>
      <c r="PF134" s="17"/>
      <c r="PG134" s="17"/>
      <c r="PH134" s="17"/>
      <c r="PI134" s="17"/>
      <c r="PJ134" s="17"/>
      <c r="PK134" s="17"/>
      <c r="PL134" s="17"/>
      <c r="PM134" s="17"/>
      <c r="PN134" s="17"/>
      <c r="PO134" s="17"/>
      <c r="PP134" s="17"/>
      <c r="PQ134" s="17"/>
      <c r="PR134" s="17"/>
      <c r="PS134" s="17"/>
      <c r="PT134" s="17"/>
      <c r="PU134" s="17"/>
      <c r="PV134" s="17"/>
      <c r="PW134" s="17"/>
      <c r="PX134" s="17"/>
      <c r="PY134" s="17"/>
      <c r="PZ134" s="17"/>
      <c r="QA134" s="17"/>
      <c r="QB134" s="17"/>
      <c r="QC134" s="17"/>
      <c r="QD134" s="17"/>
      <c r="QE134" s="17"/>
      <c r="QF134" s="17"/>
      <c r="QG134" s="17"/>
      <c r="QH134" s="17"/>
      <c r="QI134" s="17"/>
      <c r="QJ134" s="17"/>
      <c r="QK134" s="17"/>
      <c r="QL134" s="17"/>
      <c r="QM134" s="17"/>
      <c r="QN134" s="17"/>
      <c r="QO134" s="17"/>
      <c r="QP134" s="17"/>
      <c r="QQ134" s="17"/>
      <c r="QR134" s="17"/>
      <c r="QS134" s="17"/>
      <c r="QT134" s="17"/>
      <c r="QU134" s="17"/>
      <c r="QV134" s="17"/>
      <c r="QW134" s="17"/>
      <c r="QX134" s="17"/>
      <c r="QY134" s="17"/>
      <c r="QZ134" s="17"/>
      <c r="RA134" s="17"/>
      <c r="RB134" s="17"/>
      <c r="RC134" s="17"/>
      <c r="RD134" s="17"/>
      <c r="RE134" s="17"/>
      <c r="RF134" s="17"/>
      <c r="RG134" s="17"/>
      <c r="RH134" s="17"/>
      <c r="RI134" s="17"/>
      <c r="RJ134" s="17"/>
      <c r="RK134" s="17"/>
      <c r="RL134" s="17"/>
      <c r="RM134" s="17"/>
      <c r="RN134" s="17"/>
      <c r="RO134" s="17"/>
      <c r="RP134" s="17"/>
      <c r="RQ134" s="17"/>
      <c r="RR134" s="17"/>
      <c r="RS134" s="17"/>
      <c r="RT134" s="17"/>
      <c r="RU134" s="17"/>
      <c r="RV134" s="17"/>
      <c r="RW134" s="17"/>
      <c r="RX134" s="17"/>
      <c r="RY134" s="17"/>
      <c r="RZ134" s="17"/>
      <c r="SA134" s="17"/>
      <c r="SB134" s="17"/>
      <c r="SC134" s="17"/>
      <c r="SD134" s="17"/>
      <c r="SE134" s="17"/>
      <c r="SF134" s="17"/>
      <c r="SG134" s="17"/>
      <c r="SH134" s="17"/>
      <c r="SI134" s="17"/>
      <c r="SJ134" s="17"/>
      <c r="SK134" s="17"/>
      <c r="SL134" s="17"/>
      <c r="SM134" s="17"/>
      <c r="SN134" s="17"/>
      <c r="SO134" s="17"/>
      <c r="SP134" s="17"/>
      <c r="SQ134" s="17"/>
      <c r="SR134" s="17"/>
      <c r="SS134" s="17"/>
      <c r="ST134" s="17"/>
      <c r="SU134" s="17"/>
      <c r="SV134" s="17"/>
      <c r="SW134" s="17"/>
      <c r="SX134" s="17"/>
      <c r="SY134" s="17"/>
      <c r="SZ134" s="17"/>
      <c r="TA134" s="17"/>
      <c r="TB134" s="17"/>
      <c r="TC134" s="17"/>
      <c r="TD134" s="17"/>
      <c r="TE134" s="17"/>
      <c r="TF134" s="17"/>
      <c r="TG134" s="17"/>
      <c r="TH134" s="17"/>
      <c r="TI134" s="17"/>
      <c r="TJ134" s="17"/>
      <c r="TK134" s="17"/>
      <c r="TL134" s="17"/>
      <c r="TM134" s="17"/>
      <c r="TN134" s="17"/>
      <c r="TO134" s="17"/>
      <c r="TP134" s="17"/>
      <c r="TQ134" s="17"/>
      <c r="TR134" s="17"/>
      <c r="TS134" s="17"/>
      <c r="TT134" s="17"/>
      <c r="TU134" s="17"/>
      <c r="TV134" s="17"/>
      <c r="TW134" s="17"/>
      <c r="TX134" s="17"/>
      <c r="TY134" s="17"/>
      <c r="TZ134" s="17"/>
      <c r="UA134" s="17"/>
      <c r="UB134" s="17"/>
      <c r="UC134" s="17"/>
      <c r="UD134" s="17"/>
      <c r="UE134" s="17"/>
      <c r="UF134" s="17"/>
      <c r="UG134" s="17"/>
      <c r="UH134" s="17"/>
      <c r="UI134" s="17"/>
      <c r="UJ134" s="17"/>
      <c r="UK134" s="17"/>
      <c r="UL134" s="17"/>
      <c r="UM134" s="17"/>
      <c r="UN134" s="17"/>
      <c r="UO134" s="17"/>
      <c r="UP134" s="17"/>
      <c r="UQ134" s="17"/>
      <c r="UR134" s="17"/>
      <c r="US134" s="17"/>
      <c r="UT134" s="17"/>
      <c r="UU134" s="17"/>
      <c r="UV134" s="17"/>
      <c r="UW134" s="17"/>
      <c r="UX134" s="17"/>
      <c r="UY134" s="17"/>
      <c r="UZ134" s="17"/>
      <c r="VA134" s="17"/>
      <c r="VB134" s="17"/>
      <c r="VC134" s="17"/>
      <c r="VD134" s="17"/>
      <c r="VE134" s="17"/>
      <c r="VF134" s="17"/>
      <c r="VG134" s="17"/>
      <c r="VH134" s="17"/>
      <c r="VI134" s="17"/>
      <c r="VJ134" s="17"/>
      <c r="VK134" s="17"/>
      <c r="VL134" s="17"/>
      <c r="VM134" s="17"/>
      <c r="VN134" s="17"/>
      <c r="VO134" s="17"/>
      <c r="VP134" s="17"/>
      <c r="VQ134" s="17"/>
      <c r="VR134" s="17"/>
      <c r="VS134" s="17"/>
      <c r="VT134" s="17"/>
      <c r="VU134" s="17"/>
      <c r="VV134" s="17"/>
      <c r="VW134" s="17"/>
      <c r="VX134" s="17"/>
      <c r="VY134" s="17"/>
      <c r="VZ134" s="17"/>
      <c r="WA134" s="17"/>
      <c r="WB134" s="17"/>
      <c r="WC134" s="17"/>
      <c r="WD134" s="17"/>
      <c r="WE134" s="17"/>
      <c r="WF134" s="17"/>
      <c r="WG134" s="17"/>
      <c r="WH134" s="17"/>
      <c r="WI134" s="17"/>
      <c r="WJ134" s="17"/>
      <c r="WK134" s="17"/>
      <c r="WL134" s="17"/>
      <c r="WM134" s="17"/>
      <c r="WN134" s="17"/>
      <c r="WO134" s="17"/>
      <c r="WP134" s="17"/>
      <c r="WQ134" s="17"/>
      <c r="WR134" s="17"/>
      <c r="WS134" s="17"/>
      <c r="WT134" s="17"/>
      <c r="WU134" s="17"/>
      <c r="WV134" s="17"/>
      <c r="WW134" s="17"/>
      <c r="WX134" s="17"/>
      <c r="WY134" s="17"/>
      <c r="WZ134" s="17"/>
      <c r="XA134" s="17"/>
      <c r="XB134" s="17"/>
      <c r="XC134" s="17"/>
      <c r="XD134" s="17"/>
      <c r="XE134" s="17"/>
      <c r="XF134" s="17"/>
      <c r="XG134" s="17"/>
      <c r="XH134" s="17"/>
      <c r="XI134" s="17"/>
      <c r="XJ134" s="17"/>
      <c r="XK134" s="17"/>
      <c r="XL134" s="17"/>
      <c r="XM134" s="17"/>
      <c r="XN134" s="17"/>
      <c r="XO134" s="17"/>
      <c r="XP134" s="17"/>
      <c r="XQ134" s="17"/>
      <c r="XR134" s="17"/>
      <c r="XS134" s="17"/>
      <c r="XT134" s="17"/>
      <c r="XU134" s="17"/>
      <c r="XV134" s="17"/>
      <c r="XW134" s="17"/>
      <c r="XX134" s="17"/>
      <c r="XY134" s="17"/>
      <c r="XZ134" s="17"/>
      <c r="YA134" s="17"/>
      <c r="YB134" s="17"/>
      <c r="YC134" s="17"/>
      <c r="YD134" s="17"/>
      <c r="YE134" s="17"/>
      <c r="YF134" s="17"/>
      <c r="YG134" s="17"/>
      <c r="YH134" s="17"/>
      <c r="YI134" s="17"/>
      <c r="YJ134" s="17"/>
      <c r="YK134" s="17"/>
      <c r="YL134" s="17"/>
      <c r="YM134" s="17"/>
      <c r="YN134" s="17"/>
      <c r="YO134" s="17"/>
      <c r="YP134" s="17"/>
      <c r="YQ134" s="17"/>
      <c r="YR134" s="17"/>
      <c r="YS134" s="17"/>
    </row>
    <row r="135" spans="266:669" x14ac:dyDescent="0.25">
      <c r="JF135" s="17"/>
      <c r="JG135" s="17"/>
      <c r="JH135" s="17"/>
      <c r="JI135" s="17"/>
      <c r="JJ135" s="17"/>
      <c r="JK135" s="17"/>
      <c r="JL135" s="17"/>
      <c r="JM135" s="17"/>
      <c r="JN135" s="17"/>
      <c r="JO135" s="17"/>
      <c r="JP135" s="17"/>
      <c r="JQ135" s="17"/>
      <c r="JR135" s="17"/>
      <c r="JS135" s="17"/>
      <c r="JT135" s="17"/>
      <c r="JU135" s="17"/>
      <c r="JV135" s="17"/>
      <c r="JW135" s="17"/>
      <c r="JX135" s="17"/>
      <c r="JY135" s="17"/>
      <c r="JZ135" s="17"/>
      <c r="KA135" s="17"/>
      <c r="KB135" s="17"/>
      <c r="KC135" s="17"/>
      <c r="KD135" s="17"/>
      <c r="KE135" s="17"/>
      <c r="KF135" s="17"/>
      <c r="KG135" s="17"/>
      <c r="KH135" s="17"/>
      <c r="KI135" s="17"/>
      <c r="KJ135" s="17"/>
      <c r="KK135" s="17"/>
      <c r="KL135" s="17"/>
      <c r="KM135" s="17"/>
      <c r="KN135" s="17"/>
      <c r="KO135" s="17"/>
      <c r="KP135" s="17"/>
      <c r="KQ135" s="17"/>
      <c r="KR135" s="17"/>
      <c r="KS135" s="17"/>
      <c r="KT135" s="17"/>
      <c r="KU135" s="17"/>
      <c r="KV135" s="17"/>
      <c r="KW135" s="17"/>
      <c r="KX135" s="17"/>
      <c r="KY135" s="17"/>
      <c r="KZ135" s="17"/>
      <c r="LA135" s="17"/>
      <c r="LB135" s="17"/>
      <c r="LC135" s="17"/>
      <c r="LD135" s="17"/>
      <c r="LE135" s="17"/>
      <c r="LF135" s="17"/>
      <c r="LG135" s="17"/>
      <c r="LH135" s="17"/>
      <c r="LI135" s="17"/>
      <c r="LJ135" s="17"/>
      <c r="LK135" s="17"/>
      <c r="LL135" s="17"/>
      <c r="LM135" s="17"/>
      <c r="LN135" s="17"/>
      <c r="LO135" s="17"/>
      <c r="LP135" s="17"/>
      <c r="LQ135" s="17"/>
      <c r="LR135" s="17"/>
      <c r="LS135" s="17"/>
      <c r="LT135" s="17"/>
      <c r="LU135" s="17"/>
      <c r="LV135" s="17"/>
      <c r="LW135" s="17"/>
      <c r="LX135" s="17"/>
      <c r="LY135" s="17"/>
      <c r="LZ135" s="17"/>
      <c r="MA135" s="17"/>
      <c r="MB135" s="17"/>
      <c r="MC135" s="17"/>
      <c r="MD135" s="17"/>
      <c r="ME135" s="17"/>
      <c r="MF135" s="17"/>
      <c r="MG135" s="17"/>
      <c r="MH135" s="17"/>
      <c r="MI135" s="17"/>
      <c r="MJ135" s="17"/>
      <c r="MK135" s="17"/>
      <c r="ML135" s="17"/>
      <c r="MM135" s="17"/>
      <c r="MN135" s="17"/>
      <c r="MO135" s="17"/>
      <c r="MP135" s="17"/>
      <c r="MQ135" s="17"/>
      <c r="MR135" s="17"/>
      <c r="MS135" s="17"/>
      <c r="MT135" s="17"/>
      <c r="MU135" s="17"/>
      <c r="MV135" s="17"/>
      <c r="MW135" s="17"/>
      <c r="MX135" s="17"/>
      <c r="MY135" s="17"/>
      <c r="MZ135" s="17"/>
      <c r="NA135" s="17"/>
      <c r="NB135" s="17"/>
      <c r="NC135" s="17"/>
      <c r="ND135" s="17"/>
      <c r="NE135" s="17"/>
      <c r="NF135" s="17"/>
      <c r="NG135" s="17"/>
      <c r="NH135" s="17"/>
      <c r="NI135" s="17"/>
      <c r="NJ135" s="17"/>
      <c r="NK135" s="17"/>
      <c r="NL135" s="17"/>
      <c r="NM135" s="17"/>
      <c r="NN135" s="17"/>
      <c r="NO135" s="17"/>
      <c r="NP135" s="17"/>
      <c r="NQ135" s="17"/>
      <c r="NR135" s="17"/>
      <c r="NS135" s="17"/>
      <c r="NT135" s="17"/>
      <c r="NU135" s="17"/>
      <c r="NV135" s="17"/>
      <c r="NW135" s="17"/>
      <c r="NX135" s="17"/>
      <c r="NY135" s="17"/>
      <c r="NZ135" s="17"/>
      <c r="OA135" s="17"/>
      <c r="OB135" s="17"/>
      <c r="OC135" s="17"/>
      <c r="OD135" s="17"/>
      <c r="OE135" s="17"/>
      <c r="OF135" s="17"/>
      <c r="OG135" s="17"/>
      <c r="OH135" s="17"/>
      <c r="OI135" s="17"/>
      <c r="OJ135" s="17"/>
      <c r="OK135" s="17"/>
      <c r="OL135" s="17"/>
      <c r="OM135" s="17"/>
      <c r="ON135" s="17"/>
      <c r="OO135" s="17"/>
      <c r="OP135" s="17"/>
      <c r="OQ135" s="17"/>
      <c r="OR135" s="17"/>
      <c r="OS135" s="17"/>
      <c r="OT135" s="17"/>
      <c r="OU135" s="17"/>
      <c r="OV135" s="17"/>
      <c r="OW135" s="17"/>
      <c r="OX135" s="17"/>
      <c r="OY135" s="17"/>
      <c r="OZ135" s="17"/>
      <c r="PA135" s="17"/>
      <c r="PB135" s="17"/>
      <c r="PC135" s="17"/>
      <c r="PD135" s="17"/>
      <c r="PE135" s="17"/>
      <c r="PF135" s="17"/>
      <c r="PG135" s="17"/>
      <c r="PH135" s="17"/>
      <c r="PI135" s="17"/>
      <c r="PJ135" s="17"/>
      <c r="PK135" s="17"/>
      <c r="PL135" s="17"/>
      <c r="PM135" s="17"/>
      <c r="PN135" s="17"/>
      <c r="PO135" s="17"/>
      <c r="PP135" s="17"/>
      <c r="PQ135" s="17"/>
      <c r="PR135" s="17"/>
      <c r="PS135" s="17"/>
      <c r="PT135" s="17"/>
      <c r="PU135" s="17"/>
      <c r="PV135" s="17"/>
      <c r="PW135" s="17"/>
      <c r="PX135" s="17"/>
      <c r="PY135" s="17"/>
      <c r="PZ135" s="17"/>
      <c r="QA135" s="17"/>
      <c r="QB135" s="17"/>
      <c r="QC135" s="17"/>
      <c r="QD135" s="17"/>
      <c r="QE135" s="17"/>
      <c r="QF135" s="17"/>
      <c r="QG135" s="17"/>
      <c r="QH135" s="17"/>
      <c r="QI135" s="17"/>
      <c r="QJ135" s="17"/>
      <c r="QK135" s="17"/>
      <c r="QL135" s="17"/>
      <c r="QM135" s="17"/>
      <c r="QN135" s="17"/>
      <c r="QO135" s="17"/>
      <c r="QP135" s="17"/>
      <c r="QQ135" s="17"/>
      <c r="QR135" s="17"/>
      <c r="QS135" s="17"/>
      <c r="QT135" s="17"/>
      <c r="QU135" s="17"/>
      <c r="QV135" s="17"/>
      <c r="QW135" s="17"/>
      <c r="QX135" s="17"/>
      <c r="QY135" s="17"/>
      <c r="QZ135" s="17"/>
      <c r="RA135" s="17"/>
      <c r="RB135" s="17"/>
      <c r="RC135" s="17"/>
      <c r="RD135" s="17"/>
      <c r="RE135" s="17"/>
      <c r="RF135" s="17"/>
      <c r="RG135" s="17"/>
      <c r="RH135" s="17"/>
      <c r="RI135" s="17"/>
      <c r="RJ135" s="17"/>
      <c r="RK135" s="17"/>
      <c r="RL135" s="17"/>
      <c r="RM135" s="17"/>
      <c r="RN135" s="17"/>
      <c r="RO135" s="17"/>
      <c r="RP135" s="17"/>
      <c r="RQ135" s="17"/>
      <c r="RR135" s="17"/>
      <c r="RS135" s="17"/>
      <c r="RT135" s="17"/>
      <c r="RU135" s="17"/>
      <c r="RV135" s="17"/>
      <c r="RW135" s="17"/>
      <c r="RX135" s="17"/>
      <c r="RY135" s="17"/>
      <c r="RZ135" s="17"/>
      <c r="SA135" s="17"/>
      <c r="SB135" s="17"/>
      <c r="SC135" s="17"/>
      <c r="SD135" s="17"/>
      <c r="SE135" s="17"/>
      <c r="SF135" s="17"/>
      <c r="SG135" s="17"/>
      <c r="SH135" s="17"/>
      <c r="SI135" s="17"/>
      <c r="SJ135" s="17"/>
      <c r="SK135" s="17"/>
      <c r="SL135" s="17"/>
      <c r="SM135" s="17"/>
      <c r="SN135" s="17"/>
      <c r="SO135" s="17"/>
      <c r="SP135" s="17"/>
      <c r="SQ135" s="17"/>
      <c r="SR135" s="17"/>
      <c r="SS135" s="17"/>
      <c r="ST135" s="17"/>
      <c r="SU135" s="17"/>
      <c r="SV135" s="17"/>
      <c r="SW135" s="17"/>
      <c r="SX135" s="17"/>
      <c r="SY135" s="17"/>
      <c r="SZ135" s="17"/>
      <c r="TA135" s="17"/>
      <c r="TB135" s="17"/>
      <c r="TC135" s="17"/>
      <c r="TD135" s="17"/>
      <c r="TE135" s="17"/>
      <c r="TF135" s="17"/>
      <c r="TG135" s="17"/>
      <c r="TH135" s="17"/>
      <c r="TI135" s="17"/>
      <c r="TJ135" s="17"/>
      <c r="TK135" s="17"/>
      <c r="TL135" s="17"/>
      <c r="TM135" s="17"/>
      <c r="TN135" s="17"/>
      <c r="TO135" s="17"/>
      <c r="TP135" s="17"/>
      <c r="TQ135" s="17"/>
      <c r="TR135" s="17"/>
      <c r="TS135" s="17"/>
      <c r="TT135" s="17"/>
      <c r="TU135" s="17"/>
      <c r="TV135" s="17"/>
      <c r="TW135" s="17"/>
      <c r="TX135" s="17"/>
      <c r="TY135" s="17"/>
      <c r="TZ135" s="17"/>
      <c r="UA135" s="17"/>
      <c r="UB135" s="17"/>
      <c r="UC135" s="17"/>
      <c r="UD135" s="17"/>
      <c r="UE135" s="17"/>
      <c r="UF135" s="17"/>
      <c r="UG135" s="17"/>
      <c r="UH135" s="17"/>
      <c r="UI135" s="17"/>
      <c r="UJ135" s="17"/>
      <c r="UK135" s="17"/>
      <c r="UL135" s="17"/>
      <c r="UM135" s="17"/>
      <c r="UN135" s="17"/>
      <c r="UO135" s="17"/>
      <c r="UP135" s="17"/>
      <c r="UQ135" s="17"/>
      <c r="UR135" s="17"/>
      <c r="US135" s="17"/>
      <c r="UT135" s="17"/>
      <c r="UU135" s="17"/>
      <c r="UV135" s="17"/>
      <c r="UW135" s="17"/>
      <c r="UX135" s="17"/>
      <c r="UY135" s="17"/>
      <c r="UZ135" s="17"/>
      <c r="VA135" s="17"/>
      <c r="VB135" s="17"/>
      <c r="VC135" s="17"/>
      <c r="VD135" s="17"/>
      <c r="VE135" s="17"/>
      <c r="VF135" s="17"/>
      <c r="VG135" s="17"/>
      <c r="VH135" s="17"/>
      <c r="VI135" s="17"/>
      <c r="VJ135" s="17"/>
      <c r="VK135" s="17"/>
      <c r="VL135" s="17"/>
      <c r="VM135" s="17"/>
      <c r="VN135" s="17"/>
      <c r="VO135" s="17"/>
      <c r="VP135" s="17"/>
      <c r="VQ135" s="17"/>
      <c r="VR135" s="17"/>
      <c r="VS135" s="17"/>
      <c r="VT135" s="17"/>
      <c r="VU135" s="17"/>
      <c r="VV135" s="17"/>
      <c r="VW135" s="17"/>
      <c r="VX135" s="17"/>
      <c r="VY135" s="17"/>
      <c r="VZ135" s="17"/>
      <c r="WA135" s="17"/>
      <c r="WB135" s="17"/>
      <c r="WC135" s="17"/>
      <c r="WD135" s="17"/>
      <c r="WE135" s="17"/>
      <c r="WF135" s="17"/>
      <c r="WG135" s="17"/>
      <c r="WH135" s="17"/>
      <c r="WI135" s="17"/>
      <c r="WJ135" s="17"/>
      <c r="WK135" s="17"/>
      <c r="WL135" s="17"/>
      <c r="WM135" s="17"/>
      <c r="WN135" s="17"/>
      <c r="WO135" s="17"/>
      <c r="WP135" s="17"/>
      <c r="WQ135" s="17"/>
      <c r="WR135" s="17"/>
      <c r="WS135" s="17"/>
      <c r="WT135" s="17"/>
      <c r="WU135" s="17"/>
      <c r="WV135" s="17"/>
      <c r="WW135" s="17"/>
      <c r="WX135" s="17"/>
      <c r="WY135" s="17"/>
      <c r="WZ135" s="17"/>
      <c r="XA135" s="17"/>
      <c r="XB135" s="17"/>
      <c r="XC135" s="17"/>
      <c r="XD135" s="17"/>
      <c r="XE135" s="17"/>
      <c r="XF135" s="17"/>
      <c r="XG135" s="17"/>
      <c r="XH135" s="17"/>
      <c r="XI135" s="17"/>
      <c r="XJ135" s="17"/>
      <c r="XK135" s="17"/>
      <c r="XL135" s="17"/>
      <c r="XM135" s="17"/>
      <c r="XN135" s="17"/>
      <c r="XO135" s="17"/>
      <c r="XP135" s="17"/>
      <c r="XQ135" s="17"/>
      <c r="XR135" s="17"/>
      <c r="XS135" s="17"/>
      <c r="XT135" s="17"/>
      <c r="XU135" s="17"/>
      <c r="XV135" s="17"/>
      <c r="XW135" s="17"/>
      <c r="XX135" s="17"/>
      <c r="XY135" s="17"/>
      <c r="XZ135" s="17"/>
      <c r="YA135" s="17"/>
      <c r="YB135" s="17"/>
      <c r="YC135" s="17"/>
      <c r="YD135" s="17"/>
      <c r="YE135" s="17"/>
      <c r="YF135" s="17"/>
      <c r="YG135" s="17"/>
      <c r="YH135" s="17"/>
      <c r="YI135" s="17"/>
      <c r="YJ135" s="17"/>
      <c r="YK135" s="17"/>
      <c r="YL135" s="17"/>
      <c r="YM135" s="17"/>
      <c r="YN135" s="17"/>
      <c r="YO135" s="17"/>
      <c r="YP135" s="17"/>
      <c r="YQ135" s="17"/>
      <c r="YR135" s="17"/>
      <c r="YS135" s="17"/>
    </row>
    <row r="136" spans="266:669" x14ac:dyDescent="0.25">
      <c r="JF136" s="17"/>
      <c r="JG136" s="17"/>
      <c r="JH136" s="17"/>
      <c r="JI136" s="17"/>
      <c r="JJ136" s="17"/>
      <c r="JK136" s="17"/>
      <c r="JL136" s="17"/>
      <c r="JM136" s="17"/>
      <c r="JN136" s="17"/>
      <c r="JO136" s="17"/>
      <c r="JP136" s="17"/>
      <c r="JQ136" s="17"/>
      <c r="JR136" s="17"/>
      <c r="JS136" s="17"/>
      <c r="JT136" s="17"/>
      <c r="JU136" s="17"/>
      <c r="JV136" s="17"/>
      <c r="JW136" s="17"/>
      <c r="JX136" s="17"/>
      <c r="JY136" s="17"/>
      <c r="JZ136" s="17"/>
      <c r="KA136" s="17"/>
      <c r="KB136" s="17"/>
      <c r="KC136" s="17"/>
      <c r="KD136" s="17"/>
      <c r="KE136" s="17"/>
      <c r="KF136" s="17"/>
      <c r="KG136" s="17"/>
      <c r="KH136" s="17"/>
      <c r="KI136" s="17"/>
      <c r="KJ136" s="17"/>
      <c r="KK136" s="17"/>
      <c r="KL136" s="17"/>
      <c r="KM136" s="17"/>
      <c r="KN136" s="17"/>
      <c r="KO136" s="17"/>
      <c r="KP136" s="17"/>
      <c r="KQ136" s="17"/>
      <c r="KR136" s="17"/>
      <c r="KS136" s="17"/>
      <c r="KT136" s="17"/>
      <c r="KU136" s="17"/>
      <c r="KV136" s="17"/>
      <c r="KW136" s="17"/>
      <c r="KX136" s="17"/>
      <c r="KY136" s="17"/>
      <c r="KZ136" s="17"/>
      <c r="LA136" s="17"/>
      <c r="LB136" s="17"/>
      <c r="LC136" s="17"/>
      <c r="LD136" s="17"/>
      <c r="LE136" s="17"/>
      <c r="LF136" s="17"/>
      <c r="LG136" s="17"/>
      <c r="LH136" s="17"/>
      <c r="LI136" s="17"/>
      <c r="LJ136" s="17"/>
      <c r="LK136" s="17"/>
      <c r="LL136" s="17"/>
      <c r="LM136" s="17"/>
      <c r="LN136" s="17"/>
      <c r="LO136" s="17"/>
      <c r="LP136" s="17"/>
      <c r="LQ136" s="17"/>
      <c r="LR136" s="17"/>
      <c r="LS136" s="17"/>
      <c r="LT136" s="17"/>
      <c r="LU136" s="17"/>
      <c r="LV136" s="17"/>
      <c r="LW136" s="17"/>
      <c r="LX136" s="17"/>
      <c r="LY136" s="17"/>
      <c r="LZ136" s="17"/>
      <c r="MA136" s="17"/>
      <c r="MB136" s="17"/>
      <c r="MC136" s="17"/>
      <c r="MD136" s="17"/>
      <c r="ME136" s="17"/>
      <c r="MF136" s="17"/>
      <c r="MG136" s="17"/>
      <c r="MH136" s="17"/>
      <c r="MI136" s="17"/>
      <c r="MJ136" s="17"/>
      <c r="MK136" s="17"/>
      <c r="ML136" s="17"/>
      <c r="MM136" s="17"/>
      <c r="MN136" s="17"/>
      <c r="MO136" s="17"/>
      <c r="MP136" s="17"/>
      <c r="MQ136" s="17"/>
      <c r="MR136" s="17"/>
      <c r="MS136" s="17"/>
      <c r="MT136" s="17"/>
      <c r="MU136" s="17"/>
      <c r="MV136" s="17"/>
      <c r="MW136" s="17"/>
      <c r="MX136" s="17"/>
      <c r="MY136" s="17"/>
      <c r="MZ136" s="17"/>
      <c r="NA136" s="17"/>
      <c r="NB136" s="17"/>
      <c r="NC136" s="17"/>
      <c r="ND136" s="17"/>
      <c r="NE136" s="17"/>
      <c r="NF136" s="17"/>
      <c r="NG136" s="17"/>
      <c r="NH136" s="17"/>
      <c r="NI136" s="17"/>
      <c r="NJ136" s="17"/>
      <c r="NK136" s="17"/>
      <c r="NL136" s="17"/>
      <c r="NM136" s="17"/>
      <c r="NN136" s="17"/>
      <c r="NO136" s="17"/>
      <c r="NP136" s="17"/>
      <c r="NQ136" s="17"/>
      <c r="NR136" s="17"/>
      <c r="NS136" s="17"/>
      <c r="NT136" s="17"/>
      <c r="NU136" s="17"/>
      <c r="NV136" s="17"/>
      <c r="NW136" s="17"/>
      <c r="NX136" s="17"/>
      <c r="NY136" s="17"/>
      <c r="NZ136" s="17"/>
      <c r="OA136" s="17"/>
      <c r="OB136" s="17"/>
      <c r="OC136" s="17"/>
      <c r="OD136" s="17"/>
      <c r="OE136" s="17"/>
      <c r="OF136" s="17"/>
      <c r="OG136" s="17"/>
      <c r="OH136" s="17"/>
      <c r="OI136" s="17"/>
      <c r="OJ136" s="17"/>
      <c r="OK136" s="17"/>
      <c r="OL136" s="17"/>
      <c r="OM136" s="17"/>
      <c r="ON136" s="17"/>
      <c r="OO136" s="17"/>
      <c r="OP136" s="17"/>
      <c r="OQ136" s="17"/>
      <c r="OR136" s="17"/>
      <c r="OS136" s="17"/>
      <c r="OT136" s="17"/>
      <c r="OU136" s="17"/>
      <c r="OV136" s="17"/>
      <c r="OW136" s="17"/>
      <c r="OX136" s="17"/>
      <c r="OY136" s="17"/>
      <c r="OZ136" s="17"/>
      <c r="PA136" s="17"/>
      <c r="PB136" s="17"/>
      <c r="PC136" s="17"/>
      <c r="PD136" s="17"/>
      <c r="PE136" s="17"/>
      <c r="PF136" s="17"/>
      <c r="PG136" s="17"/>
      <c r="PH136" s="17"/>
      <c r="PI136" s="17"/>
      <c r="PJ136" s="17"/>
      <c r="PK136" s="17"/>
      <c r="PL136" s="17"/>
      <c r="PM136" s="17"/>
      <c r="PN136" s="17"/>
      <c r="PO136" s="17"/>
      <c r="PP136" s="17"/>
      <c r="PQ136" s="17"/>
      <c r="PR136" s="17"/>
      <c r="PS136" s="17"/>
      <c r="PT136" s="17"/>
      <c r="PU136" s="17"/>
      <c r="PV136" s="17"/>
      <c r="PW136" s="17"/>
      <c r="PX136" s="17"/>
      <c r="PY136" s="17"/>
      <c r="PZ136" s="17"/>
      <c r="QA136" s="17"/>
      <c r="QB136" s="17"/>
      <c r="QC136" s="17"/>
      <c r="QD136" s="17"/>
      <c r="QE136" s="17"/>
      <c r="QF136" s="17"/>
      <c r="QG136" s="17"/>
      <c r="QH136" s="17"/>
      <c r="QI136" s="17"/>
      <c r="QJ136" s="17"/>
      <c r="QK136" s="17"/>
      <c r="QL136" s="17"/>
      <c r="QM136" s="17"/>
      <c r="QN136" s="17"/>
      <c r="QO136" s="17"/>
      <c r="QP136" s="17"/>
      <c r="QQ136" s="17"/>
      <c r="QR136" s="17"/>
      <c r="QS136" s="17"/>
      <c r="QT136" s="17"/>
      <c r="QU136" s="17"/>
      <c r="QV136" s="17"/>
      <c r="QW136" s="17"/>
      <c r="QX136" s="17"/>
      <c r="QY136" s="17"/>
      <c r="QZ136" s="17"/>
      <c r="RA136" s="17"/>
      <c r="RB136" s="17"/>
      <c r="RC136" s="17"/>
      <c r="RD136" s="17"/>
      <c r="RE136" s="17"/>
      <c r="RF136" s="17"/>
      <c r="RG136" s="17"/>
      <c r="RH136" s="17"/>
      <c r="RI136" s="17"/>
      <c r="RJ136" s="17"/>
      <c r="RK136" s="17"/>
      <c r="RL136" s="17"/>
      <c r="RM136" s="17"/>
      <c r="RN136" s="17"/>
      <c r="RO136" s="17"/>
      <c r="RP136" s="17"/>
      <c r="RQ136" s="17"/>
      <c r="RR136" s="17"/>
      <c r="RS136" s="17"/>
      <c r="RT136" s="17"/>
      <c r="RU136" s="17"/>
      <c r="RV136" s="17"/>
      <c r="RW136" s="17"/>
      <c r="RX136" s="17"/>
      <c r="RY136" s="17"/>
      <c r="RZ136" s="17"/>
      <c r="SA136" s="17"/>
      <c r="SB136" s="17"/>
      <c r="SC136" s="17"/>
      <c r="SD136" s="17"/>
      <c r="SE136" s="17"/>
      <c r="SF136" s="17"/>
      <c r="SG136" s="17"/>
      <c r="SH136" s="17"/>
      <c r="SI136" s="17"/>
      <c r="SJ136" s="17"/>
      <c r="SK136" s="17"/>
      <c r="SL136" s="17"/>
      <c r="SM136" s="17"/>
      <c r="SN136" s="17"/>
      <c r="SO136" s="17"/>
      <c r="SP136" s="17"/>
      <c r="SQ136" s="17"/>
      <c r="SR136" s="17"/>
      <c r="SS136" s="17"/>
      <c r="ST136" s="17"/>
      <c r="SU136" s="17"/>
      <c r="SV136" s="17"/>
      <c r="SW136" s="17"/>
      <c r="SX136" s="17"/>
      <c r="SY136" s="17"/>
      <c r="SZ136" s="17"/>
      <c r="TA136" s="17"/>
      <c r="TB136" s="17"/>
      <c r="TC136" s="17"/>
      <c r="TD136" s="17"/>
      <c r="TE136" s="17"/>
      <c r="TF136" s="17"/>
      <c r="TG136" s="17"/>
      <c r="TH136" s="17"/>
      <c r="TI136" s="17"/>
      <c r="TJ136" s="17"/>
      <c r="TK136" s="17"/>
      <c r="TL136" s="17"/>
      <c r="TM136" s="17"/>
      <c r="TN136" s="17"/>
      <c r="TO136" s="17"/>
      <c r="TP136" s="17"/>
      <c r="TQ136" s="17"/>
      <c r="TR136" s="17"/>
      <c r="TS136" s="17"/>
      <c r="TT136" s="17"/>
      <c r="TU136" s="17"/>
      <c r="TV136" s="17"/>
      <c r="TW136" s="17"/>
      <c r="TX136" s="17"/>
      <c r="TY136" s="17"/>
      <c r="TZ136" s="17"/>
      <c r="UA136" s="17"/>
      <c r="UB136" s="17"/>
      <c r="UC136" s="17"/>
      <c r="UD136" s="17"/>
      <c r="UE136" s="17"/>
      <c r="UF136" s="17"/>
      <c r="UG136" s="17"/>
      <c r="UH136" s="17"/>
      <c r="UI136" s="17"/>
      <c r="UJ136" s="17"/>
      <c r="UK136" s="17"/>
      <c r="UL136" s="17"/>
      <c r="UM136" s="17"/>
      <c r="UN136" s="17"/>
      <c r="UO136" s="17"/>
      <c r="UP136" s="17"/>
      <c r="UQ136" s="17"/>
      <c r="UR136" s="17"/>
      <c r="US136" s="17"/>
      <c r="UT136" s="17"/>
      <c r="UU136" s="17"/>
      <c r="UV136" s="17"/>
      <c r="UW136" s="17"/>
      <c r="UX136" s="17"/>
      <c r="UY136" s="17"/>
      <c r="UZ136" s="17"/>
      <c r="VA136" s="17"/>
      <c r="VB136" s="17"/>
      <c r="VC136" s="17"/>
      <c r="VD136" s="17"/>
      <c r="VE136" s="17"/>
      <c r="VF136" s="17"/>
      <c r="VG136" s="17"/>
      <c r="VH136" s="17"/>
      <c r="VI136" s="17"/>
      <c r="VJ136" s="17"/>
      <c r="VK136" s="17"/>
      <c r="VL136" s="17"/>
      <c r="VM136" s="17"/>
      <c r="VN136" s="17"/>
      <c r="VO136" s="17"/>
      <c r="VP136" s="17"/>
      <c r="VQ136" s="17"/>
      <c r="VR136" s="17"/>
      <c r="VS136" s="17"/>
      <c r="VT136" s="17"/>
      <c r="VU136" s="17"/>
      <c r="VV136" s="17"/>
      <c r="VW136" s="17"/>
      <c r="VX136" s="17"/>
      <c r="VY136" s="17"/>
      <c r="VZ136" s="17"/>
      <c r="WA136" s="17"/>
      <c r="WB136" s="17"/>
      <c r="WC136" s="17"/>
      <c r="WD136" s="17"/>
      <c r="WE136" s="17"/>
      <c r="WF136" s="17"/>
      <c r="WG136" s="17"/>
      <c r="WH136" s="17"/>
      <c r="WI136" s="17"/>
      <c r="WJ136" s="17"/>
      <c r="WK136" s="17"/>
      <c r="WL136" s="17"/>
      <c r="WM136" s="17"/>
      <c r="WN136" s="17"/>
      <c r="WO136" s="17"/>
      <c r="WP136" s="17"/>
      <c r="WQ136" s="17"/>
      <c r="WR136" s="17"/>
      <c r="WS136" s="17"/>
      <c r="WT136" s="17"/>
      <c r="WU136" s="17"/>
      <c r="WV136" s="17"/>
      <c r="WW136" s="17"/>
      <c r="WX136" s="17"/>
      <c r="WY136" s="17"/>
      <c r="WZ136" s="17"/>
      <c r="XA136" s="17"/>
      <c r="XB136" s="17"/>
      <c r="XC136" s="17"/>
      <c r="XD136" s="17"/>
      <c r="XE136" s="17"/>
      <c r="XF136" s="17"/>
      <c r="XG136" s="17"/>
      <c r="XH136" s="17"/>
      <c r="XI136" s="17"/>
      <c r="XJ136" s="17"/>
      <c r="XK136" s="17"/>
      <c r="XL136" s="17"/>
      <c r="XM136" s="17"/>
      <c r="XN136" s="17"/>
      <c r="XO136" s="17"/>
      <c r="XP136" s="17"/>
      <c r="XQ136" s="17"/>
      <c r="XR136" s="17"/>
      <c r="XS136" s="17"/>
      <c r="XT136" s="17"/>
      <c r="XU136" s="17"/>
      <c r="XV136" s="17"/>
      <c r="XW136" s="17"/>
      <c r="XX136" s="17"/>
      <c r="XY136" s="17"/>
      <c r="XZ136" s="17"/>
      <c r="YA136" s="17"/>
      <c r="YB136" s="17"/>
      <c r="YC136" s="17"/>
      <c r="YD136" s="17"/>
      <c r="YE136" s="17"/>
      <c r="YF136" s="17"/>
      <c r="YG136" s="17"/>
      <c r="YH136" s="17"/>
      <c r="YI136" s="17"/>
      <c r="YJ136" s="17"/>
      <c r="YK136" s="17"/>
      <c r="YL136" s="17"/>
      <c r="YM136" s="17"/>
      <c r="YN136" s="17"/>
      <c r="YO136" s="17"/>
      <c r="YP136" s="17"/>
      <c r="YQ136" s="17"/>
      <c r="YR136" s="17"/>
      <c r="YS136" s="17"/>
    </row>
    <row r="137" spans="266:669" x14ac:dyDescent="0.25">
      <c r="JF137" s="17"/>
      <c r="JG137" s="17"/>
      <c r="JH137" s="17"/>
      <c r="JI137" s="17"/>
      <c r="JJ137" s="17"/>
      <c r="JK137" s="17"/>
      <c r="JL137" s="17"/>
      <c r="JM137" s="17"/>
      <c r="JN137" s="17"/>
      <c r="JO137" s="17"/>
      <c r="JP137" s="17"/>
      <c r="JQ137" s="17"/>
      <c r="JR137" s="17"/>
      <c r="JS137" s="17"/>
      <c r="JT137" s="17"/>
      <c r="JU137" s="17"/>
      <c r="JV137" s="17"/>
      <c r="JW137" s="17"/>
      <c r="JX137" s="17"/>
      <c r="JY137" s="17"/>
      <c r="JZ137" s="17"/>
      <c r="KA137" s="17"/>
      <c r="KB137" s="17"/>
      <c r="KC137" s="17"/>
      <c r="KD137" s="17"/>
      <c r="KE137" s="17"/>
      <c r="KF137" s="17"/>
      <c r="KG137" s="17"/>
      <c r="KH137" s="17"/>
      <c r="KI137" s="17"/>
      <c r="KJ137" s="17"/>
      <c r="KK137" s="17"/>
      <c r="KL137" s="17"/>
      <c r="KM137" s="17"/>
      <c r="KN137" s="17"/>
      <c r="KO137" s="17"/>
      <c r="KP137" s="17"/>
      <c r="KQ137" s="17"/>
      <c r="KR137" s="17"/>
      <c r="KS137" s="17"/>
      <c r="KT137" s="17"/>
      <c r="KU137" s="17"/>
      <c r="KV137" s="17"/>
      <c r="KW137" s="17"/>
      <c r="KX137" s="17"/>
      <c r="KY137" s="17"/>
      <c r="KZ137" s="17"/>
      <c r="LA137" s="17"/>
      <c r="LB137" s="17"/>
      <c r="LC137" s="17"/>
      <c r="LD137" s="17"/>
      <c r="LE137" s="17"/>
      <c r="LF137" s="17"/>
      <c r="LG137" s="17"/>
      <c r="LH137" s="17"/>
      <c r="LI137" s="17"/>
      <c r="LJ137" s="17"/>
      <c r="LK137" s="17"/>
      <c r="LL137" s="17"/>
      <c r="LM137" s="17"/>
      <c r="LN137" s="17"/>
      <c r="LO137" s="17"/>
      <c r="LP137" s="17"/>
      <c r="LQ137" s="17"/>
      <c r="LR137" s="17"/>
      <c r="LS137" s="17"/>
      <c r="LT137" s="17"/>
      <c r="LU137" s="17"/>
      <c r="LV137" s="17"/>
      <c r="LW137" s="17"/>
      <c r="LX137" s="17"/>
      <c r="LY137" s="17"/>
      <c r="LZ137" s="17"/>
      <c r="MA137" s="17"/>
      <c r="MB137" s="17"/>
      <c r="MC137" s="17"/>
      <c r="MD137" s="17"/>
      <c r="ME137" s="17"/>
      <c r="MF137" s="17"/>
      <c r="MG137" s="17"/>
      <c r="MH137" s="17"/>
      <c r="MI137" s="17"/>
      <c r="MJ137" s="17"/>
      <c r="MK137" s="17"/>
      <c r="ML137" s="17"/>
      <c r="MM137" s="17"/>
      <c r="MN137" s="17"/>
      <c r="MO137" s="17"/>
      <c r="MP137" s="17"/>
      <c r="MQ137" s="17"/>
      <c r="MR137" s="17"/>
      <c r="MS137" s="17"/>
      <c r="MT137" s="17"/>
      <c r="MU137" s="17"/>
      <c r="MV137" s="17"/>
      <c r="MW137" s="17"/>
      <c r="MX137" s="17"/>
      <c r="MY137" s="17"/>
      <c r="MZ137" s="17"/>
      <c r="NA137" s="17"/>
      <c r="NB137" s="17"/>
      <c r="NC137" s="17"/>
      <c r="ND137" s="17"/>
      <c r="NE137" s="17"/>
      <c r="NF137" s="17"/>
      <c r="NG137" s="17"/>
      <c r="NH137" s="17"/>
      <c r="NI137" s="17"/>
      <c r="NJ137" s="17"/>
      <c r="NK137" s="17"/>
      <c r="NL137" s="17"/>
      <c r="NM137" s="17"/>
      <c r="NN137" s="17"/>
      <c r="NO137" s="17"/>
      <c r="NP137" s="17"/>
      <c r="NQ137" s="17"/>
      <c r="NR137" s="17"/>
      <c r="NS137" s="17"/>
      <c r="NT137" s="17"/>
      <c r="NU137" s="17"/>
      <c r="NV137" s="17"/>
      <c r="NW137" s="17"/>
      <c r="NX137" s="17"/>
      <c r="NY137" s="17"/>
      <c r="NZ137" s="17"/>
      <c r="OA137" s="17"/>
      <c r="OB137" s="17"/>
      <c r="OC137" s="17"/>
      <c r="OD137" s="17"/>
      <c r="OE137" s="17"/>
      <c r="OF137" s="17"/>
      <c r="OG137" s="17"/>
      <c r="OH137" s="17"/>
      <c r="OI137" s="17"/>
      <c r="OJ137" s="17"/>
      <c r="OK137" s="17"/>
      <c r="OL137" s="17"/>
      <c r="OM137" s="17"/>
      <c r="ON137" s="17"/>
      <c r="OO137" s="17"/>
      <c r="OP137" s="17"/>
      <c r="OQ137" s="17"/>
      <c r="OR137" s="17"/>
      <c r="OS137" s="17"/>
      <c r="OT137" s="17"/>
      <c r="OU137" s="17"/>
      <c r="OV137" s="17"/>
      <c r="OW137" s="17"/>
      <c r="OX137" s="17"/>
      <c r="OY137" s="17"/>
      <c r="OZ137" s="17"/>
      <c r="PA137" s="17"/>
      <c r="PB137" s="17"/>
      <c r="PC137" s="17"/>
      <c r="PD137" s="17"/>
      <c r="PE137" s="17"/>
      <c r="PF137" s="17"/>
      <c r="PG137" s="17"/>
      <c r="PH137" s="17"/>
      <c r="PI137" s="17"/>
      <c r="PJ137" s="17"/>
      <c r="PK137" s="17"/>
      <c r="PL137" s="17"/>
      <c r="PM137" s="17"/>
      <c r="PN137" s="17"/>
      <c r="PO137" s="17"/>
      <c r="PP137" s="17"/>
      <c r="PQ137" s="17"/>
      <c r="PR137" s="17"/>
      <c r="PS137" s="17"/>
      <c r="PT137" s="17"/>
      <c r="PU137" s="17"/>
      <c r="PV137" s="17"/>
      <c r="PW137" s="17"/>
      <c r="PX137" s="17"/>
      <c r="PY137" s="17"/>
      <c r="PZ137" s="17"/>
      <c r="QA137" s="17"/>
      <c r="QB137" s="17"/>
      <c r="QC137" s="17"/>
      <c r="QD137" s="17"/>
      <c r="QE137" s="17"/>
      <c r="QF137" s="17"/>
      <c r="QG137" s="17"/>
      <c r="QH137" s="17"/>
      <c r="QI137" s="17"/>
      <c r="QJ137" s="17"/>
      <c r="QK137" s="17"/>
      <c r="QL137" s="17"/>
      <c r="QM137" s="17"/>
      <c r="QN137" s="17"/>
      <c r="QO137" s="17"/>
      <c r="QP137" s="17"/>
      <c r="QQ137" s="17"/>
      <c r="QR137" s="17"/>
      <c r="QS137" s="17"/>
      <c r="QT137" s="17"/>
      <c r="QU137" s="17"/>
      <c r="QV137" s="17"/>
      <c r="QW137" s="17"/>
      <c r="QX137" s="17"/>
      <c r="QY137" s="17"/>
      <c r="QZ137" s="17"/>
      <c r="RA137" s="17"/>
      <c r="RB137" s="17"/>
      <c r="RC137" s="17"/>
      <c r="RD137" s="17"/>
      <c r="RE137" s="17"/>
      <c r="RF137" s="17"/>
      <c r="RG137" s="17"/>
      <c r="RH137" s="17"/>
      <c r="RI137" s="17"/>
      <c r="RJ137" s="17"/>
      <c r="RK137" s="17"/>
      <c r="RL137" s="17"/>
      <c r="RM137" s="17"/>
      <c r="RN137" s="17"/>
      <c r="RO137" s="17"/>
      <c r="RP137" s="17"/>
      <c r="RQ137" s="17"/>
      <c r="RR137" s="17"/>
      <c r="RS137" s="17"/>
      <c r="RT137" s="17"/>
      <c r="RU137" s="17"/>
      <c r="RV137" s="17"/>
      <c r="RW137" s="17"/>
      <c r="RX137" s="17"/>
      <c r="RY137" s="17"/>
      <c r="RZ137" s="17"/>
      <c r="SA137" s="17"/>
      <c r="SB137" s="17"/>
      <c r="SC137" s="17"/>
      <c r="SD137" s="17"/>
      <c r="SE137" s="17"/>
      <c r="SF137" s="17"/>
      <c r="SG137" s="17"/>
      <c r="SH137" s="17"/>
      <c r="SI137" s="17"/>
      <c r="SJ137" s="17"/>
      <c r="SK137" s="17"/>
      <c r="SL137" s="17"/>
      <c r="SM137" s="17"/>
      <c r="SN137" s="17"/>
      <c r="SO137" s="17"/>
      <c r="SP137" s="17"/>
      <c r="SQ137" s="17"/>
      <c r="SR137" s="17"/>
      <c r="SS137" s="17"/>
      <c r="ST137" s="17"/>
      <c r="SU137" s="17"/>
      <c r="SV137" s="17"/>
      <c r="SW137" s="17"/>
      <c r="SX137" s="17"/>
      <c r="SY137" s="17"/>
      <c r="SZ137" s="17"/>
      <c r="TA137" s="17"/>
      <c r="TB137" s="17"/>
      <c r="TC137" s="17"/>
      <c r="TD137" s="17"/>
      <c r="TE137" s="17"/>
      <c r="TF137" s="17"/>
      <c r="TG137" s="17"/>
      <c r="TH137" s="17"/>
      <c r="TI137" s="17"/>
      <c r="TJ137" s="17"/>
      <c r="TK137" s="17"/>
      <c r="TL137" s="17"/>
      <c r="TM137" s="17"/>
      <c r="TN137" s="17"/>
      <c r="TO137" s="17"/>
      <c r="TP137" s="17"/>
      <c r="TQ137" s="17"/>
      <c r="TR137" s="17"/>
      <c r="TS137" s="17"/>
      <c r="TT137" s="17"/>
      <c r="TU137" s="17"/>
      <c r="TV137" s="17"/>
      <c r="TW137" s="17"/>
      <c r="TX137" s="17"/>
      <c r="TY137" s="17"/>
      <c r="TZ137" s="17"/>
      <c r="UA137" s="17"/>
      <c r="UB137" s="17"/>
      <c r="UC137" s="17"/>
      <c r="UD137" s="17"/>
      <c r="UE137" s="17"/>
      <c r="UF137" s="17"/>
      <c r="UG137" s="17"/>
      <c r="UH137" s="17"/>
      <c r="UI137" s="17"/>
      <c r="UJ137" s="17"/>
      <c r="UK137" s="17"/>
      <c r="UL137" s="17"/>
      <c r="UM137" s="17"/>
      <c r="UN137" s="17"/>
      <c r="UO137" s="17"/>
      <c r="UP137" s="17"/>
      <c r="UQ137" s="17"/>
      <c r="UR137" s="17"/>
      <c r="US137" s="17"/>
      <c r="UT137" s="17"/>
      <c r="UU137" s="17"/>
      <c r="UV137" s="17"/>
      <c r="UW137" s="17"/>
      <c r="UX137" s="17"/>
      <c r="UY137" s="17"/>
      <c r="UZ137" s="17"/>
      <c r="VA137" s="17"/>
      <c r="VB137" s="17"/>
      <c r="VC137" s="17"/>
      <c r="VD137" s="17"/>
      <c r="VE137" s="17"/>
      <c r="VF137" s="17"/>
      <c r="VG137" s="17"/>
      <c r="VH137" s="17"/>
      <c r="VI137" s="17"/>
      <c r="VJ137" s="17"/>
      <c r="VK137" s="17"/>
      <c r="VL137" s="17"/>
      <c r="VM137" s="17"/>
      <c r="VN137" s="17"/>
      <c r="VO137" s="17"/>
      <c r="VP137" s="17"/>
      <c r="VQ137" s="17"/>
      <c r="VR137" s="17"/>
      <c r="VS137" s="17"/>
      <c r="VT137" s="17"/>
      <c r="VU137" s="17"/>
      <c r="VV137" s="17"/>
      <c r="VW137" s="17"/>
      <c r="VX137" s="17"/>
      <c r="VY137" s="17"/>
      <c r="VZ137" s="17"/>
      <c r="WA137" s="17"/>
      <c r="WB137" s="17"/>
      <c r="WC137" s="17"/>
      <c r="WD137" s="17"/>
      <c r="WE137" s="17"/>
      <c r="WF137" s="17"/>
      <c r="WG137" s="17"/>
      <c r="WH137" s="17"/>
      <c r="WI137" s="17"/>
      <c r="WJ137" s="17"/>
      <c r="WK137" s="17"/>
      <c r="WL137" s="17"/>
      <c r="WM137" s="17"/>
      <c r="WN137" s="17"/>
      <c r="WO137" s="17"/>
      <c r="WP137" s="17"/>
      <c r="WQ137" s="17"/>
      <c r="WR137" s="17"/>
      <c r="WS137" s="17"/>
      <c r="WT137" s="17"/>
      <c r="WU137" s="17"/>
      <c r="WV137" s="17"/>
      <c r="WW137" s="17"/>
      <c r="WX137" s="17"/>
      <c r="WY137" s="17"/>
      <c r="WZ137" s="17"/>
      <c r="XA137" s="17"/>
      <c r="XB137" s="17"/>
      <c r="XC137" s="17"/>
      <c r="XD137" s="17"/>
      <c r="XE137" s="17"/>
      <c r="XF137" s="17"/>
      <c r="XG137" s="17"/>
      <c r="XH137" s="17"/>
      <c r="XI137" s="17"/>
      <c r="XJ137" s="17"/>
      <c r="XK137" s="17"/>
      <c r="XL137" s="17"/>
      <c r="XM137" s="17"/>
      <c r="XN137" s="17"/>
      <c r="XO137" s="17"/>
      <c r="XP137" s="17"/>
      <c r="XQ137" s="17"/>
      <c r="XR137" s="17"/>
      <c r="XS137" s="17"/>
      <c r="XT137" s="17"/>
      <c r="XU137" s="17"/>
      <c r="XV137" s="17"/>
      <c r="XW137" s="17"/>
      <c r="XX137" s="17"/>
      <c r="XY137" s="17"/>
      <c r="XZ137" s="17"/>
      <c r="YA137" s="17"/>
      <c r="YB137" s="17"/>
      <c r="YC137" s="17"/>
      <c r="YD137" s="17"/>
      <c r="YE137" s="17"/>
      <c r="YF137" s="17"/>
      <c r="YG137" s="17"/>
      <c r="YH137" s="17"/>
      <c r="YI137" s="17"/>
      <c r="YJ137" s="17"/>
      <c r="YK137" s="17"/>
      <c r="YL137" s="17"/>
      <c r="YM137" s="17"/>
      <c r="YN137" s="17"/>
      <c r="YO137" s="17"/>
      <c r="YP137" s="17"/>
      <c r="YQ137" s="17"/>
      <c r="YR137" s="17"/>
      <c r="YS137" s="17"/>
    </row>
    <row r="138" spans="266:669" x14ac:dyDescent="0.25">
      <c r="JF138" s="17"/>
      <c r="JG138" s="17"/>
      <c r="JH138" s="17"/>
      <c r="JI138" s="17"/>
      <c r="JJ138" s="17"/>
      <c r="JK138" s="17"/>
      <c r="JL138" s="17"/>
      <c r="JM138" s="17"/>
      <c r="JN138" s="17"/>
      <c r="JO138" s="17"/>
      <c r="JP138" s="17"/>
      <c r="JQ138" s="17"/>
      <c r="JR138" s="17"/>
      <c r="JS138" s="17"/>
      <c r="JT138" s="17"/>
      <c r="JU138" s="17"/>
      <c r="JV138" s="17"/>
      <c r="JW138" s="17"/>
      <c r="JX138" s="17"/>
      <c r="JY138" s="17"/>
      <c r="JZ138" s="17"/>
      <c r="KA138" s="17"/>
      <c r="KB138" s="17"/>
      <c r="KC138" s="17"/>
      <c r="KD138" s="17"/>
      <c r="KE138" s="17"/>
      <c r="KF138" s="17"/>
      <c r="KG138" s="17"/>
      <c r="KH138" s="17"/>
      <c r="KI138" s="17"/>
      <c r="KJ138" s="17"/>
      <c r="KK138" s="17"/>
      <c r="KL138" s="17"/>
      <c r="KM138" s="17"/>
      <c r="KN138" s="17"/>
      <c r="KO138" s="17"/>
      <c r="KP138" s="17"/>
      <c r="KQ138" s="17"/>
      <c r="KR138" s="17"/>
      <c r="KS138" s="17"/>
      <c r="KT138" s="17"/>
      <c r="KU138" s="17"/>
      <c r="KV138" s="17"/>
      <c r="KW138" s="17"/>
      <c r="KX138" s="17"/>
      <c r="KY138" s="17"/>
      <c r="KZ138" s="17"/>
      <c r="LA138" s="17"/>
      <c r="LB138" s="17"/>
      <c r="LC138" s="17"/>
      <c r="LD138" s="17"/>
      <c r="LE138" s="17"/>
      <c r="LF138" s="17"/>
      <c r="LG138" s="17"/>
      <c r="LH138" s="17"/>
      <c r="LI138" s="17"/>
      <c r="LJ138" s="17"/>
      <c r="LK138" s="17"/>
      <c r="LL138" s="17"/>
      <c r="LM138" s="17"/>
      <c r="LN138" s="17"/>
      <c r="LO138" s="17"/>
      <c r="LP138" s="17"/>
      <c r="LQ138" s="17"/>
      <c r="LR138" s="17"/>
      <c r="LS138" s="17"/>
      <c r="LT138" s="17"/>
      <c r="LU138" s="17"/>
      <c r="LV138" s="17"/>
      <c r="LW138" s="17"/>
      <c r="LX138" s="17"/>
      <c r="LY138" s="17"/>
      <c r="LZ138" s="17"/>
      <c r="MA138" s="17"/>
      <c r="MB138" s="17"/>
      <c r="MC138" s="17"/>
      <c r="MD138" s="17"/>
      <c r="ME138" s="17"/>
      <c r="MF138" s="17"/>
      <c r="MG138" s="17"/>
      <c r="MH138" s="17"/>
      <c r="MI138" s="17"/>
      <c r="MJ138" s="17"/>
      <c r="MK138" s="17"/>
      <c r="ML138" s="17"/>
      <c r="MM138" s="17"/>
      <c r="MN138" s="17"/>
      <c r="MO138" s="17"/>
      <c r="MP138" s="17"/>
      <c r="MQ138" s="17"/>
      <c r="MR138" s="17"/>
      <c r="MS138" s="17"/>
      <c r="MT138" s="17"/>
      <c r="MU138" s="17"/>
      <c r="MV138" s="17"/>
      <c r="MW138" s="17"/>
      <c r="MX138" s="17"/>
      <c r="MY138" s="17"/>
      <c r="MZ138" s="17"/>
      <c r="NA138" s="17"/>
      <c r="NB138" s="17"/>
      <c r="NC138" s="17"/>
      <c r="ND138" s="17"/>
      <c r="NE138" s="17"/>
      <c r="NF138" s="17"/>
      <c r="NG138" s="17"/>
      <c r="NH138" s="17"/>
      <c r="NI138" s="17"/>
      <c r="NJ138" s="17"/>
      <c r="NK138" s="17"/>
      <c r="NL138" s="17"/>
      <c r="NM138" s="17"/>
      <c r="NN138" s="17"/>
      <c r="NO138" s="17"/>
      <c r="NP138" s="17"/>
      <c r="NQ138" s="17"/>
      <c r="NR138" s="17"/>
      <c r="NS138" s="17"/>
      <c r="NT138" s="17"/>
      <c r="NU138" s="17"/>
      <c r="NV138" s="17"/>
      <c r="NW138" s="17"/>
      <c r="NX138" s="17"/>
      <c r="NY138" s="17"/>
      <c r="NZ138" s="17"/>
      <c r="OA138" s="17"/>
      <c r="OB138" s="17"/>
      <c r="OC138" s="17"/>
      <c r="OD138" s="17"/>
      <c r="OE138" s="17"/>
      <c r="OF138" s="17"/>
      <c r="OG138" s="17"/>
      <c r="OH138" s="17"/>
      <c r="OI138" s="17"/>
      <c r="OJ138" s="17"/>
      <c r="OK138" s="17"/>
      <c r="OL138" s="17"/>
      <c r="OM138" s="17"/>
      <c r="ON138" s="17"/>
      <c r="OO138" s="17"/>
      <c r="OP138" s="17"/>
      <c r="OQ138" s="17"/>
      <c r="OR138" s="17"/>
      <c r="OS138" s="17"/>
      <c r="OT138" s="17"/>
      <c r="OU138" s="17"/>
      <c r="OV138" s="17"/>
      <c r="OW138" s="17"/>
      <c r="OX138" s="17"/>
      <c r="OY138" s="17"/>
      <c r="OZ138" s="17"/>
      <c r="PA138" s="17"/>
      <c r="PB138" s="17"/>
      <c r="PC138" s="17"/>
      <c r="PD138" s="17"/>
      <c r="PE138" s="17"/>
      <c r="PF138" s="17"/>
      <c r="PG138" s="17"/>
      <c r="PH138" s="17"/>
      <c r="PI138" s="17"/>
      <c r="PJ138" s="17"/>
      <c r="PK138" s="17"/>
      <c r="PL138" s="17"/>
      <c r="PM138" s="17"/>
      <c r="PN138" s="17"/>
      <c r="PO138" s="17"/>
      <c r="PP138" s="17"/>
      <c r="PQ138" s="17"/>
      <c r="PR138" s="17"/>
      <c r="PS138" s="17"/>
      <c r="PT138" s="17"/>
      <c r="PU138" s="17"/>
      <c r="PV138" s="17"/>
      <c r="PW138" s="17"/>
      <c r="PX138" s="17"/>
      <c r="PY138" s="17"/>
      <c r="PZ138" s="17"/>
      <c r="QA138" s="17"/>
      <c r="QB138" s="17"/>
      <c r="QC138" s="17"/>
      <c r="QD138" s="17"/>
      <c r="QE138" s="17"/>
      <c r="QF138" s="17"/>
      <c r="QG138" s="17"/>
      <c r="QH138" s="17"/>
      <c r="QI138" s="17"/>
      <c r="QJ138" s="17"/>
      <c r="QK138" s="17"/>
      <c r="QL138" s="17"/>
      <c r="QM138" s="17"/>
      <c r="QN138" s="17"/>
      <c r="QO138" s="17"/>
      <c r="QP138" s="17"/>
      <c r="QQ138" s="17"/>
      <c r="QR138" s="17"/>
      <c r="QS138" s="17"/>
      <c r="QT138" s="17"/>
      <c r="QU138" s="17"/>
      <c r="QV138" s="17"/>
      <c r="QW138" s="17"/>
      <c r="QX138" s="17"/>
      <c r="QY138" s="17"/>
      <c r="QZ138" s="17"/>
      <c r="RA138" s="17"/>
      <c r="RB138" s="17"/>
      <c r="RC138" s="17"/>
      <c r="RD138" s="17"/>
      <c r="RE138" s="17"/>
      <c r="RF138" s="17"/>
      <c r="RG138" s="17"/>
      <c r="RH138" s="17"/>
      <c r="RI138" s="17"/>
      <c r="RJ138" s="17"/>
      <c r="RK138" s="17"/>
      <c r="RL138" s="17"/>
      <c r="RM138" s="17"/>
      <c r="RN138" s="17"/>
      <c r="RO138" s="17"/>
      <c r="RP138" s="17"/>
      <c r="RQ138" s="17"/>
      <c r="RR138" s="17"/>
      <c r="RS138" s="17"/>
      <c r="RT138" s="17"/>
      <c r="RU138" s="17"/>
      <c r="RV138" s="17"/>
      <c r="RW138" s="17"/>
      <c r="RX138" s="17"/>
      <c r="RY138" s="17"/>
      <c r="RZ138" s="17"/>
      <c r="SA138" s="17"/>
      <c r="SB138" s="17"/>
      <c r="SC138" s="17"/>
      <c r="SD138" s="17"/>
      <c r="SE138" s="17"/>
      <c r="SF138" s="17"/>
      <c r="SG138" s="17"/>
      <c r="SH138" s="17"/>
      <c r="SI138" s="17"/>
      <c r="SJ138" s="17"/>
      <c r="SK138" s="17"/>
      <c r="SL138" s="17"/>
      <c r="SM138" s="17"/>
      <c r="SN138" s="17"/>
      <c r="SO138" s="17"/>
      <c r="SP138" s="17"/>
      <c r="SQ138" s="17"/>
      <c r="SR138" s="17"/>
      <c r="SS138" s="17"/>
      <c r="ST138" s="17"/>
      <c r="SU138" s="17"/>
      <c r="SV138" s="17"/>
      <c r="SW138" s="17"/>
      <c r="SX138" s="17"/>
      <c r="SY138" s="17"/>
      <c r="SZ138" s="17"/>
      <c r="TA138" s="17"/>
      <c r="TB138" s="17"/>
      <c r="TC138" s="17"/>
      <c r="TD138" s="17"/>
      <c r="TE138" s="17"/>
      <c r="TF138" s="17"/>
      <c r="TG138" s="17"/>
      <c r="TH138" s="17"/>
      <c r="TI138" s="17"/>
      <c r="TJ138" s="17"/>
      <c r="TK138" s="17"/>
      <c r="TL138" s="17"/>
      <c r="TM138" s="17"/>
      <c r="TN138" s="17"/>
      <c r="TO138" s="17"/>
      <c r="TP138" s="17"/>
      <c r="TQ138" s="17"/>
      <c r="TR138" s="17"/>
      <c r="TS138" s="17"/>
      <c r="TT138" s="17"/>
      <c r="TU138" s="17"/>
      <c r="TV138" s="17"/>
      <c r="TW138" s="17"/>
      <c r="TX138" s="17"/>
      <c r="TY138" s="17"/>
      <c r="TZ138" s="17"/>
      <c r="UA138" s="17"/>
      <c r="UB138" s="17"/>
      <c r="UC138" s="17"/>
      <c r="UD138" s="17"/>
      <c r="UE138" s="17"/>
      <c r="UF138" s="17"/>
      <c r="UG138" s="17"/>
      <c r="UH138" s="17"/>
      <c r="UI138" s="17"/>
      <c r="UJ138" s="17"/>
      <c r="UK138" s="17"/>
      <c r="UL138" s="17"/>
      <c r="UM138" s="17"/>
      <c r="UN138" s="17"/>
      <c r="UO138" s="17"/>
      <c r="UP138" s="17"/>
      <c r="UQ138" s="17"/>
      <c r="UR138" s="17"/>
      <c r="US138" s="17"/>
      <c r="UT138" s="17"/>
      <c r="UU138" s="17"/>
      <c r="UV138" s="17"/>
      <c r="UW138" s="17"/>
      <c r="UX138" s="17"/>
      <c r="UY138" s="17"/>
      <c r="UZ138" s="17"/>
      <c r="VA138" s="17"/>
      <c r="VB138" s="17"/>
      <c r="VC138" s="17"/>
      <c r="VD138" s="17"/>
      <c r="VE138" s="17"/>
      <c r="VF138" s="17"/>
      <c r="VG138" s="17"/>
      <c r="VH138" s="17"/>
      <c r="VI138" s="17"/>
      <c r="VJ138" s="17"/>
      <c r="VK138" s="17"/>
      <c r="VL138" s="17"/>
      <c r="VM138" s="17"/>
      <c r="VN138" s="17"/>
      <c r="VO138" s="17"/>
      <c r="VP138" s="17"/>
      <c r="VQ138" s="17"/>
      <c r="VR138" s="17"/>
      <c r="VS138" s="17"/>
      <c r="VT138" s="17"/>
      <c r="VU138" s="17"/>
      <c r="VV138" s="17"/>
      <c r="VW138" s="17"/>
      <c r="VX138" s="17"/>
      <c r="VY138" s="17"/>
      <c r="VZ138" s="17"/>
      <c r="WA138" s="17"/>
      <c r="WB138" s="17"/>
      <c r="WC138" s="17"/>
      <c r="WD138" s="17"/>
      <c r="WE138" s="17"/>
      <c r="WF138" s="17"/>
      <c r="WG138" s="17"/>
      <c r="WH138" s="17"/>
      <c r="WI138" s="17"/>
      <c r="WJ138" s="17"/>
      <c r="WK138" s="17"/>
      <c r="WL138" s="17"/>
      <c r="WM138" s="17"/>
      <c r="WN138" s="17"/>
      <c r="WO138" s="17"/>
      <c r="WP138" s="17"/>
      <c r="WQ138" s="17"/>
      <c r="WR138" s="17"/>
      <c r="WS138" s="17"/>
      <c r="WT138" s="17"/>
      <c r="WU138" s="17"/>
      <c r="WV138" s="17"/>
      <c r="WW138" s="17"/>
      <c r="WX138" s="17"/>
      <c r="WY138" s="17"/>
      <c r="WZ138" s="17"/>
      <c r="XA138" s="17"/>
      <c r="XB138" s="17"/>
      <c r="XC138" s="17"/>
      <c r="XD138" s="17"/>
      <c r="XE138" s="17"/>
      <c r="XF138" s="17"/>
      <c r="XG138" s="17"/>
      <c r="XH138" s="17"/>
      <c r="XI138" s="17"/>
      <c r="XJ138" s="17"/>
      <c r="XK138" s="17"/>
      <c r="XL138" s="17"/>
      <c r="XM138" s="17"/>
      <c r="XN138" s="17"/>
      <c r="XO138" s="17"/>
      <c r="XP138" s="17"/>
      <c r="XQ138" s="17"/>
      <c r="XR138" s="17"/>
      <c r="XS138" s="17"/>
      <c r="XT138" s="17"/>
      <c r="XU138" s="17"/>
      <c r="XV138" s="17"/>
      <c r="XW138" s="17"/>
      <c r="XX138" s="17"/>
      <c r="XY138" s="17"/>
      <c r="XZ138" s="17"/>
      <c r="YA138" s="17"/>
      <c r="YB138" s="17"/>
      <c r="YC138" s="17"/>
      <c r="YD138" s="17"/>
      <c r="YE138" s="17"/>
      <c r="YF138" s="17"/>
      <c r="YG138" s="17"/>
      <c r="YH138" s="17"/>
      <c r="YI138" s="17"/>
      <c r="YJ138" s="17"/>
      <c r="YK138" s="17"/>
      <c r="YL138" s="17"/>
      <c r="YM138" s="17"/>
      <c r="YN138" s="17"/>
      <c r="YO138" s="17"/>
      <c r="YP138" s="17"/>
      <c r="YQ138" s="17"/>
      <c r="YR138" s="17"/>
      <c r="YS138" s="17"/>
    </row>
    <row r="139" spans="266:669" x14ac:dyDescent="0.25">
      <c r="JF139" s="17"/>
      <c r="JG139" s="17"/>
      <c r="JH139" s="17"/>
      <c r="JI139" s="17"/>
      <c r="JJ139" s="17"/>
      <c r="JK139" s="17"/>
      <c r="JL139" s="17"/>
      <c r="JM139" s="17"/>
      <c r="JN139" s="17"/>
      <c r="JO139" s="17"/>
      <c r="JP139" s="17"/>
      <c r="JQ139" s="17"/>
      <c r="JR139" s="17"/>
      <c r="JS139" s="17"/>
      <c r="JT139" s="17"/>
      <c r="JU139" s="17"/>
      <c r="JV139" s="17"/>
      <c r="JW139" s="17"/>
      <c r="JX139" s="17"/>
      <c r="JY139" s="17"/>
      <c r="JZ139" s="17"/>
      <c r="KA139" s="17"/>
      <c r="KB139" s="17"/>
      <c r="KC139" s="17"/>
      <c r="KD139" s="17"/>
      <c r="KE139" s="17"/>
      <c r="KF139" s="17"/>
      <c r="KG139" s="17"/>
      <c r="KH139" s="17"/>
      <c r="KI139" s="17"/>
      <c r="KJ139" s="17"/>
      <c r="KK139" s="17"/>
      <c r="KL139" s="17"/>
      <c r="KM139" s="17"/>
      <c r="KN139" s="17"/>
      <c r="KO139" s="17"/>
      <c r="KP139" s="17"/>
      <c r="KQ139" s="17"/>
      <c r="KR139" s="17"/>
      <c r="KS139" s="17"/>
      <c r="KT139" s="17"/>
      <c r="KU139" s="17"/>
      <c r="KV139" s="17"/>
      <c r="KW139" s="17"/>
      <c r="KX139" s="17"/>
      <c r="KY139" s="17"/>
      <c r="KZ139" s="17"/>
      <c r="LA139" s="17"/>
      <c r="LB139" s="17"/>
      <c r="LC139" s="17"/>
      <c r="LD139" s="17"/>
      <c r="LE139" s="17"/>
      <c r="LF139" s="17"/>
      <c r="LG139" s="17"/>
      <c r="LH139" s="17"/>
      <c r="LI139" s="17"/>
      <c r="LJ139" s="17"/>
      <c r="LK139" s="17"/>
      <c r="LL139" s="17"/>
      <c r="LM139" s="17"/>
      <c r="LN139" s="17"/>
      <c r="LO139" s="17"/>
      <c r="LP139" s="17"/>
      <c r="LQ139" s="17"/>
      <c r="LR139" s="17"/>
      <c r="LS139" s="17"/>
      <c r="LT139" s="17"/>
      <c r="LU139" s="17"/>
      <c r="LV139" s="17"/>
      <c r="LW139" s="17"/>
      <c r="LX139" s="17"/>
      <c r="LY139" s="17"/>
      <c r="LZ139" s="17"/>
      <c r="MA139" s="17"/>
      <c r="MB139" s="17"/>
      <c r="MC139" s="17"/>
      <c r="MD139" s="17"/>
      <c r="ME139" s="17"/>
      <c r="MF139" s="17"/>
      <c r="MG139" s="17"/>
      <c r="MH139" s="17"/>
      <c r="MI139" s="17"/>
      <c r="MJ139" s="17"/>
      <c r="MK139" s="17"/>
      <c r="ML139" s="17"/>
      <c r="MM139" s="17"/>
      <c r="MN139" s="17"/>
      <c r="MO139" s="17"/>
      <c r="MP139" s="17"/>
      <c r="MQ139" s="17"/>
      <c r="MR139" s="17"/>
      <c r="MS139" s="17"/>
      <c r="MT139" s="17"/>
      <c r="MU139" s="17"/>
      <c r="MV139" s="17"/>
      <c r="MW139" s="17"/>
      <c r="MX139" s="17"/>
      <c r="MY139" s="17"/>
      <c r="MZ139" s="17"/>
      <c r="NA139" s="17"/>
      <c r="NB139" s="17"/>
      <c r="NC139" s="17"/>
      <c r="ND139" s="17"/>
      <c r="NE139" s="17"/>
      <c r="NF139" s="17"/>
      <c r="NG139" s="17"/>
      <c r="NH139" s="17"/>
      <c r="NI139" s="17"/>
      <c r="NJ139" s="17"/>
      <c r="NK139" s="17"/>
      <c r="NL139" s="17"/>
      <c r="NM139" s="17"/>
      <c r="NN139" s="17"/>
      <c r="NO139" s="17"/>
      <c r="NP139" s="17"/>
      <c r="NQ139" s="17"/>
      <c r="NR139" s="17"/>
      <c r="NS139" s="17"/>
      <c r="NT139" s="17"/>
      <c r="NU139" s="17"/>
      <c r="NV139" s="17"/>
      <c r="NW139" s="17"/>
      <c r="NX139" s="17"/>
      <c r="NY139" s="17"/>
      <c r="NZ139" s="17"/>
      <c r="OA139" s="17"/>
      <c r="OB139" s="17"/>
      <c r="OC139" s="17"/>
      <c r="OD139" s="17"/>
      <c r="OE139" s="17"/>
      <c r="OF139" s="17"/>
      <c r="OG139" s="17"/>
      <c r="OH139" s="17"/>
      <c r="OI139" s="17"/>
      <c r="OJ139" s="17"/>
      <c r="OK139" s="17"/>
      <c r="OL139" s="17"/>
      <c r="OM139" s="17"/>
      <c r="ON139" s="17"/>
      <c r="OO139" s="17"/>
      <c r="OP139" s="17"/>
      <c r="OQ139" s="17"/>
      <c r="OR139" s="17"/>
      <c r="OS139" s="17"/>
      <c r="OT139" s="17"/>
      <c r="OU139" s="17"/>
      <c r="OV139" s="17"/>
      <c r="OW139" s="17"/>
      <c r="OX139" s="17"/>
      <c r="OY139" s="17"/>
      <c r="OZ139" s="17"/>
      <c r="PA139" s="17"/>
      <c r="PB139" s="17"/>
      <c r="PC139" s="17"/>
      <c r="PD139" s="17"/>
      <c r="PE139" s="17"/>
      <c r="PF139" s="17"/>
      <c r="PG139" s="17"/>
      <c r="PH139" s="17"/>
      <c r="PI139" s="17"/>
      <c r="PJ139" s="17"/>
      <c r="PK139" s="17"/>
      <c r="PL139" s="17"/>
      <c r="PM139" s="17"/>
      <c r="PN139" s="17"/>
      <c r="PO139" s="17"/>
      <c r="PP139" s="17"/>
      <c r="PQ139" s="17"/>
      <c r="PR139" s="17"/>
      <c r="PS139" s="17"/>
      <c r="PT139" s="17"/>
      <c r="PU139" s="17"/>
      <c r="PV139" s="17"/>
      <c r="PW139" s="17"/>
      <c r="PX139" s="17"/>
      <c r="PY139" s="17"/>
      <c r="PZ139" s="17"/>
      <c r="QA139" s="17"/>
      <c r="QB139" s="17"/>
      <c r="QC139" s="17"/>
      <c r="QD139" s="17"/>
      <c r="QE139" s="17"/>
      <c r="QF139" s="17"/>
      <c r="QG139" s="17"/>
      <c r="QH139" s="17"/>
      <c r="QI139" s="17"/>
      <c r="QJ139" s="17"/>
      <c r="QK139" s="17"/>
      <c r="QL139" s="17"/>
      <c r="QM139" s="17"/>
      <c r="QN139" s="17"/>
      <c r="QO139" s="17"/>
      <c r="QP139" s="17"/>
      <c r="QQ139" s="17"/>
      <c r="QR139" s="17"/>
      <c r="QS139" s="17"/>
      <c r="QT139" s="17"/>
      <c r="QU139" s="17"/>
      <c r="QV139" s="17"/>
      <c r="QW139" s="17"/>
      <c r="QX139" s="17"/>
      <c r="QY139" s="17"/>
      <c r="QZ139" s="17"/>
      <c r="RA139" s="17"/>
      <c r="RB139" s="17"/>
      <c r="RC139" s="17"/>
      <c r="RD139" s="17"/>
      <c r="RE139" s="17"/>
      <c r="RF139" s="17"/>
      <c r="RG139" s="17"/>
      <c r="RH139" s="17"/>
      <c r="RI139" s="17"/>
      <c r="RJ139" s="17"/>
      <c r="RK139" s="17"/>
      <c r="RL139" s="17"/>
      <c r="RM139" s="17"/>
      <c r="RN139" s="17"/>
      <c r="RO139" s="17"/>
      <c r="RP139" s="17"/>
      <c r="RQ139" s="17"/>
      <c r="RR139" s="17"/>
      <c r="RS139" s="17"/>
      <c r="RT139" s="17"/>
      <c r="RU139" s="17"/>
      <c r="RV139" s="17"/>
      <c r="RW139" s="17"/>
      <c r="RX139" s="17"/>
      <c r="RY139" s="17"/>
      <c r="RZ139" s="17"/>
      <c r="SA139" s="17"/>
      <c r="SB139" s="17"/>
      <c r="SC139" s="17"/>
      <c r="SD139" s="17"/>
      <c r="SE139" s="17"/>
      <c r="SF139" s="17"/>
      <c r="SG139" s="17"/>
      <c r="SH139" s="17"/>
      <c r="SI139" s="17"/>
      <c r="SJ139" s="17"/>
      <c r="SK139" s="17"/>
      <c r="SL139" s="17"/>
      <c r="SM139" s="17"/>
      <c r="SN139" s="17"/>
      <c r="SO139" s="17"/>
      <c r="SP139" s="17"/>
      <c r="SQ139" s="17"/>
      <c r="SR139" s="17"/>
      <c r="SS139" s="17"/>
      <c r="ST139" s="17"/>
      <c r="SU139" s="17"/>
      <c r="SV139" s="17"/>
      <c r="SW139" s="17"/>
      <c r="SX139" s="17"/>
      <c r="SY139" s="17"/>
      <c r="SZ139" s="17"/>
      <c r="TA139" s="17"/>
      <c r="TB139" s="17"/>
      <c r="TC139" s="17"/>
      <c r="TD139" s="17"/>
      <c r="TE139" s="17"/>
      <c r="TF139" s="17"/>
      <c r="TG139" s="17"/>
      <c r="TH139" s="17"/>
      <c r="TI139" s="17"/>
      <c r="TJ139" s="17"/>
      <c r="TK139" s="17"/>
      <c r="TL139" s="17"/>
      <c r="TM139" s="17"/>
      <c r="TN139" s="17"/>
      <c r="TO139" s="17"/>
      <c r="TP139" s="17"/>
      <c r="TQ139" s="17"/>
      <c r="TR139" s="17"/>
      <c r="TS139" s="17"/>
      <c r="TT139" s="17"/>
      <c r="TU139" s="17"/>
      <c r="TV139" s="17"/>
      <c r="TW139" s="17"/>
      <c r="TX139" s="17"/>
      <c r="TY139" s="17"/>
      <c r="TZ139" s="17"/>
      <c r="UA139" s="17"/>
      <c r="UB139" s="17"/>
      <c r="UC139" s="17"/>
      <c r="UD139" s="17"/>
      <c r="UE139" s="17"/>
      <c r="UF139" s="17"/>
      <c r="UG139" s="17"/>
      <c r="UH139" s="17"/>
      <c r="UI139" s="17"/>
      <c r="UJ139" s="17"/>
      <c r="UK139" s="17"/>
      <c r="UL139" s="17"/>
      <c r="UM139" s="17"/>
      <c r="UN139" s="17"/>
      <c r="UO139" s="17"/>
      <c r="UP139" s="17"/>
      <c r="UQ139" s="17"/>
      <c r="UR139" s="17"/>
      <c r="US139" s="17"/>
      <c r="UT139" s="17"/>
      <c r="UU139" s="17"/>
      <c r="UV139" s="17"/>
      <c r="UW139" s="17"/>
      <c r="UX139" s="17"/>
      <c r="UY139" s="17"/>
      <c r="UZ139" s="17"/>
      <c r="VA139" s="17"/>
      <c r="VB139" s="17"/>
      <c r="VC139" s="17"/>
      <c r="VD139" s="17"/>
      <c r="VE139" s="17"/>
      <c r="VF139" s="17"/>
      <c r="VG139" s="17"/>
      <c r="VH139" s="17"/>
      <c r="VI139" s="17"/>
      <c r="VJ139" s="17"/>
      <c r="VK139" s="17"/>
      <c r="VL139" s="17"/>
      <c r="VM139" s="17"/>
      <c r="VN139" s="17"/>
      <c r="VO139" s="17"/>
      <c r="VP139" s="17"/>
      <c r="VQ139" s="17"/>
      <c r="VR139" s="17"/>
      <c r="VS139" s="17"/>
      <c r="VT139" s="17"/>
      <c r="VU139" s="17"/>
      <c r="VV139" s="17"/>
      <c r="VW139" s="17"/>
      <c r="VX139" s="17"/>
      <c r="VY139" s="17"/>
      <c r="VZ139" s="17"/>
      <c r="WA139" s="17"/>
      <c r="WB139" s="17"/>
      <c r="WC139" s="17"/>
      <c r="WD139" s="17"/>
      <c r="WE139" s="17"/>
      <c r="WF139" s="17"/>
      <c r="WG139" s="17"/>
      <c r="WH139" s="17"/>
      <c r="WI139" s="17"/>
      <c r="WJ139" s="17"/>
      <c r="WK139" s="17"/>
      <c r="WL139" s="17"/>
      <c r="WM139" s="17"/>
      <c r="WN139" s="17"/>
      <c r="WO139" s="17"/>
      <c r="WP139" s="17"/>
      <c r="WQ139" s="17"/>
      <c r="WR139" s="17"/>
      <c r="WS139" s="17"/>
      <c r="WT139" s="17"/>
      <c r="WU139" s="17"/>
      <c r="WV139" s="17"/>
      <c r="WW139" s="17"/>
      <c r="WX139" s="17"/>
      <c r="WY139" s="17"/>
      <c r="WZ139" s="17"/>
      <c r="XA139" s="17"/>
      <c r="XB139" s="17"/>
      <c r="XC139" s="17"/>
      <c r="XD139" s="17"/>
      <c r="XE139" s="17"/>
      <c r="XF139" s="17"/>
      <c r="XG139" s="17"/>
      <c r="XH139" s="17"/>
      <c r="XI139" s="17"/>
      <c r="XJ139" s="17"/>
      <c r="XK139" s="17"/>
      <c r="XL139" s="17"/>
      <c r="XM139" s="17"/>
      <c r="XN139" s="17"/>
      <c r="XO139" s="17"/>
      <c r="XP139" s="17"/>
      <c r="XQ139" s="17"/>
      <c r="XR139" s="17"/>
      <c r="XS139" s="17"/>
      <c r="XT139" s="17"/>
      <c r="XU139" s="17"/>
      <c r="XV139" s="17"/>
      <c r="XW139" s="17"/>
      <c r="XX139" s="17"/>
      <c r="XY139" s="17"/>
      <c r="XZ139" s="17"/>
      <c r="YA139" s="17"/>
      <c r="YB139" s="17"/>
      <c r="YC139" s="17"/>
      <c r="YD139" s="17"/>
      <c r="YE139" s="17"/>
      <c r="YF139" s="17"/>
      <c r="YG139" s="17"/>
      <c r="YH139" s="17"/>
      <c r="YI139" s="17"/>
      <c r="YJ139" s="17"/>
      <c r="YK139" s="17"/>
      <c r="YL139" s="17"/>
      <c r="YM139" s="17"/>
      <c r="YN139" s="17"/>
      <c r="YO139" s="17"/>
      <c r="YP139" s="17"/>
      <c r="YQ139" s="17"/>
      <c r="YR139" s="17"/>
      <c r="YS139" s="17"/>
    </row>
    <row r="140" spans="266:669" x14ac:dyDescent="0.25">
      <c r="JF140" s="17"/>
      <c r="JG140" s="17"/>
      <c r="JH140" s="17"/>
      <c r="JI140" s="17"/>
      <c r="JJ140" s="17"/>
      <c r="JK140" s="17"/>
      <c r="JL140" s="17"/>
      <c r="JM140" s="17"/>
      <c r="JN140" s="17"/>
      <c r="JO140" s="17"/>
      <c r="JP140" s="17"/>
      <c r="JQ140" s="17"/>
      <c r="JR140" s="17"/>
      <c r="JS140" s="17"/>
      <c r="JT140" s="17"/>
      <c r="JU140" s="17"/>
      <c r="JV140" s="17"/>
      <c r="JW140" s="17"/>
      <c r="JX140" s="17"/>
      <c r="JY140" s="17"/>
      <c r="JZ140" s="17"/>
      <c r="KA140" s="17"/>
      <c r="KB140" s="17"/>
      <c r="KC140" s="17"/>
      <c r="KD140" s="17"/>
      <c r="KE140" s="17"/>
      <c r="KF140" s="17"/>
      <c r="KG140" s="17"/>
      <c r="KH140" s="17"/>
      <c r="KI140" s="17"/>
      <c r="KJ140" s="17"/>
      <c r="KK140" s="17"/>
      <c r="KL140" s="17"/>
      <c r="KM140" s="17"/>
      <c r="KN140" s="17"/>
      <c r="KO140" s="17"/>
      <c r="KP140" s="17"/>
      <c r="KQ140" s="17"/>
      <c r="KR140" s="17"/>
      <c r="KS140" s="17"/>
      <c r="KT140" s="17"/>
      <c r="KU140" s="17"/>
      <c r="KV140" s="17"/>
      <c r="KW140" s="17"/>
      <c r="KX140" s="17"/>
      <c r="KY140" s="17"/>
      <c r="KZ140" s="17"/>
      <c r="LA140" s="17"/>
      <c r="LB140" s="17"/>
      <c r="LC140" s="17"/>
      <c r="LD140" s="17"/>
      <c r="LE140" s="17"/>
      <c r="LF140" s="17"/>
      <c r="LG140" s="17"/>
      <c r="LH140" s="17"/>
      <c r="LI140" s="17"/>
      <c r="LJ140" s="17"/>
      <c r="LK140" s="17"/>
      <c r="LL140" s="17"/>
      <c r="LM140" s="17"/>
      <c r="LN140" s="17"/>
      <c r="LO140" s="17"/>
      <c r="LP140" s="17"/>
      <c r="LQ140" s="17"/>
      <c r="LR140" s="17"/>
      <c r="LS140" s="17"/>
      <c r="LT140" s="17"/>
      <c r="LU140" s="17"/>
      <c r="LV140" s="17"/>
      <c r="LW140" s="17"/>
      <c r="LX140" s="17"/>
      <c r="LY140" s="17"/>
      <c r="LZ140" s="17"/>
      <c r="MA140" s="17"/>
      <c r="MB140" s="17"/>
      <c r="MC140" s="17"/>
      <c r="MD140" s="17"/>
      <c r="ME140" s="17"/>
      <c r="MF140" s="17"/>
      <c r="MG140" s="17"/>
      <c r="MH140" s="17"/>
      <c r="MI140" s="17"/>
      <c r="MJ140" s="17"/>
      <c r="MK140" s="17"/>
      <c r="ML140" s="17"/>
      <c r="MM140" s="17"/>
      <c r="MN140" s="17"/>
      <c r="MO140" s="17"/>
      <c r="MP140" s="17"/>
      <c r="MQ140" s="17"/>
      <c r="MR140" s="17"/>
      <c r="MS140" s="17"/>
      <c r="MT140" s="17"/>
      <c r="MU140" s="17"/>
      <c r="MV140" s="17"/>
      <c r="MW140" s="17"/>
      <c r="MX140" s="17"/>
      <c r="MY140" s="17"/>
      <c r="MZ140" s="17"/>
      <c r="NA140" s="17"/>
      <c r="NB140" s="17"/>
      <c r="NC140" s="17"/>
      <c r="ND140" s="17"/>
      <c r="NE140" s="17"/>
      <c r="NF140" s="17"/>
      <c r="NG140" s="17"/>
      <c r="NH140" s="17"/>
      <c r="NI140" s="17"/>
      <c r="NJ140" s="17"/>
      <c r="NK140" s="17"/>
      <c r="NL140" s="17"/>
      <c r="NM140" s="17"/>
      <c r="NN140" s="17"/>
      <c r="NO140" s="17"/>
      <c r="NP140" s="17"/>
      <c r="NQ140" s="17"/>
      <c r="NR140" s="17"/>
      <c r="NS140" s="17"/>
      <c r="NT140" s="17"/>
      <c r="NU140" s="17"/>
      <c r="NV140" s="17"/>
      <c r="NW140" s="17"/>
      <c r="NX140" s="17"/>
      <c r="NY140" s="17"/>
      <c r="NZ140" s="17"/>
      <c r="OA140" s="17"/>
      <c r="OB140" s="17"/>
      <c r="OC140" s="17"/>
      <c r="OD140" s="17"/>
      <c r="OE140" s="17"/>
      <c r="OF140" s="17"/>
      <c r="OG140" s="17"/>
      <c r="OH140" s="17"/>
      <c r="OI140" s="17"/>
      <c r="OJ140" s="17"/>
      <c r="OK140" s="17"/>
      <c r="OL140" s="17"/>
      <c r="OM140" s="17"/>
      <c r="ON140" s="17"/>
      <c r="OO140" s="17"/>
      <c r="OP140" s="17"/>
      <c r="OQ140" s="17"/>
      <c r="OR140" s="17"/>
      <c r="OS140" s="17"/>
      <c r="OT140" s="17"/>
      <c r="OU140" s="17"/>
      <c r="OV140" s="17"/>
      <c r="OW140" s="17"/>
      <c r="OX140" s="17"/>
      <c r="OY140" s="17"/>
      <c r="OZ140" s="17"/>
      <c r="PA140" s="17"/>
      <c r="PB140" s="17"/>
      <c r="PC140" s="17"/>
      <c r="PD140" s="17"/>
      <c r="PE140" s="17"/>
      <c r="PF140" s="17"/>
      <c r="PG140" s="17"/>
      <c r="PH140" s="17"/>
      <c r="PI140" s="17"/>
      <c r="PJ140" s="17"/>
      <c r="PK140" s="17"/>
      <c r="PL140" s="17"/>
      <c r="PM140" s="17"/>
      <c r="PN140" s="17"/>
      <c r="PO140" s="17"/>
      <c r="PP140" s="17"/>
      <c r="PQ140" s="17"/>
      <c r="PR140" s="17"/>
      <c r="PS140" s="17"/>
      <c r="PT140" s="17"/>
      <c r="PU140" s="17"/>
      <c r="PV140" s="17"/>
      <c r="PW140" s="17"/>
      <c r="PX140" s="17"/>
      <c r="PY140" s="17"/>
      <c r="PZ140" s="17"/>
      <c r="QA140" s="17"/>
      <c r="QB140" s="17"/>
      <c r="QC140" s="17"/>
      <c r="QD140" s="17"/>
      <c r="QE140" s="17"/>
      <c r="QF140" s="17"/>
      <c r="QG140" s="17"/>
      <c r="QH140" s="17"/>
      <c r="QI140" s="17"/>
      <c r="QJ140" s="17"/>
      <c r="QK140" s="17"/>
      <c r="QL140" s="17"/>
      <c r="QM140" s="17"/>
      <c r="QN140" s="17"/>
      <c r="QO140" s="17"/>
      <c r="QP140" s="17"/>
      <c r="QQ140" s="17"/>
      <c r="QR140" s="17"/>
      <c r="QS140" s="17"/>
      <c r="QT140" s="17"/>
      <c r="QU140" s="17"/>
      <c r="QV140" s="17"/>
      <c r="QW140" s="17"/>
      <c r="QX140" s="17"/>
      <c r="QY140" s="17"/>
      <c r="QZ140" s="17"/>
      <c r="RA140" s="17"/>
      <c r="RB140" s="17"/>
      <c r="RC140" s="17"/>
      <c r="RD140" s="17"/>
      <c r="RE140" s="17"/>
      <c r="RF140" s="17"/>
      <c r="RG140" s="17"/>
      <c r="RH140" s="17"/>
      <c r="RI140" s="17"/>
      <c r="RJ140" s="17"/>
      <c r="RK140" s="17"/>
      <c r="RL140" s="17"/>
      <c r="RM140" s="17"/>
      <c r="RN140" s="17"/>
      <c r="RO140" s="17"/>
      <c r="RP140" s="17"/>
      <c r="RQ140" s="17"/>
      <c r="RR140" s="17"/>
      <c r="RS140" s="17"/>
      <c r="RT140" s="17"/>
      <c r="RU140" s="17"/>
      <c r="RV140" s="17"/>
      <c r="RW140" s="17"/>
      <c r="RX140" s="17"/>
      <c r="RY140" s="17"/>
      <c r="RZ140" s="17"/>
      <c r="SA140" s="17"/>
      <c r="SB140" s="17"/>
      <c r="SC140" s="17"/>
      <c r="SD140" s="17"/>
      <c r="SE140" s="17"/>
      <c r="SF140" s="17"/>
      <c r="SG140" s="17"/>
      <c r="SH140" s="17"/>
      <c r="SI140" s="17"/>
      <c r="SJ140" s="17"/>
      <c r="SK140" s="17"/>
      <c r="SL140" s="17"/>
      <c r="SM140" s="17"/>
      <c r="SN140" s="17"/>
      <c r="SO140" s="17"/>
      <c r="SP140" s="17"/>
      <c r="SQ140" s="17"/>
      <c r="SR140" s="17"/>
      <c r="SS140" s="17"/>
      <c r="ST140" s="17"/>
      <c r="SU140" s="17"/>
      <c r="SV140" s="17"/>
      <c r="SW140" s="17"/>
      <c r="SX140" s="17"/>
      <c r="SY140" s="17"/>
      <c r="SZ140" s="17"/>
      <c r="TA140" s="17"/>
      <c r="TB140" s="17"/>
      <c r="TC140" s="17"/>
      <c r="TD140" s="17"/>
      <c r="TE140" s="17"/>
      <c r="TF140" s="17"/>
      <c r="TG140" s="17"/>
      <c r="TH140" s="17"/>
      <c r="TI140" s="17"/>
      <c r="TJ140" s="17"/>
      <c r="TK140" s="17"/>
      <c r="TL140" s="17"/>
      <c r="TM140" s="17"/>
      <c r="TN140" s="17"/>
      <c r="TO140" s="17"/>
      <c r="TP140" s="17"/>
      <c r="TQ140" s="17"/>
      <c r="TR140" s="17"/>
      <c r="TS140" s="17"/>
      <c r="TT140" s="17"/>
      <c r="TU140" s="17"/>
      <c r="TV140" s="17"/>
      <c r="TW140" s="17"/>
      <c r="TX140" s="17"/>
      <c r="TY140" s="17"/>
      <c r="TZ140" s="17"/>
      <c r="UA140" s="17"/>
      <c r="UB140" s="17"/>
      <c r="UC140" s="17"/>
      <c r="UD140" s="17"/>
      <c r="UE140" s="17"/>
      <c r="UF140" s="17"/>
      <c r="UG140" s="17"/>
      <c r="UH140" s="17"/>
      <c r="UI140" s="17"/>
      <c r="UJ140" s="17"/>
      <c r="UK140" s="17"/>
      <c r="UL140" s="17"/>
      <c r="UM140" s="17"/>
      <c r="UN140" s="17"/>
      <c r="UO140" s="17"/>
      <c r="UP140" s="17"/>
      <c r="UQ140" s="17"/>
      <c r="UR140" s="17"/>
      <c r="US140" s="17"/>
      <c r="UT140" s="17"/>
      <c r="UU140" s="17"/>
      <c r="UV140" s="17"/>
      <c r="UW140" s="17"/>
      <c r="UX140" s="17"/>
      <c r="UY140" s="17"/>
      <c r="UZ140" s="17"/>
      <c r="VA140" s="17"/>
      <c r="VB140" s="17"/>
      <c r="VC140" s="17"/>
      <c r="VD140" s="17"/>
      <c r="VE140" s="17"/>
      <c r="VF140" s="17"/>
      <c r="VG140" s="17"/>
      <c r="VH140" s="17"/>
      <c r="VI140" s="17"/>
      <c r="VJ140" s="17"/>
      <c r="VK140" s="17"/>
      <c r="VL140" s="17"/>
      <c r="VM140" s="17"/>
      <c r="VN140" s="17"/>
      <c r="VO140" s="17"/>
      <c r="VP140" s="17"/>
      <c r="VQ140" s="17"/>
      <c r="VR140" s="17"/>
      <c r="VS140" s="17"/>
      <c r="VT140" s="17"/>
      <c r="VU140" s="17"/>
      <c r="VV140" s="17"/>
      <c r="VW140" s="17"/>
      <c r="VX140" s="17"/>
      <c r="VY140" s="17"/>
      <c r="VZ140" s="17"/>
      <c r="WA140" s="17"/>
      <c r="WB140" s="17"/>
      <c r="WC140" s="17"/>
      <c r="WD140" s="17"/>
      <c r="WE140" s="17"/>
      <c r="WF140" s="17"/>
      <c r="WG140" s="17"/>
      <c r="WH140" s="17"/>
      <c r="WI140" s="17"/>
      <c r="WJ140" s="17"/>
      <c r="WK140" s="17"/>
      <c r="WL140" s="17"/>
      <c r="WM140" s="17"/>
      <c r="WN140" s="17"/>
      <c r="WO140" s="17"/>
      <c r="WP140" s="17"/>
      <c r="WQ140" s="17"/>
      <c r="WR140" s="17"/>
      <c r="WS140" s="17"/>
      <c r="WT140" s="17"/>
      <c r="WU140" s="17"/>
      <c r="WV140" s="17"/>
      <c r="WW140" s="17"/>
      <c r="WX140" s="17"/>
      <c r="WY140" s="17"/>
      <c r="WZ140" s="17"/>
      <c r="XA140" s="17"/>
      <c r="XB140" s="17"/>
      <c r="XC140" s="17"/>
      <c r="XD140" s="17"/>
      <c r="XE140" s="17"/>
      <c r="XF140" s="17"/>
      <c r="XG140" s="17"/>
      <c r="XH140" s="17"/>
      <c r="XI140" s="17"/>
      <c r="XJ140" s="17"/>
      <c r="XK140" s="17"/>
      <c r="XL140" s="17"/>
      <c r="XM140" s="17"/>
      <c r="XN140" s="17"/>
      <c r="XO140" s="17"/>
      <c r="XP140" s="17"/>
      <c r="XQ140" s="17"/>
      <c r="XR140" s="17"/>
      <c r="XS140" s="17"/>
      <c r="XT140" s="17"/>
      <c r="XU140" s="17"/>
      <c r="XV140" s="17"/>
      <c r="XW140" s="17"/>
      <c r="XX140" s="17"/>
      <c r="XY140" s="17"/>
      <c r="XZ140" s="17"/>
      <c r="YA140" s="17"/>
      <c r="YB140" s="17"/>
      <c r="YC140" s="17"/>
      <c r="YD140" s="17"/>
      <c r="YE140" s="17"/>
      <c r="YF140" s="17"/>
      <c r="YG140" s="17"/>
      <c r="YH140" s="17"/>
      <c r="YI140" s="17"/>
      <c r="YJ140" s="17"/>
      <c r="YK140" s="17"/>
      <c r="YL140" s="17"/>
      <c r="YM140" s="17"/>
      <c r="YN140" s="17"/>
      <c r="YO140" s="17"/>
      <c r="YP140" s="17"/>
      <c r="YQ140" s="17"/>
      <c r="YR140" s="17"/>
      <c r="YS140" s="17"/>
    </row>
    <row r="141" spans="266:669" x14ac:dyDescent="0.25">
      <c r="JF141" s="17"/>
      <c r="JG141" s="17"/>
      <c r="JH141" s="17"/>
      <c r="JI141" s="17"/>
      <c r="JJ141" s="17"/>
      <c r="JK141" s="17"/>
      <c r="JL141" s="17"/>
      <c r="JM141" s="17"/>
      <c r="JN141" s="17"/>
      <c r="JO141" s="17"/>
      <c r="JP141" s="17"/>
      <c r="JQ141" s="17"/>
      <c r="JR141" s="17"/>
      <c r="JS141" s="17"/>
      <c r="JT141" s="17"/>
      <c r="JU141" s="17"/>
      <c r="JV141" s="17"/>
      <c r="JW141" s="17"/>
      <c r="JX141" s="17"/>
      <c r="JY141" s="17"/>
      <c r="JZ141" s="17"/>
      <c r="KA141" s="17"/>
      <c r="KB141" s="17"/>
      <c r="KC141" s="17"/>
      <c r="KD141" s="17"/>
      <c r="KE141" s="17"/>
      <c r="KF141" s="17"/>
      <c r="KG141" s="17"/>
      <c r="KH141" s="17"/>
      <c r="KI141" s="17"/>
      <c r="KJ141" s="17"/>
      <c r="KK141" s="17"/>
      <c r="KL141" s="17"/>
      <c r="KM141" s="17"/>
      <c r="KN141" s="17"/>
      <c r="KO141" s="17"/>
      <c r="KP141" s="17"/>
      <c r="KQ141" s="17"/>
      <c r="KR141" s="17"/>
      <c r="KS141" s="17"/>
      <c r="KT141" s="17"/>
      <c r="KU141" s="17"/>
      <c r="KV141" s="17"/>
      <c r="KW141" s="17"/>
      <c r="KX141" s="17"/>
      <c r="KY141" s="17"/>
      <c r="KZ141" s="17"/>
      <c r="LA141" s="17"/>
      <c r="LB141" s="17"/>
      <c r="LC141" s="17"/>
      <c r="LD141" s="17"/>
      <c r="LE141" s="17"/>
      <c r="LF141" s="17"/>
      <c r="LG141" s="17"/>
      <c r="LH141" s="17"/>
      <c r="LI141" s="17"/>
      <c r="LJ141" s="17"/>
      <c r="LK141" s="17"/>
      <c r="LL141" s="17"/>
      <c r="LM141" s="17"/>
      <c r="LN141" s="17"/>
      <c r="LO141" s="17"/>
      <c r="LP141" s="17"/>
      <c r="LQ141" s="17"/>
      <c r="LR141" s="17"/>
      <c r="LS141" s="17"/>
      <c r="LT141" s="17"/>
      <c r="LU141" s="17"/>
      <c r="LV141" s="17"/>
      <c r="LW141" s="17"/>
      <c r="LX141" s="17"/>
      <c r="LY141" s="17"/>
      <c r="LZ141" s="17"/>
      <c r="MA141" s="17"/>
      <c r="MB141" s="17"/>
      <c r="MC141" s="17"/>
      <c r="MD141" s="17"/>
      <c r="ME141" s="17"/>
      <c r="MF141" s="17"/>
      <c r="MG141" s="17"/>
      <c r="MH141" s="17"/>
      <c r="MI141" s="17"/>
      <c r="MJ141" s="17"/>
      <c r="MK141" s="17"/>
      <c r="ML141" s="17"/>
      <c r="MM141" s="17"/>
      <c r="MN141" s="17"/>
      <c r="MO141" s="17"/>
      <c r="MP141" s="17"/>
      <c r="MQ141" s="17"/>
      <c r="MR141" s="17"/>
      <c r="MS141" s="17"/>
      <c r="MT141" s="17"/>
      <c r="MU141" s="17"/>
      <c r="MV141" s="17"/>
      <c r="MW141" s="17"/>
      <c r="MX141" s="17"/>
      <c r="MY141" s="17"/>
      <c r="MZ141" s="17"/>
      <c r="NA141" s="17"/>
      <c r="NB141" s="17"/>
      <c r="NC141" s="17"/>
      <c r="ND141" s="17"/>
      <c r="NE141" s="17"/>
      <c r="NF141" s="17"/>
      <c r="NG141" s="17"/>
      <c r="NH141" s="17"/>
      <c r="NI141" s="17"/>
      <c r="NJ141" s="17"/>
      <c r="NK141" s="17"/>
      <c r="NL141" s="17"/>
      <c r="NM141" s="17"/>
      <c r="NN141" s="17"/>
      <c r="NO141" s="17"/>
      <c r="NP141" s="17"/>
      <c r="NQ141" s="17"/>
      <c r="NR141" s="17"/>
      <c r="NS141" s="17"/>
      <c r="NT141" s="17"/>
      <c r="NU141" s="17"/>
      <c r="NV141" s="17"/>
      <c r="NW141" s="17"/>
      <c r="NX141" s="17"/>
      <c r="NY141" s="17"/>
      <c r="NZ141" s="17"/>
      <c r="OA141" s="17"/>
      <c r="OB141" s="17"/>
      <c r="OC141" s="17"/>
      <c r="OD141" s="17"/>
      <c r="OE141" s="17"/>
      <c r="OF141" s="17"/>
      <c r="OG141" s="17"/>
      <c r="OH141" s="17"/>
      <c r="OI141" s="17"/>
      <c r="OJ141" s="17"/>
      <c r="OK141" s="17"/>
      <c r="OL141" s="17"/>
      <c r="OM141" s="17"/>
      <c r="ON141" s="17"/>
      <c r="OO141" s="17"/>
      <c r="OP141" s="17"/>
      <c r="OQ141" s="17"/>
      <c r="OR141" s="17"/>
      <c r="OS141" s="17"/>
      <c r="OT141" s="17"/>
      <c r="OU141" s="17"/>
      <c r="OV141" s="17"/>
      <c r="OW141" s="17"/>
      <c r="OX141" s="17"/>
      <c r="OY141" s="17"/>
      <c r="OZ141" s="17"/>
      <c r="PA141" s="17"/>
      <c r="PB141" s="17"/>
      <c r="PC141" s="17"/>
      <c r="PD141" s="17"/>
      <c r="PE141" s="17"/>
      <c r="PF141" s="17"/>
      <c r="PG141" s="17"/>
      <c r="PH141" s="17"/>
      <c r="PI141" s="17"/>
      <c r="PJ141" s="17"/>
      <c r="PK141" s="17"/>
      <c r="PL141" s="17"/>
      <c r="PM141" s="17"/>
      <c r="PN141" s="17"/>
      <c r="PO141" s="17"/>
      <c r="PP141" s="17"/>
      <c r="PQ141" s="17"/>
      <c r="PR141" s="17"/>
      <c r="PS141" s="17"/>
      <c r="PT141" s="17"/>
      <c r="PU141" s="17"/>
      <c r="PV141" s="17"/>
      <c r="PW141" s="17"/>
      <c r="PX141" s="17"/>
      <c r="PY141" s="17"/>
      <c r="PZ141" s="17"/>
      <c r="QA141" s="17"/>
      <c r="QB141" s="17"/>
      <c r="QC141" s="17"/>
      <c r="QD141" s="17"/>
      <c r="QE141" s="17"/>
      <c r="QF141" s="17"/>
      <c r="QG141" s="17"/>
      <c r="QH141" s="17"/>
      <c r="QI141" s="17"/>
      <c r="QJ141" s="17"/>
      <c r="QK141" s="17"/>
      <c r="QL141" s="17"/>
      <c r="QM141" s="17"/>
      <c r="QN141" s="17"/>
      <c r="QO141" s="17"/>
      <c r="QP141" s="17"/>
      <c r="QQ141" s="17"/>
      <c r="QR141" s="17"/>
      <c r="QS141" s="17"/>
      <c r="QT141" s="17"/>
      <c r="QU141" s="17"/>
      <c r="QV141" s="17"/>
      <c r="QW141" s="17"/>
      <c r="QX141" s="17"/>
      <c r="QY141" s="17"/>
      <c r="QZ141" s="17"/>
      <c r="RA141" s="17"/>
      <c r="RB141" s="17"/>
      <c r="RC141" s="17"/>
      <c r="RD141" s="17"/>
      <c r="RE141" s="17"/>
      <c r="RF141" s="17"/>
      <c r="RG141" s="17"/>
      <c r="RH141" s="17"/>
      <c r="RI141" s="17"/>
      <c r="RJ141" s="17"/>
      <c r="RK141" s="17"/>
      <c r="RL141" s="17"/>
      <c r="RM141" s="17"/>
      <c r="RN141" s="17"/>
      <c r="RO141" s="17"/>
      <c r="RP141" s="17"/>
      <c r="RQ141" s="17"/>
      <c r="RR141" s="17"/>
      <c r="RS141" s="17"/>
      <c r="RT141" s="17"/>
      <c r="RU141" s="17"/>
      <c r="RV141" s="17"/>
      <c r="RW141" s="17"/>
      <c r="RX141" s="17"/>
      <c r="RY141" s="17"/>
      <c r="RZ141" s="17"/>
      <c r="SA141" s="17"/>
      <c r="SB141" s="17"/>
      <c r="SC141" s="17"/>
      <c r="SD141" s="17"/>
      <c r="SE141" s="17"/>
      <c r="SF141" s="17"/>
      <c r="SG141" s="17"/>
      <c r="SH141" s="17"/>
      <c r="SI141" s="17"/>
      <c r="SJ141" s="17"/>
      <c r="SK141" s="17"/>
      <c r="SL141" s="17"/>
      <c r="SM141" s="17"/>
      <c r="SN141" s="17"/>
      <c r="SO141" s="17"/>
      <c r="SP141" s="17"/>
      <c r="SQ141" s="17"/>
      <c r="SR141" s="17"/>
      <c r="SS141" s="17"/>
      <c r="ST141" s="17"/>
      <c r="SU141" s="17"/>
      <c r="SV141" s="17"/>
      <c r="SW141" s="17"/>
      <c r="SX141" s="17"/>
      <c r="SY141" s="17"/>
      <c r="SZ141" s="17"/>
      <c r="TA141" s="17"/>
      <c r="TB141" s="17"/>
      <c r="TC141" s="17"/>
      <c r="TD141" s="17"/>
      <c r="TE141" s="17"/>
      <c r="TF141" s="17"/>
      <c r="TG141" s="17"/>
      <c r="TH141" s="17"/>
      <c r="TI141" s="17"/>
      <c r="TJ141" s="17"/>
      <c r="TK141" s="17"/>
      <c r="TL141" s="17"/>
      <c r="TM141" s="17"/>
      <c r="TN141" s="17"/>
      <c r="TO141" s="17"/>
      <c r="TP141" s="17"/>
      <c r="TQ141" s="17"/>
      <c r="TR141" s="17"/>
      <c r="TS141" s="17"/>
      <c r="TT141" s="17"/>
      <c r="TU141" s="17"/>
      <c r="TV141" s="17"/>
      <c r="TW141" s="17"/>
      <c r="TX141" s="17"/>
      <c r="TY141" s="17"/>
      <c r="TZ141" s="17"/>
      <c r="UA141" s="17"/>
      <c r="UB141" s="17"/>
      <c r="UC141" s="17"/>
      <c r="UD141" s="17"/>
      <c r="UE141" s="17"/>
      <c r="UF141" s="17"/>
      <c r="UG141" s="17"/>
      <c r="UH141" s="17"/>
      <c r="UI141" s="17"/>
      <c r="UJ141" s="17"/>
      <c r="UK141" s="17"/>
      <c r="UL141" s="17"/>
      <c r="UM141" s="17"/>
      <c r="UN141" s="17"/>
      <c r="UO141" s="17"/>
      <c r="UP141" s="17"/>
      <c r="UQ141" s="17"/>
      <c r="UR141" s="17"/>
      <c r="US141" s="17"/>
      <c r="UT141" s="17"/>
      <c r="UU141" s="17"/>
      <c r="UV141" s="17"/>
      <c r="UW141" s="17"/>
      <c r="UX141" s="17"/>
      <c r="UY141" s="17"/>
      <c r="UZ141" s="17"/>
      <c r="VA141" s="17"/>
      <c r="VB141" s="17"/>
      <c r="VC141" s="17"/>
      <c r="VD141" s="17"/>
      <c r="VE141" s="17"/>
      <c r="VF141" s="17"/>
      <c r="VG141" s="17"/>
      <c r="VH141" s="17"/>
      <c r="VI141" s="17"/>
      <c r="VJ141" s="17"/>
      <c r="VK141" s="17"/>
      <c r="VL141" s="17"/>
      <c r="VM141" s="17"/>
      <c r="VN141" s="17"/>
      <c r="VO141" s="17"/>
      <c r="VP141" s="17"/>
      <c r="VQ141" s="17"/>
      <c r="VR141" s="17"/>
      <c r="VS141" s="17"/>
      <c r="VT141" s="17"/>
      <c r="VU141" s="17"/>
      <c r="VV141" s="17"/>
      <c r="VW141" s="17"/>
      <c r="VX141" s="17"/>
      <c r="VY141" s="17"/>
      <c r="VZ141" s="17"/>
      <c r="WA141" s="17"/>
      <c r="WB141" s="17"/>
      <c r="WC141" s="17"/>
      <c r="WD141" s="17"/>
      <c r="WE141" s="17"/>
      <c r="WF141" s="17"/>
      <c r="WG141" s="17"/>
      <c r="WH141" s="17"/>
      <c r="WI141" s="17"/>
      <c r="WJ141" s="17"/>
      <c r="WK141" s="17"/>
      <c r="WL141" s="17"/>
      <c r="WM141" s="17"/>
      <c r="WN141" s="17"/>
      <c r="WO141" s="17"/>
      <c r="WP141" s="17"/>
      <c r="WQ141" s="17"/>
      <c r="WR141" s="17"/>
      <c r="WS141" s="17"/>
      <c r="WT141" s="17"/>
      <c r="WU141" s="17"/>
      <c r="WV141" s="17"/>
      <c r="WW141" s="17"/>
      <c r="WX141" s="17"/>
      <c r="WY141" s="17"/>
      <c r="WZ141" s="17"/>
      <c r="XA141" s="17"/>
      <c r="XB141" s="17"/>
      <c r="XC141" s="17"/>
      <c r="XD141" s="17"/>
      <c r="XE141" s="17"/>
      <c r="XF141" s="17"/>
      <c r="XG141" s="17"/>
      <c r="XH141" s="17"/>
      <c r="XI141" s="17"/>
      <c r="XJ141" s="17"/>
      <c r="XK141" s="17"/>
      <c r="XL141" s="17"/>
      <c r="XM141" s="17"/>
      <c r="XN141" s="17"/>
      <c r="XO141" s="17"/>
      <c r="XP141" s="17"/>
      <c r="XQ141" s="17"/>
      <c r="XR141" s="17"/>
      <c r="XS141" s="17"/>
      <c r="XT141" s="17"/>
      <c r="XU141" s="17"/>
      <c r="XV141" s="17"/>
      <c r="XW141" s="17"/>
      <c r="XX141" s="17"/>
      <c r="XY141" s="17"/>
      <c r="XZ141" s="17"/>
      <c r="YA141" s="17"/>
      <c r="YB141" s="17"/>
      <c r="YC141" s="17"/>
      <c r="YD141" s="17"/>
      <c r="YE141" s="17"/>
      <c r="YF141" s="17"/>
      <c r="YG141" s="17"/>
      <c r="YH141" s="17"/>
      <c r="YI141" s="17"/>
      <c r="YJ141" s="17"/>
      <c r="YK141" s="17"/>
      <c r="YL141" s="17"/>
      <c r="YM141" s="17"/>
      <c r="YN141" s="17"/>
      <c r="YO141" s="17"/>
      <c r="YP141" s="17"/>
      <c r="YQ141" s="17"/>
      <c r="YR141" s="17"/>
      <c r="YS141" s="17"/>
    </row>
    <row r="142" spans="266:669" x14ac:dyDescent="0.25">
      <c r="JF142" s="17"/>
      <c r="JG142" s="17"/>
      <c r="JH142" s="17"/>
      <c r="JI142" s="17"/>
      <c r="JJ142" s="17"/>
      <c r="JK142" s="17"/>
      <c r="JL142" s="17"/>
      <c r="JM142" s="17"/>
      <c r="JN142" s="17"/>
      <c r="JO142" s="17"/>
      <c r="JP142" s="17"/>
      <c r="JQ142" s="17"/>
      <c r="JR142" s="17"/>
      <c r="JS142" s="17"/>
      <c r="JT142" s="17"/>
      <c r="JU142" s="17"/>
      <c r="JV142" s="17"/>
      <c r="JW142" s="17"/>
      <c r="JX142" s="17"/>
      <c r="JY142" s="17"/>
      <c r="JZ142" s="17"/>
      <c r="KA142" s="17"/>
      <c r="KB142" s="17"/>
      <c r="KC142" s="17"/>
      <c r="KD142" s="17"/>
      <c r="KE142" s="17"/>
      <c r="KF142" s="17"/>
      <c r="KG142" s="17"/>
      <c r="KH142" s="17"/>
      <c r="KI142" s="17"/>
      <c r="KJ142" s="17"/>
      <c r="KK142" s="17"/>
      <c r="KL142" s="17"/>
      <c r="KM142" s="17"/>
      <c r="KN142" s="17"/>
      <c r="KO142" s="17"/>
      <c r="KP142" s="17"/>
      <c r="KQ142" s="17"/>
      <c r="KR142" s="17"/>
      <c r="KS142" s="17"/>
      <c r="KT142" s="17"/>
      <c r="KU142" s="17"/>
      <c r="KV142" s="17"/>
      <c r="KW142" s="17"/>
      <c r="KX142" s="17"/>
      <c r="KY142" s="17"/>
      <c r="KZ142" s="17"/>
      <c r="LA142" s="17"/>
      <c r="LB142" s="17"/>
      <c r="LC142" s="17"/>
      <c r="LD142" s="17"/>
      <c r="LE142" s="17"/>
      <c r="LF142" s="17"/>
      <c r="LG142" s="17"/>
      <c r="LH142" s="17"/>
      <c r="LI142" s="17"/>
      <c r="LJ142" s="17"/>
      <c r="LK142" s="17"/>
      <c r="LL142" s="17"/>
      <c r="LM142" s="17"/>
      <c r="LN142" s="17"/>
      <c r="LO142" s="17"/>
      <c r="LP142" s="17"/>
      <c r="LQ142" s="17"/>
      <c r="LR142" s="17"/>
      <c r="LS142" s="17"/>
      <c r="LT142" s="17"/>
      <c r="LU142" s="17"/>
      <c r="LV142" s="17"/>
      <c r="LW142" s="17"/>
      <c r="LX142" s="17"/>
      <c r="LY142" s="17"/>
      <c r="LZ142" s="17"/>
      <c r="MA142" s="17"/>
      <c r="MB142" s="17"/>
      <c r="MC142" s="17"/>
      <c r="MD142" s="17"/>
      <c r="ME142" s="17"/>
      <c r="MF142" s="17"/>
      <c r="MG142" s="17"/>
      <c r="MH142" s="17"/>
      <c r="MI142" s="17"/>
      <c r="MJ142" s="17"/>
      <c r="MK142" s="17"/>
      <c r="ML142" s="17"/>
      <c r="MM142" s="17"/>
      <c r="MN142" s="17"/>
      <c r="MO142" s="17"/>
      <c r="MP142" s="17"/>
      <c r="MQ142" s="17"/>
      <c r="MR142" s="17"/>
      <c r="MS142" s="17"/>
      <c r="MT142" s="17"/>
      <c r="MU142" s="17"/>
      <c r="MV142" s="17"/>
      <c r="MW142" s="17"/>
      <c r="MX142" s="17"/>
      <c r="MY142" s="17"/>
      <c r="MZ142" s="17"/>
      <c r="NA142" s="17"/>
      <c r="NB142" s="17"/>
      <c r="NC142" s="17"/>
      <c r="ND142" s="17"/>
      <c r="NE142" s="17"/>
      <c r="NF142" s="17"/>
      <c r="NG142" s="17"/>
      <c r="NH142" s="17"/>
      <c r="NI142" s="17"/>
      <c r="NJ142" s="17"/>
      <c r="NK142" s="17"/>
      <c r="NL142" s="17"/>
      <c r="NM142" s="17"/>
      <c r="NN142" s="17"/>
      <c r="NO142" s="17"/>
      <c r="NP142" s="17"/>
      <c r="NQ142" s="17"/>
      <c r="NR142" s="17"/>
      <c r="NS142" s="17"/>
      <c r="NT142" s="17"/>
      <c r="NU142" s="17"/>
      <c r="NV142" s="17"/>
      <c r="NW142" s="17"/>
      <c r="NX142" s="17"/>
      <c r="NY142" s="17"/>
      <c r="NZ142" s="17"/>
      <c r="OA142" s="17"/>
      <c r="OB142" s="17"/>
      <c r="OC142" s="17"/>
      <c r="OD142" s="17"/>
      <c r="OE142" s="17"/>
      <c r="OF142" s="17"/>
      <c r="OG142" s="17"/>
      <c r="OH142" s="17"/>
      <c r="OI142" s="17"/>
      <c r="OJ142" s="17"/>
      <c r="OK142" s="17"/>
      <c r="OL142" s="17"/>
      <c r="OM142" s="17"/>
      <c r="ON142" s="17"/>
      <c r="OO142" s="17"/>
      <c r="OP142" s="17"/>
      <c r="OQ142" s="17"/>
      <c r="OR142" s="17"/>
      <c r="OS142" s="17"/>
      <c r="OT142" s="17"/>
      <c r="OU142" s="17"/>
      <c r="OV142" s="17"/>
      <c r="OW142" s="17"/>
      <c r="OX142" s="17"/>
      <c r="OY142" s="17"/>
      <c r="OZ142" s="17"/>
      <c r="PA142" s="17"/>
      <c r="PB142" s="17"/>
      <c r="PC142" s="17"/>
      <c r="PD142" s="17"/>
      <c r="PE142" s="17"/>
      <c r="PF142" s="17"/>
      <c r="PG142" s="17"/>
      <c r="PH142" s="17"/>
      <c r="PI142" s="17"/>
      <c r="PJ142" s="17"/>
      <c r="PK142" s="17"/>
      <c r="PL142" s="17"/>
      <c r="PM142" s="17"/>
      <c r="PN142" s="17"/>
      <c r="PO142" s="17"/>
      <c r="PP142" s="17"/>
      <c r="PQ142" s="17"/>
      <c r="PR142" s="17"/>
      <c r="PS142" s="17"/>
      <c r="PT142" s="17"/>
      <c r="PU142" s="17"/>
      <c r="PV142" s="17"/>
      <c r="PW142" s="17"/>
      <c r="PX142" s="17"/>
      <c r="PY142" s="17"/>
      <c r="PZ142" s="17"/>
      <c r="QA142" s="17"/>
      <c r="QB142" s="17"/>
      <c r="QC142" s="17"/>
      <c r="QD142" s="17"/>
      <c r="QE142" s="17"/>
      <c r="QF142" s="17"/>
      <c r="QG142" s="17"/>
      <c r="QH142" s="17"/>
      <c r="QI142" s="17"/>
      <c r="QJ142" s="17"/>
      <c r="QK142" s="17"/>
      <c r="QL142" s="17"/>
      <c r="QM142" s="17"/>
      <c r="QN142" s="17"/>
      <c r="QO142" s="17"/>
      <c r="QP142" s="17"/>
      <c r="QQ142" s="17"/>
      <c r="QR142" s="17"/>
      <c r="QS142" s="17"/>
      <c r="QT142" s="17"/>
      <c r="QU142" s="17"/>
      <c r="QV142" s="17"/>
      <c r="QW142" s="17"/>
      <c r="QX142" s="17"/>
      <c r="QY142" s="17"/>
      <c r="QZ142" s="17"/>
      <c r="RA142" s="17"/>
      <c r="RB142" s="17"/>
      <c r="RC142" s="17"/>
      <c r="RD142" s="17"/>
      <c r="RE142" s="17"/>
      <c r="RF142" s="17"/>
      <c r="RG142" s="17"/>
      <c r="RH142" s="17"/>
      <c r="RI142" s="17"/>
      <c r="RJ142" s="17"/>
      <c r="RK142" s="17"/>
      <c r="RL142" s="17"/>
      <c r="RM142" s="17"/>
      <c r="RN142" s="17"/>
      <c r="RO142" s="17"/>
      <c r="RP142" s="17"/>
      <c r="RQ142" s="17"/>
      <c r="RR142" s="17"/>
      <c r="RS142" s="17"/>
      <c r="RT142" s="17"/>
      <c r="RU142" s="17"/>
      <c r="RV142" s="17"/>
      <c r="RW142" s="17"/>
      <c r="RX142" s="17"/>
      <c r="RY142" s="17"/>
      <c r="RZ142" s="17"/>
      <c r="SA142" s="17"/>
      <c r="SB142" s="17"/>
      <c r="SC142" s="17"/>
      <c r="SD142" s="17"/>
      <c r="SE142" s="17"/>
      <c r="SF142" s="17"/>
      <c r="SG142" s="17"/>
      <c r="SH142" s="17"/>
      <c r="SI142" s="17"/>
      <c r="SJ142" s="17"/>
      <c r="SK142" s="17"/>
      <c r="SL142" s="17"/>
      <c r="SM142" s="17"/>
      <c r="SN142" s="17"/>
      <c r="SO142" s="17"/>
      <c r="SP142" s="17"/>
      <c r="SQ142" s="17"/>
      <c r="SR142" s="17"/>
      <c r="SS142" s="17"/>
      <c r="ST142" s="17"/>
      <c r="SU142" s="17"/>
      <c r="SV142" s="17"/>
      <c r="SW142" s="17"/>
      <c r="SX142" s="17"/>
      <c r="SY142" s="17"/>
      <c r="SZ142" s="17"/>
      <c r="TA142" s="17"/>
      <c r="TB142" s="17"/>
      <c r="TC142" s="17"/>
      <c r="TD142" s="17"/>
      <c r="TE142" s="17"/>
      <c r="TF142" s="17"/>
      <c r="TG142" s="17"/>
      <c r="TH142" s="17"/>
      <c r="TI142" s="17"/>
      <c r="TJ142" s="17"/>
      <c r="TK142" s="17"/>
      <c r="TL142" s="17"/>
      <c r="TM142" s="17"/>
      <c r="TN142" s="17"/>
      <c r="TO142" s="17"/>
      <c r="TP142" s="17"/>
      <c r="TQ142" s="17"/>
      <c r="TR142" s="17"/>
      <c r="TS142" s="17"/>
      <c r="TT142" s="17"/>
      <c r="TU142" s="17"/>
      <c r="TV142" s="17"/>
      <c r="TW142" s="17"/>
      <c r="TX142" s="17"/>
      <c r="TY142" s="17"/>
      <c r="TZ142" s="17"/>
      <c r="UA142" s="17"/>
      <c r="UB142" s="17"/>
      <c r="UC142" s="17"/>
      <c r="UD142" s="17"/>
      <c r="UE142" s="17"/>
      <c r="UF142" s="17"/>
      <c r="UG142" s="17"/>
      <c r="UH142" s="17"/>
      <c r="UI142" s="17"/>
      <c r="UJ142" s="17"/>
      <c r="UK142" s="17"/>
      <c r="UL142" s="17"/>
      <c r="UM142" s="17"/>
      <c r="UN142" s="17"/>
      <c r="UO142" s="17"/>
      <c r="UP142" s="17"/>
      <c r="UQ142" s="17"/>
      <c r="UR142" s="17"/>
      <c r="US142" s="17"/>
      <c r="UT142" s="17"/>
      <c r="UU142" s="17"/>
      <c r="UV142" s="17"/>
      <c r="UW142" s="17"/>
      <c r="UX142" s="17"/>
      <c r="UY142" s="17"/>
      <c r="UZ142" s="17"/>
      <c r="VA142" s="17"/>
      <c r="VB142" s="17"/>
      <c r="VC142" s="17"/>
      <c r="VD142" s="17"/>
      <c r="VE142" s="17"/>
      <c r="VF142" s="17"/>
      <c r="VG142" s="17"/>
      <c r="VH142" s="17"/>
      <c r="VI142" s="17"/>
      <c r="VJ142" s="17"/>
      <c r="VK142" s="17"/>
      <c r="VL142" s="17"/>
      <c r="VM142" s="17"/>
      <c r="VN142" s="17"/>
      <c r="VO142" s="17"/>
      <c r="VP142" s="17"/>
      <c r="VQ142" s="17"/>
      <c r="VR142" s="17"/>
      <c r="VS142" s="17"/>
      <c r="VT142" s="17"/>
      <c r="VU142" s="17"/>
      <c r="VV142" s="17"/>
      <c r="VW142" s="17"/>
      <c r="VX142" s="17"/>
      <c r="VY142" s="17"/>
      <c r="VZ142" s="17"/>
      <c r="WA142" s="17"/>
      <c r="WB142" s="17"/>
      <c r="WC142" s="17"/>
      <c r="WD142" s="17"/>
      <c r="WE142" s="17"/>
      <c r="WF142" s="17"/>
      <c r="WG142" s="17"/>
      <c r="WH142" s="17"/>
      <c r="WI142" s="17"/>
      <c r="WJ142" s="17"/>
      <c r="WK142" s="17"/>
      <c r="WL142" s="17"/>
      <c r="WM142" s="17"/>
      <c r="WN142" s="17"/>
      <c r="WO142" s="17"/>
      <c r="WP142" s="17"/>
      <c r="WQ142" s="17"/>
      <c r="WR142" s="17"/>
      <c r="WS142" s="17"/>
      <c r="WT142" s="17"/>
      <c r="WU142" s="17"/>
      <c r="WV142" s="17"/>
      <c r="WW142" s="17"/>
      <c r="WX142" s="17"/>
      <c r="WY142" s="17"/>
      <c r="WZ142" s="17"/>
      <c r="XA142" s="17"/>
      <c r="XB142" s="17"/>
      <c r="XC142" s="17"/>
      <c r="XD142" s="17"/>
      <c r="XE142" s="17"/>
      <c r="XF142" s="17"/>
      <c r="XG142" s="17"/>
      <c r="XH142" s="17"/>
      <c r="XI142" s="17"/>
      <c r="XJ142" s="17"/>
      <c r="XK142" s="17"/>
      <c r="XL142" s="17"/>
      <c r="XM142" s="17"/>
      <c r="XN142" s="17"/>
      <c r="XO142" s="17"/>
      <c r="XP142" s="17"/>
      <c r="XQ142" s="17"/>
      <c r="XR142" s="17"/>
      <c r="XS142" s="17"/>
      <c r="XT142" s="17"/>
      <c r="XU142" s="17"/>
      <c r="XV142" s="17"/>
      <c r="XW142" s="17"/>
      <c r="XX142" s="17"/>
      <c r="XY142" s="17"/>
      <c r="XZ142" s="17"/>
      <c r="YA142" s="17"/>
      <c r="YB142" s="17"/>
      <c r="YC142" s="17"/>
      <c r="YD142" s="17"/>
      <c r="YE142" s="17"/>
      <c r="YF142" s="17"/>
      <c r="YG142" s="17"/>
      <c r="YH142" s="17"/>
      <c r="YI142" s="17"/>
      <c r="YJ142" s="17"/>
      <c r="YK142" s="17"/>
      <c r="YL142" s="17"/>
      <c r="YM142" s="17"/>
      <c r="YN142" s="17"/>
      <c r="YO142" s="17"/>
      <c r="YP142" s="17"/>
      <c r="YQ142" s="17"/>
      <c r="YR142" s="17"/>
      <c r="YS142" s="17"/>
    </row>
    <row r="143" spans="266:669" x14ac:dyDescent="0.25">
      <c r="JF143" s="17"/>
      <c r="JG143" s="17"/>
      <c r="JH143" s="17"/>
      <c r="JI143" s="17"/>
      <c r="JJ143" s="17"/>
      <c r="JK143" s="17"/>
      <c r="JL143" s="17"/>
      <c r="JM143" s="17"/>
      <c r="JN143" s="17"/>
      <c r="JO143" s="17"/>
      <c r="JP143" s="17"/>
      <c r="JQ143" s="17"/>
      <c r="JR143" s="17"/>
      <c r="JS143" s="17"/>
      <c r="JT143" s="17"/>
      <c r="JU143" s="17"/>
      <c r="JV143" s="17"/>
      <c r="JW143" s="17"/>
      <c r="JX143" s="17"/>
      <c r="JY143" s="17"/>
      <c r="JZ143" s="17"/>
      <c r="KA143" s="17"/>
      <c r="KB143" s="17"/>
      <c r="KC143" s="17"/>
      <c r="KD143" s="17"/>
      <c r="KE143" s="17"/>
      <c r="KF143" s="17"/>
      <c r="KG143" s="17"/>
      <c r="KH143" s="17"/>
      <c r="KI143" s="17"/>
      <c r="KJ143" s="17"/>
      <c r="KK143" s="17"/>
      <c r="KL143" s="17"/>
      <c r="KM143" s="17"/>
      <c r="KN143" s="17"/>
      <c r="KO143" s="17"/>
      <c r="KP143" s="17"/>
      <c r="KQ143" s="17"/>
      <c r="KR143" s="17"/>
      <c r="KS143" s="17"/>
      <c r="KT143" s="17"/>
      <c r="KU143" s="17"/>
      <c r="KV143" s="17"/>
      <c r="KW143" s="17"/>
      <c r="KX143" s="17"/>
      <c r="KY143" s="17"/>
      <c r="KZ143" s="17"/>
      <c r="LA143" s="17"/>
      <c r="LB143" s="17"/>
      <c r="LC143" s="17"/>
      <c r="LD143" s="17"/>
      <c r="LE143" s="17"/>
      <c r="LF143" s="17"/>
      <c r="LG143" s="17"/>
      <c r="LH143" s="17"/>
      <c r="LI143" s="17"/>
      <c r="LJ143" s="17"/>
      <c r="LK143" s="17"/>
      <c r="LL143" s="17"/>
      <c r="LM143" s="17"/>
      <c r="LN143" s="17"/>
      <c r="LO143" s="17"/>
      <c r="LP143" s="17"/>
      <c r="LQ143" s="17"/>
      <c r="LR143" s="17"/>
      <c r="LS143" s="17"/>
      <c r="LT143" s="17"/>
      <c r="LU143" s="17"/>
      <c r="LV143" s="17"/>
      <c r="LW143" s="17"/>
      <c r="LX143" s="17"/>
      <c r="LY143" s="17"/>
      <c r="LZ143" s="17"/>
      <c r="MA143" s="17"/>
      <c r="MB143" s="17"/>
      <c r="MC143" s="17"/>
      <c r="MD143" s="17"/>
      <c r="ME143" s="17"/>
      <c r="MF143" s="17"/>
      <c r="MG143" s="17"/>
      <c r="MH143" s="17"/>
      <c r="MI143" s="17"/>
      <c r="MJ143" s="17"/>
      <c r="MK143" s="17"/>
      <c r="ML143" s="17"/>
      <c r="MM143" s="17"/>
      <c r="MN143" s="17"/>
      <c r="MO143" s="17"/>
      <c r="MP143" s="17"/>
      <c r="MQ143" s="17"/>
      <c r="MR143" s="17"/>
      <c r="MS143" s="17"/>
      <c r="MT143" s="17"/>
      <c r="MU143" s="17"/>
      <c r="MV143" s="17"/>
      <c r="MW143" s="17"/>
      <c r="MX143" s="17"/>
      <c r="MY143" s="17"/>
      <c r="MZ143" s="17"/>
      <c r="NA143" s="17"/>
      <c r="NB143" s="17"/>
      <c r="NC143" s="17"/>
      <c r="ND143" s="17"/>
      <c r="NE143" s="17"/>
      <c r="NF143" s="17"/>
      <c r="NG143" s="17"/>
      <c r="NH143" s="17"/>
      <c r="NI143" s="17"/>
      <c r="NJ143" s="17"/>
      <c r="NK143" s="17"/>
      <c r="NL143" s="17"/>
      <c r="NM143" s="17"/>
      <c r="NN143" s="17"/>
      <c r="NO143" s="17"/>
      <c r="NP143" s="17"/>
      <c r="NQ143" s="17"/>
      <c r="NR143" s="17"/>
      <c r="NS143" s="17"/>
      <c r="NT143" s="17"/>
      <c r="NU143" s="17"/>
      <c r="NV143" s="17"/>
      <c r="NW143" s="17"/>
      <c r="NX143" s="17"/>
      <c r="NY143" s="17"/>
      <c r="NZ143" s="17"/>
      <c r="OA143" s="17"/>
      <c r="OB143" s="17"/>
      <c r="OC143" s="17"/>
      <c r="OD143" s="17"/>
      <c r="OE143" s="17"/>
      <c r="OF143" s="17"/>
      <c r="OG143" s="17"/>
      <c r="OH143" s="17"/>
      <c r="OI143" s="17"/>
      <c r="OJ143" s="17"/>
      <c r="OK143" s="17"/>
      <c r="OL143" s="17"/>
      <c r="OM143" s="17"/>
      <c r="ON143" s="17"/>
      <c r="OO143" s="17"/>
      <c r="OP143" s="17"/>
      <c r="OQ143" s="17"/>
      <c r="OR143" s="17"/>
      <c r="OS143" s="17"/>
      <c r="OT143" s="17"/>
      <c r="OU143" s="17"/>
      <c r="OV143" s="17"/>
      <c r="OW143" s="17"/>
      <c r="OX143" s="17"/>
      <c r="OY143" s="17"/>
      <c r="OZ143" s="17"/>
      <c r="PA143" s="17"/>
      <c r="PB143" s="17"/>
      <c r="PC143" s="17"/>
      <c r="PD143" s="17"/>
      <c r="PE143" s="17"/>
      <c r="PF143" s="17"/>
      <c r="PG143" s="17"/>
      <c r="PH143" s="17"/>
      <c r="PI143" s="17"/>
      <c r="PJ143" s="17"/>
      <c r="PK143" s="17"/>
      <c r="PL143" s="17"/>
      <c r="PM143" s="17"/>
      <c r="PN143" s="17"/>
      <c r="PO143" s="17"/>
      <c r="PP143" s="17"/>
      <c r="PQ143" s="17"/>
      <c r="PR143" s="17"/>
      <c r="PS143" s="17"/>
      <c r="PT143" s="17"/>
      <c r="PU143" s="17"/>
      <c r="PV143" s="17"/>
      <c r="PW143" s="17"/>
      <c r="PX143" s="17"/>
      <c r="PY143" s="17"/>
      <c r="PZ143" s="17"/>
      <c r="QA143" s="17"/>
      <c r="QB143" s="17"/>
      <c r="QC143" s="17"/>
      <c r="QD143" s="17"/>
      <c r="QE143" s="17"/>
      <c r="QF143" s="17"/>
      <c r="QG143" s="17"/>
      <c r="QH143" s="17"/>
      <c r="QI143" s="17"/>
      <c r="QJ143" s="17"/>
      <c r="QK143" s="17"/>
      <c r="QL143" s="17"/>
      <c r="QM143" s="17"/>
      <c r="QN143" s="17"/>
      <c r="QO143" s="17"/>
      <c r="QP143" s="17"/>
      <c r="QQ143" s="17"/>
      <c r="QR143" s="17"/>
      <c r="QS143" s="17"/>
      <c r="QT143" s="17"/>
      <c r="QU143" s="17"/>
      <c r="QV143" s="17"/>
      <c r="QW143" s="17"/>
      <c r="QX143" s="17"/>
      <c r="QY143" s="17"/>
      <c r="QZ143" s="17"/>
      <c r="RA143" s="17"/>
      <c r="RB143" s="17"/>
      <c r="RC143" s="17"/>
      <c r="RD143" s="17"/>
      <c r="RE143" s="17"/>
      <c r="RF143" s="17"/>
      <c r="RG143" s="17"/>
      <c r="RH143" s="17"/>
      <c r="RI143" s="17"/>
      <c r="RJ143" s="17"/>
      <c r="RK143" s="17"/>
      <c r="RL143" s="17"/>
      <c r="RM143" s="17"/>
      <c r="RN143" s="17"/>
      <c r="RO143" s="17"/>
      <c r="RP143" s="17"/>
      <c r="RQ143" s="17"/>
      <c r="RR143" s="17"/>
      <c r="RS143" s="17"/>
      <c r="RT143" s="17"/>
      <c r="RU143" s="17"/>
      <c r="RV143" s="17"/>
      <c r="RW143" s="17"/>
      <c r="RX143" s="17"/>
      <c r="RY143" s="17"/>
      <c r="RZ143" s="17"/>
      <c r="SA143" s="17"/>
      <c r="SB143" s="17"/>
      <c r="SC143" s="17"/>
      <c r="SD143" s="17"/>
      <c r="SE143" s="17"/>
      <c r="SF143" s="17"/>
      <c r="SG143" s="17"/>
      <c r="SH143" s="17"/>
      <c r="SI143" s="17"/>
      <c r="SJ143" s="17"/>
      <c r="SK143" s="17"/>
      <c r="SL143" s="17"/>
      <c r="SM143" s="17"/>
      <c r="SN143" s="17"/>
      <c r="SO143" s="17"/>
      <c r="SP143" s="17"/>
      <c r="SQ143" s="17"/>
      <c r="SR143" s="17"/>
      <c r="SS143" s="17"/>
      <c r="ST143" s="17"/>
      <c r="SU143" s="17"/>
      <c r="SV143" s="17"/>
      <c r="SW143" s="17"/>
      <c r="SX143" s="17"/>
      <c r="SY143" s="17"/>
      <c r="SZ143" s="17"/>
      <c r="TA143" s="17"/>
      <c r="TB143" s="17"/>
      <c r="TC143" s="17"/>
      <c r="TD143" s="17"/>
      <c r="TE143" s="17"/>
      <c r="TF143" s="17"/>
      <c r="TG143" s="17"/>
      <c r="TH143" s="17"/>
      <c r="TI143" s="17"/>
      <c r="TJ143" s="17"/>
      <c r="TK143" s="17"/>
      <c r="TL143" s="17"/>
      <c r="TM143" s="17"/>
      <c r="TN143" s="17"/>
      <c r="TO143" s="17"/>
      <c r="TP143" s="17"/>
      <c r="TQ143" s="17"/>
      <c r="TR143" s="17"/>
      <c r="TS143" s="17"/>
      <c r="TT143" s="17"/>
      <c r="TU143" s="17"/>
      <c r="TV143" s="17"/>
      <c r="TW143" s="17"/>
      <c r="TX143" s="17"/>
      <c r="TY143" s="17"/>
      <c r="TZ143" s="17"/>
      <c r="UA143" s="17"/>
      <c r="UB143" s="17"/>
      <c r="UC143" s="17"/>
      <c r="UD143" s="17"/>
      <c r="UE143" s="17"/>
      <c r="UF143" s="17"/>
      <c r="UG143" s="17"/>
      <c r="UH143" s="17"/>
      <c r="UI143" s="17"/>
      <c r="UJ143" s="17"/>
      <c r="UK143" s="17"/>
      <c r="UL143" s="17"/>
      <c r="UM143" s="17"/>
      <c r="UN143" s="17"/>
      <c r="UO143" s="17"/>
      <c r="UP143" s="17"/>
      <c r="UQ143" s="17"/>
      <c r="UR143" s="17"/>
      <c r="US143" s="17"/>
      <c r="UT143" s="17"/>
      <c r="UU143" s="17"/>
      <c r="UV143" s="17"/>
      <c r="UW143" s="17"/>
      <c r="UX143" s="17"/>
      <c r="UY143" s="17"/>
      <c r="UZ143" s="17"/>
      <c r="VA143" s="17"/>
      <c r="VB143" s="17"/>
      <c r="VC143" s="17"/>
      <c r="VD143" s="17"/>
      <c r="VE143" s="17"/>
      <c r="VF143" s="17"/>
      <c r="VG143" s="17"/>
      <c r="VH143" s="17"/>
      <c r="VI143" s="17"/>
      <c r="VJ143" s="17"/>
      <c r="VK143" s="17"/>
      <c r="VL143" s="17"/>
      <c r="VM143" s="17"/>
      <c r="VN143" s="17"/>
      <c r="VO143" s="17"/>
      <c r="VP143" s="17"/>
      <c r="VQ143" s="17"/>
      <c r="VR143" s="17"/>
      <c r="VS143" s="17"/>
      <c r="VT143" s="17"/>
      <c r="VU143" s="17"/>
      <c r="VV143" s="17"/>
      <c r="VW143" s="17"/>
      <c r="VX143" s="17"/>
      <c r="VY143" s="17"/>
      <c r="VZ143" s="17"/>
      <c r="WA143" s="17"/>
      <c r="WB143" s="17"/>
      <c r="WC143" s="17"/>
      <c r="WD143" s="17"/>
      <c r="WE143" s="17"/>
      <c r="WF143" s="17"/>
      <c r="WG143" s="17"/>
      <c r="WH143" s="17"/>
      <c r="WI143" s="17"/>
      <c r="WJ143" s="17"/>
      <c r="WK143" s="17"/>
      <c r="WL143" s="17"/>
      <c r="WM143" s="17"/>
      <c r="WN143" s="17"/>
      <c r="WO143" s="17"/>
      <c r="WP143" s="17"/>
      <c r="WQ143" s="17"/>
      <c r="WR143" s="17"/>
      <c r="WS143" s="17"/>
      <c r="WT143" s="17"/>
      <c r="WU143" s="17"/>
      <c r="WV143" s="17"/>
      <c r="WW143" s="17"/>
      <c r="WX143" s="17"/>
      <c r="WY143" s="17"/>
      <c r="WZ143" s="17"/>
      <c r="XA143" s="17"/>
      <c r="XB143" s="17"/>
      <c r="XC143" s="17"/>
      <c r="XD143" s="17"/>
      <c r="XE143" s="17"/>
      <c r="XF143" s="17"/>
      <c r="XG143" s="17"/>
      <c r="XH143" s="17"/>
      <c r="XI143" s="17"/>
      <c r="XJ143" s="17"/>
      <c r="XK143" s="17"/>
      <c r="XL143" s="17"/>
      <c r="XM143" s="17"/>
      <c r="XN143" s="17"/>
      <c r="XO143" s="17"/>
      <c r="XP143" s="17"/>
      <c r="XQ143" s="17"/>
      <c r="XR143" s="17"/>
      <c r="XS143" s="17"/>
      <c r="XT143" s="17"/>
      <c r="XU143" s="17"/>
      <c r="XV143" s="17"/>
      <c r="XW143" s="17"/>
      <c r="XX143" s="17"/>
      <c r="XY143" s="17"/>
      <c r="XZ143" s="17"/>
      <c r="YA143" s="17"/>
      <c r="YB143" s="17"/>
      <c r="YC143" s="17"/>
      <c r="YD143" s="17"/>
      <c r="YE143" s="17"/>
      <c r="YF143" s="17"/>
      <c r="YG143" s="17"/>
      <c r="YH143" s="17"/>
      <c r="YI143" s="17"/>
      <c r="YJ143" s="17"/>
      <c r="YK143" s="17"/>
      <c r="YL143" s="17"/>
      <c r="YM143" s="17"/>
      <c r="YN143" s="17"/>
      <c r="YO143" s="17"/>
      <c r="YP143" s="17"/>
      <c r="YQ143" s="17"/>
      <c r="YR143" s="17"/>
      <c r="YS143" s="17"/>
    </row>
    <row r="144" spans="266:669" x14ac:dyDescent="0.25">
      <c r="JF144" s="17"/>
      <c r="JG144" s="17"/>
      <c r="JH144" s="17"/>
      <c r="JI144" s="17"/>
      <c r="JJ144" s="17"/>
      <c r="JK144" s="17"/>
      <c r="JL144" s="17"/>
      <c r="JM144" s="17"/>
      <c r="JN144" s="17"/>
      <c r="JO144" s="17"/>
      <c r="JP144" s="17"/>
      <c r="JQ144" s="17"/>
      <c r="JR144" s="17"/>
      <c r="JS144" s="17"/>
      <c r="JT144" s="17"/>
      <c r="JU144" s="17"/>
      <c r="JV144" s="17"/>
      <c r="JW144" s="17"/>
      <c r="JX144" s="17"/>
      <c r="JY144" s="17"/>
      <c r="JZ144" s="17"/>
      <c r="KA144" s="17"/>
      <c r="KB144" s="17"/>
      <c r="KC144" s="17"/>
      <c r="KD144" s="17"/>
      <c r="KE144" s="17"/>
      <c r="KF144" s="17"/>
      <c r="KG144" s="17"/>
      <c r="KH144" s="17"/>
      <c r="KI144" s="17"/>
      <c r="KJ144" s="17"/>
      <c r="KK144" s="17"/>
      <c r="KL144" s="17"/>
      <c r="KM144" s="17"/>
      <c r="KN144" s="17"/>
      <c r="KO144" s="17"/>
      <c r="KP144" s="17"/>
      <c r="KQ144" s="17"/>
      <c r="KR144" s="17"/>
      <c r="KS144" s="17"/>
      <c r="KT144" s="17"/>
      <c r="KU144" s="17"/>
      <c r="KV144" s="17"/>
      <c r="KW144" s="17"/>
      <c r="KX144" s="17"/>
      <c r="KY144" s="17"/>
      <c r="KZ144" s="17"/>
      <c r="LA144" s="17"/>
      <c r="LB144" s="17"/>
      <c r="LC144" s="17"/>
      <c r="LD144" s="17"/>
      <c r="LE144" s="17"/>
      <c r="LF144" s="17"/>
      <c r="LG144" s="17"/>
      <c r="LH144" s="17"/>
      <c r="LI144" s="17"/>
      <c r="LJ144" s="17"/>
      <c r="LK144" s="17"/>
      <c r="LL144" s="17"/>
      <c r="LM144" s="17"/>
      <c r="LN144" s="17"/>
      <c r="LO144" s="17"/>
      <c r="LP144" s="17"/>
      <c r="LQ144" s="17"/>
      <c r="LR144" s="17"/>
      <c r="LS144" s="17"/>
      <c r="LT144" s="17"/>
      <c r="LU144" s="17"/>
      <c r="LV144" s="17"/>
      <c r="LW144" s="17"/>
      <c r="LX144" s="17"/>
      <c r="LY144" s="17"/>
      <c r="LZ144" s="17"/>
      <c r="MA144" s="17"/>
      <c r="MB144" s="17"/>
      <c r="MC144" s="17"/>
      <c r="MD144" s="17"/>
      <c r="ME144" s="17"/>
      <c r="MF144" s="17"/>
      <c r="MG144" s="17"/>
      <c r="MH144" s="17"/>
      <c r="MI144" s="17"/>
      <c r="MJ144" s="17"/>
      <c r="MK144" s="17"/>
      <c r="ML144" s="17"/>
      <c r="MM144" s="17"/>
      <c r="MN144" s="17"/>
      <c r="MO144" s="17"/>
      <c r="MP144" s="17"/>
      <c r="MQ144" s="17"/>
      <c r="MR144" s="17"/>
      <c r="MS144" s="17"/>
      <c r="MT144" s="17"/>
      <c r="MU144" s="17"/>
      <c r="MV144" s="17"/>
      <c r="MW144" s="17"/>
      <c r="MX144" s="17"/>
      <c r="MY144" s="17"/>
      <c r="MZ144" s="17"/>
      <c r="NA144" s="17"/>
      <c r="NB144" s="17"/>
      <c r="NC144" s="17"/>
      <c r="ND144" s="17"/>
      <c r="NE144" s="17"/>
      <c r="NF144" s="17"/>
      <c r="NG144" s="17"/>
      <c r="NH144" s="17"/>
      <c r="NI144" s="17"/>
      <c r="NJ144" s="17"/>
      <c r="NK144" s="17"/>
      <c r="NL144" s="17"/>
      <c r="NM144" s="17"/>
      <c r="NN144" s="17"/>
      <c r="NO144" s="17"/>
      <c r="NP144" s="17"/>
      <c r="NQ144" s="17"/>
      <c r="NR144" s="17"/>
      <c r="NS144" s="17"/>
      <c r="NT144" s="17"/>
      <c r="NU144" s="17"/>
      <c r="NV144" s="17"/>
      <c r="NW144" s="17"/>
      <c r="NX144" s="17"/>
      <c r="NY144" s="17"/>
      <c r="NZ144" s="17"/>
      <c r="OA144" s="17"/>
      <c r="OB144" s="17"/>
      <c r="OC144" s="17"/>
      <c r="OD144" s="17"/>
      <c r="OE144" s="17"/>
      <c r="OF144" s="17"/>
      <c r="OG144" s="17"/>
      <c r="OH144" s="17"/>
      <c r="OI144" s="17"/>
      <c r="OJ144" s="17"/>
      <c r="OK144" s="17"/>
      <c r="OL144" s="17"/>
      <c r="OM144" s="17"/>
      <c r="ON144" s="17"/>
      <c r="OO144" s="17"/>
      <c r="OP144" s="17"/>
      <c r="OQ144" s="17"/>
      <c r="OR144" s="17"/>
      <c r="OS144" s="17"/>
      <c r="OT144" s="17"/>
      <c r="OU144" s="17"/>
      <c r="OV144" s="17"/>
      <c r="OW144" s="17"/>
      <c r="OX144" s="17"/>
      <c r="OY144" s="17"/>
      <c r="OZ144" s="17"/>
      <c r="PA144" s="17"/>
      <c r="PB144" s="17"/>
      <c r="PC144" s="17"/>
      <c r="PD144" s="17"/>
      <c r="PE144" s="17"/>
      <c r="PF144" s="17"/>
      <c r="PG144" s="17"/>
      <c r="PH144" s="17"/>
      <c r="PI144" s="17"/>
      <c r="PJ144" s="17"/>
      <c r="PK144" s="17"/>
      <c r="PL144" s="17"/>
      <c r="PM144" s="17"/>
      <c r="PN144" s="17"/>
      <c r="PO144" s="17"/>
      <c r="PP144" s="17"/>
      <c r="PQ144" s="17"/>
      <c r="PR144" s="17"/>
      <c r="PS144" s="17"/>
      <c r="PT144" s="17"/>
      <c r="PU144" s="17"/>
      <c r="PV144" s="17"/>
      <c r="PW144" s="17"/>
      <c r="PX144" s="17"/>
      <c r="PY144" s="17"/>
      <c r="PZ144" s="17"/>
      <c r="QA144" s="17"/>
      <c r="QB144" s="17"/>
      <c r="QC144" s="17"/>
      <c r="QD144" s="17"/>
      <c r="QE144" s="17"/>
      <c r="QF144" s="17"/>
      <c r="QG144" s="17"/>
      <c r="QH144" s="17"/>
      <c r="QI144" s="17"/>
      <c r="QJ144" s="17"/>
      <c r="QK144" s="17"/>
      <c r="QL144" s="17"/>
      <c r="QM144" s="17"/>
      <c r="QN144" s="17"/>
      <c r="QO144" s="17"/>
      <c r="QP144" s="17"/>
      <c r="QQ144" s="17"/>
      <c r="QR144" s="17"/>
      <c r="QS144" s="17"/>
      <c r="QT144" s="17"/>
      <c r="QU144" s="17"/>
      <c r="QV144" s="17"/>
      <c r="QW144" s="17"/>
      <c r="QX144" s="17"/>
      <c r="QY144" s="17"/>
      <c r="QZ144" s="17"/>
      <c r="RA144" s="17"/>
      <c r="RB144" s="17"/>
      <c r="RC144" s="17"/>
      <c r="RD144" s="17"/>
      <c r="RE144" s="17"/>
      <c r="RF144" s="17"/>
      <c r="RG144" s="17"/>
      <c r="RH144" s="17"/>
      <c r="RI144" s="17"/>
      <c r="RJ144" s="17"/>
      <c r="RK144" s="17"/>
      <c r="RL144" s="17"/>
      <c r="RM144" s="17"/>
      <c r="RN144" s="17"/>
      <c r="RO144" s="17"/>
      <c r="RP144" s="17"/>
      <c r="RQ144" s="17"/>
      <c r="RR144" s="17"/>
      <c r="RS144" s="17"/>
      <c r="RT144" s="17"/>
      <c r="RU144" s="17"/>
      <c r="RV144" s="17"/>
      <c r="RW144" s="17"/>
      <c r="RX144" s="17"/>
      <c r="RY144" s="17"/>
      <c r="RZ144" s="17"/>
      <c r="SA144" s="17"/>
      <c r="SB144" s="17"/>
      <c r="SC144" s="17"/>
      <c r="SD144" s="17"/>
      <c r="SE144" s="17"/>
      <c r="SF144" s="17"/>
      <c r="SG144" s="17"/>
      <c r="SH144" s="17"/>
      <c r="SI144" s="17"/>
      <c r="SJ144" s="17"/>
      <c r="SK144" s="17"/>
      <c r="SL144" s="17"/>
      <c r="SM144" s="17"/>
      <c r="SN144" s="17"/>
      <c r="SO144" s="17"/>
      <c r="SP144" s="17"/>
      <c r="SQ144" s="17"/>
      <c r="SR144" s="17"/>
      <c r="SS144" s="17"/>
      <c r="ST144" s="17"/>
      <c r="SU144" s="17"/>
      <c r="SV144" s="17"/>
      <c r="SW144" s="17"/>
      <c r="SX144" s="17"/>
      <c r="SY144" s="17"/>
      <c r="SZ144" s="17"/>
      <c r="TA144" s="17"/>
      <c r="TB144" s="17"/>
      <c r="TC144" s="17"/>
      <c r="TD144" s="17"/>
      <c r="TE144" s="17"/>
      <c r="TF144" s="17"/>
      <c r="TG144" s="17"/>
      <c r="TH144" s="17"/>
      <c r="TI144" s="17"/>
      <c r="TJ144" s="17"/>
      <c r="TK144" s="17"/>
      <c r="TL144" s="17"/>
      <c r="TM144" s="17"/>
      <c r="TN144" s="17"/>
      <c r="TO144" s="17"/>
      <c r="TP144" s="17"/>
      <c r="TQ144" s="17"/>
      <c r="TR144" s="17"/>
      <c r="TS144" s="17"/>
      <c r="TT144" s="17"/>
      <c r="TU144" s="17"/>
      <c r="TV144" s="17"/>
      <c r="TW144" s="17"/>
      <c r="TX144" s="17"/>
      <c r="TY144" s="17"/>
      <c r="TZ144" s="17"/>
      <c r="UA144" s="17"/>
      <c r="UB144" s="17"/>
      <c r="UC144" s="17"/>
      <c r="UD144" s="17"/>
      <c r="UE144" s="17"/>
      <c r="UF144" s="17"/>
      <c r="UG144" s="17"/>
      <c r="UH144" s="17"/>
      <c r="UI144" s="17"/>
      <c r="UJ144" s="17"/>
      <c r="UK144" s="17"/>
      <c r="UL144" s="17"/>
      <c r="UM144" s="17"/>
      <c r="UN144" s="17"/>
      <c r="UO144" s="17"/>
      <c r="UP144" s="17"/>
      <c r="UQ144" s="17"/>
      <c r="UR144" s="17"/>
      <c r="US144" s="17"/>
      <c r="UT144" s="17"/>
      <c r="UU144" s="17"/>
      <c r="UV144" s="17"/>
      <c r="UW144" s="17"/>
      <c r="UX144" s="17"/>
      <c r="UY144" s="17"/>
      <c r="UZ144" s="17"/>
      <c r="VA144" s="17"/>
      <c r="VB144" s="17"/>
      <c r="VC144" s="17"/>
      <c r="VD144" s="17"/>
      <c r="VE144" s="17"/>
      <c r="VF144" s="17"/>
      <c r="VG144" s="17"/>
      <c r="VH144" s="17"/>
      <c r="VI144" s="17"/>
      <c r="VJ144" s="17"/>
      <c r="VK144" s="17"/>
      <c r="VL144" s="17"/>
      <c r="VM144" s="17"/>
      <c r="VN144" s="17"/>
      <c r="VO144" s="17"/>
      <c r="VP144" s="17"/>
      <c r="VQ144" s="17"/>
      <c r="VR144" s="17"/>
      <c r="VS144" s="17"/>
      <c r="VT144" s="17"/>
      <c r="VU144" s="17"/>
      <c r="VV144" s="17"/>
      <c r="VW144" s="17"/>
      <c r="VX144" s="17"/>
      <c r="VY144" s="17"/>
      <c r="VZ144" s="17"/>
      <c r="WA144" s="17"/>
      <c r="WB144" s="17"/>
      <c r="WC144" s="17"/>
      <c r="WD144" s="17"/>
      <c r="WE144" s="17"/>
      <c r="WF144" s="17"/>
      <c r="WG144" s="17"/>
      <c r="WH144" s="17"/>
      <c r="WI144" s="17"/>
      <c r="WJ144" s="17"/>
      <c r="WK144" s="17"/>
      <c r="WL144" s="17"/>
      <c r="WM144" s="17"/>
      <c r="WN144" s="17"/>
      <c r="WO144" s="17"/>
      <c r="WP144" s="17"/>
      <c r="WQ144" s="17"/>
      <c r="WR144" s="17"/>
      <c r="WS144" s="17"/>
      <c r="WT144" s="17"/>
      <c r="WU144" s="17"/>
      <c r="WV144" s="17"/>
      <c r="WW144" s="17"/>
      <c r="WX144" s="17"/>
      <c r="WY144" s="17"/>
      <c r="WZ144" s="17"/>
      <c r="XA144" s="17"/>
      <c r="XB144" s="17"/>
      <c r="XC144" s="17"/>
      <c r="XD144" s="17"/>
      <c r="XE144" s="17"/>
      <c r="XF144" s="17"/>
      <c r="XG144" s="17"/>
      <c r="XH144" s="17"/>
      <c r="XI144" s="17"/>
      <c r="XJ144" s="17"/>
      <c r="XK144" s="17"/>
      <c r="XL144" s="17"/>
      <c r="XM144" s="17"/>
      <c r="XN144" s="17"/>
      <c r="XO144" s="17"/>
      <c r="XP144" s="17"/>
      <c r="XQ144" s="17"/>
      <c r="XR144" s="17"/>
      <c r="XS144" s="17"/>
      <c r="XT144" s="17"/>
      <c r="XU144" s="17"/>
      <c r="XV144" s="17"/>
      <c r="XW144" s="17"/>
      <c r="XX144" s="17"/>
      <c r="XY144" s="17"/>
      <c r="XZ144" s="17"/>
      <c r="YA144" s="17"/>
      <c r="YB144" s="17"/>
      <c r="YC144" s="17"/>
      <c r="YD144" s="17"/>
      <c r="YE144" s="17"/>
      <c r="YF144" s="17"/>
      <c r="YG144" s="17"/>
      <c r="YH144" s="17"/>
      <c r="YI144" s="17"/>
      <c r="YJ144" s="17"/>
      <c r="YK144" s="17"/>
      <c r="YL144" s="17"/>
      <c r="YM144" s="17"/>
      <c r="YN144" s="17"/>
      <c r="YO144" s="17"/>
      <c r="YP144" s="17"/>
      <c r="YQ144" s="17"/>
      <c r="YR144" s="17"/>
      <c r="YS144" s="17"/>
    </row>
    <row r="145" spans="266:669" x14ac:dyDescent="0.25">
      <c r="JF145" s="17"/>
      <c r="JG145" s="17"/>
      <c r="JH145" s="17"/>
      <c r="JI145" s="17"/>
      <c r="JJ145" s="17"/>
      <c r="JK145" s="17"/>
      <c r="JL145" s="17"/>
      <c r="JM145" s="17"/>
      <c r="JN145" s="17"/>
      <c r="JO145" s="17"/>
      <c r="JP145" s="17"/>
      <c r="JQ145" s="17"/>
      <c r="JR145" s="17"/>
      <c r="JS145" s="17"/>
      <c r="JT145" s="17"/>
      <c r="JU145" s="17"/>
      <c r="JV145" s="17"/>
      <c r="JW145" s="17"/>
      <c r="JX145" s="17"/>
      <c r="JY145" s="17"/>
      <c r="JZ145" s="17"/>
      <c r="KA145" s="17"/>
      <c r="KB145" s="17"/>
      <c r="KC145" s="17"/>
      <c r="KD145" s="17"/>
      <c r="KE145" s="17"/>
      <c r="KF145" s="17"/>
      <c r="KG145" s="17"/>
      <c r="KH145" s="17"/>
      <c r="KI145" s="17"/>
      <c r="KJ145" s="17"/>
      <c r="KK145" s="17"/>
      <c r="KL145" s="17"/>
      <c r="KM145" s="17"/>
      <c r="KN145" s="17"/>
      <c r="KO145" s="17"/>
      <c r="KP145" s="17"/>
      <c r="KQ145" s="17"/>
      <c r="KR145" s="17"/>
      <c r="KS145" s="17"/>
      <c r="KT145" s="17"/>
      <c r="KU145" s="17"/>
      <c r="KV145" s="17"/>
      <c r="KW145" s="17"/>
      <c r="KX145" s="17"/>
      <c r="KY145" s="17"/>
      <c r="KZ145" s="17"/>
      <c r="LA145" s="17"/>
      <c r="LB145" s="17"/>
      <c r="LC145" s="17"/>
      <c r="LD145" s="17"/>
      <c r="LE145" s="17"/>
      <c r="LF145" s="17"/>
      <c r="LG145" s="17"/>
      <c r="LH145" s="17"/>
      <c r="LI145" s="17"/>
      <c r="LJ145" s="17"/>
      <c r="LK145" s="17"/>
      <c r="LL145" s="17"/>
      <c r="LM145" s="17"/>
      <c r="LN145" s="17"/>
      <c r="LO145" s="17"/>
      <c r="LP145" s="17"/>
      <c r="LQ145" s="17"/>
      <c r="LR145" s="17"/>
      <c r="LS145" s="17"/>
      <c r="LT145" s="17"/>
      <c r="LU145" s="17"/>
      <c r="LV145" s="17"/>
      <c r="LW145" s="17"/>
      <c r="LX145" s="17"/>
      <c r="LY145" s="17"/>
      <c r="LZ145" s="17"/>
      <c r="MA145" s="17"/>
      <c r="MB145" s="17"/>
      <c r="MC145" s="17"/>
      <c r="MD145" s="17"/>
      <c r="ME145" s="17"/>
      <c r="MF145" s="17"/>
      <c r="MG145" s="17"/>
      <c r="MH145" s="17"/>
      <c r="MI145" s="17"/>
      <c r="MJ145" s="17"/>
      <c r="MK145" s="17"/>
      <c r="ML145" s="17"/>
      <c r="MM145" s="17"/>
      <c r="MN145" s="17"/>
      <c r="MO145" s="17"/>
      <c r="MP145" s="17"/>
      <c r="MQ145" s="17"/>
      <c r="MR145" s="17"/>
      <c r="MS145" s="17"/>
      <c r="MT145" s="17"/>
      <c r="MU145" s="17"/>
      <c r="MV145" s="17"/>
      <c r="MW145" s="17"/>
      <c r="MX145" s="17"/>
      <c r="MY145" s="17"/>
      <c r="MZ145" s="17"/>
      <c r="NA145" s="17"/>
      <c r="NB145" s="17"/>
      <c r="NC145" s="17"/>
      <c r="ND145" s="17"/>
      <c r="NE145" s="17"/>
      <c r="NF145" s="17"/>
      <c r="NG145" s="17"/>
      <c r="NH145" s="17"/>
      <c r="NI145" s="17"/>
      <c r="NJ145" s="17"/>
      <c r="NK145" s="17"/>
      <c r="NL145" s="17"/>
      <c r="NM145" s="17"/>
      <c r="NN145" s="17"/>
      <c r="NO145" s="17"/>
      <c r="NP145" s="17"/>
      <c r="NQ145" s="17"/>
      <c r="NR145" s="17"/>
      <c r="NS145" s="17"/>
      <c r="NT145" s="17"/>
      <c r="NU145" s="17"/>
      <c r="NV145" s="17"/>
      <c r="NW145" s="17"/>
      <c r="NX145" s="17"/>
      <c r="NY145" s="17"/>
      <c r="NZ145" s="17"/>
      <c r="OA145" s="17"/>
      <c r="OB145" s="17"/>
      <c r="OC145" s="17"/>
      <c r="OD145" s="17"/>
      <c r="OE145" s="17"/>
      <c r="OF145" s="17"/>
      <c r="OG145" s="17"/>
      <c r="OH145" s="17"/>
      <c r="OI145" s="17"/>
      <c r="OJ145" s="17"/>
      <c r="OK145" s="17"/>
      <c r="OL145" s="17"/>
      <c r="OM145" s="17"/>
      <c r="ON145" s="17"/>
      <c r="OO145" s="17"/>
      <c r="OP145" s="17"/>
      <c r="OQ145" s="17"/>
      <c r="OR145" s="17"/>
      <c r="OS145" s="17"/>
      <c r="OT145" s="17"/>
      <c r="OU145" s="17"/>
      <c r="OV145" s="17"/>
      <c r="OW145" s="17"/>
      <c r="OX145" s="17"/>
      <c r="OY145" s="17"/>
      <c r="OZ145" s="17"/>
      <c r="PA145" s="17"/>
      <c r="PB145" s="17"/>
      <c r="PC145" s="17"/>
      <c r="PD145" s="17"/>
      <c r="PE145" s="17"/>
      <c r="PF145" s="17"/>
      <c r="PG145" s="17"/>
      <c r="PH145" s="17"/>
      <c r="PI145" s="17"/>
      <c r="PJ145" s="17"/>
      <c r="PK145" s="17"/>
      <c r="PL145" s="17"/>
      <c r="PM145" s="17"/>
      <c r="PN145" s="17"/>
      <c r="PO145" s="17"/>
      <c r="PP145" s="17"/>
      <c r="PQ145" s="17"/>
      <c r="PR145" s="17"/>
      <c r="PS145" s="17"/>
      <c r="PT145" s="17"/>
      <c r="PU145" s="17"/>
      <c r="PV145" s="17"/>
      <c r="PW145" s="17"/>
      <c r="PX145" s="17"/>
      <c r="PY145" s="17"/>
      <c r="PZ145" s="17"/>
      <c r="QA145" s="17"/>
      <c r="QB145" s="17"/>
      <c r="QC145" s="17"/>
      <c r="QD145" s="17"/>
      <c r="QE145" s="17"/>
      <c r="QF145" s="17"/>
      <c r="QG145" s="17"/>
      <c r="QH145" s="17"/>
      <c r="QI145" s="17"/>
      <c r="QJ145" s="17"/>
      <c r="QK145" s="17"/>
      <c r="QL145" s="17"/>
      <c r="QM145" s="17"/>
      <c r="QN145" s="17"/>
      <c r="QO145" s="17"/>
      <c r="QP145" s="17"/>
      <c r="QQ145" s="17"/>
      <c r="QR145" s="17"/>
      <c r="QS145" s="17"/>
      <c r="QT145" s="17"/>
      <c r="QU145" s="17"/>
      <c r="QV145" s="17"/>
      <c r="QW145" s="17"/>
      <c r="QX145" s="17"/>
      <c r="QY145" s="17"/>
      <c r="QZ145" s="17"/>
      <c r="RA145" s="17"/>
      <c r="RB145" s="17"/>
      <c r="RC145" s="17"/>
      <c r="RD145" s="17"/>
      <c r="RE145" s="17"/>
      <c r="RF145" s="17"/>
      <c r="RG145" s="17"/>
      <c r="RH145" s="17"/>
      <c r="RI145" s="17"/>
      <c r="RJ145" s="17"/>
      <c r="RK145" s="17"/>
      <c r="RL145" s="17"/>
      <c r="RM145" s="17"/>
      <c r="RN145" s="17"/>
      <c r="RO145" s="17"/>
      <c r="RP145" s="17"/>
      <c r="RQ145" s="17"/>
      <c r="RR145" s="17"/>
      <c r="RS145" s="17"/>
      <c r="RT145" s="17"/>
      <c r="RU145" s="17"/>
      <c r="RV145" s="17"/>
      <c r="RW145" s="17"/>
      <c r="RX145" s="17"/>
      <c r="RY145" s="17"/>
      <c r="RZ145" s="17"/>
      <c r="SA145" s="17"/>
      <c r="SB145" s="17"/>
      <c r="SC145" s="17"/>
      <c r="SD145" s="17"/>
      <c r="SE145" s="17"/>
      <c r="SF145" s="17"/>
      <c r="SG145" s="17"/>
      <c r="SH145" s="17"/>
      <c r="SI145" s="17"/>
      <c r="SJ145" s="17"/>
      <c r="SK145" s="17"/>
      <c r="SL145" s="17"/>
      <c r="SM145" s="17"/>
      <c r="SN145" s="17"/>
      <c r="SO145" s="17"/>
      <c r="SP145" s="17"/>
      <c r="SQ145" s="17"/>
      <c r="SR145" s="17"/>
      <c r="SS145" s="17"/>
      <c r="ST145" s="17"/>
      <c r="SU145" s="17"/>
      <c r="SV145" s="17"/>
      <c r="SW145" s="17"/>
      <c r="SX145" s="17"/>
      <c r="SY145" s="17"/>
      <c r="SZ145" s="17"/>
      <c r="TA145" s="17"/>
      <c r="TB145" s="17"/>
      <c r="TC145" s="17"/>
      <c r="TD145" s="17"/>
      <c r="TE145" s="17"/>
      <c r="TF145" s="17"/>
      <c r="TG145" s="17"/>
      <c r="TH145" s="17"/>
      <c r="TI145" s="17"/>
      <c r="TJ145" s="17"/>
      <c r="TK145" s="17"/>
      <c r="TL145" s="17"/>
      <c r="TM145" s="17"/>
      <c r="TN145" s="17"/>
      <c r="TO145" s="17"/>
      <c r="TP145" s="17"/>
      <c r="TQ145" s="17"/>
      <c r="TR145" s="17"/>
      <c r="TS145" s="17"/>
      <c r="TT145" s="17"/>
      <c r="TU145" s="17"/>
      <c r="TV145" s="17"/>
      <c r="TW145" s="17"/>
      <c r="TX145" s="17"/>
      <c r="TY145" s="17"/>
      <c r="TZ145" s="17"/>
      <c r="UA145" s="17"/>
      <c r="UB145" s="17"/>
      <c r="UC145" s="17"/>
      <c r="UD145" s="17"/>
      <c r="UE145" s="17"/>
      <c r="UF145" s="17"/>
      <c r="UG145" s="17"/>
      <c r="UH145" s="17"/>
      <c r="UI145" s="17"/>
      <c r="UJ145" s="17"/>
      <c r="UK145" s="17"/>
      <c r="UL145" s="17"/>
      <c r="UM145" s="17"/>
      <c r="UN145" s="17"/>
      <c r="UO145" s="17"/>
      <c r="UP145" s="17"/>
      <c r="UQ145" s="17"/>
      <c r="UR145" s="17"/>
      <c r="US145" s="17"/>
      <c r="UT145" s="17"/>
      <c r="UU145" s="17"/>
      <c r="UV145" s="17"/>
      <c r="UW145" s="17"/>
      <c r="UX145" s="17"/>
      <c r="UY145" s="17"/>
      <c r="UZ145" s="17"/>
      <c r="VA145" s="17"/>
      <c r="VB145" s="17"/>
      <c r="VC145" s="17"/>
      <c r="VD145" s="17"/>
      <c r="VE145" s="17"/>
      <c r="VF145" s="17"/>
      <c r="VG145" s="17"/>
      <c r="VH145" s="17"/>
      <c r="VI145" s="17"/>
      <c r="VJ145" s="17"/>
      <c r="VK145" s="17"/>
      <c r="VL145" s="17"/>
      <c r="VM145" s="17"/>
      <c r="VN145" s="17"/>
      <c r="VO145" s="17"/>
      <c r="VP145" s="17"/>
      <c r="VQ145" s="17"/>
      <c r="VR145" s="17"/>
      <c r="VS145" s="17"/>
      <c r="VT145" s="17"/>
      <c r="VU145" s="17"/>
      <c r="VV145" s="17"/>
      <c r="VW145" s="17"/>
      <c r="VX145" s="17"/>
      <c r="VY145" s="17"/>
      <c r="VZ145" s="17"/>
      <c r="WA145" s="17"/>
      <c r="WB145" s="17"/>
      <c r="WC145" s="17"/>
      <c r="WD145" s="17"/>
      <c r="WE145" s="17"/>
      <c r="WF145" s="17"/>
      <c r="WG145" s="17"/>
      <c r="WH145" s="17"/>
      <c r="WI145" s="17"/>
      <c r="WJ145" s="17"/>
      <c r="WK145" s="17"/>
      <c r="WL145" s="17"/>
      <c r="WM145" s="17"/>
      <c r="WN145" s="17"/>
      <c r="WO145" s="17"/>
      <c r="WP145" s="17"/>
      <c r="WQ145" s="17"/>
      <c r="WR145" s="17"/>
      <c r="WS145" s="17"/>
      <c r="WT145" s="17"/>
      <c r="WU145" s="17"/>
      <c r="WV145" s="17"/>
      <c r="WW145" s="17"/>
      <c r="WX145" s="17"/>
      <c r="WY145" s="17"/>
      <c r="WZ145" s="17"/>
      <c r="XA145" s="17"/>
      <c r="XB145" s="17"/>
      <c r="XC145" s="17"/>
      <c r="XD145" s="17"/>
      <c r="XE145" s="17"/>
      <c r="XF145" s="17"/>
      <c r="XG145" s="17"/>
      <c r="XH145" s="17"/>
      <c r="XI145" s="17"/>
      <c r="XJ145" s="17"/>
      <c r="XK145" s="17"/>
      <c r="XL145" s="17"/>
      <c r="XM145" s="17"/>
      <c r="XN145" s="17"/>
      <c r="XO145" s="17"/>
      <c r="XP145" s="17"/>
      <c r="XQ145" s="17"/>
      <c r="XR145" s="17"/>
      <c r="XS145" s="17"/>
      <c r="XT145" s="17"/>
      <c r="XU145" s="17"/>
      <c r="XV145" s="17"/>
      <c r="XW145" s="17"/>
      <c r="XX145" s="17"/>
      <c r="XY145" s="17"/>
      <c r="XZ145" s="17"/>
      <c r="YA145" s="17"/>
      <c r="YB145" s="17"/>
      <c r="YC145" s="17"/>
      <c r="YD145" s="17"/>
      <c r="YE145" s="17"/>
      <c r="YF145" s="17"/>
      <c r="YG145" s="17"/>
      <c r="YH145" s="17"/>
      <c r="YI145" s="17"/>
      <c r="YJ145" s="17"/>
      <c r="YK145" s="17"/>
      <c r="YL145" s="17"/>
      <c r="YM145" s="17"/>
      <c r="YN145" s="17"/>
      <c r="YO145" s="17"/>
      <c r="YP145" s="17"/>
      <c r="YQ145" s="17"/>
      <c r="YR145" s="17"/>
      <c r="YS145" s="17"/>
    </row>
    <row r="146" spans="266:669" x14ac:dyDescent="0.25">
      <c r="JF146" s="17"/>
      <c r="JG146" s="17"/>
      <c r="JH146" s="17"/>
      <c r="JI146" s="17"/>
      <c r="JJ146" s="17"/>
      <c r="JK146" s="17"/>
      <c r="JL146" s="17"/>
      <c r="JM146" s="17"/>
      <c r="JN146" s="17"/>
      <c r="JO146" s="17"/>
      <c r="JP146" s="17"/>
      <c r="JQ146" s="17"/>
      <c r="JR146" s="17"/>
      <c r="JS146" s="17"/>
      <c r="JT146" s="17"/>
      <c r="JU146" s="17"/>
      <c r="JV146" s="17"/>
      <c r="JW146" s="17"/>
      <c r="JX146" s="17"/>
      <c r="JY146" s="17"/>
      <c r="JZ146" s="17"/>
      <c r="KA146" s="17"/>
      <c r="KB146" s="17"/>
      <c r="KC146" s="17"/>
      <c r="KD146" s="17"/>
      <c r="KE146" s="17"/>
      <c r="KF146" s="17"/>
      <c r="KG146" s="17"/>
      <c r="KH146" s="17"/>
      <c r="KI146" s="17"/>
      <c r="KJ146" s="17"/>
      <c r="KK146" s="17"/>
      <c r="KL146" s="17"/>
      <c r="KM146" s="17"/>
      <c r="KN146" s="17"/>
      <c r="KO146" s="17"/>
      <c r="KP146" s="17"/>
      <c r="KQ146" s="17"/>
      <c r="KR146" s="17"/>
      <c r="KS146" s="17"/>
      <c r="KT146" s="17"/>
      <c r="KU146" s="17"/>
      <c r="KV146" s="17"/>
      <c r="KW146" s="17"/>
      <c r="KX146" s="17"/>
      <c r="KY146" s="17"/>
      <c r="KZ146" s="17"/>
      <c r="LA146" s="17"/>
      <c r="LB146" s="17"/>
      <c r="LC146" s="17"/>
      <c r="LD146" s="17"/>
      <c r="LE146" s="17"/>
      <c r="LF146" s="17"/>
      <c r="LG146" s="17"/>
      <c r="LH146" s="17"/>
      <c r="LI146" s="17"/>
      <c r="LJ146" s="17"/>
      <c r="LK146" s="17"/>
      <c r="LL146" s="17"/>
      <c r="LM146" s="17"/>
      <c r="LN146" s="17"/>
      <c r="LO146" s="17"/>
      <c r="LP146" s="17"/>
      <c r="LQ146" s="17"/>
      <c r="LR146" s="17"/>
      <c r="LS146" s="17"/>
      <c r="LT146" s="17"/>
      <c r="LU146" s="17"/>
      <c r="LV146" s="17"/>
      <c r="LW146" s="17"/>
      <c r="LX146" s="17"/>
      <c r="LY146" s="17"/>
      <c r="LZ146" s="17"/>
      <c r="MA146" s="17"/>
      <c r="MB146" s="17"/>
      <c r="MC146" s="17"/>
      <c r="MD146" s="17"/>
      <c r="ME146" s="17"/>
      <c r="MF146" s="17"/>
      <c r="MG146" s="17"/>
      <c r="MH146" s="17"/>
      <c r="MI146" s="17"/>
      <c r="MJ146" s="17"/>
      <c r="MK146" s="17"/>
      <c r="ML146" s="17"/>
      <c r="MM146" s="17"/>
      <c r="MN146" s="17"/>
      <c r="MO146" s="17"/>
      <c r="MP146" s="17"/>
      <c r="MQ146" s="17"/>
      <c r="MR146" s="17"/>
      <c r="MS146" s="17"/>
      <c r="MT146" s="17"/>
      <c r="MU146" s="17"/>
      <c r="MV146" s="17"/>
      <c r="MW146" s="17"/>
      <c r="MX146" s="17"/>
      <c r="MY146" s="17"/>
      <c r="MZ146" s="17"/>
      <c r="NA146" s="17"/>
      <c r="NB146" s="17"/>
      <c r="NC146" s="17"/>
      <c r="ND146" s="17"/>
      <c r="NE146" s="17"/>
      <c r="NF146" s="17"/>
      <c r="NG146" s="17"/>
      <c r="NH146" s="17"/>
      <c r="NI146" s="17"/>
      <c r="NJ146" s="17"/>
      <c r="NK146" s="17"/>
      <c r="NL146" s="17"/>
      <c r="NM146" s="17"/>
      <c r="NN146" s="17"/>
      <c r="NO146" s="17"/>
      <c r="NP146" s="17"/>
      <c r="NQ146" s="17"/>
      <c r="NR146" s="17"/>
      <c r="NS146" s="17"/>
      <c r="NT146" s="17"/>
      <c r="NU146" s="17"/>
      <c r="NV146" s="17"/>
      <c r="NW146" s="17"/>
      <c r="NX146" s="17"/>
      <c r="NY146" s="17"/>
      <c r="NZ146" s="17"/>
      <c r="OA146" s="17"/>
      <c r="OB146" s="17"/>
      <c r="OC146" s="17"/>
      <c r="OD146" s="17"/>
      <c r="OE146" s="17"/>
      <c r="OF146" s="17"/>
      <c r="OG146" s="17"/>
      <c r="OH146" s="17"/>
      <c r="OI146" s="17"/>
      <c r="OJ146" s="17"/>
      <c r="OK146" s="17"/>
      <c r="OL146" s="17"/>
      <c r="OM146" s="17"/>
      <c r="ON146" s="17"/>
      <c r="OO146" s="17"/>
      <c r="OP146" s="17"/>
      <c r="OQ146" s="17"/>
      <c r="OR146" s="17"/>
      <c r="OS146" s="17"/>
      <c r="OT146" s="17"/>
      <c r="OU146" s="17"/>
      <c r="OV146" s="17"/>
      <c r="OW146" s="17"/>
      <c r="OX146" s="17"/>
      <c r="OY146" s="17"/>
      <c r="OZ146" s="17"/>
      <c r="PA146" s="17"/>
      <c r="PB146" s="17"/>
      <c r="PC146" s="17"/>
      <c r="PD146" s="17"/>
      <c r="PE146" s="17"/>
      <c r="PF146" s="17"/>
      <c r="PG146" s="17"/>
      <c r="PH146" s="17"/>
      <c r="PI146" s="17"/>
      <c r="PJ146" s="17"/>
      <c r="PK146" s="17"/>
      <c r="PL146" s="17"/>
      <c r="PM146" s="17"/>
      <c r="PN146" s="17"/>
      <c r="PO146" s="17"/>
      <c r="PP146" s="17"/>
      <c r="PQ146" s="17"/>
      <c r="PR146" s="17"/>
      <c r="PS146" s="17"/>
      <c r="PT146" s="17"/>
      <c r="PU146" s="17"/>
      <c r="PV146" s="17"/>
      <c r="PW146" s="17"/>
      <c r="PX146" s="17"/>
      <c r="PY146" s="17"/>
      <c r="PZ146" s="17"/>
      <c r="QA146" s="17"/>
      <c r="QB146" s="17"/>
      <c r="QC146" s="17"/>
      <c r="QD146" s="17"/>
      <c r="QE146" s="17"/>
      <c r="QF146" s="17"/>
      <c r="QG146" s="17"/>
      <c r="QH146" s="17"/>
      <c r="QI146" s="17"/>
      <c r="QJ146" s="17"/>
      <c r="QK146" s="17"/>
      <c r="QL146" s="17"/>
      <c r="QM146" s="17"/>
      <c r="QN146" s="17"/>
      <c r="QO146" s="17"/>
      <c r="QP146" s="17"/>
      <c r="QQ146" s="17"/>
      <c r="QR146" s="17"/>
      <c r="QS146" s="17"/>
      <c r="QT146" s="17"/>
      <c r="QU146" s="17"/>
      <c r="QV146" s="17"/>
      <c r="QW146" s="17"/>
      <c r="QX146" s="17"/>
      <c r="QY146" s="17"/>
      <c r="QZ146" s="17"/>
      <c r="RA146" s="17"/>
      <c r="RB146" s="17"/>
      <c r="RC146" s="17"/>
      <c r="RD146" s="17"/>
      <c r="RE146" s="17"/>
      <c r="RF146" s="17"/>
      <c r="RG146" s="17"/>
      <c r="RH146" s="17"/>
      <c r="RI146" s="17"/>
      <c r="RJ146" s="17"/>
      <c r="RK146" s="17"/>
      <c r="RL146" s="17"/>
      <c r="RM146" s="17"/>
      <c r="RN146" s="17"/>
      <c r="RO146" s="17"/>
      <c r="RP146" s="17"/>
      <c r="RQ146" s="17"/>
      <c r="RR146" s="17"/>
      <c r="RS146" s="17"/>
      <c r="RT146" s="17"/>
      <c r="RU146" s="17"/>
      <c r="RV146" s="17"/>
      <c r="RW146" s="17"/>
      <c r="RX146" s="17"/>
      <c r="RY146" s="17"/>
      <c r="RZ146" s="17"/>
      <c r="SA146" s="17"/>
      <c r="SB146" s="17"/>
      <c r="SC146" s="17"/>
      <c r="SD146" s="17"/>
      <c r="SE146" s="17"/>
      <c r="SF146" s="17"/>
      <c r="SG146" s="17"/>
      <c r="SH146" s="17"/>
      <c r="SI146" s="17"/>
      <c r="SJ146" s="17"/>
      <c r="SK146" s="17"/>
      <c r="SL146" s="17"/>
      <c r="SM146" s="17"/>
      <c r="SN146" s="17"/>
      <c r="SO146" s="17"/>
      <c r="SP146" s="17"/>
      <c r="SQ146" s="17"/>
      <c r="SR146" s="17"/>
      <c r="SS146" s="17"/>
      <c r="ST146" s="17"/>
      <c r="SU146" s="17"/>
      <c r="SV146" s="17"/>
      <c r="SW146" s="17"/>
      <c r="SX146" s="17"/>
      <c r="SY146" s="17"/>
      <c r="SZ146" s="17"/>
      <c r="TA146" s="17"/>
      <c r="TB146" s="17"/>
      <c r="TC146" s="17"/>
      <c r="TD146" s="17"/>
      <c r="TE146" s="17"/>
      <c r="TF146" s="17"/>
      <c r="TG146" s="17"/>
      <c r="TH146" s="17"/>
      <c r="TI146" s="17"/>
      <c r="TJ146" s="17"/>
      <c r="TK146" s="17"/>
      <c r="TL146" s="17"/>
      <c r="TM146" s="17"/>
      <c r="TN146" s="17"/>
      <c r="TO146" s="17"/>
      <c r="TP146" s="17"/>
      <c r="TQ146" s="17"/>
      <c r="TR146" s="17"/>
      <c r="TS146" s="17"/>
      <c r="TT146" s="17"/>
      <c r="TU146" s="17"/>
      <c r="TV146" s="17"/>
      <c r="TW146" s="17"/>
      <c r="TX146" s="17"/>
      <c r="TY146" s="17"/>
      <c r="TZ146" s="17"/>
      <c r="UA146" s="17"/>
      <c r="UB146" s="17"/>
      <c r="UC146" s="17"/>
      <c r="UD146" s="17"/>
      <c r="UE146" s="17"/>
      <c r="UF146" s="17"/>
      <c r="UG146" s="17"/>
      <c r="UH146" s="17"/>
      <c r="UI146" s="17"/>
      <c r="UJ146" s="17"/>
      <c r="UK146" s="17"/>
      <c r="UL146" s="17"/>
      <c r="UM146" s="17"/>
      <c r="UN146" s="17"/>
      <c r="UO146" s="17"/>
      <c r="UP146" s="17"/>
      <c r="UQ146" s="17"/>
      <c r="UR146" s="17"/>
      <c r="US146" s="17"/>
      <c r="UT146" s="17"/>
      <c r="UU146" s="17"/>
      <c r="UV146" s="17"/>
      <c r="UW146" s="17"/>
      <c r="UX146" s="17"/>
      <c r="UY146" s="17"/>
      <c r="UZ146" s="17"/>
      <c r="VA146" s="17"/>
      <c r="VB146" s="17"/>
      <c r="VC146" s="17"/>
      <c r="VD146" s="17"/>
      <c r="VE146" s="17"/>
      <c r="VF146" s="17"/>
      <c r="VG146" s="17"/>
      <c r="VH146" s="17"/>
      <c r="VI146" s="17"/>
      <c r="VJ146" s="17"/>
      <c r="VK146" s="17"/>
      <c r="VL146" s="17"/>
      <c r="VM146" s="17"/>
      <c r="VN146" s="17"/>
      <c r="VO146" s="17"/>
      <c r="VP146" s="17"/>
      <c r="VQ146" s="17"/>
      <c r="VR146" s="17"/>
      <c r="VS146" s="17"/>
      <c r="VT146" s="17"/>
      <c r="VU146" s="17"/>
      <c r="VV146" s="17"/>
      <c r="VW146" s="17"/>
      <c r="VX146" s="17"/>
      <c r="VY146" s="17"/>
      <c r="VZ146" s="17"/>
      <c r="WA146" s="17"/>
      <c r="WB146" s="17"/>
      <c r="WC146" s="17"/>
      <c r="WD146" s="17"/>
      <c r="WE146" s="17"/>
      <c r="WF146" s="17"/>
      <c r="WG146" s="17"/>
      <c r="WH146" s="17"/>
      <c r="WI146" s="17"/>
      <c r="WJ146" s="17"/>
      <c r="WK146" s="17"/>
      <c r="WL146" s="17"/>
      <c r="WM146" s="17"/>
      <c r="WN146" s="17"/>
      <c r="WO146" s="17"/>
      <c r="WP146" s="17"/>
      <c r="WQ146" s="17"/>
      <c r="WR146" s="17"/>
      <c r="WS146" s="17"/>
      <c r="WT146" s="17"/>
      <c r="WU146" s="17"/>
      <c r="WV146" s="17"/>
      <c r="WW146" s="17"/>
      <c r="WX146" s="17"/>
      <c r="WY146" s="17"/>
      <c r="WZ146" s="17"/>
      <c r="XA146" s="17"/>
      <c r="XB146" s="17"/>
      <c r="XC146" s="17"/>
      <c r="XD146" s="17"/>
      <c r="XE146" s="17"/>
      <c r="XF146" s="17"/>
      <c r="XG146" s="17"/>
      <c r="XH146" s="17"/>
      <c r="XI146" s="17"/>
      <c r="XJ146" s="17"/>
      <c r="XK146" s="17"/>
      <c r="XL146" s="17"/>
      <c r="XM146" s="17"/>
      <c r="XN146" s="17"/>
      <c r="XO146" s="17"/>
      <c r="XP146" s="17"/>
      <c r="XQ146" s="17"/>
      <c r="XR146" s="17"/>
      <c r="XS146" s="17"/>
      <c r="XT146" s="17"/>
      <c r="XU146" s="17"/>
      <c r="XV146" s="17"/>
      <c r="XW146" s="17"/>
      <c r="XX146" s="17"/>
      <c r="XY146" s="17"/>
      <c r="XZ146" s="17"/>
      <c r="YA146" s="17"/>
      <c r="YB146" s="17"/>
      <c r="YC146" s="17"/>
      <c r="YD146" s="17"/>
      <c r="YE146" s="17"/>
      <c r="YF146" s="17"/>
      <c r="YG146" s="17"/>
      <c r="YH146" s="17"/>
      <c r="YI146" s="17"/>
      <c r="YJ146" s="17"/>
      <c r="YK146" s="17"/>
      <c r="YL146" s="17"/>
      <c r="YM146" s="17"/>
      <c r="YN146" s="17"/>
      <c r="YO146" s="17"/>
      <c r="YP146" s="17"/>
      <c r="YQ146" s="17"/>
      <c r="YR146" s="17"/>
      <c r="YS146" s="17"/>
    </row>
    <row r="147" spans="266:669" x14ac:dyDescent="0.25">
      <c r="JF147" s="17"/>
      <c r="JG147" s="17"/>
      <c r="JH147" s="17"/>
      <c r="JI147" s="17"/>
      <c r="JJ147" s="17"/>
      <c r="JK147" s="17"/>
      <c r="JL147" s="17"/>
      <c r="JM147" s="17"/>
      <c r="JN147" s="17"/>
      <c r="JO147" s="17"/>
      <c r="JP147" s="17"/>
      <c r="JQ147" s="17"/>
      <c r="JR147" s="17"/>
      <c r="JS147" s="17"/>
      <c r="JT147" s="17"/>
      <c r="JU147" s="17"/>
      <c r="JV147" s="17"/>
      <c r="JW147" s="17"/>
      <c r="JX147" s="17"/>
      <c r="JY147" s="17"/>
      <c r="JZ147" s="17"/>
      <c r="KA147" s="17"/>
      <c r="KB147" s="17"/>
      <c r="KC147" s="17"/>
      <c r="KD147" s="17"/>
      <c r="KE147" s="17"/>
      <c r="KF147" s="17"/>
      <c r="KG147" s="17"/>
      <c r="KH147" s="17"/>
      <c r="KI147" s="17"/>
      <c r="KJ147" s="17"/>
      <c r="KK147" s="17"/>
      <c r="KL147" s="17"/>
      <c r="KM147" s="17"/>
      <c r="KN147" s="17"/>
      <c r="KO147" s="17"/>
      <c r="KP147" s="17"/>
      <c r="KQ147" s="17"/>
      <c r="KR147" s="17"/>
      <c r="KS147" s="17"/>
      <c r="KT147" s="17"/>
      <c r="KU147" s="17"/>
      <c r="KV147" s="17"/>
      <c r="KW147" s="17"/>
      <c r="KX147" s="17"/>
      <c r="KY147" s="17"/>
      <c r="KZ147" s="17"/>
      <c r="LA147" s="17"/>
      <c r="LB147" s="17"/>
      <c r="LC147" s="17"/>
      <c r="LD147" s="17"/>
      <c r="LE147" s="17"/>
      <c r="LF147" s="17"/>
      <c r="LG147" s="17"/>
      <c r="LH147" s="17"/>
      <c r="LI147" s="17"/>
      <c r="LJ147" s="17"/>
      <c r="LK147" s="17"/>
      <c r="LL147" s="17"/>
      <c r="LM147" s="17"/>
      <c r="LN147" s="17"/>
      <c r="LO147" s="17"/>
      <c r="LP147" s="17"/>
      <c r="LQ147" s="17"/>
      <c r="LR147" s="17"/>
      <c r="LS147" s="17"/>
      <c r="LT147" s="17"/>
      <c r="LU147" s="17"/>
      <c r="LV147" s="17"/>
      <c r="LW147" s="17"/>
      <c r="LX147" s="17"/>
      <c r="LY147" s="17"/>
      <c r="LZ147" s="17"/>
      <c r="MA147" s="17"/>
      <c r="MB147" s="17"/>
      <c r="MC147" s="17"/>
      <c r="MD147" s="17"/>
      <c r="ME147" s="17"/>
      <c r="MF147" s="17"/>
      <c r="MG147" s="17"/>
      <c r="MH147" s="17"/>
      <c r="MI147" s="17"/>
      <c r="MJ147" s="17"/>
      <c r="MK147" s="17"/>
      <c r="ML147" s="17"/>
      <c r="MM147" s="17"/>
      <c r="MN147" s="17"/>
      <c r="MO147" s="17"/>
      <c r="MP147" s="17"/>
      <c r="MQ147" s="17"/>
      <c r="MR147" s="17"/>
      <c r="MS147" s="17"/>
      <c r="MT147" s="17"/>
      <c r="MU147" s="17"/>
      <c r="MV147" s="17"/>
      <c r="MW147" s="17"/>
      <c r="MX147" s="17"/>
      <c r="MY147" s="17"/>
      <c r="MZ147" s="17"/>
      <c r="NA147" s="17"/>
      <c r="NB147" s="17"/>
      <c r="NC147" s="17"/>
      <c r="ND147" s="17"/>
      <c r="NE147" s="17"/>
      <c r="NF147" s="17"/>
      <c r="NG147" s="17"/>
      <c r="NH147" s="17"/>
      <c r="NI147" s="17"/>
      <c r="NJ147" s="17"/>
      <c r="NK147" s="17"/>
      <c r="NL147" s="17"/>
      <c r="NM147" s="17"/>
      <c r="NN147" s="17"/>
      <c r="NO147" s="17"/>
      <c r="NP147" s="17"/>
      <c r="NQ147" s="17"/>
      <c r="NR147" s="17"/>
      <c r="NS147" s="17"/>
      <c r="NT147" s="17"/>
      <c r="NU147" s="17"/>
      <c r="NV147" s="17"/>
      <c r="NW147" s="17"/>
      <c r="NX147" s="17"/>
      <c r="NY147" s="17"/>
      <c r="NZ147" s="17"/>
      <c r="OA147" s="17"/>
      <c r="OB147" s="17"/>
      <c r="OC147" s="17"/>
      <c r="OD147" s="17"/>
      <c r="OE147" s="17"/>
      <c r="OF147" s="17"/>
      <c r="OG147" s="17"/>
      <c r="OH147" s="17"/>
      <c r="OI147" s="17"/>
      <c r="OJ147" s="17"/>
      <c r="OK147" s="17"/>
      <c r="OL147" s="17"/>
      <c r="OM147" s="17"/>
      <c r="ON147" s="17"/>
      <c r="OO147" s="17"/>
      <c r="OP147" s="17"/>
      <c r="OQ147" s="17"/>
      <c r="OR147" s="17"/>
      <c r="OS147" s="17"/>
      <c r="OT147" s="17"/>
      <c r="OU147" s="17"/>
      <c r="OV147" s="17"/>
      <c r="OW147" s="17"/>
      <c r="OX147" s="17"/>
      <c r="OY147" s="17"/>
      <c r="OZ147" s="17"/>
      <c r="PA147" s="17"/>
      <c r="PB147" s="17"/>
      <c r="PC147" s="17"/>
      <c r="PD147" s="17"/>
      <c r="PE147" s="17"/>
      <c r="PF147" s="17"/>
      <c r="PG147" s="17"/>
      <c r="PH147" s="17"/>
      <c r="PI147" s="17"/>
      <c r="PJ147" s="17"/>
      <c r="PK147" s="17"/>
      <c r="PL147" s="17"/>
      <c r="PM147" s="17"/>
      <c r="PN147" s="17"/>
      <c r="PO147" s="17"/>
      <c r="PP147" s="17"/>
      <c r="PQ147" s="17"/>
      <c r="PR147" s="17"/>
      <c r="PS147" s="17"/>
      <c r="PT147" s="17"/>
      <c r="PU147" s="17"/>
      <c r="PV147" s="17"/>
      <c r="PW147" s="17"/>
      <c r="PX147" s="17"/>
      <c r="PY147" s="17"/>
      <c r="PZ147" s="17"/>
      <c r="QA147" s="17"/>
      <c r="QB147" s="17"/>
      <c r="QC147" s="17"/>
      <c r="QD147" s="17"/>
      <c r="QE147" s="17"/>
      <c r="QF147" s="17"/>
      <c r="QG147" s="17"/>
      <c r="QH147" s="17"/>
      <c r="QI147" s="17"/>
      <c r="QJ147" s="17"/>
      <c r="QK147" s="17"/>
      <c r="QL147" s="17"/>
      <c r="QM147" s="17"/>
      <c r="QN147" s="17"/>
      <c r="QO147" s="17"/>
      <c r="QP147" s="17"/>
      <c r="QQ147" s="17"/>
      <c r="QR147" s="17"/>
      <c r="QS147" s="17"/>
      <c r="QT147" s="17"/>
      <c r="QU147" s="17"/>
      <c r="QV147" s="17"/>
      <c r="QW147" s="17"/>
      <c r="QX147" s="17"/>
      <c r="QY147" s="17"/>
      <c r="QZ147" s="17"/>
      <c r="RA147" s="17"/>
      <c r="RB147" s="17"/>
      <c r="RC147" s="17"/>
      <c r="RD147" s="17"/>
      <c r="RE147" s="17"/>
      <c r="RF147" s="17"/>
      <c r="RG147" s="17"/>
      <c r="RH147" s="17"/>
      <c r="RI147" s="17"/>
      <c r="RJ147" s="17"/>
      <c r="RK147" s="17"/>
      <c r="RL147" s="17"/>
      <c r="RM147" s="17"/>
      <c r="RN147" s="17"/>
      <c r="RO147" s="17"/>
      <c r="RP147" s="17"/>
      <c r="RQ147" s="17"/>
      <c r="RR147" s="17"/>
      <c r="RS147" s="17"/>
      <c r="RT147" s="17"/>
      <c r="RU147" s="17"/>
      <c r="RV147" s="17"/>
      <c r="RW147" s="17"/>
      <c r="RX147" s="17"/>
      <c r="RY147" s="17"/>
      <c r="RZ147" s="17"/>
      <c r="SA147" s="17"/>
      <c r="SB147" s="17"/>
      <c r="SC147" s="17"/>
      <c r="SD147" s="17"/>
      <c r="SE147" s="17"/>
      <c r="SF147" s="17"/>
      <c r="SG147" s="17"/>
      <c r="SH147" s="17"/>
      <c r="SI147" s="17"/>
      <c r="SJ147" s="17"/>
      <c r="SK147" s="17"/>
      <c r="SL147" s="17"/>
      <c r="SM147" s="17"/>
      <c r="SN147" s="17"/>
      <c r="SO147" s="17"/>
      <c r="SP147" s="17"/>
      <c r="SQ147" s="17"/>
      <c r="SR147" s="17"/>
      <c r="SS147" s="17"/>
      <c r="ST147" s="17"/>
      <c r="SU147" s="17"/>
      <c r="SV147" s="17"/>
      <c r="SW147" s="17"/>
      <c r="SX147" s="17"/>
      <c r="SY147" s="17"/>
      <c r="SZ147" s="17"/>
      <c r="TA147" s="17"/>
      <c r="TB147" s="17"/>
      <c r="TC147" s="17"/>
      <c r="TD147" s="17"/>
      <c r="TE147" s="17"/>
      <c r="TF147" s="17"/>
      <c r="TG147" s="17"/>
      <c r="TH147" s="17"/>
      <c r="TI147" s="17"/>
      <c r="TJ147" s="17"/>
      <c r="TK147" s="17"/>
      <c r="TL147" s="17"/>
      <c r="TM147" s="17"/>
      <c r="TN147" s="17"/>
      <c r="TO147" s="17"/>
      <c r="TP147" s="17"/>
      <c r="TQ147" s="17"/>
      <c r="TR147" s="17"/>
      <c r="TS147" s="17"/>
      <c r="TT147" s="17"/>
      <c r="TU147" s="17"/>
      <c r="TV147" s="17"/>
      <c r="TW147" s="17"/>
      <c r="TX147" s="17"/>
      <c r="TY147" s="17"/>
      <c r="TZ147" s="17"/>
      <c r="UA147" s="17"/>
      <c r="UB147" s="17"/>
      <c r="UC147" s="17"/>
      <c r="UD147" s="17"/>
      <c r="UE147" s="17"/>
      <c r="UF147" s="17"/>
      <c r="UG147" s="17"/>
      <c r="UH147" s="17"/>
      <c r="UI147" s="17"/>
      <c r="UJ147" s="17"/>
      <c r="UK147" s="17"/>
      <c r="UL147" s="17"/>
      <c r="UM147" s="17"/>
      <c r="UN147" s="17"/>
      <c r="UO147" s="17"/>
      <c r="UP147" s="17"/>
      <c r="UQ147" s="17"/>
      <c r="UR147" s="17"/>
      <c r="US147" s="17"/>
      <c r="UT147" s="17"/>
      <c r="UU147" s="17"/>
      <c r="UV147" s="17"/>
      <c r="UW147" s="17"/>
      <c r="UX147" s="17"/>
      <c r="UY147" s="17"/>
      <c r="UZ147" s="17"/>
      <c r="VA147" s="17"/>
      <c r="VB147" s="17"/>
      <c r="VC147" s="17"/>
      <c r="VD147" s="17"/>
      <c r="VE147" s="17"/>
      <c r="VF147" s="17"/>
      <c r="VG147" s="17"/>
      <c r="VH147" s="17"/>
      <c r="VI147" s="17"/>
      <c r="VJ147" s="17"/>
      <c r="VK147" s="17"/>
      <c r="VL147" s="17"/>
      <c r="VM147" s="17"/>
      <c r="VN147" s="17"/>
      <c r="VO147" s="17"/>
      <c r="VP147" s="17"/>
      <c r="VQ147" s="17"/>
      <c r="VR147" s="17"/>
      <c r="VS147" s="17"/>
      <c r="VT147" s="17"/>
      <c r="VU147" s="17"/>
      <c r="VV147" s="17"/>
      <c r="VW147" s="17"/>
      <c r="VX147" s="17"/>
      <c r="VY147" s="17"/>
      <c r="VZ147" s="17"/>
      <c r="WA147" s="17"/>
      <c r="WB147" s="17"/>
      <c r="WC147" s="17"/>
      <c r="WD147" s="17"/>
      <c r="WE147" s="17"/>
      <c r="WF147" s="17"/>
      <c r="WG147" s="17"/>
      <c r="WH147" s="17"/>
      <c r="WI147" s="17"/>
      <c r="WJ147" s="17"/>
      <c r="WK147" s="17"/>
      <c r="WL147" s="17"/>
      <c r="WM147" s="17"/>
      <c r="WN147" s="17"/>
      <c r="WO147" s="17"/>
      <c r="WP147" s="17"/>
      <c r="WQ147" s="17"/>
      <c r="WR147" s="17"/>
      <c r="WS147" s="17"/>
      <c r="WT147" s="17"/>
      <c r="WU147" s="17"/>
      <c r="WV147" s="17"/>
      <c r="WW147" s="17"/>
      <c r="WX147" s="17"/>
      <c r="WY147" s="17"/>
      <c r="WZ147" s="17"/>
      <c r="XA147" s="17"/>
      <c r="XB147" s="17"/>
      <c r="XC147" s="17"/>
      <c r="XD147" s="17"/>
      <c r="XE147" s="17"/>
      <c r="XF147" s="17"/>
      <c r="XG147" s="17"/>
      <c r="XH147" s="17"/>
      <c r="XI147" s="17"/>
      <c r="XJ147" s="17"/>
      <c r="XK147" s="17"/>
      <c r="XL147" s="17"/>
      <c r="XM147" s="17"/>
      <c r="XN147" s="17"/>
      <c r="XO147" s="17"/>
      <c r="XP147" s="17"/>
      <c r="XQ147" s="17"/>
      <c r="XR147" s="17"/>
      <c r="XS147" s="17"/>
      <c r="XT147" s="17"/>
      <c r="XU147" s="17"/>
      <c r="XV147" s="17"/>
      <c r="XW147" s="17"/>
      <c r="XX147" s="17"/>
      <c r="XY147" s="17"/>
      <c r="XZ147" s="17"/>
      <c r="YA147" s="17"/>
      <c r="YB147" s="17"/>
      <c r="YC147" s="17"/>
      <c r="YD147" s="17"/>
      <c r="YE147" s="17"/>
      <c r="YF147" s="17"/>
      <c r="YG147" s="17"/>
      <c r="YH147" s="17"/>
      <c r="YI147" s="17"/>
      <c r="YJ147" s="17"/>
      <c r="YK147" s="17"/>
      <c r="YL147" s="17"/>
      <c r="YM147" s="17"/>
      <c r="YN147" s="17"/>
      <c r="YO147" s="17"/>
      <c r="YP147" s="17"/>
      <c r="YQ147" s="17"/>
      <c r="YR147" s="17"/>
      <c r="YS147" s="17"/>
    </row>
    <row r="148" spans="266:669" x14ac:dyDescent="0.25">
      <c r="JF148" s="17"/>
      <c r="JG148" s="17"/>
      <c r="JH148" s="17"/>
      <c r="JI148" s="17"/>
      <c r="JJ148" s="17"/>
      <c r="JK148" s="17"/>
      <c r="JL148" s="17"/>
      <c r="JM148" s="17"/>
      <c r="JN148" s="17"/>
      <c r="JO148" s="17"/>
      <c r="JP148" s="17"/>
      <c r="JQ148" s="17"/>
      <c r="JR148" s="17"/>
      <c r="JS148" s="17"/>
      <c r="JT148" s="17"/>
      <c r="JU148" s="17"/>
      <c r="JV148" s="17"/>
      <c r="JW148" s="17"/>
      <c r="JX148" s="17"/>
      <c r="JY148" s="17"/>
      <c r="JZ148" s="17"/>
      <c r="KA148" s="17"/>
      <c r="KB148" s="17"/>
      <c r="KC148" s="17"/>
      <c r="KD148" s="17"/>
      <c r="KE148" s="17"/>
      <c r="KF148" s="17"/>
      <c r="KG148" s="17"/>
      <c r="KH148" s="17"/>
      <c r="KI148" s="17"/>
      <c r="KJ148" s="17"/>
      <c r="KK148" s="17"/>
      <c r="KL148" s="17"/>
      <c r="KM148" s="17"/>
      <c r="KN148" s="17"/>
      <c r="KO148" s="17"/>
      <c r="KP148" s="17"/>
      <c r="KQ148" s="17"/>
      <c r="KR148" s="17"/>
      <c r="KS148" s="17"/>
      <c r="KT148" s="17"/>
      <c r="KU148" s="17"/>
      <c r="KV148" s="17"/>
      <c r="KW148" s="17"/>
      <c r="KX148" s="17"/>
      <c r="KY148" s="17"/>
      <c r="KZ148" s="17"/>
      <c r="LA148" s="17"/>
      <c r="LB148" s="17"/>
      <c r="LC148" s="17"/>
      <c r="LD148" s="17"/>
      <c r="LE148" s="17"/>
      <c r="LF148" s="17"/>
      <c r="LG148" s="17"/>
      <c r="LH148" s="17"/>
      <c r="LI148" s="17"/>
      <c r="LJ148" s="17"/>
      <c r="LK148" s="17"/>
      <c r="LL148" s="17"/>
      <c r="LM148" s="17"/>
      <c r="LN148" s="17"/>
      <c r="LO148" s="17"/>
      <c r="LP148" s="17"/>
      <c r="LQ148" s="17"/>
      <c r="LR148" s="17"/>
      <c r="LS148" s="17"/>
      <c r="LT148" s="17"/>
      <c r="LU148" s="17"/>
      <c r="LV148" s="17"/>
      <c r="LW148" s="17"/>
      <c r="LX148" s="17"/>
      <c r="LY148" s="17"/>
      <c r="LZ148" s="17"/>
      <c r="MA148" s="17"/>
      <c r="MB148" s="17"/>
      <c r="MC148" s="17"/>
      <c r="MD148" s="17"/>
      <c r="ME148" s="17"/>
      <c r="MF148" s="17"/>
      <c r="MG148" s="17"/>
      <c r="MH148" s="17"/>
      <c r="MI148" s="17"/>
      <c r="MJ148" s="17"/>
      <c r="MK148" s="17"/>
      <c r="ML148" s="17"/>
      <c r="MM148" s="17"/>
      <c r="MN148" s="17"/>
      <c r="MO148" s="17"/>
      <c r="MP148" s="17"/>
      <c r="MQ148" s="17"/>
      <c r="MR148" s="17"/>
      <c r="MS148" s="17"/>
      <c r="MT148" s="17"/>
      <c r="MU148" s="17"/>
      <c r="MV148" s="17"/>
      <c r="MW148" s="17"/>
      <c r="MX148" s="17"/>
      <c r="MY148" s="17"/>
      <c r="MZ148" s="17"/>
      <c r="NA148" s="17"/>
      <c r="NB148" s="17"/>
      <c r="NC148" s="17"/>
      <c r="ND148" s="17"/>
      <c r="NE148" s="17"/>
      <c r="NF148" s="17"/>
      <c r="NG148" s="17"/>
      <c r="NH148" s="17"/>
      <c r="NI148" s="17"/>
      <c r="NJ148" s="17"/>
      <c r="NK148" s="17"/>
      <c r="NL148" s="17"/>
      <c r="NM148" s="17"/>
      <c r="NN148" s="17"/>
      <c r="NO148" s="17"/>
      <c r="NP148" s="17"/>
      <c r="NQ148" s="17"/>
      <c r="NR148" s="17"/>
      <c r="NS148" s="17"/>
      <c r="NT148" s="17"/>
      <c r="NU148" s="17"/>
      <c r="NV148" s="17"/>
      <c r="NW148" s="17"/>
      <c r="NX148" s="17"/>
      <c r="NY148" s="17"/>
      <c r="NZ148" s="17"/>
      <c r="OA148" s="17"/>
      <c r="OB148" s="17"/>
      <c r="OC148" s="17"/>
      <c r="OD148" s="17"/>
      <c r="OE148" s="17"/>
      <c r="OF148" s="17"/>
      <c r="OG148" s="17"/>
      <c r="OH148" s="17"/>
      <c r="OI148" s="17"/>
      <c r="OJ148" s="17"/>
      <c r="OK148" s="17"/>
      <c r="OL148" s="17"/>
      <c r="OM148" s="17"/>
      <c r="ON148" s="17"/>
      <c r="OO148" s="17"/>
      <c r="OP148" s="17"/>
      <c r="OQ148" s="17"/>
      <c r="OR148" s="17"/>
      <c r="OS148" s="17"/>
      <c r="OT148" s="17"/>
      <c r="OU148" s="17"/>
      <c r="OV148" s="17"/>
      <c r="OW148" s="17"/>
      <c r="OX148" s="17"/>
      <c r="OY148" s="17"/>
      <c r="OZ148" s="17"/>
      <c r="PA148" s="17"/>
      <c r="PB148" s="17"/>
      <c r="PC148" s="17"/>
      <c r="PD148" s="17"/>
      <c r="PE148" s="17"/>
      <c r="PF148" s="17"/>
      <c r="PG148" s="17"/>
      <c r="PH148" s="17"/>
      <c r="PI148" s="17"/>
      <c r="PJ148" s="17"/>
      <c r="PK148" s="17"/>
      <c r="PL148" s="17"/>
      <c r="PM148" s="17"/>
      <c r="PN148" s="17"/>
      <c r="PO148" s="17"/>
      <c r="PP148" s="17"/>
      <c r="PQ148" s="17"/>
      <c r="PR148" s="17"/>
      <c r="PS148" s="17"/>
      <c r="PT148" s="17"/>
      <c r="PU148" s="17"/>
      <c r="PV148" s="17"/>
      <c r="PW148" s="17"/>
      <c r="PX148" s="17"/>
      <c r="PY148" s="17"/>
      <c r="PZ148" s="17"/>
      <c r="QA148" s="17"/>
      <c r="QB148" s="17"/>
      <c r="QC148" s="17"/>
      <c r="QD148" s="17"/>
      <c r="QE148" s="17"/>
      <c r="QF148" s="17"/>
      <c r="QG148" s="17"/>
      <c r="QH148" s="17"/>
      <c r="QI148" s="17"/>
      <c r="QJ148" s="17"/>
      <c r="QK148" s="17"/>
      <c r="QL148" s="17"/>
      <c r="QM148" s="17"/>
      <c r="QN148" s="17"/>
      <c r="QO148" s="17"/>
      <c r="QP148" s="17"/>
      <c r="QQ148" s="17"/>
      <c r="QR148" s="17"/>
      <c r="QS148" s="17"/>
      <c r="QT148" s="17"/>
      <c r="QU148" s="17"/>
      <c r="QV148" s="17"/>
      <c r="QW148" s="17"/>
      <c r="QX148" s="17"/>
      <c r="QY148" s="17"/>
      <c r="QZ148" s="17"/>
      <c r="RA148" s="17"/>
      <c r="RB148" s="17"/>
      <c r="RC148" s="17"/>
      <c r="RD148" s="17"/>
      <c r="RE148" s="17"/>
      <c r="RF148" s="17"/>
      <c r="RG148" s="17"/>
      <c r="RH148" s="17"/>
      <c r="RI148" s="17"/>
      <c r="RJ148" s="17"/>
      <c r="RK148" s="17"/>
      <c r="RL148" s="17"/>
      <c r="RM148" s="17"/>
      <c r="RN148" s="17"/>
      <c r="RO148" s="17"/>
      <c r="RP148" s="17"/>
      <c r="RQ148" s="17"/>
      <c r="RR148" s="17"/>
      <c r="RS148" s="17"/>
      <c r="RT148" s="17"/>
      <c r="RU148" s="17"/>
      <c r="RV148" s="17"/>
      <c r="RW148" s="17"/>
      <c r="RX148" s="17"/>
      <c r="RY148" s="17"/>
      <c r="RZ148" s="17"/>
      <c r="SA148" s="17"/>
      <c r="SB148" s="17"/>
      <c r="SC148" s="17"/>
      <c r="SD148" s="17"/>
      <c r="SE148" s="17"/>
      <c r="SF148" s="17"/>
      <c r="SG148" s="17"/>
      <c r="SH148" s="17"/>
      <c r="SI148" s="17"/>
      <c r="SJ148" s="17"/>
      <c r="SK148" s="17"/>
      <c r="SL148" s="17"/>
      <c r="SM148" s="17"/>
      <c r="SN148" s="17"/>
      <c r="SO148" s="17"/>
      <c r="SP148" s="17"/>
      <c r="SQ148" s="17"/>
      <c r="SR148" s="17"/>
      <c r="SS148" s="17"/>
      <c r="ST148" s="17"/>
      <c r="SU148" s="17"/>
      <c r="SV148" s="17"/>
      <c r="SW148" s="17"/>
      <c r="SX148" s="17"/>
      <c r="SY148" s="17"/>
      <c r="SZ148" s="17"/>
      <c r="TA148" s="17"/>
      <c r="TB148" s="17"/>
      <c r="TC148" s="17"/>
      <c r="TD148" s="17"/>
      <c r="TE148" s="17"/>
      <c r="TF148" s="17"/>
      <c r="TG148" s="17"/>
      <c r="TH148" s="17"/>
      <c r="TI148" s="17"/>
      <c r="TJ148" s="17"/>
      <c r="TK148" s="17"/>
      <c r="TL148" s="17"/>
      <c r="TM148" s="17"/>
      <c r="TN148" s="17"/>
      <c r="TO148" s="17"/>
      <c r="TP148" s="17"/>
      <c r="TQ148" s="17"/>
      <c r="TR148" s="17"/>
      <c r="TS148" s="17"/>
      <c r="TT148" s="17"/>
      <c r="TU148" s="17"/>
      <c r="TV148" s="17"/>
      <c r="TW148" s="17"/>
      <c r="TX148" s="17"/>
      <c r="TY148" s="17"/>
      <c r="TZ148" s="17"/>
      <c r="UA148" s="17"/>
      <c r="UB148" s="17"/>
      <c r="UC148" s="17"/>
      <c r="UD148" s="17"/>
      <c r="UE148" s="17"/>
      <c r="UF148" s="17"/>
      <c r="UG148" s="17"/>
      <c r="UH148" s="17"/>
      <c r="UI148" s="17"/>
      <c r="UJ148" s="17"/>
      <c r="UK148" s="17"/>
      <c r="UL148" s="17"/>
      <c r="UM148" s="17"/>
      <c r="UN148" s="17"/>
      <c r="UO148" s="17"/>
      <c r="UP148" s="17"/>
      <c r="UQ148" s="17"/>
      <c r="UR148" s="17"/>
      <c r="US148" s="17"/>
      <c r="UT148" s="17"/>
      <c r="UU148" s="17"/>
      <c r="UV148" s="17"/>
      <c r="UW148" s="17"/>
      <c r="UX148" s="17"/>
      <c r="UY148" s="17"/>
      <c r="UZ148" s="17"/>
      <c r="VA148" s="17"/>
      <c r="VB148" s="17"/>
      <c r="VC148" s="17"/>
      <c r="VD148" s="17"/>
      <c r="VE148" s="17"/>
      <c r="VF148" s="17"/>
      <c r="VG148" s="17"/>
      <c r="VH148" s="17"/>
      <c r="VI148" s="17"/>
      <c r="VJ148" s="17"/>
      <c r="VK148" s="17"/>
      <c r="VL148" s="17"/>
      <c r="VM148" s="17"/>
      <c r="VN148" s="17"/>
      <c r="VO148" s="17"/>
      <c r="VP148" s="17"/>
      <c r="VQ148" s="17"/>
      <c r="VR148" s="17"/>
      <c r="VS148" s="17"/>
      <c r="VT148" s="17"/>
      <c r="VU148" s="17"/>
      <c r="VV148" s="17"/>
      <c r="VW148" s="17"/>
      <c r="VX148" s="17"/>
      <c r="VY148" s="17"/>
      <c r="VZ148" s="17"/>
      <c r="WA148" s="17"/>
      <c r="WB148" s="17"/>
      <c r="WC148" s="17"/>
      <c r="WD148" s="17"/>
      <c r="WE148" s="17"/>
      <c r="WF148" s="17"/>
      <c r="WG148" s="17"/>
      <c r="WH148" s="17"/>
      <c r="WI148" s="17"/>
      <c r="WJ148" s="17"/>
      <c r="WK148" s="17"/>
      <c r="WL148" s="17"/>
      <c r="WM148" s="17"/>
      <c r="WN148" s="17"/>
      <c r="WO148" s="17"/>
      <c r="WP148" s="17"/>
      <c r="WQ148" s="17"/>
      <c r="WR148" s="17"/>
      <c r="WS148" s="17"/>
      <c r="WT148" s="17"/>
      <c r="WU148" s="17"/>
      <c r="WV148" s="17"/>
      <c r="WW148" s="17"/>
      <c r="WX148" s="17"/>
      <c r="WY148" s="17"/>
      <c r="WZ148" s="17"/>
      <c r="XA148" s="17"/>
      <c r="XB148" s="17"/>
      <c r="XC148" s="17"/>
      <c r="XD148" s="17"/>
      <c r="XE148" s="17"/>
      <c r="XF148" s="17"/>
      <c r="XG148" s="17"/>
      <c r="XH148" s="17"/>
      <c r="XI148" s="17"/>
      <c r="XJ148" s="17"/>
      <c r="XK148" s="17"/>
      <c r="XL148" s="17"/>
      <c r="XM148" s="17"/>
      <c r="XN148" s="17"/>
      <c r="XO148" s="17"/>
      <c r="XP148" s="17"/>
      <c r="XQ148" s="17"/>
      <c r="XR148" s="17"/>
      <c r="XS148" s="17"/>
      <c r="XT148" s="17"/>
      <c r="XU148" s="17"/>
      <c r="XV148" s="17"/>
      <c r="XW148" s="17"/>
      <c r="XX148" s="17"/>
      <c r="XY148" s="17"/>
      <c r="XZ148" s="17"/>
      <c r="YA148" s="17"/>
      <c r="YB148" s="17"/>
      <c r="YC148" s="17"/>
      <c r="YD148" s="17"/>
      <c r="YE148" s="17"/>
      <c r="YF148" s="17"/>
      <c r="YG148" s="17"/>
      <c r="YH148" s="17"/>
      <c r="YI148" s="17"/>
      <c r="YJ148" s="17"/>
      <c r="YK148" s="17"/>
      <c r="YL148" s="17"/>
      <c r="YM148" s="17"/>
      <c r="YN148" s="17"/>
      <c r="YO148" s="17"/>
      <c r="YP148" s="17"/>
      <c r="YQ148" s="17"/>
      <c r="YR148" s="17"/>
      <c r="YS148" s="17"/>
    </row>
    <row r="149" spans="266:669" x14ac:dyDescent="0.25">
      <c r="JF149" s="17"/>
      <c r="JG149" s="17"/>
      <c r="JH149" s="17"/>
      <c r="JI149" s="17"/>
      <c r="JJ149" s="17"/>
      <c r="JK149" s="17"/>
      <c r="JL149" s="17"/>
      <c r="JM149" s="17"/>
      <c r="JN149" s="17"/>
      <c r="JO149" s="17"/>
      <c r="JP149" s="17"/>
      <c r="JQ149" s="17"/>
      <c r="JR149" s="17"/>
      <c r="JS149" s="17"/>
      <c r="JT149" s="17"/>
      <c r="JU149" s="17"/>
      <c r="JV149" s="17"/>
      <c r="JW149" s="17"/>
      <c r="JX149" s="17"/>
      <c r="JY149" s="17"/>
      <c r="JZ149" s="17"/>
      <c r="KA149" s="17"/>
      <c r="KB149" s="17"/>
      <c r="KC149" s="17"/>
      <c r="KD149" s="17"/>
      <c r="KE149" s="17"/>
      <c r="KF149" s="17"/>
      <c r="KG149" s="17"/>
      <c r="KH149" s="17"/>
      <c r="KI149" s="17"/>
      <c r="KJ149" s="17"/>
      <c r="KK149" s="17"/>
      <c r="KL149" s="17"/>
      <c r="KM149" s="17"/>
      <c r="KN149" s="17"/>
      <c r="KO149" s="17"/>
      <c r="KP149" s="17"/>
      <c r="KQ149" s="17"/>
      <c r="KR149" s="17"/>
      <c r="KS149" s="17"/>
      <c r="KT149" s="17"/>
      <c r="KU149" s="17"/>
      <c r="KV149" s="17"/>
      <c r="KW149" s="17"/>
      <c r="KX149" s="17"/>
      <c r="KY149" s="17"/>
      <c r="KZ149" s="17"/>
      <c r="LA149" s="17"/>
      <c r="LB149" s="17"/>
      <c r="LC149" s="17"/>
      <c r="LD149" s="17"/>
      <c r="LE149" s="17"/>
      <c r="LF149" s="17"/>
      <c r="LG149" s="17"/>
      <c r="LH149" s="17"/>
      <c r="LI149" s="17"/>
      <c r="LJ149" s="17"/>
      <c r="LK149" s="17"/>
      <c r="LL149" s="17"/>
      <c r="LM149" s="17"/>
      <c r="LN149" s="17"/>
      <c r="LO149" s="17"/>
      <c r="LP149" s="17"/>
      <c r="LQ149" s="17"/>
      <c r="LR149" s="17"/>
      <c r="LS149" s="17"/>
      <c r="LT149" s="17"/>
      <c r="LU149" s="17"/>
      <c r="LV149" s="17"/>
      <c r="LW149" s="17"/>
      <c r="LX149" s="17"/>
      <c r="LY149" s="17"/>
      <c r="LZ149" s="17"/>
      <c r="MA149" s="17"/>
      <c r="MB149" s="17"/>
      <c r="MC149" s="17"/>
      <c r="MD149" s="17"/>
      <c r="ME149" s="17"/>
      <c r="MF149" s="17"/>
      <c r="MG149" s="17"/>
      <c r="MH149" s="17"/>
      <c r="MI149" s="17"/>
      <c r="MJ149" s="17"/>
      <c r="MK149" s="17"/>
      <c r="ML149" s="17"/>
      <c r="MM149" s="17"/>
      <c r="MN149" s="17"/>
      <c r="MO149" s="17"/>
      <c r="MP149" s="17"/>
      <c r="MQ149" s="17"/>
      <c r="MR149" s="17"/>
      <c r="MS149" s="17"/>
      <c r="MT149" s="17"/>
      <c r="MU149" s="17"/>
      <c r="MV149" s="17"/>
      <c r="MW149" s="17"/>
      <c r="MX149" s="17"/>
      <c r="MY149" s="17"/>
      <c r="MZ149" s="17"/>
      <c r="NA149" s="17"/>
      <c r="NB149" s="17"/>
      <c r="NC149" s="17"/>
      <c r="ND149" s="17"/>
      <c r="NE149" s="17"/>
      <c r="NF149" s="17"/>
      <c r="NG149" s="17"/>
      <c r="NH149" s="17"/>
      <c r="NI149" s="17"/>
      <c r="NJ149" s="17"/>
      <c r="NK149" s="17"/>
      <c r="NL149" s="17"/>
      <c r="NM149" s="17"/>
      <c r="NN149" s="17"/>
      <c r="NO149" s="17"/>
      <c r="NP149" s="17"/>
      <c r="NQ149" s="17"/>
      <c r="NR149" s="17"/>
      <c r="NS149" s="17"/>
      <c r="NT149" s="17"/>
      <c r="NU149" s="17"/>
      <c r="NV149" s="17"/>
      <c r="NW149" s="17"/>
      <c r="NX149" s="17"/>
      <c r="NY149" s="17"/>
      <c r="NZ149" s="17"/>
      <c r="OA149" s="17"/>
      <c r="OB149" s="17"/>
      <c r="OC149" s="17"/>
      <c r="OD149" s="17"/>
      <c r="OE149" s="17"/>
      <c r="OF149" s="17"/>
      <c r="OG149" s="17"/>
      <c r="OH149" s="17"/>
      <c r="OI149" s="17"/>
      <c r="OJ149" s="17"/>
      <c r="OK149" s="17"/>
      <c r="OL149" s="17"/>
      <c r="OM149" s="17"/>
      <c r="ON149" s="17"/>
      <c r="OO149" s="17"/>
      <c r="OP149" s="17"/>
      <c r="OQ149" s="17"/>
      <c r="OR149" s="17"/>
      <c r="OS149" s="17"/>
      <c r="OT149" s="17"/>
      <c r="OU149" s="17"/>
      <c r="OV149" s="17"/>
      <c r="OW149" s="17"/>
      <c r="OX149" s="17"/>
      <c r="OY149" s="17"/>
      <c r="OZ149" s="17"/>
      <c r="PA149" s="17"/>
      <c r="PB149" s="17"/>
      <c r="PC149" s="17"/>
      <c r="PD149" s="17"/>
      <c r="PE149" s="17"/>
      <c r="PF149" s="17"/>
      <c r="PG149" s="17"/>
      <c r="PH149" s="17"/>
      <c r="PI149" s="17"/>
      <c r="PJ149" s="17"/>
      <c r="PK149" s="17"/>
      <c r="PL149" s="17"/>
      <c r="PM149" s="17"/>
      <c r="PN149" s="17"/>
      <c r="PO149" s="17"/>
      <c r="PP149" s="17"/>
      <c r="PQ149" s="17"/>
      <c r="PR149" s="17"/>
      <c r="PS149" s="17"/>
      <c r="PT149" s="17"/>
      <c r="PU149" s="17"/>
      <c r="PV149" s="17"/>
      <c r="PW149" s="17"/>
      <c r="PX149" s="17"/>
      <c r="PY149" s="17"/>
      <c r="PZ149" s="17"/>
      <c r="QA149" s="17"/>
      <c r="QB149" s="17"/>
      <c r="QC149" s="17"/>
      <c r="QD149" s="17"/>
      <c r="QE149" s="17"/>
      <c r="QF149" s="17"/>
      <c r="QG149" s="17"/>
      <c r="QH149" s="17"/>
      <c r="QI149" s="17"/>
      <c r="QJ149" s="17"/>
      <c r="QK149" s="17"/>
      <c r="QL149" s="17"/>
      <c r="QM149" s="17"/>
      <c r="QN149" s="17"/>
      <c r="QO149" s="17"/>
      <c r="QP149" s="17"/>
      <c r="QQ149" s="17"/>
      <c r="QR149" s="17"/>
      <c r="QS149" s="17"/>
      <c r="QT149" s="17"/>
      <c r="QU149" s="17"/>
      <c r="QV149" s="17"/>
      <c r="QW149" s="17"/>
      <c r="QX149" s="17"/>
      <c r="QY149" s="17"/>
      <c r="QZ149" s="17"/>
      <c r="RA149" s="17"/>
      <c r="RB149" s="17"/>
      <c r="RC149" s="17"/>
      <c r="RD149" s="17"/>
      <c r="RE149" s="17"/>
      <c r="RF149" s="17"/>
      <c r="RG149" s="17"/>
      <c r="RH149" s="17"/>
      <c r="RI149" s="17"/>
      <c r="RJ149" s="17"/>
      <c r="RK149" s="17"/>
      <c r="RL149" s="17"/>
      <c r="RM149" s="17"/>
      <c r="RN149" s="17"/>
      <c r="RO149" s="17"/>
      <c r="RP149" s="17"/>
      <c r="RQ149" s="17"/>
      <c r="RR149" s="17"/>
      <c r="RS149" s="17"/>
      <c r="RT149" s="17"/>
      <c r="RU149" s="17"/>
      <c r="RV149" s="17"/>
      <c r="RW149" s="17"/>
      <c r="RX149" s="17"/>
      <c r="RY149" s="17"/>
      <c r="RZ149" s="17"/>
      <c r="SA149" s="17"/>
      <c r="SB149" s="17"/>
      <c r="SC149" s="17"/>
      <c r="SD149" s="17"/>
      <c r="SE149" s="17"/>
      <c r="SF149" s="17"/>
      <c r="SG149" s="17"/>
      <c r="SH149" s="17"/>
      <c r="SI149" s="17"/>
      <c r="SJ149" s="17"/>
      <c r="SK149" s="17"/>
      <c r="SL149" s="17"/>
      <c r="SM149" s="17"/>
      <c r="SN149" s="17"/>
      <c r="SO149" s="17"/>
      <c r="SP149" s="17"/>
      <c r="SQ149" s="17"/>
      <c r="SR149" s="17"/>
      <c r="SS149" s="17"/>
      <c r="ST149" s="17"/>
      <c r="SU149" s="17"/>
      <c r="SV149" s="17"/>
      <c r="SW149" s="17"/>
      <c r="SX149" s="17"/>
      <c r="SY149" s="17"/>
      <c r="SZ149" s="17"/>
      <c r="TA149" s="17"/>
      <c r="TB149" s="17"/>
      <c r="TC149" s="17"/>
      <c r="TD149" s="17"/>
      <c r="TE149" s="17"/>
      <c r="TF149" s="17"/>
      <c r="TG149" s="17"/>
      <c r="TH149" s="17"/>
      <c r="TI149" s="17"/>
      <c r="TJ149" s="17"/>
      <c r="TK149" s="17"/>
      <c r="TL149" s="17"/>
      <c r="TM149" s="17"/>
      <c r="TN149" s="17"/>
      <c r="TO149" s="17"/>
      <c r="TP149" s="17"/>
      <c r="TQ149" s="17"/>
      <c r="TR149" s="17"/>
      <c r="TS149" s="17"/>
      <c r="TT149" s="17"/>
      <c r="TU149" s="17"/>
      <c r="TV149" s="17"/>
      <c r="TW149" s="17"/>
      <c r="TX149" s="17"/>
      <c r="TY149" s="17"/>
      <c r="TZ149" s="17"/>
      <c r="UA149" s="17"/>
      <c r="UB149" s="17"/>
      <c r="UC149" s="17"/>
      <c r="UD149" s="17"/>
      <c r="UE149" s="17"/>
      <c r="UF149" s="17"/>
      <c r="UG149" s="17"/>
      <c r="UH149" s="17"/>
      <c r="UI149" s="17"/>
      <c r="UJ149" s="17"/>
      <c r="UK149" s="17"/>
      <c r="UL149" s="17"/>
      <c r="UM149" s="17"/>
      <c r="UN149" s="17"/>
      <c r="UO149" s="17"/>
      <c r="UP149" s="17"/>
      <c r="UQ149" s="17"/>
      <c r="UR149" s="17"/>
      <c r="US149" s="17"/>
      <c r="UT149" s="17"/>
      <c r="UU149" s="17"/>
      <c r="UV149" s="17"/>
      <c r="UW149" s="17"/>
      <c r="UX149" s="17"/>
      <c r="UY149" s="17"/>
      <c r="UZ149" s="17"/>
      <c r="VA149" s="17"/>
      <c r="VB149" s="17"/>
      <c r="VC149" s="17"/>
      <c r="VD149" s="17"/>
      <c r="VE149" s="17"/>
      <c r="VF149" s="17"/>
      <c r="VG149" s="17"/>
      <c r="VH149" s="17"/>
      <c r="VI149" s="17"/>
      <c r="VJ149" s="17"/>
      <c r="VK149" s="17"/>
      <c r="VL149" s="17"/>
      <c r="VM149" s="17"/>
      <c r="VN149" s="17"/>
      <c r="VO149" s="17"/>
      <c r="VP149" s="17"/>
      <c r="VQ149" s="17"/>
      <c r="VR149" s="17"/>
      <c r="VS149" s="17"/>
      <c r="VT149" s="17"/>
      <c r="VU149" s="17"/>
      <c r="VV149" s="17"/>
      <c r="VW149" s="17"/>
      <c r="VX149" s="17"/>
      <c r="VY149" s="17"/>
      <c r="VZ149" s="17"/>
      <c r="WA149" s="17"/>
      <c r="WB149" s="17"/>
      <c r="WC149" s="17"/>
      <c r="WD149" s="17"/>
      <c r="WE149" s="17"/>
      <c r="WF149" s="17"/>
      <c r="WG149" s="17"/>
      <c r="WH149" s="17"/>
      <c r="WI149" s="17"/>
      <c r="WJ149" s="17"/>
      <c r="WK149" s="17"/>
      <c r="WL149" s="17"/>
      <c r="WM149" s="17"/>
      <c r="WN149" s="17"/>
      <c r="WO149" s="17"/>
      <c r="WP149" s="17"/>
      <c r="WQ149" s="17"/>
      <c r="WR149" s="17"/>
      <c r="WS149" s="17"/>
      <c r="WT149" s="17"/>
      <c r="WU149" s="17"/>
      <c r="WV149" s="17"/>
      <c r="WW149" s="17"/>
      <c r="WX149" s="17"/>
      <c r="WY149" s="17"/>
      <c r="WZ149" s="17"/>
      <c r="XA149" s="17"/>
      <c r="XB149" s="17"/>
      <c r="XC149" s="17"/>
      <c r="XD149" s="17"/>
      <c r="XE149" s="17"/>
      <c r="XF149" s="17"/>
      <c r="XG149" s="17"/>
      <c r="XH149" s="17"/>
      <c r="XI149" s="17"/>
      <c r="XJ149" s="17"/>
      <c r="XK149" s="17"/>
      <c r="XL149" s="17"/>
      <c r="XM149" s="17"/>
      <c r="XN149" s="17"/>
      <c r="XO149" s="17"/>
      <c r="XP149" s="17"/>
      <c r="XQ149" s="17"/>
      <c r="XR149" s="17"/>
      <c r="XS149" s="17"/>
      <c r="XT149" s="17"/>
      <c r="XU149" s="17"/>
      <c r="XV149" s="17"/>
      <c r="XW149" s="17"/>
      <c r="XX149" s="17"/>
      <c r="XY149" s="17"/>
      <c r="XZ149" s="17"/>
      <c r="YA149" s="17"/>
      <c r="YB149" s="17"/>
      <c r="YC149" s="17"/>
      <c r="YD149" s="17"/>
      <c r="YE149" s="17"/>
      <c r="YF149" s="17"/>
      <c r="YG149" s="17"/>
      <c r="YH149" s="17"/>
      <c r="YI149" s="17"/>
      <c r="YJ149" s="17"/>
      <c r="YK149" s="17"/>
      <c r="YL149" s="17"/>
      <c r="YM149" s="17"/>
      <c r="YN149" s="17"/>
      <c r="YO149" s="17"/>
      <c r="YP149" s="17"/>
      <c r="YQ149" s="17"/>
      <c r="YR149" s="17"/>
      <c r="YS149" s="17"/>
    </row>
    <row r="150" spans="266:669" x14ac:dyDescent="0.25">
      <c r="JF150" s="17"/>
      <c r="JG150" s="17"/>
      <c r="JH150" s="17"/>
      <c r="JI150" s="17"/>
      <c r="JJ150" s="17"/>
      <c r="JK150" s="17"/>
      <c r="JL150" s="17"/>
      <c r="JM150" s="17"/>
      <c r="JN150" s="17"/>
      <c r="JO150" s="17"/>
      <c r="JP150" s="17"/>
      <c r="JQ150" s="17"/>
      <c r="JR150" s="17"/>
      <c r="JS150" s="17"/>
      <c r="JT150" s="17"/>
      <c r="JU150" s="17"/>
      <c r="JV150" s="17"/>
      <c r="JW150" s="17"/>
      <c r="JX150" s="17"/>
      <c r="JY150" s="17"/>
      <c r="JZ150" s="17"/>
      <c r="KA150" s="17"/>
      <c r="KB150" s="17"/>
      <c r="KC150" s="17"/>
      <c r="KD150" s="17"/>
      <c r="KE150" s="17"/>
      <c r="KF150" s="17"/>
      <c r="KG150" s="17"/>
      <c r="KH150" s="17"/>
      <c r="KI150" s="17"/>
      <c r="KJ150" s="17"/>
      <c r="KK150" s="17"/>
      <c r="KL150" s="17"/>
      <c r="KM150" s="17"/>
      <c r="KN150" s="17"/>
      <c r="KO150" s="17"/>
      <c r="KP150" s="17"/>
      <c r="KQ150" s="17"/>
      <c r="KR150" s="17"/>
      <c r="KS150" s="17"/>
      <c r="KT150" s="17"/>
      <c r="KU150" s="17"/>
      <c r="KV150" s="17"/>
      <c r="KW150" s="17"/>
      <c r="KX150" s="17"/>
      <c r="KY150" s="17"/>
      <c r="KZ150" s="17"/>
      <c r="LA150" s="17"/>
      <c r="LB150" s="17"/>
      <c r="LC150" s="17"/>
      <c r="LD150" s="17"/>
      <c r="LE150" s="17"/>
      <c r="LF150" s="17"/>
      <c r="LG150" s="17"/>
      <c r="LH150" s="17"/>
      <c r="LI150" s="17"/>
      <c r="LJ150" s="17"/>
      <c r="LK150" s="17"/>
      <c r="LL150" s="17"/>
      <c r="LM150" s="17"/>
      <c r="LN150" s="17"/>
      <c r="LO150" s="17"/>
      <c r="LP150" s="17"/>
      <c r="LQ150" s="17"/>
      <c r="LR150" s="17"/>
      <c r="LS150" s="17"/>
      <c r="LT150" s="17"/>
      <c r="LU150" s="17"/>
      <c r="LV150" s="17"/>
      <c r="LW150" s="17"/>
      <c r="LX150" s="17"/>
      <c r="LY150" s="17"/>
      <c r="LZ150" s="17"/>
      <c r="MA150" s="17"/>
      <c r="MB150" s="17"/>
      <c r="MC150" s="17"/>
      <c r="MD150" s="17"/>
      <c r="ME150" s="17"/>
      <c r="MF150" s="17"/>
      <c r="MG150" s="17"/>
      <c r="MH150" s="17"/>
      <c r="MI150" s="17"/>
      <c r="MJ150" s="17"/>
      <c r="MK150" s="17"/>
      <c r="ML150" s="17"/>
      <c r="MM150" s="17"/>
      <c r="MN150" s="17"/>
      <c r="MO150" s="17"/>
      <c r="MP150" s="17"/>
      <c r="MQ150" s="17"/>
      <c r="MR150" s="17"/>
      <c r="MS150" s="17"/>
      <c r="MT150" s="17"/>
      <c r="MU150" s="17"/>
      <c r="MV150" s="17"/>
      <c r="MW150" s="17"/>
      <c r="MX150" s="17"/>
      <c r="MY150" s="17"/>
      <c r="MZ150" s="17"/>
      <c r="NA150" s="17"/>
      <c r="NB150" s="17"/>
      <c r="NC150" s="17"/>
      <c r="ND150" s="17"/>
      <c r="NE150" s="17"/>
      <c r="NF150" s="17"/>
      <c r="NG150" s="17"/>
      <c r="NH150" s="17"/>
      <c r="NI150" s="17"/>
      <c r="NJ150" s="17"/>
      <c r="NK150" s="17"/>
      <c r="NL150" s="17"/>
      <c r="NM150" s="17"/>
      <c r="NN150" s="17"/>
      <c r="NO150" s="17"/>
      <c r="NP150" s="17"/>
      <c r="NQ150" s="17"/>
      <c r="NR150" s="17"/>
      <c r="NS150" s="17"/>
      <c r="NT150" s="17"/>
      <c r="NU150" s="17"/>
      <c r="NV150" s="17"/>
      <c r="NW150" s="17"/>
      <c r="NX150" s="17"/>
      <c r="NY150" s="17"/>
      <c r="NZ150" s="17"/>
      <c r="OA150" s="17"/>
      <c r="OB150" s="17"/>
      <c r="OC150" s="17"/>
      <c r="OD150" s="17"/>
      <c r="OE150" s="17"/>
      <c r="OF150" s="17"/>
      <c r="OG150" s="17"/>
      <c r="OH150" s="17"/>
      <c r="OI150" s="17"/>
      <c r="OJ150" s="17"/>
      <c r="OK150" s="17"/>
      <c r="OL150" s="17"/>
      <c r="OM150" s="17"/>
      <c r="ON150" s="17"/>
      <c r="OO150" s="17"/>
      <c r="OP150" s="17"/>
      <c r="OQ150" s="17"/>
      <c r="OR150" s="17"/>
      <c r="OS150" s="17"/>
      <c r="OT150" s="17"/>
      <c r="OU150" s="17"/>
      <c r="OV150" s="17"/>
      <c r="OW150" s="17"/>
      <c r="OX150" s="17"/>
      <c r="OY150" s="17"/>
      <c r="OZ150" s="17"/>
      <c r="PA150" s="17"/>
      <c r="PB150" s="17"/>
      <c r="PC150" s="17"/>
      <c r="PD150" s="17"/>
      <c r="PE150" s="17"/>
      <c r="PF150" s="17"/>
      <c r="PG150" s="17"/>
      <c r="PH150" s="17"/>
      <c r="PI150" s="17"/>
      <c r="PJ150" s="17"/>
      <c r="PK150" s="17"/>
      <c r="PL150" s="17"/>
      <c r="PM150" s="17"/>
      <c r="PN150" s="17"/>
      <c r="PO150" s="17"/>
      <c r="PP150" s="17"/>
      <c r="PQ150" s="17"/>
      <c r="PR150" s="17"/>
      <c r="PS150" s="17"/>
      <c r="PT150" s="17"/>
      <c r="PU150" s="17"/>
      <c r="PV150" s="17"/>
      <c r="PW150" s="17"/>
      <c r="PX150" s="17"/>
      <c r="PY150" s="17"/>
      <c r="PZ150" s="17"/>
      <c r="QA150" s="17"/>
      <c r="QB150" s="17"/>
      <c r="QC150" s="17"/>
      <c r="QD150" s="17"/>
      <c r="QE150" s="17"/>
      <c r="QF150" s="17"/>
      <c r="QG150" s="17"/>
      <c r="QH150" s="17"/>
      <c r="QI150" s="17"/>
      <c r="QJ150" s="17"/>
      <c r="QK150" s="17"/>
      <c r="QL150" s="17"/>
      <c r="QM150" s="17"/>
      <c r="QN150" s="17"/>
      <c r="QO150" s="17"/>
      <c r="QP150" s="17"/>
      <c r="QQ150" s="17"/>
      <c r="QR150" s="17"/>
      <c r="QS150" s="17"/>
      <c r="QT150" s="17"/>
      <c r="QU150" s="17"/>
      <c r="QV150" s="17"/>
      <c r="QW150" s="17"/>
      <c r="QX150" s="17"/>
      <c r="QY150" s="17"/>
      <c r="QZ150" s="17"/>
      <c r="RA150" s="17"/>
      <c r="RB150" s="17"/>
      <c r="RC150" s="17"/>
      <c r="RD150" s="17"/>
      <c r="RE150" s="17"/>
      <c r="RF150" s="17"/>
      <c r="RG150" s="17"/>
      <c r="RH150" s="17"/>
      <c r="RI150" s="17"/>
      <c r="RJ150" s="17"/>
      <c r="RK150" s="17"/>
      <c r="RL150" s="17"/>
      <c r="RM150" s="17"/>
      <c r="RN150" s="17"/>
      <c r="RO150" s="17"/>
      <c r="RP150" s="17"/>
      <c r="RQ150" s="17"/>
      <c r="RR150" s="17"/>
      <c r="RS150" s="17"/>
      <c r="RT150" s="17"/>
      <c r="RU150" s="17"/>
      <c r="RV150" s="17"/>
      <c r="RW150" s="17"/>
      <c r="RX150" s="17"/>
      <c r="RY150" s="17"/>
      <c r="RZ150" s="17"/>
      <c r="SA150" s="17"/>
      <c r="SB150" s="17"/>
      <c r="SC150" s="17"/>
      <c r="SD150" s="17"/>
      <c r="SE150" s="17"/>
      <c r="SF150" s="17"/>
      <c r="SG150" s="17"/>
      <c r="SH150" s="17"/>
      <c r="SI150" s="17"/>
      <c r="SJ150" s="17"/>
      <c r="SK150" s="17"/>
      <c r="SL150" s="17"/>
      <c r="SM150" s="17"/>
      <c r="SN150" s="17"/>
      <c r="SO150" s="17"/>
      <c r="SP150" s="17"/>
      <c r="SQ150" s="17"/>
      <c r="SR150" s="17"/>
      <c r="SS150" s="17"/>
      <c r="ST150" s="17"/>
      <c r="SU150" s="17"/>
      <c r="SV150" s="17"/>
      <c r="SW150" s="17"/>
      <c r="SX150" s="17"/>
      <c r="SY150" s="17"/>
      <c r="SZ150" s="17"/>
      <c r="TA150" s="17"/>
      <c r="TB150" s="17"/>
      <c r="TC150" s="17"/>
      <c r="TD150" s="17"/>
      <c r="TE150" s="17"/>
      <c r="TF150" s="17"/>
      <c r="TG150" s="17"/>
      <c r="TH150" s="17"/>
      <c r="TI150" s="17"/>
      <c r="TJ150" s="17"/>
      <c r="TK150" s="17"/>
      <c r="TL150" s="17"/>
      <c r="TM150" s="17"/>
      <c r="TN150" s="17"/>
      <c r="TO150" s="17"/>
      <c r="TP150" s="17"/>
      <c r="TQ150" s="17"/>
      <c r="TR150" s="17"/>
      <c r="TS150" s="17"/>
      <c r="TT150" s="17"/>
      <c r="TU150" s="17"/>
      <c r="TV150" s="17"/>
      <c r="TW150" s="17"/>
      <c r="TX150" s="17"/>
      <c r="TY150" s="17"/>
      <c r="TZ150" s="17"/>
      <c r="UA150" s="17"/>
      <c r="UB150" s="17"/>
      <c r="UC150" s="17"/>
      <c r="UD150" s="17"/>
      <c r="UE150" s="17"/>
      <c r="UF150" s="17"/>
      <c r="UG150" s="17"/>
      <c r="UH150" s="17"/>
      <c r="UI150" s="17"/>
      <c r="UJ150" s="17"/>
      <c r="UK150" s="17"/>
      <c r="UL150" s="17"/>
      <c r="UM150" s="17"/>
      <c r="UN150" s="17"/>
      <c r="UO150" s="17"/>
      <c r="UP150" s="17"/>
      <c r="UQ150" s="17"/>
      <c r="UR150" s="17"/>
      <c r="US150" s="17"/>
      <c r="UT150" s="17"/>
      <c r="UU150" s="17"/>
      <c r="UV150" s="17"/>
      <c r="UW150" s="17"/>
      <c r="UX150" s="17"/>
      <c r="UY150" s="17"/>
      <c r="UZ150" s="17"/>
      <c r="VA150" s="17"/>
      <c r="VB150" s="17"/>
      <c r="VC150" s="17"/>
      <c r="VD150" s="17"/>
      <c r="VE150" s="17"/>
      <c r="VF150" s="17"/>
      <c r="VG150" s="17"/>
      <c r="VH150" s="17"/>
      <c r="VI150" s="17"/>
      <c r="VJ150" s="17"/>
      <c r="VK150" s="17"/>
      <c r="VL150" s="17"/>
      <c r="VM150" s="17"/>
      <c r="VN150" s="17"/>
      <c r="VO150" s="17"/>
      <c r="VP150" s="17"/>
      <c r="VQ150" s="17"/>
      <c r="VR150" s="17"/>
      <c r="VS150" s="17"/>
      <c r="VT150" s="17"/>
      <c r="VU150" s="17"/>
      <c r="VV150" s="17"/>
      <c r="VW150" s="17"/>
      <c r="VX150" s="17"/>
      <c r="VY150" s="17"/>
      <c r="VZ150" s="17"/>
      <c r="WA150" s="17"/>
      <c r="WB150" s="17"/>
      <c r="WC150" s="17"/>
      <c r="WD150" s="17"/>
      <c r="WE150" s="17"/>
      <c r="WF150" s="17"/>
      <c r="WG150" s="17"/>
      <c r="WH150" s="17"/>
      <c r="WI150" s="17"/>
      <c r="WJ150" s="17"/>
      <c r="WK150" s="17"/>
      <c r="WL150" s="17"/>
      <c r="WM150" s="17"/>
      <c r="WN150" s="17"/>
      <c r="WO150" s="17"/>
      <c r="WP150" s="17"/>
      <c r="WQ150" s="17"/>
      <c r="WR150" s="17"/>
      <c r="WS150" s="17"/>
      <c r="WT150" s="17"/>
      <c r="WU150" s="17"/>
      <c r="WV150" s="17"/>
      <c r="WW150" s="17"/>
      <c r="WX150" s="17"/>
      <c r="WY150" s="17"/>
      <c r="WZ150" s="17"/>
      <c r="XA150" s="17"/>
      <c r="XB150" s="17"/>
      <c r="XC150" s="17"/>
      <c r="XD150" s="17"/>
      <c r="XE150" s="17"/>
      <c r="XF150" s="17"/>
      <c r="XG150" s="17"/>
      <c r="XH150" s="17"/>
      <c r="XI150" s="17"/>
      <c r="XJ150" s="17"/>
      <c r="XK150" s="17"/>
      <c r="XL150" s="17"/>
      <c r="XM150" s="17"/>
      <c r="XN150" s="17"/>
      <c r="XO150" s="17"/>
      <c r="XP150" s="17"/>
      <c r="XQ150" s="17"/>
      <c r="XR150" s="17"/>
      <c r="XS150" s="17"/>
      <c r="XT150" s="17"/>
      <c r="XU150" s="17"/>
      <c r="XV150" s="17"/>
      <c r="XW150" s="17"/>
      <c r="XX150" s="17"/>
      <c r="XY150" s="17"/>
      <c r="XZ150" s="17"/>
      <c r="YA150" s="17"/>
      <c r="YB150" s="17"/>
      <c r="YC150" s="17"/>
      <c r="YD150" s="17"/>
      <c r="YE150" s="17"/>
      <c r="YF150" s="17"/>
      <c r="YG150" s="17"/>
      <c r="YH150" s="17"/>
      <c r="YI150" s="17"/>
      <c r="YJ150" s="17"/>
      <c r="YK150" s="17"/>
      <c r="YL150" s="17"/>
      <c r="YM150" s="17"/>
      <c r="YN150" s="17"/>
      <c r="YO150" s="17"/>
      <c r="YP150" s="17"/>
      <c r="YQ150" s="17"/>
      <c r="YR150" s="17"/>
      <c r="YS150" s="17"/>
    </row>
    <row r="151" spans="266:669" x14ac:dyDescent="0.25">
      <c r="JF151" s="17"/>
      <c r="JG151" s="17"/>
      <c r="JH151" s="17"/>
      <c r="JI151" s="17"/>
      <c r="JJ151" s="17"/>
      <c r="JK151" s="17"/>
      <c r="JL151" s="17"/>
      <c r="JM151" s="17"/>
      <c r="JN151" s="17"/>
      <c r="JO151" s="17"/>
      <c r="JP151" s="17"/>
      <c r="JQ151" s="17"/>
      <c r="JR151" s="17"/>
      <c r="JS151" s="17"/>
      <c r="JT151" s="17"/>
      <c r="JU151" s="17"/>
      <c r="JV151" s="17"/>
      <c r="JW151" s="17"/>
      <c r="JX151" s="17"/>
      <c r="JY151" s="17"/>
      <c r="JZ151" s="17"/>
      <c r="KA151" s="17"/>
      <c r="KB151" s="17"/>
      <c r="KC151" s="17"/>
      <c r="KD151" s="17"/>
      <c r="KE151" s="17"/>
      <c r="KF151" s="17"/>
      <c r="KG151" s="17"/>
      <c r="KH151" s="17"/>
      <c r="KI151" s="17"/>
      <c r="KJ151" s="17"/>
      <c r="KK151" s="17"/>
      <c r="KL151" s="17"/>
      <c r="KM151" s="17"/>
      <c r="KN151" s="17"/>
      <c r="KO151" s="17"/>
      <c r="KP151" s="17"/>
      <c r="KQ151" s="17"/>
      <c r="KR151" s="17"/>
      <c r="KS151" s="17"/>
      <c r="KT151" s="17"/>
      <c r="KU151" s="17"/>
      <c r="KV151" s="17"/>
      <c r="KW151" s="17"/>
      <c r="KX151" s="17"/>
      <c r="KY151" s="17"/>
      <c r="KZ151" s="17"/>
      <c r="LA151" s="17"/>
      <c r="LB151" s="17"/>
      <c r="LC151" s="17"/>
      <c r="LD151" s="17"/>
      <c r="LE151" s="17"/>
      <c r="LF151" s="17"/>
      <c r="LG151" s="17"/>
      <c r="LH151" s="17"/>
      <c r="LI151" s="17"/>
      <c r="LJ151" s="17"/>
      <c r="LK151" s="17"/>
      <c r="LL151" s="17"/>
      <c r="LM151" s="17"/>
      <c r="LN151" s="17"/>
      <c r="LO151" s="17"/>
      <c r="LP151" s="17"/>
      <c r="LQ151" s="17"/>
      <c r="LR151" s="17"/>
      <c r="LS151" s="17"/>
      <c r="LT151" s="17"/>
      <c r="LU151" s="17"/>
      <c r="LV151" s="17"/>
      <c r="LW151" s="17"/>
      <c r="LX151" s="17"/>
      <c r="LY151" s="17"/>
      <c r="LZ151" s="17"/>
      <c r="MA151" s="17"/>
      <c r="MB151" s="17"/>
      <c r="MC151" s="17"/>
      <c r="MD151" s="17"/>
      <c r="ME151" s="17"/>
      <c r="MF151" s="17"/>
      <c r="MG151" s="17"/>
      <c r="MH151" s="17"/>
      <c r="MI151" s="17"/>
      <c r="MJ151" s="17"/>
      <c r="MK151" s="17"/>
      <c r="ML151" s="17"/>
      <c r="MM151" s="17"/>
      <c r="MN151" s="17"/>
      <c r="MO151" s="17"/>
      <c r="MP151" s="17"/>
      <c r="MQ151" s="17"/>
      <c r="MR151" s="17"/>
      <c r="MS151" s="17"/>
      <c r="MT151" s="17"/>
      <c r="MU151" s="17"/>
      <c r="MV151" s="17"/>
      <c r="MW151" s="17"/>
      <c r="MX151" s="17"/>
      <c r="MY151" s="17"/>
      <c r="MZ151" s="17"/>
      <c r="NA151" s="17"/>
      <c r="NB151" s="17"/>
      <c r="NC151" s="17"/>
      <c r="ND151" s="17"/>
      <c r="NE151" s="17"/>
      <c r="NF151" s="17"/>
      <c r="NG151" s="17"/>
      <c r="NH151" s="17"/>
      <c r="NI151" s="17"/>
      <c r="NJ151" s="17"/>
      <c r="NK151" s="17"/>
      <c r="NL151" s="17"/>
      <c r="NM151" s="17"/>
      <c r="NN151" s="17"/>
      <c r="NO151" s="17"/>
      <c r="NP151" s="17"/>
      <c r="NQ151" s="17"/>
      <c r="NR151" s="17"/>
      <c r="NS151" s="17"/>
      <c r="NT151" s="17"/>
      <c r="NU151" s="17"/>
      <c r="NV151" s="17"/>
      <c r="NW151" s="17"/>
      <c r="NX151" s="17"/>
      <c r="NY151" s="17"/>
      <c r="NZ151" s="17"/>
      <c r="OA151" s="17"/>
      <c r="OB151" s="17"/>
      <c r="OC151" s="17"/>
      <c r="OD151" s="17"/>
      <c r="OE151" s="17"/>
      <c r="OF151" s="17"/>
      <c r="OG151" s="17"/>
      <c r="OH151" s="17"/>
      <c r="OI151" s="17"/>
      <c r="OJ151" s="17"/>
      <c r="OK151" s="17"/>
      <c r="OL151" s="17"/>
      <c r="OM151" s="17"/>
      <c r="ON151" s="17"/>
      <c r="OO151" s="17"/>
      <c r="OP151" s="17"/>
      <c r="OQ151" s="17"/>
      <c r="OR151" s="17"/>
      <c r="OS151" s="17"/>
      <c r="OT151" s="17"/>
      <c r="OU151" s="17"/>
      <c r="OV151" s="17"/>
      <c r="OW151" s="17"/>
      <c r="OX151" s="17"/>
      <c r="OY151" s="17"/>
      <c r="OZ151" s="17"/>
      <c r="PA151" s="17"/>
      <c r="PB151" s="17"/>
      <c r="PC151" s="17"/>
      <c r="PD151" s="17"/>
      <c r="PE151" s="17"/>
      <c r="PF151" s="17"/>
      <c r="PG151" s="17"/>
      <c r="PH151" s="17"/>
      <c r="PI151" s="17"/>
      <c r="PJ151" s="17"/>
      <c r="PK151" s="17"/>
      <c r="PL151" s="17"/>
      <c r="PM151" s="17"/>
      <c r="PN151" s="17"/>
      <c r="PO151" s="17"/>
      <c r="PP151" s="17"/>
      <c r="PQ151" s="17"/>
      <c r="PR151" s="17"/>
      <c r="PS151" s="17"/>
      <c r="PT151" s="17"/>
      <c r="PU151" s="17"/>
      <c r="PV151" s="17"/>
      <c r="PW151" s="17"/>
      <c r="PX151" s="17"/>
      <c r="PY151" s="17"/>
      <c r="PZ151" s="17"/>
      <c r="QA151" s="17"/>
      <c r="QB151" s="17"/>
      <c r="QC151" s="17"/>
      <c r="QD151" s="17"/>
      <c r="QE151" s="17"/>
      <c r="QF151" s="17"/>
      <c r="QG151" s="17"/>
      <c r="QH151" s="17"/>
      <c r="QI151" s="17"/>
      <c r="QJ151" s="17"/>
      <c r="QK151" s="17"/>
      <c r="QL151" s="17"/>
      <c r="QM151" s="17"/>
      <c r="QN151" s="17"/>
      <c r="QO151" s="17"/>
      <c r="QP151" s="17"/>
      <c r="QQ151" s="17"/>
      <c r="QR151" s="17"/>
      <c r="QS151" s="17"/>
      <c r="QT151" s="17"/>
      <c r="QU151" s="17"/>
      <c r="QV151" s="17"/>
      <c r="QW151" s="17"/>
      <c r="QX151" s="17"/>
      <c r="QY151" s="17"/>
      <c r="QZ151" s="17"/>
      <c r="RA151" s="17"/>
      <c r="RB151" s="17"/>
      <c r="RC151" s="17"/>
      <c r="RD151" s="17"/>
      <c r="RE151" s="17"/>
      <c r="RF151" s="17"/>
      <c r="RG151" s="17"/>
      <c r="RH151" s="17"/>
      <c r="RI151" s="17"/>
      <c r="RJ151" s="17"/>
      <c r="RK151" s="17"/>
      <c r="RL151" s="17"/>
      <c r="RM151" s="17"/>
      <c r="RN151" s="17"/>
      <c r="RO151" s="17"/>
      <c r="RP151" s="17"/>
      <c r="RQ151" s="17"/>
      <c r="RR151" s="17"/>
      <c r="RS151" s="17"/>
      <c r="RT151" s="17"/>
      <c r="RU151" s="17"/>
      <c r="RV151" s="17"/>
      <c r="RW151" s="17"/>
      <c r="RX151" s="17"/>
      <c r="RY151" s="17"/>
      <c r="RZ151" s="17"/>
      <c r="SA151" s="17"/>
      <c r="SB151" s="17"/>
      <c r="SC151" s="17"/>
      <c r="SD151" s="17"/>
      <c r="SE151" s="17"/>
      <c r="SF151" s="17"/>
      <c r="SG151" s="17"/>
      <c r="SH151" s="17"/>
      <c r="SI151" s="17"/>
      <c r="SJ151" s="17"/>
      <c r="SK151" s="17"/>
      <c r="SL151" s="17"/>
      <c r="SM151" s="17"/>
      <c r="SN151" s="17"/>
      <c r="SO151" s="17"/>
      <c r="SP151" s="17"/>
      <c r="SQ151" s="17"/>
      <c r="SR151" s="17"/>
      <c r="SS151" s="17"/>
      <c r="ST151" s="17"/>
      <c r="SU151" s="17"/>
      <c r="SV151" s="17"/>
      <c r="SW151" s="17"/>
      <c r="SX151" s="17"/>
      <c r="SY151" s="17"/>
      <c r="SZ151" s="17"/>
      <c r="TA151" s="17"/>
      <c r="TB151" s="17"/>
      <c r="TC151" s="17"/>
      <c r="TD151" s="17"/>
      <c r="TE151" s="17"/>
      <c r="TF151" s="17"/>
      <c r="TG151" s="17"/>
      <c r="TH151" s="17"/>
      <c r="TI151" s="17"/>
      <c r="TJ151" s="17"/>
      <c r="TK151" s="17"/>
      <c r="TL151" s="17"/>
      <c r="TM151" s="17"/>
      <c r="TN151" s="17"/>
      <c r="TO151" s="17"/>
      <c r="TP151" s="17"/>
      <c r="TQ151" s="17"/>
      <c r="TR151" s="17"/>
      <c r="TS151" s="17"/>
      <c r="TT151" s="17"/>
      <c r="TU151" s="17"/>
      <c r="TV151" s="17"/>
      <c r="TW151" s="17"/>
      <c r="TX151" s="17"/>
      <c r="TY151" s="17"/>
      <c r="TZ151" s="17"/>
      <c r="UA151" s="17"/>
      <c r="UB151" s="17"/>
      <c r="UC151" s="17"/>
      <c r="UD151" s="17"/>
      <c r="UE151" s="17"/>
      <c r="UF151" s="17"/>
      <c r="UG151" s="17"/>
      <c r="UH151" s="17"/>
      <c r="UI151" s="17"/>
      <c r="UJ151" s="17"/>
      <c r="UK151" s="17"/>
      <c r="UL151" s="17"/>
      <c r="UM151" s="17"/>
      <c r="UN151" s="17"/>
      <c r="UO151" s="17"/>
      <c r="UP151" s="17"/>
      <c r="UQ151" s="17"/>
      <c r="UR151" s="17"/>
      <c r="US151" s="17"/>
      <c r="UT151" s="17"/>
      <c r="UU151" s="17"/>
      <c r="UV151" s="17"/>
      <c r="UW151" s="17"/>
      <c r="UX151" s="17"/>
      <c r="UY151" s="17"/>
      <c r="UZ151" s="17"/>
      <c r="VA151" s="17"/>
      <c r="VB151" s="17"/>
      <c r="VC151" s="17"/>
      <c r="VD151" s="17"/>
      <c r="VE151" s="17"/>
      <c r="VF151" s="17"/>
      <c r="VG151" s="17"/>
      <c r="VH151" s="17"/>
      <c r="VI151" s="17"/>
      <c r="VJ151" s="17"/>
      <c r="VK151" s="17"/>
      <c r="VL151" s="17"/>
      <c r="VM151" s="17"/>
      <c r="VN151" s="17"/>
      <c r="VO151" s="17"/>
      <c r="VP151" s="17"/>
      <c r="VQ151" s="17"/>
      <c r="VR151" s="17"/>
      <c r="VS151" s="17"/>
      <c r="VT151" s="17"/>
      <c r="VU151" s="17"/>
      <c r="VV151" s="17"/>
      <c r="VW151" s="17"/>
      <c r="VX151" s="17"/>
      <c r="VY151" s="17"/>
      <c r="VZ151" s="17"/>
      <c r="WA151" s="17"/>
      <c r="WB151" s="17"/>
      <c r="WC151" s="17"/>
      <c r="WD151" s="17"/>
      <c r="WE151" s="17"/>
      <c r="WF151" s="17"/>
      <c r="WG151" s="17"/>
      <c r="WH151" s="17"/>
      <c r="WI151" s="17"/>
      <c r="WJ151" s="17"/>
      <c r="WK151" s="17"/>
      <c r="WL151" s="17"/>
      <c r="WM151" s="17"/>
      <c r="WN151" s="17"/>
      <c r="WO151" s="17"/>
      <c r="WP151" s="17"/>
      <c r="WQ151" s="17"/>
      <c r="WR151" s="17"/>
      <c r="WS151" s="17"/>
      <c r="WT151" s="17"/>
      <c r="WU151" s="17"/>
      <c r="WV151" s="17"/>
      <c r="WW151" s="17"/>
      <c r="WX151" s="17"/>
      <c r="WY151" s="17"/>
      <c r="WZ151" s="17"/>
      <c r="XA151" s="17"/>
      <c r="XB151" s="17"/>
      <c r="XC151" s="17"/>
      <c r="XD151" s="17"/>
      <c r="XE151" s="17"/>
      <c r="XF151" s="17"/>
      <c r="XG151" s="17"/>
      <c r="XH151" s="17"/>
      <c r="XI151" s="17"/>
      <c r="XJ151" s="17"/>
      <c r="XK151" s="17"/>
      <c r="XL151" s="17"/>
      <c r="XM151" s="17"/>
      <c r="XN151" s="17"/>
      <c r="XO151" s="17"/>
      <c r="XP151" s="17"/>
      <c r="XQ151" s="17"/>
      <c r="XR151" s="17"/>
      <c r="XS151" s="17"/>
      <c r="XT151" s="17"/>
      <c r="XU151" s="17"/>
      <c r="XV151" s="17"/>
      <c r="XW151" s="17"/>
      <c r="XX151" s="17"/>
      <c r="XY151" s="17"/>
      <c r="XZ151" s="17"/>
      <c r="YA151" s="17"/>
      <c r="YB151" s="17"/>
      <c r="YC151" s="17"/>
      <c r="YD151" s="17"/>
      <c r="YE151" s="17"/>
      <c r="YF151" s="17"/>
      <c r="YG151" s="17"/>
      <c r="YH151" s="17"/>
      <c r="YI151" s="17"/>
      <c r="YJ151" s="17"/>
      <c r="YK151" s="17"/>
      <c r="YL151" s="17"/>
      <c r="YM151" s="17"/>
      <c r="YN151" s="17"/>
      <c r="YO151" s="17"/>
      <c r="YP151" s="17"/>
      <c r="YQ151" s="17"/>
      <c r="YR151" s="17"/>
      <c r="YS151" s="17"/>
    </row>
    <row r="152" spans="266:669" x14ac:dyDescent="0.25">
      <c r="JF152" s="17"/>
      <c r="JG152" s="17"/>
      <c r="JH152" s="17"/>
      <c r="JI152" s="17"/>
      <c r="JJ152" s="17"/>
      <c r="JK152" s="17"/>
      <c r="JL152" s="17"/>
      <c r="JM152" s="17"/>
      <c r="JN152" s="17"/>
      <c r="JO152" s="17"/>
      <c r="JP152" s="17"/>
      <c r="JQ152" s="17"/>
      <c r="JR152" s="17"/>
      <c r="JS152" s="17"/>
      <c r="JT152" s="17"/>
      <c r="JU152" s="17"/>
      <c r="JV152" s="17"/>
      <c r="JW152" s="17"/>
      <c r="JX152" s="17"/>
      <c r="JY152" s="17"/>
      <c r="JZ152" s="17"/>
      <c r="KA152" s="17"/>
      <c r="KB152" s="17"/>
      <c r="KC152" s="17"/>
      <c r="KD152" s="17"/>
      <c r="KE152" s="17"/>
      <c r="KF152" s="17"/>
      <c r="KG152" s="17"/>
      <c r="KH152" s="17"/>
      <c r="KI152" s="17"/>
      <c r="KJ152" s="17"/>
      <c r="KK152" s="17"/>
      <c r="KL152" s="17"/>
      <c r="KM152" s="17"/>
      <c r="KN152" s="17"/>
      <c r="KO152" s="17"/>
      <c r="KP152" s="17"/>
      <c r="KQ152" s="17"/>
      <c r="KR152" s="17"/>
      <c r="KS152" s="17"/>
      <c r="KT152" s="17"/>
      <c r="KU152" s="17"/>
      <c r="KV152" s="17"/>
      <c r="KW152" s="17"/>
      <c r="KX152" s="17"/>
      <c r="KY152" s="17"/>
      <c r="KZ152" s="17"/>
      <c r="LA152" s="17"/>
      <c r="LB152" s="17"/>
      <c r="LC152" s="17"/>
      <c r="LD152" s="17"/>
      <c r="LE152" s="17"/>
      <c r="LF152" s="17"/>
      <c r="LG152" s="17"/>
      <c r="LH152" s="17"/>
      <c r="LI152" s="17"/>
      <c r="LJ152" s="17"/>
      <c r="LK152" s="17"/>
      <c r="LL152" s="17"/>
      <c r="LM152" s="17"/>
      <c r="LN152" s="17"/>
      <c r="LO152" s="17"/>
      <c r="LP152" s="17"/>
      <c r="LQ152" s="17"/>
      <c r="LR152" s="17"/>
      <c r="LS152" s="17"/>
      <c r="LT152" s="17"/>
      <c r="LU152" s="17"/>
      <c r="LV152" s="17"/>
      <c r="LW152" s="17"/>
      <c r="LX152" s="17"/>
      <c r="LY152" s="17"/>
      <c r="LZ152" s="17"/>
      <c r="MA152" s="17"/>
      <c r="MB152" s="17"/>
      <c r="MC152" s="17"/>
      <c r="MD152" s="17"/>
      <c r="ME152" s="17"/>
      <c r="MF152" s="17"/>
      <c r="MG152" s="17"/>
      <c r="MH152" s="17"/>
      <c r="MI152" s="17"/>
      <c r="MJ152" s="17"/>
      <c r="MK152" s="17"/>
      <c r="ML152" s="17"/>
      <c r="MM152" s="17"/>
      <c r="MN152" s="17"/>
      <c r="MO152" s="17"/>
      <c r="MP152" s="17"/>
      <c r="MQ152" s="17"/>
      <c r="MR152" s="17"/>
      <c r="MS152" s="17"/>
      <c r="MT152" s="17"/>
      <c r="MU152" s="17"/>
      <c r="MV152" s="17"/>
      <c r="MW152" s="17"/>
      <c r="MX152" s="17"/>
      <c r="MY152" s="17"/>
      <c r="MZ152" s="17"/>
      <c r="NA152" s="17"/>
      <c r="NB152" s="17"/>
      <c r="NC152" s="17"/>
      <c r="ND152" s="17"/>
      <c r="NE152" s="17"/>
      <c r="NF152" s="17"/>
      <c r="NG152" s="17"/>
      <c r="NH152" s="17"/>
      <c r="NI152" s="17"/>
      <c r="NJ152" s="17"/>
      <c r="NK152" s="17"/>
      <c r="NL152" s="17"/>
      <c r="NM152" s="17"/>
      <c r="NN152" s="17"/>
      <c r="NO152" s="17"/>
      <c r="NP152" s="17"/>
      <c r="NQ152" s="17"/>
      <c r="NR152" s="17"/>
      <c r="NS152" s="17"/>
      <c r="NT152" s="17"/>
      <c r="NU152" s="17"/>
      <c r="NV152" s="17"/>
      <c r="NW152" s="17"/>
      <c r="NX152" s="17"/>
      <c r="NY152" s="17"/>
      <c r="NZ152" s="17"/>
      <c r="OA152" s="17"/>
      <c r="OB152" s="17"/>
      <c r="OC152" s="17"/>
      <c r="OD152" s="17"/>
      <c r="OE152" s="17"/>
      <c r="OF152" s="17"/>
      <c r="OG152" s="17"/>
      <c r="OH152" s="17"/>
      <c r="OI152" s="17"/>
      <c r="OJ152" s="17"/>
      <c r="OK152" s="17"/>
      <c r="OL152" s="17"/>
      <c r="OM152" s="17"/>
      <c r="ON152" s="17"/>
      <c r="OO152" s="17"/>
      <c r="OP152" s="17"/>
      <c r="OQ152" s="17"/>
      <c r="OR152" s="17"/>
      <c r="OS152" s="17"/>
      <c r="OT152" s="17"/>
      <c r="OU152" s="17"/>
      <c r="OV152" s="17"/>
      <c r="OW152" s="17"/>
      <c r="OX152" s="17"/>
      <c r="OY152" s="17"/>
      <c r="OZ152" s="17"/>
      <c r="PA152" s="17"/>
      <c r="PB152" s="17"/>
      <c r="PC152" s="17"/>
      <c r="PD152" s="17"/>
      <c r="PE152" s="17"/>
      <c r="PF152" s="17"/>
      <c r="PG152" s="17"/>
      <c r="PH152" s="17"/>
      <c r="PI152" s="17"/>
      <c r="PJ152" s="17"/>
      <c r="PK152" s="17"/>
      <c r="PL152" s="17"/>
      <c r="PM152" s="17"/>
      <c r="PN152" s="17"/>
      <c r="PO152" s="17"/>
      <c r="PP152" s="17"/>
      <c r="PQ152" s="17"/>
      <c r="PR152" s="17"/>
      <c r="PS152" s="17"/>
      <c r="PT152" s="17"/>
      <c r="PU152" s="17"/>
      <c r="PV152" s="17"/>
      <c r="PW152" s="17"/>
      <c r="PX152" s="17"/>
      <c r="PY152" s="17"/>
      <c r="PZ152" s="17"/>
      <c r="QA152" s="17"/>
      <c r="QB152" s="17"/>
      <c r="QC152" s="17"/>
      <c r="QD152" s="17"/>
      <c r="QE152" s="17"/>
      <c r="QF152" s="17"/>
      <c r="QG152" s="17"/>
      <c r="QH152" s="17"/>
      <c r="QI152" s="17"/>
      <c r="QJ152" s="17"/>
      <c r="QK152" s="17"/>
      <c r="QL152" s="17"/>
      <c r="QM152" s="17"/>
      <c r="QN152" s="17"/>
      <c r="QO152" s="17"/>
      <c r="QP152" s="17"/>
      <c r="QQ152" s="17"/>
      <c r="QR152" s="17"/>
      <c r="QS152" s="17"/>
      <c r="QT152" s="17"/>
      <c r="QU152" s="17"/>
      <c r="QV152" s="17"/>
      <c r="QW152" s="17"/>
      <c r="QX152" s="17"/>
      <c r="QY152" s="17"/>
      <c r="QZ152" s="17"/>
      <c r="RA152" s="17"/>
      <c r="RB152" s="17"/>
      <c r="RC152" s="17"/>
      <c r="RD152" s="17"/>
      <c r="RE152" s="17"/>
      <c r="RF152" s="17"/>
      <c r="RG152" s="17"/>
      <c r="RH152" s="17"/>
      <c r="RI152" s="17"/>
      <c r="RJ152" s="17"/>
      <c r="RK152" s="17"/>
      <c r="RL152" s="17"/>
      <c r="RM152" s="17"/>
      <c r="RN152" s="17"/>
      <c r="RO152" s="17"/>
      <c r="RP152" s="17"/>
      <c r="RQ152" s="17"/>
      <c r="RR152" s="17"/>
      <c r="RS152" s="17"/>
      <c r="RT152" s="17"/>
      <c r="RU152" s="17"/>
      <c r="RV152" s="17"/>
      <c r="RW152" s="17"/>
      <c r="RX152" s="17"/>
      <c r="RY152" s="17"/>
      <c r="RZ152" s="17"/>
      <c r="SA152" s="17"/>
      <c r="SB152" s="17"/>
      <c r="SC152" s="17"/>
      <c r="SD152" s="17"/>
      <c r="SE152" s="17"/>
      <c r="SF152" s="17"/>
      <c r="SG152" s="17"/>
      <c r="SH152" s="17"/>
      <c r="SI152" s="17"/>
      <c r="SJ152" s="17"/>
      <c r="SK152" s="17"/>
      <c r="SL152" s="17"/>
      <c r="SM152" s="17"/>
      <c r="SN152" s="17"/>
      <c r="SO152" s="17"/>
      <c r="SP152" s="17"/>
      <c r="SQ152" s="17"/>
      <c r="SR152" s="17"/>
      <c r="SS152" s="17"/>
      <c r="ST152" s="17"/>
      <c r="SU152" s="17"/>
      <c r="SV152" s="17"/>
      <c r="SW152" s="17"/>
      <c r="SX152" s="17"/>
      <c r="SY152" s="17"/>
      <c r="SZ152" s="17"/>
      <c r="TA152" s="17"/>
      <c r="TB152" s="17"/>
      <c r="TC152" s="17"/>
      <c r="TD152" s="17"/>
      <c r="TE152" s="17"/>
      <c r="TF152" s="17"/>
      <c r="TG152" s="17"/>
      <c r="TH152" s="17"/>
      <c r="TI152" s="17"/>
      <c r="TJ152" s="17"/>
      <c r="TK152" s="17"/>
      <c r="TL152" s="17"/>
      <c r="TM152" s="17"/>
      <c r="TN152" s="17"/>
      <c r="TO152" s="17"/>
      <c r="TP152" s="17"/>
      <c r="TQ152" s="17"/>
      <c r="TR152" s="17"/>
      <c r="TS152" s="17"/>
      <c r="TT152" s="17"/>
      <c r="TU152" s="17"/>
      <c r="TV152" s="17"/>
      <c r="TW152" s="17"/>
      <c r="TX152" s="17"/>
      <c r="TY152" s="17"/>
      <c r="TZ152" s="17"/>
      <c r="UA152" s="17"/>
      <c r="UB152" s="17"/>
      <c r="UC152" s="17"/>
      <c r="UD152" s="17"/>
      <c r="UE152" s="17"/>
      <c r="UF152" s="17"/>
      <c r="UG152" s="17"/>
      <c r="UH152" s="17"/>
      <c r="UI152" s="17"/>
      <c r="UJ152" s="17"/>
      <c r="UK152" s="17"/>
      <c r="UL152" s="17"/>
      <c r="UM152" s="17"/>
      <c r="UN152" s="17"/>
      <c r="UO152" s="17"/>
      <c r="UP152" s="17"/>
      <c r="UQ152" s="17"/>
      <c r="UR152" s="17"/>
      <c r="US152" s="17"/>
      <c r="UT152" s="17"/>
      <c r="UU152" s="17"/>
      <c r="UV152" s="17"/>
      <c r="UW152" s="17"/>
      <c r="UX152" s="17"/>
      <c r="UY152" s="17"/>
      <c r="UZ152" s="17"/>
      <c r="VA152" s="17"/>
      <c r="VB152" s="17"/>
      <c r="VC152" s="17"/>
      <c r="VD152" s="17"/>
      <c r="VE152" s="17"/>
      <c r="VF152" s="17"/>
      <c r="VG152" s="17"/>
      <c r="VH152" s="17"/>
      <c r="VI152" s="17"/>
      <c r="VJ152" s="17"/>
      <c r="VK152" s="17"/>
      <c r="VL152" s="17"/>
      <c r="VM152" s="17"/>
      <c r="VN152" s="17"/>
      <c r="VO152" s="17"/>
      <c r="VP152" s="17"/>
      <c r="VQ152" s="17"/>
      <c r="VR152" s="17"/>
      <c r="VS152" s="17"/>
      <c r="VT152" s="17"/>
      <c r="VU152" s="17"/>
      <c r="VV152" s="17"/>
      <c r="VW152" s="17"/>
      <c r="VX152" s="17"/>
      <c r="VY152" s="17"/>
      <c r="VZ152" s="17"/>
      <c r="WA152" s="17"/>
      <c r="WB152" s="17"/>
      <c r="WC152" s="17"/>
      <c r="WD152" s="17"/>
      <c r="WE152" s="17"/>
      <c r="WF152" s="17"/>
      <c r="WG152" s="17"/>
      <c r="WH152" s="17"/>
      <c r="WI152" s="17"/>
      <c r="WJ152" s="17"/>
      <c r="WK152" s="17"/>
      <c r="WL152" s="17"/>
      <c r="WM152" s="17"/>
      <c r="WN152" s="17"/>
      <c r="WO152" s="17"/>
      <c r="WP152" s="17"/>
      <c r="WQ152" s="17"/>
      <c r="WR152" s="17"/>
      <c r="WS152" s="17"/>
      <c r="WT152" s="17"/>
      <c r="WU152" s="17"/>
      <c r="WV152" s="17"/>
      <c r="WW152" s="17"/>
      <c r="WX152" s="17"/>
      <c r="WY152" s="17"/>
      <c r="WZ152" s="17"/>
      <c r="XA152" s="17"/>
      <c r="XB152" s="17"/>
      <c r="XC152" s="17"/>
      <c r="XD152" s="17"/>
      <c r="XE152" s="17"/>
      <c r="XF152" s="17"/>
      <c r="XG152" s="17"/>
      <c r="XH152" s="17"/>
      <c r="XI152" s="17"/>
      <c r="XJ152" s="17"/>
      <c r="XK152" s="17"/>
      <c r="XL152" s="17"/>
      <c r="XM152" s="17"/>
      <c r="XN152" s="17"/>
      <c r="XO152" s="17"/>
      <c r="XP152" s="17"/>
      <c r="XQ152" s="17"/>
      <c r="XR152" s="17"/>
      <c r="XS152" s="17"/>
      <c r="XT152" s="17"/>
      <c r="XU152" s="17"/>
      <c r="XV152" s="17"/>
      <c r="XW152" s="17"/>
      <c r="XX152" s="17"/>
      <c r="XY152" s="17"/>
      <c r="XZ152" s="17"/>
      <c r="YA152" s="17"/>
      <c r="YB152" s="17"/>
      <c r="YC152" s="17"/>
      <c r="YD152" s="17"/>
      <c r="YE152" s="17"/>
      <c r="YF152" s="17"/>
      <c r="YG152" s="17"/>
      <c r="YH152" s="17"/>
      <c r="YI152" s="17"/>
      <c r="YJ152" s="17"/>
      <c r="YK152" s="17"/>
      <c r="YL152" s="17"/>
      <c r="YM152" s="17"/>
      <c r="YN152" s="17"/>
      <c r="YO152" s="17"/>
      <c r="YP152" s="17"/>
      <c r="YQ152" s="17"/>
      <c r="YR152" s="17"/>
      <c r="YS152" s="17"/>
    </row>
    <row r="153" spans="266:669" x14ac:dyDescent="0.25">
      <c r="JF153" s="17"/>
      <c r="JG153" s="17"/>
      <c r="JH153" s="17"/>
      <c r="JI153" s="17"/>
      <c r="JJ153" s="17"/>
      <c r="JK153" s="17"/>
      <c r="JL153" s="17"/>
      <c r="JM153" s="17"/>
      <c r="JN153" s="17"/>
      <c r="JO153" s="17"/>
      <c r="JP153" s="17"/>
      <c r="JQ153" s="17"/>
      <c r="JR153" s="17"/>
      <c r="JS153" s="17"/>
      <c r="JT153" s="17"/>
      <c r="JU153" s="17"/>
      <c r="JV153" s="17"/>
      <c r="JW153" s="17"/>
      <c r="JX153" s="17"/>
      <c r="JY153" s="17"/>
      <c r="JZ153" s="17"/>
      <c r="KA153" s="17"/>
      <c r="KB153" s="17"/>
      <c r="KC153" s="17"/>
      <c r="KD153" s="17"/>
      <c r="KE153" s="17"/>
      <c r="KF153" s="17"/>
      <c r="KG153" s="17"/>
      <c r="KH153" s="17"/>
      <c r="KI153" s="17"/>
      <c r="KJ153" s="17"/>
      <c r="KK153" s="17"/>
      <c r="KL153" s="17"/>
      <c r="KM153" s="17"/>
      <c r="KN153" s="17"/>
      <c r="KO153" s="17"/>
      <c r="KP153" s="17"/>
      <c r="KQ153" s="17"/>
      <c r="KR153" s="17"/>
      <c r="KS153" s="17"/>
      <c r="KT153" s="17"/>
      <c r="KU153" s="17"/>
      <c r="KV153" s="17"/>
      <c r="KW153" s="17"/>
      <c r="KX153" s="17"/>
      <c r="KY153" s="17"/>
      <c r="KZ153" s="17"/>
      <c r="LA153" s="17"/>
      <c r="LB153" s="17"/>
      <c r="LC153" s="17"/>
      <c r="LD153" s="17"/>
      <c r="LE153" s="17"/>
      <c r="LF153" s="17"/>
      <c r="LG153" s="17"/>
      <c r="LH153" s="17"/>
      <c r="LI153" s="17"/>
      <c r="LJ153" s="17"/>
      <c r="LK153" s="17"/>
      <c r="LL153" s="17"/>
      <c r="LM153" s="17"/>
      <c r="LN153" s="17"/>
      <c r="LO153" s="17"/>
      <c r="LP153" s="17"/>
      <c r="LQ153" s="17"/>
      <c r="LR153" s="17"/>
      <c r="LS153" s="17"/>
      <c r="LT153" s="17"/>
      <c r="LU153" s="17"/>
      <c r="LV153" s="17"/>
      <c r="LW153" s="17"/>
      <c r="LX153" s="17"/>
      <c r="LY153" s="17"/>
      <c r="LZ153" s="17"/>
      <c r="MA153" s="17"/>
      <c r="MB153" s="17"/>
      <c r="MC153" s="17"/>
      <c r="MD153" s="17"/>
      <c r="ME153" s="17"/>
      <c r="MF153" s="17"/>
      <c r="MG153" s="17"/>
      <c r="MH153" s="17"/>
      <c r="MI153" s="17"/>
      <c r="MJ153" s="17"/>
      <c r="MK153" s="17"/>
      <c r="ML153" s="17"/>
      <c r="MM153" s="17"/>
      <c r="MN153" s="17"/>
      <c r="MO153" s="17"/>
      <c r="MP153" s="17"/>
      <c r="MQ153" s="17"/>
      <c r="MR153" s="17"/>
      <c r="MS153" s="17"/>
      <c r="MT153" s="17"/>
      <c r="MU153" s="17"/>
      <c r="MV153" s="17"/>
      <c r="MW153" s="17"/>
      <c r="MX153" s="17"/>
      <c r="MY153" s="17"/>
      <c r="MZ153" s="17"/>
      <c r="NA153" s="17"/>
      <c r="NB153" s="17"/>
      <c r="NC153" s="17"/>
      <c r="ND153" s="17"/>
      <c r="NE153" s="17"/>
      <c r="NF153" s="17"/>
      <c r="NG153" s="17"/>
      <c r="NH153" s="17"/>
      <c r="NI153" s="17"/>
      <c r="NJ153" s="17"/>
      <c r="NK153" s="17"/>
      <c r="NL153" s="17"/>
      <c r="NM153" s="17"/>
      <c r="NN153" s="17"/>
      <c r="NO153" s="17"/>
      <c r="NP153" s="17"/>
      <c r="NQ153" s="17"/>
      <c r="NR153" s="17"/>
      <c r="NS153" s="17"/>
      <c r="NT153" s="17"/>
      <c r="NU153" s="17"/>
      <c r="NV153" s="17"/>
      <c r="NW153" s="17"/>
      <c r="NX153" s="17"/>
      <c r="NY153" s="17"/>
      <c r="NZ153" s="17"/>
      <c r="OA153" s="17"/>
      <c r="OB153" s="17"/>
      <c r="OC153" s="17"/>
      <c r="OD153" s="17"/>
      <c r="OE153" s="17"/>
      <c r="OF153" s="17"/>
      <c r="OG153" s="17"/>
      <c r="OH153" s="17"/>
      <c r="OI153" s="17"/>
      <c r="OJ153" s="17"/>
      <c r="OK153" s="17"/>
      <c r="OL153" s="17"/>
      <c r="OM153" s="17"/>
      <c r="ON153" s="17"/>
      <c r="OO153" s="17"/>
      <c r="OP153" s="17"/>
      <c r="OQ153" s="17"/>
      <c r="OR153" s="17"/>
      <c r="OS153" s="17"/>
      <c r="OT153" s="17"/>
      <c r="OU153" s="17"/>
      <c r="OV153" s="17"/>
      <c r="OW153" s="17"/>
      <c r="OX153" s="17"/>
      <c r="OY153" s="17"/>
      <c r="OZ153" s="17"/>
      <c r="PA153" s="17"/>
      <c r="PB153" s="17"/>
      <c r="PC153" s="17"/>
      <c r="PD153" s="17"/>
      <c r="PE153" s="17"/>
      <c r="PF153" s="17"/>
      <c r="PG153" s="17"/>
      <c r="PH153" s="17"/>
      <c r="PI153" s="17"/>
      <c r="PJ153" s="17"/>
      <c r="PK153" s="17"/>
      <c r="PL153" s="17"/>
      <c r="PM153" s="17"/>
      <c r="PN153" s="17"/>
      <c r="PO153" s="17"/>
      <c r="PP153" s="17"/>
      <c r="PQ153" s="17"/>
      <c r="PR153" s="17"/>
      <c r="PS153" s="17"/>
      <c r="PT153" s="17"/>
      <c r="PU153" s="17"/>
      <c r="PV153" s="17"/>
      <c r="PW153" s="17"/>
      <c r="PX153" s="17"/>
      <c r="PY153" s="17"/>
      <c r="PZ153" s="17"/>
      <c r="QA153" s="17"/>
      <c r="QB153" s="17"/>
      <c r="QC153" s="17"/>
      <c r="QD153" s="17"/>
      <c r="QE153" s="17"/>
      <c r="QF153" s="17"/>
      <c r="QG153" s="17"/>
      <c r="QH153" s="17"/>
      <c r="QI153" s="17"/>
      <c r="QJ153" s="17"/>
      <c r="QK153" s="17"/>
      <c r="QL153" s="17"/>
      <c r="QM153" s="17"/>
      <c r="QN153" s="17"/>
      <c r="QO153" s="17"/>
      <c r="QP153" s="17"/>
      <c r="QQ153" s="17"/>
      <c r="QR153" s="17"/>
      <c r="QS153" s="17"/>
      <c r="QT153" s="17"/>
      <c r="QU153" s="17"/>
      <c r="QV153" s="17"/>
      <c r="QW153" s="17"/>
      <c r="QX153" s="17"/>
      <c r="QY153" s="17"/>
      <c r="QZ153" s="17"/>
      <c r="RA153" s="17"/>
      <c r="RB153" s="17"/>
      <c r="RC153" s="17"/>
      <c r="RD153" s="17"/>
      <c r="RE153" s="17"/>
      <c r="RF153" s="17"/>
      <c r="RG153" s="17"/>
      <c r="RH153" s="17"/>
      <c r="RI153" s="17"/>
      <c r="RJ153" s="17"/>
      <c r="RK153" s="17"/>
      <c r="RL153" s="17"/>
      <c r="RM153" s="17"/>
      <c r="RN153" s="17"/>
      <c r="RO153" s="17"/>
      <c r="RP153" s="17"/>
      <c r="RQ153" s="17"/>
      <c r="RR153" s="17"/>
      <c r="RS153" s="17"/>
      <c r="RT153" s="17"/>
      <c r="RU153" s="17"/>
      <c r="RV153" s="17"/>
      <c r="RW153" s="17"/>
      <c r="RX153" s="17"/>
      <c r="RY153" s="17"/>
      <c r="RZ153" s="17"/>
      <c r="SA153" s="17"/>
      <c r="SB153" s="17"/>
      <c r="SC153" s="17"/>
      <c r="SD153" s="17"/>
      <c r="SE153" s="17"/>
      <c r="SF153" s="17"/>
      <c r="SG153" s="17"/>
      <c r="SH153" s="17"/>
      <c r="SI153" s="17"/>
      <c r="SJ153" s="17"/>
      <c r="SK153" s="17"/>
      <c r="SL153" s="17"/>
      <c r="SM153" s="17"/>
      <c r="SN153" s="17"/>
      <c r="SO153" s="17"/>
      <c r="SP153" s="17"/>
      <c r="SQ153" s="17"/>
      <c r="SR153" s="17"/>
      <c r="SS153" s="17"/>
      <c r="ST153" s="17"/>
      <c r="SU153" s="17"/>
      <c r="SV153" s="17"/>
      <c r="SW153" s="17"/>
      <c r="SX153" s="17"/>
      <c r="SY153" s="17"/>
      <c r="SZ153" s="17"/>
      <c r="TA153" s="17"/>
      <c r="TB153" s="17"/>
      <c r="TC153" s="17"/>
      <c r="TD153" s="17"/>
      <c r="TE153" s="17"/>
      <c r="TF153" s="17"/>
      <c r="TG153" s="17"/>
      <c r="TH153" s="17"/>
      <c r="TI153" s="17"/>
      <c r="TJ153" s="17"/>
      <c r="TK153" s="17"/>
      <c r="TL153" s="17"/>
      <c r="TM153" s="17"/>
      <c r="TN153" s="17"/>
      <c r="TO153" s="17"/>
      <c r="TP153" s="17"/>
      <c r="TQ153" s="17"/>
      <c r="TR153" s="17"/>
      <c r="TS153" s="17"/>
      <c r="TT153" s="17"/>
      <c r="TU153" s="17"/>
      <c r="TV153" s="17"/>
      <c r="TW153" s="17"/>
      <c r="TX153" s="17"/>
      <c r="TY153" s="17"/>
      <c r="TZ153" s="17"/>
      <c r="UA153" s="17"/>
      <c r="UB153" s="17"/>
      <c r="UC153" s="17"/>
      <c r="UD153" s="17"/>
      <c r="UE153" s="17"/>
      <c r="UF153" s="17"/>
      <c r="UG153" s="17"/>
      <c r="UH153" s="17"/>
      <c r="UI153" s="17"/>
      <c r="UJ153" s="17"/>
      <c r="UK153" s="17"/>
      <c r="UL153" s="17"/>
      <c r="UM153" s="17"/>
      <c r="UN153" s="17"/>
      <c r="UO153" s="17"/>
      <c r="UP153" s="17"/>
      <c r="UQ153" s="17"/>
      <c r="UR153" s="17"/>
      <c r="US153" s="17"/>
      <c r="UT153" s="17"/>
      <c r="UU153" s="17"/>
      <c r="UV153" s="17"/>
      <c r="UW153" s="17"/>
      <c r="UX153" s="17"/>
      <c r="UY153" s="17"/>
      <c r="UZ153" s="17"/>
      <c r="VA153" s="17"/>
      <c r="VB153" s="17"/>
      <c r="VC153" s="17"/>
      <c r="VD153" s="17"/>
      <c r="VE153" s="17"/>
      <c r="VF153" s="17"/>
      <c r="VG153" s="17"/>
      <c r="VH153" s="17"/>
      <c r="VI153" s="17"/>
      <c r="VJ153" s="17"/>
      <c r="VK153" s="17"/>
      <c r="VL153" s="17"/>
      <c r="VM153" s="17"/>
      <c r="VN153" s="17"/>
      <c r="VO153" s="17"/>
      <c r="VP153" s="17"/>
      <c r="VQ153" s="17"/>
      <c r="VR153" s="17"/>
      <c r="VS153" s="17"/>
      <c r="VT153" s="17"/>
      <c r="VU153" s="17"/>
      <c r="VV153" s="17"/>
      <c r="VW153" s="17"/>
      <c r="VX153" s="17"/>
      <c r="VY153" s="17"/>
      <c r="VZ153" s="17"/>
      <c r="WA153" s="17"/>
      <c r="WB153" s="17"/>
      <c r="WC153" s="17"/>
      <c r="WD153" s="17"/>
      <c r="WE153" s="17"/>
      <c r="WF153" s="17"/>
      <c r="WG153" s="17"/>
      <c r="WH153" s="17"/>
      <c r="WI153" s="17"/>
      <c r="WJ153" s="17"/>
      <c r="WK153" s="17"/>
      <c r="WL153" s="17"/>
      <c r="WM153" s="17"/>
      <c r="WN153" s="17"/>
      <c r="WO153" s="17"/>
      <c r="WP153" s="17"/>
      <c r="WQ153" s="17"/>
      <c r="WR153" s="17"/>
      <c r="WS153" s="17"/>
      <c r="WT153" s="17"/>
      <c r="WU153" s="17"/>
      <c r="WV153" s="17"/>
      <c r="WW153" s="17"/>
      <c r="WX153" s="17"/>
      <c r="WY153" s="17"/>
      <c r="WZ153" s="17"/>
      <c r="XA153" s="17"/>
      <c r="XB153" s="17"/>
      <c r="XC153" s="17"/>
      <c r="XD153" s="17"/>
      <c r="XE153" s="17"/>
      <c r="XF153" s="17"/>
      <c r="XG153" s="17"/>
      <c r="XH153" s="17"/>
      <c r="XI153" s="17"/>
      <c r="XJ153" s="17"/>
      <c r="XK153" s="17"/>
      <c r="XL153" s="17"/>
      <c r="XM153" s="17"/>
      <c r="XN153" s="17"/>
      <c r="XO153" s="17"/>
      <c r="XP153" s="17"/>
      <c r="XQ153" s="17"/>
      <c r="XR153" s="17"/>
      <c r="XS153" s="17"/>
      <c r="XT153" s="17"/>
      <c r="XU153" s="17"/>
      <c r="XV153" s="17"/>
      <c r="XW153" s="17"/>
      <c r="XX153" s="17"/>
      <c r="XY153" s="17"/>
      <c r="XZ153" s="17"/>
      <c r="YA153" s="17"/>
      <c r="YB153" s="17"/>
      <c r="YC153" s="17"/>
      <c r="YD153" s="17"/>
      <c r="YE153" s="17"/>
      <c r="YF153" s="17"/>
      <c r="YG153" s="17"/>
      <c r="YH153" s="17"/>
      <c r="YI153" s="17"/>
      <c r="YJ153" s="17"/>
      <c r="YK153" s="17"/>
      <c r="YL153" s="17"/>
      <c r="YM153" s="17"/>
      <c r="YN153" s="17"/>
      <c r="YO153" s="17"/>
      <c r="YP153" s="17"/>
      <c r="YQ153" s="17"/>
      <c r="YR153" s="17"/>
      <c r="YS153" s="17"/>
    </row>
    <row r="154" spans="266:669" x14ac:dyDescent="0.25">
      <c r="JF154" s="17"/>
      <c r="JG154" s="17"/>
      <c r="JH154" s="17"/>
      <c r="JI154" s="17"/>
      <c r="JJ154" s="17"/>
      <c r="JK154" s="17"/>
      <c r="JL154" s="17"/>
      <c r="JM154" s="17"/>
      <c r="JN154" s="17"/>
      <c r="JO154" s="17"/>
      <c r="JP154" s="17"/>
      <c r="JQ154" s="17"/>
      <c r="JR154" s="17"/>
      <c r="JS154" s="17"/>
      <c r="JT154" s="17"/>
      <c r="JU154" s="17"/>
      <c r="JV154" s="17"/>
      <c r="JW154" s="17"/>
      <c r="JX154" s="17"/>
      <c r="JY154" s="17"/>
      <c r="JZ154" s="17"/>
      <c r="KA154" s="17"/>
      <c r="KB154" s="17"/>
      <c r="KC154" s="17"/>
      <c r="KD154" s="17"/>
      <c r="KE154" s="17"/>
      <c r="KF154" s="17"/>
      <c r="KG154" s="17"/>
      <c r="KH154" s="17"/>
      <c r="KI154" s="17"/>
      <c r="KJ154" s="17"/>
      <c r="KK154" s="17"/>
      <c r="KL154" s="17"/>
      <c r="KM154" s="17"/>
      <c r="KN154" s="17"/>
      <c r="KO154" s="17"/>
      <c r="KP154" s="17"/>
      <c r="KQ154" s="17"/>
      <c r="KR154" s="17"/>
      <c r="KS154" s="17"/>
      <c r="KT154" s="17"/>
      <c r="KU154" s="17"/>
      <c r="KV154" s="17"/>
      <c r="KW154" s="17"/>
      <c r="KX154" s="17"/>
      <c r="KY154" s="17"/>
      <c r="KZ154" s="17"/>
      <c r="LA154" s="17"/>
      <c r="LB154" s="17"/>
      <c r="LC154" s="17"/>
      <c r="LD154" s="17"/>
      <c r="LE154" s="17"/>
      <c r="LF154" s="17"/>
      <c r="LG154" s="17"/>
      <c r="LH154" s="17"/>
      <c r="LI154" s="17"/>
      <c r="LJ154" s="17"/>
      <c r="LK154" s="17"/>
      <c r="LL154" s="17"/>
      <c r="LM154" s="17"/>
      <c r="LN154" s="17"/>
      <c r="LO154" s="17"/>
      <c r="LP154" s="17"/>
      <c r="LQ154" s="17"/>
      <c r="LR154" s="17"/>
      <c r="LS154" s="17"/>
      <c r="LT154" s="17"/>
      <c r="LU154" s="17"/>
      <c r="LV154" s="17"/>
      <c r="LW154" s="17"/>
      <c r="LX154" s="17"/>
      <c r="LY154" s="17"/>
      <c r="LZ154" s="17"/>
      <c r="MA154" s="17"/>
      <c r="MB154" s="17"/>
      <c r="MC154" s="17"/>
      <c r="MD154" s="17"/>
      <c r="ME154" s="17"/>
      <c r="MF154" s="17"/>
      <c r="MG154" s="17"/>
      <c r="MH154" s="17"/>
      <c r="MI154" s="17"/>
      <c r="MJ154" s="17"/>
      <c r="MK154" s="17"/>
      <c r="ML154" s="17"/>
      <c r="MM154" s="17"/>
      <c r="MN154" s="17"/>
      <c r="MO154" s="17"/>
      <c r="MP154" s="17"/>
      <c r="MQ154" s="17"/>
      <c r="MR154" s="17"/>
      <c r="MS154" s="17"/>
      <c r="MT154" s="17"/>
      <c r="MU154" s="17"/>
      <c r="MV154" s="17"/>
      <c r="MW154" s="17"/>
      <c r="MX154" s="17"/>
      <c r="MY154" s="17"/>
      <c r="MZ154" s="17"/>
      <c r="NA154" s="17"/>
      <c r="NB154" s="17"/>
      <c r="NC154" s="17"/>
      <c r="ND154" s="17"/>
      <c r="NE154" s="17"/>
      <c r="NF154" s="17"/>
      <c r="NG154" s="17"/>
      <c r="NH154" s="17"/>
      <c r="NI154" s="17"/>
      <c r="NJ154" s="17"/>
      <c r="NK154" s="17"/>
      <c r="NL154" s="17"/>
      <c r="NM154" s="17"/>
      <c r="NN154" s="17"/>
      <c r="NO154" s="17"/>
      <c r="NP154" s="17"/>
      <c r="NQ154" s="17"/>
      <c r="NR154" s="17"/>
      <c r="NS154" s="17"/>
      <c r="NT154" s="17"/>
      <c r="NU154" s="17"/>
      <c r="NV154" s="17"/>
      <c r="NW154" s="17"/>
      <c r="NX154" s="17"/>
      <c r="NY154" s="17"/>
      <c r="NZ154" s="17"/>
      <c r="OA154" s="17"/>
      <c r="OB154" s="17"/>
      <c r="OC154" s="17"/>
      <c r="OD154" s="17"/>
      <c r="OE154" s="17"/>
      <c r="OF154" s="17"/>
      <c r="OG154" s="17"/>
      <c r="OH154" s="17"/>
      <c r="OI154" s="17"/>
      <c r="OJ154" s="17"/>
      <c r="OK154" s="17"/>
      <c r="OL154" s="17"/>
      <c r="OM154" s="17"/>
      <c r="ON154" s="17"/>
      <c r="OO154" s="17"/>
      <c r="OP154" s="17"/>
      <c r="OQ154" s="17"/>
      <c r="OR154" s="17"/>
      <c r="OS154" s="17"/>
      <c r="OT154" s="17"/>
      <c r="OU154" s="17"/>
      <c r="OV154" s="17"/>
      <c r="OW154" s="17"/>
      <c r="OX154" s="17"/>
      <c r="OY154" s="17"/>
      <c r="OZ154" s="17"/>
      <c r="PA154" s="17"/>
      <c r="PB154" s="17"/>
      <c r="PC154" s="17"/>
      <c r="PD154" s="17"/>
      <c r="PE154" s="17"/>
      <c r="PF154" s="17"/>
      <c r="PG154" s="17"/>
      <c r="PH154" s="17"/>
      <c r="PI154" s="17"/>
      <c r="PJ154" s="17"/>
      <c r="PK154" s="17"/>
      <c r="PL154" s="17"/>
      <c r="PM154" s="17"/>
      <c r="PN154" s="17"/>
      <c r="PO154" s="17"/>
      <c r="PP154" s="17"/>
      <c r="PQ154" s="17"/>
      <c r="PR154" s="17"/>
      <c r="PS154" s="17"/>
      <c r="PT154" s="17"/>
      <c r="PU154" s="17"/>
      <c r="PV154" s="17"/>
      <c r="PW154" s="17"/>
      <c r="PX154" s="17"/>
      <c r="PY154" s="17"/>
      <c r="PZ154" s="17"/>
      <c r="QA154" s="17"/>
      <c r="QB154" s="17"/>
      <c r="QC154" s="17"/>
      <c r="QD154" s="17"/>
      <c r="QE154" s="17"/>
      <c r="QF154" s="17"/>
      <c r="QG154" s="17"/>
      <c r="QH154" s="17"/>
      <c r="QI154" s="17"/>
      <c r="QJ154" s="17"/>
      <c r="QK154" s="17"/>
      <c r="QL154" s="17"/>
      <c r="QM154" s="17"/>
      <c r="QN154" s="17"/>
      <c r="QO154" s="17"/>
      <c r="QP154" s="17"/>
      <c r="QQ154" s="17"/>
      <c r="QR154" s="17"/>
      <c r="QS154" s="17"/>
      <c r="QT154" s="17"/>
      <c r="QU154" s="17"/>
      <c r="QV154" s="17"/>
      <c r="QW154" s="17"/>
      <c r="QX154" s="17"/>
      <c r="QY154" s="17"/>
      <c r="QZ154" s="17"/>
      <c r="RA154" s="17"/>
      <c r="RB154" s="17"/>
      <c r="RC154" s="17"/>
      <c r="RD154" s="17"/>
      <c r="RE154" s="17"/>
      <c r="RF154" s="17"/>
      <c r="RG154" s="17"/>
      <c r="RH154" s="17"/>
      <c r="RI154" s="17"/>
      <c r="RJ154" s="17"/>
      <c r="RK154" s="17"/>
      <c r="RL154" s="17"/>
      <c r="RM154" s="17"/>
      <c r="RN154" s="17"/>
      <c r="RO154" s="17"/>
      <c r="RP154" s="17"/>
      <c r="RQ154" s="17"/>
      <c r="RR154" s="17"/>
      <c r="RS154" s="17"/>
      <c r="RT154" s="17"/>
      <c r="RU154" s="17"/>
      <c r="RV154" s="17"/>
      <c r="RW154" s="17"/>
      <c r="RX154" s="17"/>
      <c r="RY154" s="17"/>
      <c r="RZ154" s="17"/>
      <c r="SA154" s="17"/>
      <c r="SB154" s="17"/>
      <c r="SC154" s="17"/>
      <c r="SD154" s="17"/>
      <c r="SE154" s="17"/>
      <c r="SF154" s="17"/>
      <c r="SG154" s="17"/>
      <c r="SH154" s="17"/>
      <c r="SI154" s="17"/>
      <c r="SJ154" s="17"/>
      <c r="SK154" s="17"/>
      <c r="SL154" s="17"/>
      <c r="SM154" s="17"/>
      <c r="SN154" s="17"/>
      <c r="SO154" s="17"/>
      <c r="SP154" s="17"/>
      <c r="SQ154" s="17"/>
      <c r="SR154" s="17"/>
      <c r="SS154" s="17"/>
      <c r="ST154" s="17"/>
      <c r="SU154" s="17"/>
      <c r="SV154" s="17"/>
      <c r="SW154" s="17"/>
      <c r="SX154" s="17"/>
      <c r="SY154" s="17"/>
      <c r="SZ154" s="17"/>
      <c r="TA154" s="17"/>
      <c r="TB154" s="17"/>
      <c r="TC154" s="17"/>
      <c r="TD154" s="17"/>
      <c r="TE154" s="17"/>
      <c r="TF154" s="17"/>
      <c r="TG154" s="17"/>
      <c r="TH154" s="17"/>
      <c r="TI154" s="17"/>
      <c r="TJ154" s="17"/>
      <c r="TK154" s="17"/>
      <c r="TL154" s="17"/>
      <c r="TM154" s="17"/>
      <c r="TN154" s="17"/>
      <c r="TO154" s="17"/>
      <c r="TP154" s="17"/>
      <c r="TQ154" s="17"/>
      <c r="TR154" s="17"/>
      <c r="TS154" s="17"/>
      <c r="TT154" s="17"/>
      <c r="TU154" s="17"/>
      <c r="TV154" s="17"/>
      <c r="TW154" s="17"/>
      <c r="TX154" s="17"/>
      <c r="TY154" s="17"/>
      <c r="TZ154" s="17"/>
      <c r="UA154" s="17"/>
      <c r="UB154" s="17"/>
      <c r="UC154" s="17"/>
      <c r="UD154" s="17"/>
      <c r="UE154" s="17"/>
      <c r="UF154" s="17"/>
      <c r="UG154" s="17"/>
      <c r="UH154" s="17"/>
      <c r="UI154" s="17"/>
      <c r="UJ154" s="17"/>
      <c r="UK154" s="17"/>
      <c r="UL154" s="17"/>
      <c r="UM154" s="17"/>
      <c r="UN154" s="17"/>
      <c r="UO154" s="17"/>
      <c r="UP154" s="17"/>
      <c r="UQ154" s="17"/>
      <c r="UR154" s="17"/>
      <c r="US154" s="17"/>
      <c r="UT154" s="17"/>
      <c r="UU154" s="17"/>
      <c r="UV154" s="17"/>
      <c r="UW154" s="17"/>
      <c r="UX154" s="17"/>
      <c r="UY154" s="17"/>
      <c r="UZ154" s="17"/>
      <c r="VA154" s="17"/>
      <c r="VB154" s="17"/>
      <c r="VC154" s="17"/>
      <c r="VD154" s="17"/>
      <c r="VE154" s="17"/>
      <c r="VF154" s="17"/>
      <c r="VG154" s="17"/>
      <c r="VH154" s="17"/>
      <c r="VI154" s="17"/>
      <c r="VJ154" s="17"/>
      <c r="VK154" s="17"/>
      <c r="VL154" s="17"/>
      <c r="VM154" s="17"/>
      <c r="VN154" s="17"/>
      <c r="VO154" s="17"/>
      <c r="VP154" s="17"/>
      <c r="VQ154" s="17"/>
      <c r="VR154" s="17"/>
      <c r="VS154" s="17"/>
      <c r="VT154" s="17"/>
      <c r="VU154" s="17"/>
      <c r="VV154" s="17"/>
      <c r="VW154" s="17"/>
      <c r="VX154" s="17"/>
      <c r="VY154" s="17"/>
      <c r="VZ154" s="17"/>
      <c r="WA154" s="17"/>
      <c r="WB154" s="17"/>
      <c r="WC154" s="17"/>
      <c r="WD154" s="17"/>
      <c r="WE154" s="17"/>
      <c r="WF154" s="17"/>
      <c r="WG154" s="17"/>
      <c r="WH154" s="17"/>
      <c r="WI154" s="17"/>
      <c r="WJ154" s="17"/>
      <c r="WK154" s="17"/>
      <c r="WL154" s="17"/>
      <c r="WM154" s="17"/>
      <c r="WN154" s="17"/>
      <c r="WO154" s="17"/>
      <c r="WP154" s="17"/>
      <c r="WQ154" s="17"/>
      <c r="WR154" s="17"/>
      <c r="WS154" s="17"/>
      <c r="WT154" s="17"/>
      <c r="WU154" s="17"/>
      <c r="WV154" s="17"/>
      <c r="WW154" s="17"/>
      <c r="WX154" s="17"/>
      <c r="WY154" s="17"/>
      <c r="WZ154" s="17"/>
      <c r="XA154" s="17"/>
      <c r="XB154" s="17"/>
      <c r="XC154" s="17"/>
      <c r="XD154" s="17"/>
      <c r="XE154" s="17"/>
      <c r="XF154" s="17"/>
      <c r="XG154" s="17"/>
      <c r="XH154" s="17"/>
      <c r="XI154" s="17"/>
      <c r="XJ154" s="17"/>
      <c r="XK154" s="17"/>
      <c r="XL154" s="17"/>
      <c r="XM154" s="17"/>
      <c r="XN154" s="17"/>
      <c r="XO154" s="17"/>
      <c r="XP154" s="17"/>
      <c r="XQ154" s="17"/>
      <c r="XR154" s="17"/>
      <c r="XS154" s="17"/>
      <c r="XT154" s="17"/>
      <c r="XU154" s="17"/>
      <c r="XV154" s="17"/>
      <c r="XW154" s="17"/>
      <c r="XX154" s="17"/>
      <c r="XY154" s="17"/>
      <c r="XZ154" s="17"/>
      <c r="YA154" s="17"/>
      <c r="YB154" s="17"/>
      <c r="YC154" s="17"/>
      <c r="YD154" s="17"/>
      <c r="YE154" s="17"/>
      <c r="YF154" s="17"/>
      <c r="YG154" s="17"/>
      <c r="YH154" s="17"/>
      <c r="YI154" s="17"/>
      <c r="YJ154" s="17"/>
      <c r="YK154" s="17"/>
      <c r="YL154" s="17"/>
      <c r="YM154" s="17"/>
      <c r="YN154" s="17"/>
      <c r="YO154" s="17"/>
      <c r="YP154" s="17"/>
      <c r="YQ154" s="17"/>
      <c r="YR154" s="17"/>
      <c r="YS154" s="17"/>
    </row>
    <row r="155" spans="266:669" x14ac:dyDescent="0.25">
      <c r="JF155" s="17"/>
      <c r="JG155" s="17"/>
      <c r="JH155" s="17"/>
      <c r="JI155" s="17"/>
      <c r="JJ155" s="17"/>
      <c r="JK155" s="17"/>
      <c r="JL155" s="17"/>
      <c r="JM155" s="17"/>
      <c r="JN155" s="17"/>
      <c r="JO155" s="17"/>
      <c r="JP155" s="17"/>
      <c r="JQ155" s="17"/>
      <c r="JR155" s="17"/>
      <c r="JS155" s="17"/>
      <c r="JT155" s="17"/>
      <c r="JU155" s="17"/>
      <c r="JV155" s="17"/>
      <c r="JW155" s="17"/>
      <c r="JX155" s="17"/>
      <c r="JY155" s="17"/>
      <c r="JZ155" s="17"/>
      <c r="KA155" s="17"/>
      <c r="KB155" s="17"/>
      <c r="KC155" s="17"/>
      <c r="KD155" s="17"/>
      <c r="KE155" s="17"/>
      <c r="KF155" s="17"/>
      <c r="KG155" s="17"/>
      <c r="KH155" s="17"/>
      <c r="KI155" s="17"/>
      <c r="KJ155" s="17"/>
      <c r="KK155" s="17"/>
      <c r="KL155" s="17"/>
      <c r="KM155" s="17"/>
      <c r="KN155" s="17"/>
      <c r="KO155" s="17"/>
      <c r="KP155" s="17"/>
      <c r="KQ155" s="17"/>
      <c r="KR155" s="17"/>
      <c r="KS155" s="17"/>
      <c r="KT155" s="17"/>
      <c r="KU155" s="17"/>
      <c r="KV155" s="17"/>
      <c r="KW155" s="17"/>
      <c r="KX155" s="17"/>
      <c r="KY155" s="17"/>
      <c r="KZ155" s="17"/>
      <c r="LA155" s="17"/>
      <c r="LB155" s="17"/>
      <c r="LC155" s="17"/>
      <c r="LD155" s="17"/>
      <c r="LE155" s="17"/>
      <c r="LF155" s="17"/>
      <c r="LG155" s="17"/>
      <c r="LH155" s="17"/>
      <c r="LI155" s="17"/>
      <c r="LJ155" s="17"/>
      <c r="LK155" s="17"/>
      <c r="LL155" s="17"/>
      <c r="LM155" s="17"/>
      <c r="LN155" s="17"/>
      <c r="LO155" s="17"/>
      <c r="LP155" s="17"/>
      <c r="LQ155" s="17"/>
      <c r="LR155" s="17"/>
      <c r="LS155" s="17"/>
      <c r="LT155" s="17"/>
      <c r="LU155" s="17"/>
      <c r="LV155" s="17"/>
      <c r="LW155" s="17"/>
      <c r="LX155" s="17"/>
      <c r="LY155" s="17"/>
      <c r="LZ155" s="17"/>
      <c r="MA155" s="17"/>
      <c r="MB155" s="17"/>
      <c r="MC155" s="17"/>
      <c r="MD155" s="17"/>
      <c r="ME155" s="17"/>
      <c r="MF155" s="17"/>
      <c r="MG155" s="17"/>
      <c r="MH155" s="17"/>
      <c r="MI155" s="17"/>
      <c r="MJ155" s="17"/>
      <c r="MK155" s="17"/>
      <c r="ML155" s="17"/>
      <c r="MM155" s="17"/>
      <c r="MN155" s="17"/>
      <c r="MO155" s="17"/>
      <c r="MP155" s="17"/>
      <c r="MQ155" s="17"/>
      <c r="MR155" s="17"/>
      <c r="MS155" s="17"/>
      <c r="MT155" s="17"/>
      <c r="MU155" s="17"/>
      <c r="MV155" s="17"/>
      <c r="MW155" s="17"/>
      <c r="MX155" s="17"/>
      <c r="MY155" s="17"/>
      <c r="MZ155" s="17"/>
      <c r="NA155" s="17"/>
      <c r="NB155" s="17"/>
      <c r="NC155" s="17"/>
      <c r="ND155" s="17"/>
      <c r="NE155" s="17"/>
      <c r="NF155" s="17"/>
      <c r="NG155" s="17"/>
      <c r="NH155" s="17"/>
      <c r="NI155" s="17"/>
      <c r="NJ155" s="17"/>
      <c r="NK155" s="17"/>
      <c r="NL155" s="17"/>
      <c r="NM155" s="17"/>
      <c r="NN155" s="17"/>
      <c r="NO155" s="17"/>
      <c r="NP155" s="17"/>
      <c r="NQ155" s="17"/>
      <c r="NR155" s="17"/>
      <c r="NS155" s="17"/>
      <c r="NT155" s="17"/>
      <c r="NU155" s="17"/>
      <c r="NV155" s="17"/>
      <c r="NW155" s="17"/>
      <c r="NX155" s="17"/>
      <c r="NY155" s="17"/>
      <c r="NZ155" s="17"/>
      <c r="OA155" s="17"/>
      <c r="OB155" s="17"/>
      <c r="OC155" s="17"/>
      <c r="OD155" s="17"/>
      <c r="OE155" s="17"/>
      <c r="OF155" s="17"/>
      <c r="OG155" s="17"/>
      <c r="OH155" s="17"/>
      <c r="OI155" s="17"/>
      <c r="OJ155" s="17"/>
      <c r="OK155" s="17"/>
      <c r="OL155" s="17"/>
      <c r="OM155" s="17"/>
      <c r="ON155" s="17"/>
      <c r="OO155" s="17"/>
      <c r="OP155" s="17"/>
      <c r="OQ155" s="17"/>
      <c r="OR155" s="17"/>
      <c r="OS155" s="17"/>
      <c r="OT155" s="17"/>
      <c r="OU155" s="17"/>
      <c r="OV155" s="17"/>
      <c r="OW155" s="17"/>
      <c r="OX155" s="17"/>
      <c r="OY155" s="17"/>
      <c r="OZ155" s="17"/>
      <c r="PA155" s="17"/>
      <c r="PB155" s="17"/>
      <c r="PC155" s="17"/>
      <c r="PD155" s="17"/>
      <c r="PE155" s="17"/>
      <c r="PF155" s="17"/>
      <c r="PG155" s="17"/>
      <c r="PH155" s="17"/>
      <c r="PI155" s="17"/>
      <c r="PJ155" s="17"/>
      <c r="PK155" s="17"/>
      <c r="PL155" s="17"/>
      <c r="PM155" s="17"/>
      <c r="PN155" s="17"/>
      <c r="PO155" s="17"/>
      <c r="PP155" s="17"/>
      <c r="PQ155" s="17"/>
      <c r="PR155" s="17"/>
      <c r="PS155" s="17"/>
      <c r="PT155" s="17"/>
      <c r="PU155" s="17"/>
      <c r="PV155" s="17"/>
      <c r="PW155" s="17"/>
      <c r="PX155" s="17"/>
      <c r="PY155" s="17"/>
      <c r="PZ155" s="17"/>
      <c r="QA155" s="17"/>
      <c r="QB155" s="17"/>
      <c r="QC155" s="17"/>
      <c r="QD155" s="17"/>
      <c r="QE155" s="17"/>
      <c r="QF155" s="17"/>
      <c r="QG155" s="17"/>
      <c r="QH155" s="17"/>
      <c r="QI155" s="17"/>
      <c r="QJ155" s="17"/>
      <c r="QK155" s="17"/>
      <c r="QL155" s="17"/>
      <c r="QM155" s="17"/>
      <c r="QN155" s="17"/>
      <c r="QO155" s="17"/>
      <c r="QP155" s="17"/>
      <c r="QQ155" s="17"/>
      <c r="QR155" s="17"/>
      <c r="QS155" s="17"/>
      <c r="QT155" s="17"/>
      <c r="QU155" s="17"/>
      <c r="QV155" s="17"/>
      <c r="QW155" s="17"/>
      <c r="QX155" s="17"/>
      <c r="QY155" s="17"/>
      <c r="QZ155" s="17"/>
      <c r="RA155" s="17"/>
      <c r="RB155" s="17"/>
      <c r="RC155" s="17"/>
      <c r="RD155" s="17"/>
      <c r="RE155" s="17"/>
      <c r="RF155" s="17"/>
      <c r="RG155" s="17"/>
      <c r="RH155" s="17"/>
      <c r="RI155" s="17"/>
      <c r="RJ155" s="17"/>
      <c r="RK155" s="17"/>
      <c r="RL155" s="17"/>
      <c r="RM155" s="17"/>
      <c r="RN155" s="17"/>
      <c r="RO155" s="17"/>
      <c r="RP155" s="17"/>
      <c r="RQ155" s="17"/>
      <c r="RR155" s="17"/>
      <c r="RS155" s="17"/>
      <c r="RT155" s="17"/>
      <c r="RU155" s="17"/>
      <c r="RV155" s="17"/>
      <c r="RW155" s="17"/>
      <c r="RX155" s="17"/>
      <c r="RY155" s="17"/>
      <c r="RZ155" s="17"/>
      <c r="SA155" s="17"/>
      <c r="SB155" s="17"/>
      <c r="SC155" s="17"/>
      <c r="SD155" s="17"/>
      <c r="SE155" s="17"/>
      <c r="SF155" s="17"/>
      <c r="SG155" s="17"/>
      <c r="SH155" s="17"/>
      <c r="SI155" s="17"/>
      <c r="SJ155" s="17"/>
      <c r="SK155" s="17"/>
      <c r="SL155" s="17"/>
      <c r="SM155" s="17"/>
      <c r="SN155" s="17"/>
      <c r="SO155" s="17"/>
      <c r="SP155" s="17"/>
      <c r="SQ155" s="17"/>
      <c r="SR155" s="17"/>
      <c r="SS155" s="17"/>
      <c r="ST155" s="17"/>
      <c r="SU155" s="17"/>
      <c r="SV155" s="17"/>
      <c r="SW155" s="17"/>
      <c r="SX155" s="17"/>
      <c r="SY155" s="17"/>
      <c r="SZ155" s="17"/>
      <c r="TA155" s="17"/>
      <c r="TB155" s="17"/>
      <c r="TC155" s="17"/>
      <c r="TD155" s="17"/>
      <c r="TE155" s="17"/>
      <c r="TF155" s="17"/>
      <c r="TG155" s="17"/>
      <c r="TH155" s="17"/>
      <c r="TI155" s="17"/>
      <c r="TJ155" s="17"/>
      <c r="TK155" s="17"/>
      <c r="TL155" s="17"/>
      <c r="TM155" s="17"/>
      <c r="TN155" s="17"/>
      <c r="TO155" s="17"/>
      <c r="TP155" s="17"/>
      <c r="TQ155" s="17"/>
      <c r="TR155" s="17"/>
      <c r="TS155" s="17"/>
      <c r="TT155" s="17"/>
      <c r="TU155" s="17"/>
      <c r="TV155" s="17"/>
      <c r="TW155" s="17"/>
      <c r="TX155" s="17"/>
      <c r="TY155" s="17"/>
      <c r="TZ155" s="17"/>
      <c r="UA155" s="17"/>
      <c r="UB155" s="17"/>
      <c r="UC155" s="17"/>
      <c r="UD155" s="17"/>
      <c r="UE155" s="17"/>
      <c r="UF155" s="17"/>
      <c r="UG155" s="17"/>
      <c r="UH155" s="17"/>
      <c r="UI155" s="17"/>
      <c r="UJ155" s="17"/>
      <c r="UK155" s="17"/>
      <c r="UL155" s="17"/>
      <c r="UM155" s="17"/>
      <c r="UN155" s="17"/>
      <c r="UO155" s="17"/>
      <c r="UP155" s="17"/>
      <c r="UQ155" s="17"/>
      <c r="UR155" s="17"/>
      <c r="US155" s="17"/>
      <c r="UT155" s="17"/>
      <c r="UU155" s="17"/>
      <c r="UV155" s="17"/>
      <c r="UW155" s="17"/>
      <c r="UX155" s="17"/>
      <c r="UY155" s="17"/>
      <c r="UZ155" s="17"/>
      <c r="VA155" s="17"/>
      <c r="VB155" s="17"/>
      <c r="VC155" s="17"/>
      <c r="VD155" s="17"/>
      <c r="VE155" s="17"/>
      <c r="VF155" s="17"/>
      <c r="VG155" s="17"/>
      <c r="VH155" s="17"/>
      <c r="VI155" s="17"/>
      <c r="VJ155" s="17"/>
      <c r="VK155" s="17"/>
      <c r="VL155" s="17"/>
      <c r="VM155" s="17"/>
      <c r="VN155" s="17"/>
      <c r="VO155" s="17"/>
      <c r="VP155" s="17"/>
      <c r="VQ155" s="17"/>
      <c r="VR155" s="17"/>
      <c r="VS155" s="17"/>
      <c r="VT155" s="17"/>
      <c r="VU155" s="17"/>
      <c r="VV155" s="17"/>
      <c r="VW155" s="17"/>
      <c r="VX155" s="17"/>
      <c r="VY155" s="17"/>
      <c r="VZ155" s="17"/>
      <c r="WA155" s="17"/>
      <c r="WB155" s="17"/>
      <c r="WC155" s="17"/>
      <c r="WD155" s="17"/>
      <c r="WE155" s="17"/>
      <c r="WF155" s="17"/>
      <c r="WG155" s="17"/>
      <c r="WH155" s="17"/>
      <c r="WI155" s="17"/>
      <c r="WJ155" s="17"/>
      <c r="WK155" s="17"/>
      <c r="WL155" s="17"/>
      <c r="WM155" s="17"/>
      <c r="WN155" s="17"/>
      <c r="WO155" s="17"/>
      <c r="WP155" s="17"/>
      <c r="WQ155" s="17"/>
      <c r="WR155" s="17"/>
      <c r="WS155" s="17"/>
      <c r="WT155" s="17"/>
      <c r="WU155" s="17"/>
      <c r="WV155" s="17"/>
      <c r="WW155" s="17"/>
      <c r="WX155" s="17"/>
      <c r="WY155" s="17"/>
      <c r="WZ155" s="17"/>
      <c r="XA155" s="17"/>
      <c r="XB155" s="17"/>
      <c r="XC155" s="17"/>
      <c r="XD155" s="17"/>
      <c r="XE155" s="17"/>
      <c r="XF155" s="17"/>
      <c r="XG155" s="17"/>
      <c r="XH155" s="17"/>
      <c r="XI155" s="17"/>
      <c r="XJ155" s="17"/>
      <c r="XK155" s="17"/>
      <c r="XL155" s="17"/>
      <c r="XM155" s="17"/>
      <c r="XN155" s="17"/>
      <c r="XO155" s="17"/>
      <c r="XP155" s="17"/>
      <c r="XQ155" s="17"/>
      <c r="XR155" s="17"/>
      <c r="XS155" s="17"/>
      <c r="XT155" s="17"/>
      <c r="XU155" s="17"/>
      <c r="XV155" s="17"/>
      <c r="XW155" s="17"/>
      <c r="XX155" s="17"/>
      <c r="XY155" s="17"/>
      <c r="XZ155" s="17"/>
      <c r="YA155" s="17"/>
      <c r="YB155" s="17"/>
      <c r="YC155" s="17"/>
      <c r="YD155" s="17"/>
      <c r="YE155" s="17"/>
      <c r="YF155" s="17"/>
      <c r="YG155" s="17"/>
      <c r="YH155" s="17"/>
      <c r="YI155" s="17"/>
      <c r="YJ155" s="17"/>
      <c r="YK155" s="17"/>
      <c r="YL155" s="17"/>
      <c r="YM155" s="17"/>
      <c r="YN155" s="17"/>
      <c r="YO155" s="17"/>
      <c r="YP155" s="17"/>
      <c r="YQ155" s="17"/>
      <c r="YR155" s="17"/>
      <c r="YS155" s="17"/>
    </row>
    <row r="156" spans="266:669" x14ac:dyDescent="0.25">
      <c r="JF156" s="17"/>
      <c r="JG156" s="17"/>
      <c r="JH156" s="17"/>
      <c r="JI156" s="17"/>
      <c r="JJ156" s="17"/>
      <c r="JK156" s="17"/>
      <c r="JL156" s="17"/>
      <c r="JM156" s="17"/>
      <c r="JN156" s="17"/>
      <c r="JO156" s="17"/>
      <c r="JP156" s="17"/>
      <c r="JQ156" s="17"/>
      <c r="JR156" s="17"/>
      <c r="JS156" s="17"/>
      <c r="JT156" s="17"/>
      <c r="JU156" s="17"/>
      <c r="JV156" s="17"/>
      <c r="JW156" s="17"/>
      <c r="JX156" s="17"/>
      <c r="JY156" s="17"/>
      <c r="JZ156" s="17"/>
      <c r="KA156" s="17"/>
      <c r="KB156" s="17"/>
      <c r="KC156" s="17"/>
      <c r="KD156" s="17"/>
      <c r="KE156" s="17"/>
      <c r="KF156" s="17"/>
      <c r="KG156" s="17"/>
      <c r="KH156" s="17"/>
      <c r="KI156" s="17"/>
      <c r="KJ156" s="17"/>
      <c r="KK156" s="17"/>
      <c r="KL156" s="17"/>
      <c r="KM156" s="17"/>
      <c r="KN156" s="17"/>
      <c r="KO156" s="17"/>
      <c r="KP156" s="17"/>
      <c r="KQ156" s="17"/>
      <c r="KR156" s="17"/>
      <c r="KS156" s="17"/>
      <c r="KT156" s="17"/>
      <c r="KU156" s="17"/>
      <c r="KV156" s="17"/>
      <c r="KW156" s="17"/>
      <c r="KX156" s="17"/>
      <c r="KY156" s="17"/>
      <c r="KZ156" s="17"/>
      <c r="LA156" s="17"/>
      <c r="LB156" s="17"/>
      <c r="LC156" s="17"/>
      <c r="LD156" s="17"/>
      <c r="LE156" s="17"/>
      <c r="LF156" s="17"/>
      <c r="LG156" s="17"/>
      <c r="LH156" s="17"/>
      <c r="LI156" s="17"/>
      <c r="LJ156" s="17"/>
      <c r="LK156" s="17"/>
      <c r="LL156" s="17"/>
      <c r="LM156" s="17"/>
      <c r="LN156" s="17"/>
      <c r="LO156" s="17"/>
      <c r="LP156" s="17"/>
      <c r="LQ156" s="17"/>
      <c r="LR156" s="17"/>
      <c r="LS156" s="17"/>
      <c r="LT156" s="17"/>
      <c r="LU156" s="17"/>
      <c r="LV156" s="17"/>
      <c r="LW156" s="17"/>
      <c r="LX156" s="17"/>
      <c r="LY156" s="17"/>
      <c r="LZ156" s="17"/>
      <c r="MA156" s="17"/>
      <c r="MB156" s="17"/>
      <c r="MC156" s="17"/>
      <c r="MD156" s="17"/>
      <c r="ME156" s="17"/>
      <c r="MF156" s="17"/>
      <c r="MG156" s="17"/>
      <c r="MH156" s="17"/>
      <c r="MI156" s="17"/>
      <c r="MJ156" s="17"/>
      <c r="MK156" s="17"/>
      <c r="ML156" s="17"/>
      <c r="MM156" s="17"/>
      <c r="MN156" s="17"/>
      <c r="MO156" s="17"/>
      <c r="MP156" s="17"/>
      <c r="MQ156" s="17"/>
      <c r="MR156" s="17"/>
      <c r="MS156" s="17"/>
      <c r="MT156" s="17"/>
      <c r="MU156" s="17"/>
      <c r="MV156" s="17"/>
      <c r="MW156" s="17"/>
      <c r="MX156" s="17"/>
      <c r="MY156" s="17"/>
      <c r="MZ156" s="17"/>
      <c r="NA156" s="17"/>
      <c r="NB156" s="17"/>
      <c r="NC156" s="17"/>
      <c r="ND156" s="17"/>
      <c r="NE156" s="17"/>
      <c r="NF156" s="17"/>
      <c r="NG156" s="17"/>
      <c r="NH156" s="17"/>
      <c r="NI156" s="17"/>
      <c r="NJ156" s="17"/>
      <c r="NK156" s="17"/>
      <c r="NL156" s="17"/>
      <c r="NM156" s="17"/>
      <c r="NN156" s="17"/>
      <c r="NO156" s="17"/>
      <c r="NP156" s="17"/>
      <c r="NQ156" s="17"/>
      <c r="NR156" s="17"/>
      <c r="NS156" s="17"/>
      <c r="NT156" s="17"/>
      <c r="NU156" s="17"/>
      <c r="NV156" s="17"/>
      <c r="NW156" s="17"/>
      <c r="NX156" s="17"/>
      <c r="NY156" s="17"/>
      <c r="NZ156" s="17"/>
      <c r="OA156" s="17"/>
      <c r="OB156" s="17"/>
      <c r="OC156" s="17"/>
      <c r="OD156" s="17"/>
      <c r="OE156" s="17"/>
      <c r="OF156" s="17"/>
      <c r="OG156" s="17"/>
      <c r="OH156" s="17"/>
      <c r="OI156" s="17"/>
      <c r="OJ156" s="17"/>
      <c r="OK156" s="17"/>
      <c r="OL156" s="17"/>
      <c r="OM156" s="17"/>
      <c r="ON156" s="17"/>
      <c r="OO156" s="17"/>
      <c r="OP156" s="17"/>
      <c r="OQ156" s="17"/>
      <c r="OR156" s="17"/>
      <c r="OS156" s="17"/>
      <c r="OT156" s="17"/>
      <c r="OU156" s="17"/>
      <c r="OV156" s="17"/>
      <c r="OW156" s="17"/>
      <c r="OX156" s="17"/>
      <c r="OY156" s="17"/>
      <c r="OZ156" s="17"/>
      <c r="PA156" s="17"/>
      <c r="PB156" s="17"/>
      <c r="PC156" s="17"/>
      <c r="PD156" s="17"/>
      <c r="PE156" s="17"/>
      <c r="PF156" s="17"/>
      <c r="PG156" s="17"/>
      <c r="PH156" s="17"/>
      <c r="PI156" s="17"/>
      <c r="PJ156" s="17"/>
      <c r="PK156" s="17"/>
      <c r="PL156" s="17"/>
      <c r="PM156" s="17"/>
      <c r="PN156" s="17"/>
      <c r="PO156" s="17"/>
      <c r="PP156" s="17"/>
      <c r="PQ156" s="17"/>
      <c r="PR156" s="17"/>
      <c r="PS156" s="17"/>
      <c r="PT156" s="17"/>
      <c r="PU156" s="17"/>
      <c r="PV156" s="17"/>
      <c r="PW156" s="17"/>
      <c r="PX156" s="17"/>
      <c r="PY156" s="17"/>
      <c r="PZ156" s="17"/>
      <c r="QA156" s="17"/>
      <c r="QB156" s="17"/>
      <c r="QC156" s="17"/>
      <c r="QD156" s="17"/>
      <c r="QE156" s="17"/>
      <c r="QF156" s="17"/>
      <c r="QG156" s="17"/>
      <c r="QH156" s="17"/>
      <c r="QI156" s="17"/>
      <c r="QJ156" s="17"/>
      <c r="QK156" s="17"/>
      <c r="QL156" s="17"/>
      <c r="QM156" s="17"/>
      <c r="QN156" s="17"/>
      <c r="QO156" s="17"/>
      <c r="QP156" s="17"/>
      <c r="QQ156" s="17"/>
      <c r="QR156" s="17"/>
      <c r="QS156" s="17"/>
      <c r="QT156" s="17"/>
      <c r="QU156" s="17"/>
      <c r="QV156" s="17"/>
      <c r="QW156" s="17"/>
      <c r="QX156" s="17"/>
      <c r="QY156" s="17"/>
      <c r="QZ156" s="17"/>
      <c r="RA156" s="17"/>
      <c r="RB156" s="17"/>
      <c r="RC156" s="17"/>
      <c r="RD156" s="17"/>
      <c r="RE156" s="17"/>
      <c r="RF156" s="17"/>
      <c r="RG156" s="17"/>
      <c r="RH156" s="17"/>
      <c r="RI156" s="17"/>
      <c r="RJ156" s="17"/>
      <c r="RK156" s="17"/>
      <c r="RL156" s="17"/>
      <c r="RM156" s="17"/>
      <c r="RN156" s="17"/>
      <c r="RO156" s="17"/>
      <c r="RP156" s="17"/>
      <c r="RQ156" s="17"/>
      <c r="RR156" s="17"/>
      <c r="RS156" s="17"/>
      <c r="RT156" s="17"/>
      <c r="RU156" s="17"/>
      <c r="RV156" s="17"/>
      <c r="RW156" s="17"/>
      <c r="RX156" s="17"/>
      <c r="RY156" s="17"/>
      <c r="RZ156" s="17"/>
      <c r="SA156" s="17"/>
      <c r="SB156" s="17"/>
      <c r="SC156" s="17"/>
      <c r="SD156" s="17"/>
      <c r="SE156" s="17"/>
      <c r="SF156" s="17"/>
      <c r="SG156" s="17"/>
      <c r="SH156" s="17"/>
      <c r="SI156" s="17"/>
      <c r="SJ156" s="17"/>
      <c r="SK156" s="17"/>
      <c r="SL156" s="17"/>
      <c r="SM156" s="17"/>
      <c r="SN156" s="17"/>
      <c r="SO156" s="17"/>
      <c r="SP156" s="17"/>
      <c r="SQ156" s="17"/>
      <c r="SR156" s="17"/>
      <c r="SS156" s="17"/>
      <c r="ST156" s="17"/>
      <c r="SU156" s="17"/>
      <c r="SV156" s="17"/>
      <c r="SW156" s="17"/>
      <c r="SX156" s="17"/>
      <c r="SY156" s="17"/>
      <c r="SZ156" s="17"/>
      <c r="TA156" s="17"/>
      <c r="TB156" s="17"/>
      <c r="TC156" s="17"/>
      <c r="TD156" s="17"/>
      <c r="TE156" s="17"/>
      <c r="TF156" s="17"/>
      <c r="TG156" s="17"/>
      <c r="TH156" s="17"/>
      <c r="TI156" s="17"/>
      <c r="TJ156" s="17"/>
      <c r="TK156" s="17"/>
      <c r="TL156" s="17"/>
      <c r="TM156" s="17"/>
      <c r="TN156" s="17"/>
      <c r="TO156" s="17"/>
      <c r="TP156" s="17"/>
      <c r="TQ156" s="17"/>
      <c r="TR156" s="17"/>
      <c r="TS156" s="17"/>
      <c r="TT156" s="17"/>
      <c r="TU156" s="17"/>
      <c r="TV156" s="17"/>
      <c r="TW156" s="17"/>
      <c r="TX156" s="17"/>
      <c r="TY156" s="17"/>
      <c r="TZ156" s="17"/>
      <c r="UA156" s="17"/>
      <c r="UB156" s="17"/>
      <c r="UC156" s="17"/>
      <c r="UD156" s="17"/>
      <c r="UE156" s="17"/>
      <c r="UF156" s="17"/>
      <c r="UG156" s="17"/>
      <c r="UH156" s="17"/>
      <c r="UI156" s="17"/>
      <c r="UJ156" s="17"/>
      <c r="UK156" s="17"/>
      <c r="UL156" s="17"/>
      <c r="UM156" s="17"/>
      <c r="UN156" s="17"/>
      <c r="UO156" s="17"/>
      <c r="UP156" s="17"/>
      <c r="UQ156" s="17"/>
      <c r="UR156" s="17"/>
      <c r="US156" s="17"/>
      <c r="UT156" s="17"/>
      <c r="UU156" s="17"/>
      <c r="UV156" s="17"/>
      <c r="UW156" s="17"/>
      <c r="UX156" s="17"/>
      <c r="UY156" s="17"/>
      <c r="UZ156" s="17"/>
      <c r="VA156" s="17"/>
      <c r="VB156" s="17"/>
      <c r="VC156" s="17"/>
      <c r="VD156" s="17"/>
      <c r="VE156" s="17"/>
      <c r="VF156" s="17"/>
      <c r="VG156" s="17"/>
      <c r="VH156" s="17"/>
      <c r="VI156" s="17"/>
      <c r="VJ156" s="17"/>
      <c r="VK156" s="17"/>
      <c r="VL156" s="17"/>
      <c r="VM156" s="17"/>
      <c r="VN156" s="17"/>
      <c r="VO156" s="17"/>
      <c r="VP156" s="17"/>
      <c r="VQ156" s="17"/>
      <c r="VR156" s="17"/>
      <c r="VS156" s="17"/>
      <c r="VT156" s="17"/>
      <c r="VU156" s="17"/>
      <c r="VV156" s="17"/>
      <c r="VW156" s="17"/>
      <c r="VX156" s="17"/>
      <c r="VY156" s="17"/>
      <c r="VZ156" s="17"/>
      <c r="WA156" s="17"/>
      <c r="WB156" s="17"/>
      <c r="WC156" s="17"/>
      <c r="WD156" s="17"/>
      <c r="WE156" s="17"/>
      <c r="WF156" s="17"/>
      <c r="WG156" s="17"/>
      <c r="WH156" s="17"/>
      <c r="WI156" s="17"/>
      <c r="WJ156" s="17"/>
      <c r="WK156" s="17"/>
      <c r="WL156" s="17"/>
      <c r="WM156" s="17"/>
      <c r="WN156" s="17"/>
      <c r="WO156" s="17"/>
      <c r="WP156" s="17"/>
      <c r="WQ156" s="17"/>
      <c r="WR156" s="17"/>
      <c r="WS156" s="17"/>
      <c r="WT156" s="17"/>
      <c r="WU156" s="17"/>
      <c r="WV156" s="17"/>
      <c r="WW156" s="17"/>
      <c r="WX156" s="17"/>
      <c r="WY156" s="17"/>
      <c r="WZ156" s="17"/>
      <c r="XA156" s="17"/>
      <c r="XB156" s="17"/>
      <c r="XC156" s="17"/>
      <c r="XD156" s="17"/>
      <c r="XE156" s="17"/>
      <c r="XF156" s="17"/>
      <c r="XG156" s="17"/>
      <c r="XH156" s="17"/>
      <c r="XI156" s="17"/>
      <c r="XJ156" s="17"/>
      <c r="XK156" s="17"/>
      <c r="XL156" s="17"/>
      <c r="XM156" s="17"/>
      <c r="XN156" s="17"/>
      <c r="XO156" s="17"/>
      <c r="XP156" s="17"/>
      <c r="XQ156" s="17"/>
      <c r="XR156" s="17"/>
      <c r="XS156" s="17"/>
      <c r="XT156" s="17"/>
      <c r="XU156" s="17"/>
      <c r="XV156" s="17"/>
      <c r="XW156" s="17"/>
      <c r="XX156" s="17"/>
      <c r="XY156" s="17"/>
      <c r="XZ156" s="17"/>
      <c r="YA156" s="17"/>
      <c r="YB156" s="17"/>
      <c r="YC156" s="17"/>
      <c r="YD156" s="17"/>
      <c r="YE156" s="17"/>
      <c r="YF156" s="17"/>
      <c r="YG156" s="17"/>
      <c r="YH156" s="17"/>
      <c r="YI156" s="17"/>
      <c r="YJ156" s="17"/>
      <c r="YK156" s="17"/>
      <c r="YL156" s="17"/>
      <c r="YM156" s="17"/>
      <c r="YN156" s="17"/>
      <c r="YO156" s="17"/>
      <c r="YP156" s="17"/>
      <c r="YQ156" s="17"/>
      <c r="YR156" s="17"/>
      <c r="YS156" s="17"/>
    </row>
    <row r="157" spans="266:669" x14ac:dyDescent="0.25">
      <c r="JF157" s="17"/>
      <c r="JG157" s="17"/>
      <c r="JH157" s="17"/>
      <c r="JI157" s="17"/>
      <c r="JJ157" s="17"/>
      <c r="JK157" s="17"/>
      <c r="JL157" s="17"/>
      <c r="JM157" s="17"/>
      <c r="JN157" s="17"/>
      <c r="JO157" s="17"/>
      <c r="JP157" s="17"/>
      <c r="JQ157" s="17"/>
      <c r="JR157" s="17"/>
      <c r="JS157" s="17"/>
      <c r="JT157" s="17"/>
      <c r="JU157" s="17"/>
      <c r="JV157" s="17"/>
      <c r="JW157" s="17"/>
      <c r="JX157" s="17"/>
      <c r="JY157" s="17"/>
      <c r="JZ157" s="17"/>
      <c r="KA157" s="17"/>
      <c r="KB157" s="17"/>
      <c r="KC157" s="17"/>
      <c r="KD157" s="17"/>
      <c r="KE157" s="17"/>
      <c r="KF157" s="17"/>
      <c r="KG157" s="17"/>
      <c r="KH157" s="17"/>
      <c r="KI157" s="17"/>
      <c r="KJ157" s="17"/>
      <c r="KK157" s="17"/>
      <c r="KL157" s="17"/>
      <c r="KM157" s="17"/>
      <c r="KN157" s="17"/>
      <c r="KO157" s="17"/>
      <c r="KP157" s="17"/>
      <c r="KQ157" s="17"/>
      <c r="KR157" s="17"/>
      <c r="KS157" s="17"/>
      <c r="KT157" s="17"/>
      <c r="KU157" s="17"/>
      <c r="KV157" s="17"/>
      <c r="KW157" s="17"/>
      <c r="KX157" s="17"/>
      <c r="KY157" s="17"/>
      <c r="KZ157" s="17"/>
      <c r="LA157" s="17"/>
      <c r="LB157" s="17"/>
      <c r="LC157" s="17"/>
      <c r="LD157" s="17"/>
      <c r="LE157" s="17"/>
      <c r="LF157" s="17"/>
      <c r="LG157" s="17"/>
      <c r="LH157" s="17"/>
      <c r="LI157" s="17"/>
      <c r="LJ157" s="17"/>
      <c r="LK157" s="17"/>
      <c r="LL157" s="17"/>
      <c r="LM157" s="17"/>
      <c r="LN157" s="17"/>
      <c r="LO157" s="17"/>
      <c r="LP157" s="17"/>
      <c r="LQ157" s="17"/>
      <c r="LR157" s="17"/>
      <c r="LS157" s="17"/>
      <c r="LT157" s="17"/>
      <c r="LU157" s="17"/>
      <c r="LV157" s="17"/>
      <c r="LW157" s="17"/>
      <c r="LX157" s="17"/>
      <c r="LY157" s="17"/>
      <c r="LZ157" s="17"/>
      <c r="MA157" s="17"/>
      <c r="MB157" s="17"/>
      <c r="MC157" s="17"/>
      <c r="MD157" s="17"/>
      <c r="ME157" s="17"/>
      <c r="MF157" s="17"/>
      <c r="MG157" s="17"/>
      <c r="MH157" s="17"/>
      <c r="MI157" s="17"/>
      <c r="MJ157" s="17"/>
      <c r="MK157" s="17"/>
      <c r="ML157" s="17"/>
      <c r="MM157" s="17"/>
      <c r="MN157" s="17"/>
      <c r="MO157" s="17"/>
      <c r="MP157" s="17"/>
      <c r="MQ157" s="17"/>
      <c r="MR157" s="17"/>
      <c r="MS157" s="17"/>
      <c r="MT157" s="17"/>
      <c r="MU157" s="17"/>
      <c r="MV157" s="17"/>
      <c r="MW157" s="17"/>
      <c r="MX157" s="17"/>
      <c r="MY157" s="17"/>
      <c r="MZ157" s="17"/>
      <c r="NA157" s="17"/>
      <c r="NB157" s="17"/>
      <c r="NC157" s="17"/>
      <c r="ND157" s="17"/>
      <c r="NE157" s="17"/>
      <c r="NF157" s="17"/>
      <c r="NG157" s="17"/>
      <c r="NH157" s="17"/>
      <c r="NI157" s="17"/>
      <c r="NJ157" s="17"/>
      <c r="NK157" s="17"/>
      <c r="NL157" s="17"/>
      <c r="NM157" s="17"/>
      <c r="NN157" s="17"/>
      <c r="NO157" s="17"/>
      <c r="NP157" s="17"/>
      <c r="NQ157" s="17"/>
      <c r="NR157" s="17"/>
      <c r="NS157" s="17"/>
      <c r="NT157" s="17"/>
      <c r="NU157" s="17"/>
      <c r="NV157" s="17"/>
      <c r="NW157" s="17"/>
      <c r="NX157" s="17"/>
      <c r="NY157" s="17"/>
      <c r="NZ157" s="17"/>
      <c r="OA157" s="17"/>
      <c r="OB157" s="17"/>
      <c r="OC157" s="17"/>
      <c r="OD157" s="17"/>
      <c r="OE157" s="17"/>
      <c r="OF157" s="17"/>
      <c r="OG157" s="17"/>
      <c r="OH157" s="17"/>
      <c r="OI157" s="17"/>
      <c r="OJ157" s="17"/>
      <c r="OK157" s="17"/>
      <c r="OL157" s="17"/>
      <c r="OM157" s="17"/>
      <c r="ON157" s="17"/>
      <c r="OO157" s="17"/>
      <c r="OP157" s="17"/>
      <c r="OQ157" s="17"/>
      <c r="OR157" s="17"/>
      <c r="OS157" s="17"/>
      <c r="OT157" s="17"/>
      <c r="OU157" s="17"/>
      <c r="OV157" s="17"/>
      <c r="OW157" s="17"/>
      <c r="OX157" s="17"/>
      <c r="OY157" s="17"/>
      <c r="OZ157" s="17"/>
      <c r="PA157" s="17"/>
      <c r="PB157" s="17"/>
      <c r="PC157" s="17"/>
      <c r="PD157" s="17"/>
      <c r="PE157" s="17"/>
      <c r="PF157" s="17"/>
      <c r="PG157" s="17"/>
      <c r="PH157" s="17"/>
      <c r="PI157" s="17"/>
      <c r="PJ157" s="17"/>
      <c r="PK157" s="17"/>
      <c r="PL157" s="17"/>
      <c r="PM157" s="17"/>
      <c r="PN157" s="17"/>
      <c r="PO157" s="17"/>
      <c r="PP157" s="17"/>
      <c r="PQ157" s="17"/>
      <c r="PR157" s="17"/>
      <c r="PS157" s="17"/>
      <c r="PT157" s="17"/>
      <c r="PU157" s="17"/>
      <c r="PV157" s="17"/>
      <c r="PW157" s="17"/>
      <c r="PX157" s="17"/>
      <c r="PY157" s="17"/>
      <c r="PZ157" s="17"/>
      <c r="QA157" s="17"/>
      <c r="QB157" s="17"/>
      <c r="QC157" s="17"/>
      <c r="QD157" s="17"/>
      <c r="QE157" s="17"/>
      <c r="QF157" s="17"/>
      <c r="QG157" s="17"/>
      <c r="QH157" s="17"/>
      <c r="QI157" s="17"/>
      <c r="QJ157" s="17"/>
      <c r="QK157" s="17"/>
      <c r="QL157" s="17"/>
      <c r="QM157" s="17"/>
      <c r="QN157" s="17"/>
      <c r="QO157" s="17"/>
      <c r="QP157" s="17"/>
      <c r="QQ157" s="17"/>
      <c r="QR157" s="17"/>
      <c r="QS157" s="17"/>
      <c r="QT157" s="17"/>
      <c r="QU157" s="17"/>
      <c r="QV157" s="17"/>
      <c r="QW157" s="17"/>
      <c r="QX157" s="17"/>
      <c r="QY157" s="17"/>
      <c r="QZ157" s="17"/>
      <c r="RA157" s="17"/>
      <c r="RB157" s="17"/>
      <c r="RC157" s="17"/>
      <c r="RD157" s="17"/>
      <c r="RE157" s="17"/>
      <c r="RF157" s="17"/>
      <c r="RG157" s="17"/>
      <c r="RH157" s="17"/>
      <c r="RI157" s="17"/>
      <c r="RJ157" s="17"/>
      <c r="RK157" s="17"/>
      <c r="RL157" s="17"/>
      <c r="RM157" s="17"/>
      <c r="RN157" s="17"/>
      <c r="RO157" s="17"/>
      <c r="RP157" s="17"/>
      <c r="RQ157" s="17"/>
      <c r="RR157" s="17"/>
      <c r="RS157" s="17"/>
      <c r="RT157" s="17"/>
      <c r="RU157" s="17"/>
      <c r="RV157" s="17"/>
      <c r="RW157" s="17"/>
      <c r="RX157" s="17"/>
      <c r="RY157" s="17"/>
      <c r="RZ157" s="17"/>
      <c r="SA157" s="17"/>
      <c r="SB157" s="17"/>
      <c r="SC157" s="17"/>
      <c r="SD157" s="17"/>
      <c r="SE157" s="17"/>
      <c r="SF157" s="17"/>
      <c r="SG157" s="17"/>
      <c r="SH157" s="17"/>
      <c r="SI157" s="17"/>
      <c r="SJ157" s="17"/>
      <c r="SK157" s="17"/>
      <c r="SL157" s="17"/>
      <c r="SM157" s="17"/>
      <c r="SN157" s="17"/>
      <c r="SO157" s="17"/>
      <c r="SP157" s="17"/>
      <c r="SQ157" s="17"/>
      <c r="SR157" s="17"/>
      <c r="SS157" s="17"/>
      <c r="ST157" s="17"/>
      <c r="SU157" s="17"/>
      <c r="SV157" s="17"/>
      <c r="SW157" s="17"/>
      <c r="SX157" s="17"/>
      <c r="SY157" s="17"/>
      <c r="SZ157" s="17"/>
      <c r="TA157" s="17"/>
      <c r="TB157" s="17"/>
      <c r="TC157" s="17"/>
      <c r="TD157" s="17"/>
      <c r="TE157" s="17"/>
      <c r="TF157" s="17"/>
      <c r="TG157" s="17"/>
      <c r="TH157" s="17"/>
      <c r="TI157" s="17"/>
      <c r="TJ157" s="17"/>
      <c r="TK157" s="17"/>
      <c r="TL157" s="17"/>
      <c r="TM157" s="17"/>
      <c r="TN157" s="17"/>
      <c r="TO157" s="17"/>
      <c r="TP157" s="17"/>
      <c r="TQ157" s="17"/>
      <c r="TR157" s="17"/>
      <c r="TS157" s="17"/>
      <c r="TT157" s="17"/>
      <c r="TU157" s="17"/>
      <c r="TV157" s="17"/>
      <c r="TW157" s="17"/>
      <c r="TX157" s="17"/>
      <c r="TY157" s="17"/>
      <c r="TZ157" s="17"/>
      <c r="UA157" s="17"/>
      <c r="UB157" s="17"/>
      <c r="UC157" s="17"/>
      <c r="UD157" s="17"/>
      <c r="UE157" s="17"/>
      <c r="UF157" s="17"/>
      <c r="UG157" s="17"/>
      <c r="UH157" s="17"/>
      <c r="UI157" s="17"/>
      <c r="UJ157" s="17"/>
      <c r="UK157" s="17"/>
      <c r="UL157" s="17"/>
      <c r="UM157" s="17"/>
      <c r="UN157" s="17"/>
      <c r="UO157" s="17"/>
      <c r="UP157" s="17"/>
      <c r="UQ157" s="17"/>
      <c r="UR157" s="17"/>
      <c r="US157" s="17"/>
      <c r="UT157" s="17"/>
      <c r="UU157" s="17"/>
      <c r="UV157" s="17"/>
      <c r="UW157" s="17"/>
      <c r="UX157" s="17"/>
      <c r="UY157" s="17"/>
      <c r="UZ157" s="17"/>
      <c r="VA157" s="17"/>
      <c r="VB157" s="17"/>
      <c r="VC157" s="17"/>
      <c r="VD157" s="17"/>
      <c r="VE157" s="17"/>
      <c r="VF157" s="17"/>
      <c r="VG157" s="17"/>
      <c r="VH157" s="17"/>
      <c r="VI157" s="17"/>
      <c r="VJ157" s="17"/>
      <c r="VK157" s="17"/>
      <c r="VL157" s="17"/>
      <c r="VM157" s="17"/>
      <c r="VN157" s="17"/>
      <c r="VO157" s="17"/>
      <c r="VP157" s="17"/>
      <c r="VQ157" s="17"/>
      <c r="VR157" s="17"/>
      <c r="VS157" s="17"/>
      <c r="VT157" s="17"/>
      <c r="VU157" s="17"/>
      <c r="VV157" s="17"/>
      <c r="VW157" s="17"/>
      <c r="VX157" s="17"/>
      <c r="VY157" s="17"/>
      <c r="VZ157" s="17"/>
      <c r="WA157" s="17"/>
      <c r="WB157" s="17"/>
      <c r="WC157" s="17"/>
      <c r="WD157" s="17"/>
      <c r="WE157" s="17"/>
      <c r="WF157" s="17"/>
      <c r="WG157" s="17"/>
      <c r="WH157" s="17"/>
      <c r="WI157" s="17"/>
      <c r="WJ157" s="17"/>
      <c r="WK157" s="17"/>
      <c r="WL157" s="17"/>
      <c r="WM157" s="17"/>
      <c r="WN157" s="17"/>
      <c r="WO157" s="17"/>
      <c r="WP157" s="17"/>
      <c r="WQ157" s="17"/>
      <c r="WR157" s="17"/>
      <c r="WS157" s="17"/>
      <c r="WT157" s="17"/>
      <c r="WU157" s="17"/>
      <c r="WV157" s="17"/>
      <c r="WW157" s="17"/>
      <c r="WX157" s="17"/>
      <c r="WY157" s="17"/>
      <c r="WZ157" s="17"/>
      <c r="XA157" s="17"/>
      <c r="XB157" s="17"/>
      <c r="XC157" s="17"/>
      <c r="XD157" s="17"/>
      <c r="XE157" s="17"/>
      <c r="XF157" s="17"/>
      <c r="XG157" s="17"/>
      <c r="XH157" s="17"/>
      <c r="XI157" s="17"/>
      <c r="XJ157" s="17"/>
      <c r="XK157" s="17"/>
      <c r="XL157" s="17"/>
      <c r="XM157" s="17"/>
      <c r="XN157" s="17"/>
      <c r="XO157" s="17"/>
      <c r="XP157" s="17"/>
      <c r="XQ157" s="17"/>
      <c r="XR157" s="17"/>
      <c r="XS157" s="17"/>
      <c r="XT157" s="17"/>
      <c r="XU157" s="17"/>
      <c r="XV157" s="17"/>
      <c r="XW157" s="17"/>
      <c r="XX157" s="17"/>
      <c r="XY157" s="17"/>
      <c r="XZ157" s="17"/>
      <c r="YA157" s="17"/>
      <c r="YB157" s="17"/>
      <c r="YC157" s="17"/>
      <c r="YD157" s="17"/>
      <c r="YE157" s="17"/>
      <c r="YF157" s="17"/>
      <c r="YG157" s="17"/>
      <c r="YH157" s="17"/>
      <c r="YI157" s="17"/>
      <c r="YJ157" s="17"/>
      <c r="YK157" s="17"/>
      <c r="YL157" s="17"/>
      <c r="YM157" s="17"/>
      <c r="YN157" s="17"/>
      <c r="YO157" s="17"/>
      <c r="YP157" s="17"/>
      <c r="YQ157" s="17"/>
      <c r="YR157" s="17"/>
      <c r="YS157" s="17"/>
    </row>
    <row r="158" spans="266:669" x14ac:dyDescent="0.25">
      <c r="JF158" s="17"/>
      <c r="JG158" s="17"/>
      <c r="JH158" s="17"/>
      <c r="JI158" s="17"/>
      <c r="JJ158" s="17"/>
      <c r="JK158" s="17"/>
      <c r="JL158" s="17"/>
      <c r="JM158" s="17"/>
      <c r="JN158" s="17"/>
      <c r="JO158" s="17"/>
      <c r="JP158" s="17"/>
      <c r="JQ158" s="17"/>
      <c r="JR158" s="17"/>
      <c r="JS158" s="17"/>
      <c r="JT158" s="17"/>
      <c r="JU158" s="17"/>
      <c r="JV158" s="17"/>
      <c r="JW158" s="17"/>
      <c r="JX158" s="17"/>
      <c r="JY158" s="17"/>
      <c r="JZ158" s="17"/>
      <c r="KA158" s="17"/>
      <c r="KB158" s="17"/>
      <c r="KC158" s="17"/>
      <c r="KD158" s="17"/>
      <c r="KE158" s="17"/>
      <c r="KF158" s="17"/>
      <c r="KG158" s="17"/>
      <c r="KH158" s="17"/>
      <c r="KI158" s="17"/>
      <c r="KJ158" s="17"/>
      <c r="KK158" s="17"/>
      <c r="KL158" s="17"/>
      <c r="KM158" s="17"/>
      <c r="KN158" s="17"/>
      <c r="KO158" s="17"/>
      <c r="KP158" s="17"/>
      <c r="KQ158" s="17"/>
      <c r="KR158" s="17"/>
      <c r="KS158" s="17"/>
      <c r="KT158" s="17"/>
      <c r="KU158" s="17"/>
      <c r="KV158" s="17"/>
      <c r="KW158" s="17"/>
      <c r="KX158" s="17"/>
      <c r="KY158" s="17"/>
      <c r="KZ158" s="17"/>
      <c r="LA158" s="17"/>
      <c r="LB158" s="17"/>
      <c r="LC158" s="17"/>
      <c r="LD158" s="17"/>
      <c r="LE158" s="17"/>
      <c r="LF158" s="17"/>
      <c r="LG158" s="17"/>
      <c r="LH158" s="17"/>
      <c r="LI158" s="17"/>
      <c r="LJ158" s="17"/>
      <c r="LK158" s="17"/>
      <c r="LL158" s="17"/>
      <c r="LM158" s="17"/>
      <c r="LN158" s="17"/>
      <c r="LO158" s="17"/>
      <c r="LP158" s="17"/>
      <c r="LQ158" s="17"/>
      <c r="LR158" s="17"/>
      <c r="LS158" s="17"/>
      <c r="LT158" s="17"/>
      <c r="LU158" s="17"/>
      <c r="LV158" s="17"/>
      <c r="LW158" s="17"/>
      <c r="LX158" s="17"/>
      <c r="LY158" s="17"/>
      <c r="LZ158" s="17"/>
      <c r="MA158" s="17"/>
      <c r="MB158" s="17"/>
      <c r="MC158" s="17"/>
      <c r="MD158" s="17"/>
      <c r="ME158" s="17"/>
      <c r="MF158" s="17"/>
      <c r="MG158" s="17"/>
      <c r="MH158" s="17"/>
      <c r="MI158" s="17"/>
      <c r="MJ158" s="17"/>
      <c r="MK158" s="17"/>
      <c r="ML158" s="17"/>
      <c r="MM158" s="17"/>
      <c r="MN158" s="17"/>
      <c r="MO158" s="17"/>
      <c r="MP158" s="17"/>
      <c r="MQ158" s="17"/>
      <c r="MR158" s="17"/>
      <c r="MS158" s="17"/>
      <c r="MT158" s="17"/>
      <c r="MU158" s="17"/>
      <c r="MV158" s="17"/>
      <c r="MW158" s="17"/>
      <c r="MX158" s="17"/>
      <c r="MY158" s="17"/>
      <c r="MZ158" s="17"/>
      <c r="NA158" s="17"/>
      <c r="NB158" s="17"/>
      <c r="NC158" s="17"/>
      <c r="ND158" s="17"/>
      <c r="NE158" s="17"/>
      <c r="NF158" s="17"/>
      <c r="NG158" s="17"/>
      <c r="NH158" s="17"/>
      <c r="NI158" s="17"/>
      <c r="NJ158" s="17"/>
      <c r="NK158" s="17"/>
      <c r="NL158" s="17"/>
      <c r="NM158" s="17"/>
      <c r="NN158" s="17"/>
      <c r="NO158" s="17"/>
      <c r="NP158" s="17"/>
      <c r="NQ158" s="17"/>
      <c r="NR158" s="17"/>
      <c r="NS158" s="17"/>
      <c r="NT158" s="17"/>
      <c r="NU158" s="17"/>
      <c r="NV158" s="17"/>
      <c r="NW158" s="17"/>
      <c r="NX158" s="17"/>
      <c r="NY158" s="17"/>
      <c r="NZ158" s="17"/>
      <c r="OA158" s="17"/>
      <c r="OB158" s="17"/>
      <c r="OC158" s="17"/>
      <c r="OD158" s="17"/>
      <c r="OE158" s="17"/>
      <c r="OF158" s="17"/>
      <c r="OG158" s="17"/>
      <c r="OH158" s="17"/>
      <c r="OI158" s="17"/>
      <c r="OJ158" s="17"/>
      <c r="OK158" s="17"/>
      <c r="OL158" s="17"/>
      <c r="OM158" s="17"/>
      <c r="ON158" s="17"/>
      <c r="OO158" s="17"/>
      <c r="OP158" s="17"/>
      <c r="OQ158" s="17"/>
      <c r="OR158" s="17"/>
      <c r="OS158" s="17"/>
      <c r="OT158" s="17"/>
      <c r="OU158" s="17"/>
      <c r="OV158" s="17"/>
      <c r="OW158" s="17"/>
      <c r="OX158" s="17"/>
      <c r="OY158" s="17"/>
      <c r="OZ158" s="17"/>
      <c r="PA158" s="17"/>
      <c r="PB158" s="17"/>
      <c r="PC158" s="17"/>
      <c r="PD158" s="17"/>
      <c r="PE158" s="17"/>
      <c r="PF158" s="17"/>
      <c r="PG158" s="17"/>
      <c r="PH158" s="17"/>
      <c r="PI158" s="17"/>
      <c r="PJ158" s="17"/>
      <c r="PK158" s="17"/>
      <c r="PL158" s="17"/>
      <c r="PM158" s="17"/>
      <c r="PN158" s="17"/>
      <c r="PO158" s="17"/>
      <c r="PP158" s="17"/>
      <c r="PQ158" s="17"/>
      <c r="PR158" s="17"/>
      <c r="PS158" s="17"/>
      <c r="PT158" s="17"/>
      <c r="PU158" s="17"/>
      <c r="PV158" s="17"/>
      <c r="PW158" s="17"/>
      <c r="PX158" s="17"/>
      <c r="PY158" s="17"/>
      <c r="PZ158" s="17"/>
      <c r="QA158" s="17"/>
      <c r="QB158" s="17"/>
      <c r="QC158" s="17"/>
      <c r="QD158" s="17"/>
      <c r="QE158" s="17"/>
      <c r="QF158" s="17"/>
      <c r="QG158" s="17"/>
      <c r="QH158" s="17"/>
      <c r="QI158" s="17"/>
      <c r="QJ158" s="17"/>
      <c r="QK158" s="17"/>
      <c r="QL158" s="17"/>
      <c r="QM158" s="17"/>
      <c r="QN158" s="17"/>
      <c r="QO158" s="17"/>
      <c r="QP158" s="17"/>
      <c r="QQ158" s="17"/>
      <c r="QR158" s="17"/>
      <c r="QS158" s="17"/>
      <c r="QT158" s="17"/>
      <c r="QU158" s="17"/>
      <c r="QV158" s="17"/>
      <c r="QW158" s="17"/>
      <c r="QX158" s="17"/>
      <c r="QY158" s="17"/>
      <c r="QZ158" s="17"/>
      <c r="RA158" s="17"/>
      <c r="RB158" s="17"/>
      <c r="RC158" s="17"/>
      <c r="RD158" s="17"/>
      <c r="RE158" s="17"/>
      <c r="RF158" s="17"/>
      <c r="RG158" s="17"/>
      <c r="RH158" s="17"/>
      <c r="RI158" s="17"/>
      <c r="RJ158" s="17"/>
      <c r="RK158" s="17"/>
      <c r="RL158" s="17"/>
      <c r="RM158" s="17"/>
      <c r="RN158" s="17"/>
      <c r="RO158" s="17"/>
      <c r="RP158" s="17"/>
      <c r="RQ158" s="17"/>
      <c r="RR158" s="17"/>
      <c r="RS158" s="17"/>
      <c r="RT158" s="17"/>
      <c r="RU158" s="17"/>
      <c r="RV158" s="17"/>
      <c r="RW158" s="17"/>
      <c r="RX158" s="17"/>
      <c r="RY158" s="17"/>
      <c r="RZ158" s="17"/>
      <c r="SA158" s="17"/>
      <c r="SB158" s="17"/>
      <c r="SC158" s="17"/>
      <c r="SD158" s="17"/>
      <c r="SE158" s="17"/>
      <c r="SF158" s="17"/>
      <c r="SG158" s="17"/>
      <c r="SH158" s="17"/>
      <c r="SI158" s="17"/>
      <c r="SJ158" s="17"/>
      <c r="SK158" s="17"/>
      <c r="SL158" s="17"/>
      <c r="SM158" s="17"/>
      <c r="SN158" s="17"/>
      <c r="SO158" s="17"/>
      <c r="SP158" s="17"/>
      <c r="SQ158" s="17"/>
      <c r="SR158" s="17"/>
      <c r="SS158" s="17"/>
      <c r="ST158" s="17"/>
      <c r="SU158" s="17"/>
      <c r="SV158" s="17"/>
      <c r="SW158" s="17"/>
      <c r="SX158" s="17"/>
      <c r="SY158" s="17"/>
      <c r="SZ158" s="17"/>
      <c r="TA158" s="17"/>
      <c r="TB158" s="17"/>
      <c r="TC158" s="17"/>
      <c r="TD158" s="17"/>
      <c r="TE158" s="17"/>
      <c r="TF158" s="17"/>
      <c r="TG158" s="17"/>
      <c r="TH158" s="17"/>
      <c r="TI158" s="17"/>
      <c r="TJ158" s="17"/>
      <c r="TK158" s="17"/>
      <c r="TL158" s="17"/>
      <c r="TM158" s="17"/>
      <c r="TN158" s="17"/>
      <c r="TO158" s="17"/>
      <c r="TP158" s="17"/>
      <c r="TQ158" s="17"/>
      <c r="TR158" s="17"/>
      <c r="TS158" s="17"/>
      <c r="TT158" s="17"/>
      <c r="TU158" s="17"/>
      <c r="TV158" s="17"/>
      <c r="TW158" s="17"/>
      <c r="TX158" s="17"/>
      <c r="TY158" s="17"/>
      <c r="TZ158" s="17"/>
      <c r="UA158" s="17"/>
      <c r="UB158" s="17"/>
      <c r="UC158" s="17"/>
      <c r="UD158" s="17"/>
      <c r="UE158" s="17"/>
      <c r="UF158" s="17"/>
      <c r="UG158" s="17"/>
      <c r="UH158" s="17"/>
      <c r="UI158" s="17"/>
      <c r="UJ158" s="17"/>
      <c r="UK158" s="17"/>
      <c r="UL158" s="17"/>
      <c r="UM158" s="17"/>
      <c r="UN158" s="17"/>
      <c r="UO158" s="17"/>
      <c r="UP158" s="17"/>
      <c r="UQ158" s="17"/>
      <c r="UR158" s="17"/>
      <c r="US158" s="17"/>
      <c r="UT158" s="17"/>
      <c r="UU158" s="17"/>
      <c r="UV158" s="17"/>
      <c r="UW158" s="17"/>
      <c r="UX158" s="17"/>
      <c r="UY158" s="17"/>
      <c r="UZ158" s="17"/>
      <c r="VA158" s="17"/>
      <c r="VB158" s="17"/>
      <c r="VC158" s="17"/>
      <c r="VD158" s="17"/>
      <c r="VE158" s="17"/>
      <c r="VF158" s="17"/>
      <c r="VG158" s="17"/>
      <c r="VH158" s="17"/>
      <c r="VI158" s="17"/>
      <c r="VJ158" s="17"/>
      <c r="VK158" s="17"/>
      <c r="VL158" s="17"/>
      <c r="VM158" s="17"/>
      <c r="VN158" s="17"/>
      <c r="VO158" s="17"/>
      <c r="VP158" s="17"/>
      <c r="VQ158" s="17"/>
      <c r="VR158" s="17"/>
      <c r="VS158" s="17"/>
      <c r="VT158" s="17"/>
      <c r="VU158" s="17"/>
      <c r="VV158" s="17"/>
      <c r="VW158" s="17"/>
      <c r="VX158" s="17"/>
      <c r="VY158" s="17"/>
      <c r="VZ158" s="17"/>
      <c r="WA158" s="17"/>
      <c r="WB158" s="17"/>
      <c r="WC158" s="17"/>
      <c r="WD158" s="17"/>
      <c r="WE158" s="17"/>
      <c r="WF158" s="17"/>
      <c r="WG158" s="17"/>
      <c r="WH158" s="17"/>
      <c r="WI158" s="17"/>
      <c r="WJ158" s="17"/>
      <c r="WK158" s="17"/>
      <c r="WL158" s="17"/>
      <c r="WM158" s="17"/>
      <c r="WN158" s="17"/>
      <c r="WO158" s="17"/>
      <c r="WP158" s="17"/>
      <c r="WQ158" s="17"/>
      <c r="WR158" s="17"/>
      <c r="WS158" s="17"/>
      <c r="WT158" s="17"/>
      <c r="WU158" s="17"/>
      <c r="WV158" s="17"/>
      <c r="WW158" s="17"/>
      <c r="WX158" s="17"/>
      <c r="WY158" s="17"/>
      <c r="WZ158" s="17"/>
      <c r="XA158" s="17"/>
      <c r="XB158" s="17"/>
      <c r="XC158" s="17"/>
      <c r="XD158" s="17"/>
      <c r="XE158" s="17"/>
      <c r="XF158" s="17"/>
      <c r="XG158" s="17"/>
      <c r="XH158" s="17"/>
      <c r="XI158" s="17"/>
      <c r="XJ158" s="17"/>
      <c r="XK158" s="17"/>
      <c r="XL158" s="17"/>
      <c r="XM158" s="17"/>
      <c r="XN158" s="17"/>
      <c r="XO158" s="17"/>
      <c r="XP158" s="17"/>
      <c r="XQ158" s="17"/>
      <c r="XR158" s="17"/>
      <c r="XS158" s="17"/>
      <c r="XT158" s="17"/>
      <c r="XU158" s="17"/>
      <c r="XV158" s="17"/>
      <c r="XW158" s="17"/>
      <c r="XX158" s="17"/>
      <c r="XY158" s="17"/>
      <c r="XZ158" s="17"/>
      <c r="YA158" s="17"/>
      <c r="YB158" s="17"/>
      <c r="YC158" s="17"/>
      <c r="YD158" s="17"/>
      <c r="YE158" s="17"/>
      <c r="YF158" s="17"/>
      <c r="YG158" s="17"/>
      <c r="YH158" s="17"/>
      <c r="YI158" s="17"/>
      <c r="YJ158" s="17"/>
      <c r="YK158" s="17"/>
      <c r="YL158" s="17"/>
      <c r="YM158" s="17"/>
      <c r="YN158" s="17"/>
      <c r="YO158" s="17"/>
      <c r="YP158" s="17"/>
      <c r="YQ158" s="17"/>
      <c r="YR158" s="17"/>
      <c r="YS158" s="17"/>
    </row>
    <row r="159" spans="266:669" x14ac:dyDescent="0.25">
      <c r="JF159" s="17"/>
      <c r="JG159" s="17"/>
      <c r="JH159" s="17"/>
      <c r="JI159" s="17"/>
      <c r="JJ159" s="17"/>
      <c r="JK159" s="17"/>
      <c r="JL159" s="17"/>
      <c r="JM159" s="17"/>
      <c r="JN159" s="17"/>
      <c r="JO159" s="17"/>
      <c r="JP159" s="17"/>
      <c r="JQ159" s="17"/>
      <c r="JR159" s="17"/>
      <c r="JS159" s="17"/>
      <c r="JT159" s="17"/>
      <c r="JU159" s="17"/>
      <c r="JV159" s="17"/>
      <c r="JW159" s="17"/>
      <c r="JX159" s="17"/>
      <c r="JY159" s="17"/>
      <c r="JZ159" s="17"/>
      <c r="KA159" s="17"/>
      <c r="KB159" s="17"/>
      <c r="KC159" s="17"/>
      <c r="KD159" s="17"/>
      <c r="KE159" s="17"/>
      <c r="KF159" s="17"/>
      <c r="KG159" s="17"/>
      <c r="KH159" s="17"/>
      <c r="KI159" s="17"/>
      <c r="KJ159" s="17"/>
      <c r="KK159" s="17"/>
      <c r="KL159" s="17"/>
      <c r="KM159" s="17"/>
      <c r="KN159" s="17"/>
      <c r="KO159" s="17"/>
      <c r="KP159" s="17"/>
      <c r="KQ159" s="17"/>
      <c r="KR159" s="17"/>
      <c r="KS159" s="17"/>
      <c r="KT159" s="17"/>
      <c r="KU159" s="17"/>
      <c r="KV159" s="17"/>
      <c r="KW159" s="17"/>
      <c r="KX159" s="17"/>
      <c r="KY159" s="17"/>
      <c r="KZ159" s="17"/>
      <c r="LA159" s="17"/>
      <c r="LB159" s="17"/>
      <c r="LC159" s="17"/>
      <c r="LD159" s="17"/>
      <c r="LE159" s="17"/>
      <c r="LF159" s="17"/>
      <c r="LG159" s="17"/>
      <c r="LH159" s="17"/>
      <c r="LI159" s="17"/>
      <c r="LJ159" s="17"/>
      <c r="LK159" s="17"/>
      <c r="LL159" s="17"/>
      <c r="LM159" s="17"/>
      <c r="LN159" s="17"/>
      <c r="LO159" s="17"/>
      <c r="LP159" s="17"/>
      <c r="LQ159" s="17"/>
      <c r="LR159" s="17"/>
      <c r="LS159" s="17"/>
      <c r="LT159" s="17"/>
      <c r="LU159" s="17"/>
      <c r="LV159" s="17"/>
      <c r="LW159" s="17"/>
      <c r="LX159" s="17"/>
      <c r="LY159" s="17"/>
      <c r="LZ159" s="17"/>
      <c r="MA159" s="17"/>
      <c r="MB159" s="17"/>
      <c r="MC159" s="17"/>
      <c r="MD159" s="17"/>
      <c r="ME159" s="17"/>
      <c r="MF159" s="17"/>
      <c r="MG159" s="17"/>
      <c r="MH159" s="17"/>
      <c r="MI159" s="17"/>
      <c r="MJ159" s="17"/>
      <c r="MK159" s="17"/>
      <c r="ML159" s="17"/>
      <c r="MM159" s="17"/>
      <c r="MN159" s="17"/>
      <c r="MO159" s="17"/>
      <c r="MP159" s="17"/>
      <c r="MQ159" s="17"/>
      <c r="MR159" s="17"/>
      <c r="MS159" s="17"/>
      <c r="MT159" s="17"/>
      <c r="MU159" s="17"/>
      <c r="MV159" s="17"/>
      <c r="MW159" s="17"/>
      <c r="MX159" s="17"/>
      <c r="MY159" s="17"/>
      <c r="MZ159" s="17"/>
      <c r="NA159" s="17"/>
      <c r="NB159" s="17"/>
      <c r="NC159" s="17"/>
      <c r="ND159" s="17"/>
      <c r="NE159" s="17"/>
      <c r="NF159" s="17"/>
      <c r="NG159" s="17"/>
      <c r="NH159" s="17"/>
      <c r="NI159" s="17"/>
      <c r="NJ159" s="17"/>
      <c r="NK159" s="17"/>
      <c r="NL159" s="17"/>
      <c r="NM159" s="17"/>
      <c r="NN159" s="17"/>
      <c r="NO159" s="17"/>
      <c r="NP159" s="17"/>
      <c r="NQ159" s="17"/>
      <c r="NR159" s="17"/>
      <c r="NS159" s="17"/>
      <c r="NT159" s="17"/>
      <c r="NU159" s="17"/>
      <c r="NV159" s="17"/>
      <c r="NW159" s="17"/>
      <c r="NX159" s="17"/>
      <c r="NY159" s="17"/>
      <c r="NZ159" s="17"/>
      <c r="OA159" s="17"/>
      <c r="OB159" s="17"/>
      <c r="OC159" s="17"/>
      <c r="OD159" s="17"/>
      <c r="OE159" s="17"/>
      <c r="OF159" s="17"/>
      <c r="OG159" s="17"/>
      <c r="OH159" s="17"/>
      <c r="OI159" s="17"/>
      <c r="OJ159" s="17"/>
      <c r="OK159" s="17"/>
      <c r="OL159" s="17"/>
      <c r="OM159" s="17"/>
      <c r="ON159" s="17"/>
      <c r="OO159" s="17"/>
      <c r="OP159" s="17"/>
      <c r="OQ159" s="17"/>
      <c r="OR159" s="17"/>
      <c r="OS159" s="17"/>
      <c r="OT159" s="17"/>
      <c r="OU159" s="17"/>
      <c r="OV159" s="17"/>
      <c r="OW159" s="17"/>
      <c r="OX159" s="17"/>
      <c r="OY159" s="17"/>
      <c r="OZ159" s="17"/>
      <c r="PA159" s="17"/>
      <c r="PB159" s="17"/>
      <c r="PC159" s="17"/>
      <c r="PD159" s="17"/>
      <c r="PE159" s="17"/>
      <c r="PF159" s="17"/>
      <c r="PG159" s="17"/>
      <c r="PH159" s="17"/>
      <c r="PI159" s="17"/>
      <c r="PJ159" s="17"/>
      <c r="PK159" s="17"/>
      <c r="PL159" s="17"/>
      <c r="PM159" s="17"/>
      <c r="PN159" s="17"/>
      <c r="PO159" s="17"/>
      <c r="PP159" s="17"/>
      <c r="PQ159" s="17"/>
      <c r="PR159" s="17"/>
      <c r="PS159" s="17"/>
      <c r="PT159" s="17"/>
      <c r="PU159" s="17"/>
      <c r="PV159" s="17"/>
      <c r="PW159" s="17"/>
      <c r="PX159" s="17"/>
      <c r="PY159" s="17"/>
      <c r="PZ159" s="17"/>
      <c r="QA159" s="17"/>
      <c r="QB159" s="17"/>
      <c r="QC159" s="17"/>
      <c r="QD159" s="17"/>
      <c r="QE159" s="17"/>
      <c r="QF159" s="17"/>
      <c r="QG159" s="17"/>
      <c r="QH159" s="17"/>
      <c r="QI159" s="17"/>
      <c r="QJ159" s="17"/>
      <c r="QK159" s="17"/>
      <c r="QL159" s="17"/>
      <c r="QM159" s="17"/>
      <c r="QN159" s="17"/>
      <c r="QO159" s="17"/>
      <c r="QP159" s="17"/>
      <c r="QQ159" s="17"/>
      <c r="QR159" s="17"/>
      <c r="QS159" s="17"/>
      <c r="QT159" s="17"/>
      <c r="QU159" s="17"/>
      <c r="QV159" s="17"/>
      <c r="QW159" s="17"/>
      <c r="QX159" s="17"/>
      <c r="QY159" s="17"/>
      <c r="QZ159" s="17"/>
      <c r="RA159" s="17"/>
      <c r="RB159" s="17"/>
      <c r="RC159" s="17"/>
      <c r="RD159" s="17"/>
      <c r="RE159" s="17"/>
      <c r="RF159" s="17"/>
      <c r="RG159" s="17"/>
      <c r="RH159" s="17"/>
      <c r="RI159" s="17"/>
      <c r="RJ159" s="17"/>
      <c r="RK159" s="17"/>
      <c r="RL159" s="17"/>
      <c r="RM159" s="17"/>
      <c r="RN159" s="17"/>
      <c r="RO159" s="17"/>
      <c r="RP159" s="17"/>
      <c r="RQ159" s="17"/>
      <c r="RR159" s="17"/>
      <c r="RS159" s="17"/>
      <c r="RT159" s="17"/>
      <c r="RU159" s="17"/>
      <c r="RV159" s="17"/>
      <c r="RW159" s="17"/>
      <c r="RX159" s="17"/>
      <c r="RY159" s="17"/>
      <c r="RZ159" s="17"/>
      <c r="SA159" s="17"/>
      <c r="SB159" s="17"/>
      <c r="SC159" s="17"/>
      <c r="SD159" s="17"/>
      <c r="SE159" s="17"/>
      <c r="SF159" s="17"/>
      <c r="SG159" s="17"/>
      <c r="SH159" s="17"/>
      <c r="SI159" s="17"/>
      <c r="SJ159" s="17"/>
      <c r="SK159" s="17"/>
      <c r="SL159" s="17"/>
      <c r="SM159" s="17"/>
      <c r="SN159" s="17"/>
      <c r="SO159" s="17"/>
      <c r="SP159" s="17"/>
      <c r="SQ159" s="17"/>
      <c r="SR159" s="17"/>
      <c r="SS159" s="17"/>
      <c r="ST159" s="17"/>
      <c r="SU159" s="17"/>
      <c r="SV159" s="17"/>
      <c r="SW159" s="17"/>
      <c r="SX159" s="17"/>
      <c r="SY159" s="17"/>
      <c r="SZ159" s="17"/>
      <c r="TA159" s="17"/>
      <c r="TB159" s="17"/>
      <c r="TC159" s="17"/>
      <c r="TD159" s="17"/>
      <c r="TE159" s="17"/>
      <c r="TF159" s="17"/>
      <c r="TG159" s="17"/>
      <c r="TH159" s="17"/>
      <c r="TI159" s="17"/>
      <c r="TJ159" s="17"/>
      <c r="TK159" s="17"/>
      <c r="TL159" s="17"/>
      <c r="TM159" s="17"/>
      <c r="TN159" s="17"/>
      <c r="TO159" s="17"/>
      <c r="TP159" s="17"/>
      <c r="TQ159" s="17"/>
      <c r="TR159" s="17"/>
      <c r="TS159" s="17"/>
      <c r="TT159" s="17"/>
      <c r="TU159" s="17"/>
      <c r="TV159" s="17"/>
      <c r="TW159" s="17"/>
      <c r="TX159" s="17"/>
      <c r="TY159" s="17"/>
      <c r="TZ159" s="17"/>
      <c r="UA159" s="17"/>
      <c r="UB159" s="17"/>
      <c r="UC159" s="17"/>
      <c r="UD159" s="17"/>
      <c r="UE159" s="17"/>
      <c r="UF159" s="17"/>
      <c r="UG159" s="17"/>
      <c r="UH159" s="17"/>
      <c r="UI159" s="17"/>
      <c r="UJ159" s="17"/>
      <c r="UK159" s="17"/>
      <c r="UL159" s="17"/>
      <c r="UM159" s="17"/>
      <c r="UN159" s="17"/>
      <c r="UO159" s="17"/>
      <c r="UP159" s="17"/>
      <c r="UQ159" s="17"/>
      <c r="UR159" s="17"/>
      <c r="US159" s="17"/>
      <c r="UT159" s="17"/>
      <c r="UU159" s="17"/>
      <c r="UV159" s="17"/>
      <c r="UW159" s="17"/>
      <c r="UX159" s="17"/>
      <c r="UY159" s="17"/>
      <c r="UZ159" s="17"/>
      <c r="VA159" s="17"/>
      <c r="VB159" s="17"/>
      <c r="VC159" s="17"/>
      <c r="VD159" s="17"/>
      <c r="VE159" s="17"/>
      <c r="VF159" s="17"/>
      <c r="VG159" s="17"/>
      <c r="VH159" s="17"/>
      <c r="VI159" s="17"/>
      <c r="VJ159" s="17"/>
      <c r="VK159" s="17"/>
      <c r="VL159" s="17"/>
      <c r="VM159" s="17"/>
      <c r="VN159" s="17"/>
      <c r="VO159" s="17"/>
      <c r="VP159" s="17"/>
      <c r="VQ159" s="17"/>
      <c r="VR159" s="17"/>
      <c r="VS159" s="17"/>
      <c r="VT159" s="17"/>
      <c r="VU159" s="17"/>
      <c r="VV159" s="17"/>
      <c r="VW159" s="17"/>
      <c r="VX159" s="17"/>
      <c r="VY159" s="17"/>
      <c r="VZ159" s="17"/>
      <c r="WA159" s="17"/>
      <c r="WB159" s="17"/>
      <c r="WC159" s="17"/>
      <c r="WD159" s="17"/>
      <c r="WE159" s="17"/>
      <c r="WF159" s="17"/>
      <c r="WG159" s="17"/>
      <c r="WH159" s="17"/>
      <c r="WI159" s="17"/>
      <c r="WJ159" s="17"/>
      <c r="WK159" s="17"/>
      <c r="WL159" s="17"/>
      <c r="WM159" s="17"/>
      <c r="WN159" s="17"/>
      <c r="WO159" s="17"/>
      <c r="WP159" s="17"/>
      <c r="WQ159" s="17"/>
      <c r="WR159" s="17"/>
      <c r="WS159" s="17"/>
      <c r="WT159" s="17"/>
      <c r="WU159" s="17"/>
      <c r="WV159" s="17"/>
      <c r="WW159" s="17"/>
      <c r="WX159" s="17"/>
      <c r="WY159" s="17"/>
      <c r="WZ159" s="17"/>
      <c r="XA159" s="17"/>
      <c r="XB159" s="17"/>
      <c r="XC159" s="17"/>
      <c r="XD159" s="17"/>
      <c r="XE159" s="17"/>
      <c r="XF159" s="17"/>
      <c r="XG159" s="17"/>
      <c r="XH159" s="17"/>
      <c r="XI159" s="17"/>
      <c r="XJ159" s="17"/>
      <c r="XK159" s="17"/>
      <c r="XL159" s="17"/>
      <c r="XM159" s="17"/>
      <c r="XN159" s="17"/>
      <c r="XO159" s="17"/>
      <c r="XP159" s="17"/>
      <c r="XQ159" s="17"/>
      <c r="XR159" s="17"/>
      <c r="XS159" s="17"/>
      <c r="XT159" s="17"/>
      <c r="XU159" s="17"/>
      <c r="XV159" s="17"/>
      <c r="XW159" s="17"/>
      <c r="XX159" s="17"/>
      <c r="XY159" s="17"/>
      <c r="XZ159" s="17"/>
      <c r="YA159" s="17"/>
      <c r="YB159" s="17"/>
      <c r="YC159" s="17"/>
      <c r="YD159" s="17"/>
      <c r="YE159" s="17"/>
      <c r="YF159" s="17"/>
      <c r="YG159" s="17"/>
      <c r="YH159" s="17"/>
      <c r="YI159" s="17"/>
      <c r="YJ159" s="17"/>
      <c r="YK159" s="17"/>
      <c r="YL159" s="17"/>
      <c r="YM159" s="17"/>
      <c r="YN159" s="17"/>
      <c r="YO159" s="17"/>
      <c r="YP159" s="17"/>
      <c r="YQ159" s="17"/>
      <c r="YR159" s="17"/>
      <c r="YS159" s="17"/>
    </row>
    <row r="160" spans="266:669" x14ac:dyDescent="0.25">
      <c r="JF160" s="17"/>
      <c r="JG160" s="17"/>
      <c r="JH160" s="17"/>
      <c r="JI160" s="17"/>
      <c r="JJ160" s="17"/>
      <c r="JK160" s="17"/>
      <c r="JL160" s="17"/>
      <c r="JM160" s="17"/>
      <c r="JN160" s="17"/>
      <c r="JO160" s="17"/>
      <c r="JP160" s="17"/>
      <c r="JQ160" s="17"/>
      <c r="JR160" s="17"/>
      <c r="JS160" s="17"/>
      <c r="JT160" s="17"/>
      <c r="JU160" s="17"/>
      <c r="JV160" s="17"/>
      <c r="JW160" s="17"/>
      <c r="JX160" s="17"/>
      <c r="JY160" s="17"/>
      <c r="JZ160" s="17"/>
      <c r="KA160" s="17"/>
      <c r="KB160" s="17"/>
      <c r="KC160" s="17"/>
      <c r="KD160" s="17"/>
      <c r="KE160" s="17"/>
      <c r="KF160" s="17"/>
      <c r="KG160" s="17"/>
      <c r="KH160" s="17"/>
      <c r="KI160" s="17"/>
      <c r="KJ160" s="17"/>
      <c r="KK160" s="17"/>
      <c r="KL160" s="17"/>
      <c r="KM160" s="17"/>
      <c r="KN160" s="17"/>
      <c r="KO160" s="17"/>
      <c r="KP160" s="17"/>
      <c r="KQ160" s="17"/>
      <c r="KR160" s="17"/>
      <c r="KS160" s="17"/>
      <c r="KT160" s="17"/>
      <c r="KU160" s="17"/>
      <c r="KV160" s="17"/>
      <c r="KW160" s="17"/>
      <c r="KX160" s="17"/>
      <c r="KY160" s="17"/>
      <c r="KZ160" s="17"/>
      <c r="LA160" s="17"/>
      <c r="LB160" s="17"/>
      <c r="LC160" s="17"/>
      <c r="LD160" s="17"/>
      <c r="LE160" s="17"/>
      <c r="LF160" s="17"/>
      <c r="LG160" s="17"/>
      <c r="LH160" s="17"/>
      <c r="LI160" s="17"/>
      <c r="LJ160" s="17"/>
      <c r="LK160" s="17"/>
      <c r="LL160" s="17"/>
      <c r="LM160" s="17"/>
      <c r="LN160" s="17"/>
      <c r="LO160" s="17"/>
      <c r="LP160" s="17"/>
      <c r="LQ160" s="17"/>
      <c r="LR160" s="17"/>
      <c r="LS160" s="17"/>
      <c r="LT160" s="17"/>
      <c r="LU160" s="17"/>
      <c r="LV160" s="17"/>
      <c r="LW160" s="17"/>
      <c r="LX160" s="17"/>
      <c r="LY160" s="17"/>
      <c r="LZ160" s="17"/>
      <c r="MA160" s="17"/>
      <c r="MB160" s="17"/>
      <c r="MC160" s="17"/>
      <c r="MD160" s="17"/>
      <c r="ME160" s="17"/>
      <c r="MF160" s="17"/>
      <c r="MG160" s="17"/>
      <c r="MH160" s="17"/>
      <c r="MI160" s="17"/>
      <c r="MJ160" s="17"/>
      <c r="MK160" s="17"/>
      <c r="ML160" s="17"/>
      <c r="MM160" s="17"/>
      <c r="MN160" s="17"/>
      <c r="MO160" s="17"/>
      <c r="MP160" s="17"/>
      <c r="MQ160" s="17"/>
      <c r="MR160" s="17"/>
      <c r="MS160" s="17"/>
      <c r="MT160" s="17"/>
      <c r="MU160" s="17"/>
      <c r="MV160" s="17"/>
      <c r="MW160" s="17"/>
      <c r="MX160" s="17"/>
      <c r="MY160" s="17"/>
      <c r="MZ160" s="17"/>
      <c r="NA160" s="17"/>
      <c r="NB160" s="17"/>
      <c r="NC160" s="17"/>
      <c r="ND160" s="17"/>
      <c r="NE160" s="17"/>
      <c r="NF160" s="17"/>
      <c r="NG160" s="17"/>
      <c r="NH160" s="17"/>
      <c r="NI160" s="17"/>
      <c r="NJ160" s="17"/>
      <c r="NK160" s="17"/>
      <c r="NL160" s="17"/>
      <c r="NM160" s="17"/>
      <c r="NN160" s="17"/>
      <c r="NO160" s="17"/>
      <c r="NP160" s="17"/>
      <c r="NQ160" s="17"/>
      <c r="NR160" s="17"/>
      <c r="NS160" s="17"/>
      <c r="NT160" s="17"/>
      <c r="NU160" s="17"/>
      <c r="NV160" s="17"/>
      <c r="NW160" s="17"/>
      <c r="NX160" s="17"/>
      <c r="NY160" s="17"/>
      <c r="NZ160" s="17"/>
      <c r="OA160" s="17"/>
      <c r="OB160" s="17"/>
      <c r="OC160" s="17"/>
      <c r="OD160" s="17"/>
      <c r="OE160" s="17"/>
      <c r="OF160" s="17"/>
      <c r="OG160" s="17"/>
      <c r="OH160" s="17"/>
      <c r="OI160" s="17"/>
      <c r="OJ160" s="17"/>
      <c r="OK160" s="17"/>
      <c r="OL160" s="17"/>
      <c r="OM160" s="17"/>
      <c r="ON160" s="17"/>
      <c r="OO160" s="17"/>
      <c r="OP160" s="17"/>
      <c r="OQ160" s="17"/>
      <c r="OR160" s="17"/>
      <c r="OS160" s="17"/>
      <c r="OT160" s="17"/>
      <c r="OU160" s="17"/>
      <c r="OV160" s="17"/>
      <c r="OW160" s="17"/>
      <c r="OX160" s="17"/>
      <c r="OY160" s="17"/>
      <c r="OZ160" s="17"/>
      <c r="PA160" s="17"/>
      <c r="PB160" s="17"/>
      <c r="PC160" s="17"/>
      <c r="PD160" s="17"/>
      <c r="PE160" s="17"/>
      <c r="PF160" s="17"/>
      <c r="PG160" s="17"/>
      <c r="PH160" s="17"/>
      <c r="PI160" s="17"/>
      <c r="PJ160" s="17"/>
      <c r="PK160" s="17"/>
      <c r="PL160" s="17"/>
      <c r="PM160" s="17"/>
      <c r="PN160" s="17"/>
      <c r="PO160" s="17"/>
      <c r="PP160" s="17"/>
      <c r="PQ160" s="17"/>
      <c r="PR160" s="17"/>
      <c r="PS160" s="17"/>
      <c r="PT160" s="17"/>
      <c r="PU160" s="17"/>
      <c r="PV160" s="17"/>
      <c r="PW160" s="17"/>
      <c r="PX160" s="17"/>
      <c r="PY160" s="17"/>
      <c r="PZ160" s="17"/>
      <c r="QA160" s="17"/>
      <c r="QB160" s="17"/>
      <c r="QC160" s="17"/>
      <c r="QD160" s="17"/>
      <c r="QE160" s="17"/>
      <c r="QF160" s="17"/>
      <c r="QG160" s="17"/>
      <c r="QH160" s="17"/>
      <c r="QI160" s="17"/>
      <c r="QJ160" s="17"/>
      <c r="QK160" s="17"/>
      <c r="QL160" s="17"/>
      <c r="QM160" s="17"/>
      <c r="QN160" s="17"/>
      <c r="QO160" s="17"/>
      <c r="QP160" s="17"/>
      <c r="QQ160" s="17"/>
      <c r="QR160" s="17"/>
      <c r="QS160" s="17"/>
      <c r="QT160" s="17"/>
      <c r="QU160" s="17"/>
      <c r="QV160" s="17"/>
      <c r="QW160" s="17"/>
      <c r="QX160" s="17"/>
      <c r="QY160" s="17"/>
      <c r="QZ160" s="17"/>
      <c r="RA160" s="17"/>
      <c r="RB160" s="17"/>
      <c r="RC160" s="17"/>
      <c r="RD160" s="17"/>
      <c r="RE160" s="17"/>
      <c r="RF160" s="17"/>
      <c r="RG160" s="17"/>
      <c r="RH160" s="17"/>
      <c r="RI160" s="17"/>
      <c r="RJ160" s="17"/>
      <c r="RK160" s="17"/>
      <c r="RL160" s="17"/>
      <c r="RM160" s="17"/>
      <c r="RN160" s="17"/>
      <c r="RO160" s="17"/>
      <c r="RP160" s="17"/>
      <c r="RQ160" s="17"/>
      <c r="RR160" s="17"/>
      <c r="RS160" s="17"/>
      <c r="RT160" s="17"/>
      <c r="RU160" s="17"/>
      <c r="RV160" s="17"/>
      <c r="RW160" s="17"/>
      <c r="RX160" s="17"/>
      <c r="RY160" s="17"/>
      <c r="RZ160" s="17"/>
      <c r="SA160" s="17"/>
      <c r="SB160" s="17"/>
      <c r="SC160" s="17"/>
      <c r="SD160" s="17"/>
      <c r="SE160" s="17"/>
      <c r="SF160" s="17"/>
      <c r="SG160" s="17"/>
      <c r="SH160" s="17"/>
      <c r="SI160" s="17"/>
      <c r="SJ160" s="17"/>
      <c r="SK160" s="17"/>
      <c r="SL160" s="17"/>
      <c r="SM160" s="17"/>
      <c r="SN160" s="17"/>
      <c r="SO160" s="17"/>
      <c r="SP160" s="17"/>
      <c r="SQ160" s="17"/>
      <c r="SR160" s="17"/>
      <c r="SS160" s="17"/>
      <c r="ST160" s="17"/>
      <c r="SU160" s="17"/>
      <c r="SV160" s="17"/>
      <c r="SW160" s="17"/>
      <c r="SX160" s="17"/>
      <c r="SY160" s="17"/>
      <c r="SZ160" s="17"/>
      <c r="TA160" s="17"/>
      <c r="TB160" s="17"/>
      <c r="TC160" s="17"/>
      <c r="TD160" s="17"/>
      <c r="TE160" s="17"/>
      <c r="TF160" s="17"/>
      <c r="TG160" s="17"/>
      <c r="TH160" s="17"/>
      <c r="TI160" s="17"/>
      <c r="TJ160" s="17"/>
      <c r="TK160" s="17"/>
      <c r="TL160" s="17"/>
      <c r="TM160" s="17"/>
      <c r="TN160" s="17"/>
      <c r="TO160" s="17"/>
      <c r="TP160" s="17"/>
      <c r="TQ160" s="17"/>
      <c r="TR160" s="17"/>
      <c r="TS160" s="17"/>
      <c r="TT160" s="17"/>
      <c r="TU160" s="17"/>
      <c r="TV160" s="17"/>
      <c r="TW160" s="17"/>
      <c r="TX160" s="17"/>
      <c r="TY160" s="17"/>
      <c r="TZ160" s="17"/>
      <c r="UA160" s="17"/>
      <c r="UB160" s="17"/>
      <c r="UC160" s="17"/>
      <c r="UD160" s="17"/>
      <c r="UE160" s="17"/>
      <c r="UF160" s="17"/>
      <c r="UG160" s="17"/>
      <c r="UH160" s="17"/>
      <c r="UI160" s="17"/>
      <c r="UJ160" s="17"/>
      <c r="UK160" s="17"/>
      <c r="UL160" s="17"/>
      <c r="UM160" s="17"/>
      <c r="UN160" s="17"/>
      <c r="UO160" s="17"/>
      <c r="UP160" s="17"/>
      <c r="UQ160" s="17"/>
      <c r="UR160" s="17"/>
      <c r="US160" s="17"/>
      <c r="UT160" s="17"/>
      <c r="UU160" s="17"/>
      <c r="UV160" s="17"/>
      <c r="UW160" s="17"/>
      <c r="UX160" s="17"/>
      <c r="UY160" s="17"/>
      <c r="UZ160" s="17"/>
      <c r="VA160" s="17"/>
      <c r="VB160" s="17"/>
      <c r="VC160" s="17"/>
      <c r="VD160" s="17"/>
      <c r="VE160" s="17"/>
      <c r="VF160" s="17"/>
      <c r="VG160" s="17"/>
      <c r="VH160" s="17"/>
      <c r="VI160" s="17"/>
      <c r="VJ160" s="17"/>
      <c r="VK160" s="17"/>
      <c r="VL160" s="17"/>
      <c r="VM160" s="17"/>
      <c r="VN160" s="17"/>
      <c r="VO160" s="17"/>
      <c r="VP160" s="17"/>
      <c r="VQ160" s="17"/>
      <c r="VR160" s="17"/>
      <c r="VS160" s="17"/>
      <c r="VT160" s="17"/>
      <c r="VU160" s="17"/>
      <c r="VV160" s="17"/>
      <c r="VW160" s="17"/>
      <c r="VX160" s="17"/>
      <c r="VY160" s="17"/>
      <c r="VZ160" s="17"/>
      <c r="WA160" s="17"/>
      <c r="WB160" s="17"/>
      <c r="WC160" s="17"/>
      <c r="WD160" s="17"/>
      <c r="WE160" s="17"/>
      <c r="WF160" s="17"/>
      <c r="WG160" s="17"/>
      <c r="WH160" s="17"/>
      <c r="WI160" s="17"/>
      <c r="WJ160" s="17"/>
      <c r="WK160" s="17"/>
      <c r="WL160" s="17"/>
      <c r="WM160" s="17"/>
      <c r="WN160" s="17"/>
      <c r="WO160" s="17"/>
      <c r="WP160" s="17"/>
      <c r="WQ160" s="17"/>
      <c r="WR160" s="17"/>
      <c r="WS160" s="17"/>
      <c r="WT160" s="17"/>
      <c r="WU160" s="17"/>
      <c r="WV160" s="17"/>
      <c r="WW160" s="17"/>
      <c r="WX160" s="17"/>
      <c r="WY160" s="17"/>
      <c r="WZ160" s="17"/>
      <c r="XA160" s="17"/>
      <c r="XB160" s="17"/>
      <c r="XC160" s="17"/>
      <c r="XD160" s="17"/>
      <c r="XE160" s="17"/>
      <c r="XF160" s="17"/>
      <c r="XG160" s="17"/>
      <c r="XH160" s="17"/>
      <c r="XI160" s="17"/>
      <c r="XJ160" s="17"/>
      <c r="XK160" s="17"/>
      <c r="XL160" s="17"/>
      <c r="XM160" s="17"/>
      <c r="XN160" s="17"/>
      <c r="XO160" s="17"/>
      <c r="XP160" s="17"/>
      <c r="XQ160" s="17"/>
      <c r="XR160" s="17"/>
      <c r="XS160" s="17"/>
      <c r="XT160" s="17"/>
      <c r="XU160" s="17"/>
      <c r="XV160" s="17"/>
      <c r="XW160" s="17"/>
      <c r="XX160" s="17"/>
      <c r="XY160" s="17"/>
      <c r="XZ160" s="17"/>
      <c r="YA160" s="17"/>
      <c r="YB160" s="17"/>
      <c r="YC160" s="17"/>
      <c r="YD160" s="17"/>
      <c r="YE160" s="17"/>
      <c r="YF160" s="17"/>
      <c r="YG160" s="17"/>
      <c r="YH160" s="17"/>
      <c r="YI160" s="17"/>
      <c r="YJ160" s="17"/>
      <c r="YK160" s="17"/>
      <c r="YL160" s="17"/>
      <c r="YM160" s="17"/>
      <c r="YN160" s="17"/>
      <c r="YO160" s="17"/>
      <c r="YP160" s="17"/>
      <c r="YQ160" s="17"/>
      <c r="YR160" s="17"/>
      <c r="YS160" s="17"/>
    </row>
    <row r="161" spans="266:669" x14ac:dyDescent="0.25">
      <c r="JF161" s="17"/>
      <c r="JG161" s="17"/>
      <c r="JH161" s="17"/>
      <c r="JI161" s="17"/>
      <c r="JJ161" s="17"/>
      <c r="JK161" s="17"/>
      <c r="JL161" s="17"/>
      <c r="JM161" s="17"/>
      <c r="JN161" s="17"/>
      <c r="JO161" s="17"/>
      <c r="JP161" s="17"/>
      <c r="JQ161" s="17"/>
      <c r="JR161" s="17"/>
      <c r="JS161" s="17"/>
      <c r="JT161" s="17"/>
      <c r="JU161" s="17"/>
      <c r="JV161" s="17"/>
      <c r="JW161" s="17"/>
      <c r="JX161" s="17"/>
      <c r="JY161" s="17"/>
      <c r="JZ161" s="17"/>
      <c r="KA161" s="17"/>
      <c r="KB161" s="17"/>
      <c r="KC161" s="17"/>
      <c r="KD161" s="17"/>
      <c r="KE161" s="17"/>
      <c r="KF161" s="17"/>
      <c r="KG161" s="17"/>
      <c r="KH161" s="17"/>
      <c r="KI161" s="17"/>
      <c r="KJ161" s="17"/>
      <c r="KK161" s="17"/>
      <c r="KL161" s="17"/>
      <c r="KM161" s="17"/>
      <c r="KN161" s="17"/>
      <c r="KO161" s="17"/>
      <c r="KP161" s="17"/>
      <c r="KQ161" s="17"/>
      <c r="KR161" s="17"/>
      <c r="KS161" s="17"/>
      <c r="KT161" s="17"/>
      <c r="KU161" s="17"/>
      <c r="KV161" s="17"/>
      <c r="KW161" s="17"/>
      <c r="KX161" s="17"/>
      <c r="KY161" s="17"/>
      <c r="KZ161" s="17"/>
      <c r="LA161" s="17"/>
      <c r="LB161" s="17"/>
      <c r="LC161" s="17"/>
      <c r="LD161" s="17"/>
      <c r="LE161" s="17"/>
      <c r="LF161" s="17"/>
      <c r="LG161" s="17"/>
      <c r="LH161" s="17"/>
      <c r="LI161" s="17"/>
      <c r="LJ161" s="17"/>
      <c r="LK161" s="17"/>
      <c r="LL161" s="17"/>
      <c r="LM161" s="17"/>
      <c r="LN161" s="17"/>
      <c r="LO161" s="17"/>
      <c r="LP161" s="17"/>
      <c r="LQ161" s="17"/>
      <c r="LR161" s="17"/>
      <c r="LS161" s="17"/>
      <c r="LT161" s="17"/>
      <c r="LU161" s="17"/>
      <c r="LV161" s="17"/>
      <c r="LW161" s="17"/>
      <c r="LX161" s="17"/>
      <c r="LY161" s="17"/>
      <c r="LZ161" s="17"/>
      <c r="MA161" s="17"/>
      <c r="MB161" s="17"/>
      <c r="MC161" s="17"/>
      <c r="MD161" s="17"/>
      <c r="ME161" s="17"/>
      <c r="MF161" s="17"/>
      <c r="MG161" s="17"/>
      <c r="MH161" s="17"/>
      <c r="MI161" s="17"/>
      <c r="MJ161" s="17"/>
      <c r="MK161" s="17"/>
      <c r="ML161" s="17"/>
      <c r="MM161" s="17"/>
      <c r="MN161" s="17"/>
      <c r="MO161" s="17"/>
      <c r="MP161" s="17"/>
      <c r="MQ161" s="17"/>
      <c r="MR161" s="17"/>
      <c r="MS161" s="17"/>
      <c r="MT161" s="17"/>
      <c r="MU161" s="17"/>
      <c r="MV161" s="17"/>
      <c r="MW161" s="17"/>
      <c r="MX161" s="17"/>
      <c r="MY161" s="17"/>
      <c r="MZ161" s="17"/>
      <c r="NA161" s="17"/>
      <c r="NB161" s="17"/>
      <c r="NC161" s="17"/>
      <c r="ND161" s="17"/>
      <c r="NE161" s="17"/>
      <c r="NF161" s="17"/>
      <c r="NG161" s="17"/>
      <c r="NH161" s="17"/>
      <c r="NI161" s="17"/>
      <c r="NJ161" s="17"/>
      <c r="NK161" s="17"/>
      <c r="NL161" s="17"/>
      <c r="NM161" s="17"/>
      <c r="NN161" s="17"/>
      <c r="NO161" s="17"/>
      <c r="NP161" s="17"/>
      <c r="NQ161" s="17"/>
      <c r="NR161" s="17"/>
      <c r="NS161" s="17"/>
      <c r="NT161" s="17"/>
      <c r="NU161" s="17"/>
      <c r="NV161" s="17"/>
      <c r="NW161" s="17"/>
      <c r="NX161" s="17"/>
      <c r="NY161" s="17"/>
      <c r="NZ161" s="17"/>
      <c r="OA161" s="17"/>
      <c r="OB161" s="17"/>
      <c r="OC161" s="17"/>
      <c r="OD161" s="17"/>
      <c r="OE161" s="17"/>
      <c r="OF161" s="17"/>
      <c r="OG161" s="17"/>
      <c r="OH161" s="17"/>
      <c r="OI161" s="17"/>
      <c r="OJ161" s="17"/>
      <c r="OK161" s="17"/>
      <c r="OL161" s="17"/>
      <c r="OM161" s="17"/>
      <c r="ON161" s="17"/>
      <c r="OO161" s="17"/>
      <c r="OP161" s="17"/>
      <c r="OQ161" s="17"/>
      <c r="OR161" s="17"/>
      <c r="OS161" s="17"/>
      <c r="OT161" s="17"/>
      <c r="OU161" s="17"/>
      <c r="OV161" s="17"/>
      <c r="OW161" s="17"/>
      <c r="OX161" s="17"/>
      <c r="OY161" s="17"/>
      <c r="OZ161" s="17"/>
      <c r="PA161" s="17"/>
      <c r="PB161" s="17"/>
      <c r="PC161" s="17"/>
      <c r="PD161" s="17"/>
      <c r="PE161" s="17"/>
      <c r="PF161" s="17"/>
      <c r="PG161" s="17"/>
      <c r="PH161" s="17"/>
      <c r="PI161" s="17"/>
      <c r="PJ161" s="17"/>
      <c r="PK161" s="17"/>
      <c r="PL161" s="17"/>
      <c r="PM161" s="17"/>
      <c r="PN161" s="17"/>
      <c r="PO161" s="17"/>
      <c r="PP161" s="17"/>
      <c r="PQ161" s="17"/>
      <c r="PR161" s="17"/>
      <c r="PS161" s="17"/>
      <c r="PT161" s="17"/>
      <c r="PU161" s="17"/>
      <c r="PV161" s="17"/>
      <c r="PW161" s="17"/>
      <c r="PX161" s="17"/>
      <c r="PY161" s="17"/>
      <c r="PZ161" s="17"/>
      <c r="QA161" s="17"/>
      <c r="QB161" s="17"/>
      <c r="QC161" s="17"/>
      <c r="QD161" s="17"/>
      <c r="QE161" s="17"/>
      <c r="QF161" s="17"/>
      <c r="QG161" s="17"/>
      <c r="QH161" s="17"/>
      <c r="QI161" s="17"/>
      <c r="QJ161" s="17"/>
      <c r="QK161" s="17"/>
      <c r="QL161" s="17"/>
      <c r="QM161" s="17"/>
      <c r="QN161" s="17"/>
      <c r="QO161" s="17"/>
      <c r="QP161" s="17"/>
      <c r="QQ161" s="17"/>
      <c r="QR161" s="17"/>
      <c r="QS161" s="17"/>
      <c r="QT161" s="17"/>
      <c r="QU161" s="17"/>
      <c r="QV161" s="17"/>
      <c r="QW161" s="17"/>
      <c r="QX161" s="17"/>
      <c r="QY161" s="17"/>
      <c r="QZ161" s="17"/>
      <c r="RA161" s="17"/>
      <c r="RB161" s="17"/>
      <c r="RC161" s="17"/>
      <c r="RD161" s="17"/>
      <c r="RE161" s="17"/>
      <c r="RF161" s="17"/>
      <c r="RG161" s="17"/>
      <c r="RH161" s="17"/>
      <c r="RI161" s="17"/>
      <c r="RJ161" s="17"/>
      <c r="RK161" s="17"/>
      <c r="RL161" s="17"/>
      <c r="RM161" s="17"/>
      <c r="RN161" s="17"/>
      <c r="RO161" s="17"/>
      <c r="RP161" s="17"/>
      <c r="RQ161" s="17"/>
      <c r="RR161" s="17"/>
      <c r="RS161" s="17"/>
      <c r="RT161" s="17"/>
      <c r="RU161" s="17"/>
      <c r="RV161" s="17"/>
      <c r="RW161" s="17"/>
      <c r="RX161" s="17"/>
      <c r="RY161" s="17"/>
      <c r="RZ161" s="17"/>
      <c r="SA161" s="17"/>
      <c r="SB161" s="17"/>
      <c r="SC161" s="17"/>
      <c r="SD161" s="17"/>
      <c r="SE161" s="17"/>
      <c r="SF161" s="17"/>
      <c r="SG161" s="17"/>
      <c r="SH161" s="17"/>
      <c r="SI161" s="17"/>
      <c r="SJ161" s="17"/>
      <c r="SK161" s="17"/>
      <c r="SL161" s="17"/>
      <c r="SM161" s="17"/>
      <c r="SN161" s="17"/>
      <c r="SO161" s="17"/>
      <c r="SP161" s="17"/>
      <c r="SQ161" s="17"/>
      <c r="SR161" s="17"/>
      <c r="SS161" s="17"/>
      <c r="ST161" s="17"/>
      <c r="SU161" s="17"/>
      <c r="SV161" s="17"/>
      <c r="SW161" s="17"/>
      <c r="SX161" s="17"/>
      <c r="SY161" s="17"/>
      <c r="SZ161" s="17"/>
      <c r="TA161" s="17"/>
      <c r="TB161" s="17"/>
      <c r="TC161" s="17"/>
      <c r="TD161" s="17"/>
      <c r="TE161" s="17"/>
      <c r="TF161" s="17"/>
      <c r="TG161" s="17"/>
      <c r="TH161" s="17"/>
      <c r="TI161" s="17"/>
      <c r="TJ161" s="17"/>
      <c r="TK161" s="17"/>
      <c r="TL161" s="17"/>
      <c r="TM161" s="17"/>
      <c r="TN161" s="17"/>
      <c r="TO161" s="17"/>
      <c r="TP161" s="17"/>
      <c r="TQ161" s="17"/>
      <c r="TR161" s="17"/>
      <c r="TS161" s="17"/>
      <c r="TT161" s="17"/>
      <c r="TU161" s="17"/>
      <c r="TV161" s="17"/>
      <c r="TW161" s="17"/>
      <c r="TX161" s="17"/>
      <c r="TY161" s="17"/>
      <c r="TZ161" s="17"/>
      <c r="UA161" s="17"/>
      <c r="UB161" s="17"/>
      <c r="UC161" s="17"/>
      <c r="UD161" s="17"/>
      <c r="UE161" s="17"/>
      <c r="UF161" s="17"/>
      <c r="UG161" s="17"/>
      <c r="UH161" s="17"/>
      <c r="UI161" s="17"/>
      <c r="UJ161" s="17"/>
      <c r="UK161" s="17"/>
      <c r="UL161" s="17"/>
      <c r="UM161" s="17"/>
      <c r="UN161" s="17"/>
      <c r="UO161" s="17"/>
      <c r="UP161" s="17"/>
      <c r="UQ161" s="17"/>
      <c r="UR161" s="17"/>
      <c r="US161" s="17"/>
      <c r="UT161" s="17"/>
      <c r="UU161" s="17"/>
      <c r="UV161" s="17"/>
      <c r="UW161" s="17"/>
      <c r="UX161" s="17"/>
      <c r="UY161" s="17"/>
      <c r="UZ161" s="17"/>
      <c r="VA161" s="17"/>
      <c r="VB161" s="17"/>
      <c r="VC161" s="17"/>
      <c r="VD161" s="17"/>
      <c r="VE161" s="17"/>
      <c r="VF161" s="17"/>
      <c r="VG161" s="17"/>
      <c r="VH161" s="17"/>
      <c r="VI161" s="17"/>
      <c r="VJ161" s="17"/>
      <c r="VK161" s="17"/>
      <c r="VL161" s="17"/>
      <c r="VM161" s="17"/>
      <c r="VN161" s="17"/>
      <c r="VO161" s="17"/>
      <c r="VP161" s="17"/>
      <c r="VQ161" s="17"/>
      <c r="VR161" s="17"/>
      <c r="VS161" s="17"/>
      <c r="VT161" s="17"/>
      <c r="VU161" s="17"/>
      <c r="VV161" s="17"/>
      <c r="VW161" s="17"/>
      <c r="VX161" s="17"/>
      <c r="VY161" s="17"/>
      <c r="VZ161" s="17"/>
      <c r="WA161" s="17"/>
      <c r="WB161" s="17"/>
      <c r="WC161" s="17"/>
      <c r="WD161" s="17"/>
      <c r="WE161" s="17"/>
      <c r="WF161" s="17"/>
      <c r="WG161" s="17"/>
      <c r="WH161" s="17"/>
      <c r="WI161" s="17"/>
      <c r="WJ161" s="17"/>
      <c r="WK161" s="17"/>
      <c r="WL161" s="17"/>
      <c r="WM161" s="17"/>
      <c r="WN161" s="17"/>
      <c r="WO161" s="17"/>
      <c r="WP161" s="17"/>
      <c r="WQ161" s="17"/>
      <c r="WR161" s="17"/>
      <c r="WS161" s="17"/>
      <c r="WT161" s="17"/>
      <c r="WU161" s="17"/>
      <c r="WV161" s="17"/>
      <c r="WW161" s="17"/>
      <c r="WX161" s="17"/>
      <c r="WY161" s="17"/>
      <c r="WZ161" s="17"/>
      <c r="XA161" s="17"/>
      <c r="XB161" s="17"/>
      <c r="XC161" s="17"/>
      <c r="XD161" s="17"/>
      <c r="XE161" s="17"/>
      <c r="XF161" s="17"/>
      <c r="XG161" s="17"/>
      <c r="XH161" s="17"/>
      <c r="XI161" s="17"/>
      <c r="XJ161" s="17"/>
      <c r="XK161" s="17"/>
      <c r="XL161" s="17"/>
      <c r="XM161" s="17"/>
      <c r="XN161" s="17"/>
      <c r="XO161" s="17"/>
      <c r="XP161" s="17"/>
      <c r="XQ161" s="17"/>
      <c r="XR161" s="17"/>
      <c r="XS161" s="17"/>
      <c r="XT161" s="17"/>
      <c r="XU161" s="17"/>
      <c r="XV161" s="17"/>
      <c r="XW161" s="17"/>
      <c r="XX161" s="17"/>
      <c r="XY161" s="17"/>
      <c r="XZ161" s="17"/>
      <c r="YA161" s="17"/>
      <c r="YB161" s="17"/>
      <c r="YC161" s="17"/>
      <c r="YD161" s="17"/>
      <c r="YE161" s="17"/>
      <c r="YF161" s="17"/>
      <c r="YG161" s="17"/>
      <c r="YH161" s="17"/>
      <c r="YI161" s="17"/>
      <c r="YJ161" s="17"/>
      <c r="YK161" s="17"/>
      <c r="YL161" s="17"/>
      <c r="YM161" s="17"/>
      <c r="YN161" s="17"/>
      <c r="YO161" s="17"/>
      <c r="YP161" s="17"/>
      <c r="YQ161" s="17"/>
      <c r="YR161" s="17"/>
      <c r="YS161" s="17"/>
    </row>
    <row r="162" spans="266:669" x14ac:dyDescent="0.25">
      <c r="JF162" s="17"/>
      <c r="JG162" s="17"/>
      <c r="JH162" s="17"/>
      <c r="JI162" s="17"/>
      <c r="JJ162" s="17"/>
      <c r="JK162" s="17"/>
      <c r="JL162" s="17"/>
      <c r="JM162" s="17"/>
      <c r="JN162" s="17"/>
      <c r="JO162" s="17"/>
      <c r="JP162" s="17"/>
      <c r="JQ162" s="17"/>
      <c r="JR162" s="17"/>
      <c r="JS162" s="17"/>
      <c r="JT162" s="17"/>
      <c r="JU162" s="17"/>
      <c r="JV162" s="17"/>
      <c r="JW162" s="17"/>
      <c r="JX162" s="17"/>
      <c r="JY162" s="17"/>
      <c r="JZ162" s="17"/>
      <c r="KA162" s="17"/>
      <c r="KB162" s="17"/>
      <c r="KC162" s="17"/>
      <c r="KD162" s="17"/>
      <c r="KE162" s="17"/>
      <c r="KF162" s="17"/>
      <c r="KG162" s="17"/>
      <c r="KH162" s="17"/>
      <c r="KI162" s="17"/>
      <c r="KJ162" s="17"/>
      <c r="KK162" s="17"/>
      <c r="KL162" s="17"/>
      <c r="KM162" s="17"/>
      <c r="KN162" s="17"/>
      <c r="KO162" s="17"/>
      <c r="KP162" s="17"/>
      <c r="KQ162" s="17"/>
      <c r="KR162" s="17"/>
      <c r="KS162" s="17"/>
      <c r="KT162" s="17"/>
      <c r="KU162" s="17"/>
      <c r="KV162" s="17"/>
      <c r="KW162" s="17"/>
      <c r="KX162" s="17"/>
      <c r="KY162" s="17"/>
      <c r="KZ162" s="17"/>
      <c r="LA162" s="17"/>
      <c r="LB162" s="17"/>
      <c r="LC162" s="17"/>
      <c r="LD162" s="17"/>
      <c r="LE162" s="17"/>
      <c r="LF162" s="17"/>
      <c r="LG162" s="17"/>
      <c r="LH162" s="17"/>
      <c r="LI162" s="17"/>
      <c r="LJ162" s="17"/>
      <c r="LK162" s="17"/>
      <c r="LL162" s="17"/>
      <c r="LM162" s="17"/>
      <c r="LN162" s="17"/>
      <c r="LO162" s="17"/>
      <c r="LP162" s="17"/>
      <c r="LQ162" s="17"/>
      <c r="LR162" s="17"/>
      <c r="LS162" s="17"/>
      <c r="LT162" s="17"/>
      <c r="LU162" s="17"/>
      <c r="LV162" s="17"/>
      <c r="LW162" s="17"/>
      <c r="LX162" s="17"/>
      <c r="LY162" s="17"/>
      <c r="LZ162" s="17"/>
      <c r="MA162" s="17"/>
      <c r="MB162" s="17"/>
      <c r="MC162" s="17"/>
      <c r="MD162" s="17"/>
      <c r="ME162" s="17"/>
      <c r="MF162" s="17"/>
      <c r="MG162" s="17"/>
      <c r="MH162" s="17"/>
      <c r="MI162" s="17"/>
      <c r="MJ162" s="17"/>
      <c r="MK162" s="17"/>
      <c r="ML162" s="17"/>
      <c r="MM162" s="17"/>
      <c r="MN162" s="17"/>
      <c r="MO162" s="17"/>
      <c r="MP162" s="17"/>
      <c r="MQ162" s="17"/>
      <c r="MR162" s="17"/>
      <c r="MS162" s="17"/>
      <c r="MT162" s="17"/>
      <c r="MU162" s="17"/>
      <c r="MV162" s="17"/>
      <c r="MW162" s="17"/>
      <c r="MX162" s="17"/>
      <c r="MY162" s="17"/>
      <c r="MZ162" s="17"/>
      <c r="NA162" s="17"/>
      <c r="NB162" s="17"/>
      <c r="NC162" s="17"/>
      <c r="ND162" s="17"/>
      <c r="NE162" s="17"/>
      <c r="NF162" s="17"/>
      <c r="NG162" s="17"/>
      <c r="NH162" s="17"/>
      <c r="NI162" s="17"/>
      <c r="NJ162" s="17"/>
      <c r="NK162" s="17"/>
      <c r="NL162" s="17"/>
      <c r="NM162" s="17"/>
      <c r="NN162" s="17"/>
      <c r="NO162" s="17"/>
      <c r="NP162" s="17"/>
      <c r="NQ162" s="17"/>
      <c r="NR162" s="17"/>
      <c r="NS162" s="17"/>
      <c r="NT162" s="17"/>
      <c r="NU162" s="17"/>
      <c r="NV162" s="17"/>
      <c r="NW162" s="17"/>
      <c r="NX162" s="17"/>
      <c r="NY162" s="17"/>
      <c r="NZ162" s="17"/>
      <c r="OA162" s="17"/>
      <c r="OB162" s="17"/>
      <c r="OC162" s="17"/>
      <c r="OD162" s="17"/>
      <c r="OE162" s="17"/>
      <c r="OF162" s="17"/>
      <c r="OG162" s="17"/>
      <c r="OH162" s="17"/>
      <c r="OI162" s="17"/>
      <c r="OJ162" s="17"/>
      <c r="OK162" s="17"/>
      <c r="OL162" s="17"/>
      <c r="OM162" s="17"/>
      <c r="ON162" s="17"/>
      <c r="OO162" s="17"/>
      <c r="OP162" s="17"/>
      <c r="OQ162" s="17"/>
      <c r="OR162" s="17"/>
      <c r="OS162" s="17"/>
      <c r="OT162" s="17"/>
      <c r="OU162" s="17"/>
      <c r="OV162" s="17"/>
      <c r="OW162" s="17"/>
      <c r="OX162" s="17"/>
      <c r="OY162" s="17"/>
      <c r="OZ162" s="17"/>
      <c r="PA162" s="17"/>
      <c r="PB162" s="17"/>
      <c r="PC162" s="17"/>
      <c r="PD162" s="17"/>
      <c r="PE162" s="17"/>
      <c r="PF162" s="17"/>
      <c r="PG162" s="17"/>
      <c r="PH162" s="17"/>
      <c r="PI162" s="17"/>
      <c r="PJ162" s="17"/>
      <c r="PK162" s="17"/>
      <c r="PL162" s="17"/>
      <c r="PM162" s="17"/>
      <c r="PN162" s="17"/>
      <c r="PO162" s="17"/>
      <c r="PP162" s="17"/>
      <c r="PQ162" s="17"/>
      <c r="PR162" s="17"/>
      <c r="PS162" s="17"/>
      <c r="PT162" s="17"/>
      <c r="PU162" s="17"/>
      <c r="PV162" s="17"/>
      <c r="PW162" s="17"/>
      <c r="PX162" s="17"/>
      <c r="PY162" s="17"/>
      <c r="PZ162" s="17"/>
      <c r="QA162" s="17"/>
      <c r="QB162" s="17"/>
      <c r="QC162" s="17"/>
      <c r="QD162" s="17"/>
      <c r="QE162" s="17"/>
      <c r="QF162" s="17"/>
      <c r="QG162" s="17"/>
      <c r="QH162" s="17"/>
      <c r="QI162" s="17"/>
      <c r="QJ162" s="17"/>
      <c r="QK162" s="17"/>
      <c r="QL162" s="17"/>
      <c r="QM162" s="17"/>
      <c r="QN162" s="17"/>
      <c r="QO162" s="17"/>
      <c r="QP162" s="17"/>
      <c r="QQ162" s="17"/>
      <c r="QR162" s="17"/>
      <c r="QS162" s="17"/>
      <c r="QT162" s="17"/>
      <c r="QU162" s="17"/>
      <c r="QV162" s="17"/>
      <c r="QW162" s="17"/>
      <c r="QX162" s="17"/>
      <c r="QY162" s="17"/>
      <c r="QZ162" s="17"/>
      <c r="RA162" s="17"/>
      <c r="RB162" s="17"/>
      <c r="RC162" s="17"/>
      <c r="RD162" s="17"/>
      <c r="RE162" s="17"/>
      <c r="RF162" s="17"/>
      <c r="RG162" s="17"/>
      <c r="RH162" s="17"/>
      <c r="RI162" s="17"/>
      <c r="RJ162" s="17"/>
      <c r="RK162" s="17"/>
      <c r="RL162" s="17"/>
      <c r="RM162" s="17"/>
      <c r="RN162" s="17"/>
      <c r="RO162" s="17"/>
      <c r="RP162" s="17"/>
      <c r="RQ162" s="17"/>
      <c r="RR162" s="17"/>
      <c r="RS162" s="17"/>
      <c r="RT162" s="17"/>
      <c r="RU162" s="17"/>
      <c r="RV162" s="17"/>
      <c r="RW162" s="17"/>
      <c r="RX162" s="17"/>
      <c r="RY162" s="17"/>
      <c r="RZ162" s="17"/>
      <c r="SA162" s="17"/>
      <c r="SB162" s="17"/>
      <c r="SC162" s="17"/>
      <c r="SD162" s="17"/>
      <c r="SE162" s="17"/>
      <c r="SF162" s="17"/>
      <c r="SG162" s="17"/>
      <c r="SH162" s="17"/>
      <c r="SI162" s="17"/>
      <c r="SJ162" s="17"/>
      <c r="SK162" s="17"/>
      <c r="SL162" s="17"/>
      <c r="SM162" s="17"/>
      <c r="SN162" s="17"/>
      <c r="SO162" s="17"/>
      <c r="SP162" s="17"/>
      <c r="SQ162" s="17"/>
      <c r="SR162" s="17"/>
      <c r="SS162" s="17"/>
      <c r="ST162" s="17"/>
      <c r="SU162" s="17"/>
      <c r="SV162" s="17"/>
      <c r="SW162" s="17"/>
      <c r="SX162" s="17"/>
      <c r="SY162" s="17"/>
      <c r="SZ162" s="17"/>
      <c r="TA162" s="17"/>
      <c r="TB162" s="17"/>
      <c r="TC162" s="17"/>
      <c r="TD162" s="17"/>
      <c r="TE162" s="17"/>
      <c r="TF162" s="17"/>
      <c r="TG162" s="17"/>
      <c r="TH162" s="17"/>
      <c r="TI162" s="17"/>
      <c r="TJ162" s="17"/>
      <c r="TK162" s="17"/>
      <c r="TL162" s="17"/>
      <c r="TM162" s="17"/>
      <c r="TN162" s="17"/>
      <c r="TO162" s="17"/>
      <c r="TP162" s="17"/>
      <c r="TQ162" s="17"/>
      <c r="TR162" s="17"/>
      <c r="TS162" s="17"/>
      <c r="TT162" s="17"/>
      <c r="TU162" s="17"/>
      <c r="TV162" s="17"/>
      <c r="TW162" s="17"/>
      <c r="TX162" s="17"/>
      <c r="TY162" s="17"/>
      <c r="TZ162" s="17"/>
      <c r="UA162" s="17"/>
      <c r="UB162" s="17"/>
      <c r="UC162" s="17"/>
      <c r="UD162" s="17"/>
      <c r="UE162" s="17"/>
      <c r="UF162" s="17"/>
      <c r="UG162" s="17"/>
      <c r="UH162" s="17"/>
      <c r="UI162" s="17"/>
      <c r="UJ162" s="17"/>
      <c r="UK162" s="17"/>
      <c r="UL162" s="17"/>
      <c r="UM162" s="17"/>
      <c r="UN162" s="17"/>
      <c r="UO162" s="17"/>
      <c r="UP162" s="17"/>
      <c r="UQ162" s="17"/>
      <c r="UR162" s="17"/>
      <c r="US162" s="17"/>
      <c r="UT162" s="17"/>
      <c r="UU162" s="17"/>
      <c r="UV162" s="17"/>
      <c r="UW162" s="17"/>
      <c r="UX162" s="17"/>
      <c r="UY162" s="17"/>
      <c r="UZ162" s="17"/>
      <c r="VA162" s="17"/>
      <c r="VB162" s="17"/>
      <c r="VC162" s="17"/>
      <c r="VD162" s="17"/>
      <c r="VE162" s="17"/>
      <c r="VF162" s="17"/>
      <c r="VG162" s="17"/>
      <c r="VH162" s="17"/>
      <c r="VI162" s="17"/>
      <c r="VJ162" s="17"/>
      <c r="VK162" s="17"/>
      <c r="VL162" s="17"/>
      <c r="VM162" s="17"/>
      <c r="VN162" s="17"/>
      <c r="VO162" s="17"/>
      <c r="VP162" s="17"/>
      <c r="VQ162" s="17"/>
      <c r="VR162" s="17"/>
      <c r="VS162" s="17"/>
      <c r="VT162" s="17"/>
      <c r="VU162" s="17"/>
      <c r="VV162" s="17"/>
      <c r="VW162" s="17"/>
      <c r="VX162" s="17"/>
      <c r="VY162" s="17"/>
      <c r="VZ162" s="17"/>
      <c r="WA162" s="17"/>
      <c r="WB162" s="17"/>
      <c r="WC162" s="17"/>
      <c r="WD162" s="17"/>
      <c r="WE162" s="17"/>
      <c r="WF162" s="17"/>
      <c r="WG162" s="17"/>
      <c r="WH162" s="17"/>
      <c r="WI162" s="17"/>
      <c r="WJ162" s="17"/>
      <c r="WK162" s="17"/>
      <c r="WL162" s="17"/>
      <c r="WM162" s="17"/>
      <c r="WN162" s="17"/>
      <c r="WO162" s="17"/>
      <c r="WP162" s="17"/>
      <c r="WQ162" s="17"/>
      <c r="WR162" s="17"/>
      <c r="WS162" s="17"/>
      <c r="WT162" s="17"/>
      <c r="WU162" s="17"/>
      <c r="WV162" s="17"/>
      <c r="WW162" s="17"/>
      <c r="WX162" s="17"/>
      <c r="WY162" s="17"/>
      <c r="WZ162" s="17"/>
      <c r="XA162" s="17"/>
      <c r="XB162" s="17"/>
      <c r="XC162" s="17"/>
      <c r="XD162" s="17"/>
      <c r="XE162" s="17"/>
      <c r="XF162" s="17"/>
      <c r="XG162" s="17"/>
      <c r="XH162" s="17"/>
      <c r="XI162" s="17"/>
      <c r="XJ162" s="17"/>
      <c r="XK162" s="17"/>
      <c r="XL162" s="17"/>
      <c r="XM162" s="17"/>
      <c r="XN162" s="17"/>
      <c r="XO162" s="17"/>
      <c r="XP162" s="17"/>
      <c r="XQ162" s="17"/>
      <c r="XR162" s="17"/>
      <c r="XS162" s="17"/>
      <c r="XT162" s="17"/>
      <c r="XU162" s="17"/>
      <c r="XV162" s="17"/>
      <c r="XW162" s="17"/>
      <c r="XX162" s="17"/>
      <c r="XY162" s="17"/>
      <c r="XZ162" s="17"/>
      <c r="YA162" s="17"/>
      <c r="YB162" s="17"/>
      <c r="YC162" s="17"/>
      <c r="YD162" s="17"/>
      <c r="YE162" s="17"/>
      <c r="YF162" s="17"/>
      <c r="YG162" s="17"/>
      <c r="YH162" s="17"/>
      <c r="YI162" s="17"/>
      <c r="YJ162" s="17"/>
      <c r="YK162" s="17"/>
      <c r="YL162" s="17"/>
      <c r="YM162" s="17"/>
      <c r="YN162" s="17"/>
      <c r="YO162" s="17"/>
      <c r="YP162" s="17"/>
      <c r="YQ162" s="17"/>
      <c r="YR162" s="17"/>
      <c r="YS162" s="17"/>
    </row>
    <row r="163" spans="266:669" x14ac:dyDescent="0.25">
      <c r="JF163" s="17"/>
      <c r="JG163" s="17"/>
      <c r="JH163" s="17"/>
      <c r="JI163" s="17"/>
      <c r="JJ163" s="17"/>
      <c r="JK163" s="17"/>
      <c r="JL163" s="17"/>
      <c r="JM163" s="17"/>
      <c r="JN163" s="17"/>
      <c r="JO163" s="17"/>
      <c r="JP163" s="17"/>
      <c r="JQ163" s="17"/>
      <c r="JR163" s="17"/>
      <c r="JS163" s="17"/>
      <c r="JT163" s="17"/>
      <c r="JU163" s="17"/>
      <c r="JV163" s="17"/>
      <c r="JW163" s="17"/>
      <c r="JX163" s="17"/>
      <c r="JY163" s="17"/>
      <c r="JZ163" s="17"/>
      <c r="KA163" s="17"/>
      <c r="KB163" s="17"/>
      <c r="KC163" s="17"/>
      <c r="KD163" s="17"/>
      <c r="KE163" s="17"/>
      <c r="KF163" s="17"/>
      <c r="KG163" s="17"/>
      <c r="KH163" s="17"/>
      <c r="KI163" s="17"/>
      <c r="KJ163" s="17"/>
      <c r="KK163" s="17"/>
      <c r="KL163" s="17"/>
      <c r="KM163" s="17"/>
      <c r="KN163" s="17"/>
      <c r="KO163" s="17"/>
      <c r="KP163" s="17"/>
      <c r="KQ163" s="17"/>
      <c r="KR163" s="17"/>
      <c r="KS163" s="17"/>
      <c r="KT163" s="17"/>
      <c r="KU163" s="17"/>
      <c r="KV163" s="17"/>
      <c r="KW163" s="17"/>
      <c r="KX163" s="17"/>
      <c r="KY163" s="17"/>
      <c r="KZ163" s="17"/>
      <c r="LA163" s="17"/>
      <c r="LB163" s="17"/>
      <c r="LC163" s="17"/>
      <c r="LD163" s="17"/>
      <c r="LE163" s="17"/>
      <c r="LF163" s="17"/>
      <c r="LG163" s="17"/>
      <c r="LH163" s="17"/>
      <c r="LI163" s="17"/>
      <c r="LJ163" s="17"/>
      <c r="LK163" s="17"/>
      <c r="LL163" s="17"/>
      <c r="LM163" s="17"/>
      <c r="LN163" s="17"/>
      <c r="LO163" s="17"/>
      <c r="LP163" s="17"/>
      <c r="LQ163" s="17"/>
      <c r="LR163" s="17"/>
      <c r="LS163" s="17"/>
      <c r="LT163" s="17"/>
      <c r="LU163" s="17"/>
      <c r="LV163" s="17"/>
      <c r="LW163" s="17"/>
      <c r="LX163" s="17"/>
      <c r="LY163" s="17"/>
      <c r="LZ163" s="17"/>
      <c r="MA163" s="17"/>
      <c r="MB163" s="17"/>
      <c r="MC163" s="17"/>
      <c r="MD163" s="17"/>
      <c r="ME163" s="17"/>
      <c r="MF163" s="17"/>
      <c r="MG163" s="17"/>
      <c r="MH163" s="17"/>
      <c r="MI163" s="17"/>
      <c r="MJ163" s="17"/>
      <c r="MK163" s="17"/>
      <c r="ML163" s="17"/>
      <c r="MM163" s="17"/>
      <c r="MN163" s="17"/>
      <c r="MO163" s="17"/>
      <c r="MP163" s="17"/>
      <c r="MQ163" s="17"/>
      <c r="MR163" s="17"/>
      <c r="MS163" s="17"/>
      <c r="MT163" s="17"/>
      <c r="MU163" s="17"/>
      <c r="MV163" s="17"/>
      <c r="MW163" s="17"/>
      <c r="MX163" s="17"/>
      <c r="MY163" s="17"/>
      <c r="MZ163" s="17"/>
      <c r="NA163" s="17"/>
      <c r="NB163" s="17"/>
      <c r="NC163" s="17"/>
      <c r="ND163" s="17"/>
      <c r="NE163" s="17"/>
      <c r="NF163" s="17"/>
      <c r="NG163" s="17"/>
      <c r="NH163" s="17"/>
      <c r="NI163" s="17"/>
      <c r="NJ163" s="17"/>
      <c r="NK163" s="17"/>
      <c r="NL163" s="17"/>
      <c r="NM163" s="17"/>
      <c r="NN163" s="17"/>
      <c r="NO163" s="17"/>
      <c r="NP163" s="17"/>
      <c r="NQ163" s="17"/>
      <c r="NR163" s="17"/>
      <c r="NS163" s="17"/>
      <c r="NT163" s="17"/>
      <c r="NU163" s="17"/>
      <c r="NV163" s="17"/>
      <c r="NW163" s="17"/>
      <c r="NX163" s="17"/>
      <c r="NY163" s="17"/>
      <c r="NZ163" s="17"/>
      <c r="OA163" s="17"/>
      <c r="OB163" s="17"/>
      <c r="OC163" s="17"/>
      <c r="OD163" s="17"/>
      <c r="OE163" s="17"/>
      <c r="OF163" s="17"/>
      <c r="OG163" s="17"/>
      <c r="OH163" s="17"/>
      <c r="OI163" s="17"/>
      <c r="OJ163" s="17"/>
      <c r="OK163" s="17"/>
      <c r="OL163" s="17"/>
      <c r="OM163" s="17"/>
      <c r="ON163" s="17"/>
      <c r="OO163" s="17"/>
      <c r="OP163" s="17"/>
      <c r="OQ163" s="17"/>
      <c r="OR163" s="17"/>
      <c r="OS163" s="17"/>
      <c r="OT163" s="17"/>
      <c r="OU163" s="17"/>
      <c r="OV163" s="17"/>
      <c r="OW163" s="17"/>
      <c r="OX163" s="17"/>
      <c r="OY163" s="17"/>
      <c r="OZ163" s="17"/>
      <c r="PA163" s="17"/>
      <c r="PB163" s="17"/>
      <c r="PC163" s="17"/>
      <c r="PD163" s="17"/>
      <c r="PE163" s="17"/>
      <c r="PF163" s="17"/>
      <c r="PG163" s="17"/>
      <c r="PH163" s="17"/>
      <c r="PI163" s="17"/>
      <c r="PJ163" s="17"/>
      <c r="PK163" s="17"/>
      <c r="PL163" s="17"/>
      <c r="PM163" s="17"/>
      <c r="PN163" s="17"/>
      <c r="PO163" s="17"/>
      <c r="PP163" s="17"/>
      <c r="PQ163" s="17"/>
      <c r="PR163" s="17"/>
      <c r="PS163" s="17"/>
      <c r="PT163" s="17"/>
      <c r="PU163" s="17"/>
      <c r="PV163" s="17"/>
      <c r="PW163" s="17"/>
      <c r="PX163" s="17"/>
      <c r="PY163" s="17"/>
      <c r="PZ163" s="17"/>
      <c r="QA163" s="17"/>
      <c r="QB163" s="17"/>
      <c r="QC163" s="17"/>
      <c r="QD163" s="17"/>
      <c r="QE163" s="17"/>
      <c r="QF163" s="17"/>
      <c r="QG163" s="17"/>
      <c r="QH163" s="17"/>
      <c r="QI163" s="17"/>
      <c r="QJ163" s="17"/>
      <c r="QK163" s="17"/>
      <c r="QL163" s="17"/>
      <c r="QM163" s="17"/>
      <c r="QN163" s="17"/>
      <c r="QO163" s="17"/>
      <c r="QP163" s="17"/>
      <c r="QQ163" s="17"/>
      <c r="QR163" s="17"/>
      <c r="QS163" s="17"/>
      <c r="QT163" s="17"/>
      <c r="QU163" s="17"/>
      <c r="QV163" s="17"/>
      <c r="QW163" s="17"/>
      <c r="QX163" s="17"/>
      <c r="QY163" s="17"/>
      <c r="QZ163" s="17"/>
      <c r="RA163" s="17"/>
      <c r="RB163" s="17"/>
      <c r="RC163" s="17"/>
      <c r="RD163" s="17"/>
      <c r="RE163" s="17"/>
      <c r="RF163" s="17"/>
      <c r="RG163" s="17"/>
      <c r="RH163" s="17"/>
      <c r="RI163" s="17"/>
      <c r="RJ163" s="17"/>
      <c r="RK163" s="17"/>
      <c r="RL163" s="17"/>
      <c r="RM163" s="17"/>
      <c r="RN163" s="17"/>
      <c r="RO163" s="17"/>
      <c r="RP163" s="17"/>
      <c r="RQ163" s="17"/>
      <c r="RR163" s="17"/>
      <c r="RS163" s="17"/>
      <c r="RT163" s="17"/>
      <c r="RU163" s="17"/>
      <c r="RV163" s="17"/>
      <c r="RW163" s="17"/>
      <c r="RX163" s="17"/>
      <c r="RY163" s="17"/>
      <c r="RZ163" s="17"/>
      <c r="SA163" s="17"/>
      <c r="SB163" s="17"/>
      <c r="SC163" s="17"/>
      <c r="SD163" s="17"/>
      <c r="SE163" s="17"/>
      <c r="SF163" s="17"/>
      <c r="SG163" s="17"/>
      <c r="SH163" s="17"/>
      <c r="SI163" s="17"/>
      <c r="SJ163" s="17"/>
      <c r="SK163" s="17"/>
      <c r="SL163" s="17"/>
      <c r="SM163" s="17"/>
      <c r="SN163" s="17"/>
      <c r="SO163" s="17"/>
      <c r="SP163" s="17"/>
      <c r="SQ163" s="17"/>
      <c r="SR163" s="17"/>
      <c r="SS163" s="17"/>
      <c r="ST163" s="17"/>
      <c r="SU163" s="17"/>
      <c r="SV163" s="17"/>
      <c r="SW163" s="17"/>
      <c r="SX163" s="17"/>
      <c r="SY163" s="17"/>
      <c r="SZ163" s="17"/>
      <c r="TA163" s="17"/>
      <c r="TB163" s="17"/>
      <c r="TC163" s="17"/>
      <c r="TD163" s="17"/>
      <c r="TE163" s="17"/>
      <c r="TF163" s="17"/>
      <c r="TG163" s="17"/>
      <c r="TH163" s="17"/>
      <c r="TI163" s="17"/>
      <c r="TJ163" s="17"/>
      <c r="TK163" s="17"/>
      <c r="TL163" s="17"/>
      <c r="TM163" s="17"/>
      <c r="TN163" s="17"/>
      <c r="TO163" s="17"/>
      <c r="TP163" s="17"/>
      <c r="TQ163" s="17"/>
      <c r="TR163" s="17"/>
      <c r="TS163" s="17"/>
      <c r="TT163" s="17"/>
      <c r="TU163" s="17"/>
      <c r="TV163" s="17"/>
      <c r="TW163" s="17"/>
      <c r="TX163" s="17"/>
      <c r="TY163" s="17"/>
      <c r="TZ163" s="17"/>
      <c r="UA163" s="17"/>
      <c r="UB163" s="17"/>
      <c r="UC163" s="17"/>
      <c r="UD163" s="17"/>
      <c r="UE163" s="17"/>
      <c r="UF163" s="17"/>
      <c r="UG163" s="17"/>
      <c r="UH163" s="17"/>
      <c r="UI163" s="17"/>
      <c r="UJ163" s="17"/>
      <c r="UK163" s="17"/>
      <c r="UL163" s="17"/>
      <c r="UM163" s="17"/>
      <c r="UN163" s="17"/>
      <c r="UO163" s="17"/>
      <c r="UP163" s="17"/>
      <c r="UQ163" s="17"/>
      <c r="UR163" s="17"/>
      <c r="US163" s="17"/>
      <c r="UT163" s="17"/>
      <c r="UU163" s="17"/>
      <c r="UV163" s="17"/>
      <c r="UW163" s="17"/>
      <c r="UX163" s="17"/>
      <c r="UY163" s="17"/>
      <c r="UZ163" s="17"/>
      <c r="VA163" s="17"/>
      <c r="VB163" s="17"/>
      <c r="VC163" s="17"/>
      <c r="VD163" s="17"/>
      <c r="VE163" s="17"/>
      <c r="VF163" s="17"/>
      <c r="VG163" s="17"/>
      <c r="VH163" s="17"/>
      <c r="VI163" s="17"/>
      <c r="VJ163" s="17"/>
      <c r="VK163" s="17"/>
      <c r="VL163" s="17"/>
      <c r="VM163" s="17"/>
      <c r="VN163" s="17"/>
      <c r="VO163" s="17"/>
      <c r="VP163" s="17"/>
      <c r="VQ163" s="17"/>
      <c r="VR163" s="17"/>
      <c r="VS163" s="17"/>
      <c r="VT163" s="17"/>
      <c r="VU163" s="17"/>
      <c r="VV163" s="17"/>
      <c r="VW163" s="17"/>
      <c r="VX163" s="17"/>
      <c r="VY163" s="17"/>
      <c r="VZ163" s="17"/>
      <c r="WA163" s="17"/>
      <c r="WB163" s="17"/>
      <c r="WC163" s="17"/>
      <c r="WD163" s="17"/>
      <c r="WE163" s="17"/>
      <c r="WF163" s="17"/>
      <c r="WG163" s="17"/>
      <c r="WH163" s="17"/>
      <c r="WI163" s="17"/>
      <c r="WJ163" s="17"/>
      <c r="WK163" s="17"/>
      <c r="WL163" s="17"/>
      <c r="WM163" s="17"/>
      <c r="WN163" s="17"/>
      <c r="WO163" s="17"/>
      <c r="WP163" s="17"/>
      <c r="WQ163" s="17"/>
      <c r="WR163" s="17"/>
      <c r="WS163" s="17"/>
      <c r="WT163" s="17"/>
      <c r="WU163" s="17"/>
      <c r="WV163" s="17"/>
      <c r="WW163" s="17"/>
      <c r="WX163" s="17"/>
      <c r="WY163" s="17"/>
      <c r="WZ163" s="17"/>
      <c r="XA163" s="17"/>
      <c r="XB163" s="17"/>
      <c r="XC163" s="17"/>
      <c r="XD163" s="17"/>
      <c r="XE163" s="17"/>
      <c r="XF163" s="17"/>
      <c r="XG163" s="17"/>
      <c r="XH163" s="17"/>
      <c r="XI163" s="17"/>
      <c r="XJ163" s="17"/>
      <c r="XK163" s="17"/>
      <c r="XL163" s="17"/>
      <c r="XM163" s="17"/>
      <c r="XN163" s="17"/>
      <c r="XO163" s="17"/>
      <c r="XP163" s="17"/>
      <c r="XQ163" s="17"/>
      <c r="XR163" s="17"/>
      <c r="XS163" s="17"/>
      <c r="XT163" s="17"/>
      <c r="XU163" s="17"/>
      <c r="XV163" s="17"/>
      <c r="XW163" s="17"/>
      <c r="XX163" s="17"/>
      <c r="XY163" s="17"/>
      <c r="XZ163" s="17"/>
      <c r="YA163" s="17"/>
      <c r="YB163" s="17"/>
      <c r="YC163" s="17"/>
      <c r="YD163" s="17"/>
      <c r="YE163" s="17"/>
      <c r="YF163" s="17"/>
      <c r="YG163" s="17"/>
      <c r="YH163" s="17"/>
      <c r="YI163" s="17"/>
      <c r="YJ163" s="17"/>
      <c r="YK163" s="17"/>
      <c r="YL163" s="17"/>
      <c r="YM163" s="17"/>
      <c r="YN163" s="17"/>
      <c r="YO163" s="17"/>
      <c r="YP163" s="17"/>
      <c r="YQ163" s="17"/>
      <c r="YR163" s="17"/>
      <c r="YS163" s="17"/>
    </row>
    <row r="164" spans="266:669" x14ac:dyDescent="0.25">
      <c r="JF164" s="17"/>
      <c r="JG164" s="17"/>
      <c r="JH164" s="17"/>
      <c r="JI164" s="17"/>
      <c r="JJ164" s="17"/>
      <c r="JK164" s="17"/>
      <c r="JL164" s="17"/>
      <c r="JM164" s="17"/>
      <c r="JN164" s="17"/>
      <c r="JO164" s="17"/>
      <c r="JP164" s="17"/>
      <c r="JQ164" s="17"/>
      <c r="JR164" s="17"/>
      <c r="JS164" s="17"/>
      <c r="JT164" s="17"/>
      <c r="JU164" s="17"/>
      <c r="JV164" s="17"/>
      <c r="JW164" s="17"/>
      <c r="JX164" s="17"/>
      <c r="JY164" s="17"/>
      <c r="JZ164" s="17"/>
      <c r="KA164" s="17"/>
      <c r="KB164" s="17"/>
      <c r="KC164" s="17"/>
      <c r="KD164" s="17"/>
      <c r="KE164" s="17"/>
      <c r="KF164" s="17"/>
      <c r="KG164" s="17"/>
      <c r="KH164" s="17"/>
      <c r="KI164" s="17"/>
      <c r="KJ164" s="17"/>
      <c r="KK164" s="17"/>
      <c r="KL164" s="17"/>
      <c r="KM164" s="17"/>
      <c r="KN164" s="17"/>
      <c r="KO164" s="17"/>
      <c r="KP164" s="17"/>
      <c r="KQ164" s="17"/>
      <c r="KR164" s="17"/>
      <c r="KS164" s="17"/>
      <c r="KT164" s="17"/>
      <c r="KU164" s="17"/>
      <c r="KV164" s="17"/>
      <c r="KW164" s="17"/>
      <c r="KX164" s="17"/>
      <c r="KY164" s="17"/>
      <c r="KZ164" s="17"/>
      <c r="LA164" s="17"/>
      <c r="LB164" s="17"/>
      <c r="LC164" s="17"/>
      <c r="LD164" s="17"/>
      <c r="LE164" s="17"/>
      <c r="LF164" s="17"/>
      <c r="LG164" s="17"/>
      <c r="LH164" s="17"/>
      <c r="LI164" s="17"/>
      <c r="LJ164" s="17"/>
      <c r="LK164" s="17"/>
      <c r="LL164" s="17"/>
      <c r="LM164" s="17"/>
      <c r="LN164" s="17"/>
      <c r="LO164" s="17"/>
      <c r="LP164" s="17"/>
      <c r="LQ164" s="17"/>
      <c r="LR164" s="17"/>
      <c r="LS164" s="17"/>
      <c r="LT164" s="17"/>
      <c r="LU164" s="17"/>
      <c r="LV164" s="17"/>
      <c r="LW164" s="17"/>
      <c r="LX164" s="17"/>
      <c r="LY164" s="17"/>
      <c r="LZ164" s="17"/>
      <c r="MA164" s="17"/>
      <c r="MB164" s="17"/>
      <c r="MC164" s="17"/>
      <c r="MD164" s="17"/>
      <c r="ME164" s="17"/>
      <c r="MF164" s="17"/>
      <c r="MG164" s="17"/>
      <c r="MH164" s="17"/>
      <c r="MI164" s="17"/>
      <c r="MJ164" s="17"/>
      <c r="MK164" s="17"/>
      <c r="ML164" s="17"/>
      <c r="MM164" s="17"/>
      <c r="MN164" s="17"/>
      <c r="MO164" s="17"/>
      <c r="MP164" s="17"/>
      <c r="MQ164" s="17"/>
      <c r="MR164" s="17"/>
      <c r="MS164" s="17"/>
      <c r="MT164" s="17"/>
      <c r="MU164" s="17"/>
      <c r="MV164" s="17"/>
      <c r="MW164" s="17"/>
      <c r="MX164" s="17"/>
      <c r="MY164" s="17"/>
      <c r="MZ164" s="17"/>
      <c r="NA164" s="17"/>
      <c r="NB164" s="17"/>
      <c r="NC164" s="17"/>
      <c r="ND164" s="17"/>
      <c r="NE164" s="17"/>
      <c r="NF164" s="17"/>
      <c r="NG164" s="17"/>
      <c r="NH164" s="17"/>
      <c r="NI164" s="17"/>
      <c r="NJ164" s="17"/>
      <c r="NK164" s="17"/>
      <c r="NL164" s="17"/>
      <c r="NM164" s="17"/>
      <c r="NN164" s="17"/>
      <c r="NO164" s="17"/>
      <c r="NP164" s="17"/>
      <c r="NQ164" s="17"/>
      <c r="NR164" s="17"/>
      <c r="NS164" s="17"/>
      <c r="NT164" s="17"/>
      <c r="NU164" s="17"/>
      <c r="NV164" s="17"/>
      <c r="NW164" s="17"/>
      <c r="NX164" s="17"/>
      <c r="NY164" s="17"/>
      <c r="NZ164" s="17"/>
      <c r="OA164" s="17"/>
      <c r="OB164" s="17"/>
      <c r="OC164" s="17"/>
      <c r="OD164" s="17"/>
      <c r="OE164" s="17"/>
      <c r="OF164" s="17"/>
      <c r="OG164" s="17"/>
      <c r="OH164" s="17"/>
      <c r="OI164" s="17"/>
      <c r="OJ164" s="17"/>
      <c r="OK164" s="17"/>
      <c r="OL164" s="17"/>
      <c r="OM164" s="17"/>
      <c r="ON164" s="17"/>
      <c r="OO164" s="17"/>
      <c r="OP164" s="17"/>
      <c r="OQ164" s="17"/>
      <c r="OR164" s="17"/>
      <c r="OS164" s="17"/>
      <c r="OT164" s="17"/>
      <c r="OU164" s="17"/>
      <c r="OV164" s="17"/>
      <c r="OW164" s="17"/>
      <c r="OX164" s="17"/>
      <c r="OY164" s="17"/>
      <c r="OZ164" s="17"/>
      <c r="PA164" s="17"/>
      <c r="PB164" s="17"/>
      <c r="PC164" s="17"/>
      <c r="PD164" s="17"/>
      <c r="PE164" s="17"/>
      <c r="PF164" s="17"/>
      <c r="PG164" s="17"/>
      <c r="PH164" s="17"/>
      <c r="PI164" s="17"/>
      <c r="PJ164" s="17"/>
      <c r="PK164" s="17"/>
      <c r="PL164" s="17"/>
      <c r="PM164" s="17"/>
      <c r="PN164" s="17"/>
      <c r="PO164" s="17"/>
      <c r="PP164" s="17"/>
      <c r="PQ164" s="17"/>
      <c r="PR164" s="17"/>
      <c r="PS164" s="17"/>
      <c r="PT164" s="17"/>
      <c r="PU164" s="17"/>
      <c r="PV164" s="17"/>
      <c r="PW164" s="17"/>
      <c r="PX164" s="17"/>
      <c r="PY164" s="17"/>
      <c r="PZ164" s="17"/>
      <c r="QA164" s="17"/>
      <c r="QB164" s="17"/>
      <c r="QC164" s="17"/>
      <c r="QD164" s="17"/>
      <c r="QE164" s="17"/>
      <c r="QF164" s="17"/>
      <c r="QG164" s="17"/>
      <c r="QH164" s="17"/>
      <c r="QI164" s="17"/>
      <c r="QJ164" s="17"/>
      <c r="QK164" s="17"/>
      <c r="QL164" s="17"/>
      <c r="QM164" s="17"/>
      <c r="QN164" s="17"/>
      <c r="QO164" s="17"/>
      <c r="QP164" s="17"/>
      <c r="QQ164" s="17"/>
      <c r="QR164" s="17"/>
      <c r="QS164" s="17"/>
      <c r="QT164" s="17"/>
      <c r="QU164" s="17"/>
      <c r="QV164" s="17"/>
      <c r="QW164" s="17"/>
      <c r="QX164" s="17"/>
      <c r="QY164" s="17"/>
      <c r="QZ164" s="17"/>
      <c r="RA164" s="17"/>
      <c r="RB164" s="17"/>
      <c r="RC164" s="17"/>
      <c r="RD164" s="17"/>
      <c r="RE164" s="17"/>
      <c r="RF164" s="17"/>
      <c r="RG164" s="17"/>
      <c r="RH164" s="17"/>
      <c r="RI164" s="17"/>
      <c r="RJ164" s="17"/>
      <c r="RK164" s="17"/>
      <c r="RL164" s="17"/>
      <c r="RM164" s="17"/>
      <c r="RN164" s="17"/>
      <c r="RO164" s="17"/>
      <c r="RP164" s="17"/>
      <c r="RQ164" s="17"/>
      <c r="RR164" s="17"/>
      <c r="RS164" s="17"/>
      <c r="RT164" s="17"/>
      <c r="RU164" s="17"/>
      <c r="RV164" s="17"/>
      <c r="RW164" s="17"/>
      <c r="RX164" s="17"/>
      <c r="RY164" s="17"/>
      <c r="RZ164" s="17"/>
      <c r="SA164" s="17"/>
      <c r="SB164" s="17"/>
      <c r="SC164" s="17"/>
      <c r="SD164" s="17"/>
      <c r="SE164" s="17"/>
      <c r="SF164" s="17"/>
      <c r="SG164" s="17"/>
      <c r="SH164" s="17"/>
      <c r="SI164" s="17"/>
      <c r="SJ164" s="17"/>
      <c r="SK164" s="17"/>
      <c r="SL164" s="17"/>
      <c r="SM164" s="17"/>
      <c r="SN164" s="17"/>
      <c r="SO164" s="17"/>
      <c r="SP164" s="17"/>
      <c r="SQ164" s="17"/>
      <c r="SR164" s="17"/>
      <c r="SS164" s="17"/>
      <c r="ST164" s="17"/>
      <c r="SU164" s="17"/>
      <c r="SV164" s="17"/>
      <c r="SW164" s="17"/>
      <c r="SX164" s="17"/>
      <c r="SY164" s="17"/>
      <c r="SZ164" s="17"/>
      <c r="TA164" s="17"/>
      <c r="TB164" s="17"/>
      <c r="TC164" s="17"/>
      <c r="TD164" s="17"/>
      <c r="TE164" s="17"/>
      <c r="TF164" s="17"/>
      <c r="TG164" s="17"/>
      <c r="TH164" s="17"/>
      <c r="TI164" s="17"/>
      <c r="TJ164" s="17"/>
      <c r="TK164" s="17"/>
      <c r="TL164" s="17"/>
      <c r="TM164" s="17"/>
      <c r="TN164" s="17"/>
      <c r="TO164" s="17"/>
      <c r="TP164" s="17"/>
      <c r="TQ164" s="17"/>
      <c r="TR164" s="17"/>
      <c r="TS164" s="17"/>
      <c r="TT164" s="17"/>
      <c r="TU164" s="17"/>
      <c r="TV164" s="17"/>
      <c r="TW164" s="17"/>
      <c r="TX164" s="17"/>
      <c r="TY164" s="17"/>
      <c r="TZ164" s="17"/>
      <c r="UA164" s="17"/>
      <c r="UB164" s="17"/>
      <c r="UC164" s="17"/>
      <c r="UD164" s="17"/>
      <c r="UE164" s="17"/>
      <c r="UF164" s="17"/>
      <c r="UG164" s="17"/>
      <c r="UH164" s="17"/>
      <c r="UI164" s="17"/>
      <c r="UJ164" s="17"/>
      <c r="UK164" s="17"/>
      <c r="UL164" s="17"/>
      <c r="UM164" s="17"/>
      <c r="UN164" s="17"/>
      <c r="UO164" s="17"/>
      <c r="UP164" s="17"/>
      <c r="UQ164" s="17"/>
      <c r="UR164" s="17"/>
      <c r="US164" s="17"/>
      <c r="UT164" s="17"/>
      <c r="UU164" s="17"/>
      <c r="UV164" s="17"/>
      <c r="UW164" s="17"/>
      <c r="UX164" s="17"/>
      <c r="UY164" s="17"/>
      <c r="UZ164" s="17"/>
      <c r="VA164" s="17"/>
      <c r="VB164" s="17"/>
      <c r="VC164" s="17"/>
      <c r="VD164" s="17"/>
      <c r="VE164" s="17"/>
      <c r="VF164" s="17"/>
      <c r="VG164" s="17"/>
      <c r="VH164" s="17"/>
      <c r="VI164" s="17"/>
      <c r="VJ164" s="17"/>
      <c r="VK164" s="17"/>
      <c r="VL164" s="17"/>
      <c r="VM164" s="17"/>
      <c r="VN164" s="17"/>
      <c r="VO164" s="17"/>
      <c r="VP164" s="17"/>
      <c r="VQ164" s="17"/>
      <c r="VR164" s="17"/>
      <c r="VS164" s="17"/>
      <c r="VT164" s="17"/>
      <c r="VU164" s="17"/>
      <c r="VV164" s="17"/>
      <c r="VW164" s="17"/>
      <c r="VX164" s="17"/>
      <c r="VY164" s="17"/>
      <c r="VZ164" s="17"/>
      <c r="WA164" s="17"/>
      <c r="WB164" s="17"/>
      <c r="WC164" s="17"/>
      <c r="WD164" s="17"/>
      <c r="WE164" s="17"/>
      <c r="WF164" s="17"/>
      <c r="WG164" s="17"/>
      <c r="WH164" s="17"/>
      <c r="WI164" s="17"/>
      <c r="WJ164" s="17"/>
      <c r="WK164" s="17"/>
      <c r="WL164" s="17"/>
      <c r="WM164" s="17"/>
      <c r="WN164" s="17"/>
      <c r="WO164" s="17"/>
      <c r="WP164" s="17"/>
      <c r="WQ164" s="17"/>
      <c r="WR164" s="17"/>
      <c r="WS164" s="17"/>
      <c r="WT164" s="17"/>
      <c r="WU164" s="17"/>
      <c r="WV164" s="17"/>
      <c r="WW164" s="17"/>
      <c r="WX164" s="17"/>
      <c r="WY164" s="17"/>
      <c r="WZ164" s="17"/>
      <c r="XA164" s="17"/>
      <c r="XB164" s="17"/>
      <c r="XC164" s="17"/>
      <c r="XD164" s="17"/>
      <c r="XE164" s="17"/>
      <c r="XF164" s="17"/>
      <c r="XG164" s="17"/>
      <c r="XH164" s="17"/>
      <c r="XI164" s="17"/>
      <c r="XJ164" s="17"/>
      <c r="XK164" s="17"/>
      <c r="XL164" s="17"/>
      <c r="XM164" s="17"/>
      <c r="XN164" s="17"/>
      <c r="XO164" s="17"/>
      <c r="XP164" s="17"/>
      <c r="XQ164" s="17"/>
      <c r="XR164" s="17"/>
      <c r="XS164" s="17"/>
      <c r="XT164" s="17"/>
      <c r="XU164" s="17"/>
      <c r="XV164" s="17"/>
      <c r="XW164" s="17"/>
      <c r="XX164" s="17"/>
      <c r="XY164" s="17"/>
      <c r="XZ164" s="17"/>
      <c r="YA164" s="17"/>
      <c r="YB164" s="17"/>
      <c r="YC164" s="17"/>
      <c r="YD164" s="17"/>
      <c r="YE164" s="17"/>
      <c r="YF164" s="17"/>
      <c r="YG164" s="17"/>
      <c r="YH164" s="17"/>
      <c r="YI164" s="17"/>
      <c r="YJ164" s="17"/>
      <c r="YK164" s="17"/>
      <c r="YL164" s="17"/>
      <c r="YM164" s="17"/>
      <c r="YN164" s="17"/>
      <c r="YO164" s="17"/>
      <c r="YP164" s="17"/>
      <c r="YQ164" s="17"/>
      <c r="YR164" s="17"/>
      <c r="YS164" s="17"/>
    </row>
    <row r="165" spans="266:669" x14ac:dyDescent="0.25">
      <c r="JF165" s="17"/>
      <c r="JG165" s="17"/>
      <c r="JH165" s="17"/>
      <c r="JI165" s="17"/>
      <c r="JJ165" s="17"/>
      <c r="JK165" s="17"/>
      <c r="JL165" s="17"/>
      <c r="JM165" s="17"/>
      <c r="JN165" s="17"/>
      <c r="JO165" s="17"/>
      <c r="JP165" s="17"/>
      <c r="JQ165" s="17"/>
      <c r="JR165" s="17"/>
      <c r="JS165" s="17"/>
      <c r="JT165" s="17"/>
      <c r="JU165" s="17"/>
      <c r="JV165" s="17"/>
      <c r="JW165" s="17"/>
      <c r="JX165" s="17"/>
      <c r="JY165" s="17"/>
      <c r="JZ165" s="17"/>
      <c r="KA165" s="17"/>
      <c r="KB165" s="17"/>
      <c r="KC165" s="17"/>
      <c r="KD165" s="17"/>
      <c r="KE165" s="17"/>
      <c r="KF165" s="17"/>
      <c r="KG165" s="17"/>
      <c r="KH165" s="17"/>
      <c r="KI165" s="17"/>
      <c r="KJ165" s="17"/>
      <c r="KK165" s="17"/>
      <c r="KL165" s="17"/>
      <c r="KM165" s="17"/>
      <c r="KN165" s="17"/>
      <c r="KO165" s="17"/>
      <c r="KP165" s="17"/>
      <c r="KQ165" s="17"/>
      <c r="KR165" s="17"/>
      <c r="KS165" s="17"/>
      <c r="KT165" s="17"/>
      <c r="KU165" s="17"/>
      <c r="KV165" s="17"/>
      <c r="KW165" s="17"/>
      <c r="KX165" s="17"/>
      <c r="KY165" s="17"/>
      <c r="KZ165" s="17"/>
      <c r="LA165" s="17"/>
      <c r="LB165" s="17"/>
      <c r="LC165" s="17"/>
      <c r="LD165" s="17"/>
      <c r="LE165" s="17"/>
      <c r="LF165" s="17"/>
      <c r="LG165" s="17"/>
      <c r="LH165" s="17"/>
      <c r="LI165" s="17"/>
      <c r="LJ165" s="17"/>
      <c r="LK165" s="17"/>
      <c r="LL165" s="17"/>
      <c r="LM165" s="17"/>
      <c r="LN165" s="17"/>
      <c r="LO165" s="17"/>
      <c r="LP165" s="17"/>
      <c r="LQ165" s="17"/>
      <c r="LR165" s="17"/>
      <c r="LS165" s="17"/>
      <c r="LT165" s="17"/>
      <c r="LU165" s="17"/>
      <c r="LV165" s="17"/>
      <c r="LW165" s="17"/>
      <c r="LX165" s="17"/>
      <c r="LY165" s="17"/>
      <c r="LZ165" s="17"/>
      <c r="MA165" s="17"/>
      <c r="MB165" s="17"/>
      <c r="MC165" s="17"/>
      <c r="MD165" s="17"/>
      <c r="ME165" s="17"/>
      <c r="MF165" s="17"/>
      <c r="MG165" s="17"/>
      <c r="MH165" s="17"/>
      <c r="MI165" s="17"/>
      <c r="MJ165" s="17"/>
      <c r="MK165" s="17"/>
      <c r="ML165" s="17"/>
      <c r="MM165" s="17"/>
      <c r="MN165" s="17"/>
      <c r="MO165" s="17"/>
      <c r="MP165" s="17"/>
      <c r="MQ165" s="17"/>
      <c r="MR165" s="17"/>
      <c r="MS165" s="17"/>
      <c r="MT165" s="17"/>
      <c r="MU165" s="17"/>
      <c r="MV165" s="17"/>
      <c r="MW165" s="17"/>
      <c r="MX165" s="17"/>
      <c r="MY165" s="17"/>
      <c r="MZ165" s="17"/>
      <c r="NA165" s="17"/>
      <c r="NB165" s="17"/>
      <c r="NC165" s="17"/>
      <c r="ND165" s="17"/>
      <c r="NE165" s="17"/>
      <c r="NF165" s="17"/>
      <c r="NG165" s="17"/>
      <c r="NH165" s="17"/>
      <c r="NI165" s="17"/>
      <c r="NJ165" s="17"/>
      <c r="NK165" s="17"/>
      <c r="NL165" s="17"/>
      <c r="NM165" s="17"/>
      <c r="NN165" s="17"/>
      <c r="NO165" s="17"/>
      <c r="NP165" s="17"/>
      <c r="NQ165" s="17"/>
      <c r="NR165" s="17"/>
      <c r="NS165" s="17"/>
      <c r="NT165" s="17"/>
      <c r="NU165" s="17"/>
      <c r="NV165" s="17"/>
      <c r="NW165" s="17"/>
      <c r="NX165" s="17"/>
      <c r="NY165" s="17"/>
      <c r="NZ165" s="17"/>
      <c r="OA165" s="17"/>
      <c r="OB165" s="17"/>
      <c r="OC165" s="17"/>
      <c r="OD165" s="17"/>
      <c r="OE165" s="17"/>
      <c r="OF165" s="17"/>
      <c r="OG165" s="17"/>
      <c r="OH165" s="17"/>
      <c r="OI165" s="17"/>
      <c r="OJ165" s="17"/>
      <c r="OK165" s="17"/>
      <c r="OL165" s="17"/>
      <c r="OM165" s="17"/>
      <c r="ON165" s="17"/>
      <c r="OO165" s="17"/>
      <c r="OP165" s="17"/>
      <c r="OQ165" s="17"/>
      <c r="OR165" s="17"/>
      <c r="OS165" s="17"/>
      <c r="OT165" s="17"/>
      <c r="OU165" s="17"/>
      <c r="OV165" s="17"/>
      <c r="OW165" s="17"/>
      <c r="OX165" s="17"/>
      <c r="OY165" s="17"/>
      <c r="OZ165" s="17"/>
      <c r="PA165" s="17"/>
      <c r="PB165" s="17"/>
      <c r="PC165" s="17"/>
      <c r="PD165" s="17"/>
      <c r="PE165" s="17"/>
      <c r="PF165" s="17"/>
      <c r="PG165" s="17"/>
      <c r="PH165" s="17"/>
      <c r="PI165" s="17"/>
      <c r="PJ165" s="17"/>
      <c r="PK165" s="17"/>
      <c r="PL165" s="17"/>
      <c r="PM165" s="17"/>
      <c r="PN165" s="17"/>
      <c r="PO165" s="17"/>
      <c r="PP165" s="17"/>
      <c r="PQ165" s="17"/>
      <c r="PR165" s="17"/>
      <c r="PS165" s="17"/>
      <c r="PT165" s="17"/>
      <c r="PU165" s="17"/>
      <c r="PV165" s="17"/>
      <c r="PW165" s="17"/>
      <c r="PX165" s="17"/>
      <c r="PY165" s="17"/>
      <c r="PZ165" s="17"/>
      <c r="QA165" s="17"/>
      <c r="QB165" s="17"/>
      <c r="QC165" s="17"/>
      <c r="QD165" s="17"/>
      <c r="QE165" s="17"/>
      <c r="QF165" s="17"/>
      <c r="QG165" s="17"/>
      <c r="QH165" s="17"/>
      <c r="QI165" s="17"/>
      <c r="QJ165" s="17"/>
      <c r="QK165" s="17"/>
      <c r="QL165" s="17"/>
      <c r="QM165" s="17"/>
      <c r="QN165" s="17"/>
      <c r="QO165" s="17"/>
      <c r="QP165" s="17"/>
      <c r="QQ165" s="17"/>
      <c r="QR165" s="17"/>
      <c r="QS165" s="17"/>
      <c r="QT165" s="17"/>
      <c r="QU165" s="17"/>
      <c r="QV165" s="17"/>
      <c r="QW165" s="17"/>
      <c r="QX165" s="17"/>
      <c r="QY165" s="17"/>
      <c r="QZ165" s="17"/>
      <c r="RA165" s="17"/>
      <c r="RB165" s="17"/>
      <c r="RC165" s="17"/>
      <c r="RD165" s="17"/>
      <c r="RE165" s="17"/>
      <c r="RF165" s="17"/>
      <c r="RG165" s="17"/>
      <c r="RH165" s="17"/>
      <c r="RI165" s="17"/>
      <c r="RJ165" s="17"/>
      <c r="RK165" s="17"/>
      <c r="RL165" s="17"/>
      <c r="RM165" s="17"/>
      <c r="RN165" s="17"/>
      <c r="RO165" s="17"/>
      <c r="RP165" s="17"/>
      <c r="RQ165" s="17"/>
      <c r="RR165" s="17"/>
      <c r="RS165" s="17"/>
      <c r="RT165" s="17"/>
      <c r="RU165" s="17"/>
      <c r="RV165" s="17"/>
      <c r="RW165" s="17"/>
      <c r="RX165" s="17"/>
      <c r="RY165" s="17"/>
      <c r="RZ165" s="17"/>
      <c r="SA165" s="17"/>
      <c r="SB165" s="17"/>
      <c r="SC165" s="17"/>
      <c r="SD165" s="17"/>
      <c r="SE165" s="17"/>
      <c r="SF165" s="17"/>
      <c r="SG165" s="17"/>
      <c r="SH165" s="17"/>
      <c r="SI165" s="17"/>
      <c r="SJ165" s="17"/>
      <c r="SK165" s="17"/>
      <c r="SL165" s="17"/>
      <c r="SM165" s="17"/>
      <c r="SN165" s="17"/>
      <c r="SO165" s="17"/>
      <c r="SP165" s="17"/>
      <c r="SQ165" s="17"/>
      <c r="SR165" s="17"/>
      <c r="SS165" s="17"/>
      <c r="ST165" s="17"/>
      <c r="SU165" s="17"/>
      <c r="SV165" s="17"/>
      <c r="SW165" s="17"/>
      <c r="SX165" s="17"/>
      <c r="SY165" s="17"/>
      <c r="SZ165" s="17"/>
      <c r="TA165" s="17"/>
      <c r="TB165" s="17"/>
      <c r="TC165" s="17"/>
      <c r="TD165" s="17"/>
      <c r="TE165" s="17"/>
      <c r="TF165" s="17"/>
      <c r="TG165" s="17"/>
      <c r="TH165" s="17"/>
      <c r="TI165" s="17"/>
      <c r="TJ165" s="17"/>
      <c r="TK165" s="17"/>
      <c r="TL165" s="17"/>
      <c r="TM165" s="17"/>
      <c r="TN165" s="17"/>
      <c r="TO165" s="17"/>
      <c r="TP165" s="17"/>
      <c r="TQ165" s="17"/>
      <c r="TR165" s="17"/>
      <c r="TS165" s="17"/>
      <c r="TT165" s="17"/>
      <c r="TU165" s="17"/>
      <c r="TV165" s="17"/>
      <c r="TW165" s="17"/>
      <c r="TX165" s="17"/>
      <c r="TY165" s="17"/>
      <c r="TZ165" s="17"/>
      <c r="UA165" s="17"/>
      <c r="UB165" s="17"/>
      <c r="UC165" s="17"/>
      <c r="UD165" s="17"/>
      <c r="UE165" s="17"/>
      <c r="UF165" s="17"/>
      <c r="UG165" s="17"/>
      <c r="UH165" s="17"/>
      <c r="UI165" s="17"/>
      <c r="UJ165" s="17"/>
      <c r="UK165" s="17"/>
      <c r="UL165" s="17"/>
      <c r="UM165" s="17"/>
      <c r="UN165" s="17"/>
      <c r="UO165" s="17"/>
      <c r="UP165" s="17"/>
      <c r="UQ165" s="17"/>
      <c r="UR165" s="17"/>
      <c r="US165" s="17"/>
      <c r="UT165" s="17"/>
      <c r="UU165" s="17"/>
      <c r="UV165" s="17"/>
      <c r="UW165" s="17"/>
      <c r="UX165" s="17"/>
      <c r="UY165" s="17"/>
      <c r="UZ165" s="17"/>
      <c r="VA165" s="17"/>
      <c r="VB165" s="17"/>
      <c r="VC165" s="17"/>
      <c r="VD165" s="17"/>
      <c r="VE165" s="17"/>
      <c r="VF165" s="17"/>
      <c r="VG165" s="17"/>
      <c r="VH165" s="17"/>
      <c r="VI165" s="17"/>
      <c r="VJ165" s="17"/>
      <c r="VK165" s="17"/>
      <c r="VL165" s="17"/>
      <c r="VM165" s="17"/>
      <c r="VN165" s="17"/>
      <c r="VO165" s="17"/>
      <c r="VP165" s="17"/>
      <c r="VQ165" s="17"/>
      <c r="VR165" s="17"/>
      <c r="VS165" s="17"/>
      <c r="VT165" s="17"/>
      <c r="VU165" s="17"/>
      <c r="VV165" s="17"/>
      <c r="VW165" s="17"/>
      <c r="VX165" s="17"/>
      <c r="VY165" s="17"/>
      <c r="VZ165" s="17"/>
      <c r="WA165" s="17"/>
      <c r="WB165" s="17"/>
      <c r="WC165" s="17"/>
      <c r="WD165" s="17"/>
      <c r="WE165" s="17"/>
      <c r="WF165" s="17"/>
      <c r="WG165" s="17"/>
      <c r="WH165" s="17"/>
      <c r="WI165" s="17"/>
      <c r="WJ165" s="17"/>
      <c r="WK165" s="17"/>
      <c r="WL165" s="17"/>
      <c r="WM165" s="17"/>
      <c r="WN165" s="17"/>
      <c r="WO165" s="17"/>
      <c r="WP165" s="17"/>
      <c r="WQ165" s="17"/>
      <c r="WR165" s="17"/>
      <c r="WS165" s="17"/>
      <c r="WT165" s="17"/>
      <c r="WU165" s="17"/>
      <c r="WV165" s="17"/>
      <c r="WW165" s="17"/>
      <c r="WX165" s="17"/>
      <c r="WY165" s="17"/>
      <c r="WZ165" s="17"/>
      <c r="XA165" s="17"/>
      <c r="XB165" s="17"/>
      <c r="XC165" s="17"/>
      <c r="XD165" s="17"/>
      <c r="XE165" s="17"/>
      <c r="XF165" s="17"/>
      <c r="XG165" s="17"/>
      <c r="XH165" s="17"/>
      <c r="XI165" s="17"/>
      <c r="XJ165" s="17"/>
      <c r="XK165" s="17"/>
      <c r="XL165" s="17"/>
      <c r="XM165" s="17"/>
      <c r="XN165" s="17"/>
      <c r="XO165" s="17"/>
      <c r="XP165" s="17"/>
      <c r="XQ165" s="17"/>
      <c r="XR165" s="17"/>
      <c r="XS165" s="17"/>
      <c r="XT165" s="17"/>
      <c r="XU165" s="17"/>
      <c r="XV165" s="17"/>
      <c r="XW165" s="17"/>
      <c r="XX165" s="17"/>
      <c r="XY165" s="17"/>
      <c r="XZ165" s="17"/>
      <c r="YA165" s="17"/>
      <c r="YB165" s="17"/>
      <c r="YC165" s="17"/>
      <c r="YD165" s="17"/>
      <c r="YE165" s="17"/>
      <c r="YF165" s="17"/>
      <c r="YG165" s="17"/>
      <c r="YH165" s="17"/>
      <c r="YI165" s="17"/>
      <c r="YJ165" s="17"/>
      <c r="YK165" s="17"/>
      <c r="YL165" s="17"/>
      <c r="YM165" s="17"/>
      <c r="YN165" s="17"/>
      <c r="YO165" s="17"/>
      <c r="YP165" s="17"/>
      <c r="YQ165" s="17"/>
      <c r="YR165" s="17"/>
      <c r="YS165" s="17"/>
    </row>
    <row r="166" spans="266:669" x14ac:dyDescent="0.25">
      <c r="JF166" s="17"/>
      <c r="JG166" s="17"/>
      <c r="JH166" s="17"/>
      <c r="JI166" s="17"/>
      <c r="JJ166" s="17"/>
      <c r="JK166" s="17"/>
      <c r="JL166" s="17"/>
      <c r="JM166" s="17"/>
      <c r="JN166" s="17"/>
      <c r="JO166" s="17"/>
      <c r="JP166" s="17"/>
      <c r="JQ166" s="17"/>
      <c r="JR166" s="17"/>
      <c r="JS166" s="17"/>
      <c r="JT166" s="17"/>
      <c r="JU166" s="17"/>
      <c r="JV166" s="17"/>
      <c r="JW166" s="17"/>
      <c r="JX166" s="17"/>
      <c r="JY166" s="17"/>
      <c r="JZ166" s="17"/>
      <c r="KA166" s="17"/>
      <c r="KB166" s="17"/>
      <c r="KC166" s="17"/>
      <c r="KD166" s="17"/>
      <c r="KE166" s="17"/>
      <c r="KF166" s="17"/>
      <c r="KG166" s="17"/>
      <c r="KH166" s="17"/>
      <c r="KI166" s="17"/>
      <c r="KJ166" s="17"/>
      <c r="KK166" s="17"/>
      <c r="KL166" s="17"/>
      <c r="KM166" s="17"/>
      <c r="KN166" s="17"/>
      <c r="KO166" s="17"/>
      <c r="KP166" s="17"/>
      <c r="KQ166" s="17"/>
      <c r="KR166" s="17"/>
      <c r="KS166" s="17"/>
      <c r="KT166" s="17"/>
      <c r="KU166" s="17"/>
      <c r="KV166" s="17"/>
      <c r="KW166" s="17"/>
      <c r="KX166" s="17"/>
      <c r="KY166" s="17"/>
      <c r="KZ166" s="17"/>
      <c r="LA166" s="17"/>
      <c r="LB166" s="17"/>
      <c r="LC166" s="17"/>
      <c r="LD166" s="17"/>
      <c r="LE166" s="17"/>
      <c r="LF166" s="17"/>
      <c r="LG166" s="17"/>
      <c r="LH166" s="17"/>
      <c r="LI166" s="17"/>
      <c r="LJ166" s="17"/>
      <c r="LK166" s="17"/>
      <c r="LL166" s="17"/>
      <c r="LM166" s="17"/>
      <c r="LN166" s="17"/>
      <c r="LO166" s="17"/>
      <c r="LP166" s="17"/>
      <c r="LQ166" s="17"/>
      <c r="LR166" s="17"/>
      <c r="LS166" s="17"/>
      <c r="LT166" s="17"/>
      <c r="LU166" s="17"/>
      <c r="LV166" s="17"/>
      <c r="LW166" s="17"/>
      <c r="LX166" s="17"/>
      <c r="LY166" s="17"/>
      <c r="LZ166" s="17"/>
      <c r="MA166" s="17"/>
      <c r="MB166" s="17"/>
      <c r="MC166" s="17"/>
      <c r="MD166" s="17"/>
      <c r="ME166" s="17"/>
      <c r="MF166" s="17"/>
      <c r="MG166" s="17"/>
      <c r="MH166" s="17"/>
      <c r="MI166" s="17"/>
      <c r="MJ166" s="17"/>
      <c r="MK166" s="17"/>
      <c r="ML166" s="17"/>
      <c r="MM166" s="17"/>
      <c r="MN166" s="17"/>
      <c r="MO166" s="17"/>
      <c r="MP166" s="17"/>
      <c r="MQ166" s="17"/>
      <c r="MR166" s="17"/>
      <c r="MS166" s="17"/>
      <c r="MT166" s="17"/>
      <c r="MU166" s="17"/>
      <c r="MV166" s="17"/>
      <c r="MW166" s="17"/>
      <c r="MX166" s="17"/>
      <c r="MY166" s="17"/>
      <c r="MZ166" s="17"/>
      <c r="NA166" s="17"/>
      <c r="NB166" s="17"/>
      <c r="NC166" s="17"/>
      <c r="ND166" s="17"/>
      <c r="NE166" s="17"/>
      <c r="NF166" s="17"/>
      <c r="NG166" s="17"/>
      <c r="NH166" s="17"/>
      <c r="NI166" s="17"/>
      <c r="NJ166" s="17"/>
      <c r="NK166" s="17"/>
      <c r="NL166" s="17"/>
      <c r="NM166" s="17"/>
      <c r="NN166" s="17"/>
      <c r="NO166" s="17"/>
      <c r="NP166" s="17"/>
      <c r="NQ166" s="17"/>
      <c r="NR166" s="17"/>
      <c r="NS166" s="17"/>
      <c r="NT166" s="17"/>
      <c r="NU166" s="17"/>
      <c r="NV166" s="17"/>
      <c r="NW166" s="17"/>
      <c r="NX166" s="17"/>
      <c r="NY166" s="17"/>
      <c r="NZ166" s="17"/>
      <c r="OA166" s="17"/>
      <c r="OB166" s="17"/>
      <c r="OC166" s="17"/>
      <c r="OD166" s="17"/>
      <c r="OE166" s="17"/>
      <c r="OF166" s="17"/>
      <c r="OG166" s="17"/>
      <c r="OH166" s="17"/>
      <c r="OI166" s="17"/>
      <c r="OJ166" s="17"/>
      <c r="OK166" s="17"/>
      <c r="OL166" s="17"/>
      <c r="OM166" s="17"/>
      <c r="ON166" s="17"/>
      <c r="OO166" s="17"/>
      <c r="OP166" s="17"/>
      <c r="OQ166" s="17"/>
      <c r="OR166" s="17"/>
      <c r="OS166" s="17"/>
      <c r="OT166" s="17"/>
      <c r="OU166" s="17"/>
      <c r="OV166" s="17"/>
      <c r="OW166" s="17"/>
      <c r="OX166" s="17"/>
      <c r="OY166" s="17"/>
      <c r="OZ166" s="17"/>
      <c r="PA166" s="17"/>
      <c r="PB166" s="17"/>
      <c r="PC166" s="17"/>
      <c r="PD166" s="17"/>
      <c r="PE166" s="17"/>
      <c r="PF166" s="17"/>
      <c r="PG166" s="17"/>
      <c r="PH166" s="17"/>
      <c r="PI166" s="17"/>
      <c r="PJ166" s="17"/>
      <c r="PK166" s="17"/>
      <c r="PL166" s="17"/>
      <c r="PM166" s="17"/>
      <c r="PN166" s="17"/>
      <c r="PO166" s="17"/>
      <c r="PP166" s="17"/>
      <c r="PQ166" s="17"/>
      <c r="PR166" s="17"/>
      <c r="PS166" s="17"/>
      <c r="PT166" s="17"/>
      <c r="PU166" s="17"/>
      <c r="PV166" s="17"/>
      <c r="PW166" s="17"/>
      <c r="PX166" s="17"/>
      <c r="PY166" s="17"/>
      <c r="PZ166" s="17"/>
      <c r="QA166" s="17"/>
      <c r="QB166" s="17"/>
      <c r="QC166" s="17"/>
      <c r="QD166" s="17"/>
      <c r="QE166" s="17"/>
      <c r="QF166" s="17"/>
      <c r="QG166" s="17"/>
      <c r="QH166" s="17"/>
      <c r="QI166" s="17"/>
      <c r="QJ166" s="17"/>
      <c r="QK166" s="17"/>
      <c r="QL166" s="17"/>
      <c r="QM166" s="17"/>
      <c r="QN166" s="17"/>
      <c r="QO166" s="17"/>
      <c r="QP166" s="17"/>
      <c r="QQ166" s="17"/>
      <c r="QR166" s="17"/>
      <c r="QS166" s="17"/>
      <c r="QT166" s="17"/>
      <c r="QU166" s="17"/>
      <c r="QV166" s="17"/>
      <c r="QW166" s="17"/>
      <c r="QX166" s="17"/>
      <c r="QY166" s="17"/>
      <c r="QZ166" s="17"/>
      <c r="RA166" s="17"/>
      <c r="RB166" s="17"/>
      <c r="RC166" s="17"/>
      <c r="RD166" s="17"/>
      <c r="RE166" s="17"/>
      <c r="RF166" s="17"/>
      <c r="RG166" s="17"/>
      <c r="RH166" s="17"/>
      <c r="RI166" s="17"/>
      <c r="RJ166" s="17"/>
      <c r="RK166" s="17"/>
      <c r="RL166" s="17"/>
      <c r="RM166" s="17"/>
      <c r="RN166" s="17"/>
      <c r="RO166" s="17"/>
      <c r="RP166" s="17"/>
      <c r="RQ166" s="17"/>
      <c r="RR166" s="17"/>
      <c r="RS166" s="17"/>
      <c r="RT166" s="17"/>
      <c r="RU166" s="17"/>
      <c r="RV166" s="17"/>
      <c r="RW166" s="17"/>
      <c r="RX166" s="17"/>
      <c r="RY166" s="17"/>
      <c r="RZ166" s="17"/>
      <c r="SA166" s="17"/>
      <c r="SB166" s="17"/>
      <c r="SC166" s="17"/>
      <c r="SD166" s="17"/>
      <c r="SE166" s="17"/>
      <c r="SF166" s="17"/>
      <c r="SG166" s="17"/>
      <c r="SH166" s="17"/>
      <c r="SI166" s="17"/>
      <c r="SJ166" s="17"/>
      <c r="SK166" s="17"/>
      <c r="SL166" s="17"/>
      <c r="SM166" s="17"/>
      <c r="SN166" s="17"/>
      <c r="SO166" s="17"/>
      <c r="SP166" s="17"/>
      <c r="SQ166" s="17"/>
      <c r="SR166" s="17"/>
      <c r="SS166" s="17"/>
      <c r="ST166" s="17"/>
      <c r="SU166" s="17"/>
      <c r="SV166" s="17"/>
      <c r="SW166" s="17"/>
      <c r="SX166" s="17"/>
      <c r="SY166" s="17"/>
      <c r="SZ166" s="17"/>
      <c r="TA166" s="17"/>
      <c r="TB166" s="17"/>
      <c r="TC166" s="17"/>
      <c r="TD166" s="17"/>
      <c r="TE166" s="17"/>
      <c r="TF166" s="17"/>
      <c r="TG166" s="17"/>
      <c r="TH166" s="17"/>
      <c r="TI166" s="17"/>
      <c r="TJ166" s="17"/>
      <c r="TK166" s="17"/>
      <c r="TL166" s="17"/>
      <c r="TM166" s="17"/>
      <c r="TN166" s="17"/>
      <c r="TO166" s="17"/>
      <c r="TP166" s="17"/>
      <c r="TQ166" s="17"/>
      <c r="TR166" s="17"/>
      <c r="TS166" s="17"/>
      <c r="TT166" s="17"/>
      <c r="TU166" s="17"/>
      <c r="TV166" s="17"/>
      <c r="TW166" s="17"/>
      <c r="TX166" s="17"/>
      <c r="TY166" s="17"/>
      <c r="TZ166" s="17"/>
      <c r="UA166" s="17"/>
      <c r="UB166" s="17"/>
      <c r="UC166" s="17"/>
      <c r="UD166" s="17"/>
      <c r="UE166" s="17"/>
      <c r="UF166" s="17"/>
      <c r="UG166" s="17"/>
      <c r="UH166" s="17"/>
      <c r="UI166" s="17"/>
      <c r="UJ166" s="17"/>
      <c r="UK166" s="17"/>
      <c r="UL166" s="17"/>
      <c r="UM166" s="17"/>
      <c r="UN166" s="17"/>
      <c r="UO166" s="17"/>
      <c r="UP166" s="17"/>
      <c r="UQ166" s="17"/>
      <c r="UR166" s="17"/>
      <c r="US166" s="17"/>
      <c r="UT166" s="17"/>
      <c r="UU166" s="17"/>
      <c r="UV166" s="17"/>
      <c r="UW166" s="17"/>
      <c r="UX166" s="17"/>
      <c r="UY166" s="17"/>
      <c r="UZ166" s="17"/>
      <c r="VA166" s="17"/>
      <c r="VB166" s="17"/>
      <c r="VC166" s="17"/>
      <c r="VD166" s="17"/>
      <c r="VE166" s="17"/>
      <c r="VF166" s="17"/>
      <c r="VG166" s="17"/>
      <c r="VH166" s="17"/>
      <c r="VI166" s="17"/>
      <c r="VJ166" s="17"/>
      <c r="VK166" s="17"/>
      <c r="VL166" s="17"/>
      <c r="VM166" s="17"/>
      <c r="VN166" s="17"/>
      <c r="VO166" s="17"/>
      <c r="VP166" s="17"/>
      <c r="VQ166" s="17"/>
      <c r="VR166" s="17"/>
      <c r="VS166" s="17"/>
      <c r="VT166" s="17"/>
      <c r="VU166" s="17"/>
      <c r="VV166" s="17"/>
      <c r="VW166" s="17"/>
      <c r="VX166" s="17"/>
      <c r="VY166" s="17"/>
      <c r="VZ166" s="17"/>
      <c r="WA166" s="17"/>
      <c r="WB166" s="17"/>
      <c r="WC166" s="17"/>
      <c r="WD166" s="17"/>
      <c r="WE166" s="17"/>
      <c r="WF166" s="17"/>
      <c r="WG166" s="17"/>
      <c r="WH166" s="17"/>
      <c r="WI166" s="17"/>
      <c r="WJ166" s="17"/>
      <c r="WK166" s="17"/>
      <c r="WL166" s="17"/>
      <c r="WM166" s="17"/>
      <c r="WN166" s="17"/>
      <c r="WO166" s="17"/>
      <c r="WP166" s="17"/>
      <c r="WQ166" s="17"/>
      <c r="WR166" s="17"/>
      <c r="WS166" s="17"/>
      <c r="WT166" s="17"/>
      <c r="WU166" s="17"/>
      <c r="WV166" s="17"/>
      <c r="WW166" s="17"/>
      <c r="WX166" s="17"/>
      <c r="WY166" s="17"/>
      <c r="WZ166" s="17"/>
      <c r="XA166" s="17"/>
      <c r="XB166" s="17"/>
      <c r="XC166" s="17"/>
      <c r="XD166" s="17"/>
      <c r="XE166" s="17"/>
      <c r="XF166" s="17"/>
      <c r="XG166" s="17"/>
      <c r="XH166" s="17"/>
      <c r="XI166" s="17"/>
      <c r="XJ166" s="17"/>
      <c r="XK166" s="17"/>
      <c r="XL166" s="17"/>
      <c r="XM166" s="17"/>
      <c r="XN166" s="17"/>
      <c r="XO166" s="17"/>
      <c r="XP166" s="17"/>
      <c r="XQ166" s="17"/>
      <c r="XR166" s="17"/>
      <c r="XS166" s="17"/>
      <c r="XT166" s="17"/>
      <c r="XU166" s="17"/>
      <c r="XV166" s="17"/>
      <c r="XW166" s="17"/>
      <c r="XX166" s="17"/>
      <c r="XY166" s="17"/>
      <c r="XZ166" s="17"/>
      <c r="YA166" s="17"/>
      <c r="YB166" s="17"/>
      <c r="YC166" s="17"/>
      <c r="YD166" s="17"/>
      <c r="YE166" s="17"/>
      <c r="YF166" s="17"/>
      <c r="YG166" s="17"/>
      <c r="YH166" s="17"/>
      <c r="YI166" s="17"/>
      <c r="YJ166" s="17"/>
      <c r="YK166" s="17"/>
      <c r="YL166" s="17"/>
      <c r="YM166" s="17"/>
      <c r="YN166" s="17"/>
      <c r="YO166" s="17"/>
      <c r="YP166" s="17"/>
      <c r="YQ166" s="17"/>
      <c r="YR166" s="17"/>
      <c r="YS166" s="17"/>
    </row>
    <row r="167" spans="266:669" x14ac:dyDescent="0.25">
      <c r="JF167" s="17"/>
      <c r="JG167" s="17"/>
      <c r="JH167" s="17"/>
      <c r="JI167" s="17"/>
      <c r="JJ167" s="17"/>
      <c r="JK167" s="17"/>
      <c r="JL167" s="17"/>
      <c r="JM167" s="17"/>
      <c r="JN167" s="17"/>
      <c r="JO167" s="17"/>
      <c r="JP167" s="17"/>
      <c r="JQ167" s="17"/>
      <c r="JR167" s="17"/>
      <c r="JS167" s="17"/>
      <c r="JT167" s="17"/>
      <c r="JU167" s="17"/>
      <c r="JV167" s="17"/>
      <c r="JW167" s="17"/>
      <c r="JX167" s="17"/>
      <c r="JY167" s="17"/>
      <c r="JZ167" s="17"/>
      <c r="KA167" s="17"/>
      <c r="KB167" s="17"/>
      <c r="KC167" s="17"/>
      <c r="KD167" s="17"/>
      <c r="KE167" s="17"/>
      <c r="KF167" s="17"/>
      <c r="KG167" s="17"/>
      <c r="KH167" s="17"/>
      <c r="KI167" s="17"/>
      <c r="KJ167" s="17"/>
      <c r="KK167" s="17"/>
      <c r="KL167" s="17"/>
      <c r="KM167" s="17"/>
      <c r="KN167" s="17"/>
      <c r="KO167" s="17"/>
      <c r="KP167" s="17"/>
      <c r="KQ167" s="17"/>
      <c r="KR167" s="17"/>
      <c r="KS167" s="17"/>
      <c r="KT167" s="17"/>
      <c r="KU167" s="17"/>
      <c r="KV167" s="17"/>
      <c r="KW167" s="17"/>
      <c r="KX167" s="17"/>
      <c r="KY167" s="17"/>
      <c r="KZ167" s="17"/>
      <c r="LA167" s="17"/>
      <c r="LB167" s="17"/>
      <c r="LC167" s="17"/>
      <c r="LD167" s="17"/>
      <c r="LE167" s="17"/>
      <c r="LF167" s="17"/>
      <c r="LG167" s="17"/>
      <c r="LH167" s="17"/>
      <c r="LI167" s="17"/>
      <c r="LJ167" s="17"/>
      <c r="LK167" s="17"/>
      <c r="LL167" s="17"/>
      <c r="LM167" s="17"/>
      <c r="LN167" s="17"/>
      <c r="LO167" s="17"/>
      <c r="LP167" s="17"/>
      <c r="LQ167" s="17"/>
      <c r="LR167" s="17"/>
      <c r="LS167" s="17"/>
      <c r="LT167" s="17"/>
      <c r="LU167" s="17"/>
      <c r="LV167" s="17"/>
      <c r="LW167" s="17"/>
      <c r="LX167" s="17"/>
      <c r="LY167" s="17"/>
      <c r="LZ167" s="17"/>
      <c r="MA167" s="17"/>
      <c r="MB167" s="17"/>
      <c r="MC167" s="17"/>
      <c r="MD167" s="17"/>
      <c r="ME167" s="17"/>
      <c r="MF167" s="17"/>
      <c r="MG167" s="17"/>
      <c r="MH167" s="17"/>
      <c r="MI167" s="17"/>
      <c r="MJ167" s="17"/>
      <c r="MK167" s="17"/>
      <c r="ML167" s="17"/>
      <c r="MM167" s="17"/>
      <c r="MN167" s="17"/>
      <c r="MO167" s="17"/>
      <c r="MP167" s="17"/>
      <c r="MQ167" s="17"/>
      <c r="MR167" s="17"/>
      <c r="MS167" s="17"/>
      <c r="MT167" s="17"/>
      <c r="MU167" s="17"/>
      <c r="MV167" s="17"/>
      <c r="MW167" s="17"/>
      <c r="MX167" s="17"/>
      <c r="MY167" s="17"/>
      <c r="MZ167" s="17"/>
      <c r="NA167" s="17"/>
      <c r="NB167" s="17"/>
      <c r="NC167" s="17"/>
      <c r="ND167" s="17"/>
      <c r="NE167" s="17"/>
      <c r="NF167" s="17"/>
      <c r="NG167" s="17"/>
      <c r="NH167" s="17"/>
      <c r="NI167" s="17"/>
      <c r="NJ167" s="17"/>
      <c r="NK167" s="17"/>
      <c r="NL167" s="17"/>
      <c r="NM167" s="17"/>
      <c r="NN167" s="17"/>
      <c r="NO167" s="17"/>
      <c r="NP167" s="17"/>
      <c r="NQ167" s="17"/>
      <c r="NR167" s="17"/>
      <c r="NS167" s="17"/>
      <c r="NT167" s="17"/>
      <c r="NU167" s="17"/>
      <c r="NV167" s="17"/>
      <c r="NW167" s="17"/>
      <c r="NX167" s="17"/>
      <c r="NY167" s="17"/>
      <c r="NZ167" s="17"/>
      <c r="OA167" s="17"/>
      <c r="OB167" s="17"/>
      <c r="OC167" s="17"/>
      <c r="OD167" s="17"/>
      <c r="OE167" s="17"/>
      <c r="OF167" s="17"/>
      <c r="OG167" s="17"/>
      <c r="OH167" s="17"/>
      <c r="OI167" s="17"/>
      <c r="OJ167" s="17"/>
      <c r="OK167" s="17"/>
      <c r="OL167" s="17"/>
      <c r="OM167" s="17"/>
      <c r="ON167" s="17"/>
      <c r="OO167" s="17"/>
      <c r="OP167" s="17"/>
      <c r="OQ167" s="17"/>
      <c r="OR167" s="17"/>
      <c r="OS167" s="17"/>
      <c r="OT167" s="17"/>
      <c r="OU167" s="17"/>
      <c r="OV167" s="17"/>
      <c r="OW167" s="17"/>
      <c r="OX167" s="17"/>
      <c r="OY167" s="17"/>
      <c r="OZ167" s="17"/>
      <c r="PA167" s="17"/>
      <c r="PB167" s="17"/>
      <c r="PC167" s="17"/>
      <c r="PD167" s="17"/>
      <c r="PE167" s="17"/>
      <c r="PF167" s="17"/>
      <c r="PG167" s="17"/>
      <c r="PH167" s="17"/>
      <c r="PI167" s="17"/>
      <c r="PJ167" s="17"/>
      <c r="PK167" s="17"/>
      <c r="PL167" s="17"/>
      <c r="PM167" s="17"/>
      <c r="PN167" s="17"/>
      <c r="PO167" s="17"/>
      <c r="PP167" s="17"/>
      <c r="PQ167" s="17"/>
      <c r="PR167" s="17"/>
      <c r="PS167" s="17"/>
      <c r="PT167" s="17"/>
      <c r="PU167" s="17"/>
      <c r="PV167" s="17"/>
      <c r="PW167" s="17"/>
      <c r="PX167" s="17"/>
      <c r="PY167" s="17"/>
      <c r="PZ167" s="17"/>
      <c r="QA167" s="17"/>
      <c r="QB167" s="17"/>
      <c r="QC167" s="17"/>
      <c r="QD167" s="17"/>
      <c r="QE167" s="17"/>
      <c r="QF167" s="17"/>
      <c r="QG167" s="17"/>
      <c r="QH167" s="17"/>
      <c r="QI167" s="17"/>
      <c r="QJ167" s="17"/>
      <c r="QK167" s="17"/>
      <c r="QL167" s="17"/>
      <c r="QM167" s="17"/>
      <c r="QN167" s="17"/>
      <c r="QO167" s="17"/>
      <c r="QP167" s="17"/>
      <c r="QQ167" s="17"/>
      <c r="QR167" s="17"/>
      <c r="QS167" s="17"/>
      <c r="QT167" s="17"/>
      <c r="QU167" s="17"/>
      <c r="QV167" s="17"/>
      <c r="QW167" s="17"/>
      <c r="QX167" s="17"/>
      <c r="QY167" s="17"/>
      <c r="QZ167" s="17"/>
      <c r="RA167" s="17"/>
      <c r="RB167" s="17"/>
      <c r="RC167" s="17"/>
      <c r="RD167" s="17"/>
      <c r="RE167" s="17"/>
      <c r="RF167" s="17"/>
      <c r="RG167" s="17"/>
      <c r="RH167" s="17"/>
      <c r="RI167" s="17"/>
      <c r="RJ167" s="17"/>
      <c r="RK167" s="17"/>
      <c r="RL167" s="17"/>
      <c r="RM167" s="17"/>
      <c r="RN167" s="17"/>
      <c r="RO167" s="17"/>
      <c r="RP167" s="17"/>
      <c r="RQ167" s="17"/>
      <c r="RR167" s="17"/>
      <c r="RS167" s="17"/>
      <c r="RT167" s="17"/>
      <c r="RU167" s="17"/>
      <c r="RV167" s="17"/>
      <c r="RW167" s="17"/>
      <c r="RX167" s="17"/>
      <c r="RY167" s="17"/>
      <c r="RZ167" s="17"/>
      <c r="SA167" s="17"/>
      <c r="SB167" s="17"/>
      <c r="SC167" s="17"/>
      <c r="SD167" s="17"/>
      <c r="SE167" s="17"/>
      <c r="SF167" s="17"/>
      <c r="SG167" s="17"/>
      <c r="SH167" s="17"/>
      <c r="SI167" s="17"/>
      <c r="SJ167" s="17"/>
      <c r="SK167" s="17"/>
      <c r="SL167" s="17"/>
      <c r="SM167" s="17"/>
      <c r="SN167" s="17"/>
      <c r="SO167" s="17"/>
      <c r="SP167" s="17"/>
      <c r="SQ167" s="17"/>
      <c r="SR167" s="17"/>
      <c r="SS167" s="17"/>
      <c r="ST167" s="17"/>
      <c r="SU167" s="17"/>
      <c r="SV167" s="17"/>
      <c r="SW167" s="17"/>
      <c r="SX167" s="17"/>
      <c r="SY167" s="17"/>
      <c r="SZ167" s="17"/>
      <c r="TA167" s="17"/>
      <c r="TB167" s="17"/>
      <c r="TC167" s="17"/>
      <c r="TD167" s="17"/>
      <c r="TE167" s="17"/>
      <c r="TF167" s="17"/>
      <c r="TG167" s="17"/>
      <c r="TH167" s="17"/>
      <c r="TI167" s="17"/>
      <c r="TJ167" s="17"/>
      <c r="TK167" s="17"/>
      <c r="TL167" s="17"/>
      <c r="TM167" s="17"/>
      <c r="TN167" s="17"/>
      <c r="TO167" s="17"/>
      <c r="TP167" s="17"/>
      <c r="TQ167" s="17"/>
      <c r="TR167" s="17"/>
      <c r="TS167" s="17"/>
      <c r="TT167" s="17"/>
      <c r="TU167" s="17"/>
      <c r="TV167" s="17"/>
      <c r="TW167" s="17"/>
      <c r="TX167" s="17"/>
      <c r="TY167" s="17"/>
      <c r="TZ167" s="17"/>
      <c r="UA167" s="17"/>
      <c r="UB167" s="17"/>
      <c r="UC167" s="17"/>
      <c r="UD167" s="17"/>
      <c r="UE167" s="17"/>
      <c r="UF167" s="17"/>
      <c r="UG167" s="17"/>
      <c r="UH167" s="17"/>
      <c r="UI167" s="17"/>
      <c r="UJ167" s="17"/>
      <c r="UK167" s="17"/>
      <c r="UL167" s="17"/>
      <c r="UM167" s="17"/>
      <c r="UN167" s="17"/>
      <c r="UO167" s="17"/>
      <c r="UP167" s="17"/>
      <c r="UQ167" s="17"/>
      <c r="UR167" s="17"/>
      <c r="US167" s="17"/>
      <c r="UT167" s="17"/>
      <c r="UU167" s="17"/>
      <c r="UV167" s="17"/>
      <c r="UW167" s="17"/>
      <c r="UX167" s="17"/>
      <c r="UY167" s="17"/>
      <c r="UZ167" s="17"/>
      <c r="VA167" s="17"/>
      <c r="VB167" s="17"/>
      <c r="VC167" s="17"/>
      <c r="VD167" s="17"/>
      <c r="VE167" s="17"/>
      <c r="VF167" s="17"/>
      <c r="VG167" s="17"/>
      <c r="VH167" s="17"/>
      <c r="VI167" s="17"/>
      <c r="VJ167" s="17"/>
      <c r="VK167" s="17"/>
      <c r="VL167" s="17"/>
      <c r="VM167" s="17"/>
      <c r="VN167" s="17"/>
      <c r="VO167" s="17"/>
      <c r="VP167" s="17"/>
      <c r="VQ167" s="17"/>
      <c r="VR167" s="17"/>
      <c r="VS167" s="17"/>
      <c r="VT167" s="17"/>
      <c r="VU167" s="17"/>
      <c r="VV167" s="17"/>
      <c r="VW167" s="17"/>
      <c r="VX167" s="17"/>
      <c r="VY167" s="17"/>
      <c r="VZ167" s="17"/>
      <c r="WA167" s="17"/>
      <c r="WB167" s="17"/>
      <c r="WC167" s="17"/>
      <c r="WD167" s="17"/>
      <c r="WE167" s="17"/>
      <c r="WF167" s="17"/>
      <c r="WG167" s="17"/>
      <c r="WH167" s="17"/>
      <c r="WI167" s="17"/>
      <c r="WJ167" s="17"/>
      <c r="WK167" s="17"/>
      <c r="WL167" s="17"/>
      <c r="WM167" s="17"/>
      <c r="WN167" s="17"/>
      <c r="WO167" s="17"/>
      <c r="WP167" s="17"/>
      <c r="WQ167" s="17"/>
      <c r="WR167" s="17"/>
      <c r="WS167" s="17"/>
      <c r="WT167" s="17"/>
      <c r="WU167" s="17"/>
      <c r="WV167" s="17"/>
      <c r="WW167" s="17"/>
      <c r="WX167" s="17"/>
      <c r="WY167" s="17"/>
      <c r="WZ167" s="17"/>
      <c r="XA167" s="17"/>
      <c r="XB167" s="17"/>
      <c r="XC167" s="17"/>
      <c r="XD167" s="17"/>
      <c r="XE167" s="17"/>
      <c r="XF167" s="17"/>
      <c r="XG167" s="17"/>
      <c r="XH167" s="17"/>
      <c r="XI167" s="17"/>
      <c r="XJ167" s="17"/>
      <c r="XK167" s="17"/>
      <c r="XL167" s="17"/>
      <c r="XM167" s="17"/>
      <c r="XN167" s="17"/>
      <c r="XO167" s="17"/>
      <c r="XP167" s="17"/>
      <c r="XQ167" s="17"/>
      <c r="XR167" s="17"/>
      <c r="XS167" s="17"/>
      <c r="XT167" s="17"/>
      <c r="XU167" s="17"/>
      <c r="XV167" s="17"/>
      <c r="XW167" s="17"/>
      <c r="XX167" s="17"/>
      <c r="XY167" s="17"/>
      <c r="XZ167" s="17"/>
      <c r="YA167" s="17"/>
      <c r="YB167" s="17"/>
      <c r="YC167" s="17"/>
      <c r="YD167" s="17"/>
      <c r="YE167" s="17"/>
      <c r="YF167" s="17"/>
      <c r="YG167" s="17"/>
      <c r="YH167" s="17"/>
      <c r="YI167" s="17"/>
      <c r="YJ167" s="17"/>
      <c r="YK167" s="17"/>
      <c r="YL167" s="17"/>
      <c r="YM167" s="17"/>
      <c r="YN167" s="17"/>
      <c r="YO167" s="17"/>
      <c r="YP167" s="17"/>
      <c r="YQ167" s="17"/>
      <c r="YR167" s="17"/>
      <c r="YS167" s="17"/>
    </row>
    <row r="168" spans="266:669" x14ac:dyDescent="0.25">
      <c r="JF168" s="17"/>
      <c r="JG168" s="17"/>
      <c r="JH168" s="17"/>
      <c r="JI168" s="17"/>
      <c r="JJ168" s="17"/>
      <c r="JK168" s="17"/>
      <c r="JL168" s="17"/>
      <c r="JM168" s="17"/>
      <c r="JN168" s="17"/>
      <c r="JO168" s="17"/>
      <c r="JP168" s="17"/>
      <c r="JQ168" s="17"/>
      <c r="JR168" s="17"/>
      <c r="JS168" s="17"/>
      <c r="JT168" s="17"/>
      <c r="JU168" s="17"/>
      <c r="JV168" s="17"/>
      <c r="JW168" s="17"/>
      <c r="JX168" s="17"/>
      <c r="JY168" s="17"/>
      <c r="JZ168" s="17"/>
      <c r="KA168" s="17"/>
      <c r="KB168" s="17"/>
      <c r="KC168" s="17"/>
      <c r="KD168" s="17"/>
      <c r="KE168" s="17"/>
      <c r="KF168" s="17"/>
      <c r="KG168" s="17"/>
      <c r="KH168" s="17"/>
      <c r="KI168" s="17"/>
      <c r="KJ168" s="17"/>
      <c r="KK168" s="17"/>
      <c r="KL168" s="17"/>
      <c r="KM168" s="17"/>
      <c r="KN168" s="17"/>
      <c r="KO168" s="17"/>
      <c r="KP168" s="17"/>
      <c r="KQ168" s="17"/>
      <c r="KR168" s="17"/>
      <c r="KS168" s="17"/>
      <c r="KT168" s="17"/>
      <c r="KU168" s="17"/>
      <c r="KV168" s="17"/>
      <c r="KW168" s="17"/>
      <c r="KX168" s="17"/>
      <c r="KY168" s="17"/>
      <c r="KZ168" s="17"/>
      <c r="LA168" s="17"/>
      <c r="LB168" s="17"/>
      <c r="LC168" s="17"/>
      <c r="LD168" s="17"/>
      <c r="LE168" s="17"/>
      <c r="LF168" s="17"/>
      <c r="LG168" s="17"/>
      <c r="LH168" s="17"/>
      <c r="LI168" s="17"/>
      <c r="LJ168" s="17"/>
      <c r="LK168" s="17"/>
      <c r="LL168" s="17"/>
      <c r="LM168" s="17"/>
      <c r="LN168" s="17"/>
      <c r="LO168" s="17"/>
      <c r="LP168" s="17"/>
      <c r="LQ168" s="17"/>
      <c r="LR168" s="17"/>
      <c r="LS168" s="17"/>
      <c r="LT168" s="17"/>
      <c r="LU168" s="17"/>
      <c r="LV168" s="17"/>
      <c r="LW168" s="17"/>
      <c r="LX168" s="17"/>
      <c r="LY168" s="17"/>
      <c r="LZ168" s="17"/>
      <c r="MA168" s="17"/>
      <c r="MB168" s="17"/>
      <c r="MC168" s="17"/>
      <c r="MD168" s="17"/>
      <c r="ME168" s="17"/>
      <c r="MF168" s="17"/>
      <c r="MG168" s="17"/>
      <c r="MH168" s="17"/>
      <c r="MI168" s="17"/>
      <c r="MJ168" s="17"/>
      <c r="MK168" s="17"/>
      <c r="ML168" s="17"/>
      <c r="MM168" s="17"/>
      <c r="MN168" s="17"/>
      <c r="MO168" s="17"/>
      <c r="MP168" s="17"/>
      <c r="MQ168" s="17"/>
      <c r="MR168" s="17"/>
      <c r="MS168" s="17"/>
      <c r="MT168" s="17"/>
      <c r="MU168" s="17"/>
      <c r="MV168" s="17"/>
      <c r="MW168" s="17"/>
      <c r="MX168" s="17"/>
      <c r="MY168" s="17"/>
      <c r="MZ168" s="17"/>
      <c r="NA168" s="17"/>
      <c r="NB168" s="17"/>
      <c r="NC168" s="17"/>
      <c r="ND168" s="17"/>
      <c r="NE168" s="17"/>
      <c r="NF168" s="17"/>
      <c r="NG168" s="17"/>
      <c r="NH168" s="17"/>
      <c r="NI168" s="17"/>
      <c r="NJ168" s="17"/>
      <c r="NK168" s="17"/>
      <c r="NL168" s="17"/>
      <c r="NM168" s="17"/>
      <c r="NN168" s="17"/>
      <c r="NO168" s="17"/>
      <c r="NP168" s="17"/>
      <c r="NQ168" s="17"/>
      <c r="NR168" s="17"/>
      <c r="NS168" s="17"/>
      <c r="NT168" s="17"/>
      <c r="NU168" s="17"/>
      <c r="NV168" s="17"/>
      <c r="NW168" s="17"/>
      <c r="NX168" s="17"/>
      <c r="NY168" s="17"/>
      <c r="NZ168" s="17"/>
      <c r="OA168" s="17"/>
      <c r="OB168" s="17"/>
      <c r="OC168" s="17"/>
      <c r="OD168" s="17"/>
      <c r="OE168" s="17"/>
      <c r="OF168" s="17"/>
      <c r="OG168" s="17"/>
      <c r="OH168" s="17"/>
      <c r="OI168" s="17"/>
      <c r="OJ168" s="17"/>
      <c r="OK168" s="17"/>
      <c r="OL168" s="17"/>
      <c r="OM168" s="17"/>
      <c r="ON168" s="17"/>
      <c r="OO168" s="17"/>
      <c r="OP168" s="17"/>
      <c r="OQ168" s="17"/>
      <c r="OR168" s="17"/>
      <c r="OS168" s="17"/>
      <c r="OT168" s="17"/>
      <c r="OU168" s="17"/>
      <c r="OV168" s="17"/>
      <c r="OW168" s="17"/>
      <c r="OX168" s="17"/>
      <c r="OY168" s="17"/>
      <c r="OZ168" s="17"/>
      <c r="PA168" s="17"/>
      <c r="PB168" s="17"/>
      <c r="PC168" s="17"/>
      <c r="PD168" s="17"/>
      <c r="PE168" s="17"/>
      <c r="PF168" s="17"/>
      <c r="PG168" s="17"/>
      <c r="PH168" s="17"/>
      <c r="PI168" s="17"/>
      <c r="PJ168" s="17"/>
      <c r="PK168" s="17"/>
      <c r="PL168" s="17"/>
      <c r="PM168" s="17"/>
      <c r="PN168" s="17"/>
      <c r="PO168" s="17"/>
      <c r="PP168" s="17"/>
      <c r="PQ168" s="17"/>
      <c r="PR168" s="17"/>
      <c r="PS168" s="17"/>
      <c r="PT168" s="17"/>
      <c r="PU168" s="17"/>
      <c r="PV168" s="17"/>
      <c r="PW168" s="17"/>
      <c r="PX168" s="17"/>
      <c r="PY168" s="17"/>
      <c r="PZ168" s="17"/>
      <c r="QA168" s="17"/>
      <c r="QB168" s="17"/>
      <c r="QC168" s="17"/>
      <c r="QD168" s="17"/>
      <c r="QE168" s="17"/>
      <c r="QF168" s="17"/>
      <c r="QG168" s="17"/>
      <c r="QH168" s="17"/>
      <c r="QI168" s="17"/>
      <c r="QJ168" s="17"/>
      <c r="QK168" s="17"/>
      <c r="QL168" s="17"/>
      <c r="QM168" s="17"/>
      <c r="QN168" s="17"/>
      <c r="QO168" s="17"/>
      <c r="QP168" s="17"/>
      <c r="QQ168" s="17"/>
      <c r="QR168" s="17"/>
      <c r="QS168" s="17"/>
      <c r="QT168" s="17"/>
      <c r="QU168" s="17"/>
      <c r="QV168" s="17"/>
      <c r="QW168" s="17"/>
      <c r="QX168" s="17"/>
      <c r="QY168" s="17"/>
      <c r="QZ168" s="17"/>
      <c r="RA168" s="17"/>
      <c r="RB168" s="17"/>
      <c r="RC168" s="17"/>
      <c r="RD168" s="17"/>
      <c r="RE168" s="17"/>
      <c r="RF168" s="17"/>
      <c r="RG168" s="17"/>
      <c r="RH168" s="17"/>
      <c r="RI168" s="17"/>
      <c r="RJ168" s="17"/>
      <c r="RK168" s="17"/>
      <c r="RL168" s="17"/>
      <c r="RM168" s="17"/>
      <c r="RN168" s="17"/>
      <c r="RO168" s="17"/>
      <c r="RP168" s="17"/>
      <c r="RQ168" s="17"/>
      <c r="RR168" s="17"/>
      <c r="RS168" s="17"/>
      <c r="RT168" s="17"/>
      <c r="RU168" s="17"/>
      <c r="RV168" s="17"/>
      <c r="RW168" s="17"/>
      <c r="RX168" s="17"/>
      <c r="RY168" s="17"/>
      <c r="RZ168" s="17"/>
      <c r="SA168" s="17"/>
      <c r="SB168" s="17"/>
      <c r="SC168" s="17"/>
      <c r="SD168" s="17"/>
      <c r="SE168" s="17"/>
      <c r="SF168" s="17"/>
      <c r="SG168" s="17"/>
      <c r="SH168" s="17"/>
      <c r="SI168" s="17"/>
      <c r="SJ168" s="17"/>
      <c r="SK168" s="17"/>
      <c r="SL168" s="17"/>
      <c r="SM168" s="17"/>
      <c r="SN168" s="17"/>
      <c r="SO168" s="17"/>
      <c r="SP168" s="17"/>
      <c r="SQ168" s="17"/>
      <c r="SR168" s="17"/>
      <c r="SS168" s="17"/>
      <c r="ST168" s="17"/>
      <c r="SU168" s="17"/>
      <c r="SV168" s="17"/>
      <c r="SW168" s="17"/>
      <c r="SX168" s="17"/>
      <c r="SY168" s="17"/>
      <c r="SZ168" s="17"/>
      <c r="TA168" s="17"/>
      <c r="TB168" s="17"/>
      <c r="TC168" s="17"/>
      <c r="TD168" s="17"/>
      <c r="TE168" s="17"/>
      <c r="TF168" s="17"/>
      <c r="TG168" s="17"/>
      <c r="TH168" s="17"/>
      <c r="TI168" s="17"/>
      <c r="TJ168" s="17"/>
      <c r="TK168" s="17"/>
      <c r="TL168" s="17"/>
      <c r="TM168" s="17"/>
      <c r="TN168" s="17"/>
      <c r="TO168" s="17"/>
      <c r="TP168" s="17"/>
      <c r="TQ168" s="17"/>
      <c r="TR168" s="17"/>
      <c r="TS168" s="17"/>
      <c r="TT168" s="17"/>
      <c r="TU168" s="17"/>
      <c r="TV168" s="17"/>
      <c r="TW168" s="17"/>
      <c r="TX168" s="17"/>
      <c r="TY168" s="17"/>
      <c r="TZ168" s="17"/>
      <c r="UA168" s="17"/>
      <c r="UB168" s="17"/>
      <c r="UC168" s="17"/>
      <c r="UD168" s="17"/>
      <c r="UE168" s="17"/>
      <c r="UF168" s="17"/>
      <c r="UG168" s="17"/>
      <c r="UH168" s="17"/>
      <c r="UI168" s="17"/>
      <c r="UJ168" s="17"/>
      <c r="UK168" s="17"/>
      <c r="UL168" s="17"/>
      <c r="UM168" s="17"/>
      <c r="UN168" s="17"/>
      <c r="UO168" s="17"/>
      <c r="UP168" s="17"/>
      <c r="UQ168" s="17"/>
      <c r="UR168" s="17"/>
      <c r="US168" s="17"/>
      <c r="UT168" s="17"/>
      <c r="UU168" s="17"/>
      <c r="UV168" s="17"/>
      <c r="UW168" s="17"/>
      <c r="UX168" s="17"/>
      <c r="UY168" s="17"/>
      <c r="UZ168" s="17"/>
      <c r="VA168" s="17"/>
      <c r="VB168" s="17"/>
      <c r="VC168" s="17"/>
      <c r="VD168" s="17"/>
      <c r="VE168" s="17"/>
      <c r="VF168" s="17"/>
      <c r="VG168" s="17"/>
      <c r="VH168" s="17"/>
      <c r="VI168" s="17"/>
      <c r="VJ168" s="17"/>
      <c r="VK168" s="17"/>
      <c r="VL168" s="17"/>
      <c r="VM168" s="17"/>
      <c r="VN168" s="17"/>
      <c r="VO168" s="17"/>
      <c r="VP168" s="17"/>
      <c r="VQ168" s="17"/>
      <c r="VR168" s="17"/>
      <c r="VS168" s="17"/>
      <c r="VT168" s="17"/>
      <c r="VU168" s="17"/>
      <c r="VV168" s="17"/>
      <c r="VW168" s="17"/>
      <c r="VX168" s="17"/>
      <c r="VY168" s="17"/>
      <c r="VZ168" s="17"/>
      <c r="WA168" s="17"/>
      <c r="WB168" s="17"/>
      <c r="WC168" s="17"/>
      <c r="WD168" s="17"/>
      <c r="WE168" s="17"/>
      <c r="WF168" s="17"/>
      <c r="WG168" s="17"/>
      <c r="WH168" s="17"/>
      <c r="WI168" s="17"/>
      <c r="WJ168" s="17"/>
      <c r="WK168" s="17"/>
      <c r="WL168" s="17"/>
      <c r="WM168" s="17"/>
      <c r="WN168" s="17"/>
      <c r="WO168" s="17"/>
      <c r="WP168" s="17"/>
      <c r="WQ168" s="17"/>
      <c r="WR168" s="17"/>
      <c r="WS168" s="17"/>
      <c r="WT168" s="17"/>
      <c r="WU168" s="17"/>
      <c r="WV168" s="17"/>
      <c r="WW168" s="17"/>
      <c r="WX168" s="17"/>
      <c r="WY168" s="17"/>
      <c r="WZ168" s="17"/>
      <c r="XA168" s="17"/>
      <c r="XB168" s="17"/>
      <c r="XC168" s="17"/>
      <c r="XD168" s="17"/>
      <c r="XE168" s="17"/>
      <c r="XF168" s="17"/>
      <c r="XG168" s="17"/>
      <c r="XH168" s="17"/>
      <c r="XI168" s="17"/>
      <c r="XJ168" s="17"/>
      <c r="XK168" s="17"/>
      <c r="XL168" s="17"/>
      <c r="XM168" s="17"/>
      <c r="XN168" s="17"/>
      <c r="XO168" s="17"/>
      <c r="XP168" s="17"/>
      <c r="XQ168" s="17"/>
      <c r="XR168" s="17"/>
      <c r="XS168" s="17"/>
      <c r="XT168" s="17"/>
      <c r="XU168" s="17"/>
      <c r="XV168" s="17"/>
      <c r="XW168" s="17"/>
      <c r="XX168" s="17"/>
      <c r="XY168" s="17"/>
      <c r="XZ168" s="17"/>
      <c r="YA168" s="17"/>
      <c r="YB168" s="17"/>
      <c r="YC168" s="17"/>
      <c r="YD168" s="17"/>
      <c r="YE168" s="17"/>
      <c r="YF168" s="17"/>
      <c r="YG168" s="17"/>
      <c r="YH168" s="17"/>
      <c r="YI168" s="17"/>
      <c r="YJ168" s="17"/>
      <c r="YK168" s="17"/>
      <c r="YL168" s="17"/>
      <c r="YM168" s="17"/>
      <c r="YN168" s="17"/>
      <c r="YO168" s="17"/>
      <c r="YP168" s="17"/>
      <c r="YQ168" s="17"/>
      <c r="YR168" s="17"/>
      <c r="YS168" s="17"/>
    </row>
    <row r="169" spans="266:669" x14ac:dyDescent="0.25">
      <c r="JF169" s="17"/>
      <c r="JG169" s="17"/>
      <c r="JH169" s="17"/>
      <c r="JI169" s="17"/>
      <c r="JJ169" s="17"/>
      <c r="JK169" s="17"/>
      <c r="JL169" s="17"/>
      <c r="JM169" s="17"/>
      <c r="JN169" s="17"/>
      <c r="JO169" s="17"/>
      <c r="JP169" s="17"/>
      <c r="JQ169" s="17"/>
      <c r="JR169" s="17"/>
      <c r="JS169" s="17"/>
      <c r="JT169" s="17"/>
      <c r="JU169" s="17"/>
      <c r="JV169" s="17"/>
      <c r="JW169" s="17"/>
      <c r="JX169" s="17"/>
      <c r="JY169" s="17"/>
      <c r="JZ169" s="17"/>
      <c r="KA169" s="17"/>
      <c r="KB169" s="17"/>
      <c r="KC169" s="17"/>
      <c r="KD169" s="17"/>
      <c r="KE169" s="17"/>
      <c r="KF169" s="17"/>
      <c r="KG169" s="17"/>
      <c r="KH169" s="17"/>
      <c r="KI169" s="17"/>
      <c r="KJ169" s="17"/>
      <c r="KK169" s="17"/>
      <c r="KL169" s="17"/>
      <c r="KM169" s="17"/>
      <c r="KN169" s="17"/>
      <c r="KO169" s="17"/>
      <c r="KP169" s="17"/>
      <c r="KQ169" s="17"/>
      <c r="KR169" s="17"/>
      <c r="KS169" s="17"/>
      <c r="KT169" s="17"/>
      <c r="KU169" s="17"/>
      <c r="KV169" s="17"/>
      <c r="KW169" s="17"/>
      <c r="KX169" s="17"/>
      <c r="KY169" s="17"/>
      <c r="KZ169" s="17"/>
      <c r="LA169" s="17"/>
      <c r="LB169" s="17"/>
      <c r="LC169" s="17"/>
      <c r="LD169" s="17"/>
      <c r="LE169" s="17"/>
      <c r="LF169" s="17"/>
      <c r="LG169" s="17"/>
      <c r="LH169" s="17"/>
      <c r="LI169" s="17"/>
      <c r="LJ169" s="17"/>
      <c r="LK169" s="17"/>
      <c r="LL169" s="17"/>
      <c r="LM169" s="17"/>
      <c r="LN169" s="17"/>
      <c r="LO169" s="17"/>
      <c r="LP169" s="17"/>
      <c r="LQ169" s="17"/>
      <c r="LR169" s="17"/>
      <c r="LS169" s="17"/>
      <c r="LT169" s="17"/>
      <c r="LU169" s="17"/>
      <c r="LV169" s="17"/>
      <c r="LW169" s="17"/>
      <c r="LX169" s="17"/>
      <c r="LY169" s="17"/>
      <c r="LZ169" s="17"/>
      <c r="MA169" s="17"/>
      <c r="MB169" s="17"/>
      <c r="MC169" s="17"/>
      <c r="MD169" s="17"/>
      <c r="ME169" s="17"/>
      <c r="MF169" s="17"/>
      <c r="MG169" s="17"/>
      <c r="MH169" s="17"/>
      <c r="MI169" s="17"/>
      <c r="MJ169" s="17"/>
      <c r="MK169" s="17"/>
      <c r="ML169" s="17"/>
      <c r="MM169" s="17"/>
      <c r="MN169" s="17"/>
      <c r="MO169" s="17"/>
      <c r="MP169" s="17"/>
      <c r="MQ169" s="17"/>
      <c r="MR169" s="17"/>
      <c r="MS169" s="17"/>
      <c r="MT169" s="17"/>
      <c r="MU169" s="17"/>
      <c r="MV169" s="17"/>
      <c r="MW169" s="17"/>
      <c r="MX169" s="17"/>
      <c r="MY169" s="17"/>
      <c r="MZ169" s="17"/>
      <c r="NA169" s="17"/>
      <c r="NB169" s="17"/>
      <c r="NC169" s="17"/>
      <c r="ND169" s="17"/>
      <c r="NE169" s="17"/>
      <c r="NF169" s="17"/>
      <c r="NG169" s="17"/>
      <c r="NH169" s="17"/>
      <c r="NI169" s="17"/>
      <c r="NJ169" s="17"/>
      <c r="NK169" s="17"/>
      <c r="NL169" s="17"/>
      <c r="NM169" s="17"/>
      <c r="NN169" s="17"/>
      <c r="NO169" s="17"/>
      <c r="NP169" s="17"/>
      <c r="NQ169" s="17"/>
      <c r="NR169" s="17"/>
      <c r="NS169" s="17"/>
      <c r="NT169" s="17"/>
      <c r="NU169" s="17"/>
      <c r="NV169" s="17"/>
      <c r="NW169" s="17"/>
      <c r="NX169" s="17"/>
      <c r="NY169" s="17"/>
      <c r="NZ169" s="17"/>
      <c r="OA169" s="17"/>
      <c r="OB169" s="17"/>
      <c r="OC169" s="17"/>
      <c r="OD169" s="17"/>
      <c r="OE169" s="17"/>
      <c r="OF169" s="17"/>
      <c r="OG169" s="17"/>
      <c r="OH169" s="17"/>
      <c r="OI169" s="17"/>
      <c r="OJ169" s="17"/>
      <c r="OK169" s="17"/>
      <c r="OL169" s="17"/>
      <c r="OM169" s="17"/>
      <c r="ON169" s="17"/>
      <c r="OO169" s="17"/>
      <c r="OP169" s="17"/>
      <c r="OQ169" s="17"/>
      <c r="OR169" s="17"/>
      <c r="OS169" s="17"/>
      <c r="OT169" s="17"/>
      <c r="OU169" s="17"/>
      <c r="OV169" s="17"/>
      <c r="OW169" s="17"/>
      <c r="OX169" s="17"/>
      <c r="OY169" s="17"/>
      <c r="OZ169" s="17"/>
      <c r="PA169" s="17"/>
      <c r="PB169" s="17"/>
      <c r="PC169" s="17"/>
      <c r="PD169" s="17"/>
      <c r="PE169" s="17"/>
      <c r="PF169" s="17"/>
      <c r="PG169" s="17"/>
      <c r="PH169" s="17"/>
      <c r="PI169" s="17"/>
      <c r="PJ169" s="17"/>
      <c r="PK169" s="17"/>
      <c r="PL169" s="17"/>
      <c r="PM169" s="17"/>
      <c r="PN169" s="17"/>
      <c r="PO169" s="17"/>
      <c r="PP169" s="17"/>
      <c r="PQ169" s="17"/>
      <c r="PR169" s="17"/>
      <c r="PS169" s="17"/>
      <c r="PT169" s="17"/>
      <c r="PU169" s="17"/>
      <c r="PV169" s="17"/>
      <c r="PW169" s="17"/>
      <c r="PX169" s="17"/>
      <c r="PY169" s="17"/>
      <c r="PZ169" s="17"/>
      <c r="QA169" s="17"/>
      <c r="QB169" s="17"/>
      <c r="QC169" s="17"/>
      <c r="QD169" s="17"/>
      <c r="QE169" s="17"/>
      <c r="QF169" s="17"/>
      <c r="QG169" s="17"/>
      <c r="QH169" s="17"/>
      <c r="QI169" s="17"/>
      <c r="QJ169" s="17"/>
      <c r="QK169" s="17"/>
      <c r="QL169" s="17"/>
      <c r="QM169" s="17"/>
      <c r="QN169" s="17"/>
      <c r="QO169" s="17"/>
      <c r="QP169" s="17"/>
      <c r="QQ169" s="17"/>
      <c r="QR169" s="17"/>
      <c r="QS169" s="17"/>
      <c r="QT169" s="17"/>
      <c r="QU169" s="17"/>
      <c r="QV169" s="17"/>
      <c r="QW169" s="17"/>
      <c r="QX169" s="17"/>
      <c r="QY169" s="17"/>
      <c r="QZ169" s="17"/>
      <c r="RA169" s="17"/>
      <c r="RB169" s="17"/>
      <c r="RC169" s="17"/>
      <c r="RD169" s="17"/>
      <c r="RE169" s="17"/>
      <c r="RF169" s="17"/>
      <c r="RG169" s="17"/>
      <c r="RH169" s="17"/>
      <c r="RI169" s="17"/>
      <c r="RJ169" s="17"/>
      <c r="RK169" s="17"/>
      <c r="RL169" s="17"/>
      <c r="RM169" s="17"/>
      <c r="RN169" s="17"/>
      <c r="RO169" s="17"/>
      <c r="RP169" s="17"/>
      <c r="RQ169" s="17"/>
      <c r="RR169" s="17"/>
      <c r="RS169" s="17"/>
      <c r="RT169" s="17"/>
      <c r="RU169" s="17"/>
      <c r="RV169" s="17"/>
      <c r="RW169" s="17"/>
      <c r="RX169" s="17"/>
      <c r="RY169" s="17"/>
      <c r="RZ169" s="17"/>
      <c r="SA169" s="17"/>
      <c r="SB169" s="17"/>
      <c r="SC169" s="17"/>
      <c r="SD169" s="17"/>
      <c r="SE169" s="17"/>
      <c r="SF169" s="17"/>
      <c r="SG169" s="17"/>
      <c r="SH169" s="17"/>
      <c r="SI169" s="17"/>
      <c r="SJ169" s="17"/>
      <c r="SK169" s="17"/>
      <c r="SL169" s="17"/>
      <c r="SM169" s="17"/>
      <c r="SN169" s="17"/>
      <c r="SO169" s="17"/>
      <c r="SP169" s="17"/>
      <c r="SQ169" s="17"/>
      <c r="SR169" s="17"/>
      <c r="SS169" s="17"/>
      <c r="ST169" s="17"/>
      <c r="SU169" s="17"/>
      <c r="SV169" s="17"/>
      <c r="SW169" s="17"/>
      <c r="SX169" s="17"/>
      <c r="SY169" s="17"/>
      <c r="SZ169" s="17"/>
      <c r="TA169" s="17"/>
      <c r="TB169" s="17"/>
      <c r="TC169" s="17"/>
      <c r="TD169" s="17"/>
      <c r="TE169" s="17"/>
      <c r="TF169" s="17"/>
      <c r="TG169" s="17"/>
      <c r="TH169" s="17"/>
      <c r="TI169" s="17"/>
      <c r="TJ169" s="17"/>
      <c r="TK169" s="17"/>
      <c r="TL169" s="17"/>
      <c r="TM169" s="17"/>
      <c r="TN169" s="17"/>
      <c r="TO169" s="17"/>
      <c r="TP169" s="17"/>
      <c r="TQ169" s="17"/>
      <c r="TR169" s="17"/>
      <c r="TS169" s="17"/>
      <c r="TT169" s="17"/>
      <c r="TU169" s="17"/>
      <c r="TV169" s="17"/>
      <c r="TW169" s="17"/>
      <c r="TX169" s="17"/>
      <c r="TY169" s="17"/>
      <c r="TZ169" s="17"/>
      <c r="UA169" s="17"/>
      <c r="UB169" s="17"/>
      <c r="UC169" s="17"/>
      <c r="UD169" s="17"/>
      <c r="UE169" s="17"/>
      <c r="UF169" s="17"/>
      <c r="UG169" s="17"/>
      <c r="UH169" s="17"/>
      <c r="UI169" s="17"/>
      <c r="UJ169" s="17"/>
      <c r="UK169" s="17"/>
      <c r="UL169" s="17"/>
      <c r="UM169" s="17"/>
      <c r="UN169" s="17"/>
      <c r="UO169" s="17"/>
      <c r="UP169" s="17"/>
      <c r="UQ169" s="17"/>
      <c r="UR169" s="17"/>
      <c r="US169" s="17"/>
      <c r="UT169" s="17"/>
      <c r="UU169" s="17"/>
      <c r="UV169" s="17"/>
      <c r="UW169" s="17"/>
      <c r="UX169" s="17"/>
      <c r="UY169" s="17"/>
      <c r="UZ169" s="17"/>
      <c r="VA169" s="17"/>
      <c r="VB169" s="17"/>
      <c r="VC169" s="17"/>
      <c r="VD169" s="17"/>
      <c r="VE169" s="17"/>
      <c r="VF169" s="17"/>
      <c r="VG169" s="17"/>
      <c r="VH169" s="17"/>
      <c r="VI169" s="17"/>
      <c r="VJ169" s="17"/>
      <c r="VK169" s="17"/>
      <c r="VL169" s="17"/>
      <c r="VM169" s="17"/>
      <c r="VN169" s="17"/>
      <c r="VO169" s="17"/>
      <c r="VP169" s="17"/>
      <c r="VQ169" s="17"/>
      <c r="VR169" s="17"/>
      <c r="VS169" s="17"/>
      <c r="VT169" s="17"/>
      <c r="VU169" s="17"/>
      <c r="VV169" s="17"/>
      <c r="VW169" s="17"/>
      <c r="VX169" s="17"/>
      <c r="VY169" s="17"/>
      <c r="VZ169" s="17"/>
      <c r="WA169" s="17"/>
      <c r="WB169" s="17"/>
      <c r="WC169" s="17"/>
      <c r="WD169" s="17"/>
      <c r="WE169" s="17"/>
      <c r="WF169" s="17"/>
      <c r="WG169" s="17"/>
      <c r="WH169" s="17"/>
      <c r="WI169" s="17"/>
      <c r="WJ169" s="17"/>
      <c r="WK169" s="17"/>
      <c r="WL169" s="17"/>
      <c r="WM169" s="17"/>
      <c r="WN169" s="17"/>
      <c r="WO169" s="17"/>
      <c r="WP169" s="17"/>
      <c r="WQ169" s="17"/>
      <c r="WR169" s="17"/>
      <c r="WS169" s="17"/>
      <c r="WT169" s="17"/>
      <c r="WU169" s="17"/>
      <c r="WV169" s="17"/>
      <c r="WW169" s="17"/>
      <c r="WX169" s="17"/>
      <c r="WY169" s="17"/>
      <c r="WZ169" s="17"/>
      <c r="XA169" s="17"/>
      <c r="XB169" s="17"/>
      <c r="XC169" s="17"/>
      <c r="XD169" s="17"/>
      <c r="XE169" s="17"/>
      <c r="XF169" s="17"/>
      <c r="XG169" s="17"/>
      <c r="XH169" s="17"/>
      <c r="XI169" s="17"/>
      <c r="XJ169" s="17"/>
      <c r="XK169" s="17"/>
      <c r="XL169" s="17"/>
      <c r="XM169" s="17"/>
      <c r="XN169" s="17"/>
      <c r="XO169" s="17"/>
      <c r="XP169" s="17"/>
      <c r="XQ169" s="17"/>
      <c r="XR169" s="17"/>
      <c r="XS169" s="17"/>
      <c r="XT169" s="17"/>
      <c r="XU169" s="17"/>
      <c r="XV169" s="17"/>
      <c r="XW169" s="17"/>
      <c r="XX169" s="17"/>
      <c r="XY169" s="17"/>
      <c r="XZ169" s="17"/>
      <c r="YA169" s="17"/>
      <c r="YB169" s="17"/>
      <c r="YC169" s="17"/>
      <c r="YD169" s="17"/>
      <c r="YE169" s="17"/>
      <c r="YF169" s="17"/>
      <c r="YG169" s="17"/>
      <c r="YH169" s="17"/>
      <c r="YI169" s="17"/>
      <c r="YJ169" s="17"/>
      <c r="YK169" s="17"/>
      <c r="YL169" s="17"/>
      <c r="YM169" s="17"/>
      <c r="YN169" s="17"/>
      <c r="YO169" s="17"/>
      <c r="YP169" s="17"/>
      <c r="YQ169" s="17"/>
      <c r="YR169" s="17"/>
      <c r="YS169" s="17"/>
    </row>
    <row r="170" spans="266:669" x14ac:dyDescent="0.25">
      <c r="JF170" s="17"/>
      <c r="JG170" s="17"/>
      <c r="JH170" s="17"/>
      <c r="JI170" s="17"/>
      <c r="JJ170" s="17"/>
      <c r="JK170" s="17"/>
      <c r="JL170" s="17"/>
      <c r="JM170" s="17"/>
      <c r="JN170" s="17"/>
      <c r="JO170" s="17"/>
      <c r="JP170" s="17"/>
      <c r="JQ170" s="17"/>
      <c r="JR170" s="17"/>
      <c r="JS170" s="17"/>
      <c r="JT170" s="17"/>
      <c r="JU170" s="17"/>
      <c r="JV170" s="17"/>
      <c r="JW170" s="17"/>
      <c r="JX170" s="17"/>
      <c r="JY170" s="17"/>
      <c r="JZ170" s="17"/>
      <c r="KA170" s="17"/>
      <c r="KB170" s="17"/>
      <c r="KC170" s="17"/>
      <c r="KD170" s="17"/>
      <c r="KE170" s="17"/>
      <c r="KF170" s="17"/>
      <c r="KG170" s="17"/>
      <c r="KH170" s="17"/>
      <c r="KI170" s="17"/>
      <c r="KJ170" s="17"/>
      <c r="KK170" s="17"/>
      <c r="KL170" s="17"/>
      <c r="KM170" s="17"/>
      <c r="KN170" s="17"/>
      <c r="KO170" s="17"/>
      <c r="KP170" s="17"/>
      <c r="KQ170" s="17"/>
      <c r="KR170" s="17"/>
      <c r="KS170" s="17"/>
      <c r="KT170" s="17"/>
      <c r="KU170" s="17"/>
      <c r="KV170" s="17"/>
      <c r="KW170" s="17"/>
      <c r="KX170" s="17"/>
      <c r="KY170" s="17"/>
      <c r="KZ170" s="17"/>
      <c r="LA170" s="17"/>
      <c r="LB170" s="17"/>
      <c r="LC170" s="17"/>
      <c r="LD170" s="17"/>
      <c r="LE170" s="17"/>
      <c r="LF170" s="17"/>
      <c r="LG170" s="17"/>
      <c r="LH170" s="17"/>
      <c r="LI170" s="17"/>
      <c r="LJ170" s="17"/>
      <c r="LK170" s="17"/>
      <c r="LL170" s="17"/>
      <c r="LM170" s="17"/>
      <c r="LN170" s="17"/>
      <c r="LO170" s="17"/>
      <c r="LP170" s="17"/>
      <c r="LQ170" s="17"/>
      <c r="LR170" s="17"/>
      <c r="LS170" s="17"/>
      <c r="LT170" s="17"/>
      <c r="LU170" s="17"/>
      <c r="LV170" s="17"/>
      <c r="LW170" s="17"/>
      <c r="LX170" s="17"/>
      <c r="LY170" s="17"/>
      <c r="LZ170" s="17"/>
      <c r="MA170" s="17"/>
      <c r="MB170" s="17"/>
      <c r="MC170" s="17"/>
      <c r="MD170" s="17"/>
      <c r="ME170" s="17"/>
      <c r="MF170" s="17"/>
      <c r="MG170" s="17"/>
      <c r="MH170" s="17"/>
      <c r="MI170" s="17"/>
      <c r="MJ170" s="17"/>
      <c r="MK170" s="17"/>
      <c r="ML170" s="17"/>
      <c r="MM170" s="17"/>
      <c r="MN170" s="17"/>
      <c r="MO170" s="17"/>
      <c r="MP170" s="17"/>
      <c r="MQ170" s="17"/>
      <c r="MR170" s="17"/>
      <c r="MS170" s="17"/>
      <c r="MT170" s="17"/>
      <c r="MU170" s="17"/>
      <c r="MV170" s="17"/>
      <c r="MW170" s="17"/>
      <c r="MX170" s="17"/>
      <c r="MY170" s="17"/>
      <c r="MZ170" s="17"/>
      <c r="NA170" s="17"/>
      <c r="NB170" s="17"/>
      <c r="NC170" s="17"/>
      <c r="ND170" s="17"/>
      <c r="NE170" s="17"/>
      <c r="NF170" s="17"/>
      <c r="NG170" s="17"/>
      <c r="NH170" s="17"/>
      <c r="NI170" s="17"/>
      <c r="NJ170" s="17"/>
      <c r="NK170" s="17"/>
      <c r="NL170" s="17"/>
      <c r="NM170" s="17"/>
      <c r="NN170" s="17"/>
      <c r="NO170" s="17"/>
      <c r="NP170" s="17"/>
      <c r="NQ170" s="17"/>
      <c r="NR170" s="17"/>
      <c r="NS170" s="17"/>
      <c r="NT170" s="17"/>
      <c r="NU170" s="17"/>
      <c r="NV170" s="17"/>
      <c r="NW170" s="17"/>
      <c r="NX170" s="17"/>
      <c r="NY170" s="17"/>
      <c r="NZ170" s="17"/>
      <c r="OA170" s="17"/>
      <c r="OB170" s="17"/>
      <c r="OC170" s="17"/>
      <c r="OD170" s="17"/>
      <c r="OE170" s="17"/>
      <c r="OF170" s="17"/>
      <c r="OG170" s="17"/>
      <c r="OH170" s="17"/>
      <c r="OI170" s="17"/>
      <c r="OJ170" s="17"/>
      <c r="OK170" s="17"/>
      <c r="OL170" s="17"/>
      <c r="OM170" s="17"/>
      <c r="ON170" s="17"/>
      <c r="OO170" s="17"/>
      <c r="OP170" s="17"/>
      <c r="OQ170" s="17"/>
      <c r="OR170" s="17"/>
      <c r="OS170" s="17"/>
      <c r="OT170" s="17"/>
      <c r="OU170" s="17"/>
      <c r="OV170" s="17"/>
      <c r="OW170" s="17"/>
      <c r="OX170" s="17"/>
      <c r="OY170" s="17"/>
      <c r="OZ170" s="17"/>
      <c r="PA170" s="17"/>
      <c r="PB170" s="17"/>
      <c r="PC170" s="17"/>
      <c r="PD170" s="17"/>
      <c r="PE170" s="17"/>
      <c r="PF170" s="17"/>
      <c r="PG170" s="17"/>
      <c r="PH170" s="17"/>
      <c r="PI170" s="17"/>
      <c r="PJ170" s="17"/>
      <c r="PK170" s="17"/>
      <c r="PL170" s="17"/>
      <c r="PM170" s="17"/>
      <c r="PN170" s="17"/>
      <c r="PO170" s="17"/>
      <c r="PP170" s="17"/>
      <c r="PQ170" s="17"/>
      <c r="PR170" s="17"/>
      <c r="PS170" s="17"/>
      <c r="PT170" s="17"/>
      <c r="PU170" s="17"/>
      <c r="PV170" s="17"/>
      <c r="PW170" s="17"/>
      <c r="PX170" s="17"/>
      <c r="PY170" s="17"/>
      <c r="PZ170" s="17"/>
      <c r="QA170" s="17"/>
      <c r="QB170" s="17"/>
      <c r="QC170" s="17"/>
      <c r="QD170" s="17"/>
      <c r="QE170" s="17"/>
      <c r="QF170" s="17"/>
      <c r="QG170" s="17"/>
      <c r="QH170" s="17"/>
      <c r="QI170" s="17"/>
      <c r="QJ170" s="17"/>
      <c r="QK170" s="17"/>
      <c r="QL170" s="17"/>
      <c r="QM170" s="17"/>
      <c r="QN170" s="17"/>
      <c r="QO170" s="17"/>
      <c r="QP170" s="17"/>
      <c r="QQ170" s="17"/>
      <c r="QR170" s="17"/>
      <c r="QS170" s="17"/>
      <c r="QT170" s="17"/>
      <c r="QU170" s="17"/>
      <c r="QV170" s="17"/>
      <c r="QW170" s="17"/>
      <c r="QX170" s="17"/>
      <c r="QY170" s="17"/>
      <c r="QZ170" s="17"/>
      <c r="RA170" s="17"/>
      <c r="RB170" s="17"/>
      <c r="RC170" s="17"/>
      <c r="RD170" s="17"/>
      <c r="RE170" s="17"/>
      <c r="RF170" s="17"/>
      <c r="RG170" s="17"/>
      <c r="RH170" s="17"/>
      <c r="RI170" s="17"/>
      <c r="RJ170" s="17"/>
      <c r="RK170" s="17"/>
      <c r="RL170" s="17"/>
      <c r="RM170" s="17"/>
      <c r="RN170" s="17"/>
      <c r="RO170" s="17"/>
      <c r="RP170" s="17"/>
      <c r="RQ170" s="17"/>
      <c r="RR170" s="17"/>
      <c r="RS170" s="17"/>
      <c r="RT170" s="17"/>
      <c r="RU170" s="17"/>
      <c r="RV170" s="17"/>
      <c r="RW170" s="17"/>
      <c r="RX170" s="17"/>
      <c r="RY170" s="17"/>
      <c r="RZ170" s="17"/>
      <c r="SA170" s="17"/>
      <c r="SB170" s="17"/>
      <c r="SC170" s="17"/>
      <c r="SD170" s="17"/>
      <c r="SE170" s="17"/>
      <c r="SF170" s="17"/>
      <c r="SG170" s="17"/>
      <c r="SH170" s="17"/>
      <c r="SI170" s="17"/>
      <c r="SJ170" s="17"/>
      <c r="SK170" s="17"/>
      <c r="SL170" s="17"/>
      <c r="SM170" s="17"/>
      <c r="SN170" s="17"/>
      <c r="SO170" s="17"/>
      <c r="SP170" s="17"/>
      <c r="SQ170" s="17"/>
      <c r="SR170" s="17"/>
      <c r="SS170" s="17"/>
      <c r="ST170" s="17"/>
      <c r="SU170" s="17"/>
      <c r="SV170" s="17"/>
      <c r="SW170" s="17"/>
      <c r="SX170" s="17"/>
      <c r="SY170" s="17"/>
      <c r="SZ170" s="17"/>
      <c r="TA170" s="17"/>
      <c r="TB170" s="17"/>
      <c r="TC170" s="17"/>
      <c r="TD170" s="17"/>
      <c r="TE170" s="17"/>
      <c r="TF170" s="17"/>
      <c r="TG170" s="17"/>
      <c r="TH170" s="17"/>
      <c r="TI170" s="17"/>
      <c r="TJ170" s="17"/>
      <c r="TK170" s="17"/>
      <c r="TL170" s="17"/>
      <c r="TM170" s="17"/>
      <c r="TN170" s="17"/>
      <c r="TO170" s="17"/>
      <c r="TP170" s="17"/>
      <c r="TQ170" s="17"/>
      <c r="TR170" s="17"/>
      <c r="TS170" s="17"/>
      <c r="TT170" s="17"/>
      <c r="TU170" s="17"/>
      <c r="TV170" s="17"/>
      <c r="TW170" s="17"/>
      <c r="TX170" s="17"/>
      <c r="TY170" s="17"/>
      <c r="TZ170" s="17"/>
      <c r="UA170" s="17"/>
      <c r="UB170" s="17"/>
      <c r="UC170" s="17"/>
      <c r="UD170" s="17"/>
      <c r="UE170" s="17"/>
      <c r="UF170" s="17"/>
      <c r="UG170" s="17"/>
      <c r="UH170" s="17"/>
      <c r="UI170" s="17"/>
      <c r="UJ170" s="17"/>
      <c r="UK170" s="17"/>
      <c r="UL170" s="17"/>
      <c r="UM170" s="17"/>
      <c r="UN170" s="17"/>
      <c r="UO170" s="17"/>
      <c r="UP170" s="17"/>
      <c r="UQ170" s="17"/>
      <c r="UR170" s="17"/>
      <c r="US170" s="17"/>
      <c r="UT170" s="17"/>
      <c r="UU170" s="17"/>
      <c r="UV170" s="17"/>
      <c r="UW170" s="17"/>
      <c r="UX170" s="17"/>
      <c r="UY170" s="17"/>
      <c r="UZ170" s="17"/>
      <c r="VA170" s="17"/>
      <c r="VB170" s="17"/>
      <c r="VC170" s="17"/>
      <c r="VD170" s="17"/>
      <c r="VE170" s="17"/>
      <c r="VF170" s="17"/>
      <c r="VG170" s="17"/>
      <c r="VH170" s="17"/>
      <c r="VI170" s="17"/>
      <c r="VJ170" s="17"/>
      <c r="VK170" s="17"/>
      <c r="VL170" s="17"/>
      <c r="VM170" s="17"/>
      <c r="VN170" s="17"/>
      <c r="VO170" s="17"/>
      <c r="VP170" s="17"/>
      <c r="VQ170" s="17"/>
      <c r="VR170" s="17"/>
      <c r="VS170" s="17"/>
      <c r="VT170" s="17"/>
      <c r="VU170" s="17"/>
      <c r="VV170" s="17"/>
      <c r="VW170" s="17"/>
      <c r="VX170" s="17"/>
      <c r="VY170" s="17"/>
      <c r="VZ170" s="17"/>
      <c r="WA170" s="17"/>
      <c r="WB170" s="17"/>
      <c r="WC170" s="17"/>
      <c r="WD170" s="17"/>
      <c r="WE170" s="17"/>
      <c r="WF170" s="17"/>
      <c r="WG170" s="17"/>
      <c r="WH170" s="17"/>
      <c r="WI170" s="17"/>
      <c r="WJ170" s="17"/>
      <c r="WK170" s="17"/>
      <c r="WL170" s="17"/>
      <c r="WM170" s="17"/>
      <c r="WN170" s="17"/>
      <c r="WO170" s="17"/>
      <c r="WP170" s="17"/>
      <c r="WQ170" s="17"/>
      <c r="WR170" s="17"/>
      <c r="WS170" s="17"/>
      <c r="WT170" s="17"/>
      <c r="WU170" s="17"/>
      <c r="WV170" s="17"/>
      <c r="WW170" s="17"/>
      <c r="WX170" s="17"/>
      <c r="WY170" s="17"/>
      <c r="WZ170" s="17"/>
      <c r="XA170" s="17"/>
      <c r="XB170" s="17"/>
      <c r="XC170" s="17"/>
      <c r="XD170" s="17"/>
      <c r="XE170" s="17"/>
      <c r="XF170" s="17"/>
      <c r="XG170" s="17"/>
      <c r="XH170" s="17"/>
      <c r="XI170" s="17"/>
      <c r="XJ170" s="17"/>
      <c r="XK170" s="17"/>
      <c r="XL170" s="17"/>
      <c r="XM170" s="17"/>
      <c r="XN170" s="17"/>
      <c r="XO170" s="17"/>
      <c r="XP170" s="17"/>
      <c r="XQ170" s="17"/>
      <c r="XR170" s="17"/>
      <c r="XS170" s="17"/>
      <c r="XT170" s="17"/>
      <c r="XU170" s="17"/>
      <c r="XV170" s="17"/>
      <c r="XW170" s="17"/>
      <c r="XX170" s="17"/>
      <c r="XY170" s="17"/>
      <c r="XZ170" s="17"/>
      <c r="YA170" s="17"/>
      <c r="YB170" s="17"/>
      <c r="YC170" s="17"/>
      <c r="YD170" s="17"/>
      <c r="YE170" s="17"/>
      <c r="YF170" s="17"/>
      <c r="YG170" s="17"/>
      <c r="YH170" s="17"/>
      <c r="YI170" s="17"/>
      <c r="YJ170" s="17"/>
      <c r="YK170" s="17"/>
      <c r="YL170" s="17"/>
      <c r="YM170" s="17"/>
      <c r="YN170" s="17"/>
      <c r="YO170" s="17"/>
      <c r="YP170" s="17"/>
      <c r="YQ170" s="17"/>
      <c r="YR170" s="17"/>
      <c r="YS170" s="17"/>
    </row>
    <row r="171" spans="266:669" x14ac:dyDescent="0.25">
      <c r="JF171" s="17"/>
      <c r="JG171" s="17"/>
      <c r="JH171" s="17"/>
      <c r="JI171" s="17"/>
      <c r="JJ171" s="17"/>
      <c r="JK171" s="17"/>
      <c r="JL171" s="17"/>
      <c r="JM171" s="17"/>
      <c r="JN171" s="17"/>
      <c r="JO171" s="17"/>
      <c r="JP171" s="17"/>
      <c r="JQ171" s="17"/>
      <c r="JR171" s="17"/>
      <c r="JS171" s="17"/>
      <c r="JT171" s="17"/>
      <c r="JU171" s="17"/>
      <c r="JV171" s="17"/>
      <c r="JW171" s="17"/>
      <c r="JX171" s="17"/>
      <c r="JY171" s="17"/>
      <c r="JZ171" s="17"/>
      <c r="KA171" s="17"/>
      <c r="KB171" s="17"/>
      <c r="KC171" s="17"/>
      <c r="KD171" s="17"/>
      <c r="KE171" s="17"/>
      <c r="KF171" s="17"/>
      <c r="KG171" s="17"/>
      <c r="KH171" s="17"/>
      <c r="KI171" s="17"/>
      <c r="KJ171" s="17"/>
      <c r="KK171" s="17"/>
      <c r="KL171" s="17"/>
      <c r="KM171" s="17"/>
      <c r="KN171" s="17"/>
      <c r="KO171" s="17"/>
      <c r="KP171" s="17"/>
      <c r="KQ171" s="17"/>
      <c r="KR171" s="17"/>
      <c r="KS171" s="17"/>
      <c r="KT171" s="17"/>
      <c r="KU171" s="17"/>
      <c r="KV171" s="17"/>
      <c r="KW171" s="17"/>
      <c r="KX171" s="17"/>
      <c r="KY171" s="17"/>
      <c r="KZ171" s="17"/>
      <c r="LA171" s="17"/>
      <c r="LB171" s="17"/>
      <c r="LC171" s="17"/>
      <c r="LD171" s="17"/>
      <c r="LE171" s="17"/>
      <c r="LF171" s="17"/>
      <c r="LG171" s="17"/>
      <c r="LH171" s="17"/>
      <c r="LI171" s="17"/>
      <c r="LJ171" s="17"/>
      <c r="LK171" s="17"/>
      <c r="LL171" s="17"/>
      <c r="LM171" s="17"/>
      <c r="LN171" s="17"/>
      <c r="LO171" s="17"/>
      <c r="LP171" s="17"/>
      <c r="LQ171" s="17"/>
      <c r="LR171" s="17"/>
      <c r="LS171" s="17"/>
      <c r="LT171" s="17"/>
      <c r="LU171" s="17"/>
      <c r="LV171" s="17"/>
      <c r="LW171" s="17"/>
      <c r="LX171" s="17"/>
      <c r="LY171" s="17"/>
      <c r="LZ171" s="17"/>
      <c r="MA171" s="17"/>
      <c r="MB171" s="17"/>
      <c r="MC171" s="17"/>
      <c r="MD171" s="17"/>
      <c r="ME171" s="17"/>
      <c r="MF171" s="17"/>
      <c r="MG171" s="17"/>
      <c r="MH171" s="17"/>
      <c r="MI171" s="17"/>
      <c r="MJ171" s="17"/>
      <c r="MK171" s="17"/>
      <c r="ML171" s="17"/>
      <c r="MM171" s="17"/>
      <c r="MN171" s="17"/>
      <c r="MO171" s="17"/>
      <c r="MP171" s="17"/>
      <c r="MQ171" s="17"/>
      <c r="MR171" s="17"/>
      <c r="MS171" s="17"/>
      <c r="MT171" s="17"/>
      <c r="MU171" s="17"/>
      <c r="MV171" s="17"/>
      <c r="MW171" s="17"/>
      <c r="MX171" s="17"/>
      <c r="MY171" s="17"/>
      <c r="MZ171" s="17"/>
      <c r="NA171" s="17"/>
      <c r="NB171" s="17"/>
      <c r="NC171" s="17"/>
      <c r="ND171" s="17"/>
      <c r="NE171" s="17"/>
      <c r="NF171" s="17"/>
      <c r="NG171" s="17"/>
      <c r="NH171" s="17"/>
      <c r="NI171" s="17"/>
      <c r="NJ171" s="17"/>
      <c r="NK171" s="17"/>
      <c r="NL171" s="17"/>
      <c r="NM171" s="17"/>
      <c r="NN171" s="17"/>
      <c r="NO171" s="17"/>
      <c r="NP171" s="17"/>
      <c r="NQ171" s="17"/>
      <c r="NR171" s="17"/>
      <c r="NS171" s="17"/>
      <c r="NT171" s="17"/>
      <c r="NU171" s="17"/>
      <c r="NV171" s="17"/>
      <c r="NW171" s="17"/>
      <c r="NX171" s="17"/>
      <c r="NY171" s="17"/>
      <c r="NZ171" s="17"/>
      <c r="OA171" s="17"/>
      <c r="OB171" s="17"/>
      <c r="OC171" s="17"/>
      <c r="OD171" s="17"/>
      <c r="OE171" s="17"/>
      <c r="OF171" s="17"/>
      <c r="OG171" s="17"/>
      <c r="OH171" s="17"/>
      <c r="OI171" s="17"/>
      <c r="OJ171" s="17"/>
      <c r="OK171" s="17"/>
      <c r="OL171" s="17"/>
      <c r="OM171" s="17"/>
      <c r="ON171" s="17"/>
      <c r="OO171" s="17"/>
      <c r="OP171" s="17"/>
      <c r="OQ171" s="17"/>
      <c r="OR171" s="17"/>
      <c r="OS171" s="17"/>
      <c r="OT171" s="17"/>
      <c r="OU171" s="17"/>
      <c r="OV171" s="17"/>
      <c r="OW171" s="17"/>
      <c r="OX171" s="17"/>
      <c r="OY171" s="17"/>
      <c r="OZ171" s="17"/>
      <c r="PA171" s="17"/>
      <c r="PB171" s="17"/>
      <c r="PC171" s="17"/>
      <c r="PD171" s="17"/>
      <c r="PE171" s="17"/>
      <c r="PF171" s="17"/>
      <c r="PG171" s="17"/>
      <c r="PH171" s="17"/>
      <c r="PI171" s="17"/>
      <c r="PJ171" s="17"/>
      <c r="PK171" s="17"/>
      <c r="PL171" s="17"/>
      <c r="PM171" s="17"/>
      <c r="PN171" s="17"/>
      <c r="PO171" s="17"/>
      <c r="PP171" s="17"/>
      <c r="PQ171" s="17"/>
      <c r="PR171" s="17"/>
      <c r="PS171" s="17"/>
      <c r="PT171" s="17"/>
      <c r="PU171" s="17"/>
      <c r="PV171" s="17"/>
      <c r="PW171" s="17"/>
      <c r="PX171" s="17"/>
      <c r="PY171" s="17"/>
      <c r="PZ171" s="17"/>
      <c r="QA171" s="17"/>
      <c r="QB171" s="17"/>
      <c r="QC171" s="17"/>
      <c r="QD171" s="17"/>
      <c r="QE171" s="17"/>
      <c r="QF171" s="17"/>
      <c r="QG171" s="17"/>
      <c r="QH171" s="17"/>
      <c r="QI171" s="17"/>
      <c r="QJ171" s="17"/>
      <c r="QK171" s="17"/>
      <c r="QL171" s="17"/>
      <c r="QM171" s="17"/>
      <c r="QN171" s="17"/>
      <c r="QO171" s="17"/>
      <c r="QP171" s="17"/>
      <c r="QQ171" s="17"/>
      <c r="QR171" s="17"/>
      <c r="QS171" s="17"/>
      <c r="QT171" s="17"/>
      <c r="QU171" s="17"/>
      <c r="QV171" s="17"/>
      <c r="QW171" s="17"/>
      <c r="QX171" s="17"/>
      <c r="QY171" s="17"/>
      <c r="QZ171" s="17"/>
      <c r="RA171" s="17"/>
      <c r="RB171" s="17"/>
      <c r="RC171" s="17"/>
      <c r="RD171" s="17"/>
      <c r="RE171" s="17"/>
      <c r="RF171" s="17"/>
      <c r="RG171" s="17"/>
      <c r="RH171" s="17"/>
      <c r="RI171" s="17"/>
      <c r="RJ171" s="17"/>
      <c r="RK171" s="17"/>
      <c r="RL171" s="17"/>
      <c r="RM171" s="17"/>
      <c r="RN171" s="17"/>
      <c r="RO171" s="17"/>
      <c r="RP171" s="17"/>
      <c r="RQ171" s="17"/>
      <c r="RR171" s="17"/>
      <c r="RS171" s="17"/>
      <c r="RT171" s="17"/>
      <c r="RU171" s="17"/>
      <c r="RV171" s="17"/>
      <c r="RW171" s="17"/>
      <c r="RX171" s="17"/>
      <c r="RY171" s="17"/>
      <c r="RZ171" s="17"/>
      <c r="SA171" s="17"/>
      <c r="SB171" s="17"/>
      <c r="SC171" s="17"/>
      <c r="SD171" s="17"/>
      <c r="SE171" s="17"/>
      <c r="SF171" s="17"/>
      <c r="SG171" s="17"/>
      <c r="SH171" s="17"/>
      <c r="SI171" s="17"/>
      <c r="SJ171" s="17"/>
      <c r="SK171" s="17"/>
      <c r="SL171" s="17"/>
      <c r="SM171" s="17"/>
      <c r="SN171" s="17"/>
      <c r="SO171" s="17"/>
      <c r="SP171" s="17"/>
      <c r="SQ171" s="17"/>
      <c r="SR171" s="17"/>
      <c r="SS171" s="17"/>
      <c r="ST171" s="17"/>
      <c r="SU171" s="17"/>
      <c r="SV171" s="17"/>
      <c r="SW171" s="17"/>
      <c r="SX171" s="17"/>
      <c r="SY171" s="17"/>
      <c r="SZ171" s="17"/>
      <c r="TA171" s="17"/>
      <c r="TB171" s="17"/>
      <c r="TC171" s="17"/>
      <c r="TD171" s="17"/>
      <c r="TE171" s="17"/>
      <c r="TF171" s="17"/>
      <c r="TG171" s="17"/>
      <c r="TH171" s="17"/>
      <c r="TI171" s="17"/>
      <c r="TJ171" s="17"/>
      <c r="TK171" s="17"/>
      <c r="TL171" s="17"/>
      <c r="TM171" s="17"/>
      <c r="TN171" s="17"/>
      <c r="TO171" s="17"/>
      <c r="TP171" s="17"/>
      <c r="TQ171" s="17"/>
      <c r="TR171" s="17"/>
      <c r="TS171" s="17"/>
      <c r="TT171" s="17"/>
      <c r="TU171" s="17"/>
      <c r="TV171" s="17"/>
      <c r="TW171" s="17"/>
      <c r="TX171" s="17"/>
      <c r="TY171" s="17"/>
      <c r="TZ171" s="17"/>
      <c r="UA171" s="17"/>
      <c r="UB171" s="17"/>
      <c r="UC171" s="17"/>
      <c r="UD171" s="17"/>
      <c r="UE171" s="17"/>
      <c r="UF171" s="17"/>
      <c r="UG171" s="17"/>
      <c r="UH171" s="17"/>
      <c r="UI171" s="17"/>
      <c r="UJ171" s="17"/>
      <c r="UK171" s="17"/>
      <c r="UL171" s="17"/>
      <c r="UM171" s="17"/>
      <c r="UN171" s="17"/>
      <c r="UO171" s="17"/>
      <c r="UP171" s="17"/>
      <c r="UQ171" s="17"/>
      <c r="UR171" s="17"/>
      <c r="US171" s="17"/>
      <c r="UT171" s="17"/>
      <c r="UU171" s="17"/>
      <c r="UV171" s="17"/>
      <c r="UW171" s="17"/>
      <c r="UX171" s="17"/>
      <c r="UY171" s="17"/>
      <c r="UZ171" s="17"/>
      <c r="VA171" s="17"/>
      <c r="VB171" s="17"/>
      <c r="VC171" s="17"/>
      <c r="VD171" s="17"/>
      <c r="VE171" s="17"/>
      <c r="VF171" s="17"/>
      <c r="VG171" s="17"/>
      <c r="VH171" s="17"/>
      <c r="VI171" s="17"/>
      <c r="VJ171" s="17"/>
      <c r="VK171" s="17"/>
      <c r="VL171" s="17"/>
      <c r="VM171" s="17"/>
      <c r="VN171" s="17"/>
      <c r="VO171" s="17"/>
      <c r="VP171" s="17"/>
      <c r="VQ171" s="17"/>
      <c r="VR171" s="17"/>
      <c r="VS171" s="17"/>
      <c r="VT171" s="17"/>
      <c r="VU171" s="17"/>
      <c r="VV171" s="17"/>
      <c r="VW171" s="17"/>
      <c r="VX171" s="17"/>
      <c r="VY171" s="17"/>
      <c r="VZ171" s="17"/>
      <c r="WA171" s="17"/>
      <c r="WB171" s="17"/>
      <c r="WC171" s="17"/>
      <c r="WD171" s="17"/>
      <c r="WE171" s="17"/>
      <c r="WF171" s="17"/>
      <c r="WG171" s="17"/>
      <c r="WH171" s="17"/>
      <c r="WI171" s="17"/>
      <c r="WJ171" s="17"/>
      <c r="WK171" s="17"/>
      <c r="WL171" s="17"/>
      <c r="WM171" s="17"/>
      <c r="WN171" s="17"/>
      <c r="WO171" s="17"/>
      <c r="WP171" s="17"/>
      <c r="WQ171" s="17"/>
      <c r="WR171" s="17"/>
      <c r="WS171" s="17"/>
      <c r="WT171" s="17"/>
      <c r="WU171" s="17"/>
      <c r="WV171" s="17"/>
      <c r="WW171" s="17"/>
      <c r="WX171" s="17"/>
      <c r="WY171" s="17"/>
      <c r="WZ171" s="17"/>
      <c r="XA171" s="17"/>
      <c r="XB171" s="17"/>
      <c r="XC171" s="17"/>
      <c r="XD171" s="17"/>
      <c r="XE171" s="17"/>
      <c r="XF171" s="17"/>
      <c r="XG171" s="17"/>
      <c r="XH171" s="17"/>
      <c r="XI171" s="17"/>
      <c r="XJ171" s="17"/>
      <c r="XK171" s="17"/>
      <c r="XL171" s="17"/>
      <c r="XM171" s="17"/>
      <c r="XN171" s="17"/>
      <c r="XO171" s="17"/>
      <c r="XP171" s="17"/>
      <c r="XQ171" s="17"/>
      <c r="XR171" s="17"/>
      <c r="XS171" s="17"/>
      <c r="XT171" s="17"/>
      <c r="XU171" s="17"/>
      <c r="XV171" s="17"/>
      <c r="XW171" s="17"/>
      <c r="XX171" s="17"/>
      <c r="XY171" s="17"/>
      <c r="XZ171" s="17"/>
      <c r="YA171" s="17"/>
      <c r="YB171" s="17"/>
      <c r="YC171" s="17"/>
      <c r="YD171" s="17"/>
      <c r="YE171" s="17"/>
      <c r="YF171" s="17"/>
      <c r="YG171" s="17"/>
      <c r="YH171" s="17"/>
      <c r="YI171" s="17"/>
      <c r="YJ171" s="17"/>
      <c r="YK171" s="17"/>
      <c r="YL171" s="17"/>
      <c r="YM171" s="17"/>
      <c r="YN171" s="17"/>
      <c r="YO171" s="17"/>
      <c r="YP171" s="17"/>
      <c r="YQ171" s="17"/>
      <c r="YR171" s="17"/>
      <c r="YS171" s="17"/>
    </row>
    <row r="172" spans="266:669" x14ac:dyDescent="0.25">
      <c r="JF172" s="17"/>
      <c r="JG172" s="17"/>
      <c r="JH172" s="17"/>
      <c r="JI172" s="17"/>
      <c r="JJ172" s="17"/>
      <c r="JK172" s="17"/>
      <c r="JL172" s="17"/>
      <c r="JM172" s="17"/>
      <c r="JN172" s="17"/>
      <c r="JO172" s="17"/>
      <c r="JP172" s="17"/>
      <c r="JQ172" s="17"/>
      <c r="JR172" s="17"/>
      <c r="JS172" s="17"/>
      <c r="JT172" s="17"/>
      <c r="JU172" s="17"/>
      <c r="JV172" s="17"/>
      <c r="JW172" s="17"/>
      <c r="JX172" s="17"/>
      <c r="JY172" s="17"/>
      <c r="JZ172" s="17"/>
      <c r="KA172" s="17"/>
      <c r="KB172" s="17"/>
      <c r="KC172" s="17"/>
      <c r="KD172" s="17"/>
      <c r="KE172" s="17"/>
      <c r="KF172" s="17"/>
      <c r="KG172" s="17"/>
      <c r="KH172" s="17"/>
      <c r="KI172" s="17"/>
      <c r="KJ172" s="17"/>
      <c r="KK172" s="17"/>
      <c r="KL172" s="17"/>
      <c r="KM172" s="17"/>
      <c r="KN172" s="17"/>
      <c r="KO172" s="17"/>
      <c r="KP172" s="17"/>
      <c r="KQ172" s="17"/>
      <c r="KR172" s="17"/>
      <c r="KS172" s="17"/>
      <c r="KT172" s="17"/>
      <c r="KU172" s="17"/>
      <c r="KV172" s="17"/>
      <c r="KW172" s="17"/>
      <c r="KX172" s="17"/>
      <c r="KY172" s="17"/>
      <c r="KZ172" s="17"/>
      <c r="LA172" s="17"/>
      <c r="LB172" s="17"/>
      <c r="LC172" s="17"/>
      <c r="LD172" s="17"/>
      <c r="LE172" s="17"/>
      <c r="LF172" s="17"/>
      <c r="LG172" s="17"/>
      <c r="LH172" s="17"/>
      <c r="LI172" s="17"/>
      <c r="LJ172" s="17"/>
      <c r="LK172" s="17"/>
      <c r="LL172" s="17"/>
      <c r="LM172" s="17"/>
      <c r="LN172" s="17"/>
      <c r="LO172" s="17"/>
      <c r="LP172" s="17"/>
      <c r="LQ172" s="17"/>
      <c r="LR172" s="17"/>
      <c r="LS172" s="17"/>
      <c r="LT172" s="17"/>
      <c r="LU172" s="17"/>
      <c r="LV172" s="17"/>
      <c r="LW172" s="17"/>
      <c r="LX172" s="17"/>
      <c r="LY172" s="17"/>
      <c r="LZ172" s="17"/>
      <c r="MA172" s="17"/>
      <c r="MB172" s="17"/>
      <c r="MC172" s="17"/>
      <c r="MD172" s="17"/>
      <c r="ME172" s="17"/>
      <c r="MF172" s="17"/>
      <c r="MG172" s="17"/>
      <c r="MH172" s="17"/>
      <c r="MI172" s="17"/>
      <c r="MJ172" s="17"/>
      <c r="MK172" s="17"/>
      <c r="ML172" s="17"/>
      <c r="MM172" s="17"/>
      <c r="MN172" s="17"/>
      <c r="MO172" s="17"/>
      <c r="MP172" s="17"/>
      <c r="MQ172" s="17"/>
      <c r="MR172" s="17"/>
      <c r="MS172" s="17"/>
      <c r="MT172" s="17"/>
      <c r="MU172" s="17"/>
      <c r="MV172" s="17"/>
      <c r="MW172" s="17"/>
      <c r="MX172" s="17"/>
      <c r="MY172" s="17"/>
      <c r="MZ172" s="17"/>
      <c r="NA172" s="17"/>
      <c r="NB172" s="17"/>
      <c r="NC172" s="17"/>
      <c r="ND172" s="17"/>
      <c r="NE172" s="17"/>
      <c r="NF172" s="17"/>
      <c r="NG172" s="17"/>
      <c r="NH172" s="17"/>
      <c r="NI172" s="17"/>
      <c r="NJ172" s="17"/>
      <c r="NK172" s="17"/>
      <c r="NL172" s="17"/>
      <c r="NM172" s="17"/>
      <c r="NN172" s="17"/>
      <c r="NO172" s="17"/>
      <c r="NP172" s="17"/>
      <c r="NQ172" s="17"/>
      <c r="NR172" s="17"/>
      <c r="NS172" s="17"/>
      <c r="NT172" s="17"/>
      <c r="NU172" s="17"/>
      <c r="NV172" s="17"/>
      <c r="NW172" s="17"/>
      <c r="NX172" s="17"/>
      <c r="NY172" s="17"/>
      <c r="NZ172" s="17"/>
      <c r="OA172" s="17"/>
      <c r="OB172" s="17"/>
      <c r="OC172" s="17"/>
      <c r="OD172" s="17"/>
      <c r="OE172" s="17"/>
      <c r="OF172" s="17"/>
      <c r="OG172" s="17"/>
      <c r="OH172" s="17"/>
      <c r="OI172" s="17"/>
      <c r="OJ172" s="17"/>
      <c r="OK172" s="17"/>
      <c r="OL172" s="17"/>
      <c r="OM172" s="17"/>
      <c r="ON172" s="17"/>
      <c r="OO172" s="17"/>
      <c r="OP172" s="17"/>
      <c r="OQ172" s="17"/>
      <c r="OR172" s="17"/>
      <c r="OS172" s="17"/>
      <c r="OT172" s="17"/>
      <c r="OU172" s="17"/>
      <c r="OV172" s="17"/>
      <c r="OW172" s="17"/>
      <c r="OX172" s="17"/>
      <c r="OY172" s="17"/>
      <c r="OZ172" s="17"/>
      <c r="PA172" s="17"/>
      <c r="PB172" s="17"/>
      <c r="PC172" s="17"/>
      <c r="PD172" s="17"/>
      <c r="PE172" s="17"/>
      <c r="PF172" s="17"/>
      <c r="PG172" s="17"/>
      <c r="PH172" s="17"/>
      <c r="PI172" s="17"/>
      <c r="PJ172" s="17"/>
      <c r="PK172" s="17"/>
      <c r="PL172" s="17"/>
      <c r="PM172" s="17"/>
      <c r="PN172" s="17"/>
      <c r="PO172" s="17"/>
      <c r="PP172" s="17"/>
      <c r="PQ172" s="17"/>
      <c r="PR172" s="17"/>
      <c r="PS172" s="17"/>
      <c r="PT172" s="17"/>
      <c r="PU172" s="17"/>
      <c r="PV172" s="17"/>
      <c r="PW172" s="17"/>
      <c r="PX172" s="17"/>
      <c r="PY172" s="17"/>
      <c r="PZ172" s="17"/>
      <c r="QA172" s="17"/>
      <c r="QB172" s="17"/>
      <c r="QC172" s="17"/>
      <c r="QD172" s="17"/>
      <c r="QE172" s="17"/>
      <c r="QF172" s="17"/>
      <c r="QG172" s="17"/>
      <c r="QH172" s="17"/>
      <c r="QI172" s="17"/>
      <c r="QJ172" s="17"/>
      <c r="QK172" s="17"/>
      <c r="QL172" s="17"/>
      <c r="QM172" s="17"/>
      <c r="QN172" s="17"/>
      <c r="QO172" s="17"/>
      <c r="QP172" s="17"/>
      <c r="QQ172" s="17"/>
      <c r="QR172" s="17"/>
      <c r="QS172" s="17"/>
      <c r="QT172" s="17"/>
      <c r="QU172" s="17"/>
      <c r="QV172" s="17"/>
      <c r="QW172" s="17"/>
      <c r="QX172" s="17"/>
      <c r="QY172" s="17"/>
      <c r="QZ172" s="17"/>
      <c r="RA172" s="17"/>
      <c r="RB172" s="17"/>
      <c r="RC172" s="17"/>
      <c r="RD172" s="17"/>
      <c r="RE172" s="17"/>
      <c r="RF172" s="17"/>
      <c r="RG172" s="17"/>
      <c r="RH172" s="17"/>
      <c r="RI172" s="17"/>
      <c r="RJ172" s="17"/>
      <c r="RK172" s="17"/>
      <c r="RL172" s="17"/>
      <c r="RM172" s="17"/>
      <c r="RN172" s="17"/>
      <c r="RO172" s="17"/>
      <c r="RP172" s="17"/>
      <c r="RQ172" s="17"/>
      <c r="RR172" s="17"/>
      <c r="RS172" s="17"/>
      <c r="RT172" s="17"/>
      <c r="RU172" s="17"/>
      <c r="RV172" s="17"/>
      <c r="RW172" s="17"/>
      <c r="RX172" s="17"/>
      <c r="RY172" s="17"/>
      <c r="RZ172" s="17"/>
      <c r="SA172" s="17"/>
      <c r="SB172" s="17"/>
      <c r="SC172" s="17"/>
      <c r="SD172" s="17"/>
      <c r="SE172" s="17"/>
      <c r="SF172" s="17"/>
      <c r="SG172" s="17"/>
      <c r="SH172" s="17"/>
      <c r="SI172" s="17"/>
      <c r="SJ172" s="17"/>
      <c r="SK172" s="17"/>
      <c r="SL172" s="17"/>
      <c r="SM172" s="17"/>
      <c r="SN172" s="17"/>
      <c r="SO172" s="17"/>
      <c r="SP172" s="17"/>
      <c r="SQ172" s="17"/>
      <c r="SR172" s="17"/>
      <c r="SS172" s="17"/>
      <c r="ST172" s="17"/>
      <c r="SU172" s="17"/>
      <c r="SV172" s="17"/>
      <c r="SW172" s="17"/>
      <c r="SX172" s="17"/>
      <c r="SY172" s="17"/>
      <c r="SZ172" s="17"/>
      <c r="TA172" s="17"/>
      <c r="TB172" s="17"/>
      <c r="TC172" s="17"/>
      <c r="TD172" s="17"/>
      <c r="TE172" s="17"/>
      <c r="TF172" s="17"/>
      <c r="TG172" s="17"/>
      <c r="TH172" s="17"/>
      <c r="TI172" s="17"/>
      <c r="TJ172" s="17"/>
      <c r="TK172" s="17"/>
      <c r="TL172" s="17"/>
      <c r="TM172" s="17"/>
      <c r="TN172" s="17"/>
      <c r="TO172" s="17"/>
      <c r="TP172" s="17"/>
      <c r="TQ172" s="17"/>
      <c r="TR172" s="17"/>
      <c r="TS172" s="17"/>
      <c r="TT172" s="17"/>
      <c r="TU172" s="17"/>
      <c r="TV172" s="17"/>
      <c r="TW172" s="17"/>
      <c r="TX172" s="17"/>
      <c r="TY172" s="17"/>
      <c r="TZ172" s="17"/>
      <c r="UA172" s="17"/>
      <c r="UB172" s="17"/>
      <c r="UC172" s="17"/>
      <c r="UD172" s="17"/>
      <c r="UE172" s="17"/>
      <c r="UF172" s="17"/>
      <c r="UG172" s="17"/>
      <c r="UH172" s="17"/>
      <c r="UI172" s="17"/>
      <c r="UJ172" s="17"/>
      <c r="UK172" s="17"/>
      <c r="UL172" s="17"/>
      <c r="UM172" s="17"/>
      <c r="UN172" s="17"/>
      <c r="UO172" s="17"/>
      <c r="UP172" s="17"/>
      <c r="UQ172" s="17"/>
      <c r="UR172" s="17"/>
      <c r="US172" s="17"/>
      <c r="UT172" s="17"/>
      <c r="UU172" s="17"/>
      <c r="UV172" s="17"/>
      <c r="UW172" s="17"/>
      <c r="UX172" s="17"/>
      <c r="UY172" s="17"/>
      <c r="UZ172" s="17"/>
      <c r="VA172" s="17"/>
      <c r="VB172" s="17"/>
      <c r="VC172" s="17"/>
      <c r="VD172" s="17"/>
      <c r="VE172" s="17"/>
      <c r="VF172" s="17"/>
      <c r="VG172" s="17"/>
      <c r="VH172" s="17"/>
      <c r="VI172" s="17"/>
      <c r="VJ172" s="17"/>
      <c r="VK172" s="17"/>
      <c r="VL172" s="17"/>
      <c r="VM172" s="17"/>
      <c r="VN172" s="17"/>
      <c r="VO172" s="17"/>
      <c r="VP172" s="17"/>
      <c r="VQ172" s="17"/>
      <c r="VR172" s="17"/>
      <c r="VS172" s="17"/>
      <c r="VT172" s="17"/>
      <c r="VU172" s="17"/>
      <c r="VV172" s="17"/>
      <c r="VW172" s="17"/>
      <c r="VX172" s="17"/>
      <c r="VY172" s="17"/>
      <c r="VZ172" s="17"/>
      <c r="WA172" s="17"/>
      <c r="WB172" s="17"/>
      <c r="WC172" s="17"/>
      <c r="WD172" s="17"/>
      <c r="WE172" s="17"/>
      <c r="WF172" s="17"/>
      <c r="WG172" s="17"/>
      <c r="WH172" s="17"/>
      <c r="WI172" s="17"/>
      <c r="WJ172" s="17"/>
      <c r="WK172" s="17"/>
      <c r="WL172" s="17"/>
      <c r="WM172" s="17"/>
      <c r="WN172" s="17"/>
      <c r="WO172" s="17"/>
      <c r="WP172" s="17"/>
      <c r="WQ172" s="17"/>
      <c r="WR172" s="17"/>
      <c r="WS172" s="17"/>
      <c r="WT172" s="17"/>
      <c r="WU172" s="17"/>
      <c r="WV172" s="17"/>
      <c r="WW172" s="17"/>
      <c r="WX172" s="17"/>
      <c r="WY172" s="17"/>
      <c r="WZ172" s="17"/>
      <c r="XA172" s="17"/>
      <c r="XB172" s="17"/>
      <c r="XC172" s="17"/>
      <c r="XD172" s="17"/>
      <c r="XE172" s="17"/>
      <c r="XF172" s="17"/>
      <c r="XG172" s="17"/>
      <c r="XH172" s="17"/>
      <c r="XI172" s="17"/>
      <c r="XJ172" s="17"/>
      <c r="XK172" s="17"/>
      <c r="XL172" s="17"/>
      <c r="XM172" s="17"/>
      <c r="XN172" s="17"/>
      <c r="XO172" s="17"/>
      <c r="XP172" s="17"/>
      <c r="XQ172" s="17"/>
      <c r="XR172" s="17"/>
      <c r="XS172" s="17"/>
      <c r="XT172" s="17"/>
      <c r="XU172" s="17"/>
      <c r="XV172" s="17"/>
      <c r="XW172" s="17"/>
      <c r="XX172" s="17"/>
      <c r="XY172" s="17"/>
      <c r="XZ172" s="17"/>
      <c r="YA172" s="17"/>
      <c r="YB172" s="17"/>
      <c r="YC172" s="17"/>
      <c r="YD172" s="17"/>
      <c r="YE172" s="17"/>
      <c r="YF172" s="17"/>
      <c r="YG172" s="17"/>
      <c r="YH172" s="17"/>
      <c r="YI172" s="17"/>
      <c r="YJ172" s="17"/>
      <c r="YK172" s="17"/>
      <c r="YL172" s="17"/>
      <c r="YM172" s="17"/>
      <c r="YN172" s="17"/>
      <c r="YO172" s="17"/>
      <c r="YP172" s="17"/>
      <c r="YQ172" s="17"/>
      <c r="YR172" s="17"/>
      <c r="YS172" s="17"/>
    </row>
    <row r="173" spans="266:669" x14ac:dyDescent="0.25">
      <c r="JF173" s="17"/>
      <c r="JG173" s="17"/>
      <c r="JH173" s="17"/>
      <c r="JI173" s="17"/>
      <c r="JJ173" s="17"/>
      <c r="JK173" s="17"/>
      <c r="JL173" s="17"/>
      <c r="JM173" s="17"/>
      <c r="JN173" s="17"/>
      <c r="JO173" s="17"/>
      <c r="JP173" s="17"/>
      <c r="JQ173" s="17"/>
      <c r="JR173" s="17"/>
      <c r="JS173" s="17"/>
      <c r="JT173" s="17"/>
      <c r="JU173" s="17"/>
      <c r="JV173" s="17"/>
      <c r="JW173" s="17"/>
      <c r="JX173" s="17"/>
      <c r="JY173" s="17"/>
      <c r="JZ173" s="17"/>
      <c r="KA173" s="17"/>
      <c r="KB173" s="17"/>
      <c r="KC173" s="17"/>
      <c r="KD173" s="17"/>
      <c r="KE173" s="17"/>
      <c r="KF173" s="17"/>
      <c r="KG173" s="17"/>
      <c r="KH173" s="17"/>
      <c r="KI173" s="17"/>
      <c r="KJ173" s="17"/>
      <c r="KK173" s="17"/>
      <c r="KL173" s="17"/>
      <c r="KM173" s="17"/>
      <c r="KN173" s="17"/>
      <c r="KO173" s="17"/>
      <c r="KP173" s="17"/>
      <c r="KQ173" s="17"/>
      <c r="KR173" s="17"/>
      <c r="KS173" s="17"/>
      <c r="KT173" s="17"/>
      <c r="KU173" s="17"/>
      <c r="KV173" s="17"/>
      <c r="KW173" s="17"/>
      <c r="KX173" s="17"/>
      <c r="KY173" s="17"/>
      <c r="KZ173" s="17"/>
      <c r="LA173" s="17"/>
      <c r="LB173" s="17"/>
      <c r="LC173" s="17"/>
      <c r="LD173" s="17"/>
      <c r="LE173" s="17"/>
      <c r="LF173" s="17"/>
      <c r="LG173" s="17"/>
      <c r="LH173" s="17"/>
      <c r="LI173" s="17"/>
      <c r="LJ173" s="17"/>
      <c r="LK173" s="17"/>
      <c r="LL173" s="17"/>
      <c r="LM173" s="17"/>
      <c r="LN173" s="17"/>
      <c r="LO173" s="17"/>
      <c r="LP173" s="17"/>
      <c r="LQ173" s="17"/>
      <c r="LR173" s="17"/>
      <c r="LS173" s="17"/>
      <c r="LT173" s="17"/>
      <c r="LU173" s="17"/>
      <c r="LV173" s="17"/>
      <c r="LW173" s="17"/>
      <c r="LX173" s="17"/>
      <c r="LY173" s="17"/>
      <c r="LZ173" s="17"/>
      <c r="MA173" s="17"/>
      <c r="MB173" s="17"/>
      <c r="MC173" s="17"/>
      <c r="MD173" s="17"/>
      <c r="ME173" s="17"/>
      <c r="MF173" s="17"/>
      <c r="MG173" s="17"/>
      <c r="MH173" s="17"/>
      <c r="MI173" s="17"/>
      <c r="MJ173" s="17"/>
      <c r="MK173" s="17"/>
      <c r="ML173" s="17"/>
      <c r="MM173" s="17"/>
      <c r="MN173" s="17"/>
      <c r="MO173" s="17"/>
      <c r="MP173" s="17"/>
      <c r="MQ173" s="17"/>
      <c r="MR173" s="17"/>
      <c r="MS173" s="17"/>
      <c r="MT173" s="17"/>
      <c r="MU173" s="17"/>
      <c r="MV173" s="17"/>
      <c r="MW173" s="17"/>
      <c r="MX173" s="17"/>
      <c r="MY173" s="17"/>
      <c r="MZ173" s="17"/>
      <c r="NA173" s="17"/>
      <c r="NB173" s="17"/>
      <c r="NC173" s="17"/>
      <c r="ND173" s="17"/>
      <c r="NE173" s="17"/>
      <c r="NF173" s="17"/>
      <c r="NG173" s="17"/>
      <c r="NH173" s="17"/>
      <c r="NI173" s="17"/>
      <c r="NJ173" s="17"/>
      <c r="NK173" s="17"/>
      <c r="NL173" s="17"/>
      <c r="NM173" s="17"/>
      <c r="NN173" s="17"/>
      <c r="NO173" s="17"/>
      <c r="NP173" s="17"/>
      <c r="NQ173" s="17"/>
      <c r="NR173" s="17"/>
      <c r="NS173" s="17"/>
      <c r="NT173" s="17"/>
      <c r="NU173" s="17"/>
      <c r="NV173" s="17"/>
      <c r="NW173" s="17"/>
      <c r="NX173" s="17"/>
      <c r="NY173" s="17"/>
      <c r="NZ173" s="17"/>
      <c r="OA173" s="17"/>
      <c r="OB173" s="17"/>
      <c r="OC173" s="17"/>
      <c r="OD173" s="17"/>
      <c r="OE173" s="17"/>
      <c r="OF173" s="17"/>
      <c r="OG173" s="17"/>
      <c r="OH173" s="17"/>
      <c r="OI173" s="17"/>
      <c r="OJ173" s="17"/>
      <c r="OK173" s="17"/>
      <c r="OL173" s="17"/>
      <c r="OM173" s="17"/>
      <c r="ON173" s="17"/>
      <c r="OO173" s="17"/>
      <c r="OP173" s="17"/>
      <c r="OQ173" s="17"/>
      <c r="OR173" s="17"/>
      <c r="OS173" s="17"/>
      <c r="OT173" s="17"/>
      <c r="OU173" s="17"/>
      <c r="OV173" s="17"/>
      <c r="OW173" s="17"/>
      <c r="OX173" s="17"/>
      <c r="OY173" s="17"/>
      <c r="OZ173" s="17"/>
      <c r="PA173" s="17"/>
      <c r="PB173" s="17"/>
      <c r="PC173" s="17"/>
      <c r="PD173" s="17"/>
      <c r="PE173" s="17"/>
      <c r="PF173" s="17"/>
      <c r="PG173" s="17"/>
      <c r="PH173" s="17"/>
      <c r="PI173" s="17"/>
      <c r="PJ173" s="17"/>
      <c r="PK173" s="17"/>
      <c r="PL173" s="17"/>
      <c r="PM173" s="17"/>
      <c r="PN173" s="17"/>
      <c r="PO173" s="17"/>
      <c r="PP173" s="17"/>
      <c r="PQ173" s="17"/>
      <c r="PR173" s="17"/>
      <c r="PS173" s="17"/>
      <c r="PT173" s="17"/>
      <c r="PU173" s="17"/>
      <c r="PV173" s="17"/>
      <c r="PW173" s="17"/>
      <c r="PX173" s="17"/>
      <c r="PY173" s="17"/>
      <c r="PZ173" s="17"/>
      <c r="QA173" s="17"/>
      <c r="QB173" s="17"/>
      <c r="QC173" s="17"/>
      <c r="QD173" s="17"/>
      <c r="QE173" s="17"/>
      <c r="QF173" s="17"/>
      <c r="QG173" s="17"/>
      <c r="QH173" s="17"/>
      <c r="QI173" s="17"/>
      <c r="QJ173" s="17"/>
      <c r="QK173" s="17"/>
      <c r="QL173" s="17"/>
      <c r="QM173" s="17"/>
      <c r="QN173" s="17"/>
      <c r="QO173" s="17"/>
      <c r="QP173" s="17"/>
      <c r="QQ173" s="17"/>
      <c r="QR173" s="17"/>
      <c r="QS173" s="17"/>
      <c r="QT173" s="17"/>
      <c r="QU173" s="17"/>
      <c r="QV173" s="17"/>
      <c r="QW173" s="17"/>
      <c r="QX173" s="17"/>
      <c r="QY173" s="17"/>
      <c r="QZ173" s="17"/>
      <c r="RA173" s="17"/>
      <c r="RB173" s="17"/>
      <c r="RC173" s="17"/>
      <c r="RD173" s="17"/>
      <c r="RE173" s="17"/>
      <c r="RF173" s="17"/>
      <c r="RG173" s="17"/>
      <c r="RH173" s="17"/>
      <c r="RI173" s="17"/>
      <c r="RJ173" s="17"/>
      <c r="RK173" s="17"/>
      <c r="RL173" s="17"/>
      <c r="RM173" s="17"/>
      <c r="RN173" s="17"/>
      <c r="RO173" s="17"/>
      <c r="RP173" s="17"/>
      <c r="RQ173" s="17"/>
      <c r="RR173" s="17"/>
      <c r="RS173" s="17"/>
      <c r="RT173" s="17"/>
      <c r="RU173" s="17"/>
      <c r="RV173" s="17"/>
      <c r="RW173" s="17"/>
      <c r="RX173" s="17"/>
      <c r="RY173" s="17"/>
      <c r="RZ173" s="17"/>
      <c r="SA173" s="17"/>
      <c r="SB173" s="17"/>
      <c r="SC173" s="17"/>
      <c r="SD173" s="17"/>
      <c r="SE173" s="17"/>
      <c r="SF173" s="17"/>
      <c r="SG173" s="17"/>
      <c r="SH173" s="17"/>
      <c r="SI173" s="17"/>
      <c r="SJ173" s="17"/>
      <c r="SK173" s="17"/>
      <c r="SL173" s="17"/>
      <c r="SM173" s="17"/>
      <c r="SN173" s="17"/>
      <c r="SO173" s="17"/>
      <c r="SP173" s="17"/>
      <c r="SQ173" s="17"/>
      <c r="SR173" s="17"/>
      <c r="SS173" s="17"/>
      <c r="ST173" s="17"/>
      <c r="SU173" s="17"/>
      <c r="SV173" s="17"/>
      <c r="SW173" s="17"/>
      <c r="SX173" s="17"/>
      <c r="SY173" s="17"/>
      <c r="SZ173" s="17"/>
      <c r="TA173" s="17"/>
      <c r="TB173" s="17"/>
      <c r="TC173" s="17"/>
      <c r="TD173" s="17"/>
      <c r="TE173" s="17"/>
      <c r="TF173" s="17"/>
      <c r="TG173" s="17"/>
      <c r="TH173" s="17"/>
      <c r="TI173" s="17"/>
      <c r="TJ173" s="17"/>
      <c r="TK173" s="17"/>
      <c r="TL173" s="17"/>
      <c r="TM173" s="17"/>
      <c r="TN173" s="17"/>
      <c r="TO173" s="17"/>
      <c r="TP173" s="17"/>
      <c r="TQ173" s="17"/>
      <c r="TR173" s="17"/>
      <c r="TS173" s="17"/>
      <c r="TT173" s="17"/>
      <c r="TU173" s="17"/>
      <c r="TV173" s="17"/>
      <c r="TW173" s="17"/>
      <c r="TX173" s="17"/>
      <c r="TY173" s="17"/>
      <c r="TZ173" s="17"/>
      <c r="UA173" s="17"/>
      <c r="UB173" s="17"/>
      <c r="UC173" s="17"/>
      <c r="UD173" s="17"/>
      <c r="UE173" s="17"/>
      <c r="UF173" s="17"/>
      <c r="UG173" s="17"/>
      <c r="UH173" s="17"/>
      <c r="UI173" s="17"/>
      <c r="UJ173" s="17"/>
      <c r="UK173" s="17"/>
      <c r="UL173" s="17"/>
      <c r="UM173" s="17"/>
      <c r="UN173" s="17"/>
      <c r="UO173" s="17"/>
      <c r="UP173" s="17"/>
      <c r="UQ173" s="17"/>
      <c r="UR173" s="17"/>
      <c r="US173" s="17"/>
      <c r="UT173" s="17"/>
      <c r="UU173" s="17"/>
      <c r="UV173" s="17"/>
      <c r="UW173" s="17"/>
      <c r="UX173" s="17"/>
      <c r="UY173" s="17"/>
      <c r="UZ173" s="17"/>
      <c r="VA173" s="17"/>
      <c r="VB173" s="17"/>
      <c r="VC173" s="17"/>
      <c r="VD173" s="17"/>
      <c r="VE173" s="17"/>
      <c r="VF173" s="17"/>
      <c r="VG173" s="17"/>
      <c r="VH173" s="17"/>
      <c r="VI173" s="17"/>
      <c r="VJ173" s="17"/>
      <c r="VK173" s="17"/>
      <c r="VL173" s="17"/>
      <c r="VM173" s="17"/>
      <c r="VN173" s="17"/>
      <c r="VO173" s="17"/>
      <c r="VP173" s="17"/>
      <c r="VQ173" s="17"/>
      <c r="VR173" s="17"/>
      <c r="VS173" s="17"/>
      <c r="VT173" s="17"/>
      <c r="VU173" s="17"/>
      <c r="VV173" s="17"/>
      <c r="VW173" s="17"/>
      <c r="VX173" s="17"/>
      <c r="VY173" s="17"/>
      <c r="VZ173" s="17"/>
      <c r="WA173" s="17"/>
      <c r="WB173" s="17"/>
      <c r="WC173" s="17"/>
      <c r="WD173" s="17"/>
      <c r="WE173" s="17"/>
      <c r="WF173" s="17"/>
      <c r="WG173" s="17"/>
      <c r="WH173" s="17"/>
      <c r="WI173" s="17"/>
      <c r="WJ173" s="17"/>
      <c r="WK173" s="17"/>
      <c r="WL173" s="17"/>
      <c r="WM173" s="17"/>
      <c r="WN173" s="17"/>
      <c r="WO173" s="17"/>
      <c r="WP173" s="17"/>
      <c r="WQ173" s="17"/>
      <c r="WR173" s="17"/>
      <c r="WS173" s="17"/>
      <c r="WT173" s="17"/>
      <c r="WU173" s="17"/>
      <c r="WV173" s="17"/>
      <c r="WW173" s="17"/>
      <c r="WX173" s="17"/>
      <c r="WY173" s="17"/>
      <c r="WZ173" s="17"/>
      <c r="XA173" s="17"/>
      <c r="XB173" s="17"/>
      <c r="XC173" s="17"/>
      <c r="XD173" s="17"/>
      <c r="XE173" s="17"/>
      <c r="XF173" s="17"/>
      <c r="XG173" s="17"/>
      <c r="XH173" s="17"/>
      <c r="XI173" s="17"/>
      <c r="XJ173" s="17"/>
      <c r="XK173" s="17"/>
      <c r="XL173" s="17"/>
      <c r="XM173" s="17"/>
      <c r="XN173" s="17"/>
      <c r="XO173" s="17"/>
      <c r="XP173" s="17"/>
      <c r="XQ173" s="17"/>
      <c r="XR173" s="17"/>
      <c r="XS173" s="17"/>
      <c r="XT173" s="17"/>
      <c r="XU173" s="17"/>
      <c r="XV173" s="17"/>
      <c r="XW173" s="17"/>
      <c r="XX173" s="17"/>
      <c r="XY173" s="17"/>
      <c r="XZ173" s="17"/>
      <c r="YA173" s="17"/>
      <c r="YB173" s="17"/>
      <c r="YC173" s="17"/>
      <c r="YD173" s="17"/>
      <c r="YE173" s="17"/>
      <c r="YF173" s="17"/>
      <c r="YG173" s="17"/>
      <c r="YH173" s="17"/>
      <c r="YI173" s="17"/>
      <c r="YJ173" s="17"/>
      <c r="YK173" s="17"/>
      <c r="YL173" s="17"/>
      <c r="YM173" s="17"/>
      <c r="YN173" s="17"/>
      <c r="YO173" s="17"/>
      <c r="YP173" s="17"/>
      <c r="YQ173" s="17"/>
      <c r="YR173" s="17"/>
      <c r="YS173" s="17"/>
    </row>
    <row r="174" spans="266:669" x14ac:dyDescent="0.25">
      <c r="JF174" s="17"/>
      <c r="JG174" s="17"/>
      <c r="JH174" s="17"/>
      <c r="JI174" s="17"/>
      <c r="JJ174" s="17"/>
      <c r="JK174" s="17"/>
      <c r="JL174" s="17"/>
      <c r="JM174" s="17"/>
      <c r="JN174" s="17"/>
      <c r="JO174" s="17"/>
      <c r="JP174" s="17"/>
      <c r="JQ174" s="17"/>
      <c r="JR174" s="17"/>
      <c r="JS174" s="17"/>
      <c r="JT174" s="17"/>
      <c r="JU174" s="17"/>
      <c r="JV174" s="17"/>
      <c r="JW174" s="17"/>
      <c r="JX174" s="17"/>
      <c r="JY174" s="17"/>
      <c r="JZ174" s="17"/>
      <c r="KA174" s="17"/>
      <c r="KB174" s="17"/>
      <c r="KC174" s="17"/>
      <c r="KD174" s="17"/>
      <c r="KE174" s="17"/>
      <c r="KF174" s="17"/>
      <c r="KG174" s="17"/>
      <c r="KH174" s="17"/>
      <c r="KI174" s="17"/>
      <c r="KJ174" s="17"/>
      <c r="KK174" s="17"/>
      <c r="KL174" s="17"/>
      <c r="KM174" s="17"/>
      <c r="KN174" s="17"/>
      <c r="KO174" s="17"/>
      <c r="KP174" s="17"/>
      <c r="KQ174" s="17"/>
      <c r="KR174" s="17"/>
      <c r="KS174" s="17"/>
      <c r="KT174" s="17"/>
      <c r="KU174" s="17"/>
      <c r="KV174" s="17"/>
      <c r="KW174" s="17"/>
      <c r="KX174" s="17"/>
      <c r="KY174" s="17"/>
      <c r="KZ174" s="17"/>
      <c r="LA174" s="17"/>
      <c r="LB174" s="17"/>
      <c r="LC174" s="17"/>
      <c r="LD174" s="17"/>
      <c r="LE174" s="17"/>
      <c r="LF174" s="17"/>
      <c r="LG174" s="17"/>
      <c r="LH174" s="17"/>
      <c r="LI174" s="17"/>
      <c r="LJ174" s="17"/>
      <c r="LK174" s="17"/>
      <c r="LL174" s="17"/>
      <c r="LM174" s="17"/>
      <c r="LN174" s="17"/>
      <c r="LO174" s="17"/>
      <c r="LP174" s="17"/>
      <c r="LQ174" s="17"/>
      <c r="LR174" s="17"/>
      <c r="LS174" s="17"/>
      <c r="LT174" s="17"/>
      <c r="LU174" s="17"/>
      <c r="LV174" s="17"/>
      <c r="LW174" s="17"/>
      <c r="LX174" s="17"/>
      <c r="LY174" s="17"/>
      <c r="LZ174" s="17"/>
      <c r="MA174" s="17"/>
      <c r="MB174" s="17"/>
      <c r="MC174" s="17"/>
      <c r="MD174" s="17"/>
      <c r="ME174" s="17"/>
      <c r="MF174" s="17"/>
      <c r="MG174" s="17"/>
      <c r="MH174" s="17"/>
      <c r="MI174" s="17"/>
      <c r="MJ174" s="17"/>
      <c r="MK174" s="17"/>
      <c r="ML174" s="17"/>
      <c r="MM174" s="17"/>
      <c r="MN174" s="17"/>
      <c r="MO174" s="17"/>
      <c r="MP174" s="17"/>
      <c r="MQ174" s="17"/>
      <c r="MR174" s="17"/>
      <c r="MS174" s="17"/>
      <c r="MT174" s="17"/>
      <c r="MU174" s="17"/>
      <c r="MV174" s="17"/>
      <c r="MW174" s="17"/>
      <c r="MX174" s="17"/>
      <c r="MY174" s="17"/>
      <c r="MZ174" s="17"/>
      <c r="NA174" s="17"/>
      <c r="NB174" s="17"/>
      <c r="NC174" s="17"/>
      <c r="ND174" s="17"/>
      <c r="NE174" s="17"/>
      <c r="NF174" s="17"/>
      <c r="NG174" s="17"/>
      <c r="NH174" s="17"/>
      <c r="NI174" s="17"/>
      <c r="NJ174" s="17"/>
      <c r="NK174" s="17"/>
      <c r="NL174" s="17"/>
      <c r="NM174" s="17"/>
      <c r="NN174" s="17"/>
      <c r="NO174" s="17"/>
      <c r="NP174" s="17"/>
      <c r="NQ174" s="17"/>
      <c r="NR174" s="17"/>
      <c r="NS174" s="17"/>
      <c r="NT174" s="17"/>
      <c r="NU174" s="17"/>
      <c r="NV174" s="17"/>
      <c r="NW174" s="17"/>
      <c r="NX174" s="17"/>
      <c r="NY174" s="17"/>
      <c r="NZ174" s="17"/>
      <c r="OA174" s="17"/>
      <c r="OB174" s="17"/>
      <c r="OC174" s="17"/>
      <c r="OD174" s="17"/>
      <c r="OE174" s="17"/>
      <c r="OF174" s="17"/>
      <c r="OG174" s="17"/>
      <c r="OH174" s="17"/>
      <c r="OI174" s="17"/>
      <c r="OJ174" s="17"/>
      <c r="OK174" s="17"/>
      <c r="OL174" s="17"/>
      <c r="OM174" s="17"/>
      <c r="ON174" s="17"/>
      <c r="OO174" s="17"/>
      <c r="OP174" s="17"/>
      <c r="OQ174" s="17"/>
      <c r="OR174" s="17"/>
      <c r="OS174" s="17"/>
      <c r="OT174" s="17"/>
      <c r="OU174" s="17"/>
      <c r="OV174" s="17"/>
      <c r="OW174" s="17"/>
      <c r="OX174" s="17"/>
      <c r="OY174" s="17"/>
      <c r="OZ174" s="17"/>
      <c r="PA174" s="17"/>
      <c r="PB174" s="17"/>
      <c r="PC174" s="17"/>
      <c r="PD174" s="17"/>
      <c r="PE174" s="17"/>
      <c r="PF174" s="17"/>
      <c r="PG174" s="17"/>
      <c r="PH174" s="17"/>
      <c r="PI174" s="17"/>
      <c r="PJ174" s="17"/>
      <c r="PK174" s="17"/>
      <c r="PL174" s="17"/>
      <c r="PM174" s="17"/>
      <c r="PN174" s="17"/>
      <c r="PO174" s="17"/>
      <c r="PP174" s="17"/>
      <c r="PQ174" s="17"/>
      <c r="PR174" s="17"/>
      <c r="PS174" s="17"/>
      <c r="PT174" s="17"/>
      <c r="PU174" s="17"/>
      <c r="PV174" s="17"/>
      <c r="PW174" s="17"/>
      <c r="PX174" s="17"/>
      <c r="PY174" s="17"/>
      <c r="PZ174" s="17"/>
      <c r="QA174" s="17"/>
      <c r="QB174" s="17"/>
      <c r="QC174" s="17"/>
      <c r="QD174" s="17"/>
      <c r="QE174" s="17"/>
      <c r="QF174" s="17"/>
      <c r="QG174" s="17"/>
      <c r="QH174" s="17"/>
      <c r="QI174" s="17"/>
      <c r="QJ174" s="17"/>
      <c r="QK174" s="17"/>
      <c r="QL174" s="17"/>
      <c r="QM174" s="17"/>
      <c r="QN174" s="17"/>
      <c r="QO174" s="17"/>
      <c r="QP174" s="17"/>
      <c r="QQ174" s="17"/>
      <c r="QR174" s="17"/>
      <c r="QS174" s="17"/>
      <c r="QT174" s="17"/>
      <c r="QU174" s="17"/>
      <c r="QV174" s="17"/>
      <c r="QW174" s="17"/>
      <c r="QX174" s="17"/>
      <c r="QY174" s="17"/>
      <c r="QZ174" s="17"/>
      <c r="RA174" s="17"/>
      <c r="RB174" s="17"/>
      <c r="RC174" s="17"/>
      <c r="RD174" s="17"/>
      <c r="RE174" s="17"/>
      <c r="RF174" s="17"/>
      <c r="RG174" s="17"/>
      <c r="RH174" s="17"/>
      <c r="RI174" s="17"/>
      <c r="RJ174" s="17"/>
      <c r="RK174" s="17"/>
      <c r="RL174" s="17"/>
      <c r="RM174" s="17"/>
      <c r="RN174" s="17"/>
      <c r="RO174" s="17"/>
      <c r="RP174" s="17"/>
      <c r="RQ174" s="17"/>
      <c r="RR174" s="17"/>
      <c r="RS174" s="17"/>
      <c r="RT174" s="17"/>
      <c r="RU174" s="17"/>
      <c r="RV174" s="17"/>
      <c r="RW174" s="17"/>
      <c r="RX174" s="17"/>
      <c r="RY174" s="17"/>
      <c r="RZ174" s="17"/>
      <c r="SA174" s="17"/>
      <c r="SB174" s="17"/>
      <c r="SC174" s="17"/>
      <c r="SD174" s="17"/>
      <c r="SE174" s="17"/>
      <c r="SF174" s="17"/>
      <c r="SG174" s="17"/>
      <c r="SH174" s="17"/>
      <c r="SI174" s="17"/>
      <c r="SJ174" s="17"/>
      <c r="SK174" s="17"/>
      <c r="SL174" s="17"/>
      <c r="SM174" s="17"/>
      <c r="SN174" s="17"/>
      <c r="SO174" s="17"/>
      <c r="SP174" s="17"/>
      <c r="SQ174" s="17"/>
      <c r="SR174" s="17"/>
      <c r="SS174" s="17"/>
      <c r="ST174" s="17"/>
      <c r="SU174" s="17"/>
      <c r="SV174" s="17"/>
      <c r="SW174" s="17"/>
      <c r="SX174" s="17"/>
      <c r="SY174" s="17"/>
      <c r="SZ174" s="17"/>
      <c r="TA174" s="17"/>
      <c r="TB174" s="17"/>
      <c r="TC174" s="17"/>
      <c r="TD174" s="17"/>
      <c r="TE174" s="17"/>
      <c r="TF174" s="17"/>
      <c r="TG174" s="17"/>
      <c r="TH174" s="17"/>
      <c r="TI174" s="17"/>
      <c r="TJ174" s="17"/>
      <c r="TK174" s="17"/>
      <c r="TL174" s="17"/>
      <c r="TM174" s="17"/>
      <c r="TN174" s="17"/>
      <c r="TO174" s="17"/>
      <c r="TP174" s="17"/>
      <c r="TQ174" s="17"/>
      <c r="TR174" s="17"/>
      <c r="TS174" s="17"/>
      <c r="TT174" s="17"/>
      <c r="TU174" s="17"/>
      <c r="TV174" s="17"/>
      <c r="TW174" s="17"/>
      <c r="TX174" s="17"/>
      <c r="TY174" s="17"/>
      <c r="TZ174" s="17"/>
      <c r="UA174" s="17"/>
      <c r="UB174" s="17"/>
      <c r="UC174" s="17"/>
      <c r="UD174" s="17"/>
      <c r="UE174" s="17"/>
      <c r="UF174" s="17"/>
      <c r="UG174" s="17"/>
      <c r="UH174" s="17"/>
      <c r="UI174" s="17"/>
      <c r="UJ174" s="17"/>
      <c r="UK174" s="17"/>
      <c r="UL174" s="17"/>
      <c r="UM174" s="17"/>
      <c r="UN174" s="17"/>
      <c r="UO174" s="17"/>
      <c r="UP174" s="17"/>
      <c r="UQ174" s="17"/>
      <c r="UR174" s="17"/>
      <c r="US174" s="17"/>
      <c r="UT174" s="17"/>
      <c r="UU174" s="17"/>
      <c r="UV174" s="17"/>
      <c r="UW174" s="17"/>
      <c r="UX174" s="17"/>
      <c r="UY174" s="17"/>
      <c r="UZ174" s="17"/>
      <c r="VA174" s="17"/>
      <c r="VB174" s="17"/>
      <c r="VC174" s="17"/>
      <c r="VD174" s="17"/>
      <c r="VE174" s="17"/>
      <c r="VF174" s="17"/>
      <c r="VG174" s="17"/>
      <c r="VH174" s="17"/>
      <c r="VI174" s="17"/>
      <c r="VJ174" s="17"/>
      <c r="VK174" s="17"/>
      <c r="VL174" s="17"/>
      <c r="VM174" s="17"/>
      <c r="VN174" s="17"/>
      <c r="VO174" s="17"/>
      <c r="VP174" s="17"/>
      <c r="VQ174" s="17"/>
      <c r="VR174" s="17"/>
      <c r="VS174" s="17"/>
      <c r="VT174" s="17"/>
      <c r="VU174" s="17"/>
      <c r="VV174" s="17"/>
      <c r="VW174" s="17"/>
      <c r="VX174" s="17"/>
      <c r="VY174" s="17"/>
      <c r="VZ174" s="17"/>
      <c r="WA174" s="17"/>
      <c r="WB174" s="17"/>
      <c r="WC174" s="17"/>
      <c r="WD174" s="17"/>
      <c r="WE174" s="17"/>
      <c r="WF174" s="17"/>
      <c r="WG174" s="17"/>
      <c r="WH174" s="17"/>
      <c r="WI174" s="17"/>
      <c r="WJ174" s="17"/>
      <c r="WK174" s="17"/>
      <c r="WL174" s="17"/>
      <c r="WM174" s="17"/>
      <c r="WN174" s="17"/>
      <c r="WO174" s="17"/>
      <c r="WP174" s="17"/>
      <c r="WQ174" s="17"/>
      <c r="WR174" s="17"/>
      <c r="WS174" s="17"/>
      <c r="WT174" s="17"/>
      <c r="WU174" s="17"/>
      <c r="WV174" s="17"/>
      <c r="WW174" s="17"/>
      <c r="WX174" s="17"/>
      <c r="WY174" s="17"/>
      <c r="WZ174" s="17"/>
      <c r="XA174" s="17"/>
      <c r="XB174" s="17"/>
      <c r="XC174" s="17"/>
      <c r="XD174" s="17"/>
      <c r="XE174" s="17"/>
      <c r="XF174" s="17"/>
      <c r="XG174" s="17"/>
      <c r="XH174" s="17"/>
      <c r="XI174" s="17"/>
      <c r="XJ174" s="17"/>
      <c r="XK174" s="17"/>
      <c r="XL174" s="17"/>
      <c r="XM174" s="17"/>
      <c r="XN174" s="17"/>
      <c r="XO174" s="17"/>
      <c r="XP174" s="17"/>
      <c r="XQ174" s="17"/>
      <c r="XR174" s="17"/>
      <c r="XS174" s="17"/>
      <c r="XT174" s="17"/>
      <c r="XU174" s="17"/>
      <c r="XV174" s="17"/>
      <c r="XW174" s="17"/>
      <c r="XX174" s="17"/>
      <c r="XY174" s="17"/>
      <c r="XZ174" s="17"/>
      <c r="YA174" s="17"/>
      <c r="YB174" s="17"/>
      <c r="YC174" s="17"/>
      <c r="YD174" s="17"/>
      <c r="YE174" s="17"/>
      <c r="YF174" s="17"/>
      <c r="YG174" s="17"/>
      <c r="YH174" s="17"/>
      <c r="YI174" s="17"/>
      <c r="YJ174" s="17"/>
      <c r="YK174" s="17"/>
      <c r="YL174" s="17"/>
      <c r="YM174" s="17"/>
      <c r="YN174" s="17"/>
      <c r="YO174" s="17"/>
      <c r="YP174" s="17"/>
      <c r="YQ174" s="17"/>
      <c r="YR174" s="17"/>
      <c r="YS174" s="17"/>
    </row>
    <row r="175" spans="266:669" x14ac:dyDescent="0.25">
      <c r="JF175" s="17"/>
      <c r="JG175" s="17"/>
      <c r="JH175" s="17"/>
      <c r="JI175" s="17"/>
      <c r="JJ175" s="17"/>
      <c r="JK175" s="17"/>
      <c r="JL175" s="17"/>
      <c r="JM175" s="17"/>
      <c r="JN175" s="17"/>
      <c r="JO175" s="17"/>
      <c r="JP175" s="17"/>
      <c r="JQ175" s="17"/>
      <c r="JR175" s="17"/>
      <c r="JS175" s="17"/>
      <c r="JT175" s="17"/>
      <c r="JU175" s="17"/>
      <c r="JV175" s="17"/>
      <c r="JW175" s="17"/>
      <c r="JX175" s="17"/>
      <c r="JY175" s="17"/>
      <c r="JZ175" s="17"/>
      <c r="KA175" s="17"/>
      <c r="KB175" s="17"/>
      <c r="KC175" s="17"/>
      <c r="KD175" s="17"/>
      <c r="KE175" s="17"/>
      <c r="KF175" s="17"/>
      <c r="KG175" s="17"/>
      <c r="KH175" s="17"/>
      <c r="KI175" s="17"/>
      <c r="KJ175" s="17"/>
      <c r="KK175" s="17"/>
      <c r="KL175" s="17"/>
      <c r="KM175" s="17"/>
      <c r="KN175" s="17"/>
      <c r="KO175" s="17"/>
      <c r="KP175" s="17"/>
      <c r="KQ175" s="17"/>
      <c r="KR175" s="17"/>
      <c r="KS175" s="17"/>
      <c r="KT175" s="17"/>
      <c r="KU175" s="17"/>
      <c r="KV175" s="17"/>
      <c r="KW175" s="17"/>
      <c r="KX175" s="17"/>
      <c r="KY175" s="17"/>
      <c r="KZ175" s="17"/>
      <c r="LA175" s="17"/>
      <c r="LB175" s="17"/>
      <c r="LC175" s="17"/>
      <c r="LD175" s="17"/>
      <c r="LE175" s="17"/>
      <c r="LF175" s="17"/>
      <c r="LG175" s="17"/>
      <c r="LH175" s="17"/>
      <c r="LI175" s="17"/>
      <c r="LJ175" s="17"/>
      <c r="LK175" s="17"/>
      <c r="LL175" s="17"/>
      <c r="LM175" s="17"/>
      <c r="LN175" s="17"/>
      <c r="LO175" s="17"/>
      <c r="LP175" s="17"/>
      <c r="LQ175" s="17"/>
      <c r="LR175" s="17"/>
      <c r="LS175" s="17"/>
      <c r="LT175" s="17"/>
      <c r="LU175" s="17"/>
      <c r="LV175" s="17"/>
      <c r="LW175" s="17"/>
      <c r="LX175" s="17"/>
      <c r="LY175" s="17"/>
      <c r="LZ175" s="17"/>
      <c r="MA175" s="17"/>
      <c r="MB175" s="17"/>
      <c r="MC175" s="17"/>
      <c r="MD175" s="17"/>
      <c r="ME175" s="17"/>
      <c r="MF175" s="17"/>
      <c r="MG175" s="17"/>
      <c r="MH175" s="17"/>
      <c r="MI175" s="17"/>
      <c r="MJ175" s="17"/>
      <c r="MK175" s="17"/>
      <c r="ML175" s="17"/>
      <c r="MM175" s="17"/>
      <c r="MN175" s="17"/>
      <c r="MO175" s="17"/>
      <c r="MP175" s="17"/>
      <c r="MQ175" s="17"/>
      <c r="MR175" s="17"/>
      <c r="MS175" s="17"/>
      <c r="MT175" s="17"/>
      <c r="MU175" s="17"/>
      <c r="MV175" s="17"/>
      <c r="MW175" s="17"/>
      <c r="MX175" s="17"/>
      <c r="MY175" s="17"/>
      <c r="MZ175" s="17"/>
      <c r="NA175" s="17"/>
      <c r="NB175" s="17"/>
      <c r="NC175" s="17"/>
      <c r="ND175" s="17"/>
      <c r="NE175" s="17"/>
      <c r="NF175" s="17"/>
      <c r="NG175" s="17"/>
      <c r="NH175" s="17"/>
      <c r="NI175" s="17"/>
      <c r="NJ175" s="17"/>
      <c r="NK175" s="17"/>
      <c r="NL175" s="17"/>
      <c r="NM175" s="17"/>
      <c r="NN175" s="17"/>
      <c r="NO175" s="17"/>
      <c r="NP175" s="17"/>
      <c r="NQ175" s="17"/>
      <c r="NR175" s="17"/>
      <c r="NS175" s="17"/>
      <c r="NT175" s="17"/>
      <c r="NU175" s="17"/>
      <c r="NV175" s="17"/>
      <c r="NW175" s="17"/>
      <c r="NX175" s="17"/>
      <c r="NY175" s="17"/>
      <c r="NZ175" s="17"/>
      <c r="OA175" s="17"/>
      <c r="OB175" s="17"/>
      <c r="OC175" s="17"/>
      <c r="OD175" s="17"/>
      <c r="OE175" s="17"/>
      <c r="OF175" s="17"/>
      <c r="OG175" s="17"/>
      <c r="OH175" s="17"/>
      <c r="OI175" s="17"/>
      <c r="OJ175" s="17"/>
      <c r="OK175" s="17"/>
      <c r="OL175" s="17"/>
      <c r="OM175" s="17"/>
      <c r="ON175" s="17"/>
      <c r="OO175" s="17"/>
      <c r="OP175" s="17"/>
      <c r="OQ175" s="17"/>
      <c r="OR175" s="17"/>
      <c r="OS175" s="17"/>
      <c r="OT175" s="17"/>
      <c r="OU175" s="17"/>
      <c r="OV175" s="17"/>
      <c r="OW175" s="17"/>
      <c r="OX175" s="17"/>
      <c r="OY175" s="17"/>
      <c r="OZ175" s="17"/>
      <c r="PA175" s="17"/>
      <c r="PB175" s="17"/>
      <c r="PC175" s="17"/>
      <c r="PD175" s="17"/>
      <c r="PE175" s="17"/>
      <c r="PF175" s="17"/>
      <c r="PG175" s="17"/>
      <c r="PH175" s="17"/>
      <c r="PI175" s="17"/>
      <c r="PJ175" s="17"/>
      <c r="PK175" s="17"/>
      <c r="PL175" s="17"/>
      <c r="PM175" s="17"/>
      <c r="PN175" s="17"/>
      <c r="PO175" s="17"/>
      <c r="PP175" s="17"/>
      <c r="PQ175" s="17"/>
      <c r="PR175" s="17"/>
      <c r="PS175" s="17"/>
      <c r="PT175" s="17"/>
      <c r="PU175" s="17"/>
      <c r="PV175" s="17"/>
      <c r="PW175" s="17"/>
      <c r="PX175" s="17"/>
      <c r="PY175" s="17"/>
      <c r="PZ175" s="17"/>
      <c r="QA175" s="17"/>
      <c r="QB175" s="17"/>
      <c r="QC175" s="17"/>
      <c r="QD175" s="17"/>
      <c r="QE175" s="17"/>
      <c r="QF175" s="17"/>
      <c r="QG175" s="17"/>
      <c r="QH175" s="17"/>
      <c r="QI175" s="17"/>
      <c r="QJ175" s="17"/>
      <c r="QK175" s="17"/>
      <c r="QL175" s="17"/>
      <c r="QM175" s="17"/>
      <c r="QN175" s="17"/>
      <c r="QO175" s="17"/>
      <c r="QP175" s="17"/>
      <c r="QQ175" s="17"/>
      <c r="QR175" s="17"/>
      <c r="QS175" s="17"/>
      <c r="QT175" s="17"/>
      <c r="QU175" s="17"/>
      <c r="QV175" s="17"/>
      <c r="QW175" s="17"/>
      <c r="QX175" s="17"/>
      <c r="QY175" s="17"/>
      <c r="QZ175" s="17"/>
      <c r="RA175" s="17"/>
      <c r="RB175" s="17"/>
      <c r="RC175" s="17"/>
      <c r="RD175" s="17"/>
      <c r="RE175" s="17"/>
      <c r="RF175" s="17"/>
      <c r="RG175" s="17"/>
      <c r="RH175" s="17"/>
      <c r="RI175" s="17"/>
      <c r="RJ175" s="17"/>
      <c r="RK175" s="17"/>
      <c r="RL175" s="17"/>
      <c r="RM175" s="17"/>
      <c r="RN175" s="17"/>
      <c r="RO175" s="17"/>
      <c r="RP175" s="17"/>
      <c r="RQ175" s="17"/>
      <c r="RR175" s="17"/>
      <c r="RS175" s="17"/>
      <c r="RT175" s="17"/>
      <c r="RU175" s="17"/>
      <c r="RV175" s="17"/>
      <c r="RW175" s="17"/>
      <c r="RX175" s="17"/>
      <c r="RY175" s="17"/>
      <c r="RZ175" s="17"/>
      <c r="SA175" s="17"/>
      <c r="SB175" s="17"/>
      <c r="SC175" s="17"/>
      <c r="SD175" s="17"/>
      <c r="SE175" s="17"/>
      <c r="SF175" s="17"/>
      <c r="SG175" s="17"/>
      <c r="SH175" s="17"/>
      <c r="SI175" s="17"/>
      <c r="SJ175" s="17"/>
      <c r="SK175" s="17"/>
      <c r="SL175" s="17"/>
      <c r="SM175" s="17"/>
      <c r="SN175" s="17"/>
      <c r="SO175" s="17"/>
      <c r="SP175" s="17"/>
      <c r="SQ175" s="17"/>
      <c r="SR175" s="17"/>
      <c r="SS175" s="17"/>
      <c r="ST175" s="17"/>
      <c r="SU175" s="17"/>
      <c r="SV175" s="17"/>
      <c r="SW175" s="17"/>
      <c r="SX175" s="17"/>
      <c r="SY175" s="17"/>
      <c r="SZ175" s="17"/>
      <c r="TA175" s="17"/>
      <c r="TB175" s="17"/>
      <c r="TC175" s="17"/>
      <c r="TD175" s="17"/>
      <c r="TE175" s="17"/>
      <c r="TF175" s="17"/>
      <c r="TG175" s="17"/>
      <c r="TH175" s="17"/>
      <c r="TI175" s="17"/>
      <c r="TJ175" s="17"/>
      <c r="TK175" s="17"/>
      <c r="TL175" s="17"/>
      <c r="TM175" s="17"/>
      <c r="TN175" s="17"/>
      <c r="TO175" s="17"/>
      <c r="TP175" s="17"/>
      <c r="TQ175" s="17"/>
      <c r="TR175" s="17"/>
      <c r="TS175" s="17"/>
      <c r="TT175" s="17"/>
      <c r="TU175" s="17"/>
      <c r="TV175" s="17"/>
      <c r="TW175" s="17"/>
      <c r="TX175" s="17"/>
      <c r="TY175" s="17"/>
      <c r="TZ175" s="17"/>
      <c r="UA175" s="17"/>
      <c r="UB175" s="17"/>
      <c r="UC175" s="17"/>
      <c r="UD175" s="17"/>
      <c r="UE175" s="17"/>
      <c r="UF175" s="17"/>
      <c r="UG175" s="17"/>
      <c r="UH175" s="17"/>
      <c r="UI175" s="17"/>
      <c r="UJ175" s="17"/>
      <c r="UK175" s="17"/>
      <c r="UL175" s="17"/>
      <c r="UM175" s="17"/>
      <c r="UN175" s="17"/>
      <c r="UO175" s="17"/>
      <c r="UP175" s="17"/>
      <c r="UQ175" s="17"/>
      <c r="UR175" s="17"/>
      <c r="US175" s="17"/>
      <c r="UT175" s="17"/>
      <c r="UU175" s="17"/>
      <c r="UV175" s="17"/>
      <c r="UW175" s="17"/>
      <c r="UX175" s="17"/>
      <c r="UY175" s="17"/>
      <c r="UZ175" s="17"/>
      <c r="VA175" s="17"/>
      <c r="VB175" s="17"/>
      <c r="VC175" s="17"/>
      <c r="VD175" s="17"/>
      <c r="VE175" s="17"/>
      <c r="VF175" s="17"/>
      <c r="VG175" s="17"/>
      <c r="VH175" s="17"/>
      <c r="VI175" s="17"/>
      <c r="VJ175" s="17"/>
      <c r="VK175" s="17"/>
      <c r="VL175" s="17"/>
      <c r="VM175" s="17"/>
      <c r="VN175" s="17"/>
      <c r="VO175" s="17"/>
      <c r="VP175" s="17"/>
      <c r="VQ175" s="17"/>
      <c r="VR175" s="17"/>
      <c r="VS175" s="17"/>
      <c r="VT175" s="17"/>
      <c r="VU175" s="17"/>
      <c r="VV175" s="17"/>
      <c r="VW175" s="17"/>
      <c r="VX175" s="17"/>
      <c r="VY175" s="17"/>
      <c r="VZ175" s="17"/>
      <c r="WA175" s="17"/>
      <c r="WB175" s="17"/>
      <c r="WC175" s="17"/>
      <c r="WD175" s="17"/>
      <c r="WE175" s="17"/>
      <c r="WF175" s="17"/>
      <c r="WG175" s="17"/>
      <c r="WH175" s="17"/>
      <c r="WI175" s="17"/>
      <c r="WJ175" s="17"/>
      <c r="WK175" s="17"/>
      <c r="WL175" s="17"/>
      <c r="WM175" s="17"/>
      <c r="WN175" s="17"/>
      <c r="WO175" s="17"/>
      <c r="WP175" s="17"/>
      <c r="WQ175" s="17"/>
      <c r="WR175" s="17"/>
      <c r="WS175" s="17"/>
      <c r="WT175" s="17"/>
      <c r="WU175" s="17"/>
      <c r="WV175" s="17"/>
      <c r="WW175" s="17"/>
      <c r="WX175" s="17"/>
      <c r="WY175" s="17"/>
      <c r="WZ175" s="17"/>
      <c r="XA175" s="17"/>
      <c r="XB175" s="17"/>
      <c r="XC175" s="17"/>
      <c r="XD175" s="17"/>
      <c r="XE175" s="17"/>
      <c r="XF175" s="17"/>
      <c r="XG175" s="17"/>
      <c r="XH175" s="17"/>
      <c r="XI175" s="17"/>
      <c r="XJ175" s="17"/>
      <c r="XK175" s="17"/>
      <c r="XL175" s="17"/>
      <c r="XM175" s="17"/>
      <c r="XN175" s="17"/>
      <c r="XO175" s="17"/>
      <c r="XP175" s="17"/>
      <c r="XQ175" s="17"/>
      <c r="XR175" s="17"/>
      <c r="XS175" s="17"/>
      <c r="XT175" s="17"/>
      <c r="XU175" s="17"/>
      <c r="XV175" s="17"/>
      <c r="XW175" s="17"/>
      <c r="XX175" s="17"/>
      <c r="XY175" s="17"/>
      <c r="XZ175" s="17"/>
      <c r="YA175" s="17"/>
      <c r="YB175" s="17"/>
      <c r="YC175" s="17"/>
      <c r="YD175" s="17"/>
      <c r="YE175" s="17"/>
      <c r="YF175" s="17"/>
      <c r="YG175" s="17"/>
      <c r="YH175" s="17"/>
      <c r="YI175" s="17"/>
      <c r="YJ175" s="17"/>
      <c r="YK175" s="17"/>
      <c r="YL175" s="17"/>
      <c r="YM175" s="17"/>
      <c r="YN175" s="17"/>
      <c r="YO175" s="17"/>
      <c r="YP175" s="17"/>
      <c r="YQ175" s="17"/>
      <c r="YR175" s="17"/>
      <c r="YS175" s="17"/>
    </row>
    <row r="176" spans="266:669" x14ac:dyDescent="0.25">
      <c r="JF176" s="17"/>
      <c r="JG176" s="17"/>
      <c r="JH176" s="17"/>
      <c r="JI176" s="17"/>
      <c r="JJ176" s="17"/>
      <c r="JK176" s="17"/>
      <c r="JL176" s="17"/>
      <c r="JM176" s="17"/>
      <c r="JN176" s="17"/>
      <c r="JO176" s="17"/>
      <c r="JP176" s="17"/>
      <c r="JQ176" s="17"/>
      <c r="JR176" s="17"/>
      <c r="JS176" s="17"/>
      <c r="JT176" s="17"/>
      <c r="JU176" s="17"/>
      <c r="JV176" s="17"/>
      <c r="JW176" s="17"/>
      <c r="JX176" s="17"/>
      <c r="JY176" s="17"/>
      <c r="JZ176" s="17"/>
      <c r="KA176" s="17"/>
      <c r="KB176" s="17"/>
      <c r="KC176" s="17"/>
      <c r="KD176" s="17"/>
      <c r="KE176" s="17"/>
      <c r="KF176" s="17"/>
      <c r="KG176" s="17"/>
      <c r="KH176" s="17"/>
      <c r="KI176" s="17"/>
      <c r="KJ176" s="17"/>
      <c r="KK176" s="17"/>
      <c r="KL176" s="17"/>
      <c r="KM176" s="17"/>
      <c r="KN176" s="17"/>
      <c r="KO176" s="17"/>
      <c r="KP176" s="17"/>
      <c r="KQ176" s="17"/>
      <c r="KR176" s="17"/>
      <c r="KS176" s="17"/>
      <c r="KT176" s="17"/>
      <c r="KU176" s="17"/>
      <c r="KV176" s="17"/>
      <c r="KW176" s="17"/>
      <c r="KX176" s="17"/>
      <c r="KY176" s="17"/>
      <c r="KZ176" s="17"/>
      <c r="LA176" s="17"/>
      <c r="LB176" s="17"/>
      <c r="LC176" s="17"/>
      <c r="LD176" s="17"/>
      <c r="LE176" s="17"/>
      <c r="LF176" s="17"/>
      <c r="LG176" s="17"/>
      <c r="LH176" s="17"/>
      <c r="LI176" s="17"/>
      <c r="LJ176" s="17"/>
      <c r="LK176" s="17"/>
      <c r="LL176" s="17"/>
      <c r="LM176" s="17"/>
      <c r="LN176" s="17"/>
      <c r="LO176" s="17"/>
      <c r="LP176" s="17"/>
      <c r="LQ176" s="17"/>
      <c r="LR176" s="17"/>
      <c r="LS176" s="17"/>
      <c r="LT176" s="17"/>
      <c r="LU176" s="17"/>
      <c r="LV176" s="17"/>
      <c r="LW176" s="17"/>
      <c r="LX176" s="17"/>
      <c r="LY176" s="17"/>
      <c r="LZ176" s="17"/>
      <c r="MA176" s="17"/>
      <c r="MB176" s="17"/>
      <c r="MC176" s="17"/>
      <c r="MD176" s="17"/>
      <c r="ME176" s="17"/>
      <c r="MF176" s="17"/>
      <c r="MG176" s="17"/>
      <c r="MH176" s="17"/>
      <c r="MI176" s="17"/>
      <c r="MJ176" s="17"/>
      <c r="MK176" s="17"/>
      <c r="ML176" s="17"/>
      <c r="MM176" s="17"/>
      <c r="MN176" s="17"/>
      <c r="MO176" s="17"/>
      <c r="MP176" s="17"/>
      <c r="MQ176" s="17"/>
      <c r="MR176" s="17"/>
      <c r="MS176" s="17"/>
      <c r="MT176" s="17"/>
      <c r="MU176" s="17"/>
      <c r="MV176" s="17"/>
      <c r="MW176" s="17"/>
      <c r="MX176" s="17"/>
      <c r="MY176" s="17"/>
      <c r="MZ176" s="17"/>
      <c r="NA176" s="17"/>
      <c r="NB176" s="17"/>
      <c r="NC176" s="17"/>
      <c r="ND176" s="17"/>
      <c r="NE176" s="17"/>
      <c r="NF176" s="17"/>
      <c r="NG176" s="17"/>
      <c r="NH176" s="17"/>
      <c r="NI176" s="17"/>
      <c r="NJ176" s="17"/>
      <c r="NK176" s="17"/>
      <c r="NL176" s="17"/>
      <c r="NM176" s="17"/>
      <c r="NN176" s="17"/>
      <c r="NO176" s="17"/>
      <c r="NP176" s="17"/>
      <c r="NQ176" s="17"/>
      <c r="NR176" s="17"/>
      <c r="NS176" s="17"/>
      <c r="NT176" s="17"/>
      <c r="NU176" s="17"/>
      <c r="NV176" s="17"/>
      <c r="NW176" s="17"/>
      <c r="NX176" s="17"/>
      <c r="NY176" s="17"/>
      <c r="NZ176" s="17"/>
      <c r="OA176" s="17"/>
      <c r="OB176" s="17"/>
      <c r="OC176" s="17"/>
      <c r="OD176" s="17"/>
      <c r="OE176" s="17"/>
      <c r="OF176" s="17"/>
      <c r="OG176" s="17"/>
      <c r="OH176" s="17"/>
      <c r="OI176" s="17"/>
      <c r="OJ176" s="17"/>
      <c r="OK176" s="17"/>
      <c r="OL176" s="17"/>
      <c r="OM176" s="17"/>
      <c r="ON176" s="17"/>
      <c r="OO176" s="17"/>
      <c r="OP176" s="17"/>
      <c r="OQ176" s="17"/>
      <c r="OR176" s="17"/>
      <c r="OS176" s="17"/>
      <c r="OT176" s="17"/>
      <c r="OU176" s="17"/>
      <c r="OV176" s="17"/>
      <c r="OW176" s="17"/>
      <c r="OX176" s="17"/>
      <c r="OY176" s="17"/>
      <c r="OZ176" s="17"/>
      <c r="PA176" s="17"/>
      <c r="PB176" s="17"/>
      <c r="PC176" s="17"/>
      <c r="PD176" s="17"/>
      <c r="PE176" s="17"/>
      <c r="PF176" s="17"/>
      <c r="PG176" s="17"/>
      <c r="PH176" s="17"/>
      <c r="PI176" s="17"/>
      <c r="PJ176" s="17"/>
      <c r="PK176" s="17"/>
      <c r="PL176" s="17"/>
      <c r="PM176" s="17"/>
      <c r="PN176" s="17"/>
      <c r="PO176" s="17"/>
      <c r="PP176" s="17"/>
      <c r="PQ176" s="17"/>
      <c r="PR176" s="17"/>
      <c r="PS176" s="17"/>
      <c r="PT176" s="17"/>
      <c r="PU176" s="17"/>
      <c r="PV176" s="17"/>
      <c r="PW176" s="17"/>
      <c r="PX176" s="17"/>
      <c r="PY176" s="17"/>
      <c r="PZ176" s="17"/>
      <c r="QA176" s="17"/>
      <c r="QB176" s="17"/>
      <c r="QC176" s="17"/>
      <c r="QD176" s="17"/>
      <c r="QE176" s="17"/>
      <c r="QF176" s="17"/>
      <c r="QG176" s="17"/>
      <c r="QH176" s="17"/>
      <c r="QI176" s="17"/>
      <c r="QJ176" s="17"/>
      <c r="QK176" s="17"/>
      <c r="QL176" s="17"/>
      <c r="QM176" s="17"/>
      <c r="QN176" s="17"/>
      <c r="QO176" s="17"/>
      <c r="QP176" s="17"/>
      <c r="QQ176" s="17"/>
      <c r="QR176" s="17"/>
      <c r="QS176" s="17"/>
      <c r="QT176" s="17"/>
      <c r="QU176" s="17"/>
      <c r="QV176" s="17"/>
      <c r="QW176" s="17"/>
      <c r="QX176" s="17"/>
      <c r="QY176" s="17"/>
      <c r="QZ176" s="17"/>
      <c r="RA176" s="17"/>
      <c r="RB176" s="17"/>
      <c r="RC176" s="17"/>
      <c r="RD176" s="17"/>
      <c r="RE176" s="17"/>
      <c r="RF176" s="17"/>
      <c r="RG176" s="17"/>
      <c r="RH176" s="17"/>
      <c r="RI176" s="17"/>
      <c r="RJ176" s="17"/>
      <c r="RK176" s="17"/>
      <c r="RL176" s="17"/>
      <c r="RM176" s="17"/>
      <c r="RN176" s="17"/>
      <c r="RO176" s="17"/>
      <c r="RP176" s="17"/>
      <c r="RQ176" s="17"/>
      <c r="RR176" s="17"/>
      <c r="RS176" s="17"/>
      <c r="RT176" s="17"/>
      <c r="RU176" s="17"/>
      <c r="RV176" s="17"/>
      <c r="RW176" s="17"/>
      <c r="RX176" s="17"/>
      <c r="RY176" s="17"/>
      <c r="RZ176" s="17"/>
      <c r="SA176" s="17"/>
      <c r="SB176" s="17"/>
      <c r="SC176" s="17"/>
      <c r="SD176" s="17"/>
      <c r="SE176" s="17"/>
      <c r="SF176" s="17"/>
      <c r="SG176" s="17"/>
      <c r="SH176" s="17"/>
      <c r="SI176" s="17"/>
      <c r="SJ176" s="17"/>
      <c r="SK176" s="17"/>
      <c r="SL176" s="17"/>
      <c r="SM176" s="17"/>
      <c r="SN176" s="17"/>
      <c r="SO176" s="17"/>
      <c r="SP176" s="17"/>
      <c r="SQ176" s="17"/>
      <c r="SR176" s="17"/>
      <c r="SS176" s="17"/>
      <c r="ST176" s="17"/>
      <c r="SU176" s="17"/>
      <c r="SV176" s="17"/>
      <c r="SW176" s="17"/>
      <c r="SX176" s="17"/>
      <c r="SY176" s="17"/>
      <c r="SZ176" s="17"/>
      <c r="TA176" s="17"/>
      <c r="TB176" s="17"/>
      <c r="TC176" s="17"/>
      <c r="TD176" s="17"/>
      <c r="TE176" s="17"/>
      <c r="TF176" s="17"/>
      <c r="TG176" s="17"/>
      <c r="TH176" s="17"/>
      <c r="TI176" s="17"/>
      <c r="TJ176" s="17"/>
      <c r="TK176" s="17"/>
      <c r="TL176" s="17"/>
      <c r="TM176" s="17"/>
      <c r="TN176" s="17"/>
      <c r="TO176" s="17"/>
      <c r="TP176" s="17"/>
      <c r="TQ176" s="17"/>
      <c r="TR176" s="17"/>
      <c r="TS176" s="17"/>
      <c r="TT176" s="17"/>
      <c r="TU176" s="17"/>
      <c r="TV176" s="17"/>
      <c r="TW176" s="17"/>
      <c r="TX176" s="17"/>
      <c r="TY176" s="17"/>
      <c r="TZ176" s="17"/>
      <c r="UA176" s="17"/>
      <c r="UB176" s="17"/>
      <c r="UC176" s="17"/>
      <c r="UD176" s="17"/>
      <c r="UE176" s="17"/>
      <c r="UF176" s="17"/>
      <c r="UG176" s="17"/>
      <c r="UH176" s="17"/>
      <c r="UI176" s="17"/>
      <c r="UJ176" s="17"/>
      <c r="UK176" s="17"/>
      <c r="UL176" s="17"/>
      <c r="UM176" s="17"/>
      <c r="UN176" s="17"/>
      <c r="UO176" s="17"/>
      <c r="UP176" s="17"/>
      <c r="UQ176" s="17"/>
      <c r="UR176" s="17"/>
      <c r="US176" s="17"/>
      <c r="UT176" s="17"/>
      <c r="UU176" s="17"/>
      <c r="UV176" s="17"/>
      <c r="UW176" s="17"/>
      <c r="UX176" s="17"/>
      <c r="UY176" s="17"/>
      <c r="UZ176" s="17"/>
      <c r="VA176" s="17"/>
      <c r="VB176" s="17"/>
      <c r="VC176" s="17"/>
      <c r="VD176" s="17"/>
      <c r="VE176" s="17"/>
      <c r="VF176" s="17"/>
      <c r="VG176" s="17"/>
      <c r="VH176" s="17"/>
      <c r="VI176" s="17"/>
      <c r="VJ176" s="17"/>
      <c r="VK176" s="17"/>
      <c r="VL176" s="17"/>
      <c r="VM176" s="17"/>
      <c r="VN176" s="17"/>
      <c r="VO176" s="17"/>
      <c r="VP176" s="17"/>
      <c r="VQ176" s="17"/>
      <c r="VR176" s="17"/>
      <c r="VS176" s="17"/>
      <c r="VT176" s="17"/>
      <c r="VU176" s="17"/>
      <c r="VV176" s="17"/>
      <c r="VW176" s="17"/>
      <c r="VX176" s="17"/>
      <c r="VY176" s="17"/>
      <c r="VZ176" s="17"/>
      <c r="WA176" s="17"/>
      <c r="WB176" s="17"/>
      <c r="WC176" s="17"/>
      <c r="WD176" s="17"/>
      <c r="WE176" s="17"/>
      <c r="WF176" s="17"/>
      <c r="WG176" s="17"/>
      <c r="WH176" s="17"/>
      <c r="WI176" s="17"/>
      <c r="WJ176" s="17"/>
      <c r="WK176" s="17"/>
      <c r="WL176" s="17"/>
      <c r="WM176" s="17"/>
      <c r="WN176" s="17"/>
      <c r="WO176" s="17"/>
      <c r="WP176" s="17"/>
      <c r="WQ176" s="17"/>
      <c r="WR176" s="17"/>
      <c r="WS176" s="17"/>
      <c r="WT176" s="17"/>
      <c r="WU176" s="17"/>
      <c r="WV176" s="17"/>
      <c r="WW176" s="17"/>
      <c r="WX176" s="17"/>
      <c r="WY176" s="17"/>
      <c r="WZ176" s="17"/>
      <c r="XA176" s="17"/>
      <c r="XB176" s="17"/>
      <c r="XC176" s="17"/>
      <c r="XD176" s="17"/>
      <c r="XE176" s="17"/>
      <c r="XF176" s="17"/>
      <c r="XG176" s="17"/>
      <c r="XH176" s="17"/>
      <c r="XI176" s="17"/>
      <c r="XJ176" s="17"/>
      <c r="XK176" s="17"/>
      <c r="XL176" s="17"/>
      <c r="XM176" s="17"/>
      <c r="XN176" s="17"/>
      <c r="XO176" s="17"/>
      <c r="XP176" s="17"/>
      <c r="XQ176" s="17"/>
      <c r="XR176" s="17"/>
      <c r="XS176" s="17"/>
      <c r="XT176" s="17"/>
      <c r="XU176" s="17"/>
      <c r="XV176" s="17"/>
      <c r="XW176" s="17"/>
      <c r="XX176" s="17"/>
      <c r="XY176" s="17"/>
      <c r="XZ176" s="17"/>
      <c r="YA176" s="17"/>
      <c r="YB176" s="17"/>
      <c r="YC176" s="17"/>
      <c r="YD176" s="17"/>
      <c r="YE176" s="17"/>
      <c r="YF176" s="17"/>
      <c r="YG176" s="17"/>
      <c r="YH176" s="17"/>
      <c r="YI176" s="17"/>
      <c r="YJ176" s="17"/>
      <c r="YK176" s="17"/>
      <c r="YL176" s="17"/>
      <c r="YM176" s="17"/>
      <c r="YN176" s="17"/>
      <c r="YO176" s="17"/>
      <c r="YP176" s="17"/>
      <c r="YQ176" s="17"/>
      <c r="YR176" s="17"/>
      <c r="YS176" s="17"/>
    </row>
    <row r="177" spans="266:669" x14ac:dyDescent="0.25">
      <c r="JF177" s="17"/>
      <c r="JG177" s="17"/>
      <c r="JH177" s="17"/>
      <c r="JI177" s="17"/>
      <c r="JJ177" s="17"/>
      <c r="JK177" s="17"/>
      <c r="JL177" s="17"/>
      <c r="JM177" s="17"/>
      <c r="JN177" s="17"/>
      <c r="JO177" s="17"/>
      <c r="JP177" s="17"/>
      <c r="JQ177" s="17"/>
      <c r="JR177" s="17"/>
      <c r="JS177" s="17"/>
      <c r="JT177" s="17"/>
      <c r="JU177" s="17"/>
      <c r="JV177" s="17"/>
      <c r="JW177" s="17"/>
      <c r="JX177" s="17"/>
      <c r="JY177" s="17"/>
      <c r="JZ177" s="17"/>
      <c r="KA177" s="17"/>
      <c r="KB177" s="17"/>
      <c r="KC177" s="17"/>
      <c r="KD177" s="17"/>
      <c r="KE177" s="17"/>
      <c r="KF177" s="17"/>
      <c r="KG177" s="17"/>
      <c r="KH177" s="17"/>
      <c r="KI177" s="17"/>
      <c r="KJ177" s="17"/>
      <c r="KK177" s="17"/>
      <c r="KL177" s="17"/>
      <c r="KM177" s="17"/>
      <c r="KN177" s="17"/>
      <c r="KO177" s="17"/>
      <c r="KP177" s="17"/>
      <c r="KQ177" s="17"/>
      <c r="KR177" s="17"/>
      <c r="KS177" s="17"/>
      <c r="KT177" s="17"/>
      <c r="KU177" s="17"/>
      <c r="KV177" s="17"/>
      <c r="KW177" s="17"/>
      <c r="KX177" s="17"/>
      <c r="KY177" s="17"/>
      <c r="KZ177" s="17"/>
      <c r="LA177" s="17"/>
      <c r="LB177" s="17"/>
      <c r="LC177" s="17"/>
      <c r="LD177" s="17"/>
      <c r="LE177" s="17"/>
      <c r="LF177" s="17"/>
      <c r="LG177" s="17"/>
      <c r="LH177" s="17"/>
      <c r="LI177" s="17"/>
      <c r="LJ177" s="17"/>
      <c r="LK177" s="17"/>
      <c r="LL177" s="17"/>
      <c r="LM177" s="17"/>
      <c r="LN177" s="17"/>
      <c r="LO177" s="17"/>
      <c r="LP177" s="17"/>
      <c r="LQ177" s="17"/>
      <c r="LR177" s="17"/>
      <c r="LS177" s="17"/>
      <c r="LT177" s="17"/>
      <c r="LU177" s="17"/>
      <c r="LV177" s="17"/>
      <c r="LW177" s="17"/>
      <c r="LX177" s="17"/>
      <c r="LY177" s="17"/>
      <c r="LZ177" s="17"/>
      <c r="MA177" s="17"/>
      <c r="MB177" s="17"/>
      <c r="MC177" s="17"/>
      <c r="MD177" s="17"/>
      <c r="ME177" s="17"/>
      <c r="MF177" s="17"/>
      <c r="MG177" s="17"/>
      <c r="MH177" s="17"/>
      <c r="MI177" s="17"/>
      <c r="MJ177" s="17"/>
      <c r="MK177" s="17"/>
      <c r="ML177" s="17"/>
      <c r="MM177" s="17"/>
      <c r="MN177" s="17"/>
      <c r="MO177" s="17"/>
      <c r="MP177" s="17"/>
      <c r="MQ177" s="17"/>
      <c r="MR177" s="17"/>
      <c r="MS177" s="17"/>
      <c r="MT177" s="17"/>
      <c r="MU177" s="17"/>
      <c r="MV177" s="17"/>
      <c r="MW177" s="17"/>
      <c r="MX177" s="17"/>
      <c r="MY177" s="17"/>
      <c r="MZ177" s="17"/>
      <c r="NA177" s="17"/>
      <c r="NB177" s="17"/>
      <c r="NC177" s="17"/>
      <c r="ND177" s="17"/>
      <c r="NE177" s="17"/>
      <c r="NF177" s="17"/>
      <c r="NG177" s="17"/>
      <c r="NH177" s="17"/>
      <c r="NI177" s="17"/>
      <c r="NJ177" s="17"/>
      <c r="NK177" s="17"/>
      <c r="NL177" s="17"/>
      <c r="NM177" s="17"/>
      <c r="NN177" s="17"/>
      <c r="NO177" s="17"/>
      <c r="NP177" s="17"/>
      <c r="NQ177" s="17"/>
      <c r="NR177" s="17"/>
      <c r="NS177" s="17"/>
      <c r="NT177" s="17"/>
      <c r="NU177" s="17"/>
      <c r="NV177" s="17"/>
      <c r="NW177" s="17"/>
      <c r="NX177" s="17"/>
      <c r="NY177" s="17"/>
      <c r="NZ177" s="17"/>
      <c r="OA177" s="17"/>
      <c r="OB177" s="17"/>
      <c r="OC177" s="17"/>
      <c r="OD177" s="17"/>
      <c r="OE177" s="17"/>
      <c r="OF177" s="17"/>
      <c r="OG177" s="17"/>
      <c r="OH177" s="17"/>
      <c r="OI177" s="17"/>
      <c r="OJ177" s="17"/>
      <c r="OK177" s="17"/>
      <c r="OL177" s="17"/>
      <c r="OM177" s="17"/>
      <c r="ON177" s="17"/>
      <c r="OO177" s="17"/>
      <c r="OP177" s="17"/>
      <c r="OQ177" s="17"/>
      <c r="OR177" s="17"/>
      <c r="OS177" s="17"/>
      <c r="OT177" s="17"/>
      <c r="OU177" s="17"/>
      <c r="OV177" s="17"/>
      <c r="OW177" s="17"/>
      <c r="OX177" s="17"/>
      <c r="OY177" s="17"/>
      <c r="OZ177" s="17"/>
      <c r="PA177" s="17"/>
      <c r="PB177" s="17"/>
      <c r="PC177" s="17"/>
      <c r="PD177" s="17"/>
      <c r="PE177" s="17"/>
      <c r="PF177" s="17"/>
      <c r="PG177" s="17"/>
      <c r="PH177" s="17"/>
      <c r="PI177" s="17"/>
      <c r="PJ177" s="17"/>
      <c r="PK177" s="17"/>
      <c r="PL177" s="17"/>
      <c r="PM177" s="17"/>
      <c r="PN177" s="17"/>
      <c r="PO177" s="17"/>
      <c r="PP177" s="17"/>
      <c r="PQ177" s="17"/>
      <c r="PR177" s="17"/>
      <c r="PS177" s="17"/>
      <c r="PT177" s="17"/>
      <c r="PU177" s="17"/>
      <c r="PV177" s="17"/>
      <c r="PW177" s="17"/>
      <c r="PX177" s="17"/>
      <c r="PY177" s="17"/>
      <c r="PZ177" s="17"/>
      <c r="QA177" s="17"/>
      <c r="QB177" s="17"/>
      <c r="QC177" s="17"/>
      <c r="QD177" s="17"/>
      <c r="QE177" s="17"/>
      <c r="QF177" s="17"/>
      <c r="QG177" s="17"/>
      <c r="QH177" s="17"/>
      <c r="QI177" s="17"/>
      <c r="QJ177" s="17"/>
      <c r="QK177" s="17"/>
      <c r="QL177" s="17"/>
      <c r="QM177" s="17"/>
      <c r="QN177" s="17"/>
      <c r="QO177" s="17"/>
      <c r="QP177" s="17"/>
      <c r="QQ177" s="17"/>
      <c r="QR177" s="17"/>
      <c r="QS177" s="17"/>
      <c r="QT177" s="17"/>
      <c r="QU177" s="17"/>
      <c r="QV177" s="17"/>
      <c r="QW177" s="17"/>
      <c r="QX177" s="17"/>
      <c r="QY177" s="17"/>
      <c r="QZ177" s="17"/>
      <c r="RA177" s="17"/>
      <c r="RB177" s="17"/>
      <c r="RC177" s="17"/>
      <c r="RD177" s="17"/>
      <c r="RE177" s="17"/>
      <c r="RF177" s="17"/>
      <c r="RG177" s="17"/>
      <c r="RH177" s="17"/>
      <c r="RI177" s="17"/>
      <c r="RJ177" s="17"/>
      <c r="RK177" s="17"/>
      <c r="RL177" s="17"/>
      <c r="RM177" s="17"/>
      <c r="RN177" s="17"/>
      <c r="RO177" s="17"/>
      <c r="RP177" s="17"/>
      <c r="RQ177" s="17"/>
      <c r="RR177" s="17"/>
      <c r="RS177" s="17"/>
      <c r="RT177" s="17"/>
      <c r="RU177" s="17"/>
      <c r="RV177" s="17"/>
      <c r="RW177" s="17"/>
      <c r="RX177" s="17"/>
      <c r="RY177" s="17"/>
      <c r="RZ177" s="17"/>
      <c r="SA177" s="17"/>
      <c r="SB177" s="17"/>
      <c r="SC177" s="17"/>
      <c r="SD177" s="17"/>
      <c r="SE177" s="17"/>
      <c r="SF177" s="17"/>
      <c r="SG177" s="17"/>
      <c r="SH177" s="17"/>
      <c r="SI177" s="17"/>
      <c r="SJ177" s="17"/>
      <c r="SK177" s="17"/>
      <c r="SL177" s="17"/>
      <c r="SM177" s="17"/>
      <c r="SN177" s="17"/>
      <c r="SO177" s="17"/>
      <c r="SP177" s="17"/>
      <c r="SQ177" s="17"/>
      <c r="SR177" s="17"/>
      <c r="SS177" s="17"/>
      <c r="ST177" s="17"/>
      <c r="SU177" s="17"/>
      <c r="SV177" s="17"/>
      <c r="SW177" s="17"/>
      <c r="SX177" s="17"/>
      <c r="SY177" s="17"/>
      <c r="SZ177" s="17"/>
      <c r="TA177" s="17"/>
      <c r="TB177" s="17"/>
      <c r="TC177" s="17"/>
      <c r="TD177" s="17"/>
      <c r="TE177" s="17"/>
      <c r="TF177" s="17"/>
      <c r="TG177" s="17"/>
      <c r="TH177" s="17"/>
      <c r="TI177" s="17"/>
      <c r="TJ177" s="17"/>
      <c r="TK177" s="17"/>
      <c r="TL177" s="17"/>
      <c r="TM177" s="17"/>
      <c r="TN177" s="17"/>
      <c r="TO177" s="17"/>
      <c r="TP177" s="17"/>
      <c r="TQ177" s="17"/>
      <c r="TR177" s="17"/>
      <c r="TS177" s="17"/>
      <c r="TT177" s="17"/>
      <c r="TU177" s="17"/>
      <c r="TV177" s="17"/>
      <c r="TW177" s="17"/>
      <c r="TX177" s="17"/>
      <c r="TY177" s="17"/>
      <c r="TZ177" s="17"/>
      <c r="UA177" s="17"/>
      <c r="UB177" s="17"/>
      <c r="UC177" s="17"/>
      <c r="UD177" s="17"/>
      <c r="UE177" s="17"/>
      <c r="UF177" s="17"/>
      <c r="UG177" s="17"/>
      <c r="UH177" s="17"/>
      <c r="UI177" s="17"/>
      <c r="UJ177" s="17"/>
      <c r="UK177" s="17"/>
      <c r="UL177" s="17"/>
      <c r="UM177" s="17"/>
      <c r="UN177" s="17"/>
      <c r="UO177" s="17"/>
      <c r="UP177" s="17"/>
      <c r="UQ177" s="17"/>
      <c r="UR177" s="17"/>
      <c r="US177" s="17"/>
      <c r="UT177" s="17"/>
      <c r="UU177" s="17"/>
      <c r="UV177" s="17"/>
      <c r="UW177" s="17"/>
      <c r="UX177" s="17"/>
      <c r="UY177" s="17"/>
      <c r="UZ177" s="17"/>
      <c r="VA177" s="17"/>
      <c r="VB177" s="17"/>
      <c r="VC177" s="17"/>
      <c r="VD177" s="17"/>
      <c r="VE177" s="17"/>
      <c r="VF177" s="17"/>
      <c r="VG177" s="17"/>
      <c r="VH177" s="17"/>
      <c r="VI177" s="17"/>
      <c r="VJ177" s="17"/>
      <c r="VK177" s="17"/>
      <c r="VL177" s="17"/>
      <c r="VM177" s="17"/>
      <c r="VN177" s="17"/>
      <c r="VO177" s="17"/>
      <c r="VP177" s="17"/>
      <c r="VQ177" s="17"/>
      <c r="VR177" s="17"/>
      <c r="VS177" s="17"/>
      <c r="VT177" s="17"/>
      <c r="VU177" s="17"/>
      <c r="VV177" s="17"/>
      <c r="VW177" s="17"/>
      <c r="VX177" s="17"/>
      <c r="VY177" s="17"/>
      <c r="VZ177" s="17"/>
      <c r="WA177" s="17"/>
      <c r="WB177" s="17"/>
      <c r="WC177" s="17"/>
      <c r="WD177" s="17"/>
      <c r="WE177" s="17"/>
      <c r="WF177" s="17"/>
      <c r="WG177" s="17"/>
      <c r="WH177" s="17"/>
      <c r="WI177" s="17"/>
      <c r="WJ177" s="17"/>
      <c r="WK177" s="17"/>
      <c r="WL177" s="17"/>
      <c r="WM177" s="17"/>
      <c r="WN177" s="17"/>
      <c r="WO177" s="17"/>
      <c r="WP177" s="17"/>
      <c r="WQ177" s="17"/>
      <c r="WR177" s="17"/>
      <c r="WS177" s="17"/>
      <c r="WT177" s="17"/>
      <c r="WU177" s="17"/>
      <c r="WV177" s="17"/>
      <c r="WW177" s="17"/>
      <c r="WX177" s="17"/>
      <c r="WY177" s="17"/>
      <c r="WZ177" s="17"/>
      <c r="XA177" s="17"/>
      <c r="XB177" s="17"/>
      <c r="XC177" s="17"/>
      <c r="XD177" s="17"/>
      <c r="XE177" s="17"/>
      <c r="XF177" s="17"/>
      <c r="XG177" s="17"/>
      <c r="XH177" s="17"/>
      <c r="XI177" s="17"/>
      <c r="XJ177" s="17"/>
      <c r="XK177" s="17"/>
      <c r="XL177" s="17"/>
      <c r="XM177" s="17"/>
      <c r="XN177" s="17"/>
      <c r="XO177" s="17"/>
      <c r="XP177" s="17"/>
      <c r="XQ177" s="17"/>
      <c r="XR177" s="17"/>
      <c r="XS177" s="17"/>
      <c r="XT177" s="17"/>
      <c r="XU177" s="17"/>
      <c r="XV177" s="17"/>
      <c r="XW177" s="17"/>
      <c r="XX177" s="17"/>
      <c r="XY177" s="17"/>
      <c r="XZ177" s="17"/>
      <c r="YA177" s="17"/>
      <c r="YB177" s="17"/>
      <c r="YC177" s="17"/>
      <c r="YD177" s="17"/>
      <c r="YE177" s="17"/>
      <c r="YF177" s="17"/>
      <c r="YG177" s="17"/>
      <c r="YH177" s="17"/>
      <c r="YI177" s="17"/>
      <c r="YJ177" s="17"/>
      <c r="YK177" s="17"/>
      <c r="YL177" s="17"/>
      <c r="YM177" s="17"/>
      <c r="YN177" s="17"/>
      <c r="YO177" s="17"/>
      <c r="YP177" s="17"/>
      <c r="YQ177" s="17"/>
      <c r="YR177" s="17"/>
      <c r="YS177" s="17"/>
    </row>
    <row r="178" spans="266:669" x14ac:dyDescent="0.25">
      <c r="JF178" s="17"/>
      <c r="JG178" s="17"/>
      <c r="JH178" s="17"/>
      <c r="JI178" s="17"/>
      <c r="JJ178" s="17"/>
      <c r="JK178" s="17"/>
      <c r="JL178" s="17"/>
      <c r="JM178" s="17"/>
      <c r="JN178" s="17"/>
      <c r="JO178" s="17"/>
      <c r="JP178" s="17"/>
      <c r="JQ178" s="17"/>
      <c r="JR178" s="17"/>
      <c r="JS178" s="17"/>
      <c r="JT178" s="17"/>
      <c r="JU178" s="17"/>
      <c r="JV178" s="17"/>
      <c r="JW178" s="17"/>
      <c r="JX178" s="17"/>
      <c r="JY178" s="17"/>
      <c r="JZ178" s="17"/>
      <c r="KA178" s="17"/>
      <c r="KB178" s="17"/>
      <c r="KC178" s="17"/>
      <c r="KD178" s="17"/>
      <c r="KE178" s="17"/>
      <c r="KF178" s="17"/>
      <c r="KG178" s="17"/>
      <c r="KH178" s="17"/>
      <c r="KI178" s="17"/>
      <c r="KJ178" s="17"/>
      <c r="KK178" s="17"/>
      <c r="KL178" s="17"/>
      <c r="KM178" s="17"/>
      <c r="KN178" s="17"/>
      <c r="KO178" s="17"/>
      <c r="KP178" s="17"/>
      <c r="KQ178" s="17"/>
      <c r="KR178" s="17"/>
      <c r="KS178" s="17"/>
      <c r="KT178" s="17"/>
      <c r="KU178" s="17"/>
      <c r="KV178" s="17"/>
      <c r="KW178" s="17"/>
      <c r="KX178" s="17"/>
      <c r="KY178" s="17"/>
      <c r="KZ178" s="17"/>
      <c r="LA178" s="17"/>
      <c r="LB178" s="17"/>
      <c r="LC178" s="17"/>
      <c r="LD178" s="17"/>
      <c r="LE178" s="17"/>
      <c r="LF178" s="17"/>
      <c r="LG178" s="17"/>
      <c r="LH178" s="17"/>
      <c r="LI178" s="17"/>
      <c r="LJ178" s="17"/>
      <c r="LK178" s="17"/>
      <c r="LL178" s="17"/>
      <c r="LM178" s="17"/>
      <c r="LN178" s="17"/>
      <c r="LO178" s="17"/>
      <c r="LP178" s="17"/>
      <c r="LQ178" s="17"/>
      <c r="LR178" s="17"/>
      <c r="LS178" s="17"/>
      <c r="LT178" s="17"/>
      <c r="LU178" s="17"/>
      <c r="LV178" s="17"/>
      <c r="LW178" s="17"/>
      <c r="LX178" s="17"/>
      <c r="LY178" s="17"/>
      <c r="LZ178" s="17"/>
      <c r="MA178" s="17"/>
      <c r="MB178" s="17"/>
      <c r="MC178" s="17"/>
      <c r="MD178" s="17"/>
      <c r="ME178" s="17"/>
      <c r="MF178" s="17"/>
      <c r="MG178" s="17"/>
      <c r="MH178" s="17"/>
      <c r="MI178" s="17"/>
      <c r="MJ178" s="17"/>
      <c r="MK178" s="17"/>
      <c r="ML178" s="17"/>
      <c r="MM178" s="17"/>
      <c r="MN178" s="17"/>
      <c r="MO178" s="17"/>
      <c r="MP178" s="17"/>
      <c r="MQ178" s="17"/>
      <c r="MR178" s="17"/>
      <c r="MS178" s="17"/>
      <c r="MT178" s="17"/>
      <c r="MU178" s="17"/>
      <c r="MV178" s="17"/>
      <c r="MW178" s="17"/>
      <c r="MX178" s="17"/>
      <c r="MY178" s="17"/>
      <c r="MZ178" s="17"/>
      <c r="NA178" s="17"/>
      <c r="NB178" s="17"/>
      <c r="NC178" s="17"/>
      <c r="ND178" s="17"/>
      <c r="NE178" s="17"/>
      <c r="NF178" s="17"/>
      <c r="NG178" s="17"/>
      <c r="NH178" s="17"/>
      <c r="NI178" s="17"/>
      <c r="NJ178" s="17"/>
      <c r="NK178" s="17"/>
      <c r="NL178" s="17"/>
      <c r="NM178" s="17"/>
      <c r="NN178" s="17"/>
      <c r="NO178" s="17"/>
      <c r="NP178" s="17"/>
      <c r="NQ178" s="17"/>
      <c r="NR178" s="17"/>
      <c r="NS178" s="17"/>
      <c r="NT178" s="17"/>
      <c r="NU178" s="17"/>
      <c r="NV178" s="17"/>
      <c r="NW178" s="17"/>
      <c r="NX178" s="17"/>
      <c r="NY178" s="17"/>
      <c r="NZ178" s="17"/>
      <c r="OA178" s="17"/>
      <c r="OB178" s="17"/>
      <c r="OC178" s="17"/>
      <c r="OD178" s="17"/>
      <c r="OE178" s="17"/>
      <c r="OF178" s="17"/>
      <c r="OG178" s="17"/>
      <c r="OH178" s="17"/>
      <c r="OI178" s="17"/>
      <c r="OJ178" s="17"/>
      <c r="OK178" s="17"/>
      <c r="OL178" s="17"/>
      <c r="OM178" s="17"/>
      <c r="ON178" s="17"/>
      <c r="OO178" s="17"/>
      <c r="OP178" s="17"/>
      <c r="OQ178" s="17"/>
      <c r="OR178" s="17"/>
      <c r="OS178" s="17"/>
      <c r="OT178" s="17"/>
      <c r="OU178" s="17"/>
      <c r="OV178" s="17"/>
      <c r="OW178" s="17"/>
      <c r="OX178" s="17"/>
      <c r="OY178" s="17"/>
      <c r="OZ178" s="17"/>
      <c r="PA178" s="17"/>
      <c r="PB178" s="17"/>
      <c r="PC178" s="17"/>
      <c r="PD178" s="17"/>
      <c r="PE178" s="17"/>
      <c r="PF178" s="17"/>
      <c r="PG178" s="17"/>
      <c r="PH178" s="17"/>
      <c r="PI178" s="17"/>
      <c r="PJ178" s="17"/>
      <c r="PK178" s="17"/>
      <c r="PL178" s="17"/>
      <c r="PM178" s="17"/>
      <c r="PN178" s="17"/>
      <c r="PO178" s="17"/>
      <c r="PP178" s="17"/>
      <c r="PQ178" s="17"/>
      <c r="PR178" s="17"/>
      <c r="PS178" s="17"/>
      <c r="PT178" s="17"/>
      <c r="PU178" s="17"/>
      <c r="PV178" s="17"/>
      <c r="PW178" s="17"/>
      <c r="PX178" s="17"/>
      <c r="PY178" s="17"/>
      <c r="PZ178" s="17"/>
      <c r="QA178" s="17"/>
      <c r="QB178" s="17"/>
      <c r="QC178" s="17"/>
      <c r="QD178" s="17"/>
      <c r="QE178" s="17"/>
      <c r="QF178" s="17"/>
      <c r="QG178" s="17"/>
      <c r="QH178" s="17"/>
      <c r="QI178" s="17"/>
      <c r="QJ178" s="17"/>
      <c r="QK178" s="17"/>
      <c r="QL178" s="17"/>
      <c r="QM178" s="17"/>
      <c r="QN178" s="17"/>
      <c r="QO178" s="17"/>
      <c r="QP178" s="17"/>
      <c r="QQ178" s="17"/>
      <c r="QR178" s="17"/>
      <c r="QS178" s="17"/>
      <c r="QT178" s="17"/>
      <c r="QU178" s="17"/>
      <c r="QV178" s="17"/>
      <c r="QW178" s="17"/>
      <c r="QX178" s="17"/>
      <c r="QY178" s="17"/>
      <c r="QZ178" s="17"/>
      <c r="RA178" s="17"/>
      <c r="RB178" s="17"/>
      <c r="RC178" s="17"/>
      <c r="RD178" s="17"/>
      <c r="RE178" s="17"/>
      <c r="RF178" s="17"/>
      <c r="RG178" s="17"/>
      <c r="RH178" s="17"/>
      <c r="RI178" s="17"/>
      <c r="RJ178" s="17"/>
      <c r="RK178" s="17"/>
      <c r="RL178" s="17"/>
      <c r="RM178" s="17"/>
      <c r="RN178" s="17"/>
      <c r="RO178" s="17"/>
      <c r="RP178" s="17"/>
      <c r="RQ178" s="17"/>
      <c r="RR178" s="17"/>
      <c r="RS178" s="17"/>
      <c r="RT178" s="17"/>
      <c r="RU178" s="17"/>
      <c r="RV178" s="17"/>
      <c r="RW178" s="17"/>
      <c r="RX178" s="17"/>
      <c r="RY178" s="17"/>
      <c r="RZ178" s="17"/>
      <c r="SA178" s="17"/>
      <c r="SB178" s="17"/>
      <c r="SC178" s="17"/>
      <c r="SD178" s="17"/>
      <c r="SE178" s="17"/>
      <c r="SF178" s="17"/>
      <c r="SG178" s="17"/>
      <c r="SH178" s="17"/>
      <c r="SI178" s="17"/>
      <c r="SJ178" s="17"/>
      <c r="SK178" s="17"/>
      <c r="SL178" s="17"/>
      <c r="SM178" s="17"/>
      <c r="SN178" s="17"/>
      <c r="SO178" s="17"/>
      <c r="SP178" s="17"/>
      <c r="SQ178" s="17"/>
      <c r="SR178" s="17"/>
      <c r="SS178" s="17"/>
      <c r="ST178" s="17"/>
      <c r="SU178" s="17"/>
      <c r="SV178" s="17"/>
      <c r="SW178" s="17"/>
      <c r="SX178" s="17"/>
      <c r="SY178" s="17"/>
      <c r="SZ178" s="17"/>
      <c r="TA178" s="17"/>
      <c r="TB178" s="17"/>
      <c r="TC178" s="17"/>
      <c r="TD178" s="17"/>
      <c r="TE178" s="17"/>
      <c r="TF178" s="17"/>
      <c r="TG178" s="17"/>
      <c r="TH178" s="17"/>
      <c r="TI178" s="17"/>
      <c r="TJ178" s="17"/>
      <c r="TK178" s="17"/>
      <c r="TL178" s="17"/>
      <c r="TM178" s="17"/>
      <c r="TN178" s="17"/>
      <c r="TO178" s="17"/>
      <c r="TP178" s="17"/>
      <c r="TQ178" s="17"/>
      <c r="TR178" s="17"/>
      <c r="TS178" s="17"/>
      <c r="TT178" s="17"/>
      <c r="TU178" s="17"/>
      <c r="TV178" s="17"/>
      <c r="TW178" s="17"/>
      <c r="TX178" s="17"/>
      <c r="TY178" s="17"/>
      <c r="TZ178" s="17"/>
      <c r="UA178" s="17"/>
      <c r="UB178" s="17"/>
      <c r="UC178" s="17"/>
      <c r="UD178" s="17"/>
      <c r="UE178" s="17"/>
      <c r="UF178" s="17"/>
      <c r="UG178" s="17"/>
      <c r="UH178" s="17"/>
      <c r="UI178" s="17"/>
      <c r="UJ178" s="17"/>
      <c r="UK178" s="17"/>
      <c r="UL178" s="17"/>
      <c r="UM178" s="17"/>
      <c r="UN178" s="17"/>
      <c r="UO178" s="17"/>
      <c r="UP178" s="17"/>
      <c r="UQ178" s="17"/>
      <c r="UR178" s="17"/>
      <c r="US178" s="17"/>
      <c r="UT178" s="17"/>
      <c r="UU178" s="17"/>
      <c r="UV178" s="17"/>
      <c r="UW178" s="17"/>
      <c r="UX178" s="17"/>
      <c r="UY178" s="17"/>
      <c r="UZ178" s="17"/>
      <c r="VA178" s="17"/>
      <c r="VB178" s="17"/>
      <c r="VC178" s="17"/>
      <c r="VD178" s="17"/>
      <c r="VE178" s="17"/>
      <c r="VF178" s="17"/>
      <c r="VG178" s="17"/>
      <c r="VH178" s="17"/>
      <c r="VI178" s="17"/>
      <c r="VJ178" s="17"/>
      <c r="VK178" s="17"/>
      <c r="VL178" s="17"/>
      <c r="VM178" s="17"/>
      <c r="VN178" s="17"/>
      <c r="VO178" s="17"/>
      <c r="VP178" s="17"/>
      <c r="VQ178" s="17"/>
      <c r="VR178" s="17"/>
      <c r="VS178" s="17"/>
      <c r="VT178" s="17"/>
      <c r="VU178" s="17"/>
      <c r="VV178" s="17"/>
      <c r="VW178" s="17"/>
      <c r="VX178" s="17"/>
      <c r="VY178" s="17"/>
      <c r="VZ178" s="17"/>
      <c r="WA178" s="17"/>
      <c r="WB178" s="17"/>
      <c r="WC178" s="17"/>
      <c r="WD178" s="17"/>
      <c r="WE178" s="17"/>
      <c r="WF178" s="17"/>
      <c r="WG178" s="17"/>
      <c r="WH178" s="17"/>
      <c r="WI178" s="17"/>
      <c r="WJ178" s="17"/>
      <c r="WK178" s="17"/>
      <c r="WL178" s="17"/>
      <c r="WM178" s="17"/>
      <c r="WN178" s="17"/>
      <c r="WO178" s="17"/>
      <c r="WP178" s="17"/>
      <c r="WQ178" s="17"/>
      <c r="WR178" s="17"/>
      <c r="WS178" s="17"/>
      <c r="WT178" s="17"/>
      <c r="WU178" s="17"/>
      <c r="WV178" s="17"/>
      <c r="WW178" s="17"/>
      <c r="WX178" s="17"/>
      <c r="WY178" s="17"/>
      <c r="WZ178" s="17"/>
      <c r="XA178" s="17"/>
      <c r="XB178" s="17"/>
      <c r="XC178" s="17"/>
      <c r="XD178" s="17"/>
      <c r="XE178" s="17"/>
      <c r="XF178" s="17"/>
      <c r="XG178" s="17"/>
      <c r="XH178" s="17"/>
      <c r="XI178" s="17"/>
      <c r="XJ178" s="17"/>
      <c r="XK178" s="17"/>
      <c r="XL178" s="17"/>
      <c r="XM178" s="17"/>
      <c r="XN178" s="17"/>
      <c r="XO178" s="17"/>
      <c r="XP178" s="17"/>
      <c r="XQ178" s="17"/>
      <c r="XR178" s="17"/>
      <c r="XS178" s="17"/>
      <c r="XT178" s="17"/>
      <c r="XU178" s="17"/>
      <c r="XV178" s="17"/>
      <c r="XW178" s="17"/>
      <c r="XX178" s="17"/>
      <c r="XY178" s="17"/>
      <c r="XZ178" s="17"/>
      <c r="YA178" s="17"/>
      <c r="YB178" s="17"/>
      <c r="YC178" s="17"/>
      <c r="YD178" s="17"/>
      <c r="YE178" s="17"/>
      <c r="YF178" s="17"/>
      <c r="YG178" s="17"/>
      <c r="YH178" s="17"/>
      <c r="YI178" s="17"/>
      <c r="YJ178" s="17"/>
      <c r="YK178" s="17"/>
      <c r="YL178" s="17"/>
      <c r="YM178" s="17"/>
      <c r="YN178" s="17"/>
      <c r="YO178" s="17"/>
      <c r="YP178" s="17"/>
      <c r="YQ178" s="17"/>
      <c r="YR178" s="17"/>
      <c r="YS178" s="17"/>
    </row>
    <row r="179" spans="266:669" x14ac:dyDescent="0.25">
      <c r="JF179" s="17"/>
      <c r="JG179" s="17"/>
      <c r="JH179" s="17"/>
      <c r="JI179" s="17"/>
      <c r="JJ179" s="17"/>
      <c r="JK179" s="17"/>
      <c r="JL179" s="17"/>
      <c r="JM179" s="17"/>
      <c r="JN179" s="17"/>
      <c r="JO179" s="17"/>
      <c r="JP179" s="17"/>
      <c r="JQ179" s="17"/>
      <c r="JR179" s="17"/>
      <c r="JS179" s="17"/>
      <c r="JT179" s="17"/>
      <c r="JU179" s="17"/>
      <c r="JV179" s="17"/>
      <c r="JW179" s="17"/>
      <c r="JX179" s="17"/>
      <c r="JY179" s="17"/>
      <c r="JZ179" s="17"/>
      <c r="KA179" s="17"/>
      <c r="KB179" s="17"/>
      <c r="KC179" s="17"/>
      <c r="KD179" s="17"/>
      <c r="KE179" s="17"/>
      <c r="KF179" s="17"/>
      <c r="KG179" s="17"/>
      <c r="KH179" s="17"/>
      <c r="KI179" s="17"/>
      <c r="KJ179" s="17"/>
      <c r="KK179" s="17"/>
      <c r="KL179" s="17"/>
      <c r="KM179" s="17"/>
      <c r="KN179" s="17"/>
      <c r="KO179" s="17"/>
      <c r="KP179" s="17"/>
      <c r="KQ179" s="17"/>
      <c r="KR179" s="17"/>
      <c r="KS179" s="17"/>
      <c r="KT179" s="17"/>
      <c r="KU179" s="17"/>
      <c r="KV179" s="17"/>
      <c r="KW179" s="17"/>
      <c r="KX179" s="17"/>
      <c r="KY179" s="17"/>
      <c r="KZ179" s="17"/>
      <c r="LA179" s="17"/>
      <c r="LB179" s="17"/>
      <c r="LC179" s="17"/>
      <c r="LD179" s="17"/>
      <c r="LE179" s="17"/>
      <c r="LF179" s="17"/>
      <c r="LG179" s="17"/>
      <c r="LH179" s="17"/>
      <c r="LI179" s="17"/>
      <c r="LJ179" s="17"/>
      <c r="LK179" s="17"/>
      <c r="LL179" s="17"/>
      <c r="LM179" s="17"/>
      <c r="LN179" s="17"/>
      <c r="LO179" s="17"/>
      <c r="LP179" s="17"/>
      <c r="LQ179" s="17"/>
      <c r="LR179" s="17"/>
      <c r="LS179" s="17"/>
      <c r="LT179" s="17"/>
      <c r="LU179" s="17"/>
      <c r="LV179" s="17"/>
      <c r="LW179" s="17"/>
      <c r="LX179" s="17"/>
      <c r="LY179" s="17"/>
      <c r="LZ179" s="17"/>
      <c r="MA179" s="17"/>
      <c r="MB179" s="17"/>
      <c r="MC179" s="17"/>
      <c r="MD179" s="17"/>
      <c r="ME179" s="17"/>
      <c r="MF179" s="17"/>
      <c r="MG179" s="17"/>
      <c r="MH179" s="17"/>
      <c r="MI179" s="17"/>
      <c r="MJ179" s="17"/>
      <c r="MK179" s="17"/>
      <c r="ML179" s="17"/>
      <c r="MM179" s="17"/>
      <c r="MN179" s="17"/>
      <c r="MO179" s="17"/>
      <c r="MP179" s="17"/>
      <c r="MQ179" s="17"/>
      <c r="MR179" s="17"/>
      <c r="MS179" s="17"/>
      <c r="MT179" s="17"/>
      <c r="MU179" s="17"/>
      <c r="MV179" s="17"/>
      <c r="MW179" s="17"/>
      <c r="MX179" s="17"/>
      <c r="MY179" s="17"/>
      <c r="MZ179" s="17"/>
      <c r="NA179" s="17"/>
      <c r="NB179" s="17"/>
      <c r="NC179" s="17"/>
      <c r="ND179" s="17"/>
      <c r="NE179" s="17"/>
      <c r="NF179" s="17"/>
      <c r="NG179" s="17"/>
      <c r="NH179" s="17"/>
      <c r="NI179" s="17"/>
      <c r="NJ179" s="17"/>
      <c r="NK179" s="17"/>
      <c r="NL179" s="17"/>
      <c r="NM179" s="17"/>
      <c r="NN179" s="17"/>
      <c r="NO179" s="17"/>
      <c r="NP179" s="17"/>
      <c r="NQ179" s="17"/>
      <c r="NR179" s="17"/>
      <c r="NS179" s="17"/>
      <c r="NT179" s="17"/>
      <c r="NU179" s="17"/>
      <c r="NV179" s="17"/>
      <c r="NW179" s="17"/>
      <c r="NX179" s="17"/>
      <c r="NY179" s="17"/>
      <c r="NZ179" s="17"/>
      <c r="OA179" s="17"/>
      <c r="OB179" s="17"/>
      <c r="OC179" s="17"/>
      <c r="OD179" s="17"/>
      <c r="OE179" s="17"/>
      <c r="OF179" s="17"/>
      <c r="OG179" s="17"/>
      <c r="OH179" s="17"/>
      <c r="OI179" s="17"/>
      <c r="OJ179" s="17"/>
      <c r="OK179" s="17"/>
      <c r="OL179" s="17"/>
      <c r="OM179" s="17"/>
      <c r="ON179" s="17"/>
      <c r="OO179" s="17"/>
      <c r="OP179" s="17"/>
      <c r="OQ179" s="17"/>
      <c r="OR179" s="17"/>
      <c r="OS179" s="17"/>
      <c r="OT179" s="17"/>
      <c r="OU179" s="17"/>
      <c r="OV179" s="17"/>
      <c r="OW179" s="17"/>
      <c r="OX179" s="17"/>
      <c r="OY179" s="17"/>
      <c r="OZ179" s="17"/>
      <c r="PA179" s="17"/>
      <c r="PB179" s="17"/>
      <c r="PC179" s="17"/>
      <c r="PD179" s="17"/>
      <c r="PE179" s="17"/>
      <c r="PF179" s="17"/>
      <c r="PG179" s="17"/>
      <c r="PH179" s="17"/>
      <c r="PI179" s="17"/>
      <c r="PJ179" s="17"/>
      <c r="PK179" s="17"/>
      <c r="PL179" s="17"/>
      <c r="PM179" s="17"/>
      <c r="PN179" s="17"/>
      <c r="PO179" s="17"/>
      <c r="PP179" s="17"/>
      <c r="PQ179" s="17"/>
      <c r="PR179" s="17"/>
      <c r="PS179" s="17"/>
      <c r="PT179" s="17"/>
      <c r="PU179" s="17"/>
      <c r="PV179" s="17"/>
      <c r="PW179" s="17"/>
      <c r="PX179" s="17"/>
      <c r="PY179" s="17"/>
      <c r="PZ179" s="17"/>
      <c r="QA179" s="17"/>
      <c r="QB179" s="17"/>
      <c r="QC179" s="17"/>
      <c r="QD179" s="17"/>
      <c r="QE179" s="17"/>
      <c r="QF179" s="17"/>
      <c r="QG179" s="17"/>
      <c r="QH179" s="17"/>
      <c r="QI179" s="17"/>
      <c r="QJ179" s="17"/>
      <c r="QK179" s="17"/>
      <c r="QL179" s="17"/>
      <c r="QM179" s="17"/>
      <c r="QN179" s="17"/>
      <c r="QO179" s="17"/>
      <c r="QP179" s="17"/>
      <c r="QQ179" s="17"/>
      <c r="QR179" s="17"/>
      <c r="QS179" s="17"/>
      <c r="QT179" s="17"/>
      <c r="QU179" s="17"/>
      <c r="QV179" s="17"/>
      <c r="QW179" s="17"/>
      <c r="QX179" s="17"/>
      <c r="QY179" s="17"/>
      <c r="QZ179" s="17"/>
      <c r="RA179" s="17"/>
      <c r="RB179" s="17"/>
      <c r="RC179" s="17"/>
      <c r="RD179" s="17"/>
      <c r="RE179" s="17"/>
      <c r="RF179" s="17"/>
      <c r="RG179" s="17"/>
      <c r="RH179" s="17"/>
      <c r="RI179" s="17"/>
      <c r="RJ179" s="17"/>
      <c r="RK179" s="17"/>
      <c r="RL179" s="17"/>
      <c r="RM179" s="17"/>
      <c r="RN179" s="17"/>
      <c r="RO179" s="17"/>
      <c r="RP179" s="17"/>
      <c r="RQ179" s="17"/>
      <c r="RR179" s="17"/>
      <c r="RS179" s="17"/>
      <c r="RT179" s="17"/>
      <c r="RU179" s="17"/>
      <c r="RV179" s="17"/>
      <c r="RW179" s="17"/>
      <c r="RX179" s="17"/>
      <c r="RY179" s="17"/>
      <c r="RZ179" s="17"/>
      <c r="SA179" s="17"/>
      <c r="SB179" s="17"/>
      <c r="SC179" s="17"/>
      <c r="SD179" s="17"/>
      <c r="SE179" s="17"/>
      <c r="SF179" s="17"/>
      <c r="SG179" s="17"/>
      <c r="SH179" s="17"/>
      <c r="SI179" s="17"/>
      <c r="SJ179" s="17"/>
      <c r="SK179" s="17"/>
      <c r="SL179" s="17"/>
      <c r="SM179" s="17"/>
      <c r="SN179" s="17"/>
      <c r="SO179" s="17"/>
      <c r="SP179" s="17"/>
      <c r="SQ179" s="17"/>
      <c r="SR179" s="17"/>
      <c r="SS179" s="17"/>
      <c r="ST179" s="17"/>
      <c r="SU179" s="17"/>
      <c r="SV179" s="17"/>
      <c r="SW179" s="17"/>
      <c r="SX179" s="17"/>
      <c r="SY179" s="17"/>
      <c r="SZ179" s="17"/>
      <c r="TA179" s="17"/>
      <c r="TB179" s="17"/>
      <c r="TC179" s="17"/>
      <c r="TD179" s="17"/>
      <c r="TE179" s="17"/>
      <c r="TF179" s="17"/>
      <c r="TG179" s="17"/>
      <c r="TH179" s="17"/>
      <c r="TI179" s="17"/>
      <c r="TJ179" s="17"/>
      <c r="TK179" s="17"/>
      <c r="TL179" s="17"/>
      <c r="TM179" s="17"/>
      <c r="TN179" s="17"/>
      <c r="TO179" s="17"/>
      <c r="TP179" s="17"/>
      <c r="TQ179" s="17"/>
      <c r="TR179" s="17"/>
      <c r="TS179" s="17"/>
      <c r="TT179" s="17"/>
      <c r="TU179" s="17"/>
      <c r="TV179" s="17"/>
      <c r="TW179" s="17"/>
      <c r="TX179" s="17"/>
      <c r="TY179" s="17"/>
      <c r="TZ179" s="17"/>
      <c r="UA179" s="17"/>
      <c r="UB179" s="17"/>
      <c r="UC179" s="17"/>
      <c r="UD179" s="17"/>
      <c r="UE179" s="17"/>
      <c r="UF179" s="17"/>
      <c r="UG179" s="17"/>
      <c r="UH179" s="17"/>
      <c r="UI179" s="17"/>
      <c r="UJ179" s="17"/>
      <c r="UK179" s="17"/>
      <c r="UL179" s="17"/>
      <c r="UM179" s="17"/>
      <c r="UN179" s="17"/>
      <c r="UO179" s="17"/>
      <c r="UP179" s="17"/>
      <c r="UQ179" s="17"/>
      <c r="UR179" s="17"/>
      <c r="US179" s="17"/>
      <c r="UT179" s="17"/>
      <c r="UU179" s="17"/>
      <c r="UV179" s="17"/>
      <c r="UW179" s="17"/>
      <c r="UX179" s="17"/>
      <c r="UY179" s="17"/>
      <c r="UZ179" s="17"/>
      <c r="VA179" s="17"/>
      <c r="VB179" s="17"/>
      <c r="VC179" s="17"/>
      <c r="VD179" s="17"/>
      <c r="VE179" s="17"/>
      <c r="VF179" s="17"/>
      <c r="VG179" s="17"/>
      <c r="VH179" s="17"/>
      <c r="VI179" s="17"/>
      <c r="VJ179" s="17"/>
      <c r="VK179" s="17"/>
      <c r="VL179" s="17"/>
      <c r="VM179" s="17"/>
      <c r="VN179" s="17"/>
      <c r="VO179" s="17"/>
      <c r="VP179" s="17"/>
      <c r="VQ179" s="17"/>
      <c r="VR179" s="17"/>
      <c r="VS179" s="17"/>
      <c r="VT179" s="17"/>
      <c r="VU179" s="17"/>
      <c r="VV179" s="17"/>
      <c r="VW179" s="17"/>
      <c r="VX179" s="17"/>
      <c r="VY179" s="17"/>
      <c r="VZ179" s="17"/>
      <c r="WA179" s="17"/>
      <c r="WB179" s="17"/>
      <c r="WC179" s="17"/>
      <c r="WD179" s="17"/>
      <c r="WE179" s="17"/>
      <c r="WF179" s="17"/>
      <c r="WG179" s="17"/>
      <c r="WH179" s="17"/>
      <c r="WI179" s="17"/>
      <c r="WJ179" s="17"/>
      <c r="WK179" s="17"/>
      <c r="WL179" s="17"/>
      <c r="WM179" s="17"/>
      <c r="WN179" s="17"/>
      <c r="WO179" s="17"/>
      <c r="WP179" s="17"/>
      <c r="WQ179" s="17"/>
      <c r="WR179" s="17"/>
      <c r="WS179" s="17"/>
      <c r="WT179" s="17"/>
      <c r="WU179" s="17"/>
      <c r="WV179" s="17"/>
      <c r="WW179" s="17"/>
      <c r="WX179" s="17"/>
      <c r="WY179" s="17"/>
      <c r="WZ179" s="17"/>
      <c r="XA179" s="17"/>
      <c r="XB179" s="17"/>
      <c r="XC179" s="17"/>
      <c r="XD179" s="17"/>
      <c r="XE179" s="17"/>
      <c r="XF179" s="17"/>
      <c r="XG179" s="17"/>
      <c r="XH179" s="17"/>
      <c r="XI179" s="17"/>
      <c r="XJ179" s="17"/>
      <c r="XK179" s="17"/>
      <c r="XL179" s="17"/>
      <c r="XM179" s="17"/>
      <c r="XN179" s="17"/>
      <c r="XO179" s="17"/>
      <c r="XP179" s="17"/>
      <c r="XQ179" s="17"/>
      <c r="XR179" s="17"/>
      <c r="XS179" s="17"/>
      <c r="XT179" s="17"/>
      <c r="XU179" s="17"/>
      <c r="XV179" s="17"/>
      <c r="XW179" s="17"/>
      <c r="XX179" s="17"/>
      <c r="XY179" s="17"/>
      <c r="XZ179" s="17"/>
      <c r="YA179" s="17"/>
      <c r="YB179" s="17"/>
      <c r="YC179" s="17"/>
      <c r="YD179" s="17"/>
      <c r="YE179" s="17"/>
      <c r="YF179" s="17"/>
      <c r="YG179" s="17"/>
      <c r="YH179" s="17"/>
      <c r="YI179" s="17"/>
      <c r="YJ179" s="17"/>
      <c r="YK179" s="17"/>
      <c r="YL179" s="17"/>
      <c r="YM179" s="17"/>
      <c r="YN179" s="17"/>
      <c r="YO179" s="17"/>
      <c r="YP179" s="17"/>
      <c r="YQ179" s="17"/>
      <c r="YR179" s="17"/>
      <c r="YS179" s="17"/>
    </row>
    <row r="180" spans="266:669" x14ac:dyDescent="0.25">
      <c r="JF180" s="17"/>
      <c r="JG180" s="17"/>
      <c r="JH180" s="17"/>
      <c r="JI180" s="17"/>
      <c r="JJ180" s="17"/>
      <c r="JK180" s="17"/>
      <c r="JL180" s="17"/>
      <c r="JM180" s="17"/>
      <c r="JN180" s="17"/>
      <c r="JO180" s="17"/>
      <c r="JP180" s="17"/>
      <c r="JQ180" s="17"/>
      <c r="JR180" s="17"/>
      <c r="JS180" s="17"/>
      <c r="JT180" s="17"/>
      <c r="JU180" s="17"/>
      <c r="JV180" s="17"/>
      <c r="JW180" s="17"/>
      <c r="JX180" s="17"/>
      <c r="JY180" s="17"/>
      <c r="JZ180" s="17"/>
      <c r="KA180" s="17"/>
      <c r="KB180" s="17"/>
      <c r="KC180" s="17"/>
      <c r="KD180" s="17"/>
      <c r="KE180" s="17"/>
      <c r="KF180" s="17"/>
      <c r="KG180" s="17"/>
      <c r="KH180" s="17"/>
      <c r="KI180" s="17"/>
      <c r="KJ180" s="17"/>
      <c r="KK180" s="17"/>
      <c r="KL180" s="17"/>
      <c r="KM180" s="17"/>
      <c r="KN180" s="17"/>
      <c r="KO180" s="17"/>
      <c r="KP180" s="17"/>
      <c r="KQ180" s="17"/>
      <c r="KR180" s="17"/>
      <c r="KS180" s="17"/>
      <c r="KT180" s="17"/>
      <c r="KU180" s="17"/>
      <c r="KV180" s="17"/>
      <c r="KW180" s="17"/>
      <c r="KX180" s="17"/>
      <c r="KY180" s="17"/>
      <c r="KZ180" s="17"/>
      <c r="LA180" s="17"/>
      <c r="LB180" s="17"/>
      <c r="LC180" s="17"/>
      <c r="LD180" s="17"/>
      <c r="LE180" s="17"/>
      <c r="LF180" s="17"/>
      <c r="LG180" s="17"/>
      <c r="LH180" s="17"/>
      <c r="LI180" s="17"/>
      <c r="LJ180" s="17"/>
      <c r="LK180" s="17"/>
      <c r="LL180" s="17"/>
      <c r="LM180" s="17"/>
      <c r="LN180" s="17"/>
      <c r="LO180" s="17"/>
      <c r="LP180" s="17"/>
      <c r="LQ180" s="17"/>
      <c r="LR180" s="17"/>
      <c r="LS180" s="17"/>
      <c r="LT180" s="17"/>
      <c r="LU180" s="17"/>
      <c r="LV180" s="17"/>
      <c r="LW180" s="17"/>
      <c r="LX180" s="17"/>
      <c r="LY180" s="17"/>
      <c r="LZ180" s="17"/>
      <c r="MA180" s="17"/>
      <c r="MB180" s="17"/>
      <c r="MC180" s="17"/>
      <c r="MD180" s="17"/>
      <c r="ME180" s="17"/>
      <c r="MF180" s="17"/>
      <c r="MG180" s="17"/>
      <c r="MH180" s="17"/>
      <c r="MI180" s="17"/>
      <c r="MJ180" s="17"/>
      <c r="MK180" s="17"/>
      <c r="ML180" s="17"/>
      <c r="MM180" s="17"/>
      <c r="MN180" s="17"/>
      <c r="MO180" s="17"/>
      <c r="MP180" s="17"/>
      <c r="MQ180" s="17"/>
      <c r="MR180" s="17"/>
      <c r="MS180" s="17"/>
      <c r="MT180" s="17"/>
      <c r="MU180" s="17"/>
      <c r="MV180" s="17"/>
      <c r="MW180" s="17"/>
      <c r="MX180" s="17"/>
      <c r="MY180" s="17"/>
      <c r="MZ180" s="17"/>
      <c r="NA180" s="17"/>
      <c r="NB180" s="17"/>
      <c r="NC180" s="17"/>
      <c r="ND180" s="17"/>
      <c r="NE180" s="17"/>
      <c r="NF180" s="17"/>
      <c r="NG180" s="17"/>
      <c r="NH180" s="17"/>
      <c r="NI180" s="17"/>
      <c r="NJ180" s="17"/>
      <c r="NK180" s="17"/>
      <c r="NL180" s="17"/>
      <c r="NM180" s="17"/>
      <c r="NN180" s="17"/>
      <c r="NO180" s="17"/>
      <c r="NP180" s="17"/>
      <c r="NQ180" s="17"/>
      <c r="NR180" s="17"/>
      <c r="NS180" s="17"/>
      <c r="NT180" s="17"/>
      <c r="NU180" s="17"/>
      <c r="NV180" s="17"/>
      <c r="NW180" s="17"/>
      <c r="NX180" s="17"/>
      <c r="NY180" s="17"/>
      <c r="NZ180" s="17"/>
      <c r="OA180" s="17"/>
      <c r="OB180" s="17"/>
      <c r="OC180" s="17"/>
      <c r="OD180" s="17"/>
      <c r="OE180" s="17"/>
      <c r="OF180" s="17"/>
      <c r="OG180" s="17"/>
      <c r="OH180" s="17"/>
      <c r="OI180" s="17"/>
      <c r="OJ180" s="17"/>
      <c r="OK180" s="17"/>
      <c r="OL180" s="17"/>
      <c r="OM180" s="17"/>
      <c r="ON180" s="17"/>
      <c r="OO180" s="17"/>
      <c r="OP180" s="17"/>
      <c r="OQ180" s="17"/>
      <c r="OR180" s="17"/>
      <c r="OS180" s="17"/>
      <c r="OT180" s="17"/>
      <c r="OU180" s="17"/>
      <c r="OV180" s="17"/>
      <c r="OW180" s="17"/>
      <c r="OX180" s="17"/>
      <c r="OY180" s="17"/>
      <c r="OZ180" s="17"/>
      <c r="PA180" s="17"/>
      <c r="PB180" s="17"/>
      <c r="PC180" s="17"/>
      <c r="PD180" s="17"/>
      <c r="PE180" s="17"/>
      <c r="PF180" s="17"/>
      <c r="PG180" s="17"/>
      <c r="PH180" s="17"/>
      <c r="PI180" s="17"/>
      <c r="PJ180" s="17"/>
      <c r="PK180" s="17"/>
      <c r="PL180" s="17"/>
      <c r="PM180" s="17"/>
      <c r="PN180" s="17"/>
      <c r="PO180" s="17"/>
      <c r="PP180" s="17"/>
      <c r="PQ180" s="17"/>
      <c r="PR180" s="17"/>
      <c r="PS180" s="17"/>
      <c r="PT180" s="17"/>
      <c r="PU180" s="17"/>
      <c r="PV180" s="17"/>
      <c r="PW180" s="17"/>
      <c r="PX180" s="17"/>
      <c r="PY180" s="17"/>
      <c r="PZ180" s="17"/>
      <c r="QA180" s="17"/>
      <c r="QB180" s="17"/>
      <c r="QC180" s="17"/>
      <c r="QD180" s="17"/>
      <c r="QE180" s="17"/>
      <c r="QF180" s="17"/>
      <c r="QG180" s="17"/>
      <c r="QH180" s="17"/>
      <c r="QI180" s="17"/>
      <c r="QJ180" s="17"/>
      <c r="QK180" s="17"/>
      <c r="QL180" s="17"/>
      <c r="QM180" s="17"/>
      <c r="QN180" s="17"/>
      <c r="QO180" s="17"/>
      <c r="QP180" s="17"/>
      <c r="QQ180" s="17"/>
      <c r="QR180" s="17"/>
      <c r="QS180" s="17"/>
      <c r="QT180" s="17"/>
      <c r="QU180" s="17"/>
      <c r="QV180" s="17"/>
      <c r="QW180" s="17"/>
      <c r="QX180" s="17"/>
      <c r="QY180" s="17"/>
      <c r="QZ180" s="17"/>
      <c r="RA180" s="17"/>
      <c r="RB180" s="17"/>
      <c r="RC180" s="17"/>
      <c r="RD180" s="17"/>
      <c r="RE180" s="17"/>
      <c r="RF180" s="17"/>
      <c r="RG180" s="17"/>
      <c r="RH180" s="17"/>
      <c r="RI180" s="17"/>
      <c r="RJ180" s="17"/>
      <c r="RK180" s="17"/>
      <c r="RL180" s="17"/>
      <c r="RM180" s="17"/>
      <c r="RN180" s="17"/>
      <c r="RO180" s="17"/>
      <c r="RP180" s="17"/>
      <c r="RQ180" s="17"/>
      <c r="RR180" s="17"/>
      <c r="RS180" s="17"/>
      <c r="RT180" s="17"/>
      <c r="RU180" s="17"/>
      <c r="RV180" s="17"/>
      <c r="RW180" s="17"/>
      <c r="RX180" s="17"/>
      <c r="RY180" s="17"/>
      <c r="RZ180" s="17"/>
      <c r="SA180" s="17"/>
      <c r="SB180" s="17"/>
      <c r="SC180" s="17"/>
      <c r="SD180" s="17"/>
      <c r="SE180" s="17"/>
      <c r="SF180" s="17"/>
      <c r="SG180" s="17"/>
      <c r="SH180" s="17"/>
      <c r="SI180" s="17"/>
      <c r="SJ180" s="17"/>
      <c r="SK180" s="17"/>
      <c r="SL180" s="17"/>
      <c r="SM180" s="17"/>
      <c r="SN180" s="17"/>
      <c r="SO180" s="17"/>
      <c r="SP180" s="17"/>
      <c r="SQ180" s="17"/>
      <c r="SR180" s="17"/>
      <c r="SS180" s="17"/>
      <c r="ST180" s="17"/>
      <c r="SU180" s="17"/>
      <c r="SV180" s="17"/>
      <c r="SW180" s="17"/>
      <c r="SX180" s="17"/>
      <c r="SY180" s="17"/>
      <c r="SZ180" s="17"/>
      <c r="TA180" s="17"/>
      <c r="TB180" s="17"/>
      <c r="TC180" s="17"/>
      <c r="TD180" s="17"/>
      <c r="TE180" s="17"/>
      <c r="TF180" s="17"/>
      <c r="TG180" s="17"/>
      <c r="TH180" s="17"/>
      <c r="TI180" s="17"/>
      <c r="TJ180" s="17"/>
      <c r="TK180" s="17"/>
      <c r="TL180" s="17"/>
      <c r="TM180" s="17"/>
      <c r="TN180" s="17"/>
      <c r="TO180" s="17"/>
      <c r="TP180" s="17"/>
      <c r="TQ180" s="17"/>
      <c r="TR180" s="17"/>
      <c r="TS180" s="17"/>
      <c r="TT180" s="17"/>
      <c r="TU180" s="17"/>
      <c r="TV180" s="17"/>
      <c r="TW180" s="17"/>
      <c r="TX180" s="17"/>
      <c r="TY180" s="17"/>
      <c r="TZ180" s="17"/>
      <c r="UA180" s="17"/>
      <c r="UB180" s="17"/>
      <c r="UC180" s="17"/>
      <c r="UD180" s="17"/>
      <c r="UE180" s="17"/>
      <c r="UF180" s="17"/>
      <c r="UG180" s="17"/>
      <c r="UH180" s="17"/>
      <c r="UI180" s="17"/>
      <c r="UJ180" s="17"/>
      <c r="UK180" s="17"/>
      <c r="UL180" s="17"/>
      <c r="UM180" s="17"/>
      <c r="UN180" s="17"/>
      <c r="UO180" s="17"/>
      <c r="UP180" s="17"/>
      <c r="UQ180" s="17"/>
      <c r="UR180" s="17"/>
      <c r="US180" s="17"/>
      <c r="UT180" s="17"/>
      <c r="UU180" s="17"/>
      <c r="UV180" s="17"/>
      <c r="UW180" s="17"/>
      <c r="UX180" s="17"/>
      <c r="UY180" s="17"/>
      <c r="UZ180" s="17"/>
      <c r="VA180" s="17"/>
      <c r="VB180" s="17"/>
      <c r="VC180" s="17"/>
      <c r="VD180" s="17"/>
      <c r="VE180" s="17"/>
      <c r="VF180" s="17"/>
      <c r="VG180" s="17"/>
      <c r="VH180" s="17"/>
      <c r="VI180" s="17"/>
      <c r="VJ180" s="17"/>
      <c r="VK180" s="17"/>
      <c r="VL180" s="17"/>
      <c r="VM180" s="17"/>
      <c r="VN180" s="17"/>
      <c r="VO180" s="17"/>
      <c r="VP180" s="17"/>
      <c r="VQ180" s="17"/>
      <c r="VR180" s="17"/>
      <c r="VS180" s="17"/>
      <c r="VT180" s="17"/>
      <c r="VU180" s="17"/>
      <c r="VV180" s="17"/>
      <c r="VW180" s="17"/>
      <c r="VX180" s="17"/>
      <c r="VY180" s="17"/>
      <c r="VZ180" s="17"/>
      <c r="WA180" s="17"/>
      <c r="WB180" s="17"/>
      <c r="WC180" s="17"/>
      <c r="WD180" s="17"/>
      <c r="WE180" s="17"/>
      <c r="WF180" s="17"/>
      <c r="WG180" s="17"/>
      <c r="WH180" s="17"/>
      <c r="WI180" s="17"/>
      <c r="WJ180" s="17"/>
      <c r="WK180" s="17"/>
      <c r="WL180" s="17"/>
      <c r="WM180" s="17"/>
      <c r="WN180" s="17"/>
      <c r="WO180" s="17"/>
      <c r="WP180" s="17"/>
      <c r="WQ180" s="17"/>
      <c r="WR180" s="17"/>
      <c r="WS180" s="17"/>
      <c r="WT180" s="17"/>
      <c r="WU180" s="17"/>
      <c r="WV180" s="17"/>
      <c r="WW180" s="17"/>
      <c r="WX180" s="17"/>
      <c r="WY180" s="17"/>
      <c r="WZ180" s="17"/>
      <c r="XA180" s="17"/>
      <c r="XB180" s="17"/>
      <c r="XC180" s="17"/>
      <c r="XD180" s="17"/>
      <c r="XE180" s="17"/>
      <c r="XF180" s="17"/>
      <c r="XG180" s="17"/>
      <c r="XH180" s="17"/>
      <c r="XI180" s="17"/>
      <c r="XJ180" s="17"/>
      <c r="XK180" s="17"/>
      <c r="XL180" s="17"/>
      <c r="XM180" s="17"/>
      <c r="XN180" s="17"/>
      <c r="XO180" s="17"/>
      <c r="XP180" s="17"/>
      <c r="XQ180" s="17"/>
      <c r="XR180" s="17"/>
      <c r="XS180" s="17"/>
      <c r="XT180" s="17"/>
      <c r="XU180" s="17"/>
      <c r="XV180" s="17"/>
      <c r="XW180" s="17"/>
      <c r="XX180" s="17"/>
      <c r="XY180" s="17"/>
      <c r="XZ180" s="17"/>
      <c r="YA180" s="17"/>
      <c r="YB180" s="17"/>
      <c r="YC180" s="17"/>
      <c r="YD180" s="17"/>
      <c r="YE180" s="17"/>
      <c r="YF180" s="17"/>
      <c r="YG180" s="17"/>
      <c r="YH180" s="17"/>
      <c r="YI180" s="17"/>
      <c r="YJ180" s="17"/>
      <c r="YK180" s="17"/>
      <c r="YL180" s="17"/>
      <c r="YM180" s="17"/>
      <c r="YN180" s="17"/>
      <c r="YO180" s="17"/>
      <c r="YP180" s="17"/>
      <c r="YQ180" s="17"/>
      <c r="YR180" s="17"/>
      <c r="YS180" s="17"/>
    </row>
    <row r="181" spans="266:669" x14ac:dyDescent="0.25">
      <c r="JF181" s="17"/>
      <c r="JG181" s="17"/>
      <c r="JH181" s="17"/>
      <c r="JI181" s="17"/>
      <c r="JJ181" s="17"/>
      <c r="JK181" s="17"/>
      <c r="JL181" s="17"/>
      <c r="JM181" s="17"/>
      <c r="JN181" s="17"/>
      <c r="JO181" s="17"/>
      <c r="JP181" s="17"/>
      <c r="JQ181" s="17"/>
      <c r="JR181" s="17"/>
      <c r="JS181" s="17"/>
      <c r="JT181" s="17"/>
      <c r="JU181" s="17"/>
      <c r="JV181" s="17"/>
      <c r="JW181" s="17"/>
      <c r="JX181" s="17"/>
      <c r="JY181" s="17"/>
      <c r="JZ181" s="17"/>
      <c r="KA181" s="17"/>
      <c r="KB181" s="17"/>
      <c r="KC181" s="17"/>
      <c r="KD181" s="17"/>
      <c r="KE181" s="17"/>
      <c r="KF181" s="17"/>
      <c r="KG181" s="17"/>
      <c r="KH181" s="17"/>
      <c r="KI181" s="17"/>
      <c r="KJ181" s="17"/>
      <c r="KK181" s="17"/>
      <c r="KL181" s="17"/>
      <c r="KM181" s="17"/>
      <c r="KN181" s="17"/>
      <c r="KO181" s="17"/>
      <c r="KP181" s="17"/>
      <c r="KQ181" s="17"/>
      <c r="KR181" s="17"/>
      <c r="KS181" s="17"/>
      <c r="KT181" s="17"/>
      <c r="KU181" s="17"/>
      <c r="KV181" s="17"/>
      <c r="KW181" s="17"/>
      <c r="KX181" s="17"/>
      <c r="KY181" s="17"/>
      <c r="KZ181" s="17"/>
      <c r="LA181" s="17"/>
      <c r="LB181" s="17"/>
      <c r="LC181" s="17"/>
      <c r="LD181" s="17"/>
      <c r="LE181" s="17"/>
      <c r="LF181" s="17"/>
      <c r="LG181" s="17"/>
      <c r="LH181" s="17"/>
      <c r="LI181" s="17"/>
      <c r="LJ181" s="17"/>
      <c r="LK181" s="17"/>
      <c r="LL181" s="17"/>
      <c r="LM181" s="17"/>
      <c r="LN181" s="17"/>
      <c r="LO181" s="17"/>
      <c r="LP181" s="17"/>
      <c r="LQ181" s="17"/>
      <c r="LR181" s="17"/>
      <c r="LS181" s="17"/>
      <c r="LT181" s="17"/>
      <c r="LU181" s="17"/>
      <c r="LV181" s="17"/>
      <c r="LW181" s="17"/>
      <c r="LX181" s="17"/>
      <c r="LY181" s="17"/>
      <c r="LZ181" s="17"/>
      <c r="MA181" s="17"/>
      <c r="MB181" s="17"/>
      <c r="MC181" s="17"/>
      <c r="MD181" s="17"/>
      <c r="ME181" s="17"/>
      <c r="MF181" s="17"/>
      <c r="MG181" s="17"/>
      <c r="MH181" s="17"/>
      <c r="MI181" s="17"/>
      <c r="MJ181" s="17"/>
      <c r="MK181" s="17"/>
      <c r="ML181" s="17"/>
      <c r="MM181" s="17"/>
      <c r="MN181" s="17"/>
      <c r="MO181" s="17"/>
      <c r="MP181" s="17"/>
      <c r="MQ181" s="17"/>
      <c r="MR181" s="17"/>
      <c r="MS181" s="17"/>
      <c r="MT181" s="17"/>
      <c r="MU181" s="17"/>
      <c r="MV181" s="17"/>
      <c r="MW181" s="17"/>
      <c r="MX181" s="17"/>
      <c r="MY181" s="17"/>
      <c r="MZ181" s="17"/>
      <c r="NA181" s="17"/>
      <c r="NB181" s="17"/>
      <c r="NC181" s="17"/>
      <c r="ND181" s="17"/>
      <c r="NE181" s="17"/>
      <c r="NF181" s="17"/>
      <c r="NG181" s="17"/>
      <c r="NH181" s="17"/>
      <c r="NI181" s="17"/>
      <c r="NJ181" s="17"/>
      <c r="NK181" s="17"/>
      <c r="NL181" s="17"/>
      <c r="NM181" s="17"/>
      <c r="NN181" s="17"/>
      <c r="NO181" s="17"/>
      <c r="NP181" s="17"/>
      <c r="NQ181" s="17"/>
      <c r="NR181" s="17"/>
      <c r="NS181" s="17"/>
      <c r="NT181" s="17"/>
      <c r="NU181" s="17"/>
      <c r="NV181" s="17"/>
      <c r="NW181" s="17"/>
      <c r="NX181" s="17"/>
      <c r="NY181" s="17"/>
      <c r="NZ181" s="17"/>
      <c r="OA181" s="17"/>
      <c r="OB181" s="17"/>
      <c r="OC181" s="17"/>
      <c r="OD181" s="17"/>
      <c r="OE181" s="17"/>
      <c r="OF181" s="17"/>
      <c r="OG181" s="17"/>
      <c r="OH181" s="17"/>
      <c r="OI181" s="17"/>
      <c r="OJ181" s="17"/>
      <c r="OK181" s="17"/>
      <c r="OL181" s="17"/>
      <c r="OM181" s="17"/>
      <c r="ON181" s="17"/>
      <c r="OO181" s="17"/>
      <c r="OP181" s="17"/>
      <c r="OQ181" s="17"/>
      <c r="OR181" s="17"/>
      <c r="OS181" s="17"/>
      <c r="OT181" s="17"/>
      <c r="OU181" s="17"/>
      <c r="OV181" s="17"/>
      <c r="OW181" s="17"/>
      <c r="OX181" s="17"/>
      <c r="OY181" s="17"/>
      <c r="OZ181" s="17"/>
      <c r="PA181" s="17"/>
      <c r="PB181" s="17"/>
      <c r="PC181" s="17"/>
      <c r="PD181" s="17"/>
      <c r="PE181" s="17"/>
      <c r="PF181" s="17"/>
      <c r="PG181" s="17"/>
      <c r="PH181" s="17"/>
      <c r="PI181" s="17"/>
      <c r="PJ181" s="17"/>
      <c r="PK181" s="17"/>
      <c r="PL181" s="17"/>
      <c r="PM181" s="17"/>
      <c r="PN181" s="17"/>
      <c r="PO181" s="17"/>
      <c r="PP181" s="17"/>
      <c r="PQ181" s="17"/>
      <c r="PR181" s="17"/>
      <c r="PS181" s="17"/>
      <c r="PT181" s="17"/>
      <c r="PU181" s="17"/>
      <c r="PV181" s="17"/>
      <c r="PW181" s="17"/>
      <c r="PX181" s="17"/>
      <c r="PY181" s="17"/>
      <c r="PZ181" s="17"/>
      <c r="QA181" s="17"/>
      <c r="QB181" s="17"/>
      <c r="QC181" s="17"/>
      <c r="QD181" s="17"/>
      <c r="QE181" s="17"/>
      <c r="QF181" s="17"/>
      <c r="QG181" s="17"/>
      <c r="QH181" s="17"/>
      <c r="QI181" s="17"/>
      <c r="QJ181" s="17"/>
      <c r="QK181" s="17"/>
      <c r="QL181" s="17"/>
      <c r="QM181" s="17"/>
      <c r="QN181" s="17"/>
      <c r="QO181" s="17"/>
      <c r="QP181" s="17"/>
      <c r="QQ181" s="17"/>
      <c r="QR181" s="17"/>
      <c r="QS181" s="17"/>
      <c r="QT181" s="17"/>
      <c r="QU181" s="17"/>
      <c r="QV181" s="17"/>
      <c r="QW181" s="17"/>
      <c r="QX181" s="17"/>
      <c r="QY181" s="17"/>
      <c r="QZ181" s="17"/>
      <c r="RA181" s="17"/>
      <c r="RB181" s="17"/>
      <c r="RC181" s="17"/>
      <c r="RD181" s="17"/>
      <c r="RE181" s="17"/>
      <c r="RF181" s="17"/>
      <c r="RG181" s="17"/>
      <c r="RH181" s="17"/>
      <c r="RI181" s="17"/>
      <c r="RJ181" s="17"/>
      <c r="RK181" s="17"/>
      <c r="RL181" s="17"/>
      <c r="RM181" s="17"/>
      <c r="RN181" s="17"/>
      <c r="RO181" s="17"/>
      <c r="RP181" s="17"/>
      <c r="RQ181" s="17"/>
      <c r="RR181" s="17"/>
      <c r="RS181" s="17"/>
      <c r="RT181" s="17"/>
      <c r="RU181" s="17"/>
      <c r="RV181" s="17"/>
      <c r="RW181" s="17"/>
      <c r="RX181" s="17"/>
      <c r="RY181" s="17"/>
      <c r="RZ181" s="17"/>
      <c r="SA181" s="17"/>
      <c r="SB181" s="17"/>
      <c r="SC181" s="17"/>
      <c r="SD181" s="17"/>
      <c r="SE181" s="17"/>
      <c r="SF181" s="17"/>
      <c r="SG181" s="17"/>
      <c r="SH181" s="17"/>
      <c r="SI181" s="17"/>
      <c r="SJ181" s="17"/>
      <c r="SK181" s="17"/>
      <c r="SL181" s="17"/>
      <c r="SM181" s="17"/>
      <c r="SN181" s="17"/>
      <c r="SO181" s="17"/>
      <c r="SP181" s="17"/>
      <c r="SQ181" s="17"/>
      <c r="SR181" s="17"/>
      <c r="SS181" s="17"/>
      <c r="ST181" s="17"/>
      <c r="SU181" s="17"/>
      <c r="SV181" s="17"/>
      <c r="SW181" s="17"/>
      <c r="SX181" s="17"/>
      <c r="SY181" s="17"/>
      <c r="SZ181" s="17"/>
      <c r="TA181" s="17"/>
      <c r="TB181" s="17"/>
      <c r="TC181" s="17"/>
      <c r="TD181" s="17"/>
      <c r="TE181" s="17"/>
      <c r="TF181" s="17"/>
      <c r="TG181" s="17"/>
      <c r="TH181" s="17"/>
      <c r="TI181" s="17"/>
      <c r="TJ181" s="17"/>
      <c r="TK181" s="17"/>
      <c r="TL181" s="17"/>
      <c r="TM181" s="17"/>
      <c r="TN181" s="17"/>
      <c r="TO181" s="17"/>
      <c r="TP181" s="17"/>
      <c r="TQ181" s="17"/>
      <c r="TR181" s="17"/>
      <c r="TS181" s="17"/>
      <c r="TT181" s="17"/>
      <c r="TU181" s="17"/>
      <c r="TV181" s="17"/>
      <c r="TW181" s="17"/>
      <c r="TX181" s="17"/>
      <c r="TY181" s="17"/>
      <c r="TZ181" s="17"/>
      <c r="UA181" s="17"/>
      <c r="UB181" s="17"/>
      <c r="UC181" s="17"/>
      <c r="UD181" s="17"/>
      <c r="UE181" s="17"/>
      <c r="UF181" s="17"/>
      <c r="UG181" s="17"/>
      <c r="UH181" s="17"/>
      <c r="UI181" s="17"/>
      <c r="UJ181" s="17"/>
      <c r="UK181" s="17"/>
      <c r="UL181" s="17"/>
      <c r="UM181" s="17"/>
      <c r="UN181" s="17"/>
      <c r="UO181" s="17"/>
      <c r="UP181" s="17"/>
      <c r="UQ181" s="17"/>
      <c r="UR181" s="17"/>
      <c r="US181" s="17"/>
      <c r="UT181" s="17"/>
      <c r="UU181" s="17"/>
      <c r="UV181" s="17"/>
      <c r="UW181" s="17"/>
      <c r="UX181" s="17"/>
      <c r="UY181" s="17"/>
      <c r="UZ181" s="17"/>
      <c r="VA181" s="17"/>
      <c r="VB181" s="17"/>
      <c r="VC181" s="17"/>
      <c r="VD181" s="17"/>
      <c r="VE181" s="17"/>
      <c r="VF181" s="17"/>
      <c r="VG181" s="17"/>
      <c r="VH181" s="17"/>
      <c r="VI181" s="17"/>
      <c r="VJ181" s="17"/>
      <c r="VK181" s="17"/>
      <c r="VL181" s="17"/>
      <c r="VM181" s="17"/>
      <c r="VN181" s="17"/>
      <c r="VO181" s="17"/>
      <c r="VP181" s="17"/>
      <c r="VQ181" s="17"/>
      <c r="VR181" s="17"/>
      <c r="VS181" s="17"/>
      <c r="VT181" s="17"/>
      <c r="VU181" s="17"/>
      <c r="VV181" s="17"/>
      <c r="VW181" s="17"/>
      <c r="VX181" s="17"/>
      <c r="VY181" s="17"/>
      <c r="VZ181" s="17"/>
      <c r="WA181" s="17"/>
      <c r="WB181" s="17"/>
      <c r="WC181" s="17"/>
      <c r="WD181" s="17"/>
      <c r="WE181" s="17"/>
      <c r="WF181" s="17"/>
      <c r="WG181" s="17"/>
      <c r="WH181" s="17"/>
      <c r="WI181" s="17"/>
      <c r="WJ181" s="17"/>
      <c r="WK181" s="17"/>
      <c r="WL181" s="17"/>
      <c r="WM181" s="17"/>
      <c r="WN181" s="17"/>
      <c r="WO181" s="17"/>
      <c r="WP181" s="17"/>
      <c r="WQ181" s="17"/>
      <c r="WR181" s="17"/>
      <c r="WS181" s="17"/>
      <c r="WT181" s="17"/>
      <c r="WU181" s="17"/>
      <c r="WV181" s="17"/>
      <c r="WW181" s="17"/>
      <c r="WX181" s="17"/>
      <c r="WY181" s="17"/>
      <c r="WZ181" s="17"/>
      <c r="XA181" s="17"/>
      <c r="XB181" s="17"/>
      <c r="XC181" s="17"/>
      <c r="XD181" s="17"/>
      <c r="XE181" s="17"/>
      <c r="XF181" s="17"/>
      <c r="XG181" s="17"/>
      <c r="XH181" s="17"/>
      <c r="XI181" s="17"/>
      <c r="XJ181" s="17"/>
      <c r="XK181" s="17"/>
      <c r="XL181" s="17"/>
      <c r="XM181" s="17"/>
      <c r="XN181" s="17"/>
      <c r="XO181" s="17"/>
      <c r="XP181" s="17"/>
      <c r="XQ181" s="17"/>
      <c r="XR181" s="17"/>
      <c r="XS181" s="17"/>
      <c r="XT181" s="17"/>
      <c r="XU181" s="17"/>
      <c r="XV181" s="17"/>
      <c r="XW181" s="17"/>
      <c r="XX181" s="17"/>
      <c r="XY181" s="17"/>
      <c r="XZ181" s="17"/>
      <c r="YA181" s="17"/>
      <c r="YB181" s="17"/>
      <c r="YC181" s="17"/>
      <c r="YD181" s="17"/>
      <c r="YE181" s="17"/>
      <c r="YF181" s="17"/>
      <c r="YG181" s="17"/>
      <c r="YH181" s="17"/>
      <c r="YI181" s="17"/>
      <c r="YJ181" s="17"/>
      <c r="YK181" s="17"/>
      <c r="YL181" s="17"/>
      <c r="YM181" s="17"/>
      <c r="YN181" s="17"/>
      <c r="YO181" s="17"/>
      <c r="YP181" s="17"/>
      <c r="YQ181" s="17"/>
      <c r="YR181" s="17"/>
      <c r="YS181" s="17"/>
    </row>
    <row r="182" spans="266:669" x14ac:dyDescent="0.25">
      <c r="JF182" s="17"/>
      <c r="JG182" s="17"/>
      <c r="JH182" s="17"/>
      <c r="JI182" s="17"/>
      <c r="JJ182" s="17"/>
      <c r="JK182" s="17"/>
      <c r="JL182" s="17"/>
      <c r="JM182" s="17"/>
      <c r="JN182" s="17"/>
      <c r="JO182" s="17"/>
      <c r="JP182" s="17"/>
      <c r="JQ182" s="17"/>
      <c r="JR182" s="17"/>
      <c r="JS182" s="17"/>
      <c r="JT182" s="17"/>
      <c r="JU182" s="17"/>
      <c r="JV182" s="17"/>
      <c r="JW182" s="17"/>
      <c r="JX182" s="17"/>
      <c r="JY182" s="17"/>
      <c r="JZ182" s="17"/>
      <c r="KA182" s="17"/>
      <c r="KB182" s="17"/>
      <c r="KC182" s="17"/>
      <c r="KD182" s="17"/>
      <c r="KE182" s="17"/>
      <c r="KF182" s="17"/>
      <c r="KG182" s="17"/>
      <c r="KH182" s="17"/>
      <c r="KI182" s="17"/>
      <c r="KJ182" s="17"/>
      <c r="KK182" s="17"/>
      <c r="KL182" s="17"/>
      <c r="KM182" s="17"/>
      <c r="KN182" s="17"/>
      <c r="KO182" s="17"/>
      <c r="KP182" s="17"/>
      <c r="KQ182" s="17"/>
      <c r="KR182" s="17"/>
      <c r="KS182" s="17"/>
      <c r="KT182" s="17"/>
      <c r="KU182" s="17"/>
      <c r="KV182" s="17"/>
      <c r="KW182" s="17"/>
      <c r="KX182" s="17"/>
      <c r="KY182" s="17"/>
      <c r="KZ182" s="17"/>
      <c r="LA182" s="17"/>
      <c r="LB182" s="17"/>
      <c r="LC182" s="17"/>
      <c r="LD182" s="17"/>
      <c r="LE182" s="17"/>
      <c r="LF182" s="17"/>
      <c r="LG182" s="17"/>
      <c r="LH182" s="17"/>
      <c r="LI182" s="17"/>
      <c r="LJ182" s="17"/>
      <c r="LK182" s="17"/>
      <c r="LL182" s="17"/>
      <c r="LM182" s="17"/>
      <c r="LN182" s="17"/>
      <c r="LO182" s="17"/>
      <c r="LP182" s="17"/>
      <c r="LQ182" s="17"/>
      <c r="LR182" s="17"/>
      <c r="LS182" s="17"/>
      <c r="LT182" s="17"/>
      <c r="LU182" s="17"/>
      <c r="LV182" s="17"/>
      <c r="LW182" s="17"/>
      <c r="LX182" s="17"/>
      <c r="LY182" s="17"/>
      <c r="LZ182" s="17"/>
      <c r="MA182" s="17"/>
      <c r="MB182" s="17"/>
      <c r="MC182" s="17"/>
      <c r="MD182" s="17"/>
      <c r="ME182" s="17"/>
      <c r="MF182" s="17"/>
      <c r="MG182" s="17"/>
      <c r="MH182" s="17"/>
      <c r="MI182" s="17"/>
      <c r="MJ182" s="17"/>
      <c r="MK182" s="17"/>
      <c r="ML182" s="17"/>
      <c r="MM182" s="17"/>
      <c r="MN182" s="17"/>
      <c r="MO182" s="17"/>
      <c r="MP182" s="17"/>
      <c r="MQ182" s="17"/>
      <c r="MR182" s="17"/>
      <c r="MS182" s="17"/>
      <c r="MT182" s="17"/>
      <c r="MU182" s="17"/>
      <c r="MV182" s="17"/>
      <c r="MW182" s="17"/>
      <c r="MX182" s="17"/>
      <c r="MY182" s="17"/>
      <c r="MZ182" s="17"/>
      <c r="NA182" s="17"/>
      <c r="NB182" s="17"/>
      <c r="NC182" s="17"/>
      <c r="ND182" s="17"/>
      <c r="NE182" s="17"/>
      <c r="NF182" s="17"/>
      <c r="NG182" s="17"/>
      <c r="NH182" s="17"/>
      <c r="NI182" s="17"/>
      <c r="NJ182" s="17"/>
      <c r="NK182" s="17"/>
      <c r="NL182" s="17"/>
      <c r="NM182" s="17"/>
      <c r="NN182" s="17"/>
      <c r="NO182" s="17"/>
      <c r="NP182" s="17"/>
      <c r="NQ182" s="17"/>
      <c r="NR182" s="17"/>
      <c r="NS182" s="17"/>
      <c r="NT182" s="17"/>
      <c r="NU182" s="17"/>
      <c r="NV182" s="17"/>
      <c r="NW182" s="17"/>
      <c r="NX182" s="17"/>
      <c r="NY182" s="17"/>
      <c r="NZ182" s="17"/>
      <c r="OA182" s="17"/>
      <c r="OB182" s="17"/>
      <c r="OC182" s="17"/>
      <c r="OD182" s="17"/>
      <c r="OE182" s="17"/>
      <c r="OF182" s="17"/>
      <c r="OG182" s="17"/>
      <c r="OH182" s="17"/>
      <c r="OI182" s="17"/>
      <c r="OJ182" s="17"/>
      <c r="OK182" s="17"/>
      <c r="OL182" s="17"/>
      <c r="OM182" s="17"/>
      <c r="ON182" s="17"/>
      <c r="OO182" s="17"/>
      <c r="OP182" s="17"/>
      <c r="OQ182" s="17"/>
      <c r="OR182" s="17"/>
      <c r="OS182" s="17"/>
      <c r="OT182" s="17"/>
      <c r="OU182" s="17"/>
      <c r="OV182" s="17"/>
      <c r="OW182" s="17"/>
      <c r="OX182" s="17"/>
      <c r="OY182" s="17"/>
      <c r="OZ182" s="17"/>
      <c r="PA182" s="17"/>
      <c r="PB182" s="17"/>
      <c r="PC182" s="17"/>
      <c r="PD182" s="17"/>
      <c r="PE182" s="17"/>
      <c r="PF182" s="17"/>
      <c r="PG182" s="17"/>
      <c r="PH182" s="17"/>
      <c r="PI182" s="17"/>
      <c r="PJ182" s="17"/>
      <c r="PK182" s="17"/>
      <c r="PL182" s="17"/>
      <c r="PM182" s="17"/>
      <c r="PN182" s="17"/>
      <c r="PO182" s="17"/>
      <c r="PP182" s="17"/>
      <c r="PQ182" s="17"/>
      <c r="PR182" s="17"/>
      <c r="PS182" s="17"/>
      <c r="PT182" s="17"/>
      <c r="PU182" s="17"/>
      <c r="PV182" s="17"/>
      <c r="PW182" s="17"/>
      <c r="PX182" s="17"/>
      <c r="PY182" s="17"/>
      <c r="PZ182" s="17"/>
      <c r="QA182" s="17"/>
      <c r="QB182" s="17"/>
      <c r="QC182" s="17"/>
      <c r="QD182" s="17"/>
      <c r="QE182" s="17"/>
      <c r="QF182" s="17"/>
      <c r="QG182" s="17"/>
      <c r="QH182" s="17"/>
      <c r="QI182" s="17"/>
      <c r="QJ182" s="17"/>
      <c r="QK182" s="17"/>
      <c r="QL182" s="17"/>
      <c r="QM182" s="17"/>
      <c r="QN182" s="17"/>
      <c r="QO182" s="17"/>
      <c r="QP182" s="17"/>
      <c r="QQ182" s="17"/>
      <c r="QR182" s="17"/>
      <c r="QS182" s="17"/>
      <c r="QT182" s="17"/>
      <c r="QU182" s="17"/>
      <c r="QV182" s="17"/>
      <c r="QW182" s="17"/>
      <c r="QX182" s="17"/>
      <c r="QY182" s="17"/>
      <c r="QZ182" s="17"/>
      <c r="RA182" s="17"/>
      <c r="RB182" s="17"/>
      <c r="RC182" s="17"/>
      <c r="RD182" s="17"/>
      <c r="RE182" s="17"/>
      <c r="RF182" s="17"/>
      <c r="RG182" s="17"/>
      <c r="RH182" s="17"/>
      <c r="RI182" s="17"/>
      <c r="RJ182" s="17"/>
      <c r="RK182" s="17"/>
      <c r="RL182" s="17"/>
      <c r="RM182" s="17"/>
      <c r="RN182" s="17"/>
      <c r="RO182" s="17"/>
      <c r="RP182" s="17"/>
      <c r="RQ182" s="17"/>
      <c r="RR182" s="17"/>
      <c r="RS182" s="17"/>
      <c r="RT182" s="17"/>
      <c r="RU182" s="17"/>
      <c r="RV182" s="17"/>
      <c r="RW182" s="17"/>
      <c r="RX182" s="17"/>
      <c r="RY182" s="17"/>
      <c r="RZ182" s="17"/>
      <c r="SA182" s="17"/>
      <c r="SB182" s="17"/>
      <c r="SC182" s="17"/>
      <c r="SD182" s="17"/>
      <c r="SE182" s="17"/>
      <c r="SF182" s="17"/>
      <c r="SG182" s="17"/>
      <c r="SH182" s="17"/>
      <c r="SI182" s="17"/>
      <c r="SJ182" s="17"/>
      <c r="SK182" s="17"/>
      <c r="SL182" s="17"/>
      <c r="SM182" s="17"/>
      <c r="SN182" s="17"/>
      <c r="SO182" s="17"/>
      <c r="SP182" s="17"/>
      <c r="SQ182" s="17"/>
      <c r="SR182" s="17"/>
      <c r="SS182" s="17"/>
      <c r="ST182" s="17"/>
      <c r="SU182" s="17"/>
      <c r="SV182" s="17"/>
      <c r="SW182" s="17"/>
      <c r="SX182" s="17"/>
      <c r="SY182" s="17"/>
      <c r="SZ182" s="17"/>
      <c r="TA182" s="17"/>
      <c r="TB182" s="17"/>
      <c r="TC182" s="17"/>
      <c r="TD182" s="17"/>
      <c r="TE182" s="17"/>
      <c r="TF182" s="17"/>
      <c r="TG182" s="17"/>
      <c r="TH182" s="17"/>
      <c r="TI182" s="17"/>
      <c r="TJ182" s="17"/>
      <c r="TK182" s="17"/>
      <c r="TL182" s="17"/>
      <c r="TM182" s="17"/>
      <c r="TN182" s="17"/>
      <c r="TO182" s="17"/>
      <c r="TP182" s="17"/>
      <c r="TQ182" s="17"/>
      <c r="TR182" s="17"/>
      <c r="TS182" s="17"/>
      <c r="TT182" s="17"/>
      <c r="TU182" s="17"/>
      <c r="TV182" s="17"/>
      <c r="TW182" s="17"/>
      <c r="TX182" s="17"/>
      <c r="TY182" s="17"/>
      <c r="TZ182" s="17"/>
      <c r="UA182" s="17"/>
      <c r="UB182" s="17"/>
      <c r="UC182" s="17"/>
      <c r="UD182" s="17"/>
      <c r="UE182" s="17"/>
      <c r="UF182" s="17"/>
      <c r="UG182" s="17"/>
      <c r="UH182" s="17"/>
      <c r="UI182" s="17"/>
      <c r="UJ182" s="17"/>
      <c r="UK182" s="17"/>
      <c r="UL182" s="17"/>
      <c r="UM182" s="17"/>
      <c r="UN182" s="17"/>
      <c r="UO182" s="17"/>
      <c r="UP182" s="17"/>
      <c r="UQ182" s="17"/>
      <c r="UR182" s="17"/>
      <c r="US182" s="17"/>
      <c r="UT182" s="17"/>
      <c r="UU182" s="17"/>
      <c r="UV182" s="17"/>
      <c r="UW182" s="17"/>
      <c r="UX182" s="17"/>
      <c r="UY182" s="17"/>
      <c r="UZ182" s="17"/>
      <c r="VA182" s="17"/>
      <c r="VB182" s="17"/>
      <c r="VC182" s="17"/>
      <c r="VD182" s="17"/>
      <c r="VE182" s="17"/>
      <c r="VF182" s="17"/>
      <c r="VG182" s="17"/>
      <c r="VH182" s="17"/>
      <c r="VI182" s="17"/>
      <c r="VJ182" s="17"/>
      <c r="VK182" s="17"/>
      <c r="VL182" s="17"/>
      <c r="VM182" s="17"/>
      <c r="VN182" s="17"/>
      <c r="VO182" s="17"/>
      <c r="VP182" s="17"/>
      <c r="VQ182" s="17"/>
      <c r="VR182" s="17"/>
      <c r="VS182" s="17"/>
      <c r="VT182" s="17"/>
      <c r="VU182" s="17"/>
      <c r="VV182" s="17"/>
      <c r="VW182" s="17"/>
      <c r="VX182" s="17"/>
      <c r="VY182" s="17"/>
      <c r="VZ182" s="17"/>
      <c r="WA182" s="17"/>
      <c r="WB182" s="17"/>
      <c r="WC182" s="17"/>
      <c r="WD182" s="17"/>
      <c r="WE182" s="17"/>
      <c r="WF182" s="17"/>
      <c r="WG182" s="17"/>
      <c r="WH182" s="17"/>
      <c r="WI182" s="17"/>
      <c r="WJ182" s="17"/>
      <c r="WK182" s="17"/>
      <c r="WL182" s="17"/>
      <c r="WM182" s="17"/>
      <c r="WN182" s="17"/>
      <c r="WO182" s="17"/>
      <c r="WP182" s="17"/>
      <c r="WQ182" s="17"/>
      <c r="WR182" s="17"/>
      <c r="WS182" s="17"/>
      <c r="WT182" s="17"/>
      <c r="WU182" s="17"/>
      <c r="WV182" s="17"/>
      <c r="WW182" s="17"/>
      <c r="WX182" s="17"/>
      <c r="WY182" s="17"/>
      <c r="WZ182" s="17"/>
      <c r="XA182" s="17"/>
      <c r="XB182" s="17"/>
      <c r="XC182" s="17"/>
      <c r="XD182" s="17"/>
      <c r="XE182" s="17"/>
      <c r="XF182" s="17"/>
      <c r="XG182" s="17"/>
      <c r="XH182" s="17"/>
      <c r="XI182" s="17"/>
      <c r="XJ182" s="17"/>
      <c r="XK182" s="17"/>
      <c r="XL182" s="17"/>
      <c r="XM182" s="17"/>
      <c r="XN182" s="17"/>
      <c r="XO182" s="17"/>
      <c r="XP182" s="17"/>
      <c r="XQ182" s="17"/>
      <c r="XR182" s="17"/>
      <c r="XS182" s="17"/>
      <c r="XT182" s="17"/>
      <c r="XU182" s="17"/>
      <c r="XV182" s="17"/>
      <c r="XW182" s="17"/>
      <c r="XX182" s="17"/>
      <c r="XY182" s="17"/>
      <c r="XZ182" s="17"/>
      <c r="YA182" s="17"/>
      <c r="YB182" s="17"/>
      <c r="YC182" s="17"/>
      <c r="YD182" s="17"/>
      <c r="YE182" s="17"/>
      <c r="YF182" s="17"/>
      <c r="YG182" s="17"/>
      <c r="YH182" s="17"/>
      <c r="YI182" s="17"/>
      <c r="YJ182" s="17"/>
      <c r="YK182" s="17"/>
      <c r="YL182" s="17"/>
      <c r="YM182" s="17"/>
      <c r="YN182" s="17"/>
      <c r="YO182" s="17"/>
      <c r="YP182" s="17"/>
      <c r="YQ182" s="17"/>
      <c r="YR182" s="17"/>
      <c r="YS182" s="17"/>
    </row>
    <row r="183" spans="266:669" x14ac:dyDescent="0.25">
      <c r="JF183" s="17"/>
      <c r="JG183" s="17"/>
      <c r="JH183" s="17"/>
      <c r="JI183" s="17"/>
      <c r="JJ183" s="17"/>
      <c r="JK183" s="17"/>
      <c r="JL183" s="17"/>
      <c r="JM183" s="17"/>
      <c r="JN183" s="17"/>
      <c r="JO183" s="17"/>
      <c r="JP183" s="17"/>
      <c r="JQ183" s="17"/>
      <c r="JR183" s="17"/>
      <c r="JS183" s="17"/>
      <c r="JT183" s="17"/>
      <c r="JU183" s="17"/>
      <c r="JV183" s="17"/>
      <c r="JW183" s="17"/>
      <c r="JX183" s="17"/>
      <c r="JY183" s="17"/>
      <c r="JZ183" s="17"/>
      <c r="KA183" s="17"/>
      <c r="KB183" s="17"/>
      <c r="KC183" s="17"/>
      <c r="KD183" s="17"/>
      <c r="KE183" s="17"/>
      <c r="KF183" s="17"/>
      <c r="KG183" s="17"/>
      <c r="KH183" s="17"/>
      <c r="KI183" s="17"/>
      <c r="KJ183" s="17"/>
      <c r="KK183" s="17"/>
      <c r="KL183" s="17"/>
      <c r="KM183" s="17"/>
      <c r="KN183" s="17"/>
      <c r="KO183" s="17"/>
      <c r="KP183" s="17"/>
      <c r="KQ183" s="17"/>
      <c r="KR183" s="17"/>
      <c r="KS183" s="17"/>
      <c r="KT183" s="17"/>
      <c r="KU183" s="17"/>
      <c r="KV183" s="17"/>
      <c r="KW183" s="17"/>
      <c r="KX183" s="17"/>
      <c r="KY183" s="17"/>
      <c r="KZ183" s="17"/>
      <c r="LA183" s="17"/>
      <c r="LB183" s="17"/>
      <c r="LC183" s="17"/>
      <c r="LD183" s="17"/>
      <c r="LE183" s="17"/>
      <c r="LF183" s="17"/>
      <c r="LG183" s="17"/>
      <c r="LH183" s="17"/>
      <c r="LI183" s="17"/>
      <c r="LJ183" s="17"/>
      <c r="LK183" s="17"/>
      <c r="LL183" s="17"/>
      <c r="LM183" s="17"/>
      <c r="LN183" s="17"/>
      <c r="LO183" s="17"/>
      <c r="LP183" s="17"/>
      <c r="LQ183" s="17"/>
      <c r="LR183" s="17"/>
      <c r="LS183" s="17"/>
      <c r="LT183" s="17"/>
      <c r="LU183" s="17"/>
      <c r="LV183" s="17"/>
      <c r="LW183" s="17"/>
      <c r="LX183" s="17"/>
      <c r="LY183" s="17"/>
      <c r="LZ183" s="17"/>
      <c r="MA183" s="17"/>
      <c r="MB183" s="17"/>
      <c r="MC183" s="17"/>
      <c r="MD183" s="17"/>
      <c r="ME183" s="17"/>
      <c r="MF183" s="17"/>
      <c r="MG183" s="17"/>
      <c r="MH183" s="17"/>
      <c r="MI183" s="17"/>
      <c r="MJ183" s="17"/>
      <c r="MK183" s="17"/>
      <c r="ML183" s="17"/>
      <c r="MM183" s="17"/>
      <c r="MN183" s="17"/>
      <c r="MO183" s="17"/>
      <c r="MP183" s="17"/>
      <c r="MQ183" s="17"/>
      <c r="MR183" s="17"/>
      <c r="MS183" s="17"/>
      <c r="MT183" s="17"/>
      <c r="MU183" s="17"/>
      <c r="MV183" s="17"/>
      <c r="MW183" s="17"/>
      <c r="MX183" s="17"/>
      <c r="MY183" s="17"/>
      <c r="MZ183" s="17"/>
      <c r="NA183" s="17"/>
      <c r="NB183" s="17"/>
      <c r="NC183" s="17"/>
      <c r="ND183" s="17"/>
      <c r="NE183" s="17"/>
      <c r="NF183" s="17"/>
      <c r="NG183" s="17"/>
      <c r="NH183" s="17"/>
      <c r="NI183" s="17"/>
      <c r="NJ183" s="17"/>
      <c r="NK183" s="17"/>
      <c r="NL183" s="17"/>
      <c r="NM183" s="17"/>
      <c r="NN183" s="17"/>
      <c r="NO183" s="17"/>
      <c r="NP183" s="17"/>
      <c r="NQ183" s="17"/>
      <c r="NR183" s="17"/>
      <c r="NS183" s="17"/>
      <c r="NT183" s="17"/>
      <c r="NU183" s="17"/>
      <c r="NV183" s="17"/>
      <c r="NW183" s="17"/>
      <c r="NX183" s="17"/>
      <c r="NY183" s="17"/>
      <c r="NZ183" s="17"/>
      <c r="OA183" s="17"/>
      <c r="OB183" s="17"/>
      <c r="OC183" s="17"/>
      <c r="OD183" s="17"/>
      <c r="OE183" s="17"/>
      <c r="OF183" s="17"/>
      <c r="OG183" s="17"/>
      <c r="OH183" s="17"/>
      <c r="OI183" s="17"/>
      <c r="OJ183" s="17"/>
      <c r="OK183" s="17"/>
      <c r="OL183" s="17"/>
      <c r="OM183" s="17"/>
      <c r="ON183" s="17"/>
      <c r="OO183" s="17"/>
      <c r="OP183" s="17"/>
      <c r="OQ183" s="17"/>
      <c r="OR183" s="17"/>
      <c r="OS183" s="17"/>
      <c r="OT183" s="17"/>
      <c r="OU183" s="17"/>
      <c r="OV183" s="17"/>
      <c r="OW183" s="17"/>
      <c r="OX183" s="17"/>
      <c r="OY183" s="17"/>
      <c r="OZ183" s="17"/>
      <c r="PA183" s="17"/>
      <c r="PB183" s="17"/>
      <c r="PC183" s="17"/>
      <c r="PD183" s="17"/>
      <c r="PE183" s="17"/>
      <c r="PF183" s="17"/>
      <c r="PG183" s="17"/>
      <c r="PH183" s="17"/>
      <c r="PI183" s="17"/>
      <c r="PJ183" s="17"/>
      <c r="PK183" s="17"/>
      <c r="PL183" s="17"/>
      <c r="PM183" s="17"/>
      <c r="PN183" s="17"/>
      <c r="PO183" s="17"/>
      <c r="PP183" s="17"/>
      <c r="PQ183" s="17"/>
      <c r="PR183" s="17"/>
      <c r="PS183" s="17"/>
      <c r="PT183" s="17"/>
      <c r="PU183" s="17"/>
      <c r="PV183" s="17"/>
      <c r="PW183" s="17"/>
      <c r="PX183" s="17"/>
      <c r="PY183" s="17"/>
      <c r="PZ183" s="17"/>
      <c r="QA183" s="17"/>
      <c r="QB183" s="17"/>
      <c r="QC183" s="17"/>
      <c r="QD183" s="17"/>
      <c r="QE183" s="17"/>
      <c r="QF183" s="17"/>
      <c r="QG183" s="17"/>
      <c r="QH183" s="17"/>
      <c r="QI183" s="17"/>
      <c r="QJ183" s="17"/>
      <c r="QK183" s="17"/>
      <c r="QL183" s="17"/>
      <c r="QM183" s="17"/>
      <c r="QN183" s="17"/>
      <c r="QO183" s="17"/>
      <c r="QP183" s="17"/>
      <c r="QQ183" s="17"/>
      <c r="QR183" s="17"/>
      <c r="QS183" s="17"/>
      <c r="QT183" s="17"/>
      <c r="QU183" s="17"/>
      <c r="QV183" s="17"/>
      <c r="QW183" s="17"/>
      <c r="QX183" s="17"/>
      <c r="QY183" s="17"/>
      <c r="QZ183" s="17"/>
      <c r="RA183" s="17"/>
      <c r="RB183" s="17"/>
      <c r="RC183" s="17"/>
      <c r="RD183" s="17"/>
      <c r="RE183" s="17"/>
      <c r="RF183" s="17"/>
      <c r="RG183" s="17"/>
      <c r="RH183" s="17"/>
      <c r="RI183" s="17"/>
      <c r="RJ183" s="17"/>
      <c r="RK183" s="17"/>
      <c r="RL183" s="17"/>
      <c r="RM183" s="17"/>
      <c r="RN183" s="17"/>
      <c r="RO183" s="17"/>
      <c r="RP183" s="17"/>
      <c r="RQ183" s="17"/>
      <c r="RR183" s="17"/>
      <c r="RS183" s="17"/>
      <c r="RT183" s="17"/>
      <c r="RU183" s="17"/>
      <c r="RV183" s="17"/>
      <c r="RW183" s="17"/>
      <c r="RX183" s="17"/>
      <c r="RY183" s="17"/>
      <c r="RZ183" s="17"/>
      <c r="SA183" s="17"/>
      <c r="SB183" s="17"/>
      <c r="SC183" s="17"/>
      <c r="SD183" s="17"/>
      <c r="SE183" s="17"/>
      <c r="SF183" s="17"/>
      <c r="SG183" s="17"/>
      <c r="SH183" s="17"/>
      <c r="SI183" s="17"/>
      <c r="SJ183" s="17"/>
      <c r="SK183" s="17"/>
      <c r="SL183" s="17"/>
      <c r="SM183" s="17"/>
      <c r="SN183" s="17"/>
      <c r="SO183" s="17"/>
      <c r="SP183" s="17"/>
      <c r="SQ183" s="17"/>
      <c r="SR183" s="17"/>
      <c r="SS183" s="17"/>
      <c r="ST183" s="17"/>
      <c r="SU183" s="17"/>
      <c r="SV183" s="17"/>
      <c r="SW183" s="17"/>
      <c r="SX183" s="17"/>
      <c r="SY183" s="17"/>
      <c r="SZ183" s="17"/>
      <c r="TA183" s="17"/>
      <c r="TB183" s="17"/>
      <c r="TC183" s="17"/>
      <c r="TD183" s="17"/>
      <c r="TE183" s="17"/>
      <c r="TF183" s="17"/>
      <c r="TG183" s="17"/>
      <c r="TH183" s="17"/>
      <c r="TI183" s="17"/>
      <c r="TJ183" s="17"/>
      <c r="TK183" s="17"/>
      <c r="TL183" s="17"/>
      <c r="TM183" s="17"/>
      <c r="TN183" s="17"/>
      <c r="TO183" s="17"/>
      <c r="TP183" s="17"/>
      <c r="TQ183" s="17"/>
      <c r="TR183" s="17"/>
      <c r="TS183" s="17"/>
      <c r="TT183" s="17"/>
      <c r="TU183" s="17"/>
      <c r="TV183" s="17"/>
      <c r="TW183" s="17"/>
      <c r="TX183" s="17"/>
      <c r="TY183" s="17"/>
      <c r="TZ183" s="17"/>
      <c r="UA183" s="17"/>
      <c r="UB183" s="17"/>
      <c r="UC183" s="17"/>
      <c r="UD183" s="17"/>
      <c r="UE183" s="17"/>
      <c r="UF183" s="17"/>
      <c r="UG183" s="17"/>
      <c r="UH183" s="17"/>
      <c r="UI183" s="17"/>
      <c r="UJ183" s="17"/>
      <c r="UK183" s="17"/>
      <c r="UL183" s="17"/>
      <c r="UM183" s="17"/>
      <c r="UN183" s="17"/>
      <c r="UO183" s="17"/>
      <c r="UP183" s="17"/>
      <c r="UQ183" s="17"/>
      <c r="UR183" s="17"/>
      <c r="US183" s="17"/>
      <c r="UT183" s="17"/>
      <c r="UU183" s="17"/>
      <c r="UV183" s="17"/>
      <c r="UW183" s="17"/>
      <c r="UX183" s="17"/>
      <c r="UY183" s="17"/>
      <c r="UZ183" s="17"/>
      <c r="VA183" s="17"/>
      <c r="VB183" s="17"/>
      <c r="VC183" s="17"/>
      <c r="VD183" s="17"/>
      <c r="VE183" s="17"/>
      <c r="VF183" s="17"/>
      <c r="VG183" s="17"/>
      <c r="VH183" s="17"/>
      <c r="VI183" s="17"/>
      <c r="VJ183" s="17"/>
      <c r="VK183" s="17"/>
      <c r="VL183" s="17"/>
      <c r="VM183" s="17"/>
      <c r="VN183" s="17"/>
      <c r="VO183" s="17"/>
      <c r="VP183" s="17"/>
      <c r="VQ183" s="17"/>
      <c r="VR183" s="17"/>
      <c r="VS183" s="17"/>
      <c r="VT183" s="17"/>
      <c r="VU183" s="17"/>
      <c r="VV183" s="17"/>
      <c r="VW183" s="17"/>
      <c r="VX183" s="17"/>
      <c r="VY183" s="17"/>
      <c r="VZ183" s="17"/>
      <c r="WA183" s="17"/>
      <c r="WB183" s="17"/>
      <c r="WC183" s="17"/>
      <c r="WD183" s="17"/>
      <c r="WE183" s="17"/>
      <c r="WF183" s="17"/>
      <c r="WG183" s="17"/>
      <c r="WH183" s="17"/>
      <c r="WI183" s="17"/>
      <c r="WJ183" s="17"/>
      <c r="WK183" s="17"/>
      <c r="WL183" s="17"/>
      <c r="WM183" s="17"/>
      <c r="WN183" s="17"/>
      <c r="WO183" s="17"/>
      <c r="WP183" s="17"/>
      <c r="WQ183" s="17"/>
      <c r="WR183" s="17"/>
      <c r="WS183" s="17"/>
      <c r="WT183" s="17"/>
      <c r="WU183" s="17"/>
      <c r="WV183" s="17"/>
      <c r="WW183" s="17"/>
      <c r="WX183" s="17"/>
      <c r="WY183" s="17"/>
      <c r="WZ183" s="17"/>
      <c r="XA183" s="17"/>
      <c r="XB183" s="17"/>
      <c r="XC183" s="17"/>
      <c r="XD183" s="17"/>
      <c r="XE183" s="17"/>
      <c r="XF183" s="17"/>
      <c r="XG183" s="17"/>
      <c r="XH183" s="17"/>
      <c r="XI183" s="17"/>
      <c r="XJ183" s="17"/>
      <c r="XK183" s="17"/>
      <c r="XL183" s="17"/>
      <c r="XM183" s="17"/>
      <c r="XN183" s="17"/>
      <c r="XO183" s="17"/>
      <c r="XP183" s="17"/>
      <c r="XQ183" s="17"/>
      <c r="XR183" s="17"/>
      <c r="XS183" s="17"/>
      <c r="XT183" s="17"/>
      <c r="XU183" s="17"/>
      <c r="XV183" s="17"/>
      <c r="XW183" s="17"/>
      <c r="XX183" s="17"/>
      <c r="XY183" s="17"/>
      <c r="XZ183" s="17"/>
      <c r="YA183" s="17"/>
      <c r="YB183" s="17"/>
      <c r="YC183" s="17"/>
      <c r="YD183" s="17"/>
      <c r="YE183" s="17"/>
      <c r="YF183" s="17"/>
      <c r="YG183" s="17"/>
      <c r="YH183" s="17"/>
      <c r="YI183" s="17"/>
      <c r="YJ183" s="17"/>
      <c r="YK183" s="17"/>
      <c r="YL183" s="17"/>
      <c r="YM183" s="17"/>
      <c r="YN183" s="17"/>
      <c r="YO183" s="17"/>
      <c r="YP183" s="17"/>
      <c r="YQ183" s="17"/>
      <c r="YR183" s="17"/>
      <c r="YS183" s="17"/>
    </row>
    <row r="184" spans="266:669" x14ac:dyDescent="0.25">
      <c r="JF184" s="17"/>
      <c r="JG184" s="17"/>
      <c r="JH184" s="17"/>
      <c r="JI184" s="17"/>
      <c r="JJ184" s="17"/>
      <c r="JK184" s="17"/>
      <c r="JL184" s="17"/>
      <c r="JM184" s="17"/>
      <c r="JN184" s="17"/>
      <c r="JO184" s="17"/>
      <c r="JP184" s="17"/>
      <c r="JQ184" s="17"/>
      <c r="JR184" s="17"/>
      <c r="JS184" s="17"/>
      <c r="JT184" s="17"/>
      <c r="JU184" s="17"/>
      <c r="JV184" s="17"/>
      <c r="JW184" s="17"/>
      <c r="JX184" s="17"/>
      <c r="JY184" s="17"/>
      <c r="JZ184" s="17"/>
      <c r="KA184" s="17"/>
      <c r="KB184" s="17"/>
      <c r="KC184" s="17"/>
      <c r="KD184" s="17"/>
      <c r="KE184" s="17"/>
      <c r="KF184" s="17"/>
      <c r="KG184" s="17"/>
      <c r="KH184" s="17"/>
      <c r="KI184" s="17"/>
      <c r="KJ184" s="17"/>
      <c r="KK184" s="17"/>
      <c r="KL184" s="17"/>
      <c r="KM184" s="17"/>
      <c r="KN184" s="17"/>
      <c r="KO184" s="17"/>
      <c r="KP184" s="17"/>
      <c r="KQ184" s="17"/>
      <c r="KR184" s="17"/>
      <c r="KS184" s="17"/>
      <c r="KT184" s="17"/>
      <c r="KU184" s="17"/>
      <c r="KV184" s="17"/>
      <c r="KW184" s="17"/>
      <c r="KX184" s="17"/>
      <c r="KY184" s="17"/>
      <c r="KZ184" s="17"/>
      <c r="LA184" s="17"/>
      <c r="LB184" s="17"/>
      <c r="LC184" s="17"/>
      <c r="LD184" s="17"/>
      <c r="LE184" s="17"/>
      <c r="LF184" s="17"/>
      <c r="LG184" s="17"/>
      <c r="LH184" s="17"/>
      <c r="LI184" s="17"/>
      <c r="LJ184" s="17"/>
      <c r="LK184" s="17"/>
      <c r="LL184" s="17"/>
      <c r="LM184" s="17"/>
      <c r="LN184" s="17"/>
      <c r="LO184" s="17"/>
      <c r="LP184" s="17"/>
      <c r="LQ184" s="17"/>
      <c r="LR184" s="17"/>
      <c r="LS184" s="17"/>
      <c r="LT184" s="17"/>
      <c r="LU184" s="17"/>
      <c r="LV184" s="17"/>
      <c r="LW184" s="17"/>
      <c r="LX184" s="17"/>
      <c r="LY184" s="17"/>
      <c r="LZ184" s="17"/>
      <c r="MA184" s="17"/>
      <c r="MB184" s="17"/>
      <c r="MC184" s="17"/>
      <c r="MD184" s="17"/>
      <c r="ME184" s="17"/>
      <c r="MF184" s="17"/>
      <c r="MG184" s="17"/>
      <c r="MH184" s="17"/>
      <c r="MI184" s="17"/>
      <c r="MJ184" s="17"/>
      <c r="MK184" s="17"/>
      <c r="ML184" s="17"/>
      <c r="MM184" s="17"/>
      <c r="MN184" s="17"/>
      <c r="MO184" s="17"/>
      <c r="MP184" s="17"/>
      <c r="MQ184" s="17"/>
      <c r="MR184" s="17"/>
      <c r="MS184" s="17"/>
      <c r="MT184" s="17"/>
      <c r="MU184" s="17"/>
      <c r="MV184" s="17"/>
      <c r="MW184" s="17"/>
      <c r="MX184" s="17"/>
      <c r="MY184" s="17"/>
      <c r="MZ184" s="17"/>
      <c r="NA184" s="17"/>
      <c r="NB184" s="17"/>
      <c r="NC184" s="17"/>
      <c r="ND184" s="17"/>
      <c r="NE184" s="17"/>
      <c r="NF184" s="17"/>
      <c r="NG184" s="17"/>
      <c r="NH184" s="17"/>
      <c r="NI184" s="17"/>
      <c r="NJ184" s="17"/>
      <c r="NK184" s="17"/>
      <c r="NL184" s="17"/>
      <c r="NM184" s="17"/>
      <c r="NN184" s="17"/>
      <c r="NO184" s="17"/>
      <c r="NP184" s="17"/>
      <c r="NQ184" s="17"/>
      <c r="NR184" s="17"/>
      <c r="NS184" s="17"/>
      <c r="NT184" s="17"/>
      <c r="NU184" s="17"/>
      <c r="NV184" s="17"/>
      <c r="NW184" s="17"/>
      <c r="NX184" s="17"/>
      <c r="NY184" s="17"/>
      <c r="NZ184" s="17"/>
      <c r="OA184" s="17"/>
      <c r="OB184" s="17"/>
      <c r="OC184" s="17"/>
      <c r="OD184" s="17"/>
      <c r="OE184" s="17"/>
      <c r="OF184" s="17"/>
      <c r="OG184" s="17"/>
      <c r="OH184" s="17"/>
      <c r="OI184" s="17"/>
      <c r="OJ184" s="17"/>
      <c r="OK184" s="17"/>
      <c r="OL184" s="17"/>
      <c r="OM184" s="17"/>
      <c r="ON184" s="17"/>
      <c r="OO184" s="17"/>
      <c r="OP184" s="17"/>
      <c r="OQ184" s="17"/>
      <c r="OR184" s="17"/>
      <c r="OS184" s="17"/>
      <c r="OT184" s="17"/>
      <c r="OU184" s="17"/>
      <c r="OV184" s="17"/>
      <c r="OW184" s="17"/>
      <c r="OX184" s="17"/>
      <c r="OY184" s="17"/>
      <c r="OZ184" s="17"/>
      <c r="PA184" s="17"/>
      <c r="PB184" s="17"/>
      <c r="PC184" s="17"/>
      <c r="PD184" s="17"/>
      <c r="PE184" s="17"/>
      <c r="PF184" s="17"/>
      <c r="PG184" s="17"/>
      <c r="PH184" s="17"/>
      <c r="PI184" s="17"/>
      <c r="PJ184" s="17"/>
      <c r="PK184" s="17"/>
      <c r="PL184" s="17"/>
      <c r="PM184" s="17"/>
      <c r="PN184" s="17"/>
      <c r="PO184" s="17"/>
      <c r="PP184" s="17"/>
      <c r="PQ184" s="17"/>
      <c r="PR184" s="17"/>
      <c r="PS184" s="17"/>
      <c r="PT184" s="17"/>
      <c r="PU184" s="17"/>
      <c r="PV184" s="17"/>
      <c r="PW184" s="17"/>
      <c r="PX184" s="17"/>
      <c r="PY184" s="17"/>
      <c r="PZ184" s="17"/>
      <c r="QA184" s="17"/>
      <c r="QB184" s="17"/>
      <c r="QC184" s="17"/>
      <c r="QD184" s="17"/>
      <c r="QE184" s="17"/>
      <c r="QF184" s="17"/>
      <c r="QG184" s="17"/>
      <c r="QH184" s="17"/>
      <c r="QI184" s="17"/>
      <c r="QJ184" s="17"/>
      <c r="QK184" s="17"/>
      <c r="QL184" s="17"/>
      <c r="QM184" s="17"/>
      <c r="QN184" s="17"/>
      <c r="QO184" s="17"/>
      <c r="QP184" s="17"/>
      <c r="QQ184" s="17"/>
      <c r="QR184" s="17"/>
      <c r="QS184" s="17"/>
      <c r="QT184" s="17"/>
      <c r="QU184" s="17"/>
      <c r="QV184" s="17"/>
      <c r="QW184" s="17"/>
      <c r="QX184" s="17"/>
      <c r="QY184" s="17"/>
      <c r="QZ184" s="17"/>
      <c r="RA184" s="17"/>
      <c r="RB184" s="17"/>
      <c r="RC184" s="17"/>
      <c r="RD184" s="17"/>
      <c r="RE184" s="17"/>
      <c r="RF184" s="17"/>
      <c r="RG184" s="17"/>
      <c r="RH184" s="17"/>
      <c r="RI184" s="17"/>
      <c r="RJ184" s="17"/>
      <c r="RK184" s="17"/>
      <c r="RL184" s="17"/>
      <c r="RM184" s="17"/>
      <c r="RN184" s="17"/>
      <c r="RO184" s="17"/>
      <c r="RP184" s="17"/>
      <c r="RQ184" s="17"/>
      <c r="RR184" s="17"/>
      <c r="RS184" s="17"/>
      <c r="RT184" s="17"/>
      <c r="RU184" s="17"/>
      <c r="RV184" s="17"/>
      <c r="RW184" s="17"/>
      <c r="RX184" s="17"/>
      <c r="RY184" s="17"/>
      <c r="RZ184" s="17"/>
      <c r="SA184" s="17"/>
      <c r="SB184" s="17"/>
      <c r="SC184" s="17"/>
      <c r="SD184" s="17"/>
      <c r="SE184" s="17"/>
      <c r="SF184" s="17"/>
      <c r="SG184" s="17"/>
      <c r="SH184" s="17"/>
      <c r="SI184" s="17"/>
      <c r="SJ184" s="17"/>
      <c r="SK184" s="17"/>
      <c r="SL184" s="17"/>
      <c r="SM184" s="17"/>
      <c r="SN184" s="17"/>
      <c r="SO184" s="17"/>
      <c r="SP184" s="17"/>
      <c r="SQ184" s="17"/>
      <c r="SR184" s="17"/>
      <c r="SS184" s="17"/>
      <c r="ST184" s="17"/>
      <c r="SU184" s="17"/>
      <c r="SV184" s="17"/>
      <c r="SW184" s="17"/>
      <c r="SX184" s="17"/>
      <c r="SY184" s="17"/>
      <c r="SZ184" s="17"/>
      <c r="TA184" s="17"/>
      <c r="TB184" s="17"/>
      <c r="TC184" s="17"/>
      <c r="TD184" s="17"/>
      <c r="TE184" s="17"/>
      <c r="TF184" s="17"/>
      <c r="TG184" s="17"/>
      <c r="TH184" s="17"/>
      <c r="TI184" s="17"/>
      <c r="TJ184" s="17"/>
      <c r="TK184" s="17"/>
      <c r="TL184" s="17"/>
      <c r="TM184" s="17"/>
      <c r="TN184" s="17"/>
      <c r="TO184" s="17"/>
      <c r="TP184" s="17"/>
      <c r="TQ184" s="17"/>
      <c r="TR184" s="17"/>
      <c r="TS184" s="17"/>
      <c r="TT184" s="17"/>
      <c r="TU184" s="17"/>
      <c r="TV184" s="17"/>
      <c r="TW184" s="17"/>
      <c r="TX184" s="17"/>
      <c r="TY184" s="17"/>
      <c r="TZ184" s="17"/>
      <c r="UA184" s="17"/>
      <c r="UB184" s="17"/>
      <c r="UC184" s="17"/>
      <c r="UD184" s="17"/>
      <c r="UE184" s="17"/>
      <c r="UF184" s="17"/>
      <c r="UG184" s="17"/>
      <c r="UH184" s="17"/>
      <c r="UI184" s="17"/>
      <c r="UJ184" s="17"/>
      <c r="UK184" s="17"/>
      <c r="UL184" s="17"/>
      <c r="UM184" s="17"/>
      <c r="UN184" s="17"/>
      <c r="UO184" s="17"/>
      <c r="UP184" s="17"/>
      <c r="UQ184" s="17"/>
      <c r="UR184" s="17"/>
      <c r="US184" s="17"/>
      <c r="UT184" s="17"/>
      <c r="UU184" s="17"/>
      <c r="UV184" s="17"/>
      <c r="UW184" s="17"/>
      <c r="UX184" s="17"/>
      <c r="UY184" s="17"/>
      <c r="UZ184" s="17"/>
      <c r="VA184" s="17"/>
      <c r="VB184" s="17"/>
      <c r="VC184" s="17"/>
      <c r="VD184" s="17"/>
      <c r="VE184" s="17"/>
      <c r="VF184" s="17"/>
      <c r="VG184" s="17"/>
      <c r="VH184" s="17"/>
      <c r="VI184" s="17"/>
      <c r="VJ184" s="17"/>
      <c r="VK184" s="17"/>
      <c r="VL184" s="17"/>
      <c r="VM184" s="17"/>
      <c r="VN184" s="17"/>
      <c r="VO184" s="17"/>
      <c r="VP184" s="17"/>
      <c r="VQ184" s="17"/>
      <c r="VR184" s="17"/>
      <c r="VS184" s="17"/>
      <c r="VT184" s="17"/>
      <c r="VU184" s="17"/>
      <c r="VV184" s="17"/>
      <c r="VW184" s="17"/>
      <c r="VX184" s="17"/>
      <c r="VY184" s="17"/>
      <c r="VZ184" s="17"/>
      <c r="WA184" s="17"/>
      <c r="WB184" s="17"/>
      <c r="WC184" s="17"/>
      <c r="WD184" s="17"/>
      <c r="WE184" s="17"/>
      <c r="WF184" s="17"/>
      <c r="WG184" s="17"/>
      <c r="WH184" s="17"/>
      <c r="WI184" s="17"/>
      <c r="WJ184" s="17"/>
      <c r="WK184" s="17"/>
      <c r="WL184" s="17"/>
      <c r="WM184" s="17"/>
      <c r="WN184" s="17"/>
      <c r="WO184" s="17"/>
      <c r="WP184" s="17"/>
      <c r="WQ184" s="17"/>
      <c r="WR184" s="17"/>
      <c r="WS184" s="17"/>
      <c r="WT184" s="17"/>
      <c r="WU184" s="17"/>
      <c r="WV184" s="17"/>
      <c r="WW184" s="17"/>
      <c r="WX184" s="17"/>
      <c r="WY184" s="17"/>
      <c r="WZ184" s="17"/>
      <c r="XA184" s="17"/>
      <c r="XB184" s="17"/>
      <c r="XC184" s="17"/>
      <c r="XD184" s="17"/>
      <c r="XE184" s="17"/>
      <c r="XF184" s="17"/>
      <c r="XG184" s="17"/>
      <c r="XH184" s="17"/>
      <c r="XI184" s="17"/>
      <c r="XJ184" s="17"/>
      <c r="XK184" s="17"/>
      <c r="XL184" s="17"/>
      <c r="XM184" s="17"/>
      <c r="XN184" s="17"/>
      <c r="XO184" s="17"/>
      <c r="XP184" s="17"/>
      <c r="XQ184" s="17"/>
      <c r="XR184" s="17"/>
      <c r="XS184" s="17"/>
      <c r="XT184" s="17"/>
      <c r="XU184" s="17"/>
      <c r="XV184" s="17"/>
      <c r="XW184" s="17"/>
      <c r="XX184" s="17"/>
      <c r="XY184" s="17"/>
      <c r="XZ184" s="17"/>
      <c r="YA184" s="17"/>
      <c r="YB184" s="17"/>
      <c r="YC184" s="17"/>
      <c r="YD184" s="17"/>
      <c r="YE184" s="17"/>
      <c r="YF184" s="17"/>
      <c r="YG184" s="17"/>
      <c r="YH184" s="17"/>
      <c r="YI184" s="17"/>
      <c r="YJ184" s="17"/>
      <c r="YK184" s="17"/>
      <c r="YL184" s="17"/>
      <c r="YM184" s="17"/>
      <c r="YN184" s="17"/>
      <c r="YO184" s="17"/>
      <c r="YP184" s="17"/>
      <c r="YQ184" s="17"/>
      <c r="YR184" s="17"/>
      <c r="YS184" s="17"/>
    </row>
    <row r="185" spans="266:669" x14ac:dyDescent="0.25">
      <c r="JF185" s="17"/>
      <c r="JG185" s="17"/>
      <c r="JH185" s="17"/>
      <c r="JI185" s="17"/>
      <c r="JJ185" s="17"/>
      <c r="JK185" s="17"/>
      <c r="JL185" s="17"/>
      <c r="JM185" s="17"/>
      <c r="JN185" s="17"/>
      <c r="JO185" s="17"/>
      <c r="JP185" s="17"/>
      <c r="JQ185" s="17"/>
      <c r="JR185" s="17"/>
      <c r="JS185" s="17"/>
      <c r="JT185" s="17"/>
      <c r="JU185" s="17"/>
      <c r="JV185" s="17"/>
      <c r="JW185" s="17"/>
      <c r="JX185" s="17"/>
      <c r="JY185" s="17"/>
      <c r="JZ185" s="17"/>
      <c r="KA185" s="17"/>
      <c r="KB185" s="17"/>
      <c r="KC185" s="17"/>
      <c r="KD185" s="17"/>
      <c r="KE185" s="17"/>
      <c r="KF185" s="17"/>
      <c r="KG185" s="17"/>
      <c r="KH185" s="17"/>
      <c r="KI185" s="17"/>
      <c r="KJ185" s="17"/>
      <c r="KK185" s="17"/>
      <c r="KL185" s="17"/>
      <c r="KM185" s="17"/>
      <c r="KN185" s="17"/>
      <c r="KO185" s="17"/>
      <c r="KP185" s="17"/>
      <c r="KQ185" s="17"/>
      <c r="KR185" s="17"/>
      <c r="KS185" s="17"/>
      <c r="KT185" s="17"/>
      <c r="KU185" s="17"/>
      <c r="KV185" s="17"/>
      <c r="KW185" s="17"/>
      <c r="KX185" s="17"/>
      <c r="KY185" s="17"/>
      <c r="KZ185" s="17"/>
      <c r="LA185" s="17"/>
      <c r="LB185" s="17"/>
      <c r="LC185" s="17"/>
      <c r="LD185" s="17"/>
      <c r="LE185" s="17"/>
      <c r="LF185" s="17"/>
      <c r="LG185" s="17"/>
      <c r="LH185" s="17"/>
      <c r="LI185" s="17"/>
      <c r="LJ185" s="17"/>
      <c r="LK185" s="17"/>
      <c r="LL185" s="17"/>
      <c r="LM185" s="17"/>
      <c r="LN185" s="17"/>
      <c r="LO185" s="17"/>
      <c r="LP185" s="17"/>
      <c r="LQ185" s="17"/>
      <c r="LR185" s="17"/>
      <c r="LS185" s="17"/>
      <c r="LT185" s="17"/>
      <c r="LU185" s="17"/>
      <c r="LV185" s="17"/>
      <c r="LW185" s="17"/>
      <c r="LX185" s="17"/>
      <c r="LY185" s="17"/>
      <c r="LZ185" s="17"/>
      <c r="MA185" s="17"/>
      <c r="MB185" s="17"/>
      <c r="MC185" s="17"/>
      <c r="MD185" s="17"/>
      <c r="ME185" s="17"/>
      <c r="MF185" s="17"/>
      <c r="MG185" s="17"/>
      <c r="MH185" s="17"/>
      <c r="MI185" s="17"/>
      <c r="MJ185" s="17"/>
      <c r="MK185" s="17"/>
      <c r="ML185" s="17"/>
      <c r="MM185" s="17"/>
      <c r="MN185" s="17"/>
      <c r="MO185" s="17"/>
      <c r="MP185" s="17"/>
      <c r="MQ185" s="17"/>
      <c r="MR185" s="17"/>
      <c r="MS185" s="17"/>
      <c r="MT185" s="17"/>
      <c r="MU185" s="17"/>
      <c r="MV185" s="17"/>
      <c r="MW185" s="17"/>
      <c r="MX185" s="17"/>
      <c r="MY185" s="17"/>
      <c r="MZ185" s="17"/>
      <c r="NA185" s="17"/>
      <c r="NB185" s="17"/>
      <c r="NC185" s="17"/>
      <c r="ND185" s="17"/>
      <c r="NE185" s="17"/>
      <c r="NF185" s="17"/>
      <c r="NG185" s="17"/>
      <c r="NH185" s="17"/>
      <c r="NI185" s="17"/>
      <c r="NJ185" s="17"/>
      <c r="NK185" s="17"/>
      <c r="NL185" s="17"/>
      <c r="NM185" s="17"/>
      <c r="NN185" s="17"/>
      <c r="NO185" s="17"/>
      <c r="NP185" s="17"/>
      <c r="NQ185" s="17"/>
      <c r="NR185" s="17"/>
      <c r="NS185" s="17"/>
      <c r="NT185" s="17"/>
      <c r="NU185" s="17"/>
      <c r="NV185" s="17"/>
      <c r="NW185" s="17"/>
      <c r="NX185" s="17"/>
      <c r="NY185" s="17"/>
      <c r="NZ185" s="17"/>
      <c r="OA185" s="17"/>
      <c r="OB185" s="17"/>
      <c r="OC185" s="17"/>
      <c r="OD185" s="17"/>
      <c r="OE185" s="17"/>
      <c r="OF185" s="17"/>
      <c r="OG185" s="17"/>
      <c r="OH185" s="17"/>
      <c r="OI185" s="17"/>
      <c r="OJ185" s="17"/>
      <c r="OK185" s="17"/>
      <c r="OL185" s="17"/>
      <c r="OM185" s="17"/>
      <c r="ON185" s="17"/>
      <c r="OO185" s="17"/>
      <c r="OP185" s="17"/>
      <c r="OQ185" s="17"/>
      <c r="OR185" s="17"/>
      <c r="OS185" s="17"/>
      <c r="OT185" s="17"/>
      <c r="OU185" s="17"/>
      <c r="OV185" s="17"/>
      <c r="OW185" s="17"/>
      <c r="OX185" s="17"/>
      <c r="OY185" s="17"/>
      <c r="OZ185" s="17"/>
      <c r="PA185" s="17"/>
      <c r="PB185" s="17"/>
      <c r="PC185" s="17"/>
      <c r="PD185" s="17"/>
      <c r="PE185" s="17"/>
      <c r="PF185" s="17"/>
      <c r="PG185" s="17"/>
      <c r="PH185" s="17"/>
      <c r="PI185" s="17"/>
      <c r="PJ185" s="17"/>
      <c r="PK185" s="17"/>
      <c r="PL185" s="17"/>
      <c r="PM185" s="17"/>
      <c r="PN185" s="17"/>
      <c r="PO185" s="17"/>
      <c r="PP185" s="17"/>
      <c r="PQ185" s="17"/>
      <c r="PR185" s="17"/>
      <c r="PS185" s="17"/>
      <c r="PT185" s="17"/>
      <c r="PU185" s="17"/>
      <c r="PV185" s="17"/>
      <c r="PW185" s="17"/>
      <c r="PX185" s="17"/>
      <c r="PY185" s="17"/>
      <c r="PZ185" s="17"/>
      <c r="QA185" s="17"/>
      <c r="QB185" s="17"/>
      <c r="QC185" s="17"/>
      <c r="QD185" s="17"/>
      <c r="QE185" s="17"/>
      <c r="QF185" s="17"/>
      <c r="QG185" s="17"/>
      <c r="QH185" s="17"/>
      <c r="QI185" s="17"/>
      <c r="QJ185" s="17"/>
      <c r="QK185" s="17"/>
      <c r="QL185" s="17"/>
      <c r="QM185" s="17"/>
      <c r="QN185" s="17"/>
      <c r="QO185" s="17"/>
      <c r="QP185" s="17"/>
      <c r="QQ185" s="17"/>
      <c r="QR185" s="17"/>
      <c r="QS185" s="17"/>
      <c r="QT185" s="17"/>
      <c r="QU185" s="17"/>
      <c r="QV185" s="17"/>
      <c r="QW185" s="17"/>
      <c r="QX185" s="17"/>
      <c r="QY185" s="17"/>
      <c r="QZ185" s="17"/>
      <c r="RA185" s="17"/>
      <c r="RB185" s="17"/>
      <c r="RC185" s="17"/>
      <c r="RD185" s="17"/>
      <c r="RE185" s="17"/>
      <c r="RF185" s="17"/>
      <c r="RG185" s="17"/>
      <c r="RH185" s="17"/>
      <c r="RI185" s="17"/>
      <c r="RJ185" s="17"/>
      <c r="RK185" s="17"/>
      <c r="RL185" s="17"/>
      <c r="RM185" s="17"/>
      <c r="RN185" s="17"/>
      <c r="RO185" s="17"/>
      <c r="RP185" s="17"/>
      <c r="RQ185" s="17"/>
      <c r="RR185" s="17"/>
      <c r="RS185" s="17"/>
      <c r="RT185" s="17"/>
      <c r="RU185" s="17"/>
      <c r="RV185" s="17"/>
      <c r="RW185" s="17"/>
      <c r="RX185" s="17"/>
      <c r="RY185" s="17"/>
      <c r="RZ185" s="17"/>
      <c r="SA185" s="17"/>
      <c r="SB185" s="17"/>
      <c r="SC185" s="17"/>
      <c r="SD185" s="17"/>
      <c r="SE185" s="17"/>
      <c r="SF185" s="17"/>
      <c r="SG185" s="17"/>
      <c r="SH185" s="17"/>
      <c r="SI185" s="17"/>
      <c r="SJ185" s="17"/>
      <c r="SK185" s="17"/>
      <c r="SL185" s="17"/>
      <c r="SM185" s="17"/>
      <c r="SN185" s="17"/>
      <c r="SO185" s="17"/>
      <c r="SP185" s="17"/>
      <c r="SQ185" s="17"/>
      <c r="SR185" s="17"/>
      <c r="SS185" s="17"/>
      <c r="ST185" s="17"/>
      <c r="SU185" s="17"/>
      <c r="SV185" s="17"/>
      <c r="SW185" s="17"/>
      <c r="SX185" s="17"/>
      <c r="SY185" s="17"/>
      <c r="SZ185" s="17"/>
      <c r="TA185" s="17"/>
      <c r="TB185" s="17"/>
      <c r="TC185" s="17"/>
      <c r="TD185" s="17"/>
      <c r="TE185" s="17"/>
      <c r="TF185" s="17"/>
      <c r="TG185" s="17"/>
      <c r="TH185" s="17"/>
      <c r="TI185" s="17"/>
      <c r="TJ185" s="17"/>
      <c r="TK185" s="17"/>
      <c r="TL185" s="17"/>
      <c r="TM185" s="17"/>
      <c r="TN185" s="17"/>
      <c r="TO185" s="17"/>
      <c r="TP185" s="17"/>
      <c r="TQ185" s="17"/>
      <c r="TR185" s="17"/>
      <c r="TS185" s="17"/>
      <c r="TT185" s="17"/>
      <c r="TU185" s="17"/>
      <c r="TV185" s="17"/>
      <c r="TW185" s="17"/>
      <c r="TX185" s="17"/>
      <c r="TY185" s="17"/>
      <c r="TZ185" s="17"/>
      <c r="UA185" s="17"/>
      <c r="UB185" s="17"/>
      <c r="UC185" s="17"/>
      <c r="UD185" s="17"/>
      <c r="UE185" s="17"/>
      <c r="UF185" s="17"/>
      <c r="UG185" s="17"/>
      <c r="UH185" s="17"/>
      <c r="UI185" s="17"/>
      <c r="UJ185" s="17"/>
      <c r="UK185" s="17"/>
      <c r="UL185" s="17"/>
      <c r="UM185" s="17"/>
      <c r="UN185" s="17"/>
      <c r="UO185" s="17"/>
      <c r="UP185" s="17"/>
      <c r="UQ185" s="17"/>
      <c r="UR185" s="17"/>
      <c r="US185" s="17"/>
      <c r="UT185" s="17"/>
      <c r="UU185" s="17"/>
      <c r="UV185" s="17"/>
      <c r="UW185" s="17"/>
      <c r="UX185" s="17"/>
      <c r="UY185" s="17"/>
      <c r="UZ185" s="17"/>
      <c r="VA185" s="17"/>
      <c r="VB185" s="17"/>
      <c r="VC185" s="17"/>
      <c r="VD185" s="17"/>
      <c r="VE185" s="17"/>
      <c r="VF185" s="17"/>
      <c r="VG185" s="17"/>
      <c r="VH185" s="17"/>
      <c r="VI185" s="17"/>
      <c r="VJ185" s="17"/>
      <c r="VK185" s="17"/>
      <c r="VL185" s="17"/>
      <c r="VM185" s="17"/>
      <c r="VN185" s="17"/>
      <c r="VO185" s="17"/>
      <c r="VP185" s="17"/>
      <c r="VQ185" s="17"/>
      <c r="VR185" s="17"/>
      <c r="VS185" s="17"/>
      <c r="VT185" s="17"/>
      <c r="VU185" s="17"/>
      <c r="VV185" s="17"/>
      <c r="VW185" s="17"/>
      <c r="VX185" s="17"/>
      <c r="VY185" s="17"/>
      <c r="VZ185" s="17"/>
      <c r="WA185" s="17"/>
      <c r="WB185" s="17"/>
      <c r="WC185" s="17"/>
      <c r="WD185" s="17"/>
      <c r="WE185" s="17"/>
      <c r="WF185" s="17"/>
      <c r="WG185" s="17"/>
      <c r="WH185" s="17"/>
      <c r="WI185" s="17"/>
      <c r="WJ185" s="17"/>
      <c r="WK185" s="17"/>
      <c r="WL185" s="17"/>
      <c r="WM185" s="17"/>
      <c r="WN185" s="17"/>
      <c r="WO185" s="17"/>
      <c r="WP185" s="17"/>
      <c r="WQ185" s="17"/>
      <c r="WR185" s="17"/>
      <c r="WS185" s="17"/>
      <c r="WT185" s="17"/>
      <c r="WU185" s="17"/>
      <c r="WV185" s="17"/>
      <c r="WW185" s="17"/>
      <c r="WX185" s="17"/>
      <c r="WY185" s="17"/>
      <c r="WZ185" s="17"/>
      <c r="XA185" s="17"/>
      <c r="XB185" s="17"/>
      <c r="XC185" s="17"/>
      <c r="XD185" s="17"/>
      <c r="XE185" s="17"/>
      <c r="XF185" s="17"/>
      <c r="XG185" s="17"/>
      <c r="XH185" s="17"/>
      <c r="XI185" s="17"/>
      <c r="XJ185" s="17"/>
      <c r="XK185" s="17"/>
      <c r="XL185" s="17"/>
      <c r="XM185" s="17"/>
      <c r="XN185" s="17"/>
      <c r="XO185" s="17"/>
      <c r="XP185" s="17"/>
      <c r="XQ185" s="17"/>
      <c r="XR185" s="17"/>
      <c r="XS185" s="17"/>
      <c r="XT185" s="17"/>
      <c r="XU185" s="17"/>
      <c r="XV185" s="17"/>
      <c r="XW185" s="17"/>
      <c r="XX185" s="17"/>
      <c r="XY185" s="17"/>
      <c r="XZ185" s="17"/>
      <c r="YA185" s="17"/>
      <c r="YB185" s="17"/>
      <c r="YC185" s="17"/>
      <c r="YD185" s="17"/>
      <c r="YE185" s="17"/>
      <c r="YF185" s="17"/>
      <c r="YG185" s="17"/>
      <c r="YH185" s="17"/>
      <c r="YI185" s="17"/>
      <c r="YJ185" s="17"/>
      <c r="YK185" s="17"/>
      <c r="YL185" s="17"/>
      <c r="YM185" s="17"/>
      <c r="YN185" s="17"/>
      <c r="YO185" s="17"/>
      <c r="YP185" s="17"/>
      <c r="YQ185" s="17"/>
      <c r="YR185" s="17"/>
      <c r="YS185" s="17"/>
    </row>
    <row r="186" spans="266:669" x14ac:dyDescent="0.25">
      <c r="JF186" s="17"/>
      <c r="JG186" s="17"/>
      <c r="JH186" s="17"/>
      <c r="JI186" s="17"/>
      <c r="JJ186" s="17"/>
      <c r="JK186" s="17"/>
      <c r="JL186" s="17"/>
      <c r="JM186" s="17"/>
      <c r="JN186" s="17"/>
      <c r="JO186" s="17"/>
      <c r="JP186" s="17"/>
      <c r="JQ186" s="17"/>
      <c r="JR186" s="17"/>
      <c r="JS186" s="17"/>
      <c r="JT186" s="17"/>
      <c r="JU186" s="17"/>
      <c r="JV186" s="17"/>
      <c r="JW186" s="17"/>
      <c r="JX186" s="17"/>
      <c r="JY186" s="17"/>
      <c r="JZ186" s="17"/>
      <c r="KA186" s="17"/>
      <c r="KB186" s="17"/>
      <c r="KC186" s="17"/>
      <c r="KD186" s="17"/>
      <c r="KE186" s="17"/>
      <c r="KF186" s="17"/>
      <c r="KG186" s="17"/>
      <c r="KH186" s="17"/>
      <c r="KI186" s="17"/>
      <c r="KJ186" s="17"/>
      <c r="KK186" s="17"/>
      <c r="KL186" s="17"/>
      <c r="KM186" s="17"/>
      <c r="KN186" s="17"/>
      <c r="KO186" s="17"/>
      <c r="KP186" s="17"/>
      <c r="KQ186" s="17"/>
      <c r="KR186" s="17"/>
      <c r="KS186" s="17"/>
      <c r="KT186" s="17"/>
      <c r="KU186" s="17"/>
      <c r="KV186" s="17"/>
      <c r="KW186" s="17"/>
      <c r="KX186" s="17"/>
      <c r="KY186" s="17"/>
      <c r="KZ186" s="17"/>
      <c r="LA186" s="17"/>
      <c r="LB186" s="17"/>
      <c r="LC186" s="17"/>
      <c r="LD186" s="17"/>
      <c r="LE186" s="17"/>
      <c r="LF186" s="17"/>
      <c r="LG186" s="17"/>
      <c r="LH186" s="17"/>
      <c r="LI186" s="17"/>
      <c r="LJ186" s="17"/>
      <c r="LK186" s="17"/>
      <c r="LL186" s="17"/>
      <c r="LM186" s="17"/>
      <c r="LN186" s="17"/>
      <c r="LO186" s="17"/>
      <c r="LP186" s="17"/>
      <c r="LQ186" s="17"/>
      <c r="LR186" s="17"/>
      <c r="LS186" s="17"/>
      <c r="LT186" s="17"/>
      <c r="LU186" s="17"/>
      <c r="LV186" s="17"/>
      <c r="LW186" s="17"/>
      <c r="LX186" s="17"/>
      <c r="LY186" s="17"/>
      <c r="LZ186" s="17"/>
      <c r="MA186" s="17"/>
      <c r="MB186" s="17"/>
      <c r="MC186" s="17"/>
      <c r="MD186" s="17"/>
      <c r="ME186" s="17"/>
      <c r="MF186" s="17"/>
      <c r="MG186" s="17"/>
      <c r="MH186" s="17"/>
      <c r="MI186" s="17"/>
      <c r="MJ186" s="17"/>
      <c r="MK186" s="17"/>
      <c r="ML186" s="17"/>
      <c r="MM186" s="17"/>
      <c r="MN186" s="17"/>
      <c r="MO186" s="17"/>
      <c r="MP186" s="17"/>
      <c r="MQ186" s="17"/>
      <c r="MR186" s="17"/>
      <c r="MS186" s="17"/>
      <c r="MT186" s="17"/>
      <c r="MU186" s="17"/>
      <c r="MV186" s="17"/>
      <c r="MW186" s="17"/>
      <c r="MX186" s="17"/>
      <c r="MY186" s="17"/>
      <c r="MZ186" s="17"/>
      <c r="NA186" s="17"/>
      <c r="NB186" s="17"/>
      <c r="NC186" s="17"/>
      <c r="ND186" s="17"/>
      <c r="NE186" s="17"/>
      <c r="NF186" s="17"/>
      <c r="NG186" s="17"/>
      <c r="NH186" s="17"/>
      <c r="NI186" s="17"/>
      <c r="NJ186" s="17"/>
      <c r="NK186" s="17"/>
      <c r="NL186" s="17"/>
      <c r="NM186" s="17"/>
      <c r="NN186" s="17"/>
      <c r="NO186" s="17"/>
      <c r="NP186" s="17"/>
      <c r="NQ186" s="17"/>
      <c r="NR186" s="17"/>
      <c r="NS186" s="17"/>
      <c r="NT186" s="17"/>
      <c r="NU186" s="17"/>
      <c r="NV186" s="17"/>
      <c r="NW186" s="17"/>
      <c r="NX186" s="17"/>
      <c r="NY186" s="17"/>
      <c r="NZ186" s="17"/>
      <c r="OA186" s="17"/>
      <c r="OB186" s="17"/>
      <c r="OC186" s="17"/>
      <c r="OD186" s="17"/>
      <c r="OE186" s="17"/>
      <c r="OF186" s="17"/>
      <c r="OG186" s="17"/>
      <c r="OH186" s="17"/>
      <c r="OI186" s="17"/>
      <c r="OJ186" s="17"/>
      <c r="OK186" s="17"/>
      <c r="OL186" s="17"/>
      <c r="OM186" s="17"/>
      <c r="ON186" s="17"/>
      <c r="OO186" s="17"/>
      <c r="OP186" s="17"/>
      <c r="OQ186" s="17"/>
      <c r="OR186" s="17"/>
      <c r="OS186" s="17"/>
      <c r="OT186" s="17"/>
      <c r="OU186" s="17"/>
      <c r="OV186" s="17"/>
      <c r="OW186" s="17"/>
      <c r="OX186" s="17"/>
      <c r="OY186" s="17"/>
      <c r="OZ186" s="17"/>
      <c r="PA186" s="17"/>
      <c r="PB186" s="17"/>
      <c r="PC186" s="17"/>
      <c r="PD186" s="17"/>
      <c r="PE186" s="17"/>
      <c r="PF186" s="17"/>
      <c r="PG186" s="17"/>
      <c r="PH186" s="17"/>
      <c r="PI186" s="17"/>
      <c r="PJ186" s="17"/>
      <c r="PK186" s="17"/>
      <c r="PL186" s="17"/>
      <c r="PM186" s="17"/>
      <c r="PN186" s="17"/>
      <c r="PO186" s="17"/>
      <c r="PP186" s="17"/>
      <c r="PQ186" s="17"/>
      <c r="PR186" s="17"/>
      <c r="PS186" s="17"/>
      <c r="PT186" s="17"/>
      <c r="PU186" s="17"/>
      <c r="PV186" s="17"/>
      <c r="PW186" s="17"/>
      <c r="PX186" s="17"/>
      <c r="PY186" s="17"/>
      <c r="PZ186" s="17"/>
      <c r="QA186" s="17"/>
      <c r="QB186" s="17"/>
      <c r="QC186" s="17"/>
      <c r="QD186" s="17"/>
      <c r="QE186" s="17"/>
      <c r="QF186" s="17"/>
      <c r="QG186" s="17"/>
      <c r="QH186" s="17"/>
      <c r="QI186" s="17"/>
      <c r="QJ186" s="17"/>
      <c r="QK186" s="17"/>
      <c r="QL186" s="17"/>
      <c r="QM186" s="17"/>
      <c r="QN186" s="17"/>
      <c r="QO186" s="17"/>
      <c r="QP186" s="17"/>
      <c r="QQ186" s="17"/>
      <c r="QR186" s="17"/>
      <c r="QS186" s="17"/>
      <c r="QT186" s="17"/>
      <c r="QU186" s="17"/>
      <c r="QV186" s="17"/>
      <c r="QW186" s="17"/>
      <c r="QX186" s="17"/>
      <c r="QY186" s="17"/>
      <c r="QZ186" s="17"/>
      <c r="RA186" s="17"/>
      <c r="RB186" s="17"/>
      <c r="RC186" s="17"/>
      <c r="RD186" s="17"/>
      <c r="RE186" s="17"/>
      <c r="RF186" s="17"/>
      <c r="RG186" s="17"/>
      <c r="RH186" s="17"/>
      <c r="RI186" s="17"/>
      <c r="RJ186" s="17"/>
      <c r="RK186" s="17"/>
      <c r="RL186" s="17"/>
      <c r="RM186" s="17"/>
      <c r="RN186" s="17"/>
      <c r="RO186" s="17"/>
      <c r="RP186" s="17"/>
      <c r="RQ186" s="17"/>
      <c r="RR186" s="17"/>
      <c r="RS186" s="17"/>
      <c r="RT186" s="17"/>
      <c r="RU186" s="17"/>
      <c r="RV186" s="17"/>
      <c r="RW186" s="17"/>
      <c r="RX186" s="17"/>
      <c r="RY186" s="17"/>
      <c r="RZ186" s="17"/>
      <c r="SA186" s="17"/>
      <c r="SB186" s="17"/>
      <c r="SC186" s="17"/>
      <c r="SD186" s="17"/>
      <c r="SE186" s="17"/>
      <c r="SF186" s="17"/>
      <c r="SG186" s="17"/>
      <c r="SH186" s="17"/>
      <c r="SI186" s="17"/>
      <c r="SJ186" s="17"/>
      <c r="SK186" s="17"/>
      <c r="SL186" s="17"/>
      <c r="SM186" s="17"/>
      <c r="SN186" s="17"/>
      <c r="SO186" s="17"/>
      <c r="SP186" s="17"/>
      <c r="SQ186" s="17"/>
      <c r="SR186" s="17"/>
      <c r="SS186" s="17"/>
      <c r="ST186" s="17"/>
      <c r="SU186" s="17"/>
      <c r="SV186" s="17"/>
      <c r="SW186" s="17"/>
      <c r="SX186" s="17"/>
      <c r="SY186" s="17"/>
      <c r="SZ186" s="17"/>
      <c r="TA186" s="17"/>
      <c r="TB186" s="17"/>
      <c r="TC186" s="17"/>
      <c r="TD186" s="17"/>
      <c r="TE186" s="17"/>
      <c r="TF186" s="17"/>
      <c r="TG186" s="17"/>
      <c r="TH186" s="17"/>
      <c r="TI186" s="17"/>
      <c r="TJ186" s="17"/>
      <c r="TK186" s="17"/>
      <c r="TL186" s="17"/>
      <c r="TM186" s="17"/>
      <c r="TN186" s="17"/>
      <c r="TO186" s="17"/>
      <c r="TP186" s="17"/>
      <c r="TQ186" s="17"/>
      <c r="TR186" s="17"/>
      <c r="TS186" s="17"/>
      <c r="TT186" s="17"/>
      <c r="TU186" s="17"/>
      <c r="TV186" s="17"/>
      <c r="TW186" s="17"/>
      <c r="TX186" s="17"/>
      <c r="TY186" s="17"/>
      <c r="TZ186" s="17"/>
      <c r="UA186" s="17"/>
      <c r="UB186" s="17"/>
      <c r="UC186" s="17"/>
      <c r="UD186" s="17"/>
      <c r="UE186" s="17"/>
      <c r="UF186" s="17"/>
      <c r="UG186" s="17"/>
      <c r="UH186" s="17"/>
      <c r="UI186" s="17"/>
      <c r="UJ186" s="17"/>
      <c r="UK186" s="17"/>
      <c r="UL186" s="17"/>
      <c r="UM186" s="17"/>
      <c r="UN186" s="17"/>
      <c r="UO186" s="17"/>
      <c r="UP186" s="17"/>
      <c r="UQ186" s="17"/>
      <c r="UR186" s="17"/>
      <c r="US186" s="17"/>
      <c r="UT186" s="17"/>
      <c r="UU186" s="17"/>
      <c r="UV186" s="17"/>
      <c r="UW186" s="17"/>
      <c r="UX186" s="17"/>
      <c r="UY186" s="17"/>
      <c r="UZ186" s="17"/>
      <c r="VA186" s="17"/>
      <c r="VB186" s="17"/>
      <c r="VC186" s="17"/>
      <c r="VD186" s="17"/>
      <c r="VE186" s="17"/>
      <c r="VF186" s="17"/>
      <c r="VG186" s="17"/>
      <c r="VH186" s="17"/>
      <c r="VI186" s="17"/>
      <c r="VJ186" s="17"/>
      <c r="VK186" s="17"/>
      <c r="VL186" s="17"/>
      <c r="VM186" s="17"/>
      <c r="VN186" s="17"/>
      <c r="VO186" s="17"/>
      <c r="VP186" s="17"/>
      <c r="VQ186" s="17"/>
      <c r="VR186" s="17"/>
      <c r="VS186" s="17"/>
      <c r="VT186" s="17"/>
      <c r="VU186" s="17"/>
      <c r="VV186" s="17"/>
      <c r="VW186" s="17"/>
      <c r="VX186" s="17"/>
      <c r="VY186" s="17"/>
      <c r="VZ186" s="17"/>
      <c r="WA186" s="17"/>
      <c r="WB186" s="17"/>
      <c r="WC186" s="17"/>
      <c r="WD186" s="17"/>
      <c r="WE186" s="17"/>
      <c r="WF186" s="17"/>
      <c r="WG186" s="17"/>
      <c r="WH186" s="17"/>
      <c r="WI186" s="17"/>
      <c r="WJ186" s="17"/>
      <c r="WK186" s="17"/>
      <c r="WL186" s="17"/>
      <c r="WM186" s="17"/>
      <c r="WN186" s="17"/>
      <c r="WO186" s="17"/>
      <c r="WP186" s="17"/>
      <c r="WQ186" s="17"/>
      <c r="WR186" s="17"/>
      <c r="WS186" s="17"/>
      <c r="WT186" s="17"/>
      <c r="WU186" s="17"/>
      <c r="WV186" s="17"/>
      <c r="WW186" s="17"/>
      <c r="WX186" s="17"/>
      <c r="WY186" s="17"/>
      <c r="WZ186" s="17"/>
      <c r="XA186" s="17"/>
      <c r="XB186" s="17"/>
      <c r="XC186" s="17"/>
      <c r="XD186" s="17"/>
      <c r="XE186" s="17"/>
      <c r="XF186" s="17"/>
      <c r="XG186" s="17"/>
      <c r="XH186" s="17"/>
      <c r="XI186" s="17"/>
      <c r="XJ186" s="17"/>
      <c r="XK186" s="17"/>
      <c r="XL186" s="17"/>
      <c r="XM186" s="17"/>
      <c r="XN186" s="17"/>
      <c r="XO186" s="17"/>
      <c r="XP186" s="17"/>
      <c r="XQ186" s="17"/>
      <c r="XR186" s="17"/>
      <c r="XS186" s="17"/>
      <c r="XT186" s="17"/>
      <c r="XU186" s="17"/>
      <c r="XV186" s="17"/>
      <c r="XW186" s="17"/>
      <c r="XX186" s="17"/>
      <c r="XY186" s="17"/>
      <c r="XZ186" s="17"/>
      <c r="YA186" s="17"/>
      <c r="YB186" s="17"/>
      <c r="YC186" s="17"/>
      <c r="YD186" s="17"/>
      <c r="YE186" s="17"/>
      <c r="YF186" s="17"/>
      <c r="YG186" s="17"/>
      <c r="YH186" s="17"/>
      <c r="YI186" s="17"/>
      <c r="YJ186" s="17"/>
      <c r="YK186" s="17"/>
      <c r="YL186" s="17"/>
      <c r="YM186" s="17"/>
      <c r="YN186" s="17"/>
      <c r="YO186" s="17"/>
      <c r="YP186" s="17"/>
      <c r="YQ186" s="17"/>
      <c r="YR186" s="17"/>
      <c r="YS186" s="17"/>
    </row>
    <row r="187" spans="266:669" x14ac:dyDescent="0.25">
      <c r="JF187" s="17"/>
      <c r="JG187" s="17"/>
      <c r="JH187" s="17"/>
      <c r="JI187" s="17"/>
      <c r="JJ187" s="17"/>
      <c r="JK187" s="17"/>
      <c r="JL187" s="17"/>
      <c r="JM187" s="17"/>
      <c r="JN187" s="17"/>
      <c r="JO187" s="17"/>
      <c r="JP187" s="17"/>
      <c r="JQ187" s="17"/>
      <c r="JR187" s="17"/>
      <c r="JS187" s="17"/>
      <c r="JT187" s="17"/>
      <c r="JU187" s="17"/>
      <c r="JV187" s="17"/>
      <c r="JW187" s="17"/>
      <c r="JX187" s="17"/>
      <c r="JY187" s="17"/>
      <c r="JZ187" s="17"/>
      <c r="KA187" s="17"/>
      <c r="KB187" s="17"/>
      <c r="KC187" s="17"/>
      <c r="KD187" s="17"/>
      <c r="KE187" s="17"/>
      <c r="KF187" s="17"/>
      <c r="KG187" s="17"/>
      <c r="KH187" s="17"/>
      <c r="KI187" s="17"/>
      <c r="KJ187" s="17"/>
      <c r="KK187" s="17"/>
      <c r="KL187" s="17"/>
      <c r="KM187" s="17"/>
      <c r="KN187" s="17"/>
      <c r="KO187" s="17"/>
      <c r="KP187" s="17"/>
      <c r="KQ187" s="17"/>
      <c r="KR187" s="17"/>
      <c r="KS187" s="17"/>
      <c r="KT187" s="17"/>
      <c r="KU187" s="17"/>
      <c r="KV187" s="17"/>
      <c r="KW187" s="17"/>
      <c r="KX187" s="17"/>
      <c r="KY187" s="17"/>
      <c r="KZ187" s="17"/>
      <c r="LA187" s="17"/>
      <c r="LB187" s="17"/>
      <c r="LC187" s="17"/>
      <c r="LD187" s="17"/>
      <c r="LE187" s="17"/>
      <c r="LF187" s="17"/>
      <c r="LG187" s="17"/>
      <c r="LH187" s="17"/>
      <c r="LI187" s="17"/>
      <c r="LJ187" s="17"/>
      <c r="LK187" s="17"/>
      <c r="LL187" s="17"/>
      <c r="LM187" s="17"/>
      <c r="LN187" s="17"/>
      <c r="LO187" s="17"/>
      <c r="LP187" s="17"/>
      <c r="LQ187" s="17"/>
      <c r="LR187" s="17"/>
      <c r="LS187" s="17"/>
      <c r="LT187" s="17"/>
      <c r="LU187" s="17"/>
      <c r="LV187" s="17"/>
      <c r="LW187" s="17"/>
      <c r="LX187" s="17"/>
      <c r="LY187" s="17"/>
      <c r="LZ187" s="17"/>
      <c r="MA187" s="17"/>
      <c r="MB187" s="17"/>
      <c r="MC187" s="17"/>
      <c r="MD187" s="17"/>
      <c r="ME187" s="17"/>
      <c r="MF187" s="17"/>
      <c r="MG187" s="17"/>
      <c r="MH187" s="17"/>
      <c r="MI187" s="17"/>
      <c r="MJ187" s="17"/>
      <c r="MK187" s="17"/>
      <c r="ML187" s="17"/>
      <c r="MM187" s="17"/>
      <c r="MN187" s="17"/>
      <c r="MO187" s="17"/>
      <c r="MP187" s="17"/>
      <c r="MQ187" s="17"/>
      <c r="MR187" s="17"/>
      <c r="MS187" s="17"/>
      <c r="MT187" s="17"/>
      <c r="MU187" s="17"/>
      <c r="MV187" s="17"/>
      <c r="MW187" s="17"/>
      <c r="MX187" s="17"/>
      <c r="MY187" s="17"/>
      <c r="MZ187" s="17"/>
      <c r="NA187" s="17"/>
      <c r="NB187" s="17"/>
      <c r="NC187" s="17"/>
      <c r="ND187" s="17"/>
      <c r="NE187" s="17"/>
      <c r="NF187" s="17"/>
      <c r="NG187" s="17"/>
      <c r="NH187" s="17"/>
      <c r="NI187" s="17"/>
      <c r="NJ187" s="17"/>
      <c r="NK187" s="17"/>
      <c r="NL187" s="17"/>
      <c r="NM187" s="17"/>
      <c r="NN187" s="17"/>
      <c r="NO187" s="17"/>
      <c r="NP187" s="17"/>
      <c r="NQ187" s="17"/>
      <c r="NR187" s="17"/>
      <c r="NS187" s="17"/>
      <c r="NT187" s="17"/>
      <c r="NU187" s="17"/>
      <c r="NV187" s="17"/>
      <c r="NW187" s="17"/>
      <c r="NX187" s="17"/>
      <c r="NY187" s="17"/>
      <c r="NZ187" s="17"/>
      <c r="OA187" s="17"/>
      <c r="OB187" s="17"/>
      <c r="OC187" s="17"/>
      <c r="OD187" s="17"/>
      <c r="OE187" s="17"/>
      <c r="OF187" s="17"/>
      <c r="OG187" s="17"/>
      <c r="OH187" s="17"/>
      <c r="OI187" s="17"/>
      <c r="OJ187" s="17"/>
      <c r="OK187" s="17"/>
      <c r="OL187" s="17"/>
      <c r="OM187" s="17"/>
      <c r="ON187" s="17"/>
      <c r="OO187" s="17"/>
      <c r="OP187" s="17"/>
      <c r="OQ187" s="17"/>
      <c r="OR187" s="17"/>
      <c r="OS187" s="17"/>
      <c r="OT187" s="17"/>
      <c r="OU187" s="17"/>
      <c r="OV187" s="17"/>
      <c r="OW187" s="17"/>
      <c r="OX187" s="17"/>
      <c r="OY187" s="17"/>
      <c r="OZ187" s="17"/>
      <c r="PA187" s="17"/>
      <c r="PB187" s="17"/>
      <c r="PC187" s="17"/>
      <c r="PD187" s="17"/>
      <c r="PE187" s="17"/>
      <c r="PF187" s="17"/>
      <c r="PG187" s="17"/>
      <c r="PH187" s="17"/>
      <c r="PI187" s="17"/>
      <c r="PJ187" s="17"/>
      <c r="PK187" s="17"/>
      <c r="PL187" s="17"/>
      <c r="PM187" s="17"/>
      <c r="PN187" s="17"/>
      <c r="PO187" s="17"/>
      <c r="PP187" s="17"/>
      <c r="PQ187" s="17"/>
      <c r="PR187" s="17"/>
      <c r="PS187" s="17"/>
      <c r="PT187" s="17"/>
      <c r="PU187" s="17"/>
      <c r="PV187" s="17"/>
      <c r="PW187" s="17"/>
      <c r="PX187" s="17"/>
      <c r="PY187" s="17"/>
      <c r="PZ187" s="17"/>
      <c r="QA187" s="17"/>
      <c r="QB187" s="17"/>
      <c r="QC187" s="17"/>
      <c r="QD187" s="17"/>
      <c r="QE187" s="17"/>
      <c r="QF187" s="17"/>
      <c r="QG187" s="17"/>
      <c r="QH187" s="17"/>
      <c r="QI187" s="17"/>
      <c r="QJ187" s="17"/>
      <c r="QK187" s="17"/>
      <c r="QL187" s="17"/>
      <c r="QM187" s="17"/>
      <c r="QN187" s="17"/>
      <c r="QO187" s="17"/>
      <c r="QP187" s="17"/>
      <c r="QQ187" s="17"/>
      <c r="QR187" s="17"/>
      <c r="QS187" s="17"/>
      <c r="QT187" s="17"/>
      <c r="QU187" s="17"/>
      <c r="QV187" s="17"/>
      <c r="QW187" s="17"/>
      <c r="QX187" s="17"/>
      <c r="QY187" s="17"/>
      <c r="QZ187" s="17"/>
      <c r="RA187" s="17"/>
      <c r="RB187" s="17"/>
      <c r="RC187" s="17"/>
      <c r="RD187" s="17"/>
      <c r="RE187" s="17"/>
      <c r="RF187" s="17"/>
      <c r="RG187" s="17"/>
      <c r="RH187" s="17"/>
      <c r="RI187" s="17"/>
      <c r="RJ187" s="17"/>
      <c r="RK187" s="17"/>
      <c r="RL187" s="17"/>
      <c r="RM187" s="17"/>
      <c r="RN187" s="17"/>
      <c r="RO187" s="17"/>
      <c r="RP187" s="17"/>
      <c r="RQ187" s="17"/>
      <c r="RR187" s="17"/>
      <c r="RS187" s="17"/>
      <c r="RT187" s="17"/>
      <c r="RU187" s="17"/>
      <c r="RV187" s="17"/>
      <c r="RW187" s="17"/>
      <c r="RX187" s="17"/>
      <c r="RY187" s="17"/>
      <c r="RZ187" s="17"/>
      <c r="SA187" s="17"/>
      <c r="SB187" s="17"/>
      <c r="SC187" s="17"/>
      <c r="SD187" s="17"/>
      <c r="SE187" s="17"/>
      <c r="SF187" s="17"/>
      <c r="SG187" s="17"/>
      <c r="SH187" s="17"/>
      <c r="SI187" s="17"/>
      <c r="SJ187" s="17"/>
      <c r="SK187" s="17"/>
      <c r="SL187" s="17"/>
      <c r="SM187" s="17"/>
      <c r="SN187" s="17"/>
      <c r="SO187" s="17"/>
      <c r="SP187" s="17"/>
      <c r="SQ187" s="17"/>
      <c r="SR187" s="17"/>
      <c r="SS187" s="17"/>
      <c r="ST187" s="17"/>
      <c r="SU187" s="17"/>
      <c r="SV187" s="17"/>
      <c r="SW187" s="17"/>
      <c r="SX187" s="17"/>
      <c r="SY187" s="17"/>
      <c r="SZ187" s="17"/>
      <c r="TA187" s="17"/>
      <c r="TB187" s="17"/>
      <c r="TC187" s="17"/>
      <c r="TD187" s="17"/>
      <c r="TE187" s="17"/>
      <c r="TF187" s="17"/>
      <c r="TG187" s="17"/>
      <c r="TH187" s="17"/>
      <c r="TI187" s="17"/>
      <c r="TJ187" s="17"/>
      <c r="TK187" s="17"/>
      <c r="TL187" s="17"/>
      <c r="TM187" s="17"/>
      <c r="TN187" s="17"/>
      <c r="TO187" s="17"/>
      <c r="TP187" s="17"/>
      <c r="TQ187" s="17"/>
      <c r="TR187" s="17"/>
      <c r="TS187" s="17"/>
      <c r="TT187" s="17"/>
      <c r="TU187" s="17"/>
      <c r="TV187" s="17"/>
      <c r="TW187" s="17"/>
      <c r="TX187" s="17"/>
      <c r="TY187" s="17"/>
      <c r="TZ187" s="17"/>
      <c r="UA187" s="17"/>
      <c r="UB187" s="17"/>
      <c r="UC187" s="17"/>
      <c r="UD187" s="17"/>
      <c r="UE187" s="17"/>
      <c r="UF187" s="17"/>
      <c r="UG187" s="17"/>
      <c r="UH187" s="17"/>
      <c r="UI187" s="17"/>
      <c r="UJ187" s="17"/>
      <c r="UK187" s="17"/>
      <c r="UL187" s="17"/>
      <c r="UM187" s="17"/>
      <c r="UN187" s="17"/>
      <c r="UO187" s="17"/>
      <c r="UP187" s="17"/>
      <c r="UQ187" s="17"/>
      <c r="UR187" s="17"/>
      <c r="US187" s="17"/>
      <c r="UT187" s="17"/>
      <c r="UU187" s="17"/>
      <c r="UV187" s="17"/>
      <c r="UW187" s="17"/>
      <c r="UX187" s="17"/>
      <c r="UY187" s="17"/>
      <c r="UZ187" s="17"/>
      <c r="VA187" s="17"/>
      <c r="VB187" s="17"/>
      <c r="VC187" s="17"/>
      <c r="VD187" s="17"/>
      <c r="VE187" s="17"/>
      <c r="VF187" s="17"/>
      <c r="VG187" s="17"/>
      <c r="VH187" s="17"/>
      <c r="VI187" s="17"/>
      <c r="VJ187" s="17"/>
      <c r="VK187" s="17"/>
      <c r="VL187" s="17"/>
      <c r="VM187" s="17"/>
      <c r="VN187" s="17"/>
      <c r="VO187" s="17"/>
      <c r="VP187" s="17"/>
      <c r="VQ187" s="17"/>
      <c r="VR187" s="17"/>
      <c r="VS187" s="17"/>
      <c r="VT187" s="17"/>
      <c r="VU187" s="17"/>
      <c r="VV187" s="17"/>
      <c r="VW187" s="17"/>
      <c r="VX187" s="17"/>
      <c r="VY187" s="17"/>
      <c r="VZ187" s="17"/>
      <c r="WA187" s="17"/>
      <c r="WB187" s="17"/>
      <c r="WC187" s="17"/>
      <c r="WD187" s="17"/>
      <c r="WE187" s="17"/>
      <c r="WF187" s="17"/>
      <c r="WG187" s="17"/>
      <c r="WH187" s="17"/>
      <c r="WI187" s="17"/>
      <c r="WJ187" s="17"/>
      <c r="WK187" s="17"/>
      <c r="WL187" s="17"/>
      <c r="WM187" s="17"/>
      <c r="WN187" s="17"/>
      <c r="WO187" s="17"/>
      <c r="WP187" s="17"/>
      <c r="WQ187" s="17"/>
      <c r="WR187" s="17"/>
      <c r="WS187" s="17"/>
      <c r="WT187" s="17"/>
      <c r="WU187" s="17"/>
      <c r="WV187" s="17"/>
      <c r="WW187" s="17"/>
      <c r="WX187" s="17"/>
      <c r="WY187" s="17"/>
      <c r="WZ187" s="17"/>
      <c r="XA187" s="17"/>
      <c r="XB187" s="17"/>
      <c r="XC187" s="17"/>
      <c r="XD187" s="17"/>
      <c r="XE187" s="17"/>
      <c r="XF187" s="17"/>
      <c r="XG187" s="17"/>
      <c r="XH187" s="17"/>
      <c r="XI187" s="17"/>
      <c r="XJ187" s="17"/>
      <c r="XK187" s="17"/>
      <c r="XL187" s="17"/>
      <c r="XM187" s="17"/>
      <c r="XN187" s="17"/>
      <c r="XO187" s="17"/>
      <c r="XP187" s="17"/>
      <c r="XQ187" s="17"/>
      <c r="XR187" s="17"/>
      <c r="XS187" s="17"/>
      <c r="XT187" s="17"/>
      <c r="XU187" s="17"/>
      <c r="XV187" s="17"/>
      <c r="XW187" s="17"/>
      <c r="XX187" s="17"/>
      <c r="XY187" s="17"/>
      <c r="XZ187" s="17"/>
      <c r="YA187" s="17"/>
      <c r="YB187" s="17"/>
      <c r="YC187" s="17"/>
      <c r="YD187" s="17"/>
      <c r="YE187" s="17"/>
      <c r="YF187" s="17"/>
      <c r="YG187" s="17"/>
      <c r="YH187" s="17"/>
      <c r="YI187" s="17"/>
      <c r="YJ187" s="17"/>
      <c r="YK187" s="17"/>
      <c r="YL187" s="17"/>
      <c r="YM187" s="17"/>
      <c r="YN187" s="17"/>
      <c r="YO187" s="17"/>
      <c r="YP187" s="17"/>
      <c r="YQ187" s="17"/>
      <c r="YR187" s="17"/>
      <c r="YS187" s="17"/>
    </row>
    <row r="188" spans="266:669" x14ac:dyDescent="0.25">
      <c r="JF188" s="17"/>
      <c r="JG188" s="17"/>
      <c r="JH188" s="17"/>
      <c r="JI188" s="17"/>
      <c r="JJ188" s="17"/>
      <c r="JK188" s="17"/>
      <c r="JL188" s="17"/>
      <c r="JM188" s="17"/>
      <c r="JN188" s="17"/>
      <c r="JO188" s="17"/>
      <c r="JP188" s="17"/>
      <c r="JQ188" s="17"/>
      <c r="JR188" s="17"/>
      <c r="JS188" s="17"/>
      <c r="JT188" s="17"/>
      <c r="JU188" s="17"/>
      <c r="JV188" s="17"/>
      <c r="JW188" s="17"/>
      <c r="JX188" s="17"/>
      <c r="JY188" s="17"/>
      <c r="JZ188" s="17"/>
      <c r="KA188" s="17"/>
      <c r="KB188" s="17"/>
      <c r="KC188" s="17"/>
      <c r="KD188" s="17"/>
      <c r="KE188" s="17"/>
      <c r="KF188" s="17"/>
      <c r="KG188" s="17"/>
      <c r="KH188" s="17"/>
      <c r="KI188" s="17"/>
      <c r="KJ188" s="17"/>
      <c r="KK188" s="17"/>
      <c r="KL188" s="17"/>
      <c r="KM188" s="17"/>
      <c r="KN188" s="17"/>
      <c r="KO188" s="17"/>
      <c r="KP188" s="17"/>
      <c r="KQ188" s="17"/>
      <c r="KR188" s="17"/>
      <c r="KS188" s="17"/>
      <c r="KT188" s="17"/>
      <c r="KU188" s="17"/>
      <c r="KV188" s="17"/>
      <c r="KW188" s="17"/>
      <c r="KX188" s="17"/>
      <c r="KY188" s="17"/>
      <c r="KZ188" s="17"/>
      <c r="LA188" s="17"/>
      <c r="LB188" s="17"/>
      <c r="LC188" s="17"/>
      <c r="LD188" s="17"/>
      <c r="LE188" s="17"/>
      <c r="LF188" s="17"/>
      <c r="LG188" s="17"/>
      <c r="LH188" s="17"/>
      <c r="LI188" s="17"/>
      <c r="LJ188" s="17"/>
      <c r="LK188" s="17"/>
      <c r="LL188" s="17"/>
      <c r="LM188" s="17"/>
      <c r="LN188" s="17"/>
      <c r="LO188" s="17"/>
      <c r="LP188" s="17"/>
      <c r="LQ188" s="17"/>
      <c r="LR188" s="17"/>
      <c r="LS188" s="17"/>
      <c r="LT188" s="17"/>
      <c r="LU188" s="17"/>
      <c r="LV188" s="17"/>
      <c r="LW188" s="17"/>
      <c r="LX188" s="17"/>
      <c r="LY188" s="17"/>
      <c r="LZ188" s="17"/>
      <c r="MA188" s="17"/>
      <c r="MB188" s="17"/>
      <c r="MC188" s="17"/>
      <c r="MD188" s="17"/>
      <c r="ME188" s="17"/>
      <c r="MF188" s="17"/>
      <c r="MG188" s="17"/>
      <c r="MH188" s="17"/>
      <c r="MI188" s="17"/>
      <c r="MJ188" s="17"/>
      <c r="MK188" s="17"/>
      <c r="ML188" s="17"/>
      <c r="MM188" s="17"/>
      <c r="MN188" s="17"/>
      <c r="MO188" s="17"/>
      <c r="MP188" s="17"/>
      <c r="MQ188" s="17"/>
      <c r="MR188" s="17"/>
      <c r="MS188" s="17"/>
      <c r="MT188" s="17"/>
      <c r="MU188" s="17"/>
      <c r="MV188" s="17"/>
      <c r="MW188" s="17"/>
      <c r="MX188" s="17"/>
      <c r="MY188" s="17"/>
      <c r="MZ188" s="17"/>
      <c r="NA188" s="17"/>
      <c r="NB188" s="17"/>
      <c r="NC188" s="17"/>
      <c r="ND188" s="17"/>
      <c r="NE188" s="17"/>
      <c r="NF188" s="17"/>
      <c r="NG188" s="17"/>
      <c r="NH188" s="17"/>
      <c r="NI188" s="17"/>
      <c r="NJ188" s="17"/>
      <c r="NK188" s="17"/>
      <c r="NL188" s="17"/>
      <c r="NM188" s="17"/>
      <c r="NN188" s="17"/>
      <c r="NO188" s="17"/>
      <c r="NP188" s="17"/>
      <c r="NQ188" s="17"/>
      <c r="NR188" s="17"/>
      <c r="NS188" s="17"/>
      <c r="NT188" s="17"/>
      <c r="NU188" s="17"/>
      <c r="NV188" s="17"/>
      <c r="NW188" s="17"/>
      <c r="NX188" s="17"/>
      <c r="NY188" s="17"/>
      <c r="NZ188" s="17"/>
      <c r="OA188" s="17"/>
      <c r="OB188" s="17"/>
      <c r="OC188" s="17"/>
      <c r="OD188" s="17"/>
      <c r="OE188" s="17"/>
      <c r="OF188" s="17"/>
      <c r="OG188" s="17"/>
      <c r="OH188" s="17"/>
      <c r="OI188" s="17"/>
      <c r="OJ188" s="17"/>
      <c r="OK188" s="17"/>
      <c r="OL188" s="17"/>
      <c r="OM188" s="17"/>
      <c r="ON188" s="17"/>
      <c r="OO188" s="17"/>
      <c r="OP188" s="17"/>
      <c r="OQ188" s="17"/>
      <c r="OR188" s="17"/>
      <c r="OS188" s="17"/>
      <c r="OT188" s="17"/>
      <c r="OU188" s="17"/>
      <c r="OV188" s="17"/>
      <c r="OW188" s="17"/>
      <c r="OX188" s="17"/>
      <c r="OY188" s="17"/>
      <c r="OZ188" s="17"/>
      <c r="PA188" s="17"/>
      <c r="PB188" s="17"/>
      <c r="PC188" s="17"/>
      <c r="PD188" s="17"/>
      <c r="PE188" s="17"/>
      <c r="PF188" s="17"/>
      <c r="PG188" s="17"/>
      <c r="PH188" s="17"/>
      <c r="PI188" s="17"/>
      <c r="PJ188" s="17"/>
      <c r="PK188" s="17"/>
      <c r="PL188" s="17"/>
      <c r="PM188" s="17"/>
      <c r="PN188" s="17"/>
      <c r="PO188" s="17"/>
      <c r="PP188" s="17"/>
      <c r="PQ188" s="17"/>
      <c r="PR188" s="17"/>
      <c r="PS188" s="17"/>
      <c r="PT188" s="17"/>
      <c r="PU188" s="17"/>
      <c r="PV188" s="17"/>
      <c r="PW188" s="17"/>
      <c r="PX188" s="17"/>
      <c r="PY188" s="17"/>
      <c r="PZ188" s="17"/>
      <c r="QA188" s="17"/>
      <c r="QB188" s="17"/>
      <c r="QC188" s="17"/>
      <c r="QD188" s="17"/>
      <c r="QE188" s="17"/>
      <c r="QF188" s="17"/>
      <c r="QG188" s="17"/>
      <c r="QH188" s="17"/>
      <c r="QI188" s="17"/>
      <c r="QJ188" s="17"/>
      <c r="QK188" s="17"/>
      <c r="QL188" s="17"/>
      <c r="QM188" s="17"/>
      <c r="QN188" s="17"/>
      <c r="QO188" s="17"/>
      <c r="QP188" s="17"/>
      <c r="QQ188" s="17"/>
      <c r="QR188" s="17"/>
      <c r="QS188" s="17"/>
      <c r="QT188" s="17"/>
      <c r="QU188" s="17"/>
      <c r="QV188" s="17"/>
      <c r="QW188" s="17"/>
      <c r="QX188" s="17"/>
      <c r="QY188" s="17"/>
      <c r="QZ188" s="17"/>
      <c r="RA188" s="17"/>
      <c r="RB188" s="17"/>
      <c r="RC188" s="17"/>
      <c r="RD188" s="17"/>
      <c r="RE188" s="17"/>
      <c r="RF188" s="17"/>
      <c r="RG188" s="17"/>
      <c r="RH188" s="17"/>
      <c r="RI188" s="17"/>
      <c r="RJ188" s="17"/>
      <c r="RK188" s="17"/>
      <c r="RL188" s="17"/>
      <c r="RM188" s="17"/>
      <c r="RN188" s="17"/>
      <c r="RO188" s="17"/>
      <c r="RP188" s="17"/>
      <c r="RQ188" s="17"/>
      <c r="RR188" s="17"/>
      <c r="RS188" s="17"/>
      <c r="RT188" s="17"/>
      <c r="RU188" s="17"/>
      <c r="RV188" s="17"/>
      <c r="RW188" s="17"/>
      <c r="RX188" s="17"/>
      <c r="RY188" s="17"/>
      <c r="RZ188" s="17"/>
      <c r="SA188" s="17"/>
      <c r="SB188" s="17"/>
      <c r="SC188" s="17"/>
      <c r="SD188" s="17"/>
      <c r="SE188" s="17"/>
      <c r="SF188" s="17"/>
      <c r="SG188" s="17"/>
      <c r="SH188" s="17"/>
      <c r="SI188" s="17"/>
      <c r="SJ188" s="17"/>
      <c r="SK188" s="17"/>
      <c r="SL188" s="17"/>
      <c r="SM188" s="17"/>
      <c r="SN188" s="17"/>
      <c r="SO188" s="17"/>
      <c r="SP188" s="17"/>
      <c r="SQ188" s="17"/>
      <c r="SR188" s="17"/>
      <c r="SS188" s="17"/>
      <c r="ST188" s="17"/>
      <c r="SU188" s="17"/>
      <c r="SV188" s="17"/>
      <c r="SW188" s="17"/>
      <c r="SX188" s="17"/>
      <c r="SY188" s="17"/>
      <c r="SZ188" s="17"/>
      <c r="TA188" s="17"/>
      <c r="TB188" s="17"/>
      <c r="TC188" s="17"/>
      <c r="TD188" s="17"/>
      <c r="TE188" s="17"/>
      <c r="TF188" s="17"/>
      <c r="TG188" s="17"/>
      <c r="TH188" s="17"/>
      <c r="TI188" s="17"/>
      <c r="TJ188" s="17"/>
      <c r="TK188" s="17"/>
      <c r="TL188" s="17"/>
      <c r="TM188" s="17"/>
      <c r="TN188" s="17"/>
      <c r="TO188" s="17"/>
      <c r="TP188" s="17"/>
      <c r="TQ188" s="17"/>
      <c r="TR188" s="17"/>
      <c r="TS188" s="17"/>
      <c r="TT188" s="17"/>
      <c r="TU188" s="17"/>
      <c r="TV188" s="17"/>
      <c r="TW188" s="17"/>
      <c r="TX188" s="17"/>
      <c r="TY188" s="17"/>
      <c r="TZ188" s="17"/>
      <c r="UA188" s="17"/>
      <c r="UB188" s="17"/>
      <c r="UC188" s="17"/>
      <c r="UD188" s="17"/>
      <c r="UE188" s="17"/>
      <c r="UF188" s="17"/>
      <c r="UG188" s="17"/>
      <c r="UH188" s="17"/>
      <c r="UI188" s="17"/>
      <c r="UJ188" s="17"/>
      <c r="UK188" s="17"/>
      <c r="UL188" s="17"/>
      <c r="UM188" s="17"/>
      <c r="UN188" s="17"/>
      <c r="UO188" s="17"/>
      <c r="UP188" s="17"/>
      <c r="UQ188" s="17"/>
      <c r="UR188" s="17"/>
      <c r="US188" s="17"/>
      <c r="UT188" s="17"/>
      <c r="UU188" s="17"/>
      <c r="UV188" s="17"/>
      <c r="UW188" s="17"/>
      <c r="UX188" s="17"/>
      <c r="UY188" s="17"/>
      <c r="UZ188" s="17"/>
      <c r="VA188" s="17"/>
      <c r="VB188" s="17"/>
      <c r="VC188" s="17"/>
      <c r="VD188" s="17"/>
      <c r="VE188" s="17"/>
      <c r="VF188" s="17"/>
      <c r="VG188" s="17"/>
      <c r="VH188" s="17"/>
      <c r="VI188" s="17"/>
      <c r="VJ188" s="17"/>
      <c r="VK188" s="17"/>
      <c r="VL188" s="17"/>
      <c r="VM188" s="17"/>
      <c r="VN188" s="17"/>
      <c r="VO188" s="17"/>
      <c r="VP188" s="17"/>
      <c r="VQ188" s="17"/>
      <c r="VR188" s="17"/>
      <c r="VS188" s="17"/>
      <c r="VT188" s="17"/>
      <c r="VU188" s="17"/>
      <c r="VV188" s="17"/>
      <c r="VW188" s="17"/>
      <c r="VX188" s="17"/>
      <c r="VY188" s="17"/>
      <c r="VZ188" s="17"/>
      <c r="WA188" s="17"/>
      <c r="WB188" s="17"/>
      <c r="WC188" s="17"/>
      <c r="WD188" s="17"/>
      <c r="WE188" s="17"/>
      <c r="WF188" s="17"/>
      <c r="WG188" s="17"/>
      <c r="WH188" s="17"/>
      <c r="WI188" s="17"/>
      <c r="WJ188" s="17"/>
      <c r="WK188" s="17"/>
      <c r="WL188" s="17"/>
      <c r="WM188" s="17"/>
      <c r="WN188" s="17"/>
      <c r="WO188" s="17"/>
      <c r="WP188" s="17"/>
      <c r="WQ188" s="17"/>
      <c r="WR188" s="17"/>
      <c r="WS188" s="17"/>
      <c r="WT188" s="17"/>
      <c r="WU188" s="17"/>
      <c r="WV188" s="17"/>
      <c r="WW188" s="17"/>
      <c r="WX188" s="17"/>
      <c r="WY188" s="17"/>
      <c r="WZ188" s="17"/>
      <c r="XA188" s="17"/>
      <c r="XB188" s="17"/>
      <c r="XC188" s="17"/>
      <c r="XD188" s="17"/>
      <c r="XE188" s="17"/>
      <c r="XF188" s="17"/>
      <c r="XG188" s="17"/>
      <c r="XH188" s="17"/>
      <c r="XI188" s="17"/>
      <c r="XJ188" s="17"/>
      <c r="XK188" s="17"/>
      <c r="XL188" s="17"/>
      <c r="XM188" s="17"/>
      <c r="XN188" s="17"/>
      <c r="XO188" s="17"/>
      <c r="XP188" s="17"/>
      <c r="XQ188" s="17"/>
      <c r="XR188" s="17"/>
      <c r="XS188" s="17"/>
      <c r="XT188" s="17"/>
      <c r="XU188" s="17"/>
      <c r="XV188" s="17"/>
      <c r="XW188" s="17"/>
      <c r="XX188" s="17"/>
      <c r="XY188" s="17"/>
      <c r="XZ188" s="17"/>
      <c r="YA188" s="17"/>
      <c r="YB188" s="17"/>
      <c r="YC188" s="17"/>
      <c r="YD188" s="17"/>
      <c r="YE188" s="17"/>
      <c r="YF188" s="17"/>
      <c r="YG188" s="17"/>
      <c r="YH188" s="17"/>
      <c r="YI188" s="17"/>
      <c r="YJ188" s="17"/>
      <c r="YK188" s="17"/>
      <c r="YL188" s="17"/>
      <c r="YM188" s="17"/>
      <c r="YN188" s="17"/>
      <c r="YO188" s="17"/>
      <c r="YP188" s="17"/>
      <c r="YQ188" s="17"/>
      <c r="YR188" s="17"/>
      <c r="YS188" s="17"/>
    </row>
    <row r="189" spans="266:669" x14ac:dyDescent="0.25">
      <c r="JF189" s="17"/>
      <c r="JG189" s="17"/>
      <c r="JH189" s="17"/>
      <c r="JI189" s="17"/>
      <c r="JJ189" s="17"/>
      <c r="JK189" s="17"/>
      <c r="JL189" s="17"/>
      <c r="JM189" s="17"/>
      <c r="JN189" s="17"/>
      <c r="JO189" s="17"/>
      <c r="JP189" s="17"/>
      <c r="JQ189" s="17"/>
      <c r="JR189" s="17"/>
      <c r="JS189" s="17"/>
      <c r="JT189" s="17"/>
      <c r="JU189" s="17"/>
      <c r="JV189" s="17"/>
      <c r="JW189" s="17"/>
      <c r="JX189" s="17"/>
      <c r="JY189" s="17"/>
      <c r="JZ189" s="17"/>
      <c r="KA189" s="17"/>
      <c r="KB189" s="17"/>
      <c r="KC189" s="17"/>
      <c r="KD189" s="17"/>
      <c r="KE189" s="17"/>
      <c r="KF189" s="17"/>
      <c r="KG189" s="17"/>
      <c r="KH189" s="17"/>
      <c r="KI189" s="17"/>
      <c r="KJ189" s="17"/>
      <c r="KK189" s="17"/>
      <c r="KL189" s="17"/>
      <c r="KM189" s="17"/>
      <c r="KN189" s="17"/>
      <c r="KO189" s="17"/>
      <c r="KP189" s="17"/>
      <c r="KQ189" s="17"/>
      <c r="KR189" s="17"/>
      <c r="KS189" s="17"/>
      <c r="KT189" s="17"/>
      <c r="KU189" s="17"/>
      <c r="KV189" s="17"/>
      <c r="KW189" s="17"/>
      <c r="KX189" s="17"/>
      <c r="KY189" s="17"/>
      <c r="KZ189" s="17"/>
      <c r="LA189" s="17"/>
      <c r="LB189" s="17"/>
      <c r="LC189" s="17"/>
      <c r="LD189" s="17"/>
      <c r="LE189" s="17"/>
      <c r="LF189" s="17"/>
      <c r="LG189" s="17"/>
      <c r="LH189" s="17"/>
      <c r="LI189" s="17"/>
      <c r="LJ189" s="17"/>
      <c r="LK189" s="17"/>
      <c r="LL189" s="17"/>
      <c r="LM189" s="17"/>
      <c r="LN189" s="17"/>
      <c r="LO189" s="17"/>
      <c r="LP189" s="17"/>
      <c r="LQ189" s="17"/>
      <c r="LR189" s="17"/>
      <c r="LS189" s="17"/>
      <c r="LT189" s="17"/>
      <c r="LU189" s="17"/>
      <c r="LV189" s="17"/>
      <c r="LW189" s="17"/>
      <c r="LX189" s="17"/>
      <c r="LY189" s="17"/>
      <c r="LZ189" s="17"/>
      <c r="MA189" s="17"/>
      <c r="MB189" s="17"/>
      <c r="MC189" s="17"/>
      <c r="MD189" s="17"/>
      <c r="ME189" s="17"/>
      <c r="MF189" s="17"/>
      <c r="MG189" s="17"/>
      <c r="MH189" s="17"/>
      <c r="MI189" s="17"/>
      <c r="MJ189" s="17"/>
      <c r="MK189" s="17"/>
      <c r="ML189" s="17"/>
      <c r="MM189" s="17"/>
      <c r="MN189" s="17"/>
      <c r="MO189" s="17"/>
      <c r="MP189" s="17"/>
      <c r="MQ189" s="17"/>
      <c r="MR189" s="17"/>
      <c r="MS189" s="17"/>
      <c r="MT189" s="17"/>
      <c r="MU189" s="17"/>
      <c r="MV189" s="17"/>
      <c r="MW189" s="17"/>
      <c r="MX189" s="17"/>
      <c r="MY189" s="17"/>
      <c r="MZ189" s="17"/>
      <c r="NA189" s="17"/>
      <c r="NB189" s="17"/>
      <c r="NC189" s="17"/>
      <c r="ND189" s="17"/>
      <c r="NE189" s="17"/>
      <c r="NF189" s="17"/>
      <c r="NG189" s="17"/>
      <c r="NH189" s="17"/>
      <c r="NI189" s="17"/>
      <c r="NJ189" s="17"/>
      <c r="NK189" s="17"/>
      <c r="NL189" s="17"/>
      <c r="NM189" s="17"/>
      <c r="NN189" s="17"/>
      <c r="NO189" s="17"/>
      <c r="NP189" s="17"/>
      <c r="NQ189" s="17"/>
      <c r="NR189" s="17"/>
      <c r="NS189" s="17"/>
      <c r="NT189" s="17"/>
      <c r="NU189" s="17"/>
      <c r="NV189" s="17"/>
      <c r="NW189" s="17"/>
      <c r="NX189" s="17"/>
      <c r="NY189" s="17"/>
      <c r="NZ189" s="17"/>
      <c r="OA189" s="17"/>
      <c r="OB189" s="17"/>
      <c r="OC189" s="17"/>
      <c r="OD189" s="17"/>
      <c r="OE189" s="17"/>
      <c r="OF189" s="17"/>
      <c r="OG189" s="17"/>
      <c r="OH189" s="17"/>
      <c r="OI189" s="17"/>
      <c r="OJ189" s="17"/>
      <c r="OK189" s="17"/>
      <c r="OL189" s="17"/>
      <c r="OM189" s="17"/>
      <c r="ON189" s="17"/>
      <c r="OO189" s="17"/>
      <c r="OP189" s="17"/>
      <c r="OQ189" s="17"/>
      <c r="OR189" s="17"/>
      <c r="OS189" s="17"/>
      <c r="OT189" s="17"/>
      <c r="OU189" s="17"/>
      <c r="OV189" s="17"/>
      <c r="OW189" s="17"/>
      <c r="OX189" s="17"/>
      <c r="OY189" s="17"/>
      <c r="OZ189" s="17"/>
      <c r="PA189" s="17"/>
      <c r="PB189" s="17"/>
      <c r="PC189" s="17"/>
      <c r="PD189" s="17"/>
      <c r="PE189" s="17"/>
      <c r="PF189" s="17"/>
      <c r="PG189" s="17"/>
      <c r="PH189" s="17"/>
      <c r="PI189" s="17"/>
      <c r="PJ189" s="17"/>
      <c r="PK189" s="17"/>
      <c r="PL189" s="17"/>
      <c r="PM189" s="17"/>
      <c r="PN189" s="17"/>
      <c r="PO189" s="17"/>
      <c r="PP189" s="17"/>
      <c r="PQ189" s="17"/>
      <c r="PR189" s="17"/>
      <c r="PS189" s="17"/>
      <c r="PT189" s="17"/>
      <c r="PU189" s="17"/>
      <c r="PV189" s="17"/>
      <c r="PW189" s="17"/>
      <c r="PX189" s="17"/>
      <c r="PY189" s="17"/>
      <c r="PZ189" s="17"/>
      <c r="QA189" s="17"/>
      <c r="QB189" s="17"/>
      <c r="QC189" s="17"/>
      <c r="QD189" s="17"/>
      <c r="QE189" s="17"/>
      <c r="QF189" s="17"/>
      <c r="QG189" s="17"/>
      <c r="QH189" s="17"/>
      <c r="QI189" s="17"/>
      <c r="QJ189" s="17"/>
      <c r="QK189" s="17"/>
      <c r="QL189" s="17"/>
      <c r="QM189" s="17"/>
      <c r="QN189" s="17"/>
      <c r="QO189" s="17"/>
      <c r="QP189" s="17"/>
      <c r="QQ189" s="17"/>
      <c r="QR189" s="17"/>
      <c r="QS189" s="17"/>
      <c r="QT189" s="17"/>
      <c r="QU189" s="17"/>
      <c r="QV189" s="17"/>
      <c r="QW189" s="17"/>
      <c r="QX189" s="17"/>
      <c r="QY189" s="17"/>
      <c r="QZ189" s="17"/>
      <c r="RA189" s="17"/>
      <c r="RB189" s="17"/>
      <c r="RC189" s="17"/>
      <c r="RD189" s="17"/>
      <c r="RE189" s="17"/>
      <c r="RF189" s="17"/>
      <c r="RG189" s="17"/>
      <c r="RH189" s="17"/>
      <c r="RI189" s="17"/>
      <c r="RJ189" s="17"/>
      <c r="RK189" s="17"/>
      <c r="RL189" s="17"/>
      <c r="RM189" s="17"/>
      <c r="RN189" s="17"/>
      <c r="RO189" s="17"/>
      <c r="RP189" s="17"/>
      <c r="RQ189" s="17"/>
      <c r="RR189" s="17"/>
      <c r="RS189" s="17"/>
      <c r="RT189" s="17"/>
      <c r="RU189" s="17"/>
      <c r="RV189" s="17"/>
      <c r="RW189" s="17"/>
      <c r="RX189" s="17"/>
      <c r="RY189" s="17"/>
      <c r="RZ189" s="17"/>
      <c r="SA189" s="17"/>
      <c r="SB189" s="17"/>
      <c r="SC189" s="17"/>
      <c r="SD189" s="17"/>
      <c r="SE189" s="17"/>
      <c r="SF189" s="17"/>
      <c r="SG189" s="17"/>
      <c r="SH189" s="17"/>
      <c r="SI189" s="17"/>
      <c r="SJ189" s="17"/>
      <c r="SK189" s="17"/>
      <c r="SL189" s="17"/>
      <c r="SM189" s="17"/>
      <c r="SN189" s="17"/>
      <c r="SO189" s="17"/>
      <c r="SP189" s="17"/>
      <c r="SQ189" s="17"/>
      <c r="SR189" s="17"/>
      <c r="SS189" s="17"/>
      <c r="ST189" s="17"/>
      <c r="SU189" s="17"/>
      <c r="SV189" s="17"/>
      <c r="SW189" s="17"/>
      <c r="SX189" s="17"/>
      <c r="SY189" s="17"/>
      <c r="SZ189" s="17"/>
      <c r="TA189" s="17"/>
      <c r="TB189" s="17"/>
      <c r="TC189" s="17"/>
      <c r="TD189" s="17"/>
      <c r="TE189" s="17"/>
      <c r="TF189" s="17"/>
      <c r="TG189" s="17"/>
      <c r="TH189" s="17"/>
      <c r="TI189" s="17"/>
      <c r="TJ189" s="17"/>
      <c r="TK189" s="17"/>
      <c r="TL189" s="17"/>
      <c r="TM189" s="17"/>
      <c r="TN189" s="17"/>
      <c r="TO189" s="17"/>
      <c r="TP189" s="17"/>
      <c r="TQ189" s="17"/>
      <c r="TR189" s="17"/>
      <c r="TS189" s="17"/>
      <c r="TT189" s="17"/>
      <c r="TU189" s="17"/>
      <c r="TV189" s="17"/>
      <c r="TW189" s="17"/>
      <c r="TX189" s="17"/>
      <c r="TY189" s="17"/>
      <c r="TZ189" s="17"/>
      <c r="UA189" s="17"/>
      <c r="UB189" s="17"/>
      <c r="UC189" s="17"/>
      <c r="UD189" s="17"/>
      <c r="UE189" s="17"/>
      <c r="UF189" s="17"/>
      <c r="UG189" s="17"/>
      <c r="UH189" s="17"/>
      <c r="UI189" s="17"/>
      <c r="UJ189" s="17"/>
      <c r="UK189" s="17"/>
      <c r="UL189" s="17"/>
      <c r="UM189" s="17"/>
      <c r="UN189" s="17"/>
      <c r="UO189" s="17"/>
      <c r="UP189" s="17"/>
      <c r="UQ189" s="17"/>
      <c r="UR189" s="17"/>
      <c r="US189" s="17"/>
      <c r="UT189" s="17"/>
      <c r="UU189" s="17"/>
      <c r="UV189" s="17"/>
      <c r="UW189" s="17"/>
      <c r="UX189" s="17"/>
      <c r="UY189" s="17"/>
      <c r="UZ189" s="17"/>
      <c r="VA189" s="17"/>
      <c r="VB189" s="17"/>
      <c r="VC189" s="17"/>
      <c r="VD189" s="17"/>
      <c r="VE189" s="17"/>
      <c r="VF189" s="17"/>
      <c r="VG189" s="17"/>
      <c r="VH189" s="17"/>
      <c r="VI189" s="17"/>
      <c r="VJ189" s="17"/>
      <c r="VK189" s="17"/>
      <c r="VL189" s="17"/>
      <c r="VM189" s="17"/>
      <c r="VN189" s="17"/>
      <c r="VO189" s="17"/>
      <c r="VP189" s="17"/>
      <c r="VQ189" s="17"/>
      <c r="VR189" s="17"/>
      <c r="VS189" s="17"/>
      <c r="VT189" s="17"/>
      <c r="VU189" s="17"/>
      <c r="VV189" s="17"/>
      <c r="VW189" s="17"/>
      <c r="VX189" s="17"/>
      <c r="VY189" s="17"/>
      <c r="VZ189" s="17"/>
      <c r="WA189" s="17"/>
      <c r="WB189" s="17"/>
      <c r="WC189" s="17"/>
      <c r="WD189" s="17"/>
      <c r="WE189" s="17"/>
      <c r="WF189" s="17"/>
      <c r="WG189" s="17"/>
      <c r="WH189" s="17"/>
      <c r="WI189" s="17"/>
      <c r="WJ189" s="17"/>
      <c r="WK189" s="17"/>
      <c r="WL189" s="17"/>
      <c r="WM189" s="17"/>
      <c r="WN189" s="17"/>
      <c r="WO189" s="17"/>
      <c r="WP189" s="17"/>
      <c r="WQ189" s="17"/>
      <c r="WR189" s="17"/>
      <c r="WS189" s="17"/>
      <c r="WT189" s="17"/>
      <c r="WU189" s="17"/>
      <c r="WV189" s="17"/>
      <c r="WW189" s="17"/>
      <c r="WX189" s="17"/>
      <c r="WY189" s="17"/>
      <c r="WZ189" s="17"/>
      <c r="XA189" s="17"/>
      <c r="XB189" s="17"/>
      <c r="XC189" s="17"/>
      <c r="XD189" s="17"/>
      <c r="XE189" s="17"/>
      <c r="XF189" s="17"/>
      <c r="XG189" s="17"/>
      <c r="XH189" s="17"/>
      <c r="XI189" s="17"/>
      <c r="XJ189" s="17"/>
      <c r="XK189" s="17"/>
      <c r="XL189" s="17"/>
      <c r="XM189" s="17"/>
      <c r="XN189" s="17"/>
      <c r="XO189" s="17"/>
      <c r="XP189" s="17"/>
      <c r="XQ189" s="17"/>
      <c r="XR189" s="17"/>
      <c r="XS189" s="17"/>
      <c r="XT189" s="17"/>
      <c r="XU189" s="17"/>
      <c r="XV189" s="17"/>
      <c r="XW189" s="17"/>
      <c r="XX189" s="17"/>
      <c r="XY189" s="17"/>
      <c r="XZ189" s="17"/>
      <c r="YA189" s="17"/>
      <c r="YB189" s="17"/>
      <c r="YC189" s="17"/>
      <c r="YD189" s="17"/>
      <c r="YE189" s="17"/>
      <c r="YF189" s="17"/>
      <c r="YG189" s="17"/>
      <c r="YH189" s="17"/>
      <c r="YI189" s="17"/>
      <c r="YJ189" s="17"/>
      <c r="YK189" s="17"/>
      <c r="YL189" s="17"/>
      <c r="YM189" s="17"/>
      <c r="YN189" s="17"/>
      <c r="YO189" s="17"/>
      <c r="YP189" s="17"/>
      <c r="YQ189" s="17"/>
      <c r="YR189" s="17"/>
      <c r="YS189" s="17"/>
    </row>
    <row r="190" spans="266:669" x14ac:dyDescent="0.25">
      <c r="JF190" s="17"/>
      <c r="JG190" s="17"/>
      <c r="JH190" s="17"/>
      <c r="JI190" s="17"/>
      <c r="JJ190" s="17"/>
      <c r="JK190" s="17"/>
      <c r="JL190" s="17"/>
      <c r="JM190" s="17"/>
      <c r="JN190" s="17"/>
      <c r="JO190" s="17"/>
      <c r="JP190" s="17"/>
      <c r="JQ190" s="17"/>
      <c r="JR190" s="17"/>
      <c r="JS190" s="17"/>
      <c r="JT190" s="17"/>
      <c r="JU190" s="17"/>
      <c r="JV190" s="17"/>
      <c r="JW190" s="17"/>
      <c r="JX190" s="17"/>
      <c r="JY190" s="17"/>
      <c r="JZ190" s="17"/>
      <c r="KA190" s="17"/>
      <c r="KB190" s="17"/>
      <c r="KC190" s="17"/>
      <c r="KD190" s="17"/>
      <c r="KE190" s="17"/>
      <c r="KF190" s="17"/>
      <c r="KG190" s="17"/>
      <c r="KH190" s="17"/>
      <c r="KI190" s="17"/>
      <c r="KJ190" s="17"/>
      <c r="KK190" s="17"/>
      <c r="KL190" s="17"/>
      <c r="KM190" s="17"/>
      <c r="KN190" s="17"/>
      <c r="KO190" s="17"/>
      <c r="KP190" s="17"/>
      <c r="KQ190" s="17"/>
      <c r="KR190" s="17"/>
      <c r="KS190" s="17"/>
      <c r="KT190" s="17"/>
      <c r="KU190" s="17"/>
      <c r="KV190" s="17"/>
      <c r="KW190" s="17"/>
      <c r="KX190" s="17"/>
      <c r="KY190" s="17"/>
      <c r="KZ190" s="17"/>
      <c r="LA190" s="17"/>
      <c r="LB190" s="17"/>
      <c r="LC190" s="17"/>
      <c r="LD190" s="17"/>
      <c r="LE190" s="17"/>
      <c r="LF190" s="17"/>
      <c r="LG190" s="17"/>
      <c r="LH190" s="17"/>
      <c r="LI190" s="17"/>
      <c r="LJ190" s="17"/>
      <c r="LK190" s="17"/>
      <c r="LL190" s="17"/>
      <c r="LM190" s="17"/>
      <c r="LN190" s="17"/>
      <c r="LO190" s="17"/>
      <c r="LP190" s="17"/>
      <c r="LQ190" s="17"/>
      <c r="LR190" s="17"/>
      <c r="LS190" s="17"/>
      <c r="LT190" s="17"/>
      <c r="LU190" s="17"/>
      <c r="LV190" s="17"/>
      <c r="LW190" s="17"/>
      <c r="LX190" s="17"/>
      <c r="LY190" s="17"/>
      <c r="LZ190" s="17"/>
      <c r="MA190" s="17"/>
      <c r="MB190" s="17"/>
      <c r="MC190" s="17"/>
      <c r="MD190" s="17"/>
      <c r="ME190" s="17"/>
      <c r="MF190" s="17"/>
      <c r="MG190" s="17"/>
      <c r="MH190" s="17"/>
      <c r="MI190" s="17"/>
      <c r="MJ190" s="17"/>
      <c r="MK190" s="17"/>
      <c r="ML190" s="17"/>
      <c r="MM190" s="17"/>
      <c r="MN190" s="17"/>
      <c r="MO190" s="17"/>
      <c r="MP190" s="17"/>
      <c r="MQ190" s="17"/>
      <c r="MR190" s="17"/>
      <c r="MS190" s="17"/>
      <c r="MT190" s="17"/>
      <c r="MU190" s="17"/>
      <c r="MV190" s="17"/>
      <c r="MW190" s="17"/>
      <c r="MX190" s="17"/>
      <c r="MY190" s="17"/>
      <c r="MZ190" s="17"/>
      <c r="NA190" s="17"/>
      <c r="NB190" s="17"/>
      <c r="NC190" s="17"/>
      <c r="ND190" s="17"/>
      <c r="NE190" s="17"/>
      <c r="NF190" s="17"/>
      <c r="NG190" s="17"/>
      <c r="NH190" s="17"/>
      <c r="NI190" s="17"/>
      <c r="NJ190" s="17"/>
      <c r="NK190" s="17"/>
      <c r="NL190" s="17"/>
      <c r="NM190" s="17"/>
      <c r="NN190" s="17"/>
      <c r="NO190" s="17"/>
      <c r="NP190" s="17"/>
      <c r="NQ190" s="17"/>
      <c r="NR190" s="17"/>
      <c r="NS190" s="17"/>
      <c r="NT190" s="17"/>
      <c r="NU190" s="17"/>
      <c r="NV190" s="17"/>
      <c r="NW190" s="17"/>
      <c r="NX190" s="17"/>
      <c r="NY190" s="17"/>
      <c r="NZ190" s="17"/>
      <c r="OA190" s="17"/>
      <c r="OB190" s="17"/>
      <c r="OC190" s="17"/>
      <c r="OD190" s="17"/>
      <c r="OE190" s="17"/>
      <c r="OF190" s="17"/>
      <c r="OG190" s="17"/>
      <c r="OH190" s="17"/>
      <c r="OI190" s="17"/>
      <c r="OJ190" s="17"/>
      <c r="OK190" s="17"/>
      <c r="OL190" s="17"/>
      <c r="OM190" s="17"/>
      <c r="ON190" s="17"/>
      <c r="OO190" s="17"/>
      <c r="OP190" s="17"/>
      <c r="OQ190" s="17"/>
      <c r="OR190" s="17"/>
      <c r="OS190" s="17"/>
      <c r="OT190" s="17"/>
      <c r="OU190" s="17"/>
      <c r="OV190" s="17"/>
      <c r="OW190" s="17"/>
      <c r="OX190" s="17"/>
      <c r="OY190" s="17"/>
      <c r="OZ190" s="17"/>
      <c r="PA190" s="17"/>
      <c r="PB190" s="17"/>
      <c r="PC190" s="17"/>
      <c r="PD190" s="17"/>
      <c r="PE190" s="17"/>
      <c r="PF190" s="17"/>
      <c r="PG190" s="17"/>
      <c r="PH190" s="17"/>
      <c r="PI190" s="17"/>
      <c r="PJ190" s="17"/>
      <c r="PK190" s="17"/>
      <c r="PL190" s="17"/>
      <c r="PM190" s="17"/>
      <c r="PN190" s="17"/>
      <c r="PO190" s="17"/>
      <c r="PP190" s="17"/>
      <c r="PQ190" s="17"/>
      <c r="PR190" s="17"/>
      <c r="PS190" s="17"/>
      <c r="PT190" s="17"/>
      <c r="PU190" s="17"/>
      <c r="PV190" s="17"/>
      <c r="PW190" s="17"/>
      <c r="PX190" s="17"/>
      <c r="PY190" s="17"/>
      <c r="PZ190" s="17"/>
      <c r="QA190" s="17"/>
      <c r="QB190" s="17"/>
      <c r="QC190" s="17"/>
      <c r="QD190" s="17"/>
      <c r="QE190" s="17"/>
      <c r="QF190" s="17"/>
      <c r="QG190" s="17"/>
      <c r="QH190" s="17"/>
      <c r="QI190" s="17"/>
      <c r="QJ190" s="17"/>
      <c r="QK190" s="17"/>
      <c r="QL190" s="17"/>
      <c r="QM190" s="17"/>
      <c r="QN190" s="17"/>
      <c r="QO190" s="17"/>
      <c r="QP190" s="17"/>
      <c r="QQ190" s="17"/>
      <c r="QR190" s="17"/>
      <c r="QS190" s="17"/>
      <c r="QT190" s="17"/>
      <c r="QU190" s="17"/>
      <c r="QV190" s="17"/>
      <c r="QW190" s="17"/>
      <c r="QX190" s="17"/>
      <c r="QY190" s="17"/>
      <c r="QZ190" s="17"/>
      <c r="RA190" s="17"/>
      <c r="RB190" s="17"/>
      <c r="RC190" s="17"/>
      <c r="RD190" s="17"/>
      <c r="RE190" s="17"/>
      <c r="RF190" s="17"/>
      <c r="RG190" s="17"/>
      <c r="RH190" s="17"/>
      <c r="RI190" s="17"/>
      <c r="RJ190" s="17"/>
      <c r="RK190" s="17"/>
      <c r="RL190" s="17"/>
      <c r="RM190" s="17"/>
      <c r="RN190" s="17"/>
      <c r="RO190" s="17"/>
      <c r="RP190" s="17"/>
      <c r="RQ190" s="17"/>
      <c r="RR190" s="17"/>
      <c r="RS190" s="17"/>
      <c r="RT190" s="17"/>
      <c r="RU190" s="17"/>
      <c r="RV190" s="17"/>
      <c r="RW190" s="17"/>
      <c r="RX190" s="17"/>
      <c r="RY190" s="17"/>
      <c r="RZ190" s="17"/>
      <c r="SA190" s="17"/>
      <c r="SB190" s="17"/>
      <c r="SC190" s="17"/>
      <c r="SD190" s="17"/>
      <c r="SE190" s="17"/>
      <c r="SF190" s="17"/>
      <c r="SG190" s="17"/>
      <c r="SH190" s="17"/>
      <c r="SI190" s="17"/>
      <c r="SJ190" s="17"/>
      <c r="SK190" s="17"/>
      <c r="SL190" s="17"/>
      <c r="SM190" s="17"/>
      <c r="SN190" s="17"/>
      <c r="SO190" s="17"/>
      <c r="SP190" s="17"/>
      <c r="SQ190" s="17"/>
      <c r="SR190" s="17"/>
      <c r="SS190" s="17"/>
      <c r="ST190" s="17"/>
      <c r="SU190" s="17"/>
      <c r="SV190" s="17"/>
      <c r="SW190" s="17"/>
      <c r="SX190" s="17"/>
      <c r="SY190" s="17"/>
      <c r="SZ190" s="17"/>
      <c r="TA190" s="17"/>
      <c r="TB190" s="17"/>
      <c r="TC190" s="17"/>
      <c r="TD190" s="17"/>
      <c r="TE190" s="17"/>
      <c r="TF190" s="17"/>
      <c r="TG190" s="17"/>
      <c r="TH190" s="17"/>
      <c r="TI190" s="17"/>
      <c r="TJ190" s="17"/>
      <c r="TK190" s="17"/>
      <c r="TL190" s="17"/>
      <c r="TM190" s="17"/>
      <c r="TN190" s="17"/>
      <c r="TO190" s="17"/>
      <c r="TP190" s="17"/>
      <c r="TQ190" s="17"/>
      <c r="TR190" s="17"/>
      <c r="TS190" s="17"/>
      <c r="TT190" s="17"/>
      <c r="TU190" s="17"/>
      <c r="TV190" s="17"/>
      <c r="TW190" s="17"/>
      <c r="TX190" s="17"/>
      <c r="TY190" s="17"/>
      <c r="TZ190" s="17"/>
      <c r="UA190" s="17"/>
      <c r="UB190" s="17"/>
      <c r="UC190" s="17"/>
      <c r="UD190" s="17"/>
      <c r="UE190" s="17"/>
      <c r="UF190" s="17"/>
      <c r="UG190" s="17"/>
      <c r="UH190" s="17"/>
      <c r="UI190" s="17"/>
      <c r="UJ190" s="17"/>
      <c r="UK190" s="17"/>
      <c r="UL190" s="17"/>
      <c r="UM190" s="17"/>
      <c r="UN190" s="17"/>
      <c r="UO190" s="17"/>
      <c r="UP190" s="17"/>
      <c r="UQ190" s="17"/>
      <c r="UR190" s="17"/>
      <c r="US190" s="17"/>
      <c r="UT190" s="17"/>
      <c r="UU190" s="17"/>
      <c r="UV190" s="17"/>
      <c r="UW190" s="17"/>
      <c r="UX190" s="17"/>
      <c r="UY190" s="17"/>
      <c r="UZ190" s="17"/>
      <c r="VA190" s="17"/>
      <c r="VB190" s="17"/>
      <c r="VC190" s="17"/>
      <c r="VD190" s="17"/>
      <c r="VE190" s="17"/>
      <c r="VF190" s="17"/>
      <c r="VG190" s="17"/>
      <c r="VH190" s="17"/>
      <c r="VI190" s="17"/>
      <c r="VJ190" s="17"/>
      <c r="VK190" s="17"/>
      <c r="VL190" s="17"/>
      <c r="VM190" s="17"/>
      <c r="VN190" s="17"/>
      <c r="VO190" s="17"/>
      <c r="VP190" s="17"/>
      <c r="VQ190" s="17"/>
      <c r="VR190" s="17"/>
      <c r="VS190" s="17"/>
      <c r="VT190" s="17"/>
      <c r="VU190" s="17"/>
      <c r="VV190" s="17"/>
      <c r="VW190" s="17"/>
      <c r="VX190" s="17"/>
      <c r="VY190" s="17"/>
      <c r="VZ190" s="17"/>
      <c r="WA190" s="17"/>
      <c r="WB190" s="17"/>
      <c r="WC190" s="17"/>
      <c r="WD190" s="17"/>
      <c r="WE190" s="17"/>
      <c r="WF190" s="17"/>
      <c r="WG190" s="17"/>
      <c r="WH190" s="17"/>
      <c r="WI190" s="17"/>
      <c r="WJ190" s="17"/>
      <c r="WK190" s="17"/>
      <c r="WL190" s="17"/>
      <c r="WM190" s="17"/>
      <c r="WN190" s="17"/>
      <c r="WO190" s="17"/>
      <c r="WP190" s="17"/>
      <c r="WQ190" s="17"/>
      <c r="WR190" s="17"/>
      <c r="WS190" s="17"/>
      <c r="WT190" s="17"/>
      <c r="WU190" s="17"/>
      <c r="WV190" s="17"/>
      <c r="WW190" s="17"/>
      <c r="WX190" s="17"/>
      <c r="WY190" s="17"/>
      <c r="WZ190" s="17"/>
      <c r="XA190" s="17"/>
      <c r="XB190" s="17"/>
      <c r="XC190" s="17"/>
      <c r="XD190" s="17"/>
      <c r="XE190" s="17"/>
      <c r="XF190" s="17"/>
      <c r="XG190" s="17"/>
      <c r="XH190" s="17"/>
      <c r="XI190" s="17"/>
      <c r="XJ190" s="17"/>
      <c r="XK190" s="17"/>
      <c r="XL190" s="17"/>
      <c r="XM190" s="17"/>
      <c r="XN190" s="17"/>
      <c r="XO190" s="17"/>
      <c r="XP190" s="17"/>
      <c r="XQ190" s="17"/>
      <c r="XR190" s="17"/>
      <c r="XS190" s="17"/>
      <c r="XT190" s="17"/>
      <c r="XU190" s="17"/>
      <c r="XV190" s="17"/>
      <c r="XW190" s="17"/>
      <c r="XX190" s="17"/>
      <c r="XY190" s="17"/>
      <c r="XZ190" s="17"/>
      <c r="YA190" s="17"/>
      <c r="YB190" s="17"/>
      <c r="YC190" s="17"/>
      <c r="YD190" s="17"/>
      <c r="YE190" s="17"/>
      <c r="YF190" s="17"/>
      <c r="YG190" s="17"/>
      <c r="YH190" s="17"/>
      <c r="YI190" s="17"/>
      <c r="YJ190" s="17"/>
      <c r="YK190" s="17"/>
      <c r="YL190" s="17"/>
      <c r="YM190" s="17"/>
      <c r="YN190" s="17"/>
      <c r="YO190" s="17"/>
      <c r="YP190" s="17"/>
      <c r="YQ190" s="17"/>
      <c r="YR190" s="17"/>
      <c r="YS190" s="17"/>
    </row>
    <row r="191" spans="266:669" x14ac:dyDescent="0.25">
      <c r="JF191" s="17"/>
      <c r="JG191" s="17"/>
      <c r="JH191" s="17"/>
      <c r="JI191" s="17"/>
      <c r="JJ191" s="17"/>
      <c r="JK191" s="17"/>
      <c r="JL191" s="17"/>
      <c r="JM191" s="17"/>
      <c r="JN191" s="17"/>
      <c r="JO191" s="17"/>
      <c r="JP191" s="17"/>
      <c r="JQ191" s="17"/>
      <c r="JR191" s="17"/>
      <c r="JS191" s="17"/>
      <c r="JT191" s="17"/>
      <c r="JU191" s="17"/>
      <c r="JV191" s="17"/>
      <c r="JW191" s="17"/>
      <c r="JX191" s="17"/>
      <c r="JY191" s="17"/>
      <c r="JZ191" s="17"/>
      <c r="KA191" s="17"/>
      <c r="KB191" s="17"/>
      <c r="KC191" s="17"/>
      <c r="KD191" s="17"/>
      <c r="KE191" s="17"/>
      <c r="KF191" s="17"/>
      <c r="KG191" s="17"/>
      <c r="KH191" s="17"/>
      <c r="KI191" s="17"/>
      <c r="KJ191" s="17"/>
      <c r="KK191" s="17"/>
      <c r="KL191" s="17"/>
      <c r="KM191" s="17"/>
      <c r="KN191" s="17"/>
      <c r="KO191" s="17"/>
      <c r="KP191" s="17"/>
      <c r="KQ191" s="17"/>
      <c r="KR191" s="17"/>
      <c r="KS191" s="17"/>
      <c r="KT191" s="17"/>
      <c r="KU191" s="17"/>
      <c r="KV191" s="17"/>
      <c r="KW191" s="17"/>
      <c r="KX191" s="17"/>
      <c r="KY191" s="17"/>
      <c r="KZ191" s="17"/>
      <c r="LA191" s="17"/>
      <c r="LB191" s="17"/>
      <c r="LC191" s="17"/>
      <c r="LD191" s="17"/>
      <c r="LE191" s="17"/>
      <c r="LF191" s="17"/>
      <c r="LG191" s="17"/>
      <c r="LH191" s="17"/>
      <c r="LI191" s="17"/>
      <c r="LJ191" s="17"/>
      <c r="LK191" s="17"/>
      <c r="LL191" s="17"/>
      <c r="LM191" s="17"/>
      <c r="LN191" s="17"/>
      <c r="LO191" s="17"/>
      <c r="LP191" s="17"/>
      <c r="LQ191" s="17"/>
      <c r="LR191" s="17"/>
      <c r="LS191" s="17"/>
      <c r="LT191" s="17"/>
      <c r="LU191" s="17"/>
      <c r="LV191" s="17"/>
      <c r="LW191" s="17"/>
      <c r="LX191" s="17"/>
      <c r="LY191" s="17"/>
      <c r="LZ191" s="17"/>
      <c r="MA191" s="17"/>
      <c r="MB191" s="17"/>
      <c r="MC191" s="17"/>
      <c r="MD191" s="17"/>
      <c r="ME191" s="17"/>
      <c r="MF191" s="17"/>
      <c r="MG191" s="17"/>
      <c r="MH191" s="17"/>
      <c r="MI191" s="17"/>
      <c r="MJ191" s="17"/>
      <c r="MK191" s="17"/>
      <c r="ML191" s="17"/>
      <c r="MM191" s="17"/>
      <c r="MN191" s="17"/>
      <c r="MO191" s="17"/>
      <c r="MP191" s="17"/>
      <c r="MQ191" s="17"/>
      <c r="MR191" s="17"/>
      <c r="MS191" s="17"/>
      <c r="MT191" s="17"/>
      <c r="MU191" s="17"/>
      <c r="MV191" s="17"/>
      <c r="MW191" s="17"/>
      <c r="MX191" s="17"/>
      <c r="MY191" s="17"/>
      <c r="MZ191" s="17"/>
      <c r="NA191" s="17"/>
      <c r="NB191" s="17"/>
      <c r="NC191" s="17"/>
      <c r="ND191" s="17"/>
      <c r="NE191" s="17"/>
      <c r="NF191" s="17"/>
      <c r="NG191" s="17"/>
      <c r="NH191" s="17"/>
      <c r="NI191" s="17"/>
      <c r="NJ191" s="17"/>
      <c r="NK191" s="17"/>
      <c r="NL191" s="17"/>
      <c r="NM191" s="17"/>
      <c r="NN191" s="17"/>
      <c r="NO191" s="17"/>
      <c r="NP191" s="17"/>
      <c r="NQ191" s="17"/>
      <c r="NR191" s="17"/>
      <c r="NS191" s="17"/>
      <c r="NT191" s="17"/>
      <c r="NU191" s="17"/>
      <c r="NV191" s="17"/>
      <c r="NW191" s="17"/>
      <c r="NX191" s="17"/>
      <c r="NY191" s="17"/>
      <c r="NZ191" s="17"/>
      <c r="OA191" s="17"/>
      <c r="OB191" s="17"/>
      <c r="OC191" s="17"/>
      <c r="OD191" s="17"/>
      <c r="OE191" s="17"/>
      <c r="OF191" s="17"/>
      <c r="OG191" s="17"/>
      <c r="OH191" s="17"/>
      <c r="OI191" s="17"/>
      <c r="OJ191" s="17"/>
      <c r="OK191" s="17"/>
      <c r="OL191" s="17"/>
      <c r="OM191" s="17"/>
      <c r="ON191" s="17"/>
      <c r="OO191" s="17"/>
      <c r="OP191" s="17"/>
      <c r="OQ191" s="17"/>
      <c r="OR191" s="17"/>
      <c r="OS191" s="17"/>
      <c r="OT191" s="17"/>
      <c r="OU191" s="17"/>
      <c r="OV191" s="17"/>
      <c r="OW191" s="17"/>
      <c r="OX191" s="17"/>
      <c r="OY191" s="17"/>
      <c r="OZ191" s="17"/>
      <c r="PA191" s="17"/>
      <c r="PB191" s="17"/>
      <c r="PC191" s="17"/>
      <c r="PD191" s="17"/>
      <c r="PE191" s="17"/>
      <c r="PF191" s="17"/>
      <c r="PG191" s="17"/>
      <c r="PH191" s="17"/>
      <c r="PI191" s="17"/>
      <c r="PJ191" s="17"/>
      <c r="PK191" s="17"/>
      <c r="PL191" s="17"/>
      <c r="PM191" s="17"/>
      <c r="PN191" s="17"/>
      <c r="PO191" s="17"/>
      <c r="PP191" s="17"/>
      <c r="PQ191" s="17"/>
      <c r="PR191" s="17"/>
      <c r="PS191" s="17"/>
      <c r="PT191" s="17"/>
      <c r="PU191" s="17"/>
      <c r="PV191" s="17"/>
      <c r="PW191" s="17"/>
      <c r="PX191" s="17"/>
      <c r="PY191" s="17"/>
      <c r="PZ191" s="17"/>
      <c r="QA191" s="17"/>
      <c r="QB191" s="17"/>
      <c r="QC191" s="17"/>
      <c r="QD191" s="17"/>
      <c r="QE191" s="17"/>
      <c r="QF191" s="17"/>
      <c r="QG191" s="17"/>
      <c r="QH191" s="17"/>
      <c r="QI191" s="17"/>
      <c r="QJ191" s="17"/>
      <c r="QK191" s="17"/>
      <c r="QL191" s="17"/>
      <c r="QM191" s="17"/>
      <c r="QN191" s="17"/>
      <c r="QO191" s="17"/>
      <c r="QP191" s="17"/>
      <c r="QQ191" s="17"/>
      <c r="QR191" s="17"/>
      <c r="QS191" s="17"/>
      <c r="QT191" s="17"/>
      <c r="QU191" s="17"/>
      <c r="QV191" s="17"/>
      <c r="QW191" s="17"/>
      <c r="QX191" s="17"/>
      <c r="QY191" s="17"/>
      <c r="QZ191" s="17"/>
      <c r="RA191" s="17"/>
      <c r="RB191" s="17"/>
      <c r="RC191" s="17"/>
      <c r="RD191" s="17"/>
      <c r="RE191" s="17"/>
      <c r="RF191" s="17"/>
      <c r="RG191" s="17"/>
      <c r="RH191" s="17"/>
      <c r="RI191" s="17"/>
      <c r="RJ191" s="17"/>
      <c r="RK191" s="17"/>
      <c r="RL191" s="17"/>
      <c r="RM191" s="17"/>
      <c r="RN191" s="17"/>
      <c r="RO191" s="17"/>
      <c r="RP191" s="17"/>
      <c r="RQ191" s="17"/>
      <c r="RR191" s="17"/>
      <c r="RS191" s="17"/>
      <c r="RT191" s="17"/>
      <c r="RU191" s="17"/>
      <c r="RV191" s="17"/>
      <c r="RW191" s="17"/>
      <c r="RX191" s="17"/>
      <c r="RY191" s="17"/>
      <c r="RZ191" s="17"/>
      <c r="SA191" s="17"/>
      <c r="SB191" s="17"/>
      <c r="SC191" s="17"/>
      <c r="SD191" s="17"/>
      <c r="SE191" s="17"/>
      <c r="SF191" s="17"/>
      <c r="SG191" s="17"/>
      <c r="SH191" s="17"/>
      <c r="SI191" s="17"/>
      <c r="SJ191" s="17"/>
      <c r="SK191" s="17"/>
      <c r="SL191" s="17"/>
      <c r="SM191" s="17"/>
      <c r="SN191" s="17"/>
      <c r="SO191" s="17"/>
      <c r="SP191" s="17"/>
      <c r="SQ191" s="17"/>
      <c r="SR191" s="17"/>
      <c r="SS191" s="17"/>
      <c r="ST191" s="17"/>
      <c r="SU191" s="17"/>
      <c r="SV191" s="17"/>
      <c r="SW191" s="17"/>
      <c r="SX191" s="17"/>
      <c r="SY191" s="17"/>
      <c r="SZ191" s="17"/>
      <c r="TA191" s="17"/>
      <c r="TB191" s="17"/>
      <c r="TC191" s="17"/>
      <c r="TD191" s="17"/>
      <c r="TE191" s="17"/>
      <c r="TF191" s="17"/>
      <c r="TG191" s="17"/>
      <c r="TH191" s="17"/>
      <c r="TI191" s="17"/>
      <c r="TJ191" s="17"/>
      <c r="TK191" s="17"/>
      <c r="TL191" s="17"/>
      <c r="TM191" s="17"/>
      <c r="TN191" s="17"/>
      <c r="TO191" s="17"/>
      <c r="TP191" s="17"/>
      <c r="TQ191" s="17"/>
      <c r="TR191" s="17"/>
      <c r="TS191" s="17"/>
      <c r="TT191" s="17"/>
      <c r="TU191" s="17"/>
      <c r="TV191" s="17"/>
      <c r="TW191" s="17"/>
      <c r="TX191" s="17"/>
      <c r="TY191" s="17"/>
      <c r="TZ191" s="17"/>
      <c r="UA191" s="17"/>
      <c r="UB191" s="17"/>
      <c r="UC191" s="17"/>
      <c r="UD191" s="17"/>
      <c r="UE191" s="17"/>
      <c r="UF191" s="17"/>
      <c r="UG191" s="17"/>
      <c r="UH191" s="17"/>
      <c r="UI191" s="17"/>
      <c r="UJ191" s="17"/>
      <c r="UK191" s="17"/>
      <c r="UL191" s="17"/>
      <c r="UM191" s="17"/>
      <c r="UN191" s="17"/>
      <c r="UO191" s="17"/>
      <c r="UP191" s="17"/>
      <c r="UQ191" s="17"/>
      <c r="UR191" s="17"/>
      <c r="US191" s="17"/>
      <c r="UT191" s="17"/>
      <c r="UU191" s="17"/>
      <c r="UV191" s="17"/>
      <c r="UW191" s="17"/>
      <c r="UX191" s="17"/>
      <c r="UY191" s="17"/>
      <c r="UZ191" s="17"/>
      <c r="VA191" s="17"/>
      <c r="VB191" s="17"/>
      <c r="VC191" s="17"/>
      <c r="VD191" s="17"/>
      <c r="VE191" s="17"/>
      <c r="VF191" s="17"/>
      <c r="VG191" s="17"/>
      <c r="VH191" s="17"/>
      <c r="VI191" s="17"/>
      <c r="VJ191" s="17"/>
      <c r="VK191" s="17"/>
      <c r="VL191" s="17"/>
      <c r="VM191" s="17"/>
      <c r="VN191" s="17"/>
      <c r="VO191" s="17"/>
      <c r="VP191" s="17"/>
      <c r="VQ191" s="17"/>
      <c r="VR191" s="17"/>
      <c r="VS191" s="17"/>
      <c r="VT191" s="17"/>
      <c r="VU191" s="17"/>
      <c r="VV191" s="17"/>
      <c r="VW191" s="17"/>
      <c r="VX191" s="17"/>
      <c r="VY191" s="17"/>
      <c r="VZ191" s="17"/>
      <c r="WA191" s="17"/>
      <c r="WB191" s="17"/>
      <c r="WC191" s="17"/>
      <c r="WD191" s="17"/>
      <c r="WE191" s="17"/>
      <c r="WF191" s="17"/>
      <c r="WG191" s="17"/>
      <c r="WH191" s="17"/>
      <c r="WI191" s="17"/>
      <c r="WJ191" s="17"/>
      <c r="WK191" s="17"/>
      <c r="WL191" s="17"/>
      <c r="WM191" s="17"/>
      <c r="WN191" s="17"/>
      <c r="WO191" s="17"/>
      <c r="WP191" s="17"/>
      <c r="WQ191" s="17"/>
      <c r="WR191" s="17"/>
      <c r="WS191" s="17"/>
      <c r="WT191" s="17"/>
      <c r="WU191" s="17"/>
      <c r="WV191" s="17"/>
      <c r="WW191" s="17"/>
      <c r="WX191" s="17"/>
      <c r="WY191" s="17"/>
      <c r="WZ191" s="17"/>
      <c r="XA191" s="17"/>
      <c r="XB191" s="17"/>
      <c r="XC191" s="17"/>
      <c r="XD191" s="17"/>
      <c r="XE191" s="17"/>
      <c r="XF191" s="17"/>
      <c r="XG191" s="17"/>
      <c r="XH191" s="17"/>
      <c r="XI191" s="17"/>
      <c r="XJ191" s="17"/>
      <c r="XK191" s="17"/>
      <c r="XL191" s="17"/>
      <c r="XM191" s="17"/>
      <c r="XN191" s="17"/>
      <c r="XO191" s="17"/>
      <c r="XP191" s="17"/>
      <c r="XQ191" s="17"/>
      <c r="XR191" s="17"/>
      <c r="XS191" s="17"/>
      <c r="XT191" s="17"/>
      <c r="XU191" s="17"/>
      <c r="XV191" s="17"/>
      <c r="XW191" s="17"/>
      <c r="XX191" s="17"/>
      <c r="XY191" s="17"/>
      <c r="XZ191" s="17"/>
      <c r="YA191" s="17"/>
      <c r="YB191" s="17"/>
      <c r="YC191" s="17"/>
      <c r="YD191" s="17"/>
      <c r="YE191" s="17"/>
      <c r="YF191" s="17"/>
      <c r="YG191" s="17"/>
      <c r="YH191" s="17"/>
      <c r="YI191" s="17"/>
      <c r="YJ191" s="17"/>
      <c r="YK191" s="17"/>
      <c r="YL191" s="17"/>
      <c r="YM191" s="17"/>
      <c r="YN191" s="17"/>
      <c r="YO191" s="17"/>
      <c r="YP191" s="17"/>
      <c r="YQ191" s="17"/>
      <c r="YR191" s="17"/>
      <c r="YS191" s="17"/>
    </row>
    <row r="192" spans="266:669" x14ac:dyDescent="0.25">
      <c r="JF192" s="17"/>
      <c r="JG192" s="17"/>
      <c r="JH192" s="17"/>
      <c r="JI192" s="17"/>
      <c r="JJ192" s="17"/>
      <c r="JK192" s="17"/>
      <c r="JL192" s="17"/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17"/>
      <c r="KG192" s="17"/>
      <c r="KH192" s="17"/>
      <c r="KI192" s="17"/>
      <c r="KJ192" s="17"/>
      <c r="KK192" s="17"/>
      <c r="KL192" s="17"/>
      <c r="KM192" s="17"/>
      <c r="KN192" s="17"/>
      <c r="KO192" s="17"/>
      <c r="KP192" s="17"/>
      <c r="KQ192" s="17"/>
      <c r="KR192" s="17"/>
      <c r="KS192" s="17"/>
      <c r="KT192" s="17"/>
      <c r="KU192" s="17"/>
      <c r="KV192" s="17"/>
      <c r="KW192" s="17"/>
      <c r="KX192" s="17"/>
      <c r="KY192" s="17"/>
      <c r="KZ192" s="17"/>
      <c r="LA192" s="17"/>
      <c r="LB192" s="17"/>
      <c r="LC192" s="17"/>
      <c r="LD192" s="17"/>
      <c r="LE192" s="17"/>
      <c r="LF192" s="17"/>
      <c r="LG192" s="17"/>
      <c r="LH192" s="17"/>
      <c r="LI192" s="17"/>
      <c r="LJ192" s="17"/>
      <c r="LK192" s="17"/>
      <c r="LL192" s="17"/>
      <c r="LM192" s="17"/>
      <c r="LN192" s="17"/>
      <c r="LO192" s="17"/>
      <c r="LP192" s="17"/>
      <c r="LQ192" s="17"/>
      <c r="LR192" s="17"/>
      <c r="LS192" s="17"/>
      <c r="LT192" s="17"/>
      <c r="LU192" s="17"/>
      <c r="LV192" s="17"/>
      <c r="LW192" s="17"/>
      <c r="LX192" s="17"/>
      <c r="LY192" s="17"/>
      <c r="LZ192" s="17"/>
      <c r="MA192" s="17"/>
      <c r="MB192" s="17"/>
      <c r="MC192" s="17"/>
      <c r="MD192" s="17"/>
      <c r="ME192" s="17"/>
      <c r="MF192" s="17"/>
      <c r="MG192" s="17"/>
      <c r="MH192" s="17"/>
      <c r="MI192" s="17"/>
      <c r="MJ192" s="17"/>
      <c r="MK192" s="17"/>
      <c r="ML192" s="17"/>
      <c r="MM192" s="17"/>
      <c r="MN192" s="17"/>
      <c r="MO192" s="17"/>
      <c r="MP192" s="17"/>
      <c r="MQ192" s="17"/>
      <c r="MR192" s="17"/>
      <c r="MS192" s="17"/>
      <c r="MT192" s="17"/>
      <c r="MU192" s="17"/>
      <c r="MV192" s="17"/>
      <c r="MW192" s="17"/>
      <c r="MX192" s="17"/>
      <c r="MY192" s="17"/>
      <c r="MZ192" s="17"/>
      <c r="NA192" s="17"/>
      <c r="NB192" s="17"/>
      <c r="NC192" s="17"/>
      <c r="ND192" s="17"/>
      <c r="NE192" s="17"/>
      <c r="NF192" s="17"/>
      <c r="NG192" s="17"/>
      <c r="NH192" s="17"/>
      <c r="NI192" s="17"/>
      <c r="NJ192" s="17"/>
      <c r="NK192" s="17"/>
      <c r="NL192" s="17"/>
      <c r="NM192" s="17"/>
      <c r="NN192" s="17"/>
      <c r="NO192" s="17"/>
      <c r="NP192" s="17"/>
      <c r="NQ192" s="17"/>
      <c r="NR192" s="17"/>
      <c r="NS192" s="17"/>
      <c r="NT192" s="17"/>
      <c r="NU192" s="17"/>
      <c r="NV192" s="17"/>
      <c r="NW192" s="17"/>
      <c r="NX192" s="17"/>
      <c r="NY192" s="17"/>
      <c r="NZ192" s="17"/>
      <c r="OA192" s="17"/>
      <c r="OB192" s="17"/>
      <c r="OC192" s="17"/>
      <c r="OD192" s="17"/>
      <c r="OE192" s="17"/>
      <c r="OF192" s="17"/>
      <c r="OG192" s="17"/>
      <c r="OH192" s="17"/>
      <c r="OI192" s="17"/>
      <c r="OJ192" s="17"/>
      <c r="OK192" s="17"/>
      <c r="OL192" s="17"/>
      <c r="OM192" s="17"/>
      <c r="ON192" s="17"/>
      <c r="OO192" s="17"/>
      <c r="OP192" s="17"/>
      <c r="OQ192" s="17"/>
      <c r="OR192" s="17"/>
      <c r="OS192" s="17"/>
      <c r="OT192" s="17"/>
      <c r="OU192" s="17"/>
      <c r="OV192" s="17"/>
      <c r="OW192" s="17"/>
      <c r="OX192" s="17"/>
      <c r="OY192" s="17"/>
      <c r="OZ192" s="17"/>
      <c r="PA192" s="17"/>
      <c r="PB192" s="17"/>
      <c r="PC192" s="17"/>
      <c r="PD192" s="17"/>
      <c r="PE192" s="17"/>
      <c r="PF192" s="17"/>
      <c r="PG192" s="17"/>
      <c r="PH192" s="17"/>
      <c r="PI192" s="17"/>
      <c r="PJ192" s="17"/>
      <c r="PK192" s="17"/>
      <c r="PL192" s="17"/>
      <c r="PM192" s="17"/>
      <c r="PN192" s="17"/>
      <c r="PO192" s="17"/>
      <c r="PP192" s="17"/>
      <c r="PQ192" s="17"/>
      <c r="PR192" s="17"/>
      <c r="PS192" s="17"/>
      <c r="PT192" s="17"/>
      <c r="PU192" s="17"/>
      <c r="PV192" s="17"/>
      <c r="PW192" s="17"/>
      <c r="PX192" s="17"/>
      <c r="PY192" s="17"/>
      <c r="PZ192" s="17"/>
      <c r="QA192" s="17"/>
      <c r="QB192" s="17"/>
      <c r="QC192" s="17"/>
      <c r="QD192" s="17"/>
      <c r="QE192" s="17"/>
      <c r="QF192" s="17"/>
      <c r="QG192" s="17"/>
      <c r="QH192" s="17"/>
      <c r="QI192" s="17"/>
      <c r="QJ192" s="17"/>
      <c r="QK192" s="17"/>
      <c r="QL192" s="17"/>
      <c r="QM192" s="17"/>
      <c r="QN192" s="17"/>
      <c r="QO192" s="17"/>
      <c r="QP192" s="17"/>
      <c r="QQ192" s="17"/>
      <c r="QR192" s="17"/>
      <c r="QS192" s="17"/>
      <c r="QT192" s="17"/>
      <c r="QU192" s="17"/>
      <c r="QV192" s="17"/>
      <c r="QW192" s="17"/>
      <c r="QX192" s="17"/>
      <c r="QY192" s="17"/>
      <c r="QZ192" s="17"/>
      <c r="RA192" s="17"/>
      <c r="RB192" s="17"/>
      <c r="RC192" s="17"/>
      <c r="RD192" s="17"/>
      <c r="RE192" s="17"/>
      <c r="RF192" s="17"/>
      <c r="RG192" s="17"/>
      <c r="RH192" s="17"/>
      <c r="RI192" s="17"/>
      <c r="RJ192" s="17"/>
      <c r="RK192" s="17"/>
      <c r="RL192" s="17"/>
      <c r="RM192" s="17"/>
      <c r="RN192" s="17"/>
      <c r="RO192" s="17"/>
      <c r="RP192" s="17"/>
      <c r="RQ192" s="17"/>
      <c r="RR192" s="17"/>
      <c r="RS192" s="17"/>
      <c r="RT192" s="17"/>
      <c r="RU192" s="17"/>
      <c r="RV192" s="17"/>
      <c r="RW192" s="17"/>
      <c r="RX192" s="17"/>
      <c r="RY192" s="17"/>
      <c r="RZ192" s="17"/>
      <c r="SA192" s="17"/>
      <c r="SB192" s="17"/>
      <c r="SC192" s="17"/>
      <c r="SD192" s="17"/>
      <c r="SE192" s="17"/>
      <c r="SF192" s="17"/>
      <c r="SG192" s="17"/>
      <c r="SH192" s="17"/>
      <c r="SI192" s="17"/>
      <c r="SJ192" s="17"/>
      <c r="SK192" s="17"/>
      <c r="SL192" s="17"/>
      <c r="SM192" s="17"/>
      <c r="SN192" s="17"/>
      <c r="SO192" s="17"/>
      <c r="SP192" s="17"/>
      <c r="SQ192" s="17"/>
      <c r="SR192" s="17"/>
      <c r="SS192" s="17"/>
      <c r="ST192" s="17"/>
      <c r="SU192" s="17"/>
      <c r="SV192" s="17"/>
      <c r="SW192" s="17"/>
      <c r="SX192" s="17"/>
      <c r="SY192" s="17"/>
      <c r="SZ192" s="17"/>
      <c r="TA192" s="17"/>
      <c r="TB192" s="17"/>
      <c r="TC192" s="17"/>
      <c r="TD192" s="17"/>
      <c r="TE192" s="17"/>
      <c r="TF192" s="17"/>
      <c r="TG192" s="17"/>
      <c r="TH192" s="17"/>
      <c r="TI192" s="17"/>
      <c r="TJ192" s="17"/>
      <c r="TK192" s="17"/>
      <c r="TL192" s="17"/>
      <c r="TM192" s="17"/>
      <c r="TN192" s="17"/>
      <c r="TO192" s="17"/>
      <c r="TP192" s="17"/>
      <c r="TQ192" s="17"/>
      <c r="TR192" s="17"/>
      <c r="TS192" s="17"/>
      <c r="TT192" s="17"/>
      <c r="TU192" s="17"/>
      <c r="TV192" s="17"/>
      <c r="TW192" s="17"/>
      <c r="TX192" s="17"/>
      <c r="TY192" s="17"/>
      <c r="TZ192" s="17"/>
      <c r="UA192" s="17"/>
      <c r="UB192" s="17"/>
      <c r="UC192" s="17"/>
      <c r="UD192" s="17"/>
      <c r="UE192" s="17"/>
      <c r="UF192" s="17"/>
      <c r="UG192" s="17"/>
      <c r="UH192" s="17"/>
      <c r="UI192" s="17"/>
      <c r="UJ192" s="17"/>
      <c r="UK192" s="17"/>
      <c r="UL192" s="17"/>
      <c r="UM192" s="17"/>
      <c r="UN192" s="17"/>
      <c r="UO192" s="17"/>
      <c r="UP192" s="17"/>
      <c r="UQ192" s="17"/>
      <c r="UR192" s="17"/>
      <c r="US192" s="17"/>
      <c r="UT192" s="17"/>
      <c r="UU192" s="17"/>
      <c r="UV192" s="17"/>
      <c r="UW192" s="17"/>
      <c r="UX192" s="17"/>
      <c r="UY192" s="17"/>
      <c r="UZ192" s="17"/>
      <c r="VA192" s="17"/>
      <c r="VB192" s="17"/>
      <c r="VC192" s="17"/>
      <c r="VD192" s="17"/>
      <c r="VE192" s="17"/>
      <c r="VF192" s="17"/>
      <c r="VG192" s="17"/>
      <c r="VH192" s="17"/>
      <c r="VI192" s="17"/>
      <c r="VJ192" s="17"/>
      <c r="VK192" s="17"/>
      <c r="VL192" s="17"/>
      <c r="VM192" s="17"/>
      <c r="VN192" s="17"/>
      <c r="VO192" s="17"/>
      <c r="VP192" s="17"/>
      <c r="VQ192" s="17"/>
      <c r="VR192" s="17"/>
      <c r="VS192" s="17"/>
      <c r="VT192" s="17"/>
      <c r="VU192" s="17"/>
      <c r="VV192" s="17"/>
      <c r="VW192" s="17"/>
      <c r="VX192" s="17"/>
      <c r="VY192" s="17"/>
      <c r="VZ192" s="17"/>
      <c r="WA192" s="17"/>
      <c r="WB192" s="17"/>
      <c r="WC192" s="17"/>
      <c r="WD192" s="17"/>
      <c r="WE192" s="17"/>
      <c r="WF192" s="17"/>
      <c r="WG192" s="17"/>
      <c r="WH192" s="17"/>
      <c r="WI192" s="17"/>
      <c r="WJ192" s="17"/>
      <c r="WK192" s="17"/>
      <c r="WL192" s="17"/>
      <c r="WM192" s="17"/>
      <c r="WN192" s="17"/>
      <c r="WO192" s="17"/>
      <c r="WP192" s="17"/>
      <c r="WQ192" s="17"/>
      <c r="WR192" s="17"/>
      <c r="WS192" s="17"/>
      <c r="WT192" s="17"/>
      <c r="WU192" s="17"/>
      <c r="WV192" s="17"/>
      <c r="WW192" s="17"/>
      <c r="WX192" s="17"/>
      <c r="WY192" s="17"/>
      <c r="WZ192" s="17"/>
      <c r="XA192" s="17"/>
      <c r="XB192" s="17"/>
      <c r="XC192" s="17"/>
      <c r="XD192" s="17"/>
      <c r="XE192" s="17"/>
      <c r="XF192" s="17"/>
      <c r="XG192" s="17"/>
      <c r="XH192" s="17"/>
      <c r="XI192" s="17"/>
      <c r="XJ192" s="17"/>
      <c r="XK192" s="17"/>
      <c r="XL192" s="17"/>
      <c r="XM192" s="17"/>
      <c r="XN192" s="17"/>
      <c r="XO192" s="17"/>
      <c r="XP192" s="17"/>
      <c r="XQ192" s="17"/>
      <c r="XR192" s="17"/>
      <c r="XS192" s="17"/>
      <c r="XT192" s="17"/>
      <c r="XU192" s="17"/>
      <c r="XV192" s="17"/>
      <c r="XW192" s="17"/>
      <c r="XX192" s="17"/>
      <c r="XY192" s="17"/>
      <c r="XZ192" s="17"/>
      <c r="YA192" s="17"/>
      <c r="YB192" s="17"/>
      <c r="YC192" s="17"/>
      <c r="YD192" s="17"/>
      <c r="YE192" s="17"/>
      <c r="YF192" s="17"/>
      <c r="YG192" s="17"/>
      <c r="YH192" s="17"/>
      <c r="YI192" s="17"/>
      <c r="YJ192" s="17"/>
      <c r="YK192" s="17"/>
      <c r="YL192" s="17"/>
      <c r="YM192" s="17"/>
      <c r="YN192" s="17"/>
      <c r="YO192" s="17"/>
      <c r="YP192" s="17"/>
      <c r="YQ192" s="17"/>
      <c r="YR192" s="17"/>
      <c r="YS192" s="17"/>
    </row>
    <row r="193" spans="266:669" x14ac:dyDescent="0.25">
      <c r="JF193" s="17"/>
      <c r="JG193" s="17"/>
      <c r="JH193" s="17"/>
      <c r="JI193" s="17"/>
      <c r="JJ193" s="17"/>
      <c r="JK193" s="17"/>
      <c r="JL193" s="17"/>
      <c r="JM193" s="17"/>
      <c r="JN193" s="17"/>
      <c r="JO193" s="17"/>
      <c r="JP193" s="17"/>
      <c r="JQ193" s="17"/>
      <c r="JR193" s="17"/>
      <c r="JS193" s="17"/>
      <c r="JT193" s="17"/>
      <c r="JU193" s="17"/>
      <c r="JV193" s="17"/>
      <c r="JW193" s="17"/>
      <c r="JX193" s="17"/>
      <c r="JY193" s="17"/>
      <c r="JZ193" s="17"/>
      <c r="KA193" s="17"/>
      <c r="KB193" s="17"/>
      <c r="KC193" s="17"/>
      <c r="KD193" s="17"/>
      <c r="KE193" s="17"/>
      <c r="KF193" s="17"/>
      <c r="KG193" s="17"/>
      <c r="KH193" s="17"/>
      <c r="KI193" s="17"/>
      <c r="KJ193" s="17"/>
      <c r="KK193" s="17"/>
      <c r="KL193" s="17"/>
      <c r="KM193" s="17"/>
      <c r="KN193" s="17"/>
      <c r="KO193" s="17"/>
      <c r="KP193" s="17"/>
      <c r="KQ193" s="17"/>
      <c r="KR193" s="17"/>
      <c r="KS193" s="17"/>
      <c r="KT193" s="17"/>
      <c r="KU193" s="17"/>
      <c r="KV193" s="17"/>
      <c r="KW193" s="17"/>
      <c r="KX193" s="17"/>
      <c r="KY193" s="17"/>
      <c r="KZ193" s="17"/>
      <c r="LA193" s="17"/>
      <c r="LB193" s="17"/>
      <c r="LC193" s="17"/>
      <c r="LD193" s="17"/>
      <c r="LE193" s="17"/>
      <c r="LF193" s="17"/>
      <c r="LG193" s="17"/>
      <c r="LH193" s="17"/>
      <c r="LI193" s="17"/>
      <c r="LJ193" s="17"/>
      <c r="LK193" s="17"/>
      <c r="LL193" s="17"/>
      <c r="LM193" s="17"/>
      <c r="LN193" s="17"/>
      <c r="LO193" s="17"/>
      <c r="LP193" s="17"/>
      <c r="LQ193" s="17"/>
      <c r="LR193" s="17"/>
      <c r="LS193" s="17"/>
      <c r="LT193" s="17"/>
      <c r="LU193" s="17"/>
      <c r="LV193" s="17"/>
      <c r="LW193" s="17"/>
      <c r="LX193" s="17"/>
      <c r="LY193" s="17"/>
      <c r="LZ193" s="17"/>
      <c r="MA193" s="17"/>
      <c r="MB193" s="17"/>
      <c r="MC193" s="17"/>
      <c r="MD193" s="17"/>
      <c r="ME193" s="17"/>
      <c r="MF193" s="17"/>
      <c r="MG193" s="17"/>
      <c r="MH193" s="17"/>
      <c r="MI193" s="17"/>
      <c r="MJ193" s="17"/>
      <c r="MK193" s="17"/>
      <c r="ML193" s="17"/>
      <c r="MM193" s="17"/>
      <c r="MN193" s="17"/>
      <c r="MO193" s="17"/>
      <c r="MP193" s="17"/>
      <c r="MQ193" s="17"/>
      <c r="MR193" s="17"/>
      <c r="MS193" s="17"/>
      <c r="MT193" s="17"/>
      <c r="MU193" s="17"/>
      <c r="MV193" s="17"/>
      <c r="MW193" s="17"/>
      <c r="MX193" s="17"/>
      <c r="MY193" s="17"/>
      <c r="MZ193" s="17"/>
      <c r="NA193" s="17"/>
      <c r="NB193" s="17"/>
      <c r="NC193" s="17"/>
      <c r="ND193" s="17"/>
      <c r="NE193" s="17"/>
      <c r="NF193" s="17"/>
      <c r="NG193" s="17"/>
      <c r="NH193" s="17"/>
      <c r="NI193" s="17"/>
      <c r="NJ193" s="17"/>
      <c r="NK193" s="17"/>
      <c r="NL193" s="17"/>
      <c r="NM193" s="17"/>
      <c r="NN193" s="17"/>
      <c r="NO193" s="17"/>
      <c r="NP193" s="17"/>
      <c r="NQ193" s="17"/>
      <c r="NR193" s="17"/>
      <c r="NS193" s="17"/>
      <c r="NT193" s="17"/>
      <c r="NU193" s="17"/>
      <c r="NV193" s="17"/>
      <c r="NW193" s="17"/>
      <c r="NX193" s="17"/>
      <c r="NY193" s="17"/>
      <c r="NZ193" s="17"/>
      <c r="OA193" s="17"/>
      <c r="OB193" s="17"/>
      <c r="OC193" s="17"/>
      <c r="OD193" s="17"/>
      <c r="OE193" s="17"/>
      <c r="OF193" s="17"/>
      <c r="OG193" s="17"/>
      <c r="OH193" s="17"/>
      <c r="OI193" s="17"/>
      <c r="OJ193" s="17"/>
      <c r="OK193" s="17"/>
      <c r="OL193" s="17"/>
      <c r="OM193" s="17"/>
      <c r="ON193" s="17"/>
      <c r="OO193" s="17"/>
      <c r="OP193" s="17"/>
      <c r="OQ193" s="17"/>
      <c r="OR193" s="17"/>
      <c r="OS193" s="17"/>
      <c r="OT193" s="17"/>
      <c r="OU193" s="17"/>
      <c r="OV193" s="17"/>
      <c r="OW193" s="17"/>
      <c r="OX193" s="17"/>
      <c r="OY193" s="17"/>
      <c r="OZ193" s="17"/>
      <c r="PA193" s="17"/>
      <c r="PB193" s="17"/>
      <c r="PC193" s="17"/>
      <c r="PD193" s="17"/>
      <c r="PE193" s="17"/>
      <c r="PF193" s="17"/>
      <c r="PG193" s="17"/>
      <c r="PH193" s="17"/>
      <c r="PI193" s="17"/>
      <c r="PJ193" s="17"/>
      <c r="PK193" s="17"/>
      <c r="PL193" s="17"/>
      <c r="PM193" s="17"/>
      <c r="PN193" s="17"/>
      <c r="PO193" s="17"/>
      <c r="PP193" s="17"/>
      <c r="PQ193" s="17"/>
      <c r="PR193" s="17"/>
      <c r="PS193" s="17"/>
      <c r="PT193" s="17"/>
      <c r="PU193" s="17"/>
      <c r="PV193" s="17"/>
      <c r="PW193" s="17"/>
      <c r="PX193" s="17"/>
      <c r="PY193" s="17"/>
      <c r="PZ193" s="17"/>
      <c r="QA193" s="17"/>
      <c r="QB193" s="17"/>
      <c r="QC193" s="17"/>
      <c r="QD193" s="17"/>
      <c r="QE193" s="17"/>
      <c r="QF193" s="17"/>
      <c r="QG193" s="17"/>
      <c r="QH193" s="17"/>
      <c r="QI193" s="17"/>
      <c r="QJ193" s="17"/>
      <c r="QK193" s="17"/>
      <c r="QL193" s="17"/>
      <c r="QM193" s="17"/>
      <c r="QN193" s="17"/>
      <c r="QO193" s="17"/>
      <c r="QP193" s="17"/>
      <c r="QQ193" s="17"/>
      <c r="QR193" s="17"/>
      <c r="QS193" s="17"/>
      <c r="QT193" s="17"/>
      <c r="QU193" s="17"/>
      <c r="QV193" s="17"/>
      <c r="QW193" s="17"/>
      <c r="QX193" s="17"/>
      <c r="QY193" s="17"/>
      <c r="QZ193" s="17"/>
      <c r="RA193" s="17"/>
      <c r="RB193" s="17"/>
      <c r="RC193" s="17"/>
      <c r="RD193" s="17"/>
      <c r="RE193" s="17"/>
      <c r="RF193" s="17"/>
      <c r="RG193" s="17"/>
      <c r="RH193" s="17"/>
      <c r="RI193" s="17"/>
      <c r="RJ193" s="17"/>
      <c r="RK193" s="17"/>
      <c r="RL193" s="17"/>
      <c r="RM193" s="17"/>
      <c r="RN193" s="17"/>
      <c r="RO193" s="17"/>
      <c r="RP193" s="17"/>
      <c r="RQ193" s="17"/>
      <c r="RR193" s="17"/>
      <c r="RS193" s="17"/>
      <c r="RT193" s="17"/>
      <c r="RU193" s="17"/>
      <c r="RV193" s="17"/>
      <c r="RW193" s="17"/>
      <c r="RX193" s="17"/>
      <c r="RY193" s="17"/>
      <c r="RZ193" s="17"/>
      <c r="SA193" s="17"/>
      <c r="SB193" s="17"/>
      <c r="SC193" s="17"/>
      <c r="SD193" s="17"/>
      <c r="SE193" s="17"/>
      <c r="SF193" s="17"/>
      <c r="SG193" s="17"/>
      <c r="SH193" s="17"/>
      <c r="SI193" s="17"/>
      <c r="SJ193" s="17"/>
      <c r="SK193" s="17"/>
      <c r="SL193" s="17"/>
      <c r="SM193" s="17"/>
      <c r="SN193" s="17"/>
      <c r="SO193" s="17"/>
      <c r="SP193" s="17"/>
      <c r="SQ193" s="17"/>
      <c r="SR193" s="17"/>
      <c r="SS193" s="17"/>
      <c r="ST193" s="17"/>
      <c r="SU193" s="17"/>
      <c r="SV193" s="17"/>
      <c r="SW193" s="17"/>
      <c r="SX193" s="17"/>
      <c r="SY193" s="17"/>
      <c r="SZ193" s="17"/>
      <c r="TA193" s="17"/>
      <c r="TB193" s="17"/>
      <c r="TC193" s="17"/>
      <c r="TD193" s="17"/>
      <c r="TE193" s="17"/>
      <c r="TF193" s="17"/>
      <c r="TG193" s="17"/>
      <c r="TH193" s="17"/>
      <c r="TI193" s="17"/>
      <c r="TJ193" s="17"/>
      <c r="TK193" s="17"/>
      <c r="TL193" s="17"/>
      <c r="TM193" s="17"/>
      <c r="TN193" s="17"/>
      <c r="TO193" s="17"/>
      <c r="TP193" s="17"/>
      <c r="TQ193" s="17"/>
      <c r="TR193" s="17"/>
      <c r="TS193" s="17"/>
      <c r="TT193" s="17"/>
      <c r="TU193" s="17"/>
      <c r="TV193" s="17"/>
      <c r="TW193" s="17"/>
      <c r="TX193" s="17"/>
      <c r="TY193" s="17"/>
      <c r="TZ193" s="17"/>
      <c r="UA193" s="17"/>
      <c r="UB193" s="17"/>
      <c r="UC193" s="17"/>
      <c r="UD193" s="17"/>
      <c r="UE193" s="17"/>
      <c r="UF193" s="17"/>
      <c r="UG193" s="17"/>
      <c r="UH193" s="17"/>
      <c r="UI193" s="17"/>
      <c r="UJ193" s="17"/>
      <c r="UK193" s="17"/>
      <c r="UL193" s="17"/>
      <c r="UM193" s="17"/>
      <c r="UN193" s="17"/>
      <c r="UO193" s="17"/>
      <c r="UP193" s="17"/>
      <c r="UQ193" s="17"/>
      <c r="UR193" s="17"/>
      <c r="US193" s="17"/>
      <c r="UT193" s="17"/>
      <c r="UU193" s="17"/>
      <c r="UV193" s="17"/>
      <c r="UW193" s="17"/>
      <c r="UX193" s="17"/>
      <c r="UY193" s="17"/>
      <c r="UZ193" s="17"/>
      <c r="VA193" s="17"/>
      <c r="VB193" s="17"/>
      <c r="VC193" s="17"/>
      <c r="VD193" s="17"/>
      <c r="VE193" s="17"/>
      <c r="VF193" s="17"/>
      <c r="VG193" s="17"/>
      <c r="VH193" s="17"/>
      <c r="VI193" s="17"/>
      <c r="VJ193" s="17"/>
      <c r="VK193" s="17"/>
      <c r="VL193" s="17"/>
      <c r="VM193" s="17"/>
      <c r="VN193" s="17"/>
      <c r="VO193" s="17"/>
      <c r="VP193" s="17"/>
      <c r="VQ193" s="17"/>
      <c r="VR193" s="17"/>
      <c r="VS193" s="17"/>
      <c r="VT193" s="17"/>
      <c r="VU193" s="17"/>
      <c r="VV193" s="17"/>
      <c r="VW193" s="17"/>
      <c r="VX193" s="17"/>
      <c r="VY193" s="17"/>
      <c r="VZ193" s="17"/>
      <c r="WA193" s="17"/>
      <c r="WB193" s="17"/>
      <c r="WC193" s="17"/>
      <c r="WD193" s="17"/>
      <c r="WE193" s="17"/>
      <c r="WF193" s="17"/>
      <c r="WG193" s="17"/>
      <c r="WH193" s="17"/>
      <c r="WI193" s="17"/>
      <c r="WJ193" s="17"/>
      <c r="WK193" s="17"/>
      <c r="WL193" s="17"/>
      <c r="WM193" s="17"/>
      <c r="WN193" s="17"/>
      <c r="WO193" s="17"/>
      <c r="WP193" s="17"/>
      <c r="WQ193" s="17"/>
      <c r="WR193" s="17"/>
      <c r="WS193" s="17"/>
      <c r="WT193" s="17"/>
      <c r="WU193" s="17"/>
      <c r="WV193" s="17"/>
      <c r="WW193" s="17"/>
      <c r="WX193" s="17"/>
      <c r="WY193" s="17"/>
      <c r="WZ193" s="17"/>
      <c r="XA193" s="17"/>
      <c r="XB193" s="17"/>
      <c r="XC193" s="17"/>
      <c r="XD193" s="17"/>
      <c r="XE193" s="17"/>
      <c r="XF193" s="17"/>
      <c r="XG193" s="17"/>
      <c r="XH193" s="17"/>
      <c r="XI193" s="17"/>
      <c r="XJ193" s="17"/>
      <c r="XK193" s="17"/>
      <c r="XL193" s="17"/>
      <c r="XM193" s="17"/>
      <c r="XN193" s="17"/>
      <c r="XO193" s="17"/>
      <c r="XP193" s="17"/>
      <c r="XQ193" s="17"/>
      <c r="XR193" s="17"/>
      <c r="XS193" s="17"/>
      <c r="XT193" s="17"/>
      <c r="XU193" s="17"/>
      <c r="XV193" s="17"/>
      <c r="XW193" s="17"/>
      <c r="XX193" s="17"/>
      <c r="XY193" s="17"/>
      <c r="XZ193" s="17"/>
      <c r="YA193" s="17"/>
      <c r="YB193" s="17"/>
      <c r="YC193" s="17"/>
      <c r="YD193" s="17"/>
      <c r="YE193" s="17"/>
      <c r="YF193" s="17"/>
      <c r="YG193" s="17"/>
      <c r="YH193" s="17"/>
      <c r="YI193" s="17"/>
      <c r="YJ193" s="17"/>
      <c r="YK193" s="17"/>
      <c r="YL193" s="17"/>
      <c r="YM193" s="17"/>
      <c r="YN193" s="17"/>
      <c r="YO193" s="17"/>
      <c r="YP193" s="17"/>
      <c r="YQ193" s="17"/>
      <c r="YR193" s="17"/>
      <c r="YS193" s="17"/>
    </row>
    <row r="194" spans="266:669" x14ac:dyDescent="0.25">
      <c r="JF194" s="17"/>
      <c r="JG194" s="17"/>
      <c r="JH194" s="17"/>
      <c r="JI194" s="17"/>
      <c r="JJ194" s="17"/>
      <c r="JK194" s="17"/>
      <c r="JL194" s="17"/>
      <c r="JM194" s="17"/>
      <c r="JN194" s="17"/>
      <c r="JO194" s="17"/>
      <c r="JP194" s="17"/>
      <c r="JQ194" s="17"/>
      <c r="JR194" s="17"/>
      <c r="JS194" s="17"/>
      <c r="JT194" s="17"/>
      <c r="JU194" s="17"/>
      <c r="JV194" s="17"/>
      <c r="JW194" s="17"/>
      <c r="JX194" s="17"/>
      <c r="JY194" s="17"/>
      <c r="JZ194" s="17"/>
      <c r="KA194" s="17"/>
      <c r="KB194" s="17"/>
      <c r="KC194" s="17"/>
      <c r="KD194" s="17"/>
      <c r="KE194" s="17"/>
      <c r="KF194" s="17"/>
      <c r="KG194" s="17"/>
      <c r="KH194" s="17"/>
      <c r="KI194" s="17"/>
      <c r="KJ194" s="17"/>
      <c r="KK194" s="17"/>
      <c r="KL194" s="17"/>
      <c r="KM194" s="17"/>
      <c r="KN194" s="17"/>
      <c r="KO194" s="17"/>
      <c r="KP194" s="17"/>
      <c r="KQ194" s="17"/>
      <c r="KR194" s="17"/>
      <c r="KS194" s="17"/>
      <c r="KT194" s="17"/>
      <c r="KU194" s="17"/>
      <c r="KV194" s="17"/>
      <c r="KW194" s="17"/>
      <c r="KX194" s="17"/>
      <c r="KY194" s="17"/>
      <c r="KZ194" s="17"/>
      <c r="LA194" s="17"/>
      <c r="LB194" s="17"/>
      <c r="LC194" s="17"/>
      <c r="LD194" s="17"/>
      <c r="LE194" s="17"/>
      <c r="LF194" s="17"/>
      <c r="LG194" s="17"/>
      <c r="LH194" s="17"/>
      <c r="LI194" s="17"/>
      <c r="LJ194" s="17"/>
      <c r="LK194" s="17"/>
      <c r="LL194" s="17"/>
      <c r="LM194" s="17"/>
      <c r="LN194" s="17"/>
      <c r="LO194" s="17"/>
      <c r="LP194" s="17"/>
      <c r="LQ194" s="17"/>
      <c r="LR194" s="17"/>
      <c r="LS194" s="17"/>
      <c r="LT194" s="17"/>
      <c r="LU194" s="17"/>
      <c r="LV194" s="17"/>
      <c r="LW194" s="17"/>
      <c r="LX194" s="17"/>
      <c r="LY194" s="17"/>
      <c r="LZ194" s="17"/>
      <c r="MA194" s="17"/>
      <c r="MB194" s="17"/>
      <c r="MC194" s="17"/>
      <c r="MD194" s="17"/>
      <c r="ME194" s="17"/>
      <c r="MF194" s="17"/>
      <c r="MG194" s="17"/>
      <c r="MH194" s="17"/>
      <c r="MI194" s="17"/>
      <c r="MJ194" s="17"/>
      <c r="MK194" s="17"/>
      <c r="ML194" s="17"/>
      <c r="MM194" s="17"/>
      <c r="MN194" s="17"/>
      <c r="MO194" s="17"/>
      <c r="MP194" s="17"/>
      <c r="MQ194" s="17"/>
      <c r="MR194" s="17"/>
      <c r="MS194" s="17"/>
      <c r="MT194" s="17"/>
      <c r="MU194" s="17"/>
      <c r="MV194" s="17"/>
      <c r="MW194" s="17"/>
      <c r="MX194" s="17"/>
      <c r="MY194" s="17"/>
      <c r="MZ194" s="17"/>
      <c r="NA194" s="17"/>
      <c r="NB194" s="17"/>
      <c r="NC194" s="17"/>
      <c r="ND194" s="17"/>
      <c r="NE194" s="17"/>
      <c r="NF194" s="17"/>
      <c r="NG194" s="17"/>
      <c r="NH194" s="17"/>
      <c r="NI194" s="17"/>
      <c r="NJ194" s="17"/>
      <c r="NK194" s="17"/>
      <c r="NL194" s="17"/>
      <c r="NM194" s="17"/>
      <c r="NN194" s="17"/>
      <c r="NO194" s="17"/>
      <c r="NP194" s="17"/>
      <c r="NQ194" s="17"/>
      <c r="NR194" s="17"/>
      <c r="NS194" s="17"/>
      <c r="NT194" s="17"/>
      <c r="NU194" s="17"/>
      <c r="NV194" s="17"/>
      <c r="NW194" s="17"/>
      <c r="NX194" s="17"/>
      <c r="NY194" s="17"/>
      <c r="NZ194" s="17"/>
      <c r="OA194" s="17"/>
      <c r="OB194" s="17"/>
      <c r="OC194" s="17"/>
      <c r="OD194" s="17"/>
      <c r="OE194" s="17"/>
      <c r="OF194" s="17"/>
      <c r="OG194" s="17"/>
      <c r="OH194" s="17"/>
      <c r="OI194" s="17"/>
      <c r="OJ194" s="17"/>
      <c r="OK194" s="17"/>
      <c r="OL194" s="17"/>
      <c r="OM194" s="17"/>
      <c r="ON194" s="17"/>
      <c r="OO194" s="17"/>
      <c r="OP194" s="17"/>
      <c r="OQ194" s="17"/>
      <c r="OR194" s="17"/>
      <c r="OS194" s="17"/>
      <c r="OT194" s="17"/>
      <c r="OU194" s="17"/>
      <c r="OV194" s="17"/>
      <c r="OW194" s="17"/>
      <c r="OX194" s="17"/>
      <c r="OY194" s="17"/>
      <c r="OZ194" s="17"/>
      <c r="PA194" s="17"/>
      <c r="PB194" s="17"/>
      <c r="PC194" s="17"/>
      <c r="PD194" s="17"/>
      <c r="PE194" s="17"/>
      <c r="PF194" s="17"/>
      <c r="PG194" s="17"/>
      <c r="PH194" s="17"/>
      <c r="PI194" s="17"/>
      <c r="PJ194" s="17"/>
      <c r="PK194" s="17"/>
      <c r="PL194" s="17"/>
      <c r="PM194" s="17"/>
      <c r="PN194" s="17"/>
      <c r="PO194" s="17"/>
      <c r="PP194" s="17"/>
      <c r="PQ194" s="17"/>
      <c r="PR194" s="17"/>
      <c r="PS194" s="17"/>
      <c r="PT194" s="17"/>
      <c r="PU194" s="17"/>
      <c r="PV194" s="17"/>
      <c r="PW194" s="17"/>
      <c r="PX194" s="17"/>
      <c r="PY194" s="17"/>
      <c r="PZ194" s="17"/>
      <c r="QA194" s="17"/>
      <c r="QB194" s="17"/>
      <c r="QC194" s="17"/>
      <c r="QD194" s="17"/>
      <c r="QE194" s="17"/>
      <c r="QF194" s="17"/>
      <c r="QG194" s="17"/>
      <c r="QH194" s="17"/>
      <c r="QI194" s="17"/>
      <c r="QJ194" s="17"/>
      <c r="QK194" s="17"/>
      <c r="QL194" s="17"/>
      <c r="QM194" s="17"/>
      <c r="QN194" s="17"/>
      <c r="QO194" s="17"/>
      <c r="QP194" s="17"/>
      <c r="QQ194" s="17"/>
      <c r="QR194" s="17"/>
      <c r="QS194" s="17"/>
      <c r="QT194" s="17"/>
      <c r="QU194" s="17"/>
      <c r="QV194" s="17"/>
      <c r="QW194" s="17"/>
      <c r="QX194" s="17"/>
      <c r="QY194" s="17"/>
      <c r="QZ194" s="17"/>
      <c r="RA194" s="17"/>
      <c r="RB194" s="17"/>
      <c r="RC194" s="17"/>
      <c r="RD194" s="17"/>
      <c r="RE194" s="17"/>
      <c r="RF194" s="17"/>
      <c r="RG194" s="17"/>
      <c r="RH194" s="17"/>
      <c r="RI194" s="17"/>
      <c r="RJ194" s="17"/>
      <c r="RK194" s="17"/>
      <c r="RL194" s="17"/>
      <c r="RM194" s="17"/>
      <c r="RN194" s="17"/>
      <c r="RO194" s="17"/>
      <c r="RP194" s="17"/>
      <c r="RQ194" s="17"/>
      <c r="RR194" s="17"/>
      <c r="RS194" s="17"/>
      <c r="RT194" s="17"/>
      <c r="RU194" s="17"/>
      <c r="RV194" s="17"/>
      <c r="RW194" s="17"/>
      <c r="RX194" s="17"/>
      <c r="RY194" s="17"/>
      <c r="RZ194" s="17"/>
      <c r="SA194" s="17"/>
      <c r="SB194" s="17"/>
      <c r="SC194" s="17"/>
      <c r="SD194" s="17"/>
      <c r="SE194" s="17"/>
      <c r="SF194" s="17"/>
      <c r="SG194" s="17"/>
      <c r="SH194" s="17"/>
      <c r="SI194" s="17"/>
      <c r="SJ194" s="17"/>
      <c r="SK194" s="17"/>
      <c r="SL194" s="17"/>
      <c r="SM194" s="17"/>
      <c r="SN194" s="17"/>
      <c r="SO194" s="17"/>
      <c r="SP194" s="17"/>
      <c r="SQ194" s="17"/>
      <c r="SR194" s="17"/>
      <c r="SS194" s="17"/>
      <c r="ST194" s="17"/>
      <c r="SU194" s="17"/>
      <c r="SV194" s="17"/>
      <c r="SW194" s="17"/>
      <c r="SX194" s="17"/>
      <c r="SY194" s="17"/>
      <c r="SZ194" s="17"/>
      <c r="TA194" s="17"/>
      <c r="TB194" s="17"/>
      <c r="TC194" s="17"/>
      <c r="TD194" s="17"/>
      <c r="TE194" s="17"/>
      <c r="TF194" s="17"/>
      <c r="TG194" s="17"/>
      <c r="TH194" s="17"/>
      <c r="TI194" s="17"/>
      <c r="TJ194" s="17"/>
      <c r="TK194" s="17"/>
      <c r="TL194" s="17"/>
      <c r="TM194" s="17"/>
      <c r="TN194" s="17"/>
      <c r="TO194" s="17"/>
      <c r="TP194" s="17"/>
      <c r="TQ194" s="17"/>
      <c r="TR194" s="17"/>
      <c r="TS194" s="17"/>
      <c r="TT194" s="17"/>
      <c r="TU194" s="17"/>
      <c r="TV194" s="17"/>
      <c r="TW194" s="17"/>
      <c r="TX194" s="17"/>
      <c r="TY194" s="17"/>
      <c r="TZ194" s="17"/>
      <c r="UA194" s="17"/>
      <c r="UB194" s="17"/>
      <c r="UC194" s="17"/>
      <c r="UD194" s="17"/>
      <c r="UE194" s="17"/>
      <c r="UF194" s="17"/>
      <c r="UG194" s="17"/>
      <c r="UH194" s="17"/>
      <c r="UI194" s="17"/>
      <c r="UJ194" s="17"/>
      <c r="UK194" s="17"/>
      <c r="UL194" s="17"/>
      <c r="UM194" s="17"/>
      <c r="UN194" s="17"/>
      <c r="UO194" s="17"/>
      <c r="UP194" s="17"/>
      <c r="UQ194" s="17"/>
      <c r="UR194" s="17"/>
      <c r="US194" s="17"/>
      <c r="UT194" s="17"/>
      <c r="UU194" s="17"/>
      <c r="UV194" s="17"/>
      <c r="UW194" s="17"/>
      <c r="UX194" s="17"/>
      <c r="UY194" s="17"/>
      <c r="UZ194" s="17"/>
      <c r="VA194" s="17"/>
      <c r="VB194" s="17"/>
      <c r="VC194" s="17"/>
      <c r="VD194" s="17"/>
      <c r="VE194" s="17"/>
      <c r="VF194" s="17"/>
      <c r="VG194" s="17"/>
      <c r="VH194" s="17"/>
      <c r="VI194" s="17"/>
      <c r="VJ194" s="17"/>
      <c r="VK194" s="17"/>
      <c r="VL194" s="17"/>
      <c r="VM194" s="17"/>
      <c r="VN194" s="17"/>
      <c r="VO194" s="17"/>
      <c r="VP194" s="17"/>
      <c r="VQ194" s="17"/>
      <c r="VR194" s="17"/>
      <c r="VS194" s="17"/>
      <c r="VT194" s="17"/>
      <c r="VU194" s="17"/>
      <c r="VV194" s="17"/>
      <c r="VW194" s="17"/>
      <c r="VX194" s="17"/>
      <c r="VY194" s="17"/>
      <c r="VZ194" s="17"/>
      <c r="WA194" s="17"/>
      <c r="WB194" s="17"/>
      <c r="WC194" s="17"/>
      <c r="WD194" s="17"/>
      <c r="WE194" s="17"/>
      <c r="WF194" s="17"/>
      <c r="WG194" s="17"/>
      <c r="WH194" s="17"/>
      <c r="WI194" s="17"/>
      <c r="WJ194" s="17"/>
      <c r="WK194" s="17"/>
      <c r="WL194" s="17"/>
      <c r="WM194" s="17"/>
      <c r="WN194" s="17"/>
      <c r="WO194" s="17"/>
      <c r="WP194" s="17"/>
      <c r="WQ194" s="17"/>
      <c r="WR194" s="17"/>
      <c r="WS194" s="17"/>
      <c r="WT194" s="17"/>
      <c r="WU194" s="17"/>
      <c r="WV194" s="17"/>
      <c r="WW194" s="17"/>
      <c r="WX194" s="17"/>
      <c r="WY194" s="17"/>
      <c r="WZ194" s="17"/>
      <c r="XA194" s="17"/>
      <c r="XB194" s="17"/>
      <c r="XC194" s="17"/>
      <c r="XD194" s="17"/>
      <c r="XE194" s="17"/>
      <c r="XF194" s="17"/>
      <c r="XG194" s="17"/>
      <c r="XH194" s="17"/>
      <c r="XI194" s="17"/>
      <c r="XJ194" s="17"/>
      <c r="XK194" s="17"/>
      <c r="XL194" s="17"/>
      <c r="XM194" s="17"/>
      <c r="XN194" s="17"/>
      <c r="XO194" s="17"/>
      <c r="XP194" s="17"/>
      <c r="XQ194" s="17"/>
      <c r="XR194" s="17"/>
      <c r="XS194" s="17"/>
      <c r="XT194" s="17"/>
      <c r="XU194" s="17"/>
      <c r="XV194" s="17"/>
      <c r="XW194" s="17"/>
      <c r="XX194" s="17"/>
      <c r="XY194" s="17"/>
      <c r="XZ194" s="17"/>
      <c r="YA194" s="17"/>
      <c r="YB194" s="17"/>
      <c r="YC194" s="17"/>
      <c r="YD194" s="17"/>
      <c r="YE194" s="17"/>
      <c r="YF194" s="17"/>
      <c r="YG194" s="17"/>
      <c r="YH194" s="17"/>
      <c r="YI194" s="17"/>
      <c r="YJ194" s="17"/>
      <c r="YK194" s="17"/>
      <c r="YL194" s="17"/>
      <c r="YM194" s="17"/>
      <c r="YN194" s="17"/>
      <c r="YO194" s="17"/>
      <c r="YP194" s="17"/>
      <c r="YQ194" s="17"/>
      <c r="YR194" s="17"/>
      <c r="YS194" s="17"/>
    </row>
    <row r="195" spans="266:669" x14ac:dyDescent="0.25">
      <c r="JF195" s="17"/>
      <c r="JG195" s="17"/>
      <c r="JH195" s="17"/>
      <c r="JI195" s="17"/>
      <c r="JJ195" s="17"/>
      <c r="JK195" s="17"/>
      <c r="JL195" s="17"/>
      <c r="JM195" s="17"/>
      <c r="JN195" s="17"/>
      <c r="JO195" s="17"/>
      <c r="JP195" s="17"/>
      <c r="JQ195" s="17"/>
      <c r="JR195" s="17"/>
      <c r="JS195" s="17"/>
      <c r="JT195" s="17"/>
      <c r="JU195" s="17"/>
      <c r="JV195" s="17"/>
      <c r="JW195" s="17"/>
      <c r="JX195" s="17"/>
      <c r="JY195" s="17"/>
      <c r="JZ195" s="17"/>
      <c r="KA195" s="17"/>
      <c r="KB195" s="17"/>
      <c r="KC195" s="17"/>
      <c r="KD195" s="17"/>
      <c r="KE195" s="17"/>
      <c r="KF195" s="17"/>
      <c r="KG195" s="17"/>
      <c r="KH195" s="17"/>
      <c r="KI195" s="17"/>
      <c r="KJ195" s="17"/>
      <c r="KK195" s="17"/>
      <c r="KL195" s="17"/>
      <c r="KM195" s="17"/>
      <c r="KN195" s="17"/>
      <c r="KO195" s="17"/>
      <c r="KP195" s="17"/>
      <c r="KQ195" s="17"/>
      <c r="KR195" s="17"/>
      <c r="KS195" s="17"/>
      <c r="KT195" s="17"/>
      <c r="KU195" s="17"/>
      <c r="KV195" s="17"/>
      <c r="KW195" s="17"/>
      <c r="KX195" s="17"/>
      <c r="KY195" s="17"/>
      <c r="KZ195" s="17"/>
      <c r="LA195" s="17"/>
      <c r="LB195" s="17"/>
      <c r="LC195" s="17"/>
      <c r="LD195" s="17"/>
      <c r="LE195" s="17"/>
      <c r="LF195" s="17"/>
      <c r="LG195" s="17"/>
      <c r="LH195" s="17"/>
      <c r="LI195" s="17"/>
      <c r="LJ195" s="17"/>
      <c r="LK195" s="17"/>
      <c r="LL195" s="17"/>
      <c r="LM195" s="17"/>
      <c r="LN195" s="17"/>
      <c r="LO195" s="17"/>
      <c r="LP195" s="17"/>
      <c r="LQ195" s="17"/>
      <c r="LR195" s="17"/>
      <c r="LS195" s="17"/>
      <c r="LT195" s="17"/>
      <c r="LU195" s="17"/>
      <c r="LV195" s="17"/>
      <c r="LW195" s="17"/>
      <c r="LX195" s="17"/>
      <c r="LY195" s="17"/>
      <c r="LZ195" s="17"/>
      <c r="MA195" s="17"/>
      <c r="MB195" s="17"/>
      <c r="MC195" s="17"/>
      <c r="MD195" s="17"/>
      <c r="ME195" s="17"/>
      <c r="MF195" s="17"/>
      <c r="MG195" s="17"/>
      <c r="MH195" s="17"/>
      <c r="MI195" s="17"/>
      <c r="MJ195" s="17"/>
      <c r="MK195" s="17"/>
      <c r="ML195" s="17"/>
      <c r="MM195" s="17"/>
      <c r="MN195" s="17"/>
      <c r="MO195" s="17"/>
      <c r="MP195" s="17"/>
      <c r="MQ195" s="17"/>
      <c r="MR195" s="17"/>
      <c r="MS195" s="17"/>
      <c r="MT195" s="17"/>
      <c r="MU195" s="17"/>
      <c r="MV195" s="17"/>
      <c r="MW195" s="17"/>
      <c r="MX195" s="17"/>
      <c r="MY195" s="17"/>
      <c r="MZ195" s="17"/>
      <c r="NA195" s="17"/>
      <c r="NB195" s="17"/>
      <c r="NC195" s="17"/>
      <c r="ND195" s="17"/>
      <c r="NE195" s="17"/>
      <c r="NF195" s="17"/>
      <c r="NG195" s="17"/>
      <c r="NH195" s="17"/>
      <c r="NI195" s="17"/>
      <c r="NJ195" s="17"/>
      <c r="NK195" s="17"/>
      <c r="NL195" s="17"/>
      <c r="NM195" s="17"/>
      <c r="NN195" s="17"/>
      <c r="NO195" s="17"/>
      <c r="NP195" s="17"/>
      <c r="NQ195" s="17"/>
      <c r="NR195" s="17"/>
      <c r="NS195" s="17"/>
      <c r="NT195" s="17"/>
      <c r="NU195" s="17"/>
      <c r="NV195" s="17"/>
      <c r="NW195" s="17"/>
      <c r="NX195" s="17"/>
      <c r="NY195" s="17"/>
      <c r="NZ195" s="17"/>
      <c r="OA195" s="17"/>
      <c r="OB195" s="17"/>
      <c r="OC195" s="17"/>
      <c r="OD195" s="17"/>
      <c r="OE195" s="17"/>
      <c r="OF195" s="17"/>
      <c r="OG195" s="17"/>
      <c r="OH195" s="17"/>
      <c r="OI195" s="17"/>
      <c r="OJ195" s="17"/>
      <c r="OK195" s="17"/>
      <c r="OL195" s="17"/>
      <c r="OM195" s="17"/>
      <c r="ON195" s="17"/>
      <c r="OO195" s="17"/>
      <c r="OP195" s="17"/>
      <c r="OQ195" s="17"/>
      <c r="OR195" s="17"/>
      <c r="OS195" s="17"/>
      <c r="OT195" s="17"/>
      <c r="OU195" s="17"/>
      <c r="OV195" s="17"/>
      <c r="OW195" s="17"/>
      <c r="OX195" s="17"/>
      <c r="OY195" s="17"/>
      <c r="OZ195" s="17"/>
      <c r="PA195" s="17"/>
      <c r="PB195" s="17"/>
      <c r="PC195" s="17"/>
      <c r="PD195" s="17"/>
      <c r="PE195" s="17"/>
      <c r="PF195" s="17"/>
      <c r="PG195" s="17"/>
      <c r="PH195" s="17"/>
      <c r="PI195" s="17"/>
      <c r="PJ195" s="17"/>
      <c r="PK195" s="17"/>
      <c r="PL195" s="17"/>
      <c r="PM195" s="17"/>
      <c r="PN195" s="17"/>
      <c r="PO195" s="17"/>
      <c r="PP195" s="17"/>
      <c r="PQ195" s="17"/>
      <c r="PR195" s="17"/>
      <c r="PS195" s="17"/>
      <c r="PT195" s="17"/>
      <c r="PU195" s="17"/>
      <c r="PV195" s="17"/>
      <c r="PW195" s="17"/>
      <c r="PX195" s="17"/>
      <c r="PY195" s="17"/>
      <c r="PZ195" s="17"/>
      <c r="QA195" s="17"/>
      <c r="QB195" s="17"/>
      <c r="QC195" s="17"/>
      <c r="QD195" s="17"/>
      <c r="QE195" s="17"/>
      <c r="QF195" s="17"/>
      <c r="QG195" s="17"/>
      <c r="QH195" s="17"/>
      <c r="QI195" s="17"/>
      <c r="QJ195" s="17"/>
      <c r="QK195" s="17"/>
      <c r="QL195" s="17"/>
      <c r="QM195" s="17"/>
      <c r="QN195" s="17"/>
      <c r="QO195" s="17"/>
      <c r="QP195" s="17"/>
      <c r="QQ195" s="17"/>
      <c r="QR195" s="17"/>
      <c r="QS195" s="17"/>
      <c r="QT195" s="17"/>
      <c r="QU195" s="17"/>
      <c r="QV195" s="17"/>
      <c r="QW195" s="17"/>
      <c r="QX195" s="17"/>
      <c r="QY195" s="17"/>
      <c r="QZ195" s="17"/>
      <c r="RA195" s="17"/>
      <c r="RB195" s="17"/>
      <c r="RC195" s="17"/>
      <c r="RD195" s="17"/>
      <c r="RE195" s="17"/>
      <c r="RF195" s="17"/>
      <c r="RG195" s="17"/>
      <c r="RH195" s="17"/>
      <c r="RI195" s="17"/>
      <c r="RJ195" s="17"/>
      <c r="RK195" s="17"/>
      <c r="RL195" s="17"/>
      <c r="RM195" s="17"/>
      <c r="RN195" s="17"/>
      <c r="RO195" s="17"/>
      <c r="RP195" s="17"/>
      <c r="RQ195" s="17"/>
      <c r="RR195" s="17"/>
      <c r="RS195" s="17"/>
      <c r="RT195" s="17"/>
      <c r="RU195" s="17"/>
      <c r="RV195" s="17"/>
      <c r="RW195" s="17"/>
      <c r="RX195" s="17"/>
      <c r="RY195" s="17"/>
      <c r="RZ195" s="17"/>
      <c r="SA195" s="17"/>
      <c r="SB195" s="17"/>
      <c r="SC195" s="17"/>
      <c r="SD195" s="17"/>
      <c r="SE195" s="17"/>
      <c r="SF195" s="17"/>
      <c r="SG195" s="17"/>
      <c r="SH195" s="17"/>
      <c r="SI195" s="17"/>
      <c r="SJ195" s="17"/>
      <c r="SK195" s="17"/>
      <c r="SL195" s="17"/>
      <c r="SM195" s="17"/>
      <c r="SN195" s="17"/>
      <c r="SO195" s="17"/>
      <c r="SP195" s="17"/>
      <c r="SQ195" s="17"/>
      <c r="SR195" s="17"/>
      <c r="SS195" s="17"/>
      <c r="ST195" s="17"/>
      <c r="SU195" s="17"/>
      <c r="SV195" s="17"/>
      <c r="SW195" s="17"/>
      <c r="SX195" s="17"/>
      <c r="SY195" s="17"/>
      <c r="SZ195" s="17"/>
      <c r="TA195" s="17"/>
      <c r="TB195" s="17"/>
      <c r="TC195" s="17"/>
      <c r="TD195" s="17"/>
      <c r="TE195" s="17"/>
      <c r="TF195" s="17"/>
      <c r="TG195" s="17"/>
      <c r="TH195" s="17"/>
      <c r="TI195" s="17"/>
      <c r="TJ195" s="17"/>
      <c r="TK195" s="17"/>
      <c r="TL195" s="17"/>
      <c r="TM195" s="17"/>
      <c r="TN195" s="17"/>
      <c r="TO195" s="17"/>
      <c r="TP195" s="17"/>
      <c r="TQ195" s="17"/>
      <c r="TR195" s="17"/>
      <c r="TS195" s="17"/>
      <c r="TT195" s="17"/>
      <c r="TU195" s="17"/>
      <c r="TV195" s="17"/>
      <c r="TW195" s="17"/>
      <c r="TX195" s="17"/>
      <c r="TY195" s="17"/>
      <c r="TZ195" s="17"/>
      <c r="UA195" s="17"/>
      <c r="UB195" s="17"/>
      <c r="UC195" s="17"/>
      <c r="UD195" s="17"/>
      <c r="UE195" s="17"/>
      <c r="UF195" s="17"/>
      <c r="UG195" s="17"/>
      <c r="UH195" s="17"/>
      <c r="UI195" s="17"/>
      <c r="UJ195" s="17"/>
      <c r="UK195" s="17"/>
      <c r="UL195" s="17"/>
      <c r="UM195" s="17"/>
      <c r="UN195" s="17"/>
      <c r="UO195" s="17"/>
      <c r="UP195" s="17"/>
      <c r="UQ195" s="17"/>
      <c r="UR195" s="17"/>
      <c r="US195" s="17"/>
      <c r="UT195" s="17"/>
      <c r="UU195" s="17"/>
      <c r="UV195" s="17"/>
      <c r="UW195" s="17"/>
      <c r="UX195" s="17"/>
      <c r="UY195" s="17"/>
      <c r="UZ195" s="17"/>
      <c r="VA195" s="17"/>
      <c r="VB195" s="17"/>
      <c r="VC195" s="17"/>
      <c r="VD195" s="17"/>
      <c r="VE195" s="17"/>
      <c r="VF195" s="17"/>
      <c r="VG195" s="17"/>
      <c r="VH195" s="17"/>
      <c r="VI195" s="17"/>
      <c r="VJ195" s="17"/>
      <c r="VK195" s="17"/>
      <c r="VL195" s="17"/>
      <c r="VM195" s="17"/>
      <c r="VN195" s="17"/>
      <c r="VO195" s="17"/>
      <c r="VP195" s="17"/>
      <c r="VQ195" s="17"/>
      <c r="VR195" s="17"/>
      <c r="VS195" s="17"/>
      <c r="VT195" s="17"/>
      <c r="VU195" s="17"/>
      <c r="VV195" s="17"/>
      <c r="VW195" s="17"/>
      <c r="VX195" s="17"/>
      <c r="VY195" s="17"/>
      <c r="VZ195" s="17"/>
      <c r="WA195" s="17"/>
      <c r="WB195" s="17"/>
      <c r="WC195" s="17"/>
      <c r="WD195" s="17"/>
      <c r="WE195" s="17"/>
      <c r="WF195" s="17"/>
      <c r="WG195" s="17"/>
      <c r="WH195" s="17"/>
      <c r="WI195" s="17"/>
      <c r="WJ195" s="17"/>
      <c r="WK195" s="17"/>
      <c r="WL195" s="17"/>
      <c r="WM195" s="17"/>
      <c r="WN195" s="17"/>
      <c r="WO195" s="17"/>
      <c r="WP195" s="17"/>
      <c r="WQ195" s="17"/>
      <c r="WR195" s="17"/>
      <c r="WS195" s="17"/>
      <c r="WT195" s="17"/>
      <c r="WU195" s="17"/>
      <c r="WV195" s="17"/>
      <c r="WW195" s="17"/>
      <c r="WX195" s="17"/>
      <c r="WY195" s="17"/>
      <c r="WZ195" s="17"/>
      <c r="XA195" s="17"/>
      <c r="XB195" s="17"/>
      <c r="XC195" s="17"/>
      <c r="XD195" s="17"/>
      <c r="XE195" s="17"/>
      <c r="XF195" s="17"/>
      <c r="XG195" s="17"/>
      <c r="XH195" s="17"/>
      <c r="XI195" s="17"/>
      <c r="XJ195" s="17"/>
      <c r="XK195" s="17"/>
      <c r="XL195" s="17"/>
      <c r="XM195" s="17"/>
      <c r="XN195" s="17"/>
      <c r="XO195" s="17"/>
      <c r="XP195" s="17"/>
      <c r="XQ195" s="17"/>
      <c r="XR195" s="17"/>
      <c r="XS195" s="17"/>
      <c r="XT195" s="17"/>
      <c r="XU195" s="17"/>
      <c r="XV195" s="17"/>
      <c r="XW195" s="17"/>
      <c r="XX195" s="17"/>
      <c r="XY195" s="17"/>
      <c r="XZ195" s="17"/>
      <c r="YA195" s="17"/>
      <c r="YB195" s="17"/>
      <c r="YC195" s="17"/>
      <c r="YD195" s="17"/>
      <c r="YE195" s="17"/>
      <c r="YF195" s="17"/>
      <c r="YG195" s="17"/>
      <c r="YH195" s="17"/>
      <c r="YI195" s="17"/>
      <c r="YJ195" s="17"/>
      <c r="YK195" s="17"/>
      <c r="YL195" s="17"/>
      <c r="YM195" s="17"/>
      <c r="YN195" s="17"/>
      <c r="YO195" s="17"/>
      <c r="YP195" s="17"/>
      <c r="YQ195" s="17"/>
      <c r="YR195" s="17"/>
      <c r="YS195" s="17"/>
    </row>
    <row r="196" spans="266:669" x14ac:dyDescent="0.25">
      <c r="JF196" s="17"/>
      <c r="JG196" s="17"/>
      <c r="JH196" s="17"/>
      <c r="JI196" s="17"/>
      <c r="JJ196" s="17"/>
      <c r="JK196" s="17"/>
      <c r="JL196" s="17"/>
      <c r="JM196" s="17"/>
      <c r="JN196" s="17"/>
      <c r="JO196" s="17"/>
      <c r="JP196" s="17"/>
      <c r="JQ196" s="17"/>
      <c r="JR196" s="17"/>
      <c r="JS196" s="17"/>
      <c r="JT196" s="17"/>
      <c r="JU196" s="17"/>
      <c r="JV196" s="17"/>
      <c r="JW196" s="17"/>
      <c r="JX196" s="17"/>
      <c r="JY196" s="17"/>
      <c r="JZ196" s="17"/>
      <c r="KA196" s="17"/>
      <c r="KB196" s="17"/>
      <c r="KC196" s="17"/>
      <c r="KD196" s="17"/>
      <c r="KE196" s="17"/>
      <c r="KF196" s="17"/>
      <c r="KG196" s="17"/>
      <c r="KH196" s="17"/>
      <c r="KI196" s="17"/>
      <c r="KJ196" s="17"/>
      <c r="KK196" s="17"/>
      <c r="KL196" s="17"/>
      <c r="KM196" s="17"/>
      <c r="KN196" s="17"/>
      <c r="KO196" s="17"/>
      <c r="KP196" s="17"/>
      <c r="KQ196" s="17"/>
      <c r="KR196" s="17"/>
      <c r="KS196" s="17"/>
      <c r="KT196" s="17"/>
      <c r="KU196" s="17"/>
      <c r="KV196" s="17"/>
      <c r="KW196" s="17"/>
      <c r="KX196" s="17"/>
      <c r="KY196" s="17"/>
      <c r="KZ196" s="17"/>
      <c r="LA196" s="17"/>
      <c r="LB196" s="17"/>
      <c r="LC196" s="17"/>
      <c r="LD196" s="17"/>
      <c r="LE196" s="17"/>
      <c r="LF196" s="17"/>
      <c r="LG196" s="17"/>
      <c r="LH196" s="17"/>
      <c r="LI196" s="17"/>
      <c r="LJ196" s="17"/>
      <c r="LK196" s="17"/>
      <c r="LL196" s="17"/>
      <c r="LM196" s="17"/>
      <c r="LN196" s="17"/>
      <c r="LO196" s="17"/>
      <c r="LP196" s="17"/>
      <c r="LQ196" s="17"/>
      <c r="LR196" s="17"/>
      <c r="LS196" s="17"/>
      <c r="LT196" s="17"/>
      <c r="LU196" s="17"/>
      <c r="LV196" s="17"/>
      <c r="LW196" s="17"/>
      <c r="LX196" s="17"/>
      <c r="LY196" s="17"/>
      <c r="LZ196" s="17"/>
      <c r="MA196" s="17"/>
      <c r="MB196" s="17"/>
      <c r="MC196" s="17"/>
      <c r="MD196" s="17"/>
      <c r="ME196" s="17"/>
      <c r="MF196" s="17"/>
      <c r="MG196" s="17"/>
      <c r="MH196" s="17"/>
      <c r="MI196" s="17"/>
      <c r="MJ196" s="17"/>
      <c r="MK196" s="17"/>
      <c r="ML196" s="17"/>
      <c r="MM196" s="17"/>
      <c r="MN196" s="17"/>
      <c r="MO196" s="17"/>
      <c r="MP196" s="17"/>
      <c r="MQ196" s="17"/>
      <c r="MR196" s="17"/>
      <c r="MS196" s="17"/>
      <c r="MT196" s="17"/>
      <c r="MU196" s="17"/>
      <c r="MV196" s="17"/>
      <c r="MW196" s="17"/>
      <c r="MX196" s="17"/>
      <c r="MY196" s="17"/>
      <c r="MZ196" s="17"/>
      <c r="NA196" s="17"/>
      <c r="NB196" s="17"/>
      <c r="NC196" s="17"/>
      <c r="ND196" s="17"/>
      <c r="NE196" s="17"/>
      <c r="NF196" s="17"/>
      <c r="NG196" s="17"/>
      <c r="NH196" s="17"/>
      <c r="NI196" s="17"/>
      <c r="NJ196" s="17"/>
      <c r="NK196" s="17"/>
      <c r="NL196" s="17"/>
      <c r="NM196" s="17"/>
      <c r="NN196" s="17"/>
      <c r="NO196" s="17"/>
      <c r="NP196" s="17"/>
      <c r="NQ196" s="17"/>
      <c r="NR196" s="17"/>
      <c r="NS196" s="17"/>
      <c r="NT196" s="17"/>
      <c r="NU196" s="17"/>
      <c r="NV196" s="17"/>
      <c r="NW196" s="17"/>
      <c r="NX196" s="17"/>
      <c r="NY196" s="17"/>
      <c r="NZ196" s="17"/>
      <c r="OA196" s="17"/>
      <c r="OB196" s="17"/>
      <c r="OC196" s="17"/>
      <c r="OD196" s="17"/>
      <c r="OE196" s="17"/>
      <c r="OF196" s="17"/>
      <c r="OG196" s="17"/>
      <c r="OH196" s="17"/>
      <c r="OI196" s="17"/>
      <c r="OJ196" s="17"/>
      <c r="OK196" s="17"/>
      <c r="OL196" s="17"/>
      <c r="OM196" s="17"/>
      <c r="ON196" s="17"/>
      <c r="OO196" s="17"/>
      <c r="OP196" s="17"/>
      <c r="OQ196" s="17"/>
      <c r="OR196" s="17"/>
      <c r="OS196" s="17"/>
      <c r="OT196" s="17"/>
      <c r="OU196" s="17"/>
      <c r="OV196" s="17"/>
      <c r="OW196" s="17"/>
      <c r="OX196" s="17"/>
      <c r="OY196" s="17"/>
      <c r="OZ196" s="17"/>
      <c r="PA196" s="17"/>
      <c r="PB196" s="17"/>
      <c r="PC196" s="17"/>
      <c r="PD196" s="17"/>
      <c r="PE196" s="17"/>
      <c r="PF196" s="17"/>
      <c r="PG196" s="17"/>
      <c r="PH196" s="17"/>
      <c r="PI196" s="17"/>
      <c r="PJ196" s="17"/>
      <c r="PK196" s="17"/>
      <c r="PL196" s="17"/>
      <c r="PM196" s="17"/>
      <c r="PN196" s="17"/>
      <c r="PO196" s="17"/>
      <c r="PP196" s="17"/>
      <c r="PQ196" s="17"/>
      <c r="PR196" s="17"/>
      <c r="PS196" s="17"/>
      <c r="PT196" s="17"/>
      <c r="PU196" s="17"/>
      <c r="PV196" s="17"/>
      <c r="PW196" s="17"/>
      <c r="PX196" s="17"/>
      <c r="PY196" s="17"/>
      <c r="PZ196" s="17"/>
      <c r="QA196" s="17"/>
      <c r="QB196" s="17"/>
      <c r="QC196" s="17"/>
      <c r="QD196" s="17"/>
      <c r="QE196" s="17"/>
      <c r="QF196" s="17"/>
      <c r="QG196" s="17"/>
      <c r="QH196" s="17"/>
      <c r="QI196" s="17"/>
      <c r="QJ196" s="17"/>
      <c r="QK196" s="17"/>
      <c r="QL196" s="17"/>
      <c r="QM196" s="17"/>
      <c r="QN196" s="17"/>
      <c r="QO196" s="17"/>
      <c r="QP196" s="17"/>
      <c r="QQ196" s="17"/>
      <c r="QR196" s="17"/>
      <c r="QS196" s="17"/>
      <c r="QT196" s="17"/>
      <c r="QU196" s="17"/>
      <c r="QV196" s="17"/>
      <c r="QW196" s="17"/>
      <c r="QX196" s="17"/>
      <c r="QY196" s="17"/>
      <c r="QZ196" s="17"/>
      <c r="RA196" s="17"/>
      <c r="RB196" s="17"/>
      <c r="RC196" s="17"/>
      <c r="RD196" s="17"/>
      <c r="RE196" s="17"/>
      <c r="RF196" s="17"/>
      <c r="RG196" s="17"/>
      <c r="RH196" s="17"/>
      <c r="RI196" s="17"/>
      <c r="RJ196" s="17"/>
      <c r="RK196" s="17"/>
      <c r="RL196" s="17"/>
      <c r="RM196" s="17"/>
      <c r="RN196" s="17"/>
      <c r="RO196" s="17"/>
      <c r="RP196" s="17"/>
      <c r="RQ196" s="17"/>
      <c r="RR196" s="17"/>
      <c r="RS196" s="17"/>
      <c r="RT196" s="17"/>
      <c r="RU196" s="17"/>
      <c r="RV196" s="17"/>
      <c r="RW196" s="17"/>
      <c r="RX196" s="17"/>
      <c r="RY196" s="17"/>
      <c r="RZ196" s="17"/>
      <c r="SA196" s="17"/>
      <c r="SB196" s="17"/>
      <c r="SC196" s="17"/>
      <c r="SD196" s="17"/>
      <c r="SE196" s="17"/>
      <c r="SF196" s="17"/>
      <c r="SG196" s="17"/>
      <c r="SH196" s="17"/>
      <c r="SI196" s="17"/>
      <c r="SJ196" s="17"/>
      <c r="SK196" s="17"/>
      <c r="SL196" s="17"/>
      <c r="SM196" s="17"/>
      <c r="SN196" s="17"/>
      <c r="SO196" s="17"/>
      <c r="SP196" s="17"/>
      <c r="SQ196" s="17"/>
      <c r="SR196" s="17"/>
      <c r="SS196" s="17"/>
      <c r="ST196" s="17"/>
      <c r="SU196" s="17"/>
      <c r="SV196" s="17"/>
      <c r="SW196" s="17"/>
      <c r="SX196" s="17"/>
      <c r="SY196" s="17"/>
      <c r="SZ196" s="17"/>
      <c r="TA196" s="17"/>
      <c r="TB196" s="17"/>
      <c r="TC196" s="17"/>
      <c r="TD196" s="17"/>
      <c r="TE196" s="17"/>
      <c r="TF196" s="17"/>
      <c r="TG196" s="17"/>
      <c r="TH196" s="17"/>
      <c r="TI196" s="17"/>
      <c r="TJ196" s="17"/>
      <c r="TK196" s="17"/>
      <c r="TL196" s="17"/>
      <c r="TM196" s="17"/>
      <c r="TN196" s="17"/>
      <c r="TO196" s="17"/>
      <c r="TP196" s="17"/>
      <c r="TQ196" s="17"/>
      <c r="TR196" s="17"/>
      <c r="TS196" s="17"/>
      <c r="TT196" s="17"/>
      <c r="TU196" s="17"/>
      <c r="TV196" s="17"/>
      <c r="TW196" s="17"/>
      <c r="TX196" s="17"/>
      <c r="TY196" s="17"/>
      <c r="TZ196" s="17"/>
      <c r="UA196" s="17"/>
      <c r="UB196" s="17"/>
      <c r="UC196" s="17"/>
      <c r="UD196" s="17"/>
      <c r="UE196" s="17"/>
      <c r="UF196" s="17"/>
      <c r="UG196" s="17"/>
      <c r="UH196" s="17"/>
      <c r="UI196" s="17"/>
      <c r="UJ196" s="17"/>
      <c r="UK196" s="17"/>
      <c r="UL196" s="17"/>
      <c r="UM196" s="17"/>
      <c r="UN196" s="17"/>
      <c r="UO196" s="17"/>
      <c r="UP196" s="17"/>
      <c r="UQ196" s="17"/>
      <c r="UR196" s="17"/>
      <c r="US196" s="17"/>
      <c r="UT196" s="17"/>
      <c r="UU196" s="17"/>
      <c r="UV196" s="17"/>
      <c r="UW196" s="17"/>
      <c r="UX196" s="17"/>
      <c r="UY196" s="17"/>
      <c r="UZ196" s="17"/>
      <c r="VA196" s="17"/>
      <c r="VB196" s="17"/>
      <c r="VC196" s="17"/>
      <c r="VD196" s="17"/>
      <c r="VE196" s="17"/>
      <c r="VF196" s="17"/>
      <c r="VG196" s="17"/>
      <c r="VH196" s="17"/>
      <c r="VI196" s="17"/>
      <c r="VJ196" s="17"/>
      <c r="VK196" s="17"/>
      <c r="VL196" s="17"/>
      <c r="VM196" s="17"/>
      <c r="VN196" s="17"/>
      <c r="VO196" s="17"/>
      <c r="VP196" s="17"/>
      <c r="VQ196" s="17"/>
      <c r="VR196" s="17"/>
      <c r="VS196" s="17"/>
      <c r="VT196" s="17"/>
      <c r="VU196" s="17"/>
      <c r="VV196" s="17"/>
      <c r="VW196" s="17"/>
      <c r="VX196" s="17"/>
      <c r="VY196" s="17"/>
      <c r="VZ196" s="17"/>
      <c r="WA196" s="17"/>
      <c r="WB196" s="17"/>
      <c r="WC196" s="17"/>
      <c r="WD196" s="17"/>
      <c r="WE196" s="17"/>
      <c r="WF196" s="17"/>
      <c r="WG196" s="17"/>
      <c r="WH196" s="17"/>
      <c r="WI196" s="17"/>
      <c r="WJ196" s="17"/>
      <c r="WK196" s="17"/>
      <c r="WL196" s="17"/>
      <c r="WM196" s="17"/>
      <c r="WN196" s="17"/>
      <c r="WO196" s="17"/>
      <c r="WP196" s="17"/>
      <c r="WQ196" s="17"/>
      <c r="WR196" s="17"/>
      <c r="WS196" s="17"/>
      <c r="WT196" s="17"/>
      <c r="WU196" s="17"/>
      <c r="WV196" s="17"/>
      <c r="WW196" s="17"/>
      <c r="WX196" s="17"/>
      <c r="WY196" s="17"/>
      <c r="WZ196" s="17"/>
      <c r="XA196" s="17"/>
      <c r="XB196" s="17"/>
      <c r="XC196" s="17"/>
      <c r="XD196" s="17"/>
      <c r="XE196" s="17"/>
      <c r="XF196" s="17"/>
      <c r="XG196" s="17"/>
      <c r="XH196" s="17"/>
      <c r="XI196" s="17"/>
      <c r="XJ196" s="17"/>
      <c r="XK196" s="17"/>
      <c r="XL196" s="17"/>
      <c r="XM196" s="17"/>
      <c r="XN196" s="17"/>
      <c r="XO196" s="17"/>
      <c r="XP196" s="17"/>
      <c r="XQ196" s="17"/>
      <c r="XR196" s="17"/>
      <c r="XS196" s="17"/>
      <c r="XT196" s="17"/>
      <c r="XU196" s="17"/>
      <c r="XV196" s="17"/>
      <c r="XW196" s="17"/>
      <c r="XX196" s="17"/>
      <c r="XY196" s="17"/>
      <c r="XZ196" s="17"/>
      <c r="YA196" s="17"/>
      <c r="YB196" s="17"/>
      <c r="YC196" s="17"/>
      <c r="YD196" s="17"/>
      <c r="YE196" s="17"/>
      <c r="YF196" s="17"/>
      <c r="YG196" s="17"/>
      <c r="YH196" s="17"/>
      <c r="YI196" s="17"/>
      <c r="YJ196" s="17"/>
      <c r="YK196" s="17"/>
      <c r="YL196" s="17"/>
      <c r="YM196" s="17"/>
      <c r="YN196" s="17"/>
      <c r="YO196" s="17"/>
      <c r="YP196" s="17"/>
      <c r="YQ196" s="17"/>
      <c r="YR196" s="17"/>
      <c r="YS196" s="17"/>
    </row>
    <row r="197" spans="266:669" x14ac:dyDescent="0.25">
      <c r="JF197" s="17"/>
      <c r="JG197" s="17"/>
      <c r="JH197" s="17"/>
      <c r="JI197" s="17"/>
      <c r="JJ197" s="17"/>
      <c r="JK197" s="17"/>
      <c r="JL197" s="17"/>
      <c r="JM197" s="17"/>
      <c r="JN197" s="17"/>
      <c r="JO197" s="17"/>
      <c r="JP197" s="17"/>
      <c r="JQ197" s="17"/>
      <c r="JR197" s="17"/>
      <c r="JS197" s="17"/>
      <c r="JT197" s="17"/>
      <c r="JU197" s="17"/>
      <c r="JV197" s="17"/>
      <c r="JW197" s="17"/>
      <c r="JX197" s="17"/>
      <c r="JY197" s="17"/>
      <c r="JZ197" s="17"/>
      <c r="KA197" s="17"/>
      <c r="KB197" s="17"/>
      <c r="KC197" s="17"/>
      <c r="KD197" s="17"/>
      <c r="KE197" s="17"/>
      <c r="KF197" s="17"/>
      <c r="KG197" s="17"/>
      <c r="KH197" s="17"/>
      <c r="KI197" s="17"/>
      <c r="KJ197" s="17"/>
      <c r="KK197" s="17"/>
      <c r="KL197" s="17"/>
      <c r="KM197" s="17"/>
      <c r="KN197" s="17"/>
      <c r="KO197" s="17"/>
      <c r="KP197" s="17"/>
      <c r="KQ197" s="17"/>
      <c r="KR197" s="17"/>
      <c r="KS197" s="17"/>
      <c r="KT197" s="17"/>
      <c r="KU197" s="17"/>
      <c r="KV197" s="17"/>
      <c r="KW197" s="17"/>
      <c r="KX197" s="17"/>
      <c r="KY197" s="17"/>
      <c r="KZ197" s="17"/>
      <c r="LA197" s="17"/>
      <c r="LB197" s="17"/>
      <c r="LC197" s="17"/>
      <c r="LD197" s="17"/>
      <c r="LE197" s="17"/>
      <c r="LF197" s="17"/>
      <c r="LG197" s="17"/>
      <c r="LH197" s="17"/>
      <c r="LI197" s="17"/>
      <c r="LJ197" s="17"/>
      <c r="LK197" s="17"/>
      <c r="LL197" s="17"/>
      <c r="LM197" s="17"/>
      <c r="LN197" s="17"/>
      <c r="LO197" s="17"/>
      <c r="LP197" s="17"/>
      <c r="LQ197" s="17"/>
      <c r="LR197" s="17"/>
      <c r="LS197" s="17"/>
      <c r="LT197" s="17"/>
      <c r="LU197" s="17"/>
      <c r="LV197" s="17"/>
      <c r="LW197" s="17"/>
      <c r="LX197" s="17"/>
      <c r="LY197" s="17"/>
      <c r="LZ197" s="17"/>
      <c r="MA197" s="17"/>
      <c r="MB197" s="17"/>
      <c r="MC197" s="17"/>
      <c r="MD197" s="17"/>
      <c r="ME197" s="17"/>
      <c r="MF197" s="17"/>
      <c r="MG197" s="17"/>
      <c r="MH197" s="17"/>
      <c r="MI197" s="17"/>
      <c r="MJ197" s="17"/>
      <c r="MK197" s="17"/>
      <c r="ML197" s="17"/>
      <c r="MM197" s="17"/>
      <c r="MN197" s="17"/>
      <c r="MO197" s="17"/>
      <c r="MP197" s="17"/>
      <c r="MQ197" s="17"/>
      <c r="MR197" s="17"/>
      <c r="MS197" s="17"/>
      <c r="MT197" s="17"/>
      <c r="MU197" s="17"/>
      <c r="MV197" s="17"/>
      <c r="MW197" s="17"/>
      <c r="MX197" s="17"/>
      <c r="MY197" s="17"/>
      <c r="MZ197" s="17"/>
      <c r="NA197" s="17"/>
      <c r="NB197" s="17"/>
      <c r="NC197" s="17"/>
      <c r="ND197" s="17"/>
      <c r="NE197" s="17"/>
      <c r="NF197" s="17"/>
      <c r="NG197" s="17"/>
      <c r="NH197" s="17"/>
      <c r="NI197" s="17"/>
      <c r="NJ197" s="17"/>
      <c r="NK197" s="17"/>
      <c r="NL197" s="17"/>
      <c r="NM197" s="17"/>
      <c r="NN197" s="17"/>
      <c r="NO197" s="17"/>
      <c r="NP197" s="17"/>
      <c r="NQ197" s="17"/>
      <c r="NR197" s="17"/>
      <c r="NS197" s="17"/>
      <c r="NT197" s="17"/>
      <c r="NU197" s="17"/>
      <c r="NV197" s="17"/>
      <c r="NW197" s="17"/>
      <c r="NX197" s="17"/>
      <c r="NY197" s="17"/>
      <c r="NZ197" s="17"/>
      <c r="OA197" s="17"/>
      <c r="OB197" s="17"/>
      <c r="OC197" s="17"/>
      <c r="OD197" s="17"/>
      <c r="OE197" s="17"/>
      <c r="OF197" s="17"/>
      <c r="OG197" s="17"/>
      <c r="OH197" s="17"/>
      <c r="OI197" s="17"/>
      <c r="OJ197" s="17"/>
      <c r="OK197" s="17"/>
      <c r="OL197" s="17"/>
      <c r="OM197" s="17"/>
      <c r="ON197" s="17"/>
      <c r="OO197" s="17"/>
      <c r="OP197" s="17"/>
      <c r="OQ197" s="17"/>
      <c r="OR197" s="17"/>
      <c r="OS197" s="17"/>
      <c r="OT197" s="17"/>
      <c r="OU197" s="17"/>
      <c r="OV197" s="17"/>
      <c r="OW197" s="17"/>
      <c r="OX197" s="17"/>
      <c r="OY197" s="17"/>
      <c r="OZ197" s="17"/>
      <c r="PA197" s="17"/>
      <c r="PB197" s="17"/>
      <c r="PC197" s="17"/>
      <c r="PD197" s="17"/>
      <c r="PE197" s="17"/>
      <c r="PF197" s="17"/>
      <c r="PG197" s="17"/>
      <c r="PH197" s="17"/>
      <c r="PI197" s="17"/>
      <c r="PJ197" s="17"/>
      <c r="PK197" s="17"/>
      <c r="PL197" s="17"/>
      <c r="PM197" s="17"/>
      <c r="PN197" s="17"/>
      <c r="PO197" s="17"/>
      <c r="PP197" s="17"/>
      <c r="PQ197" s="17"/>
      <c r="PR197" s="17"/>
      <c r="PS197" s="17"/>
      <c r="PT197" s="17"/>
      <c r="PU197" s="17"/>
      <c r="PV197" s="17"/>
      <c r="PW197" s="17"/>
      <c r="PX197" s="17"/>
      <c r="PY197" s="17"/>
      <c r="PZ197" s="17"/>
      <c r="QA197" s="17"/>
      <c r="QB197" s="17"/>
      <c r="QC197" s="17"/>
      <c r="QD197" s="17"/>
      <c r="QE197" s="17"/>
      <c r="QF197" s="17"/>
      <c r="QG197" s="17"/>
      <c r="QH197" s="17"/>
      <c r="QI197" s="17"/>
      <c r="QJ197" s="17"/>
      <c r="QK197" s="17"/>
      <c r="QL197" s="17"/>
      <c r="QM197" s="17"/>
      <c r="QN197" s="17"/>
      <c r="QO197" s="17"/>
      <c r="QP197" s="17"/>
      <c r="QQ197" s="17"/>
      <c r="QR197" s="17"/>
      <c r="QS197" s="17"/>
      <c r="QT197" s="17"/>
      <c r="QU197" s="17"/>
      <c r="QV197" s="17"/>
      <c r="QW197" s="17"/>
      <c r="QX197" s="17"/>
      <c r="QY197" s="17"/>
      <c r="QZ197" s="17"/>
      <c r="RA197" s="17"/>
      <c r="RB197" s="17"/>
      <c r="RC197" s="17"/>
      <c r="RD197" s="17"/>
      <c r="RE197" s="17"/>
      <c r="RF197" s="17"/>
      <c r="RG197" s="17"/>
      <c r="RH197" s="17"/>
      <c r="RI197" s="17"/>
      <c r="RJ197" s="17"/>
      <c r="RK197" s="17"/>
      <c r="RL197" s="17"/>
      <c r="RM197" s="17"/>
      <c r="RN197" s="17"/>
      <c r="RO197" s="17"/>
      <c r="RP197" s="17"/>
      <c r="RQ197" s="17"/>
      <c r="RR197" s="17"/>
      <c r="RS197" s="17"/>
      <c r="RT197" s="17"/>
      <c r="RU197" s="17"/>
      <c r="RV197" s="17"/>
      <c r="RW197" s="17"/>
      <c r="RX197" s="17"/>
      <c r="RY197" s="17"/>
      <c r="RZ197" s="17"/>
      <c r="SA197" s="17"/>
      <c r="SB197" s="17"/>
      <c r="SC197" s="17"/>
      <c r="SD197" s="17"/>
      <c r="SE197" s="17"/>
      <c r="SF197" s="17"/>
      <c r="SG197" s="17"/>
      <c r="SH197" s="17"/>
      <c r="SI197" s="17"/>
      <c r="SJ197" s="17"/>
      <c r="SK197" s="17"/>
      <c r="SL197" s="17"/>
      <c r="SM197" s="17"/>
      <c r="SN197" s="17"/>
      <c r="SO197" s="17"/>
      <c r="SP197" s="17"/>
      <c r="SQ197" s="17"/>
      <c r="SR197" s="17"/>
      <c r="SS197" s="17"/>
      <c r="ST197" s="17"/>
      <c r="SU197" s="17"/>
      <c r="SV197" s="17"/>
      <c r="SW197" s="17"/>
      <c r="SX197" s="17"/>
      <c r="SY197" s="17"/>
      <c r="SZ197" s="17"/>
      <c r="TA197" s="17"/>
      <c r="TB197" s="17"/>
      <c r="TC197" s="17"/>
      <c r="TD197" s="17"/>
      <c r="TE197" s="17"/>
      <c r="TF197" s="17"/>
      <c r="TG197" s="17"/>
      <c r="TH197" s="17"/>
      <c r="TI197" s="17"/>
      <c r="TJ197" s="17"/>
      <c r="TK197" s="17"/>
      <c r="TL197" s="17"/>
      <c r="TM197" s="17"/>
      <c r="TN197" s="17"/>
      <c r="TO197" s="17"/>
      <c r="TP197" s="17"/>
      <c r="TQ197" s="17"/>
      <c r="TR197" s="17"/>
      <c r="TS197" s="17"/>
      <c r="TT197" s="17"/>
      <c r="TU197" s="17"/>
      <c r="TV197" s="17"/>
      <c r="TW197" s="17"/>
      <c r="TX197" s="17"/>
      <c r="TY197" s="17"/>
      <c r="TZ197" s="17"/>
      <c r="UA197" s="17"/>
      <c r="UB197" s="17"/>
      <c r="UC197" s="17"/>
      <c r="UD197" s="17"/>
      <c r="UE197" s="17"/>
      <c r="UF197" s="17"/>
      <c r="UG197" s="17"/>
      <c r="UH197" s="17"/>
      <c r="UI197" s="17"/>
      <c r="UJ197" s="17"/>
      <c r="UK197" s="17"/>
      <c r="UL197" s="17"/>
      <c r="UM197" s="17"/>
      <c r="UN197" s="17"/>
      <c r="UO197" s="17"/>
      <c r="UP197" s="17"/>
      <c r="UQ197" s="17"/>
      <c r="UR197" s="17"/>
      <c r="US197" s="17"/>
      <c r="UT197" s="17"/>
      <c r="UU197" s="17"/>
      <c r="UV197" s="17"/>
      <c r="UW197" s="17"/>
      <c r="UX197" s="17"/>
      <c r="UY197" s="17"/>
      <c r="UZ197" s="17"/>
      <c r="VA197" s="17"/>
      <c r="VB197" s="17"/>
      <c r="VC197" s="17"/>
      <c r="VD197" s="17"/>
      <c r="VE197" s="17"/>
      <c r="VF197" s="17"/>
      <c r="VG197" s="17"/>
      <c r="VH197" s="17"/>
      <c r="VI197" s="17"/>
      <c r="VJ197" s="17"/>
      <c r="VK197" s="17"/>
      <c r="VL197" s="17"/>
      <c r="VM197" s="17"/>
      <c r="VN197" s="17"/>
      <c r="VO197" s="17"/>
      <c r="VP197" s="17"/>
      <c r="VQ197" s="17"/>
      <c r="VR197" s="17"/>
      <c r="VS197" s="17"/>
      <c r="VT197" s="17"/>
      <c r="VU197" s="17"/>
      <c r="VV197" s="17"/>
      <c r="VW197" s="17"/>
      <c r="VX197" s="17"/>
      <c r="VY197" s="17"/>
      <c r="VZ197" s="17"/>
      <c r="WA197" s="17"/>
      <c r="WB197" s="17"/>
      <c r="WC197" s="17"/>
      <c r="WD197" s="17"/>
      <c r="WE197" s="17"/>
      <c r="WF197" s="17"/>
      <c r="WG197" s="17"/>
      <c r="WH197" s="17"/>
      <c r="WI197" s="17"/>
      <c r="WJ197" s="17"/>
      <c r="WK197" s="17"/>
      <c r="WL197" s="17"/>
      <c r="WM197" s="17"/>
      <c r="WN197" s="17"/>
      <c r="WO197" s="17"/>
      <c r="WP197" s="17"/>
      <c r="WQ197" s="17"/>
      <c r="WR197" s="17"/>
      <c r="WS197" s="17"/>
      <c r="WT197" s="17"/>
      <c r="WU197" s="17"/>
      <c r="WV197" s="17"/>
      <c r="WW197" s="17"/>
      <c r="WX197" s="17"/>
      <c r="WY197" s="17"/>
      <c r="WZ197" s="17"/>
      <c r="XA197" s="17"/>
      <c r="XB197" s="17"/>
      <c r="XC197" s="17"/>
      <c r="XD197" s="17"/>
      <c r="XE197" s="17"/>
      <c r="XF197" s="17"/>
      <c r="XG197" s="17"/>
      <c r="XH197" s="17"/>
      <c r="XI197" s="17"/>
      <c r="XJ197" s="17"/>
      <c r="XK197" s="17"/>
      <c r="XL197" s="17"/>
      <c r="XM197" s="17"/>
      <c r="XN197" s="17"/>
      <c r="XO197" s="17"/>
      <c r="XP197" s="17"/>
      <c r="XQ197" s="17"/>
      <c r="XR197" s="17"/>
      <c r="XS197" s="17"/>
      <c r="XT197" s="17"/>
      <c r="XU197" s="17"/>
      <c r="XV197" s="17"/>
      <c r="XW197" s="17"/>
      <c r="XX197" s="17"/>
      <c r="XY197" s="17"/>
      <c r="XZ197" s="17"/>
      <c r="YA197" s="17"/>
      <c r="YB197" s="17"/>
      <c r="YC197" s="17"/>
      <c r="YD197" s="17"/>
      <c r="YE197" s="17"/>
      <c r="YF197" s="17"/>
      <c r="YG197" s="17"/>
      <c r="YH197" s="17"/>
      <c r="YI197" s="17"/>
      <c r="YJ197" s="17"/>
      <c r="YK197" s="17"/>
      <c r="YL197" s="17"/>
      <c r="YM197" s="17"/>
      <c r="YN197" s="17"/>
      <c r="YO197" s="17"/>
      <c r="YP197" s="17"/>
      <c r="YQ197" s="17"/>
      <c r="YR197" s="17"/>
      <c r="YS197" s="17"/>
    </row>
    <row r="198" spans="266:669" x14ac:dyDescent="0.25">
      <c r="JF198" s="17"/>
      <c r="JG198" s="17"/>
      <c r="JH198" s="17"/>
      <c r="JI198" s="17"/>
      <c r="JJ198" s="17"/>
      <c r="JK198" s="17"/>
      <c r="JL198" s="17"/>
      <c r="JM198" s="17"/>
      <c r="JN198" s="17"/>
      <c r="JO198" s="17"/>
      <c r="JP198" s="17"/>
      <c r="JQ198" s="17"/>
      <c r="JR198" s="17"/>
      <c r="JS198" s="17"/>
      <c r="JT198" s="17"/>
      <c r="JU198" s="17"/>
      <c r="JV198" s="17"/>
      <c r="JW198" s="17"/>
      <c r="JX198" s="17"/>
      <c r="JY198" s="17"/>
      <c r="JZ198" s="17"/>
      <c r="KA198" s="17"/>
      <c r="KB198" s="17"/>
      <c r="KC198" s="17"/>
      <c r="KD198" s="17"/>
      <c r="KE198" s="17"/>
      <c r="KF198" s="17"/>
      <c r="KG198" s="17"/>
      <c r="KH198" s="17"/>
      <c r="KI198" s="17"/>
      <c r="KJ198" s="17"/>
      <c r="KK198" s="17"/>
      <c r="KL198" s="17"/>
      <c r="KM198" s="17"/>
      <c r="KN198" s="17"/>
      <c r="KO198" s="17"/>
      <c r="KP198" s="17"/>
      <c r="KQ198" s="17"/>
      <c r="KR198" s="17"/>
      <c r="KS198" s="17"/>
      <c r="KT198" s="17"/>
      <c r="KU198" s="17"/>
      <c r="KV198" s="17"/>
      <c r="KW198" s="17"/>
      <c r="KX198" s="17"/>
      <c r="KY198" s="17"/>
      <c r="KZ198" s="17"/>
      <c r="LA198" s="17"/>
      <c r="LB198" s="17"/>
      <c r="LC198" s="17"/>
      <c r="LD198" s="17"/>
      <c r="LE198" s="17"/>
      <c r="LF198" s="17"/>
      <c r="LG198" s="17"/>
      <c r="LH198" s="17"/>
      <c r="LI198" s="17"/>
      <c r="LJ198" s="17"/>
      <c r="LK198" s="17"/>
      <c r="LL198" s="17"/>
      <c r="LM198" s="17"/>
      <c r="LN198" s="17"/>
      <c r="LO198" s="17"/>
      <c r="LP198" s="17"/>
      <c r="LQ198" s="17"/>
      <c r="LR198" s="17"/>
      <c r="LS198" s="17"/>
      <c r="LT198" s="17"/>
      <c r="LU198" s="17"/>
      <c r="LV198" s="17"/>
      <c r="LW198" s="17"/>
      <c r="LX198" s="17"/>
      <c r="LY198" s="17"/>
      <c r="LZ198" s="17"/>
      <c r="MA198" s="17"/>
      <c r="MB198" s="17"/>
      <c r="MC198" s="17"/>
      <c r="MD198" s="17"/>
      <c r="ME198" s="17"/>
      <c r="MF198" s="17"/>
      <c r="MG198" s="17"/>
      <c r="MH198" s="17"/>
      <c r="MI198" s="17"/>
      <c r="MJ198" s="17"/>
      <c r="MK198" s="17"/>
      <c r="ML198" s="17"/>
      <c r="MM198" s="17"/>
      <c r="MN198" s="17"/>
      <c r="MO198" s="17"/>
      <c r="MP198" s="17"/>
      <c r="MQ198" s="17"/>
      <c r="MR198" s="17"/>
      <c r="MS198" s="17"/>
      <c r="MT198" s="17"/>
      <c r="MU198" s="17"/>
      <c r="MV198" s="17"/>
      <c r="MW198" s="17"/>
      <c r="MX198" s="17"/>
      <c r="MY198" s="17"/>
      <c r="MZ198" s="17"/>
      <c r="NA198" s="17"/>
      <c r="NB198" s="17"/>
      <c r="NC198" s="17"/>
      <c r="ND198" s="17"/>
      <c r="NE198" s="17"/>
      <c r="NF198" s="17"/>
      <c r="NG198" s="17"/>
      <c r="NH198" s="17"/>
      <c r="NI198" s="17"/>
      <c r="NJ198" s="17"/>
      <c r="NK198" s="17"/>
      <c r="NL198" s="17"/>
      <c r="NM198" s="17"/>
      <c r="NN198" s="17"/>
      <c r="NO198" s="17"/>
      <c r="NP198" s="17"/>
      <c r="NQ198" s="17"/>
      <c r="NR198" s="17"/>
      <c r="NS198" s="17"/>
      <c r="NT198" s="17"/>
      <c r="NU198" s="17"/>
      <c r="NV198" s="17"/>
      <c r="NW198" s="17"/>
      <c r="NX198" s="17"/>
      <c r="NY198" s="17"/>
      <c r="NZ198" s="17"/>
      <c r="OA198" s="17"/>
      <c r="OB198" s="17"/>
      <c r="OC198" s="17"/>
      <c r="OD198" s="17"/>
      <c r="OE198" s="17"/>
      <c r="OF198" s="17"/>
      <c r="OG198" s="17"/>
      <c r="OH198" s="17"/>
      <c r="OI198" s="17"/>
      <c r="OJ198" s="17"/>
      <c r="OK198" s="17"/>
      <c r="OL198" s="17"/>
      <c r="OM198" s="17"/>
      <c r="ON198" s="17"/>
      <c r="OO198" s="17"/>
      <c r="OP198" s="17"/>
      <c r="OQ198" s="17"/>
      <c r="OR198" s="17"/>
      <c r="OS198" s="17"/>
      <c r="OT198" s="17"/>
      <c r="OU198" s="17"/>
      <c r="OV198" s="17"/>
      <c r="OW198" s="17"/>
      <c r="OX198" s="17"/>
      <c r="OY198" s="17"/>
      <c r="OZ198" s="17"/>
      <c r="PA198" s="17"/>
      <c r="PB198" s="17"/>
      <c r="PC198" s="17"/>
      <c r="PD198" s="17"/>
      <c r="PE198" s="17"/>
      <c r="PF198" s="17"/>
      <c r="PG198" s="17"/>
      <c r="PH198" s="17"/>
      <c r="PI198" s="17"/>
      <c r="PJ198" s="17"/>
      <c r="PK198" s="17"/>
      <c r="PL198" s="17"/>
      <c r="PM198" s="17"/>
      <c r="PN198" s="17"/>
      <c r="PO198" s="17"/>
      <c r="PP198" s="17"/>
      <c r="PQ198" s="17"/>
      <c r="PR198" s="17"/>
      <c r="PS198" s="17"/>
      <c r="PT198" s="17"/>
      <c r="PU198" s="17"/>
      <c r="PV198" s="17"/>
      <c r="PW198" s="17"/>
      <c r="PX198" s="17"/>
      <c r="PY198" s="17"/>
      <c r="PZ198" s="17"/>
      <c r="QA198" s="17"/>
      <c r="QB198" s="17"/>
      <c r="QC198" s="17"/>
      <c r="QD198" s="17"/>
      <c r="QE198" s="17"/>
      <c r="QF198" s="17"/>
      <c r="QG198" s="17"/>
      <c r="QH198" s="17"/>
      <c r="QI198" s="17"/>
      <c r="QJ198" s="17"/>
      <c r="QK198" s="17"/>
      <c r="QL198" s="17"/>
      <c r="QM198" s="17"/>
      <c r="QN198" s="17"/>
      <c r="QO198" s="17"/>
      <c r="QP198" s="17"/>
      <c r="QQ198" s="17"/>
      <c r="QR198" s="17"/>
      <c r="QS198" s="17"/>
      <c r="QT198" s="17"/>
      <c r="QU198" s="17"/>
      <c r="QV198" s="17"/>
      <c r="QW198" s="17"/>
      <c r="QX198" s="17"/>
      <c r="QY198" s="17"/>
      <c r="QZ198" s="17"/>
      <c r="RA198" s="17"/>
      <c r="RB198" s="17"/>
      <c r="RC198" s="17"/>
      <c r="RD198" s="17"/>
      <c r="RE198" s="17"/>
      <c r="RF198" s="17"/>
      <c r="RG198" s="17"/>
      <c r="RH198" s="17"/>
      <c r="RI198" s="17"/>
      <c r="RJ198" s="17"/>
      <c r="RK198" s="17"/>
      <c r="RL198" s="17"/>
      <c r="RM198" s="17"/>
      <c r="RN198" s="17"/>
      <c r="RO198" s="17"/>
      <c r="RP198" s="17"/>
      <c r="RQ198" s="17"/>
      <c r="RR198" s="17"/>
      <c r="RS198" s="17"/>
      <c r="RT198" s="17"/>
      <c r="RU198" s="17"/>
      <c r="RV198" s="17"/>
      <c r="RW198" s="17"/>
      <c r="RX198" s="17"/>
      <c r="RY198" s="17"/>
      <c r="RZ198" s="17"/>
      <c r="SA198" s="17"/>
      <c r="SB198" s="17"/>
      <c r="SC198" s="17"/>
      <c r="SD198" s="17"/>
      <c r="SE198" s="17"/>
      <c r="SF198" s="17"/>
      <c r="SG198" s="17"/>
      <c r="SH198" s="17"/>
      <c r="SI198" s="17"/>
      <c r="SJ198" s="17"/>
      <c r="SK198" s="17"/>
      <c r="SL198" s="17"/>
      <c r="SM198" s="17"/>
      <c r="SN198" s="17"/>
      <c r="SO198" s="17"/>
      <c r="SP198" s="17"/>
      <c r="SQ198" s="17"/>
      <c r="SR198" s="17"/>
      <c r="SS198" s="17"/>
      <c r="ST198" s="17"/>
      <c r="SU198" s="17"/>
      <c r="SV198" s="17"/>
      <c r="SW198" s="17"/>
      <c r="SX198" s="17"/>
      <c r="SY198" s="17"/>
      <c r="SZ198" s="17"/>
      <c r="TA198" s="17"/>
      <c r="TB198" s="17"/>
      <c r="TC198" s="17"/>
      <c r="TD198" s="17"/>
      <c r="TE198" s="17"/>
      <c r="TF198" s="17"/>
      <c r="TG198" s="17"/>
      <c r="TH198" s="17"/>
      <c r="TI198" s="17"/>
      <c r="TJ198" s="17"/>
      <c r="TK198" s="17"/>
      <c r="TL198" s="17"/>
      <c r="TM198" s="17"/>
      <c r="TN198" s="17"/>
      <c r="TO198" s="17"/>
      <c r="TP198" s="17"/>
      <c r="TQ198" s="17"/>
      <c r="TR198" s="17"/>
      <c r="TS198" s="17"/>
      <c r="TT198" s="17"/>
      <c r="TU198" s="17"/>
      <c r="TV198" s="17"/>
      <c r="TW198" s="17"/>
      <c r="TX198" s="17"/>
      <c r="TY198" s="17"/>
      <c r="TZ198" s="17"/>
      <c r="UA198" s="17"/>
      <c r="UB198" s="17"/>
      <c r="UC198" s="17"/>
      <c r="UD198" s="17"/>
      <c r="UE198" s="17"/>
      <c r="UF198" s="17"/>
      <c r="UG198" s="17"/>
      <c r="UH198" s="17"/>
      <c r="UI198" s="17"/>
      <c r="UJ198" s="17"/>
      <c r="UK198" s="17"/>
      <c r="UL198" s="17"/>
      <c r="UM198" s="17"/>
      <c r="UN198" s="17"/>
      <c r="UO198" s="17"/>
      <c r="UP198" s="17"/>
      <c r="UQ198" s="17"/>
      <c r="UR198" s="17"/>
      <c r="US198" s="17"/>
      <c r="UT198" s="17"/>
      <c r="UU198" s="17"/>
      <c r="UV198" s="17"/>
      <c r="UW198" s="17"/>
      <c r="UX198" s="17"/>
      <c r="UY198" s="17"/>
      <c r="UZ198" s="17"/>
      <c r="VA198" s="17"/>
      <c r="VB198" s="17"/>
      <c r="VC198" s="17"/>
      <c r="VD198" s="17"/>
      <c r="VE198" s="17"/>
      <c r="VF198" s="17"/>
      <c r="VG198" s="17"/>
      <c r="VH198" s="17"/>
      <c r="VI198" s="17"/>
      <c r="VJ198" s="17"/>
      <c r="VK198" s="17"/>
      <c r="VL198" s="17"/>
      <c r="VM198" s="17"/>
      <c r="VN198" s="17"/>
      <c r="VO198" s="17"/>
      <c r="VP198" s="17"/>
      <c r="VQ198" s="17"/>
      <c r="VR198" s="17"/>
      <c r="VS198" s="17"/>
      <c r="VT198" s="17"/>
      <c r="VU198" s="17"/>
      <c r="VV198" s="17"/>
      <c r="VW198" s="17"/>
      <c r="VX198" s="17"/>
      <c r="VY198" s="17"/>
      <c r="VZ198" s="17"/>
      <c r="WA198" s="17"/>
      <c r="WB198" s="17"/>
      <c r="WC198" s="17"/>
      <c r="WD198" s="17"/>
      <c r="WE198" s="17"/>
      <c r="WF198" s="17"/>
      <c r="WG198" s="17"/>
      <c r="WH198" s="17"/>
      <c r="WI198" s="17"/>
      <c r="WJ198" s="17"/>
      <c r="WK198" s="17"/>
      <c r="WL198" s="17"/>
      <c r="WM198" s="17"/>
      <c r="WN198" s="17"/>
      <c r="WO198" s="17"/>
      <c r="WP198" s="17"/>
      <c r="WQ198" s="17"/>
      <c r="WR198" s="17"/>
      <c r="WS198" s="17"/>
      <c r="WT198" s="17"/>
      <c r="WU198" s="17"/>
      <c r="WV198" s="17"/>
      <c r="WW198" s="17"/>
      <c r="WX198" s="17"/>
      <c r="WY198" s="17"/>
      <c r="WZ198" s="17"/>
      <c r="XA198" s="17"/>
      <c r="XB198" s="17"/>
      <c r="XC198" s="17"/>
      <c r="XD198" s="17"/>
      <c r="XE198" s="17"/>
      <c r="XF198" s="17"/>
      <c r="XG198" s="17"/>
      <c r="XH198" s="17"/>
      <c r="XI198" s="17"/>
      <c r="XJ198" s="17"/>
      <c r="XK198" s="17"/>
      <c r="XL198" s="17"/>
      <c r="XM198" s="17"/>
      <c r="XN198" s="17"/>
      <c r="XO198" s="17"/>
      <c r="XP198" s="17"/>
      <c r="XQ198" s="17"/>
      <c r="XR198" s="17"/>
      <c r="XS198" s="17"/>
      <c r="XT198" s="17"/>
      <c r="XU198" s="17"/>
      <c r="XV198" s="17"/>
      <c r="XW198" s="17"/>
      <c r="XX198" s="17"/>
      <c r="XY198" s="17"/>
      <c r="XZ198" s="17"/>
      <c r="YA198" s="17"/>
      <c r="YB198" s="17"/>
      <c r="YC198" s="17"/>
      <c r="YD198" s="17"/>
      <c r="YE198" s="17"/>
      <c r="YF198" s="17"/>
      <c r="YG198" s="17"/>
      <c r="YH198" s="17"/>
      <c r="YI198" s="17"/>
      <c r="YJ198" s="17"/>
      <c r="YK198" s="17"/>
      <c r="YL198" s="17"/>
      <c r="YM198" s="17"/>
      <c r="YN198" s="17"/>
      <c r="YO198" s="17"/>
      <c r="YP198" s="17"/>
      <c r="YQ198" s="17"/>
      <c r="YR198" s="17"/>
      <c r="YS198" s="17"/>
    </row>
    <row r="199" spans="266:669" x14ac:dyDescent="0.25">
      <c r="JF199" s="17"/>
      <c r="JG199" s="17"/>
      <c r="JH199" s="17"/>
      <c r="JI199" s="17"/>
      <c r="JJ199" s="17"/>
      <c r="JK199" s="17"/>
      <c r="JL199" s="17"/>
      <c r="JM199" s="17"/>
      <c r="JN199" s="17"/>
      <c r="JO199" s="17"/>
      <c r="JP199" s="17"/>
      <c r="JQ199" s="17"/>
      <c r="JR199" s="17"/>
      <c r="JS199" s="17"/>
      <c r="JT199" s="17"/>
      <c r="JU199" s="17"/>
      <c r="JV199" s="17"/>
      <c r="JW199" s="17"/>
      <c r="JX199" s="17"/>
      <c r="JY199" s="17"/>
      <c r="JZ199" s="17"/>
      <c r="KA199" s="17"/>
      <c r="KB199" s="17"/>
      <c r="KC199" s="17"/>
      <c r="KD199" s="17"/>
      <c r="KE199" s="17"/>
      <c r="KF199" s="17"/>
      <c r="KG199" s="17"/>
      <c r="KH199" s="17"/>
      <c r="KI199" s="17"/>
      <c r="KJ199" s="17"/>
      <c r="KK199" s="17"/>
      <c r="KL199" s="17"/>
      <c r="KM199" s="17"/>
      <c r="KN199" s="17"/>
      <c r="KO199" s="17"/>
      <c r="KP199" s="17"/>
      <c r="KQ199" s="17"/>
      <c r="KR199" s="17"/>
      <c r="KS199" s="17"/>
      <c r="KT199" s="17"/>
      <c r="KU199" s="17"/>
      <c r="KV199" s="17"/>
      <c r="KW199" s="17"/>
      <c r="KX199" s="17"/>
      <c r="KY199" s="17"/>
      <c r="KZ199" s="17"/>
      <c r="LA199" s="17"/>
      <c r="LB199" s="17"/>
      <c r="LC199" s="17"/>
      <c r="LD199" s="17"/>
      <c r="LE199" s="17"/>
      <c r="LF199" s="17"/>
      <c r="LG199" s="17"/>
      <c r="LH199" s="17"/>
      <c r="LI199" s="17"/>
      <c r="LJ199" s="17"/>
      <c r="LK199" s="17"/>
      <c r="LL199" s="17"/>
      <c r="LM199" s="17"/>
      <c r="LN199" s="17"/>
      <c r="LO199" s="17"/>
      <c r="LP199" s="17"/>
      <c r="LQ199" s="17"/>
      <c r="LR199" s="17"/>
      <c r="LS199" s="17"/>
      <c r="LT199" s="17"/>
      <c r="LU199" s="17"/>
      <c r="LV199" s="17"/>
      <c r="LW199" s="17"/>
      <c r="LX199" s="17"/>
      <c r="LY199" s="17"/>
      <c r="LZ199" s="17"/>
      <c r="MA199" s="17"/>
      <c r="MB199" s="17"/>
      <c r="MC199" s="17"/>
      <c r="MD199" s="17"/>
      <c r="ME199" s="17"/>
      <c r="MF199" s="17"/>
      <c r="MG199" s="17"/>
      <c r="MH199" s="17"/>
      <c r="MI199" s="17"/>
      <c r="MJ199" s="17"/>
      <c r="MK199" s="17"/>
      <c r="ML199" s="17"/>
      <c r="MM199" s="17"/>
      <c r="MN199" s="17"/>
      <c r="MO199" s="17"/>
      <c r="MP199" s="17"/>
      <c r="MQ199" s="17"/>
      <c r="MR199" s="17"/>
      <c r="MS199" s="17"/>
      <c r="MT199" s="17"/>
      <c r="MU199" s="17"/>
      <c r="MV199" s="17"/>
      <c r="MW199" s="17"/>
      <c r="MX199" s="17"/>
      <c r="MY199" s="17"/>
      <c r="MZ199" s="17"/>
      <c r="NA199" s="17"/>
      <c r="NB199" s="17"/>
      <c r="NC199" s="17"/>
      <c r="ND199" s="17"/>
      <c r="NE199" s="17"/>
      <c r="NF199" s="17"/>
      <c r="NG199" s="17"/>
      <c r="NH199" s="17"/>
      <c r="NI199" s="17"/>
      <c r="NJ199" s="17"/>
      <c r="NK199" s="17"/>
      <c r="NL199" s="17"/>
      <c r="NM199" s="17"/>
      <c r="NN199" s="17"/>
      <c r="NO199" s="17"/>
      <c r="NP199" s="17"/>
      <c r="NQ199" s="17"/>
      <c r="NR199" s="17"/>
      <c r="NS199" s="17"/>
      <c r="NT199" s="17"/>
      <c r="NU199" s="17"/>
      <c r="NV199" s="17"/>
      <c r="NW199" s="17"/>
      <c r="NX199" s="17"/>
      <c r="NY199" s="17"/>
      <c r="NZ199" s="17"/>
      <c r="OA199" s="17"/>
      <c r="OB199" s="17"/>
      <c r="OC199" s="17"/>
      <c r="OD199" s="17"/>
      <c r="OE199" s="17"/>
      <c r="OF199" s="17"/>
      <c r="OG199" s="17"/>
      <c r="OH199" s="17"/>
      <c r="OI199" s="17"/>
      <c r="OJ199" s="17"/>
      <c r="OK199" s="17"/>
      <c r="OL199" s="17"/>
      <c r="OM199" s="17"/>
      <c r="ON199" s="17"/>
      <c r="OO199" s="17"/>
      <c r="OP199" s="17"/>
      <c r="OQ199" s="17"/>
      <c r="OR199" s="17"/>
      <c r="OS199" s="17"/>
      <c r="OT199" s="17"/>
      <c r="OU199" s="17"/>
      <c r="OV199" s="17"/>
      <c r="OW199" s="17"/>
      <c r="OX199" s="17"/>
      <c r="OY199" s="17"/>
      <c r="OZ199" s="17"/>
      <c r="PA199" s="17"/>
      <c r="PB199" s="17"/>
      <c r="PC199" s="17"/>
      <c r="PD199" s="17"/>
      <c r="PE199" s="17"/>
      <c r="PF199" s="17"/>
      <c r="PG199" s="17"/>
      <c r="PH199" s="17"/>
      <c r="PI199" s="17"/>
      <c r="PJ199" s="17"/>
      <c r="PK199" s="17"/>
      <c r="PL199" s="17"/>
      <c r="PM199" s="17"/>
      <c r="PN199" s="17"/>
      <c r="PO199" s="17"/>
      <c r="PP199" s="17"/>
      <c r="PQ199" s="17"/>
      <c r="PR199" s="17"/>
      <c r="PS199" s="17"/>
      <c r="PT199" s="17"/>
      <c r="PU199" s="17"/>
      <c r="PV199" s="17"/>
      <c r="PW199" s="17"/>
      <c r="PX199" s="17"/>
      <c r="PY199" s="17"/>
      <c r="PZ199" s="17"/>
      <c r="QA199" s="17"/>
      <c r="QB199" s="17"/>
      <c r="QC199" s="17"/>
      <c r="QD199" s="17"/>
      <c r="QE199" s="17"/>
      <c r="QF199" s="17"/>
      <c r="QG199" s="17"/>
      <c r="QH199" s="17"/>
      <c r="QI199" s="17"/>
      <c r="QJ199" s="17"/>
      <c r="QK199" s="17"/>
      <c r="QL199" s="17"/>
      <c r="QM199" s="17"/>
      <c r="QN199" s="17"/>
      <c r="QO199" s="17"/>
      <c r="QP199" s="17"/>
      <c r="QQ199" s="17"/>
      <c r="QR199" s="17"/>
      <c r="QS199" s="17"/>
      <c r="QT199" s="17"/>
      <c r="QU199" s="17"/>
      <c r="QV199" s="17"/>
      <c r="QW199" s="17"/>
      <c r="QX199" s="17"/>
      <c r="QY199" s="17"/>
      <c r="QZ199" s="17"/>
      <c r="RA199" s="17"/>
      <c r="RB199" s="17"/>
      <c r="RC199" s="17"/>
      <c r="RD199" s="17"/>
      <c r="RE199" s="17"/>
      <c r="RF199" s="17"/>
      <c r="RG199" s="17"/>
      <c r="RH199" s="17"/>
      <c r="RI199" s="17"/>
      <c r="RJ199" s="17"/>
      <c r="RK199" s="17"/>
      <c r="RL199" s="17"/>
      <c r="RM199" s="17"/>
      <c r="RN199" s="17"/>
      <c r="RO199" s="17"/>
      <c r="RP199" s="17"/>
      <c r="RQ199" s="17"/>
      <c r="RR199" s="17"/>
      <c r="RS199" s="17"/>
      <c r="RT199" s="17"/>
      <c r="RU199" s="17"/>
      <c r="RV199" s="17"/>
      <c r="RW199" s="17"/>
      <c r="RX199" s="17"/>
      <c r="RY199" s="17"/>
      <c r="RZ199" s="17"/>
      <c r="SA199" s="17"/>
      <c r="SB199" s="17"/>
      <c r="SC199" s="17"/>
      <c r="SD199" s="17"/>
      <c r="SE199" s="17"/>
      <c r="SF199" s="17"/>
      <c r="SG199" s="17"/>
      <c r="SH199" s="17"/>
      <c r="SI199" s="17"/>
      <c r="SJ199" s="17"/>
      <c r="SK199" s="17"/>
      <c r="SL199" s="17"/>
      <c r="SM199" s="17"/>
      <c r="SN199" s="17"/>
      <c r="SO199" s="17"/>
      <c r="SP199" s="17"/>
      <c r="SQ199" s="17"/>
      <c r="SR199" s="17"/>
      <c r="SS199" s="17"/>
      <c r="ST199" s="17"/>
      <c r="SU199" s="17"/>
      <c r="SV199" s="17"/>
      <c r="SW199" s="17"/>
      <c r="SX199" s="17"/>
      <c r="SY199" s="17"/>
      <c r="SZ199" s="17"/>
      <c r="TA199" s="17"/>
      <c r="TB199" s="17"/>
      <c r="TC199" s="17"/>
      <c r="TD199" s="17"/>
      <c r="TE199" s="17"/>
      <c r="TF199" s="17"/>
      <c r="TG199" s="17"/>
      <c r="TH199" s="17"/>
      <c r="TI199" s="17"/>
      <c r="TJ199" s="17"/>
      <c r="TK199" s="17"/>
      <c r="TL199" s="17"/>
      <c r="TM199" s="17"/>
      <c r="TN199" s="17"/>
      <c r="TO199" s="17"/>
      <c r="TP199" s="17"/>
      <c r="TQ199" s="17"/>
      <c r="TR199" s="17"/>
      <c r="TS199" s="17"/>
      <c r="TT199" s="17"/>
      <c r="TU199" s="17"/>
      <c r="TV199" s="17"/>
      <c r="TW199" s="17"/>
      <c r="TX199" s="17"/>
      <c r="TY199" s="17"/>
      <c r="TZ199" s="17"/>
      <c r="UA199" s="17"/>
      <c r="UB199" s="17"/>
      <c r="UC199" s="17"/>
      <c r="UD199" s="17"/>
      <c r="UE199" s="17"/>
      <c r="UF199" s="17"/>
      <c r="UG199" s="17"/>
      <c r="UH199" s="17"/>
      <c r="UI199" s="17"/>
      <c r="UJ199" s="17"/>
      <c r="UK199" s="17"/>
      <c r="UL199" s="17"/>
      <c r="UM199" s="17"/>
      <c r="UN199" s="17"/>
      <c r="UO199" s="17"/>
      <c r="UP199" s="17"/>
      <c r="UQ199" s="17"/>
      <c r="UR199" s="17"/>
      <c r="US199" s="17"/>
      <c r="UT199" s="17"/>
      <c r="UU199" s="17"/>
      <c r="UV199" s="17"/>
      <c r="UW199" s="17"/>
      <c r="UX199" s="17"/>
      <c r="UY199" s="17"/>
      <c r="UZ199" s="17"/>
      <c r="VA199" s="17"/>
      <c r="VB199" s="17"/>
      <c r="VC199" s="17"/>
      <c r="VD199" s="17"/>
      <c r="VE199" s="17"/>
      <c r="VF199" s="17"/>
      <c r="VG199" s="17"/>
      <c r="VH199" s="17"/>
      <c r="VI199" s="17"/>
      <c r="VJ199" s="17"/>
      <c r="VK199" s="17"/>
      <c r="VL199" s="17"/>
      <c r="VM199" s="17"/>
      <c r="VN199" s="17"/>
      <c r="VO199" s="17"/>
      <c r="VP199" s="17"/>
      <c r="VQ199" s="17"/>
      <c r="VR199" s="17"/>
      <c r="VS199" s="17"/>
      <c r="VT199" s="17"/>
      <c r="VU199" s="17"/>
      <c r="VV199" s="17"/>
      <c r="VW199" s="17"/>
      <c r="VX199" s="17"/>
      <c r="VY199" s="17"/>
      <c r="VZ199" s="17"/>
      <c r="WA199" s="17"/>
      <c r="WB199" s="17"/>
      <c r="WC199" s="17"/>
      <c r="WD199" s="17"/>
      <c r="WE199" s="17"/>
      <c r="WF199" s="17"/>
      <c r="WG199" s="17"/>
      <c r="WH199" s="17"/>
      <c r="WI199" s="17"/>
      <c r="WJ199" s="17"/>
      <c r="WK199" s="17"/>
      <c r="WL199" s="17"/>
      <c r="WM199" s="17"/>
      <c r="WN199" s="17"/>
      <c r="WO199" s="17"/>
      <c r="WP199" s="17"/>
      <c r="WQ199" s="17"/>
      <c r="WR199" s="17"/>
      <c r="WS199" s="17"/>
      <c r="WT199" s="17"/>
      <c r="WU199" s="17"/>
      <c r="WV199" s="17"/>
      <c r="WW199" s="17"/>
      <c r="WX199" s="17"/>
      <c r="WY199" s="17"/>
      <c r="WZ199" s="17"/>
      <c r="XA199" s="17"/>
      <c r="XB199" s="17"/>
      <c r="XC199" s="17"/>
      <c r="XD199" s="17"/>
      <c r="XE199" s="17"/>
      <c r="XF199" s="17"/>
      <c r="XG199" s="17"/>
      <c r="XH199" s="17"/>
      <c r="XI199" s="17"/>
      <c r="XJ199" s="17"/>
      <c r="XK199" s="17"/>
      <c r="XL199" s="17"/>
      <c r="XM199" s="17"/>
      <c r="XN199" s="17"/>
      <c r="XO199" s="17"/>
      <c r="XP199" s="17"/>
      <c r="XQ199" s="17"/>
      <c r="XR199" s="17"/>
      <c r="XS199" s="17"/>
      <c r="XT199" s="17"/>
      <c r="XU199" s="17"/>
      <c r="XV199" s="17"/>
      <c r="XW199" s="17"/>
      <c r="XX199" s="17"/>
      <c r="XY199" s="17"/>
      <c r="XZ199" s="17"/>
      <c r="YA199" s="17"/>
      <c r="YB199" s="17"/>
      <c r="YC199" s="17"/>
      <c r="YD199" s="17"/>
      <c r="YE199" s="17"/>
      <c r="YF199" s="17"/>
      <c r="YG199" s="17"/>
      <c r="YH199" s="17"/>
      <c r="YI199" s="17"/>
      <c r="YJ199" s="17"/>
      <c r="YK199" s="17"/>
      <c r="YL199" s="17"/>
      <c r="YM199" s="17"/>
      <c r="YN199" s="17"/>
      <c r="YO199" s="17"/>
      <c r="YP199" s="17"/>
      <c r="YQ199" s="17"/>
      <c r="YR199" s="17"/>
      <c r="YS199" s="17"/>
    </row>
    <row r="200" spans="266:669" x14ac:dyDescent="0.25">
      <c r="JF200" s="17"/>
      <c r="JG200" s="17"/>
      <c r="JH200" s="17"/>
      <c r="JI200" s="17"/>
      <c r="JJ200" s="17"/>
      <c r="JK200" s="17"/>
      <c r="JL200" s="17"/>
      <c r="JM200" s="17"/>
      <c r="JN200" s="17"/>
      <c r="JO200" s="17"/>
      <c r="JP200" s="17"/>
      <c r="JQ200" s="17"/>
      <c r="JR200" s="17"/>
      <c r="JS200" s="17"/>
      <c r="JT200" s="17"/>
      <c r="JU200" s="17"/>
      <c r="JV200" s="17"/>
      <c r="JW200" s="17"/>
      <c r="JX200" s="17"/>
      <c r="JY200" s="17"/>
      <c r="JZ200" s="17"/>
      <c r="KA200" s="17"/>
      <c r="KB200" s="17"/>
      <c r="KC200" s="17"/>
      <c r="KD200" s="17"/>
      <c r="KE200" s="17"/>
      <c r="KF200" s="17"/>
      <c r="KG200" s="17"/>
      <c r="KH200" s="17"/>
      <c r="KI200" s="17"/>
      <c r="KJ200" s="17"/>
      <c r="KK200" s="17"/>
      <c r="KL200" s="17"/>
      <c r="KM200" s="17"/>
      <c r="KN200" s="17"/>
      <c r="KO200" s="17"/>
      <c r="KP200" s="17"/>
      <c r="KQ200" s="17"/>
      <c r="KR200" s="17"/>
      <c r="KS200" s="17"/>
      <c r="KT200" s="17"/>
      <c r="KU200" s="17"/>
      <c r="KV200" s="17"/>
      <c r="KW200" s="17"/>
      <c r="KX200" s="17"/>
      <c r="KY200" s="17"/>
      <c r="KZ200" s="17"/>
      <c r="LA200" s="17"/>
      <c r="LB200" s="17"/>
      <c r="LC200" s="17"/>
      <c r="LD200" s="17"/>
      <c r="LE200" s="17"/>
      <c r="LF200" s="17"/>
      <c r="LG200" s="17"/>
      <c r="LH200" s="17"/>
      <c r="LI200" s="17"/>
      <c r="LJ200" s="17"/>
      <c r="LK200" s="17"/>
      <c r="LL200" s="17"/>
      <c r="LM200" s="17"/>
      <c r="LN200" s="17"/>
      <c r="LO200" s="17"/>
      <c r="LP200" s="17"/>
      <c r="LQ200" s="17"/>
      <c r="LR200" s="17"/>
      <c r="LS200" s="17"/>
      <c r="LT200" s="17"/>
      <c r="LU200" s="17"/>
      <c r="LV200" s="17"/>
      <c r="LW200" s="17"/>
      <c r="LX200" s="17"/>
      <c r="LY200" s="17"/>
      <c r="LZ200" s="17"/>
      <c r="MA200" s="17"/>
      <c r="MB200" s="17"/>
      <c r="MC200" s="17"/>
      <c r="MD200" s="17"/>
      <c r="ME200" s="17"/>
      <c r="MF200" s="17"/>
      <c r="MG200" s="17"/>
      <c r="MH200" s="17"/>
      <c r="MI200" s="17"/>
      <c r="MJ200" s="17"/>
      <c r="MK200" s="17"/>
      <c r="ML200" s="17"/>
      <c r="MM200" s="17"/>
      <c r="MN200" s="17"/>
      <c r="MO200" s="17"/>
      <c r="MP200" s="17"/>
      <c r="MQ200" s="17"/>
      <c r="MR200" s="17"/>
      <c r="MS200" s="17"/>
      <c r="MT200" s="17"/>
      <c r="MU200" s="17"/>
      <c r="MV200" s="17"/>
      <c r="MW200" s="17"/>
      <c r="MX200" s="17"/>
      <c r="MY200" s="17"/>
      <c r="MZ200" s="17"/>
      <c r="NA200" s="17"/>
      <c r="NB200" s="17"/>
      <c r="NC200" s="17"/>
      <c r="ND200" s="17"/>
      <c r="NE200" s="17"/>
      <c r="NF200" s="17"/>
      <c r="NG200" s="17"/>
      <c r="NH200" s="17"/>
      <c r="NI200" s="17"/>
      <c r="NJ200" s="17"/>
      <c r="NK200" s="17"/>
      <c r="NL200" s="17"/>
      <c r="NM200" s="17"/>
      <c r="NN200" s="17"/>
      <c r="NO200" s="17"/>
      <c r="NP200" s="17"/>
      <c r="NQ200" s="17"/>
      <c r="NR200" s="17"/>
      <c r="NS200" s="17"/>
      <c r="NT200" s="17"/>
      <c r="NU200" s="17"/>
      <c r="NV200" s="17"/>
      <c r="NW200" s="17"/>
      <c r="NX200" s="17"/>
      <c r="NY200" s="17"/>
      <c r="NZ200" s="17"/>
      <c r="OA200" s="17"/>
      <c r="OB200" s="17"/>
      <c r="OC200" s="17"/>
      <c r="OD200" s="17"/>
      <c r="OE200" s="17"/>
      <c r="OF200" s="17"/>
      <c r="OG200" s="17"/>
      <c r="OH200" s="17"/>
      <c r="OI200" s="17"/>
      <c r="OJ200" s="17"/>
      <c r="OK200" s="17"/>
      <c r="OL200" s="17"/>
      <c r="OM200" s="17"/>
      <c r="ON200" s="17"/>
      <c r="OO200" s="17"/>
      <c r="OP200" s="17"/>
      <c r="OQ200" s="17"/>
      <c r="OR200" s="17"/>
      <c r="OS200" s="17"/>
      <c r="OT200" s="17"/>
      <c r="OU200" s="17"/>
      <c r="OV200" s="17"/>
      <c r="OW200" s="17"/>
      <c r="OX200" s="17"/>
      <c r="OY200" s="17"/>
      <c r="OZ200" s="17"/>
      <c r="PA200" s="17"/>
      <c r="PB200" s="17"/>
      <c r="PC200" s="17"/>
      <c r="PD200" s="17"/>
      <c r="PE200" s="17"/>
      <c r="PF200" s="17"/>
      <c r="PG200" s="17"/>
      <c r="PH200" s="17"/>
      <c r="PI200" s="17"/>
      <c r="PJ200" s="17"/>
      <c r="PK200" s="17"/>
      <c r="PL200" s="17"/>
      <c r="PM200" s="17"/>
      <c r="PN200" s="17"/>
      <c r="PO200" s="17"/>
      <c r="PP200" s="17"/>
      <c r="PQ200" s="17"/>
      <c r="PR200" s="17"/>
      <c r="PS200" s="17"/>
      <c r="PT200" s="17"/>
      <c r="PU200" s="17"/>
      <c r="PV200" s="17"/>
      <c r="PW200" s="17"/>
      <c r="PX200" s="17"/>
      <c r="PY200" s="17"/>
      <c r="PZ200" s="17"/>
      <c r="QA200" s="17"/>
      <c r="QB200" s="17"/>
      <c r="QC200" s="17"/>
      <c r="QD200" s="17"/>
      <c r="QE200" s="17"/>
      <c r="QF200" s="17"/>
      <c r="QG200" s="17"/>
      <c r="QH200" s="17"/>
      <c r="QI200" s="17"/>
      <c r="QJ200" s="17"/>
      <c r="QK200" s="17"/>
      <c r="QL200" s="17"/>
      <c r="QM200" s="17"/>
      <c r="QN200" s="17"/>
      <c r="QO200" s="17"/>
      <c r="QP200" s="17"/>
      <c r="QQ200" s="17"/>
      <c r="QR200" s="17"/>
      <c r="QS200" s="17"/>
      <c r="QT200" s="17"/>
      <c r="QU200" s="17"/>
      <c r="QV200" s="17"/>
      <c r="QW200" s="17"/>
      <c r="QX200" s="17"/>
      <c r="QY200" s="17"/>
      <c r="QZ200" s="17"/>
      <c r="RA200" s="17"/>
      <c r="RB200" s="17"/>
      <c r="RC200" s="17"/>
      <c r="RD200" s="17"/>
      <c r="RE200" s="17"/>
      <c r="RF200" s="17"/>
      <c r="RG200" s="17"/>
      <c r="RH200" s="17"/>
      <c r="RI200" s="17"/>
      <c r="RJ200" s="17"/>
      <c r="RK200" s="17"/>
      <c r="RL200" s="17"/>
      <c r="RM200" s="17"/>
      <c r="RN200" s="17"/>
      <c r="RO200" s="17"/>
      <c r="RP200" s="17"/>
      <c r="RQ200" s="17"/>
      <c r="RR200" s="17"/>
      <c r="RS200" s="17"/>
      <c r="RT200" s="17"/>
      <c r="RU200" s="17"/>
      <c r="RV200" s="17"/>
      <c r="RW200" s="17"/>
      <c r="RX200" s="17"/>
      <c r="RY200" s="17"/>
      <c r="RZ200" s="17"/>
      <c r="SA200" s="17"/>
      <c r="SB200" s="17"/>
      <c r="SC200" s="17"/>
      <c r="SD200" s="17"/>
      <c r="SE200" s="17"/>
      <c r="SF200" s="17"/>
      <c r="SG200" s="17"/>
      <c r="SH200" s="17"/>
      <c r="SI200" s="17"/>
      <c r="SJ200" s="17"/>
      <c r="SK200" s="17"/>
      <c r="SL200" s="17"/>
      <c r="SM200" s="17"/>
      <c r="SN200" s="17"/>
      <c r="SO200" s="17"/>
      <c r="SP200" s="17"/>
      <c r="SQ200" s="17"/>
      <c r="SR200" s="17"/>
      <c r="SS200" s="17"/>
      <c r="ST200" s="17"/>
      <c r="SU200" s="17"/>
      <c r="SV200" s="17"/>
      <c r="SW200" s="17"/>
      <c r="SX200" s="17"/>
      <c r="SY200" s="17"/>
      <c r="SZ200" s="17"/>
      <c r="TA200" s="17"/>
      <c r="TB200" s="17"/>
      <c r="TC200" s="17"/>
      <c r="TD200" s="17"/>
      <c r="TE200" s="17"/>
      <c r="TF200" s="17"/>
      <c r="TG200" s="17"/>
      <c r="TH200" s="17"/>
      <c r="TI200" s="17"/>
      <c r="TJ200" s="17"/>
      <c r="TK200" s="17"/>
      <c r="TL200" s="17"/>
      <c r="TM200" s="17"/>
      <c r="TN200" s="17"/>
      <c r="TO200" s="17"/>
      <c r="TP200" s="17"/>
      <c r="TQ200" s="17"/>
      <c r="TR200" s="17"/>
      <c r="TS200" s="17"/>
      <c r="TT200" s="17"/>
      <c r="TU200" s="17"/>
      <c r="TV200" s="17"/>
      <c r="TW200" s="17"/>
      <c r="TX200" s="17"/>
      <c r="TY200" s="17"/>
      <c r="TZ200" s="17"/>
      <c r="UA200" s="17"/>
      <c r="UB200" s="17"/>
      <c r="UC200" s="17"/>
      <c r="UD200" s="17"/>
      <c r="UE200" s="17"/>
      <c r="UF200" s="17"/>
      <c r="UG200" s="17"/>
      <c r="UH200" s="17"/>
      <c r="UI200" s="17"/>
      <c r="UJ200" s="17"/>
      <c r="UK200" s="17"/>
      <c r="UL200" s="17"/>
      <c r="UM200" s="17"/>
      <c r="UN200" s="17"/>
      <c r="UO200" s="17"/>
      <c r="UP200" s="17"/>
      <c r="UQ200" s="17"/>
      <c r="UR200" s="17"/>
      <c r="US200" s="17"/>
      <c r="UT200" s="17"/>
      <c r="UU200" s="17"/>
      <c r="UV200" s="17"/>
      <c r="UW200" s="17"/>
      <c r="UX200" s="17"/>
      <c r="UY200" s="17"/>
      <c r="UZ200" s="17"/>
      <c r="VA200" s="17"/>
      <c r="VB200" s="17"/>
      <c r="VC200" s="17"/>
      <c r="VD200" s="17"/>
      <c r="VE200" s="17"/>
      <c r="VF200" s="17"/>
      <c r="VG200" s="17"/>
      <c r="VH200" s="17"/>
      <c r="VI200" s="17"/>
      <c r="VJ200" s="17"/>
      <c r="VK200" s="17"/>
      <c r="VL200" s="17"/>
      <c r="VM200" s="17"/>
      <c r="VN200" s="17"/>
      <c r="VO200" s="17"/>
      <c r="VP200" s="17"/>
      <c r="VQ200" s="17"/>
      <c r="VR200" s="17"/>
      <c r="VS200" s="17"/>
      <c r="VT200" s="17"/>
      <c r="VU200" s="17"/>
      <c r="VV200" s="17"/>
      <c r="VW200" s="17"/>
      <c r="VX200" s="17"/>
      <c r="VY200" s="17"/>
      <c r="VZ200" s="17"/>
      <c r="WA200" s="17"/>
      <c r="WB200" s="17"/>
      <c r="WC200" s="17"/>
      <c r="WD200" s="17"/>
      <c r="WE200" s="17"/>
      <c r="WF200" s="17"/>
      <c r="WG200" s="17"/>
      <c r="WH200" s="17"/>
      <c r="WI200" s="17"/>
      <c r="WJ200" s="17"/>
      <c r="WK200" s="17"/>
      <c r="WL200" s="17"/>
      <c r="WM200" s="17"/>
      <c r="WN200" s="17"/>
      <c r="WO200" s="17"/>
      <c r="WP200" s="17"/>
      <c r="WQ200" s="17"/>
      <c r="WR200" s="17"/>
      <c r="WS200" s="17"/>
      <c r="WT200" s="17"/>
      <c r="WU200" s="17"/>
      <c r="WV200" s="17"/>
      <c r="WW200" s="17"/>
      <c r="WX200" s="17"/>
      <c r="WY200" s="17"/>
      <c r="WZ200" s="17"/>
      <c r="XA200" s="17"/>
      <c r="XB200" s="17"/>
      <c r="XC200" s="17"/>
      <c r="XD200" s="17"/>
      <c r="XE200" s="17"/>
      <c r="XF200" s="17"/>
      <c r="XG200" s="17"/>
      <c r="XH200" s="17"/>
      <c r="XI200" s="17"/>
      <c r="XJ200" s="17"/>
      <c r="XK200" s="17"/>
      <c r="XL200" s="17"/>
      <c r="XM200" s="17"/>
      <c r="XN200" s="17"/>
      <c r="XO200" s="17"/>
      <c r="XP200" s="17"/>
      <c r="XQ200" s="17"/>
      <c r="XR200" s="17"/>
      <c r="XS200" s="17"/>
      <c r="XT200" s="17"/>
      <c r="XU200" s="17"/>
      <c r="XV200" s="17"/>
      <c r="XW200" s="17"/>
      <c r="XX200" s="17"/>
      <c r="XY200" s="17"/>
      <c r="XZ200" s="17"/>
      <c r="YA200" s="17"/>
      <c r="YB200" s="17"/>
      <c r="YC200" s="17"/>
      <c r="YD200" s="17"/>
      <c r="YE200" s="17"/>
      <c r="YF200" s="17"/>
      <c r="YG200" s="17"/>
      <c r="YH200" s="17"/>
      <c r="YI200" s="17"/>
      <c r="YJ200" s="17"/>
      <c r="YK200" s="17"/>
      <c r="YL200" s="17"/>
      <c r="YM200" s="17"/>
      <c r="YN200" s="17"/>
      <c r="YO200" s="17"/>
      <c r="YP200" s="17"/>
      <c r="YQ200" s="17"/>
      <c r="YR200" s="17"/>
      <c r="YS200" s="17"/>
    </row>
    <row r="201" spans="266:669" x14ac:dyDescent="0.25">
      <c r="JF201" s="17"/>
      <c r="JG201" s="17"/>
      <c r="JH201" s="17"/>
      <c r="JI201" s="17"/>
      <c r="JJ201" s="17"/>
      <c r="JK201" s="17"/>
      <c r="JL201" s="17"/>
      <c r="JM201" s="17"/>
      <c r="JN201" s="17"/>
      <c r="JO201" s="17"/>
      <c r="JP201" s="17"/>
      <c r="JQ201" s="17"/>
      <c r="JR201" s="17"/>
      <c r="JS201" s="17"/>
      <c r="JT201" s="17"/>
      <c r="JU201" s="17"/>
      <c r="JV201" s="17"/>
      <c r="JW201" s="17"/>
      <c r="JX201" s="17"/>
      <c r="JY201" s="17"/>
      <c r="JZ201" s="17"/>
      <c r="KA201" s="17"/>
      <c r="KB201" s="17"/>
      <c r="KC201" s="17"/>
      <c r="KD201" s="17"/>
      <c r="KE201" s="17"/>
      <c r="KF201" s="17"/>
      <c r="KG201" s="17"/>
      <c r="KH201" s="17"/>
      <c r="KI201" s="17"/>
      <c r="KJ201" s="17"/>
      <c r="KK201" s="17"/>
      <c r="KL201" s="17"/>
      <c r="KM201" s="17"/>
      <c r="KN201" s="17"/>
      <c r="KO201" s="17"/>
      <c r="KP201" s="17"/>
      <c r="KQ201" s="17"/>
      <c r="KR201" s="17"/>
      <c r="KS201" s="17"/>
      <c r="KT201" s="17"/>
      <c r="KU201" s="17"/>
      <c r="KV201" s="17"/>
      <c r="KW201" s="17"/>
      <c r="KX201" s="17"/>
      <c r="KY201" s="17"/>
      <c r="KZ201" s="17"/>
      <c r="LA201" s="17"/>
      <c r="LB201" s="17"/>
      <c r="LC201" s="17"/>
      <c r="LD201" s="17"/>
      <c r="LE201" s="17"/>
      <c r="LF201" s="17"/>
      <c r="LG201" s="17"/>
      <c r="LH201" s="17"/>
      <c r="LI201" s="17"/>
      <c r="LJ201" s="17"/>
      <c r="LK201" s="17"/>
      <c r="LL201" s="17"/>
      <c r="LM201" s="17"/>
      <c r="LN201" s="17"/>
      <c r="LO201" s="17"/>
      <c r="LP201" s="17"/>
      <c r="LQ201" s="17"/>
      <c r="LR201" s="17"/>
      <c r="LS201" s="17"/>
      <c r="LT201" s="17"/>
      <c r="LU201" s="17"/>
      <c r="LV201" s="17"/>
      <c r="LW201" s="17"/>
      <c r="LX201" s="17"/>
      <c r="LY201" s="17"/>
      <c r="LZ201" s="17"/>
      <c r="MA201" s="17"/>
      <c r="MB201" s="17"/>
      <c r="MC201" s="17"/>
      <c r="MD201" s="17"/>
      <c r="ME201" s="17"/>
      <c r="MF201" s="17"/>
      <c r="MG201" s="17"/>
      <c r="MH201" s="17"/>
      <c r="MI201" s="17"/>
      <c r="MJ201" s="17"/>
      <c r="MK201" s="17"/>
      <c r="ML201" s="17"/>
      <c r="MM201" s="17"/>
      <c r="MN201" s="17"/>
      <c r="MO201" s="17"/>
      <c r="MP201" s="17"/>
      <c r="MQ201" s="17"/>
      <c r="MR201" s="17"/>
      <c r="MS201" s="17"/>
      <c r="MT201" s="17"/>
      <c r="MU201" s="17"/>
      <c r="MV201" s="17"/>
      <c r="MW201" s="17"/>
      <c r="MX201" s="17"/>
      <c r="MY201" s="17"/>
      <c r="MZ201" s="17"/>
      <c r="NA201" s="17"/>
      <c r="NB201" s="17"/>
      <c r="NC201" s="17"/>
      <c r="ND201" s="17"/>
      <c r="NE201" s="17"/>
      <c r="NF201" s="17"/>
      <c r="NG201" s="17"/>
      <c r="NH201" s="17"/>
      <c r="NI201" s="17"/>
      <c r="NJ201" s="17"/>
      <c r="NK201" s="17"/>
      <c r="NL201" s="17"/>
      <c r="NM201" s="17"/>
      <c r="NN201" s="17"/>
      <c r="NO201" s="17"/>
      <c r="NP201" s="17"/>
      <c r="NQ201" s="17"/>
      <c r="NR201" s="17"/>
      <c r="NS201" s="17"/>
      <c r="NT201" s="17"/>
      <c r="NU201" s="17"/>
      <c r="NV201" s="17"/>
      <c r="NW201" s="17"/>
      <c r="NX201" s="17"/>
      <c r="NY201" s="17"/>
      <c r="NZ201" s="17"/>
      <c r="OA201" s="17"/>
      <c r="OB201" s="17"/>
      <c r="OC201" s="17"/>
      <c r="OD201" s="17"/>
      <c r="OE201" s="17"/>
      <c r="OF201" s="17"/>
      <c r="OG201" s="17"/>
      <c r="OH201" s="17"/>
      <c r="OI201" s="17"/>
      <c r="OJ201" s="17"/>
      <c r="OK201" s="17"/>
      <c r="OL201" s="17"/>
      <c r="OM201" s="17"/>
      <c r="ON201" s="17"/>
      <c r="OO201" s="17"/>
      <c r="OP201" s="17"/>
      <c r="OQ201" s="17"/>
      <c r="OR201" s="17"/>
      <c r="OS201" s="17"/>
      <c r="OT201" s="17"/>
      <c r="OU201" s="17"/>
      <c r="OV201" s="17"/>
      <c r="OW201" s="17"/>
      <c r="OX201" s="17"/>
      <c r="OY201" s="17"/>
      <c r="OZ201" s="17"/>
      <c r="PA201" s="17"/>
      <c r="PB201" s="17"/>
      <c r="PC201" s="17"/>
      <c r="PD201" s="17"/>
      <c r="PE201" s="17"/>
      <c r="PF201" s="17"/>
      <c r="PG201" s="17"/>
      <c r="PH201" s="17"/>
      <c r="PI201" s="17"/>
      <c r="PJ201" s="17"/>
      <c r="PK201" s="17"/>
      <c r="PL201" s="17"/>
      <c r="PM201" s="17"/>
      <c r="PN201" s="17"/>
      <c r="PO201" s="17"/>
      <c r="PP201" s="17"/>
      <c r="PQ201" s="17"/>
      <c r="PR201" s="17"/>
      <c r="PS201" s="17"/>
      <c r="PT201" s="17"/>
      <c r="PU201" s="17"/>
      <c r="PV201" s="17"/>
      <c r="PW201" s="17"/>
      <c r="PX201" s="17"/>
      <c r="PY201" s="17"/>
      <c r="PZ201" s="17"/>
      <c r="QA201" s="17"/>
      <c r="QB201" s="17"/>
      <c r="QC201" s="17"/>
      <c r="QD201" s="17"/>
      <c r="QE201" s="17"/>
      <c r="QF201" s="17"/>
      <c r="QG201" s="17"/>
      <c r="QH201" s="17"/>
      <c r="QI201" s="17"/>
      <c r="QJ201" s="17"/>
      <c r="QK201" s="17"/>
      <c r="QL201" s="17"/>
      <c r="QM201" s="17"/>
      <c r="QN201" s="17"/>
      <c r="QO201" s="17"/>
      <c r="QP201" s="17"/>
      <c r="QQ201" s="17"/>
      <c r="QR201" s="17"/>
      <c r="QS201" s="17"/>
      <c r="QT201" s="17"/>
      <c r="QU201" s="17"/>
      <c r="QV201" s="17"/>
      <c r="QW201" s="17"/>
      <c r="QX201" s="17"/>
      <c r="QY201" s="17"/>
      <c r="QZ201" s="17"/>
      <c r="RA201" s="17"/>
      <c r="RB201" s="17"/>
      <c r="RC201" s="17"/>
      <c r="RD201" s="17"/>
      <c r="RE201" s="17"/>
      <c r="RF201" s="17"/>
      <c r="RG201" s="17"/>
      <c r="RH201" s="17"/>
      <c r="RI201" s="17"/>
      <c r="RJ201" s="17"/>
      <c r="RK201" s="17"/>
      <c r="RL201" s="17"/>
      <c r="RM201" s="17"/>
      <c r="RN201" s="17"/>
      <c r="RO201" s="17"/>
      <c r="RP201" s="17"/>
      <c r="RQ201" s="17"/>
      <c r="RR201" s="17"/>
      <c r="RS201" s="17"/>
      <c r="RT201" s="17"/>
      <c r="RU201" s="17"/>
      <c r="RV201" s="17"/>
      <c r="RW201" s="17"/>
      <c r="RX201" s="17"/>
      <c r="RY201" s="17"/>
      <c r="RZ201" s="17"/>
      <c r="SA201" s="17"/>
      <c r="SB201" s="17"/>
      <c r="SC201" s="17"/>
      <c r="SD201" s="17"/>
      <c r="SE201" s="17"/>
      <c r="SF201" s="17"/>
      <c r="SG201" s="17"/>
      <c r="SH201" s="17"/>
      <c r="SI201" s="17"/>
      <c r="SJ201" s="17"/>
      <c r="SK201" s="17"/>
      <c r="SL201" s="17"/>
      <c r="SM201" s="17"/>
      <c r="SN201" s="17"/>
      <c r="SO201" s="17"/>
      <c r="SP201" s="17"/>
      <c r="SQ201" s="17"/>
      <c r="SR201" s="17"/>
      <c r="SS201" s="17"/>
      <c r="ST201" s="17"/>
      <c r="SU201" s="17"/>
      <c r="SV201" s="17"/>
      <c r="SW201" s="17"/>
      <c r="SX201" s="17"/>
      <c r="SY201" s="17"/>
      <c r="SZ201" s="17"/>
      <c r="TA201" s="17"/>
      <c r="TB201" s="17"/>
      <c r="TC201" s="17"/>
      <c r="TD201" s="17"/>
      <c r="TE201" s="17"/>
      <c r="TF201" s="17"/>
      <c r="TG201" s="17"/>
      <c r="TH201" s="17"/>
      <c r="TI201" s="17"/>
      <c r="TJ201" s="17"/>
      <c r="TK201" s="17"/>
      <c r="TL201" s="17"/>
      <c r="TM201" s="17"/>
      <c r="TN201" s="17"/>
      <c r="TO201" s="17"/>
      <c r="TP201" s="17"/>
      <c r="TQ201" s="17"/>
      <c r="TR201" s="17"/>
      <c r="TS201" s="17"/>
      <c r="TT201" s="17"/>
      <c r="TU201" s="17"/>
      <c r="TV201" s="17"/>
      <c r="TW201" s="17"/>
      <c r="TX201" s="17"/>
      <c r="TY201" s="17"/>
      <c r="TZ201" s="17"/>
      <c r="UA201" s="17"/>
      <c r="UB201" s="17"/>
      <c r="UC201" s="17"/>
      <c r="UD201" s="17"/>
      <c r="UE201" s="17"/>
      <c r="UF201" s="17"/>
      <c r="UG201" s="17"/>
      <c r="UH201" s="17"/>
      <c r="UI201" s="17"/>
      <c r="UJ201" s="17"/>
      <c r="UK201" s="17"/>
      <c r="UL201" s="17"/>
      <c r="UM201" s="17"/>
      <c r="UN201" s="17"/>
      <c r="UO201" s="17"/>
      <c r="UP201" s="17"/>
      <c r="UQ201" s="17"/>
      <c r="UR201" s="17"/>
      <c r="US201" s="17"/>
      <c r="UT201" s="17"/>
      <c r="UU201" s="17"/>
      <c r="UV201" s="17"/>
      <c r="UW201" s="17"/>
      <c r="UX201" s="17"/>
      <c r="UY201" s="17"/>
      <c r="UZ201" s="17"/>
      <c r="VA201" s="17"/>
      <c r="VB201" s="17"/>
      <c r="VC201" s="17"/>
      <c r="VD201" s="17"/>
      <c r="VE201" s="17"/>
      <c r="VF201" s="17"/>
      <c r="VG201" s="17"/>
      <c r="VH201" s="17"/>
      <c r="VI201" s="17"/>
      <c r="VJ201" s="17"/>
      <c r="VK201" s="17"/>
      <c r="VL201" s="17"/>
      <c r="VM201" s="17"/>
      <c r="VN201" s="17"/>
      <c r="VO201" s="17"/>
      <c r="VP201" s="17"/>
      <c r="VQ201" s="17"/>
      <c r="VR201" s="17"/>
      <c r="VS201" s="17"/>
      <c r="VT201" s="17"/>
      <c r="VU201" s="17"/>
      <c r="VV201" s="17"/>
      <c r="VW201" s="17"/>
      <c r="VX201" s="17"/>
      <c r="VY201" s="17"/>
      <c r="VZ201" s="17"/>
      <c r="WA201" s="17"/>
      <c r="WB201" s="17"/>
      <c r="WC201" s="17"/>
      <c r="WD201" s="17"/>
      <c r="WE201" s="17"/>
      <c r="WF201" s="17"/>
      <c r="WG201" s="17"/>
      <c r="WH201" s="17"/>
      <c r="WI201" s="17"/>
      <c r="WJ201" s="17"/>
      <c r="WK201" s="17"/>
      <c r="WL201" s="17"/>
      <c r="WM201" s="17"/>
      <c r="WN201" s="17"/>
      <c r="WO201" s="17"/>
      <c r="WP201" s="17"/>
      <c r="WQ201" s="17"/>
      <c r="WR201" s="17"/>
      <c r="WS201" s="17"/>
      <c r="WT201" s="17"/>
      <c r="WU201" s="17"/>
      <c r="WV201" s="17"/>
      <c r="WW201" s="17"/>
      <c r="WX201" s="17"/>
      <c r="WY201" s="17"/>
      <c r="WZ201" s="17"/>
      <c r="XA201" s="17"/>
      <c r="XB201" s="17"/>
      <c r="XC201" s="17"/>
      <c r="XD201" s="17"/>
      <c r="XE201" s="17"/>
      <c r="XF201" s="17"/>
      <c r="XG201" s="17"/>
      <c r="XH201" s="17"/>
      <c r="XI201" s="17"/>
      <c r="XJ201" s="17"/>
      <c r="XK201" s="17"/>
      <c r="XL201" s="17"/>
      <c r="XM201" s="17"/>
      <c r="XN201" s="17"/>
      <c r="XO201" s="17"/>
      <c r="XP201" s="17"/>
      <c r="XQ201" s="17"/>
      <c r="XR201" s="17"/>
      <c r="XS201" s="17"/>
      <c r="XT201" s="17"/>
      <c r="XU201" s="17"/>
      <c r="XV201" s="17"/>
      <c r="XW201" s="17"/>
      <c r="XX201" s="17"/>
      <c r="XY201" s="17"/>
      <c r="XZ201" s="17"/>
      <c r="YA201" s="17"/>
      <c r="YB201" s="17"/>
      <c r="YC201" s="17"/>
      <c r="YD201" s="17"/>
      <c r="YE201" s="17"/>
      <c r="YF201" s="17"/>
      <c r="YG201" s="17"/>
      <c r="YH201" s="17"/>
      <c r="YI201" s="17"/>
      <c r="YJ201" s="17"/>
      <c r="YK201" s="17"/>
      <c r="YL201" s="17"/>
      <c r="YM201" s="17"/>
      <c r="YN201" s="17"/>
      <c r="YO201" s="17"/>
      <c r="YP201" s="17"/>
      <c r="YQ201" s="17"/>
      <c r="YR201" s="17"/>
      <c r="YS201" s="17"/>
    </row>
    <row r="202" spans="266:669" x14ac:dyDescent="0.25">
      <c r="JF202" s="17"/>
      <c r="JG202" s="17"/>
      <c r="JH202" s="17"/>
      <c r="JI202" s="17"/>
      <c r="JJ202" s="17"/>
      <c r="JK202" s="17"/>
      <c r="JL202" s="17"/>
      <c r="JM202" s="17"/>
      <c r="JN202" s="17"/>
      <c r="JO202" s="17"/>
      <c r="JP202" s="17"/>
      <c r="JQ202" s="17"/>
      <c r="JR202" s="17"/>
      <c r="JS202" s="17"/>
      <c r="JT202" s="17"/>
      <c r="JU202" s="17"/>
      <c r="JV202" s="17"/>
      <c r="JW202" s="17"/>
      <c r="JX202" s="17"/>
      <c r="JY202" s="17"/>
      <c r="JZ202" s="17"/>
      <c r="KA202" s="17"/>
      <c r="KB202" s="17"/>
      <c r="KC202" s="17"/>
      <c r="KD202" s="17"/>
      <c r="KE202" s="17"/>
      <c r="KF202" s="17"/>
      <c r="KG202" s="17"/>
      <c r="KH202" s="17"/>
      <c r="KI202" s="17"/>
      <c r="KJ202" s="17"/>
      <c r="KK202" s="17"/>
      <c r="KL202" s="17"/>
      <c r="KM202" s="17"/>
      <c r="KN202" s="17"/>
      <c r="KO202" s="17"/>
      <c r="KP202" s="17"/>
      <c r="KQ202" s="17"/>
      <c r="KR202" s="17"/>
      <c r="KS202" s="17"/>
      <c r="KT202" s="17"/>
      <c r="KU202" s="17"/>
      <c r="KV202" s="17"/>
      <c r="KW202" s="17"/>
      <c r="KX202" s="17"/>
      <c r="KY202" s="17"/>
      <c r="KZ202" s="17"/>
      <c r="LA202" s="17"/>
      <c r="LB202" s="17"/>
      <c r="LC202" s="17"/>
      <c r="LD202" s="17"/>
      <c r="LE202" s="17"/>
      <c r="LF202" s="17"/>
      <c r="LG202" s="17"/>
      <c r="LH202" s="17"/>
      <c r="LI202" s="17"/>
      <c r="LJ202" s="17"/>
      <c r="LK202" s="17"/>
      <c r="LL202" s="17"/>
      <c r="LM202" s="17"/>
      <c r="LN202" s="17"/>
      <c r="LO202" s="17"/>
      <c r="LP202" s="17"/>
      <c r="LQ202" s="17"/>
      <c r="LR202" s="17"/>
      <c r="LS202" s="17"/>
      <c r="LT202" s="17"/>
      <c r="LU202" s="17"/>
      <c r="LV202" s="17"/>
      <c r="LW202" s="17"/>
      <c r="LX202" s="17"/>
      <c r="LY202" s="17"/>
      <c r="LZ202" s="17"/>
      <c r="MA202" s="17"/>
      <c r="MB202" s="17"/>
      <c r="MC202" s="17"/>
      <c r="MD202" s="17"/>
      <c r="ME202" s="17"/>
      <c r="MF202" s="17"/>
      <c r="MG202" s="17"/>
      <c r="MH202" s="17"/>
      <c r="MI202" s="17"/>
      <c r="MJ202" s="17"/>
      <c r="MK202" s="17"/>
      <c r="ML202" s="17"/>
      <c r="MM202" s="17"/>
      <c r="MN202" s="17"/>
      <c r="MO202" s="17"/>
      <c r="MP202" s="17"/>
      <c r="MQ202" s="17"/>
      <c r="MR202" s="17"/>
      <c r="MS202" s="17"/>
      <c r="MT202" s="17"/>
      <c r="MU202" s="17"/>
      <c r="MV202" s="17"/>
      <c r="MW202" s="17"/>
      <c r="MX202" s="17"/>
      <c r="MY202" s="17"/>
      <c r="MZ202" s="17"/>
      <c r="NA202" s="17"/>
      <c r="NB202" s="17"/>
      <c r="NC202" s="17"/>
      <c r="ND202" s="17"/>
      <c r="NE202" s="17"/>
      <c r="NF202" s="17"/>
      <c r="NG202" s="17"/>
      <c r="NH202" s="17"/>
      <c r="NI202" s="17"/>
      <c r="NJ202" s="17"/>
      <c r="NK202" s="17"/>
      <c r="NL202" s="17"/>
      <c r="NM202" s="17"/>
      <c r="NN202" s="17"/>
      <c r="NO202" s="17"/>
      <c r="NP202" s="17"/>
      <c r="NQ202" s="17"/>
      <c r="NR202" s="17"/>
      <c r="NS202" s="17"/>
      <c r="NT202" s="17"/>
      <c r="NU202" s="17"/>
      <c r="NV202" s="17"/>
      <c r="NW202" s="17"/>
      <c r="NX202" s="17"/>
      <c r="NY202" s="17"/>
      <c r="NZ202" s="17"/>
      <c r="OA202" s="17"/>
      <c r="OB202" s="17"/>
      <c r="OC202" s="17"/>
      <c r="OD202" s="17"/>
      <c r="OE202" s="17"/>
      <c r="OF202" s="17"/>
      <c r="OG202" s="17"/>
      <c r="OH202" s="17"/>
      <c r="OI202" s="17"/>
      <c r="OJ202" s="17"/>
      <c r="OK202" s="17"/>
      <c r="OL202" s="17"/>
      <c r="OM202" s="17"/>
      <c r="ON202" s="17"/>
      <c r="OO202" s="17"/>
      <c r="OP202" s="17"/>
      <c r="OQ202" s="17"/>
      <c r="OR202" s="17"/>
      <c r="OS202" s="17"/>
      <c r="OT202" s="17"/>
      <c r="OU202" s="17"/>
      <c r="OV202" s="17"/>
      <c r="OW202" s="17"/>
      <c r="OX202" s="17"/>
      <c r="OY202" s="17"/>
      <c r="OZ202" s="17"/>
      <c r="PA202" s="17"/>
      <c r="PB202" s="17"/>
      <c r="PC202" s="17"/>
      <c r="PD202" s="17"/>
      <c r="PE202" s="17"/>
      <c r="PF202" s="17"/>
      <c r="PG202" s="17"/>
      <c r="PH202" s="17"/>
      <c r="PI202" s="17"/>
      <c r="PJ202" s="17"/>
      <c r="PK202" s="17"/>
      <c r="PL202" s="17"/>
      <c r="PM202" s="17"/>
      <c r="PN202" s="17"/>
      <c r="PO202" s="17"/>
      <c r="PP202" s="17"/>
      <c r="PQ202" s="17"/>
      <c r="PR202" s="17"/>
      <c r="PS202" s="17"/>
      <c r="PT202" s="17"/>
      <c r="PU202" s="17"/>
      <c r="PV202" s="17"/>
      <c r="PW202" s="17"/>
      <c r="PX202" s="17"/>
      <c r="PY202" s="17"/>
      <c r="PZ202" s="17"/>
      <c r="QA202" s="17"/>
      <c r="QB202" s="17"/>
      <c r="QC202" s="17"/>
      <c r="QD202" s="17"/>
      <c r="QE202" s="17"/>
      <c r="QF202" s="17"/>
      <c r="QG202" s="17"/>
      <c r="QH202" s="17"/>
      <c r="QI202" s="17"/>
      <c r="QJ202" s="17"/>
      <c r="QK202" s="17"/>
      <c r="QL202" s="17"/>
      <c r="QM202" s="17"/>
      <c r="QN202" s="17"/>
      <c r="QO202" s="17"/>
      <c r="QP202" s="17"/>
      <c r="QQ202" s="17"/>
      <c r="QR202" s="17"/>
      <c r="QS202" s="17"/>
      <c r="QT202" s="17"/>
      <c r="QU202" s="17"/>
      <c r="QV202" s="17"/>
      <c r="QW202" s="17"/>
      <c r="QX202" s="17"/>
      <c r="QY202" s="17"/>
      <c r="QZ202" s="17"/>
      <c r="RA202" s="17"/>
      <c r="RB202" s="17"/>
      <c r="RC202" s="17"/>
      <c r="RD202" s="17"/>
      <c r="RE202" s="17"/>
      <c r="RF202" s="17"/>
      <c r="RG202" s="17"/>
      <c r="RH202" s="17"/>
      <c r="RI202" s="17"/>
      <c r="RJ202" s="17"/>
      <c r="RK202" s="17"/>
      <c r="RL202" s="17"/>
      <c r="RM202" s="17"/>
      <c r="RN202" s="17"/>
      <c r="RO202" s="17"/>
      <c r="RP202" s="17"/>
      <c r="RQ202" s="17"/>
      <c r="RR202" s="17"/>
      <c r="RS202" s="17"/>
      <c r="RT202" s="17"/>
      <c r="RU202" s="17"/>
      <c r="RV202" s="17"/>
      <c r="RW202" s="17"/>
      <c r="RX202" s="17"/>
      <c r="RY202" s="17"/>
      <c r="RZ202" s="17"/>
      <c r="SA202" s="17"/>
      <c r="SB202" s="17"/>
      <c r="SC202" s="17"/>
      <c r="SD202" s="17"/>
      <c r="SE202" s="17"/>
      <c r="SF202" s="17"/>
      <c r="SG202" s="17"/>
      <c r="SH202" s="17"/>
      <c r="SI202" s="17"/>
      <c r="SJ202" s="17"/>
      <c r="SK202" s="17"/>
      <c r="SL202" s="17"/>
      <c r="SM202" s="17"/>
      <c r="SN202" s="17"/>
      <c r="SO202" s="17"/>
      <c r="SP202" s="17"/>
      <c r="SQ202" s="17"/>
      <c r="SR202" s="17"/>
      <c r="SS202" s="17"/>
      <c r="ST202" s="17"/>
      <c r="SU202" s="17"/>
      <c r="SV202" s="17"/>
      <c r="SW202" s="17"/>
      <c r="SX202" s="17"/>
      <c r="SY202" s="17"/>
      <c r="SZ202" s="17"/>
      <c r="TA202" s="17"/>
      <c r="TB202" s="17"/>
      <c r="TC202" s="17"/>
      <c r="TD202" s="17"/>
      <c r="TE202" s="17"/>
      <c r="TF202" s="17"/>
      <c r="TG202" s="17"/>
      <c r="TH202" s="17"/>
      <c r="TI202" s="17"/>
      <c r="TJ202" s="17"/>
      <c r="TK202" s="17"/>
      <c r="TL202" s="17"/>
      <c r="TM202" s="17"/>
      <c r="TN202" s="17"/>
      <c r="TO202" s="17"/>
      <c r="TP202" s="17"/>
      <c r="TQ202" s="17"/>
      <c r="TR202" s="17"/>
      <c r="TS202" s="17"/>
      <c r="TT202" s="17"/>
      <c r="TU202" s="17"/>
      <c r="TV202" s="17"/>
      <c r="TW202" s="17"/>
      <c r="TX202" s="17"/>
      <c r="TY202" s="17"/>
      <c r="TZ202" s="17"/>
      <c r="UA202" s="17"/>
      <c r="UB202" s="17"/>
      <c r="UC202" s="17"/>
      <c r="UD202" s="17"/>
      <c r="UE202" s="17"/>
      <c r="UF202" s="17"/>
      <c r="UG202" s="17"/>
      <c r="UH202" s="17"/>
      <c r="UI202" s="17"/>
      <c r="UJ202" s="17"/>
      <c r="UK202" s="17"/>
      <c r="UL202" s="17"/>
      <c r="UM202" s="17"/>
      <c r="UN202" s="17"/>
      <c r="UO202" s="17"/>
      <c r="UP202" s="17"/>
      <c r="UQ202" s="17"/>
      <c r="UR202" s="17"/>
      <c r="US202" s="17"/>
      <c r="UT202" s="17"/>
      <c r="UU202" s="17"/>
      <c r="UV202" s="17"/>
      <c r="UW202" s="17"/>
      <c r="UX202" s="17"/>
      <c r="UY202" s="17"/>
      <c r="UZ202" s="17"/>
      <c r="VA202" s="17"/>
      <c r="VB202" s="17"/>
      <c r="VC202" s="17"/>
      <c r="VD202" s="17"/>
      <c r="VE202" s="17"/>
      <c r="VF202" s="17"/>
      <c r="VG202" s="17"/>
      <c r="VH202" s="17"/>
      <c r="VI202" s="17"/>
      <c r="VJ202" s="17"/>
      <c r="VK202" s="17"/>
      <c r="VL202" s="17"/>
      <c r="VM202" s="17"/>
      <c r="VN202" s="17"/>
      <c r="VO202" s="17"/>
      <c r="VP202" s="17"/>
      <c r="VQ202" s="17"/>
      <c r="VR202" s="17"/>
      <c r="VS202" s="17"/>
      <c r="VT202" s="17"/>
      <c r="VU202" s="17"/>
      <c r="VV202" s="17"/>
      <c r="VW202" s="17"/>
      <c r="VX202" s="17"/>
      <c r="VY202" s="17"/>
      <c r="VZ202" s="17"/>
      <c r="WA202" s="17"/>
      <c r="WB202" s="17"/>
      <c r="WC202" s="17"/>
      <c r="WD202" s="17"/>
      <c r="WE202" s="17"/>
      <c r="WF202" s="17"/>
      <c r="WG202" s="17"/>
      <c r="WH202" s="17"/>
      <c r="WI202" s="17"/>
      <c r="WJ202" s="17"/>
      <c r="WK202" s="17"/>
      <c r="WL202" s="17"/>
      <c r="WM202" s="17"/>
      <c r="WN202" s="17"/>
      <c r="WO202" s="17"/>
      <c r="WP202" s="17"/>
      <c r="WQ202" s="17"/>
      <c r="WR202" s="17"/>
      <c r="WS202" s="17"/>
      <c r="WT202" s="17"/>
      <c r="WU202" s="17"/>
      <c r="WV202" s="17"/>
      <c r="WW202" s="17"/>
      <c r="WX202" s="17"/>
      <c r="WY202" s="17"/>
      <c r="WZ202" s="17"/>
      <c r="XA202" s="17"/>
      <c r="XB202" s="17"/>
      <c r="XC202" s="17"/>
      <c r="XD202" s="17"/>
      <c r="XE202" s="17"/>
      <c r="XF202" s="17"/>
      <c r="XG202" s="17"/>
      <c r="XH202" s="17"/>
      <c r="XI202" s="17"/>
      <c r="XJ202" s="17"/>
      <c r="XK202" s="17"/>
      <c r="XL202" s="17"/>
      <c r="XM202" s="17"/>
      <c r="XN202" s="17"/>
      <c r="XO202" s="17"/>
      <c r="XP202" s="17"/>
      <c r="XQ202" s="17"/>
      <c r="XR202" s="17"/>
      <c r="XS202" s="17"/>
      <c r="XT202" s="17"/>
      <c r="XU202" s="17"/>
      <c r="XV202" s="17"/>
      <c r="XW202" s="17"/>
      <c r="XX202" s="17"/>
      <c r="XY202" s="17"/>
      <c r="XZ202" s="17"/>
      <c r="YA202" s="17"/>
      <c r="YB202" s="17"/>
      <c r="YC202" s="17"/>
      <c r="YD202" s="17"/>
      <c r="YE202" s="17"/>
      <c r="YF202" s="17"/>
      <c r="YG202" s="17"/>
      <c r="YH202" s="17"/>
      <c r="YI202" s="17"/>
      <c r="YJ202" s="17"/>
      <c r="YK202" s="17"/>
      <c r="YL202" s="17"/>
      <c r="YM202" s="17"/>
      <c r="YN202" s="17"/>
      <c r="YO202" s="17"/>
      <c r="YP202" s="17"/>
      <c r="YQ202" s="17"/>
      <c r="YR202" s="17"/>
      <c r="YS202" s="17"/>
    </row>
    <row r="203" spans="266:669" x14ac:dyDescent="0.25">
      <c r="JF203" s="17"/>
      <c r="JG203" s="17"/>
      <c r="JH203" s="17"/>
      <c r="JI203" s="17"/>
      <c r="JJ203" s="17"/>
      <c r="JK203" s="17"/>
      <c r="JL203" s="17"/>
      <c r="JM203" s="17"/>
      <c r="JN203" s="17"/>
      <c r="JO203" s="17"/>
      <c r="JP203" s="17"/>
      <c r="JQ203" s="17"/>
      <c r="JR203" s="17"/>
      <c r="JS203" s="17"/>
      <c r="JT203" s="17"/>
      <c r="JU203" s="17"/>
      <c r="JV203" s="17"/>
      <c r="JW203" s="17"/>
      <c r="JX203" s="17"/>
      <c r="JY203" s="17"/>
      <c r="JZ203" s="17"/>
      <c r="KA203" s="17"/>
      <c r="KB203" s="17"/>
      <c r="KC203" s="17"/>
      <c r="KD203" s="17"/>
      <c r="KE203" s="17"/>
      <c r="KF203" s="17"/>
      <c r="KG203" s="17"/>
      <c r="KH203" s="17"/>
      <c r="KI203" s="17"/>
      <c r="KJ203" s="17"/>
      <c r="KK203" s="17"/>
      <c r="KL203" s="17"/>
      <c r="KM203" s="17"/>
      <c r="KN203" s="17"/>
      <c r="KO203" s="17"/>
      <c r="KP203" s="17"/>
      <c r="KQ203" s="17"/>
      <c r="KR203" s="17"/>
      <c r="KS203" s="17"/>
      <c r="KT203" s="17"/>
      <c r="KU203" s="17"/>
      <c r="KV203" s="17"/>
      <c r="KW203" s="17"/>
      <c r="KX203" s="17"/>
      <c r="KY203" s="17"/>
      <c r="KZ203" s="17"/>
      <c r="LA203" s="17"/>
      <c r="LB203" s="17"/>
      <c r="LC203" s="17"/>
      <c r="LD203" s="17"/>
      <c r="LE203" s="17"/>
      <c r="LF203" s="17"/>
      <c r="LG203" s="17"/>
      <c r="LH203" s="17"/>
      <c r="LI203" s="17"/>
      <c r="LJ203" s="17"/>
      <c r="LK203" s="17"/>
      <c r="LL203" s="17"/>
      <c r="LM203" s="17"/>
      <c r="LN203" s="17"/>
      <c r="LO203" s="17"/>
      <c r="LP203" s="17"/>
      <c r="LQ203" s="17"/>
      <c r="LR203" s="17"/>
      <c r="LS203" s="17"/>
      <c r="LT203" s="17"/>
      <c r="LU203" s="17"/>
      <c r="LV203" s="17"/>
      <c r="LW203" s="17"/>
      <c r="LX203" s="17"/>
      <c r="LY203" s="17"/>
      <c r="LZ203" s="17"/>
      <c r="MA203" s="17"/>
      <c r="MB203" s="17"/>
      <c r="MC203" s="17"/>
      <c r="MD203" s="17"/>
      <c r="ME203" s="17"/>
      <c r="MF203" s="17"/>
      <c r="MG203" s="17"/>
      <c r="MH203" s="17"/>
      <c r="MI203" s="17"/>
      <c r="MJ203" s="17"/>
      <c r="MK203" s="17"/>
      <c r="ML203" s="17"/>
      <c r="MM203" s="17"/>
      <c r="MN203" s="17"/>
      <c r="MO203" s="17"/>
      <c r="MP203" s="17"/>
      <c r="MQ203" s="17"/>
      <c r="MR203" s="17"/>
      <c r="MS203" s="17"/>
      <c r="MT203" s="17"/>
      <c r="MU203" s="17"/>
      <c r="MV203" s="17"/>
      <c r="MW203" s="17"/>
      <c r="MX203" s="17"/>
      <c r="MY203" s="17"/>
      <c r="MZ203" s="17"/>
      <c r="NA203" s="17"/>
      <c r="NB203" s="17"/>
      <c r="NC203" s="17"/>
      <c r="ND203" s="17"/>
      <c r="NE203" s="17"/>
      <c r="NF203" s="17"/>
      <c r="NG203" s="17"/>
      <c r="NH203" s="17"/>
      <c r="NI203" s="17"/>
      <c r="NJ203" s="17"/>
      <c r="NK203" s="17"/>
      <c r="NL203" s="17"/>
      <c r="NM203" s="17"/>
      <c r="NN203" s="17"/>
      <c r="NO203" s="17"/>
      <c r="NP203" s="17"/>
      <c r="NQ203" s="17"/>
      <c r="NR203" s="17"/>
      <c r="NS203" s="17"/>
      <c r="NT203" s="17"/>
      <c r="NU203" s="17"/>
      <c r="NV203" s="17"/>
      <c r="NW203" s="17"/>
      <c r="NX203" s="17"/>
      <c r="NY203" s="17"/>
      <c r="NZ203" s="17"/>
      <c r="OA203" s="17"/>
      <c r="OB203" s="17"/>
      <c r="OC203" s="17"/>
      <c r="OD203" s="17"/>
      <c r="OE203" s="17"/>
      <c r="OF203" s="17"/>
      <c r="OG203" s="17"/>
      <c r="OH203" s="17"/>
      <c r="OI203" s="17"/>
      <c r="OJ203" s="17"/>
      <c r="OK203" s="17"/>
      <c r="OL203" s="17"/>
      <c r="OM203" s="17"/>
      <c r="ON203" s="17"/>
      <c r="OO203" s="17"/>
      <c r="OP203" s="17"/>
      <c r="OQ203" s="17"/>
      <c r="OR203" s="17"/>
      <c r="OS203" s="17"/>
      <c r="OT203" s="17"/>
      <c r="OU203" s="17"/>
      <c r="OV203" s="17"/>
      <c r="OW203" s="17"/>
      <c r="OX203" s="17"/>
      <c r="OY203" s="17"/>
      <c r="OZ203" s="17"/>
      <c r="PA203" s="17"/>
      <c r="PB203" s="17"/>
      <c r="PC203" s="17"/>
      <c r="PD203" s="17"/>
      <c r="PE203" s="17"/>
      <c r="PF203" s="17"/>
      <c r="PG203" s="17"/>
      <c r="PH203" s="17"/>
      <c r="PI203" s="17"/>
      <c r="PJ203" s="17"/>
      <c r="PK203" s="17"/>
      <c r="PL203" s="17"/>
      <c r="PM203" s="17"/>
      <c r="PN203" s="17"/>
      <c r="PO203" s="17"/>
      <c r="PP203" s="17"/>
      <c r="PQ203" s="17"/>
      <c r="PR203" s="17"/>
      <c r="PS203" s="17"/>
      <c r="PT203" s="17"/>
      <c r="PU203" s="17"/>
      <c r="PV203" s="17"/>
      <c r="PW203" s="17"/>
      <c r="PX203" s="17"/>
      <c r="PY203" s="17"/>
      <c r="PZ203" s="17"/>
      <c r="QA203" s="17"/>
      <c r="QB203" s="17"/>
      <c r="QC203" s="17"/>
      <c r="QD203" s="17"/>
      <c r="QE203" s="17"/>
      <c r="QF203" s="17"/>
      <c r="QG203" s="17"/>
      <c r="QH203" s="17"/>
      <c r="QI203" s="17"/>
      <c r="QJ203" s="17"/>
      <c r="QK203" s="17"/>
      <c r="QL203" s="17"/>
      <c r="QM203" s="17"/>
      <c r="QN203" s="17"/>
      <c r="QO203" s="17"/>
      <c r="QP203" s="17"/>
      <c r="QQ203" s="17"/>
      <c r="QR203" s="17"/>
      <c r="QS203" s="17"/>
      <c r="QT203" s="17"/>
      <c r="QU203" s="17"/>
      <c r="QV203" s="17"/>
      <c r="QW203" s="17"/>
      <c r="QX203" s="17"/>
      <c r="QY203" s="17"/>
      <c r="QZ203" s="17"/>
      <c r="RA203" s="17"/>
      <c r="RB203" s="17"/>
      <c r="RC203" s="17"/>
      <c r="RD203" s="17"/>
      <c r="RE203" s="17"/>
      <c r="RF203" s="17"/>
      <c r="RG203" s="17"/>
      <c r="RH203" s="17"/>
      <c r="RI203" s="17"/>
      <c r="RJ203" s="17"/>
      <c r="RK203" s="17"/>
      <c r="RL203" s="17"/>
      <c r="RM203" s="17"/>
      <c r="RN203" s="17"/>
      <c r="RO203" s="17"/>
      <c r="RP203" s="17"/>
      <c r="RQ203" s="17"/>
      <c r="RR203" s="17"/>
      <c r="RS203" s="17"/>
      <c r="RT203" s="17"/>
      <c r="RU203" s="17"/>
      <c r="RV203" s="17"/>
      <c r="RW203" s="17"/>
      <c r="RX203" s="17"/>
      <c r="RY203" s="17"/>
      <c r="RZ203" s="17"/>
      <c r="SA203" s="17"/>
      <c r="SB203" s="17"/>
      <c r="SC203" s="17"/>
      <c r="SD203" s="17"/>
      <c r="SE203" s="17"/>
      <c r="SF203" s="17"/>
      <c r="SG203" s="17"/>
      <c r="SH203" s="17"/>
      <c r="SI203" s="17"/>
      <c r="SJ203" s="17"/>
      <c r="SK203" s="17"/>
      <c r="SL203" s="17"/>
      <c r="SM203" s="17"/>
      <c r="SN203" s="17"/>
      <c r="SO203" s="17"/>
      <c r="SP203" s="17"/>
      <c r="SQ203" s="17"/>
      <c r="SR203" s="17"/>
      <c r="SS203" s="17"/>
      <c r="ST203" s="17"/>
      <c r="SU203" s="17"/>
      <c r="SV203" s="17"/>
      <c r="SW203" s="17"/>
      <c r="SX203" s="17"/>
      <c r="SY203" s="17"/>
      <c r="SZ203" s="17"/>
      <c r="TA203" s="17"/>
      <c r="TB203" s="17"/>
      <c r="TC203" s="17"/>
      <c r="TD203" s="17"/>
      <c r="TE203" s="17"/>
      <c r="TF203" s="17"/>
      <c r="TG203" s="17"/>
      <c r="TH203" s="17"/>
      <c r="TI203" s="17"/>
      <c r="TJ203" s="17"/>
      <c r="TK203" s="17"/>
      <c r="TL203" s="17"/>
      <c r="TM203" s="17"/>
      <c r="TN203" s="17"/>
      <c r="TO203" s="17"/>
      <c r="TP203" s="17"/>
      <c r="TQ203" s="17"/>
      <c r="TR203" s="17"/>
      <c r="TS203" s="17"/>
      <c r="TT203" s="17"/>
      <c r="TU203" s="17"/>
      <c r="TV203" s="17"/>
      <c r="TW203" s="17"/>
      <c r="TX203" s="17"/>
      <c r="TY203" s="17"/>
      <c r="TZ203" s="17"/>
      <c r="UA203" s="17"/>
      <c r="UB203" s="17"/>
      <c r="UC203" s="17"/>
      <c r="UD203" s="17"/>
      <c r="UE203" s="17"/>
      <c r="UF203" s="17"/>
      <c r="UG203" s="17"/>
      <c r="UH203" s="17"/>
      <c r="UI203" s="17"/>
      <c r="UJ203" s="17"/>
      <c r="UK203" s="17"/>
      <c r="UL203" s="17"/>
      <c r="UM203" s="17"/>
      <c r="UN203" s="17"/>
      <c r="UO203" s="17"/>
      <c r="UP203" s="17"/>
      <c r="UQ203" s="17"/>
      <c r="UR203" s="17"/>
      <c r="US203" s="17"/>
      <c r="UT203" s="17"/>
      <c r="UU203" s="17"/>
      <c r="UV203" s="17"/>
      <c r="UW203" s="17"/>
      <c r="UX203" s="17"/>
      <c r="UY203" s="17"/>
      <c r="UZ203" s="17"/>
      <c r="VA203" s="17"/>
      <c r="VB203" s="17"/>
      <c r="VC203" s="17"/>
      <c r="VD203" s="17"/>
      <c r="VE203" s="17"/>
      <c r="VF203" s="17"/>
      <c r="VG203" s="17"/>
      <c r="VH203" s="17"/>
      <c r="VI203" s="17"/>
      <c r="VJ203" s="17"/>
      <c r="VK203" s="17"/>
      <c r="VL203" s="17"/>
      <c r="VM203" s="17"/>
      <c r="VN203" s="17"/>
      <c r="VO203" s="17"/>
      <c r="VP203" s="17"/>
      <c r="VQ203" s="17"/>
      <c r="VR203" s="17"/>
      <c r="VS203" s="17"/>
      <c r="VT203" s="17"/>
      <c r="VU203" s="17"/>
      <c r="VV203" s="17"/>
      <c r="VW203" s="17"/>
      <c r="VX203" s="17"/>
      <c r="VY203" s="17"/>
      <c r="VZ203" s="17"/>
      <c r="WA203" s="17"/>
      <c r="WB203" s="17"/>
      <c r="WC203" s="17"/>
      <c r="WD203" s="17"/>
      <c r="WE203" s="17"/>
      <c r="WF203" s="17"/>
      <c r="WG203" s="17"/>
      <c r="WH203" s="17"/>
      <c r="WI203" s="17"/>
      <c r="WJ203" s="17"/>
      <c r="WK203" s="17"/>
      <c r="WL203" s="17"/>
      <c r="WM203" s="17"/>
      <c r="WN203" s="17"/>
      <c r="WO203" s="17"/>
      <c r="WP203" s="17"/>
      <c r="WQ203" s="17"/>
      <c r="WR203" s="17"/>
      <c r="WS203" s="17"/>
      <c r="WT203" s="17"/>
      <c r="WU203" s="17"/>
      <c r="WV203" s="17"/>
      <c r="WW203" s="17"/>
      <c r="WX203" s="17"/>
      <c r="WY203" s="17"/>
      <c r="WZ203" s="17"/>
      <c r="XA203" s="17"/>
      <c r="XB203" s="17"/>
      <c r="XC203" s="17"/>
      <c r="XD203" s="17"/>
      <c r="XE203" s="17"/>
      <c r="XF203" s="17"/>
      <c r="XG203" s="17"/>
      <c r="XH203" s="17"/>
      <c r="XI203" s="17"/>
      <c r="XJ203" s="17"/>
      <c r="XK203" s="17"/>
      <c r="XL203" s="17"/>
      <c r="XM203" s="17"/>
      <c r="XN203" s="17"/>
      <c r="XO203" s="17"/>
      <c r="XP203" s="17"/>
      <c r="XQ203" s="17"/>
      <c r="XR203" s="17"/>
      <c r="XS203" s="17"/>
      <c r="XT203" s="17"/>
      <c r="XU203" s="17"/>
      <c r="XV203" s="17"/>
      <c r="XW203" s="17"/>
      <c r="XX203" s="17"/>
      <c r="XY203" s="17"/>
      <c r="XZ203" s="17"/>
      <c r="YA203" s="17"/>
      <c r="YB203" s="17"/>
      <c r="YC203" s="17"/>
      <c r="YD203" s="17"/>
      <c r="YE203" s="17"/>
      <c r="YF203" s="17"/>
      <c r="YG203" s="17"/>
      <c r="YH203" s="17"/>
      <c r="YI203" s="17"/>
      <c r="YJ203" s="17"/>
      <c r="YK203" s="17"/>
      <c r="YL203" s="17"/>
      <c r="YM203" s="17"/>
      <c r="YN203" s="17"/>
      <c r="YO203" s="17"/>
      <c r="YP203" s="17"/>
      <c r="YQ203" s="17"/>
      <c r="YR203" s="17"/>
      <c r="YS203" s="17"/>
    </row>
    <row r="204" spans="266:669" x14ac:dyDescent="0.25">
      <c r="JF204" s="17"/>
      <c r="JG204" s="17"/>
      <c r="JH204" s="17"/>
      <c r="JI204" s="17"/>
      <c r="JJ204" s="17"/>
      <c r="JK204" s="17"/>
      <c r="JL204" s="17"/>
      <c r="JM204" s="17"/>
      <c r="JN204" s="17"/>
      <c r="JO204" s="17"/>
      <c r="JP204" s="17"/>
      <c r="JQ204" s="17"/>
      <c r="JR204" s="17"/>
      <c r="JS204" s="17"/>
      <c r="JT204" s="17"/>
      <c r="JU204" s="17"/>
      <c r="JV204" s="17"/>
      <c r="JW204" s="17"/>
      <c r="JX204" s="17"/>
      <c r="JY204" s="17"/>
      <c r="JZ204" s="17"/>
      <c r="KA204" s="17"/>
      <c r="KB204" s="17"/>
      <c r="KC204" s="17"/>
      <c r="KD204" s="17"/>
      <c r="KE204" s="17"/>
      <c r="KF204" s="17"/>
      <c r="KG204" s="17"/>
      <c r="KH204" s="17"/>
      <c r="KI204" s="17"/>
      <c r="KJ204" s="17"/>
      <c r="KK204" s="17"/>
      <c r="KL204" s="17"/>
      <c r="KM204" s="17"/>
      <c r="KN204" s="17"/>
      <c r="KO204" s="17"/>
      <c r="KP204" s="17"/>
      <c r="KQ204" s="17"/>
      <c r="KR204" s="17"/>
      <c r="KS204" s="17"/>
      <c r="KT204" s="17"/>
      <c r="KU204" s="17"/>
      <c r="KV204" s="17"/>
      <c r="KW204" s="17"/>
      <c r="KX204" s="17"/>
      <c r="KY204" s="17"/>
      <c r="KZ204" s="17"/>
      <c r="LA204" s="17"/>
      <c r="LB204" s="17"/>
      <c r="LC204" s="17"/>
      <c r="LD204" s="17"/>
      <c r="LE204" s="17"/>
      <c r="LF204" s="17"/>
      <c r="LG204" s="17"/>
      <c r="LH204" s="17"/>
      <c r="LI204" s="17"/>
      <c r="LJ204" s="17"/>
      <c r="LK204" s="17"/>
      <c r="LL204" s="17"/>
      <c r="LM204" s="17"/>
      <c r="LN204" s="17"/>
      <c r="LO204" s="17"/>
      <c r="LP204" s="17"/>
      <c r="LQ204" s="17"/>
      <c r="LR204" s="17"/>
      <c r="LS204" s="17"/>
      <c r="LT204" s="17"/>
      <c r="LU204" s="17"/>
      <c r="LV204" s="17"/>
      <c r="LW204" s="17"/>
      <c r="LX204" s="17"/>
      <c r="LY204" s="17"/>
      <c r="LZ204" s="17"/>
      <c r="MA204" s="17"/>
      <c r="MB204" s="17"/>
      <c r="MC204" s="17"/>
      <c r="MD204" s="17"/>
      <c r="ME204" s="17"/>
      <c r="MF204" s="17"/>
      <c r="MG204" s="17"/>
      <c r="MH204" s="17"/>
      <c r="MI204" s="17"/>
      <c r="MJ204" s="17"/>
      <c r="MK204" s="17"/>
      <c r="ML204" s="17"/>
      <c r="MM204" s="17"/>
      <c r="MN204" s="17"/>
      <c r="MO204" s="17"/>
      <c r="MP204" s="17"/>
      <c r="MQ204" s="17"/>
      <c r="MR204" s="17"/>
      <c r="MS204" s="17"/>
      <c r="MT204" s="17"/>
      <c r="MU204" s="17"/>
      <c r="MV204" s="17"/>
      <c r="MW204" s="17"/>
      <c r="MX204" s="17"/>
      <c r="MY204" s="17"/>
      <c r="MZ204" s="17"/>
      <c r="NA204" s="17"/>
      <c r="NB204" s="17"/>
      <c r="NC204" s="17"/>
      <c r="ND204" s="17"/>
      <c r="NE204" s="17"/>
      <c r="NF204" s="17"/>
      <c r="NG204" s="17"/>
      <c r="NH204" s="17"/>
      <c r="NI204" s="17"/>
      <c r="NJ204" s="17"/>
      <c r="NK204" s="17"/>
      <c r="NL204" s="17"/>
      <c r="NM204" s="17"/>
      <c r="NN204" s="17"/>
      <c r="NO204" s="17"/>
      <c r="NP204" s="17"/>
      <c r="NQ204" s="17"/>
      <c r="NR204" s="17"/>
      <c r="NS204" s="17"/>
      <c r="NT204" s="17"/>
      <c r="NU204" s="17"/>
      <c r="NV204" s="17"/>
      <c r="NW204" s="17"/>
      <c r="NX204" s="17"/>
      <c r="NY204" s="17"/>
      <c r="NZ204" s="17"/>
      <c r="OA204" s="17"/>
      <c r="OB204" s="17"/>
      <c r="OC204" s="17"/>
      <c r="OD204" s="17"/>
      <c r="OE204" s="17"/>
      <c r="OF204" s="17"/>
      <c r="OG204" s="17"/>
      <c r="OH204" s="17"/>
      <c r="OI204" s="17"/>
      <c r="OJ204" s="17"/>
      <c r="OK204" s="17"/>
      <c r="OL204" s="17"/>
      <c r="OM204" s="17"/>
      <c r="ON204" s="17"/>
      <c r="OO204" s="17"/>
      <c r="OP204" s="17"/>
      <c r="OQ204" s="17"/>
      <c r="OR204" s="17"/>
      <c r="OS204" s="17"/>
      <c r="OT204" s="17"/>
      <c r="OU204" s="17"/>
      <c r="OV204" s="17"/>
      <c r="OW204" s="17"/>
      <c r="OX204" s="17"/>
      <c r="OY204" s="17"/>
      <c r="OZ204" s="17"/>
      <c r="PA204" s="17"/>
      <c r="PB204" s="17"/>
      <c r="PC204" s="17"/>
      <c r="PD204" s="17"/>
      <c r="PE204" s="17"/>
      <c r="PF204" s="17"/>
      <c r="PG204" s="17"/>
      <c r="PH204" s="17"/>
      <c r="PI204" s="17"/>
      <c r="PJ204" s="17"/>
      <c r="PK204" s="17"/>
      <c r="PL204" s="17"/>
      <c r="PM204" s="17"/>
      <c r="PN204" s="17"/>
      <c r="PO204" s="17"/>
      <c r="PP204" s="17"/>
      <c r="PQ204" s="17"/>
      <c r="PR204" s="17"/>
      <c r="PS204" s="17"/>
      <c r="PT204" s="17"/>
      <c r="PU204" s="17"/>
      <c r="PV204" s="17"/>
      <c r="PW204" s="17"/>
      <c r="PX204" s="17"/>
      <c r="PY204" s="17"/>
      <c r="PZ204" s="17"/>
      <c r="QA204" s="17"/>
      <c r="QB204" s="17"/>
      <c r="QC204" s="17"/>
      <c r="QD204" s="17"/>
      <c r="QE204" s="17"/>
      <c r="QF204" s="17"/>
      <c r="QG204" s="17"/>
      <c r="QH204" s="17"/>
      <c r="QI204" s="17"/>
      <c r="QJ204" s="17"/>
      <c r="QK204" s="17"/>
      <c r="QL204" s="17"/>
      <c r="QM204" s="17"/>
      <c r="QN204" s="17"/>
      <c r="QO204" s="17"/>
      <c r="QP204" s="17"/>
      <c r="QQ204" s="17"/>
      <c r="QR204" s="17"/>
      <c r="QS204" s="17"/>
      <c r="QT204" s="17"/>
      <c r="QU204" s="17"/>
      <c r="QV204" s="17"/>
      <c r="QW204" s="17"/>
      <c r="QX204" s="17"/>
      <c r="QY204" s="17"/>
      <c r="QZ204" s="17"/>
      <c r="RA204" s="17"/>
      <c r="RB204" s="17"/>
      <c r="RC204" s="17"/>
      <c r="RD204" s="17"/>
      <c r="RE204" s="17"/>
      <c r="RF204" s="17"/>
      <c r="RG204" s="17"/>
      <c r="RH204" s="17"/>
      <c r="RI204" s="17"/>
      <c r="RJ204" s="17"/>
      <c r="RK204" s="17"/>
      <c r="RL204" s="17"/>
      <c r="RM204" s="17"/>
      <c r="RN204" s="17"/>
      <c r="RO204" s="17"/>
      <c r="RP204" s="17"/>
      <c r="RQ204" s="17"/>
      <c r="RR204" s="17"/>
      <c r="RS204" s="17"/>
      <c r="RT204" s="17"/>
      <c r="RU204" s="17"/>
      <c r="RV204" s="17"/>
      <c r="RW204" s="17"/>
      <c r="RX204" s="17"/>
      <c r="RY204" s="17"/>
      <c r="RZ204" s="17"/>
      <c r="SA204" s="17"/>
      <c r="SB204" s="17"/>
      <c r="SC204" s="17"/>
      <c r="SD204" s="17"/>
      <c r="SE204" s="17"/>
      <c r="SF204" s="17"/>
      <c r="SG204" s="17"/>
      <c r="SH204" s="17"/>
      <c r="SI204" s="17"/>
      <c r="SJ204" s="17"/>
      <c r="SK204" s="17"/>
      <c r="SL204" s="17"/>
      <c r="SM204" s="17"/>
      <c r="SN204" s="17"/>
      <c r="SO204" s="17"/>
      <c r="SP204" s="17"/>
      <c r="SQ204" s="17"/>
      <c r="SR204" s="17"/>
      <c r="SS204" s="17"/>
      <c r="ST204" s="17"/>
      <c r="SU204" s="17"/>
      <c r="SV204" s="17"/>
      <c r="SW204" s="17"/>
      <c r="SX204" s="17"/>
      <c r="SY204" s="17"/>
      <c r="SZ204" s="17"/>
      <c r="TA204" s="17"/>
      <c r="TB204" s="17"/>
      <c r="TC204" s="17"/>
      <c r="TD204" s="17"/>
      <c r="TE204" s="17"/>
      <c r="TF204" s="17"/>
      <c r="TG204" s="17"/>
      <c r="TH204" s="17"/>
      <c r="TI204" s="17"/>
      <c r="TJ204" s="17"/>
      <c r="TK204" s="17"/>
      <c r="TL204" s="17"/>
      <c r="TM204" s="17"/>
      <c r="TN204" s="17"/>
      <c r="TO204" s="17"/>
      <c r="TP204" s="17"/>
      <c r="TQ204" s="17"/>
      <c r="TR204" s="17"/>
      <c r="TS204" s="17"/>
      <c r="TT204" s="17"/>
      <c r="TU204" s="17"/>
      <c r="TV204" s="17"/>
      <c r="TW204" s="17"/>
      <c r="TX204" s="17"/>
      <c r="TY204" s="17"/>
      <c r="TZ204" s="17"/>
      <c r="UA204" s="17"/>
      <c r="UB204" s="17"/>
      <c r="UC204" s="17"/>
      <c r="UD204" s="17"/>
      <c r="UE204" s="17"/>
      <c r="UF204" s="17"/>
      <c r="UG204" s="17"/>
      <c r="UH204" s="17"/>
      <c r="UI204" s="17"/>
      <c r="UJ204" s="17"/>
      <c r="UK204" s="17"/>
      <c r="UL204" s="17"/>
      <c r="UM204" s="17"/>
      <c r="UN204" s="17"/>
      <c r="UO204" s="17"/>
      <c r="UP204" s="17"/>
      <c r="UQ204" s="17"/>
      <c r="UR204" s="17"/>
      <c r="US204" s="17"/>
      <c r="UT204" s="17"/>
      <c r="UU204" s="17"/>
      <c r="UV204" s="17"/>
      <c r="UW204" s="17"/>
      <c r="UX204" s="17"/>
      <c r="UY204" s="17"/>
      <c r="UZ204" s="17"/>
      <c r="VA204" s="17"/>
      <c r="VB204" s="17"/>
      <c r="VC204" s="17"/>
      <c r="VD204" s="17"/>
      <c r="VE204" s="17"/>
      <c r="VF204" s="17"/>
      <c r="VG204" s="17"/>
      <c r="VH204" s="17"/>
      <c r="VI204" s="17"/>
      <c r="VJ204" s="17"/>
      <c r="VK204" s="17"/>
      <c r="VL204" s="17"/>
      <c r="VM204" s="17"/>
      <c r="VN204" s="17"/>
      <c r="VO204" s="17"/>
      <c r="VP204" s="17"/>
      <c r="VQ204" s="17"/>
      <c r="VR204" s="17"/>
      <c r="VS204" s="17"/>
      <c r="VT204" s="17"/>
      <c r="VU204" s="17"/>
      <c r="VV204" s="17"/>
      <c r="VW204" s="17"/>
      <c r="VX204" s="17"/>
      <c r="VY204" s="17"/>
      <c r="VZ204" s="17"/>
      <c r="WA204" s="17"/>
      <c r="WB204" s="17"/>
      <c r="WC204" s="17"/>
      <c r="WD204" s="17"/>
      <c r="WE204" s="17"/>
      <c r="WF204" s="17"/>
      <c r="WG204" s="17"/>
      <c r="WH204" s="17"/>
      <c r="WI204" s="17"/>
      <c r="WJ204" s="17"/>
      <c r="WK204" s="17"/>
      <c r="WL204" s="17"/>
      <c r="WM204" s="17"/>
      <c r="WN204" s="17"/>
      <c r="WO204" s="17"/>
      <c r="WP204" s="17"/>
      <c r="WQ204" s="17"/>
      <c r="WR204" s="17"/>
      <c r="WS204" s="17"/>
      <c r="WT204" s="17"/>
      <c r="WU204" s="17"/>
      <c r="WV204" s="17"/>
      <c r="WW204" s="17"/>
      <c r="WX204" s="17"/>
      <c r="WY204" s="17"/>
      <c r="WZ204" s="17"/>
      <c r="XA204" s="17"/>
      <c r="XB204" s="17"/>
      <c r="XC204" s="17"/>
      <c r="XD204" s="17"/>
      <c r="XE204" s="17"/>
      <c r="XF204" s="17"/>
      <c r="XG204" s="17"/>
      <c r="XH204" s="17"/>
      <c r="XI204" s="17"/>
      <c r="XJ204" s="17"/>
      <c r="XK204" s="17"/>
      <c r="XL204" s="17"/>
      <c r="XM204" s="17"/>
      <c r="XN204" s="17"/>
      <c r="XO204" s="17"/>
      <c r="XP204" s="17"/>
      <c r="XQ204" s="17"/>
      <c r="XR204" s="17"/>
      <c r="XS204" s="17"/>
      <c r="XT204" s="17"/>
      <c r="XU204" s="17"/>
      <c r="XV204" s="17"/>
      <c r="XW204" s="17"/>
      <c r="XX204" s="17"/>
      <c r="XY204" s="17"/>
      <c r="XZ204" s="17"/>
      <c r="YA204" s="17"/>
      <c r="YB204" s="17"/>
      <c r="YC204" s="17"/>
      <c r="YD204" s="17"/>
      <c r="YE204" s="17"/>
      <c r="YF204" s="17"/>
      <c r="YG204" s="17"/>
      <c r="YH204" s="17"/>
      <c r="YI204" s="17"/>
      <c r="YJ204" s="17"/>
      <c r="YK204" s="17"/>
      <c r="YL204" s="17"/>
      <c r="YM204" s="17"/>
      <c r="YN204" s="17"/>
      <c r="YO204" s="17"/>
      <c r="YP204" s="17"/>
      <c r="YQ204" s="17"/>
      <c r="YR204" s="17"/>
      <c r="YS204" s="17"/>
    </row>
    <row r="205" spans="266:669" x14ac:dyDescent="0.25">
      <c r="JF205" s="17"/>
      <c r="JG205" s="17"/>
      <c r="JH205" s="17"/>
      <c r="JI205" s="17"/>
      <c r="JJ205" s="17"/>
      <c r="JK205" s="17"/>
      <c r="JL205" s="17"/>
      <c r="JM205" s="17"/>
      <c r="JN205" s="17"/>
      <c r="JO205" s="17"/>
      <c r="JP205" s="17"/>
      <c r="JQ205" s="17"/>
      <c r="JR205" s="17"/>
      <c r="JS205" s="17"/>
      <c r="JT205" s="17"/>
      <c r="JU205" s="17"/>
      <c r="JV205" s="17"/>
      <c r="JW205" s="17"/>
      <c r="JX205" s="17"/>
      <c r="JY205" s="17"/>
      <c r="JZ205" s="17"/>
      <c r="KA205" s="17"/>
      <c r="KB205" s="17"/>
      <c r="KC205" s="17"/>
      <c r="KD205" s="17"/>
      <c r="KE205" s="17"/>
      <c r="KF205" s="17"/>
      <c r="KG205" s="17"/>
      <c r="KH205" s="17"/>
      <c r="KI205" s="17"/>
      <c r="KJ205" s="17"/>
      <c r="KK205" s="17"/>
      <c r="KL205" s="17"/>
      <c r="KM205" s="17"/>
      <c r="KN205" s="17"/>
      <c r="KO205" s="17"/>
      <c r="KP205" s="17"/>
      <c r="KQ205" s="17"/>
      <c r="KR205" s="17"/>
      <c r="KS205" s="17"/>
      <c r="KT205" s="17"/>
      <c r="KU205" s="17"/>
      <c r="KV205" s="17"/>
      <c r="KW205" s="17"/>
      <c r="KX205" s="17"/>
      <c r="KY205" s="17"/>
      <c r="KZ205" s="17"/>
      <c r="LA205" s="17"/>
      <c r="LB205" s="17"/>
      <c r="LC205" s="17"/>
      <c r="LD205" s="17"/>
      <c r="LE205" s="17"/>
      <c r="LF205" s="17"/>
      <c r="LG205" s="17"/>
      <c r="LH205" s="17"/>
      <c r="LI205" s="17"/>
      <c r="LJ205" s="17"/>
      <c r="LK205" s="17"/>
      <c r="LL205" s="17"/>
      <c r="LM205" s="17"/>
      <c r="LN205" s="17"/>
      <c r="LO205" s="17"/>
      <c r="LP205" s="17"/>
      <c r="LQ205" s="17"/>
      <c r="LR205" s="17"/>
      <c r="LS205" s="17"/>
      <c r="LT205" s="17"/>
      <c r="LU205" s="17"/>
      <c r="LV205" s="17"/>
      <c r="LW205" s="17"/>
      <c r="LX205" s="17"/>
      <c r="LY205" s="17"/>
      <c r="LZ205" s="17"/>
      <c r="MA205" s="17"/>
      <c r="MB205" s="17"/>
      <c r="MC205" s="17"/>
      <c r="MD205" s="17"/>
      <c r="ME205" s="17"/>
      <c r="MF205" s="17"/>
      <c r="MG205" s="17"/>
      <c r="MH205" s="17"/>
      <c r="MI205" s="17"/>
      <c r="MJ205" s="17"/>
      <c r="MK205" s="17"/>
      <c r="ML205" s="17"/>
      <c r="MM205" s="17"/>
      <c r="MN205" s="17"/>
      <c r="MO205" s="17"/>
      <c r="MP205" s="17"/>
      <c r="MQ205" s="17"/>
      <c r="MR205" s="17"/>
      <c r="MS205" s="17"/>
      <c r="MT205" s="17"/>
      <c r="MU205" s="17"/>
      <c r="MV205" s="17"/>
      <c r="MW205" s="17"/>
      <c r="MX205" s="17"/>
      <c r="MY205" s="17"/>
      <c r="MZ205" s="17"/>
      <c r="NA205" s="17"/>
      <c r="NB205" s="17"/>
      <c r="NC205" s="17"/>
      <c r="ND205" s="17"/>
      <c r="NE205" s="17"/>
      <c r="NF205" s="17"/>
      <c r="NG205" s="17"/>
      <c r="NH205" s="17"/>
      <c r="NI205" s="17"/>
      <c r="NJ205" s="17"/>
      <c r="NK205" s="17"/>
      <c r="NL205" s="17"/>
      <c r="NM205" s="17"/>
      <c r="NN205" s="17"/>
      <c r="NO205" s="17"/>
      <c r="NP205" s="17"/>
      <c r="NQ205" s="17"/>
      <c r="NR205" s="17"/>
      <c r="NS205" s="17"/>
      <c r="NT205" s="17"/>
      <c r="NU205" s="17"/>
      <c r="NV205" s="17"/>
      <c r="NW205" s="17"/>
      <c r="NX205" s="17"/>
      <c r="NY205" s="17"/>
      <c r="NZ205" s="17"/>
      <c r="OA205" s="17"/>
      <c r="OB205" s="17"/>
      <c r="OC205" s="17"/>
      <c r="OD205" s="17"/>
      <c r="OE205" s="17"/>
      <c r="OF205" s="17"/>
      <c r="OG205" s="17"/>
      <c r="OH205" s="17"/>
      <c r="OI205" s="17"/>
      <c r="OJ205" s="17"/>
      <c r="OK205" s="17"/>
      <c r="OL205" s="17"/>
      <c r="OM205" s="17"/>
      <c r="ON205" s="17"/>
      <c r="OO205" s="17"/>
      <c r="OP205" s="17"/>
      <c r="OQ205" s="17"/>
      <c r="OR205" s="17"/>
      <c r="OS205" s="17"/>
      <c r="OT205" s="17"/>
      <c r="OU205" s="17"/>
      <c r="OV205" s="17"/>
      <c r="OW205" s="17"/>
      <c r="OX205" s="17"/>
      <c r="OY205" s="17"/>
      <c r="OZ205" s="17"/>
      <c r="PA205" s="17"/>
      <c r="PB205" s="17"/>
      <c r="PC205" s="17"/>
      <c r="PD205" s="17"/>
      <c r="PE205" s="17"/>
      <c r="PF205" s="17"/>
      <c r="PG205" s="17"/>
      <c r="PH205" s="17"/>
      <c r="PI205" s="17"/>
      <c r="PJ205" s="17"/>
      <c r="PK205" s="17"/>
      <c r="PL205" s="17"/>
      <c r="PM205" s="17"/>
      <c r="PN205" s="17"/>
      <c r="PO205" s="17"/>
      <c r="PP205" s="17"/>
      <c r="PQ205" s="17"/>
      <c r="PR205" s="17"/>
      <c r="PS205" s="17"/>
      <c r="PT205" s="17"/>
      <c r="PU205" s="17"/>
      <c r="PV205" s="17"/>
      <c r="PW205" s="17"/>
      <c r="PX205" s="17"/>
      <c r="PY205" s="17"/>
      <c r="PZ205" s="17"/>
      <c r="QA205" s="17"/>
      <c r="QB205" s="17"/>
      <c r="QC205" s="17"/>
      <c r="QD205" s="17"/>
      <c r="QE205" s="17"/>
      <c r="QF205" s="17"/>
      <c r="QG205" s="17"/>
      <c r="QH205" s="17"/>
      <c r="QI205" s="17"/>
      <c r="QJ205" s="17"/>
      <c r="QK205" s="17"/>
      <c r="QL205" s="17"/>
      <c r="QM205" s="17"/>
      <c r="QN205" s="17"/>
      <c r="QO205" s="17"/>
      <c r="QP205" s="17"/>
      <c r="QQ205" s="17"/>
      <c r="QR205" s="17"/>
      <c r="QS205" s="17"/>
      <c r="QT205" s="17"/>
      <c r="QU205" s="17"/>
      <c r="QV205" s="17"/>
      <c r="QW205" s="17"/>
      <c r="QX205" s="17"/>
      <c r="QY205" s="17"/>
      <c r="QZ205" s="17"/>
      <c r="RA205" s="17"/>
      <c r="RB205" s="17"/>
      <c r="RC205" s="17"/>
      <c r="RD205" s="17"/>
      <c r="RE205" s="17"/>
      <c r="RF205" s="17"/>
      <c r="RG205" s="17"/>
      <c r="RH205" s="17"/>
      <c r="RI205" s="17"/>
      <c r="RJ205" s="17"/>
      <c r="RK205" s="17"/>
      <c r="RL205" s="17"/>
      <c r="RM205" s="17"/>
      <c r="RN205" s="17"/>
      <c r="RO205" s="17"/>
      <c r="RP205" s="17"/>
      <c r="RQ205" s="17"/>
      <c r="RR205" s="17"/>
      <c r="RS205" s="17"/>
      <c r="RT205" s="17"/>
      <c r="RU205" s="17"/>
      <c r="RV205" s="17"/>
      <c r="RW205" s="17"/>
      <c r="RX205" s="17"/>
      <c r="RY205" s="17"/>
      <c r="RZ205" s="17"/>
      <c r="SA205" s="17"/>
      <c r="SB205" s="17"/>
      <c r="SC205" s="17"/>
      <c r="SD205" s="17"/>
      <c r="SE205" s="17"/>
      <c r="SF205" s="17"/>
      <c r="SG205" s="17"/>
      <c r="SH205" s="17"/>
      <c r="SI205" s="17"/>
      <c r="SJ205" s="17"/>
      <c r="SK205" s="17"/>
      <c r="SL205" s="17"/>
      <c r="SM205" s="17"/>
      <c r="SN205" s="17"/>
      <c r="SO205" s="17"/>
      <c r="SP205" s="17"/>
      <c r="SQ205" s="17"/>
      <c r="SR205" s="17"/>
      <c r="SS205" s="17"/>
      <c r="ST205" s="17"/>
      <c r="SU205" s="17"/>
      <c r="SV205" s="17"/>
      <c r="SW205" s="17"/>
      <c r="SX205" s="17"/>
      <c r="SY205" s="17"/>
      <c r="SZ205" s="17"/>
      <c r="TA205" s="17"/>
      <c r="TB205" s="17"/>
      <c r="TC205" s="17"/>
      <c r="TD205" s="17"/>
      <c r="TE205" s="17"/>
      <c r="TF205" s="17"/>
      <c r="TG205" s="17"/>
      <c r="TH205" s="17"/>
      <c r="TI205" s="17"/>
      <c r="TJ205" s="17"/>
      <c r="TK205" s="17"/>
      <c r="TL205" s="17"/>
      <c r="TM205" s="17"/>
      <c r="TN205" s="17"/>
      <c r="TO205" s="17"/>
      <c r="TP205" s="17"/>
      <c r="TQ205" s="17"/>
      <c r="TR205" s="17"/>
      <c r="TS205" s="17"/>
      <c r="TT205" s="17"/>
      <c r="TU205" s="17"/>
      <c r="TV205" s="17"/>
      <c r="TW205" s="17"/>
      <c r="TX205" s="17"/>
      <c r="TY205" s="17"/>
      <c r="TZ205" s="17"/>
      <c r="UA205" s="17"/>
      <c r="UB205" s="17"/>
      <c r="UC205" s="17"/>
      <c r="UD205" s="17"/>
      <c r="UE205" s="17"/>
      <c r="UF205" s="17"/>
      <c r="UG205" s="17"/>
      <c r="UH205" s="17"/>
      <c r="UI205" s="17"/>
      <c r="UJ205" s="17"/>
      <c r="UK205" s="17"/>
      <c r="UL205" s="17"/>
      <c r="UM205" s="17"/>
      <c r="UN205" s="17"/>
      <c r="UO205" s="17"/>
      <c r="UP205" s="17"/>
      <c r="UQ205" s="17"/>
      <c r="UR205" s="17"/>
      <c r="US205" s="17"/>
      <c r="UT205" s="17"/>
      <c r="UU205" s="17"/>
      <c r="UV205" s="17"/>
      <c r="UW205" s="17"/>
      <c r="UX205" s="17"/>
      <c r="UY205" s="17"/>
      <c r="UZ205" s="17"/>
      <c r="VA205" s="17"/>
      <c r="VB205" s="17"/>
      <c r="VC205" s="17"/>
      <c r="VD205" s="17"/>
      <c r="VE205" s="17"/>
      <c r="VF205" s="17"/>
      <c r="VG205" s="17"/>
      <c r="VH205" s="17"/>
      <c r="VI205" s="17"/>
      <c r="VJ205" s="17"/>
      <c r="VK205" s="17"/>
      <c r="VL205" s="17"/>
      <c r="VM205" s="17"/>
      <c r="VN205" s="17"/>
      <c r="VO205" s="17"/>
      <c r="VP205" s="17"/>
      <c r="VQ205" s="17"/>
      <c r="VR205" s="17"/>
      <c r="VS205" s="17"/>
      <c r="VT205" s="17"/>
      <c r="VU205" s="17"/>
      <c r="VV205" s="17"/>
      <c r="VW205" s="17"/>
      <c r="VX205" s="17"/>
      <c r="VY205" s="17"/>
      <c r="VZ205" s="17"/>
      <c r="WA205" s="17"/>
      <c r="WB205" s="17"/>
      <c r="WC205" s="17"/>
      <c r="WD205" s="17"/>
      <c r="WE205" s="17"/>
      <c r="WF205" s="17"/>
      <c r="WG205" s="17"/>
      <c r="WH205" s="17"/>
      <c r="WI205" s="17"/>
      <c r="WJ205" s="17"/>
      <c r="WK205" s="17"/>
      <c r="WL205" s="17"/>
      <c r="WM205" s="17"/>
      <c r="WN205" s="17"/>
      <c r="WO205" s="17"/>
      <c r="WP205" s="17"/>
      <c r="WQ205" s="17"/>
      <c r="WR205" s="17"/>
      <c r="WS205" s="17"/>
      <c r="WT205" s="17"/>
      <c r="WU205" s="17"/>
      <c r="WV205" s="17"/>
      <c r="WW205" s="17"/>
      <c r="WX205" s="17"/>
      <c r="WY205" s="17"/>
      <c r="WZ205" s="17"/>
      <c r="XA205" s="17"/>
      <c r="XB205" s="17"/>
      <c r="XC205" s="17"/>
      <c r="XD205" s="17"/>
      <c r="XE205" s="17"/>
      <c r="XF205" s="17"/>
      <c r="XG205" s="17"/>
      <c r="XH205" s="17"/>
      <c r="XI205" s="17"/>
      <c r="XJ205" s="17"/>
      <c r="XK205" s="17"/>
      <c r="XL205" s="17"/>
      <c r="XM205" s="17"/>
      <c r="XN205" s="17"/>
      <c r="XO205" s="17"/>
      <c r="XP205" s="17"/>
      <c r="XQ205" s="17"/>
      <c r="XR205" s="17"/>
      <c r="XS205" s="17"/>
      <c r="XT205" s="17"/>
      <c r="XU205" s="17"/>
      <c r="XV205" s="17"/>
      <c r="XW205" s="17"/>
      <c r="XX205" s="17"/>
      <c r="XY205" s="17"/>
      <c r="XZ205" s="17"/>
      <c r="YA205" s="17"/>
      <c r="YB205" s="17"/>
      <c r="YC205" s="17"/>
      <c r="YD205" s="17"/>
      <c r="YE205" s="17"/>
      <c r="YF205" s="17"/>
      <c r="YG205" s="17"/>
      <c r="YH205" s="17"/>
      <c r="YI205" s="17"/>
      <c r="YJ205" s="17"/>
      <c r="YK205" s="17"/>
      <c r="YL205" s="17"/>
      <c r="YM205" s="17"/>
      <c r="YN205" s="17"/>
      <c r="YO205" s="17"/>
      <c r="YP205" s="17"/>
      <c r="YQ205" s="17"/>
      <c r="YR205" s="17"/>
      <c r="YS205" s="17"/>
    </row>
    <row r="206" spans="266:669" x14ac:dyDescent="0.25">
      <c r="JF206" s="17"/>
      <c r="JG206" s="17"/>
      <c r="JH206" s="17"/>
      <c r="JI206" s="17"/>
      <c r="JJ206" s="17"/>
      <c r="JK206" s="17"/>
      <c r="JL206" s="17"/>
      <c r="JM206" s="17"/>
      <c r="JN206" s="17"/>
      <c r="JO206" s="17"/>
      <c r="JP206" s="17"/>
      <c r="JQ206" s="17"/>
      <c r="JR206" s="17"/>
      <c r="JS206" s="17"/>
      <c r="JT206" s="17"/>
      <c r="JU206" s="17"/>
      <c r="JV206" s="17"/>
      <c r="JW206" s="17"/>
      <c r="JX206" s="17"/>
      <c r="JY206" s="17"/>
      <c r="JZ206" s="17"/>
      <c r="KA206" s="17"/>
      <c r="KB206" s="17"/>
      <c r="KC206" s="17"/>
      <c r="KD206" s="17"/>
      <c r="KE206" s="17"/>
      <c r="KF206" s="17"/>
      <c r="KG206" s="17"/>
      <c r="KH206" s="17"/>
      <c r="KI206" s="17"/>
      <c r="KJ206" s="17"/>
      <c r="KK206" s="17"/>
      <c r="KL206" s="17"/>
      <c r="KM206" s="17"/>
      <c r="KN206" s="17"/>
      <c r="KO206" s="17"/>
      <c r="KP206" s="17"/>
      <c r="KQ206" s="17"/>
      <c r="KR206" s="17"/>
      <c r="KS206" s="17"/>
      <c r="KT206" s="17"/>
      <c r="KU206" s="17"/>
      <c r="KV206" s="17"/>
      <c r="KW206" s="17"/>
      <c r="KX206" s="17"/>
      <c r="KY206" s="17"/>
      <c r="KZ206" s="17"/>
      <c r="LA206" s="17"/>
      <c r="LB206" s="17"/>
      <c r="LC206" s="17"/>
      <c r="LD206" s="17"/>
      <c r="LE206" s="17"/>
      <c r="LF206" s="17"/>
      <c r="LG206" s="17"/>
      <c r="LH206" s="17"/>
      <c r="LI206" s="17"/>
      <c r="LJ206" s="17"/>
      <c r="LK206" s="17"/>
      <c r="LL206" s="17"/>
      <c r="LM206" s="17"/>
      <c r="LN206" s="17"/>
      <c r="LO206" s="17"/>
      <c r="LP206" s="17"/>
      <c r="LQ206" s="17"/>
      <c r="LR206" s="17"/>
      <c r="LS206" s="17"/>
      <c r="LT206" s="17"/>
      <c r="LU206" s="17"/>
      <c r="LV206" s="17"/>
      <c r="LW206" s="17"/>
      <c r="LX206" s="17"/>
      <c r="LY206" s="17"/>
      <c r="LZ206" s="17"/>
      <c r="MA206" s="17"/>
      <c r="MB206" s="17"/>
      <c r="MC206" s="17"/>
      <c r="MD206" s="17"/>
      <c r="ME206" s="17"/>
      <c r="MF206" s="17"/>
      <c r="MG206" s="17"/>
      <c r="MH206" s="17"/>
      <c r="MI206" s="17"/>
      <c r="MJ206" s="17"/>
      <c r="MK206" s="17"/>
      <c r="ML206" s="17"/>
      <c r="MM206" s="17"/>
      <c r="MN206" s="17"/>
      <c r="MO206" s="17"/>
      <c r="MP206" s="17"/>
      <c r="MQ206" s="17"/>
      <c r="MR206" s="17"/>
      <c r="MS206" s="17"/>
      <c r="MT206" s="17"/>
      <c r="MU206" s="17"/>
      <c r="MV206" s="17"/>
      <c r="MW206" s="17"/>
      <c r="MX206" s="17"/>
      <c r="MY206" s="17"/>
      <c r="MZ206" s="17"/>
      <c r="NA206" s="17"/>
      <c r="NB206" s="17"/>
      <c r="NC206" s="17"/>
      <c r="ND206" s="17"/>
      <c r="NE206" s="17"/>
      <c r="NF206" s="17"/>
      <c r="NG206" s="17"/>
      <c r="NH206" s="17"/>
      <c r="NI206" s="17"/>
      <c r="NJ206" s="17"/>
      <c r="NK206" s="17"/>
      <c r="NL206" s="17"/>
      <c r="NM206" s="17"/>
      <c r="NN206" s="17"/>
      <c r="NO206" s="17"/>
      <c r="NP206" s="17"/>
      <c r="NQ206" s="17"/>
      <c r="NR206" s="17"/>
      <c r="NS206" s="17"/>
      <c r="NT206" s="17"/>
      <c r="NU206" s="17"/>
      <c r="NV206" s="17"/>
      <c r="NW206" s="17"/>
      <c r="NX206" s="17"/>
      <c r="NY206" s="17"/>
      <c r="NZ206" s="17"/>
      <c r="OA206" s="17"/>
      <c r="OB206" s="17"/>
      <c r="OC206" s="17"/>
      <c r="OD206" s="17"/>
      <c r="OE206" s="17"/>
      <c r="OF206" s="17"/>
      <c r="OG206" s="17"/>
      <c r="OH206" s="17"/>
      <c r="OI206" s="17"/>
      <c r="OJ206" s="17"/>
      <c r="OK206" s="17"/>
      <c r="OL206" s="17"/>
      <c r="OM206" s="17"/>
      <c r="ON206" s="17"/>
      <c r="OO206" s="17"/>
      <c r="OP206" s="17"/>
      <c r="OQ206" s="17"/>
      <c r="OR206" s="17"/>
      <c r="OS206" s="17"/>
      <c r="OT206" s="17"/>
      <c r="OU206" s="17"/>
      <c r="OV206" s="17"/>
      <c r="OW206" s="17"/>
      <c r="OX206" s="17"/>
      <c r="OY206" s="17"/>
      <c r="OZ206" s="17"/>
      <c r="PA206" s="17"/>
      <c r="PB206" s="17"/>
      <c r="PC206" s="17"/>
      <c r="PD206" s="17"/>
      <c r="PE206" s="17"/>
      <c r="PF206" s="17"/>
      <c r="PG206" s="17"/>
      <c r="PH206" s="17"/>
      <c r="PI206" s="17"/>
      <c r="PJ206" s="17"/>
      <c r="PK206" s="17"/>
      <c r="PL206" s="17"/>
      <c r="PM206" s="17"/>
      <c r="PN206" s="17"/>
      <c r="PO206" s="17"/>
      <c r="PP206" s="17"/>
      <c r="PQ206" s="17"/>
      <c r="PR206" s="17"/>
      <c r="PS206" s="17"/>
      <c r="PT206" s="17"/>
      <c r="PU206" s="17"/>
      <c r="PV206" s="17"/>
      <c r="PW206" s="17"/>
      <c r="PX206" s="17"/>
      <c r="PY206" s="17"/>
      <c r="PZ206" s="17"/>
      <c r="QA206" s="17"/>
      <c r="QB206" s="17"/>
      <c r="QC206" s="17"/>
      <c r="QD206" s="17"/>
      <c r="QE206" s="17"/>
      <c r="QF206" s="17"/>
      <c r="QG206" s="17"/>
      <c r="QH206" s="17"/>
      <c r="QI206" s="17"/>
      <c r="QJ206" s="17"/>
      <c r="QK206" s="17"/>
      <c r="QL206" s="17"/>
      <c r="QM206" s="17"/>
      <c r="QN206" s="17"/>
      <c r="QO206" s="17"/>
      <c r="QP206" s="17"/>
      <c r="QQ206" s="17"/>
      <c r="QR206" s="17"/>
      <c r="QS206" s="17"/>
      <c r="QT206" s="17"/>
      <c r="QU206" s="17"/>
      <c r="QV206" s="17"/>
      <c r="QW206" s="17"/>
      <c r="QX206" s="17"/>
      <c r="QY206" s="17"/>
      <c r="QZ206" s="17"/>
      <c r="RA206" s="17"/>
      <c r="RB206" s="17"/>
      <c r="RC206" s="17"/>
      <c r="RD206" s="17"/>
      <c r="RE206" s="17"/>
      <c r="RF206" s="17"/>
      <c r="RG206" s="17"/>
      <c r="RH206" s="17"/>
      <c r="RI206" s="17"/>
      <c r="RJ206" s="17"/>
      <c r="RK206" s="17"/>
      <c r="RL206" s="17"/>
      <c r="RM206" s="17"/>
      <c r="RN206" s="17"/>
      <c r="RO206" s="17"/>
      <c r="RP206" s="17"/>
      <c r="RQ206" s="17"/>
      <c r="RR206" s="17"/>
      <c r="RS206" s="17"/>
      <c r="RT206" s="17"/>
      <c r="RU206" s="17"/>
      <c r="RV206" s="17"/>
      <c r="RW206" s="17"/>
      <c r="RX206" s="17"/>
      <c r="RY206" s="17"/>
      <c r="RZ206" s="17"/>
      <c r="SA206" s="17"/>
      <c r="SB206" s="17"/>
      <c r="SC206" s="17"/>
      <c r="SD206" s="17"/>
      <c r="SE206" s="17"/>
      <c r="SF206" s="17"/>
      <c r="SG206" s="17"/>
      <c r="SH206" s="17"/>
      <c r="SI206" s="17"/>
      <c r="SJ206" s="17"/>
      <c r="SK206" s="17"/>
      <c r="SL206" s="17"/>
      <c r="SM206" s="17"/>
      <c r="SN206" s="17"/>
      <c r="SO206" s="17"/>
      <c r="SP206" s="17"/>
      <c r="SQ206" s="17"/>
      <c r="SR206" s="17"/>
      <c r="SS206" s="17"/>
      <c r="ST206" s="17"/>
      <c r="SU206" s="17"/>
      <c r="SV206" s="17"/>
      <c r="SW206" s="17"/>
      <c r="SX206" s="17"/>
      <c r="SY206" s="17"/>
      <c r="SZ206" s="17"/>
      <c r="TA206" s="17"/>
      <c r="TB206" s="17"/>
      <c r="TC206" s="17"/>
      <c r="TD206" s="17"/>
      <c r="TE206" s="17"/>
      <c r="TF206" s="17"/>
      <c r="TG206" s="17"/>
      <c r="TH206" s="17"/>
      <c r="TI206" s="17"/>
      <c r="TJ206" s="17"/>
      <c r="TK206" s="17"/>
      <c r="TL206" s="17"/>
      <c r="TM206" s="17"/>
      <c r="TN206" s="17"/>
      <c r="TO206" s="17"/>
      <c r="TP206" s="17"/>
      <c r="TQ206" s="17"/>
      <c r="TR206" s="17"/>
      <c r="TS206" s="17"/>
      <c r="TT206" s="17"/>
      <c r="TU206" s="17"/>
      <c r="TV206" s="17"/>
      <c r="TW206" s="17"/>
      <c r="TX206" s="17"/>
      <c r="TY206" s="17"/>
      <c r="TZ206" s="17"/>
      <c r="UA206" s="17"/>
      <c r="UB206" s="17"/>
      <c r="UC206" s="17"/>
      <c r="UD206" s="17"/>
      <c r="UE206" s="17"/>
      <c r="UF206" s="17"/>
      <c r="UG206" s="17"/>
      <c r="UH206" s="17"/>
      <c r="UI206" s="17"/>
      <c r="UJ206" s="17"/>
      <c r="UK206" s="17"/>
      <c r="UL206" s="17"/>
      <c r="UM206" s="17"/>
      <c r="UN206" s="17"/>
      <c r="UO206" s="17"/>
      <c r="UP206" s="17"/>
      <c r="UQ206" s="17"/>
      <c r="UR206" s="17"/>
      <c r="US206" s="17"/>
      <c r="UT206" s="17"/>
      <c r="UU206" s="17"/>
      <c r="UV206" s="17"/>
      <c r="UW206" s="17"/>
      <c r="UX206" s="17"/>
      <c r="UY206" s="17"/>
      <c r="UZ206" s="17"/>
      <c r="VA206" s="17"/>
      <c r="VB206" s="17"/>
      <c r="VC206" s="17"/>
      <c r="VD206" s="17"/>
      <c r="VE206" s="17"/>
      <c r="VF206" s="17"/>
      <c r="VG206" s="17"/>
      <c r="VH206" s="17"/>
      <c r="VI206" s="17"/>
      <c r="VJ206" s="17"/>
      <c r="VK206" s="17"/>
      <c r="VL206" s="17"/>
      <c r="VM206" s="17"/>
      <c r="VN206" s="17"/>
      <c r="VO206" s="17"/>
      <c r="VP206" s="17"/>
      <c r="VQ206" s="17"/>
      <c r="VR206" s="17"/>
      <c r="VS206" s="17"/>
      <c r="VT206" s="17"/>
      <c r="VU206" s="17"/>
      <c r="VV206" s="17"/>
      <c r="VW206" s="17"/>
      <c r="VX206" s="17"/>
      <c r="VY206" s="17"/>
      <c r="VZ206" s="17"/>
      <c r="WA206" s="17"/>
      <c r="WB206" s="17"/>
      <c r="WC206" s="17"/>
      <c r="WD206" s="17"/>
      <c r="WE206" s="17"/>
      <c r="WF206" s="17"/>
      <c r="WG206" s="17"/>
      <c r="WH206" s="17"/>
      <c r="WI206" s="17"/>
      <c r="WJ206" s="17"/>
      <c r="WK206" s="17"/>
      <c r="WL206" s="17"/>
      <c r="WM206" s="17"/>
      <c r="WN206" s="17"/>
      <c r="WO206" s="17"/>
      <c r="WP206" s="17"/>
      <c r="WQ206" s="17"/>
      <c r="WR206" s="17"/>
      <c r="WS206" s="17"/>
      <c r="WT206" s="17"/>
      <c r="WU206" s="17"/>
      <c r="WV206" s="17"/>
      <c r="WW206" s="17"/>
      <c r="WX206" s="17"/>
      <c r="WY206" s="17"/>
      <c r="WZ206" s="17"/>
      <c r="XA206" s="17"/>
      <c r="XB206" s="17"/>
      <c r="XC206" s="17"/>
      <c r="XD206" s="17"/>
      <c r="XE206" s="17"/>
      <c r="XF206" s="17"/>
      <c r="XG206" s="17"/>
      <c r="XH206" s="17"/>
      <c r="XI206" s="17"/>
      <c r="XJ206" s="17"/>
      <c r="XK206" s="17"/>
      <c r="XL206" s="17"/>
      <c r="XM206" s="17"/>
      <c r="XN206" s="17"/>
      <c r="XO206" s="17"/>
      <c r="XP206" s="17"/>
      <c r="XQ206" s="17"/>
      <c r="XR206" s="17"/>
      <c r="XS206" s="17"/>
      <c r="XT206" s="17"/>
      <c r="XU206" s="17"/>
      <c r="XV206" s="17"/>
      <c r="XW206" s="17"/>
      <c r="XX206" s="17"/>
      <c r="XY206" s="17"/>
      <c r="XZ206" s="17"/>
      <c r="YA206" s="17"/>
      <c r="YB206" s="17"/>
      <c r="YC206" s="17"/>
      <c r="YD206" s="17"/>
      <c r="YE206" s="17"/>
      <c r="YF206" s="17"/>
      <c r="YG206" s="17"/>
      <c r="YH206" s="17"/>
      <c r="YI206" s="17"/>
      <c r="YJ206" s="17"/>
      <c r="YK206" s="17"/>
      <c r="YL206" s="17"/>
      <c r="YM206" s="17"/>
      <c r="YN206" s="17"/>
      <c r="YO206" s="17"/>
      <c r="YP206" s="17"/>
      <c r="YQ206" s="17"/>
      <c r="YR206" s="17"/>
      <c r="YS206" s="17"/>
    </row>
    <row r="207" spans="266:669" x14ac:dyDescent="0.25">
      <c r="JF207" s="17"/>
      <c r="JG207" s="17"/>
      <c r="JH207" s="17"/>
      <c r="JI207" s="17"/>
      <c r="JJ207" s="17"/>
      <c r="JK207" s="17"/>
      <c r="JL207" s="17"/>
      <c r="JM207" s="17"/>
      <c r="JN207" s="17"/>
      <c r="JO207" s="17"/>
      <c r="JP207" s="17"/>
      <c r="JQ207" s="17"/>
      <c r="JR207" s="17"/>
      <c r="JS207" s="17"/>
      <c r="JT207" s="17"/>
      <c r="JU207" s="17"/>
      <c r="JV207" s="17"/>
      <c r="JW207" s="17"/>
      <c r="JX207" s="17"/>
      <c r="JY207" s="17"/>
      <c r="JZ207" s="17"/>
      <c r="KA207" s="17"/>
      <c r="KB207" s="17"/>
      <c r="KC207" s="17"/>
      <c r="KD207" s="17"/>
      <c r="KE207" s="17"/>
      <c r="KF207" s="17"/>
      <c r="KG207" s="17"/>
      <c r="KH207" s="17"/>
      <c r="KI207" s="17"/>
      <c r="KJ207" s="17"/>
      <c r="KK207" s="17"/>
      <c r="KL207" s="17"/>
      <c r="KM207" s="17"/>
      <c r="KN207" s="17"/>
      <c r="KO207" s="17"/>
      <c r="KP207" s="17"/>
      <c r="KQ207" s="17"/>
      <c r="KR207" s="17"/>
      <c r="KS207" s="17"/>
      <c r="KT207" s="17"/>
      <c r="KU207" s="17"/>
      <c r="KV207" s="17"/>
      <c r="KW207" s="17"/>
      <c r="KX207" s="17"/>
      <c r="KY207" s="17"/>
      <c r="KZ207" s="17"/>
      <c r="LA207" s="17"/>
      <c r="LB207" s="17"/>
      <c r="LC207" s="17"/>
      <c r="LD207" s="17"/>
      <c r="LE207" s="17"/>
      <c r="LF207" s="17"/>
      <c r="LG207" s="17"/>
      <c r="LH207" s="17"/>
      <c r="LI207" s="17"/>
      <c r="LJ207" s="17"/>
      <c r="LK207" s="17"/>
      <c r="LL207" s="17"/>
      <c r="LM207" s="17"/>
      <c r="LN207" s="17"/>
      <c r="LO207" s="17"/>
      <c r="LP207" s="17"/>
      <c r="LQ207" s="17"/>
      <c r="LR207" s="17"/>
      <c r="LS207" s="17"/>
      <c r="LT207" s="17"/>
      <c r="LU207" s="17"/>
      <c r="LV207" s="17"/>
      <c r="LW207" s="17"/>
      <c r="LX207" s="17"/>
      <c r="LY207" s="17"/>
      <c r="LZ207" s="17"/>
      <c r="MA207" s="17"/>
      <c r="MB207" s="17"/>
      <c r="MC207" s="17"/>
      <c r="MD207" s="17"/>
      <c r="ME207" s="17"/>
      <c r="MF207" s="17"/>
      <c r="MG207" s="17"/>
      <c r="MH207" s="17"/>
      <c r="MI207" s="17"/>
      <c r="MJ207" s="17"/>
      <c r="MK207" s="17"/>
      <c r="ML207" s="17"/>
      <c r="MM207" s="17"/>
      <c r="MN207" s="17"/>
      <c r="MO207" s="17"/>
      <c r="MP207" s="17"/>
      <c r="MQ207" s="17"/>
      <c r="MR207" s="17"/>
      <c r="MS207" s="17"/>
      <c r="MT207" s="17"/>
      <c r="MU207" s="17"/>
      <c r="MV207" s="17"/>
      <c r="MW207" s="17"/>
      <c r="MX207" s="17"/>
      <c r="MY207" s="17"/>
      <c r="MZ207" s="17"/>
      <c r="NA207" s="17"/>
      <c r="NB207" s="17"/>
      <c r="NC207" s="17"/>
      <c r="ND207" s="17"/>
      <c r="NE207" s="17"/>
      <c r="NF207" s="17"/>
      <c r="NG207" s="17"/>
      <c r="NH207" s="17"/>
      <c r="NI207" s="17"/>
      <c r="NJ207" s="17"/>
      <c r="NK207" s="17"/>
      <c r="NL207" s="17"/>
      <c r="NM207" s="17"/>
      <c r="NN207" s="17"/>
      <c r="NO207" s="17"/>
      <c r="NP207" s="17"/>
      <c r="NQ207" s="17"/>
      <c r="NR207" s="17"/>
      <c r="NS207" s="17"/>
      <c r="NT207" s="17"/>
      <c r="NU207" s="17"/>
      <c r="NV207" s="17"/>
      <c r="NW207" s="17"/>
      <c r="NX207" s="17"/>
      <c r="NY207" s="17"/>
      <c r="NZ207" s="17"/>
      <c r="OA207" s="17"/>
      <c r="OB207" s="17"/>
      <c r="OC207" s="17"/>
      <c r="OD207" s="17"/>
      <c r="OE207" s="17"/>
      <c r="OF207" s="17"/>
      <c r="OG207" s="17"/>
      <c r="OH207" s="17"/>
      <c r="OI207" s="17"/>
      <c r="OJ207" s="17"/>
      <c r="OK207" s="17"/>
      <c r="OL207" s="17"/>
      <c r="OM207" s="17"/>
      <c r="ON207" s="17"/>
      <c r="OO207" s="17"/>
      <c r="OP207" s="17"/>
      <c r="OQ207" s="17"/>
      <c r="OR207" s="17"/>
      <c r="OS207" s="17"/>
      <c r="OT207" s="17"/>
      <c r="OU207" s="17"/>
      <c r="OV207" s="17"/>
      <c r="OW207" s="17"/>
      <c r="OX207" s="17"/>
      <c r="OY207" s="17"/>
      <c r="OZ207" s="17"/>
      <c r="PA207" s="17"/>
      <c r="PB207" s="17"/>
      <c r="PC207" s="17"/>
      <c r="PD207" s="17"/>
      <c r="PE207" s="17"/>
      <c r="PF207" s="17"/>
      <c r="PG207" s="17"/>
      <c r="PH207" s="17"/>
      <c r="PI207" s="17"/>
      <c r="PJ207" s="17"/>
      <c r="PK207" s="17"/>
      <c r="PL207" s="17"/>
      <c r="PM207" s="17"/>
      <c r="PN207" s="17"/>
      <c r="PO207" s="17"/>
      <c r="PP207" s="17"/>
      <c r="PQ207" s="17"/>
      <c r="PR207" s="17"/>
      <c r="PS207" s="17"/>
      <c r="PT207" s="17"/>
      <c r="PU207" s="17"/>
      <c r="PV207" s="17"/>
      <c r="PW207" s="17"/>
      <c r="PX207" s="17"/>
      <c r="PY207" s="17"/>
      <c r="PZ207" s="17"/>
      <c r="QA207" s="17"/>
      <c r="QB207" s="17"/>
      <c r="QC207" s="17"/>
      <c r="QD207" s="17"/>
      <c r="QE207" s="17"/>
      <c r="QF207" s="17"/>
      <c r="QG207" s="17"/>
      <c r="QH207" s="17"/>
      <c r="QI207" s="17"/>
      <c r="QJ207" s="17"/>
      <c r="QK207" s="17"/>
      <c r="QL207" s="17"/>
      <c r="QM207" s="17"/>
      <c r="QN207" s="17"/>
      <c r="QO207" s="17"/>
      <c r="QP207" s="17"/>
      <c r="QQ207" s="17"/>
      <c r="QR207" s="17"/>
      <c r="QS207" s="17"/>
      <c r="QT207" s="17"/>
      <c r="QU207" s="17"/>
      <c r="QV207" s="17"/>
      <c r="QW207" s="17"/>
      <c r="QX207" s="17"/>
      <c r="QY207" s="17"/>
      <c r="QZ207" s="17"/>
      <c r="RA207" s="17"/>
      <c r="RB207" s="17"/>
      <c r="RC207" s="17"/>
      <c r="RD207" s="17"/>
      <c r="RE207" s="17"/>
      <c r="RF207" s="17"/>
      <c r="RG207" s="17"/>
      <c r="RH207" s="17"/>
      <c r="RI207" s="17"/>
      <c r="RJ207" s="17"/>
      <c r="RK207" s="17"/>
      <c r="RL207" s="17"/>
      <c r="RM207" s="17"/>
      <c r="RN207" s="17"/>
      <c r="RO207" s="17"/>
      <c r="RP207" s="17"/>
      <c r="RQ207" s="17"/>
      <c r="RR207" s="17"/>
      <c r="RS207" s="17"/>
      <c r="RT207" s="17"/>
      <c r="RU207" s="17"/>
      <c r="RV207" s="17"/>
      <c r="RW207" s="17"/>
      <c r="RX207" s="17"/>
      <c r="RY207" s="17"/>
      <c r="RZ207" s="17"/>
      <c r="SA207" s="17"/>
      <c r="SB207" s="17"/>
      <c r="SC207" s="17"/>
      <c r="SD207" s="17"/>
      <c r="SE207" s="17"/>
      <c r="SF207" s="17"/>
      <c r="SG207" s="17"/>
      <c r="SH207" s="17"/>
      <c r="SI207" s="17"/>
      <c r="SJ207" s="17"/>
      <c r="SK207" s="17"/>
      <c r="SL207" s="17"/>
      <c r="SM207" s="17"/>
      <c r="SN207" s="17"/>
      <c r="SO207" s="17"/>
      <c r="SP207" s="17"/>
      <c r="SQ207" s="17"/>
      <c r="SR207" s="17"/>
      <c r="SS207" s="17"/>
      <c r="ST207" s="17"/>
      <c r="SU207" s="17"/>
      <c r="SV207" s="17"/>
      <c r="SW207" s="17"/>
      <c r="SX207" s="17"/>
      <c r="SY207" s="17"/>
      <c r="SZ207" s="17"/>
      <c r="TA207" s="17"/>
      <c r="TB207" s="17"/>
      <c r="TC207" s="17"/>
      <c r="TD207" s="17"/>
      <c r="TE207" s="17"/>
      <c r="TF207" s="17"/>
      <c r="TG207" s="17"/>
      <c r="TH207" s="17"/>
      <c r="TI207" s="17"/>
      <c r="TJ207" s="17"/>
      <c r="TK207" s="17"/>
      <c r="TL207" s="17"/>
      <c r="TM207" s="17"/>
      <c r="TN207" s="17"/>
      <c r="TO207" s="17"/>
      <c r="TP207" s="17"/>
      <c r="TQ207" s="17"/>
      <c r="TR207" s="17"/>
      <c r="TS207" s="17"/>
      <c r="TT207" s="17"/>
      <c r="TU207" s="17"/>
      <c r="TV207" s="17"/>
      <c r="TW207" s="17"/>
      <c r="TX207" s="17"/>
      <c r="TY207" s="17"/>
      <c r="TZ207" s="17"/>
      <c r="UA207" s="17"/>
      <c r="UB207" s="17"/>
      <c r="UC207" s="17"/>
      <c r="UD207" s="17"/>
      <c r="UE207" s="17"/>
      <c r="UF207" s="17"/>
      <c r="UG207" s="17"/>
      <c r="UH207" s="17"/>
      <c r="UI207" s="17"/>
      <c r="UJ207" s="17"/>
      <c r="UK207" s="17"/>
      <c r="UL207" s="17"/>
      <c r="UM207" s="17"/>
      <c r="UN207" s="17"/>
      <c r="UO207" s="17"/>
      <c r="UP207" s="17"/>
      <c r="UQ207" s="17"/>
      <c r="UR207" s="17"/>
      <c r="US207" s="17"/>
      <c r="UT207" s="17"/>
      <c r="UU207" s="17"/>
      <c r="UV207" s="17"/>
      <c r="UW207" s="17"/>
      <c r="UX207" s="17"/>
      <c r="UY207" s="17"/>
      <c r="UZ207" s="17"/>
      <c r="VA207" s="17"/>
      <c r="VB207" s="17"/>
      <c r="VC207" s="17"/>
      <c r="VD207" s="17"/>
      <c r="VE207" s="17"/>
      <c r="VF207" s="17"/>
      <c r="VG207" s="17"/>
      <c r="VH207" s="17"/>
      <c r="VI207" s="17"/>
      <c r="VJ207" s="17"/>
      <c r="VK207" s="17"/>
      <c r="VL207" s="17"/>
      <c r="VM207" s="17"/>
      <c r="VN207" s="17"/>
      <c r="VO207" s="17"/>
      <c r="VP207" s="17"/>
      <c r="VQ207" s="17"/>
      <c r="VR207" s="17"/>
      <c r="VS207" s="17"/>
      <c r="VT207" s="17"/>
      <c r="VU207" s="17"/>
      <c r="VV207" s="17"/>
      <c r="VW207" s="17"/>
      <c r="VX207" s="17"/>
      <c r="VY207" s="17"/>
      <c r="VZ207" s="17"/>
      <c r="WA207" s="17"/>
      <c r="WB207" s="17"/>
      <c r="WC207" s="17"/>
      <c r="WD207" s="17"/>
      <c r="WE207" s="17"/>
      <c r="WF207" s="17"/>
      <c r="WG207" s="17"/>
      <c r="WH207" s="17"/>
      <c r="WI207" s="17"/>
      <c r="WJ207" s="17"/>
      <c r="WK207" s="17"/>
      <c r="WL207" s="17"/>
      <c r="WM207" s="17"/>
      <c r="WN207" s="17"/>
      <c r="WO207" s="17"/>
      <c r="WP207" s="17"/>
      <c r="WQ207" s="17"/>
      <c r="WR207" s="17"/>
      <c r="WS207" s="17"/>
      <c r="WT207" s="17"/>
      <c r="WU207" s="17"/>
      <c r="WV207" s="17"/>
      <c r="WW207" s="17"/>
      <c r="WX207" s="17"/>
      <c r="WY207" s="17"/>
      <c r="WZ207" s="17"/>
      <c r="XA207" s="17"/>
      <c r="XB207" s="17"/>
      <c r="XC207" s="17"/>
      <c r="XD207" s="17"/>
      <c r="XE207" s="17"/>
      <c r="XF207" s="17"/>
      <c r="XG207" s="17"/>
      <c r="XH207" s="17"/>
      <c r="XI207" s="17"/>
      <c r="XJ207" s="17"/>
      <c r="XK207" s="17"/>
      <c r="XL207" s="17"/>
      <c r="XM207" s="17"/>
      <c r="XN207" s="17"/>
      <c r="XO207" s="17"/>
      <c r="XP207" s="17"/>
      <c r="XQ207" s="17"/>
      <c r="XR207" s="17"/>
      <c r="XS207" s="17"/>
      <c r="XT207" s="17"/>
      <c r="XU207" s="17"/>
      <c r="XV207" s="17"/>
      <c r="XW207" s="17"/>
      <c r="XX207" s="17"/>
      <c r="XY207" s="17"/>
      <c r="XZ207" s="17"/>
      <c r="YA207" s="17"/>
      <c r="YB207" s="17"/>
      <c r="YC207" s="17"/>
      <c r="YD207" s="17"/>
      <c r="YE207" s="17"/>
      <c r="YF207" s="17"/>
      <c r="YG207" s="17"/>
      <c r="YH207" s="17"/>
      <c r="YI207" s="17"/>
      <c r="YJ207" s="17"/>
      <c r="YK207" s="17"/>
      <c r="YL207" s="17"/>
      <c r="YM207" s="17"/>
      <c r="YN207" s="17"/>
      <c r="YO207" s="17"/>
      <c r="YP207" s="17"/>
      <c r="YQ207" s="17"/>
      <c r="YR207" s="17"/>
      <c r="YS207" s="17"/>
    </row>
    <row r="208" spans="266:669" x14ac:dyDescent="0.25">
      <c r="JF208" s="17"/>
      <c r="JG208" s="17"/>
      <c r="JH208" s="17"/>
      <c r="JI208" s="17"/>
      <c r="JJ208" s="17"/>
      <c r="JK208" s="17"/>
      <c r="JL208" s="17"/>
      <c r="JM208" s="17"/>
      <c r="JN208" s="17"/>
      <c r="JO208" s="17"/>
      <c r="JP208" s="17"/>
      <c r="JQ208" s="17"/>
      <c r="JR208" s="17"/>
      <c r="JS208" s="17"/>
      <c r="JT208" s="17"/>
      <c r="JU208" s="17"/>
      <c r="JV208" s="17"/>
      <c r="JW208" s="17"/>
      <c r="JX208" s="17"/>
      <c r="JY208" s="17"/>
      <c r="JZ208" s="17"/>
      <c r="KA208" s="17"/>
      <c r="KB208" s="17"/>
      <c r="KC208" s="17"/>
      <c r="KD208" s="17"/>
      <c r="KE208" s="17"/>
      <c r="KF208" s="17"/>
      <c r="KG208" s="17"/>
      <c r="KH208" s="17"/>
      <c r="KI208" s="17"/>
      <c r="KJ208" s="17"/>
      <c r="KK208" s="17"/>
      <c r="KL208" s="17"/>
      <c r="KM208" s="17"/>
      <c r="KN208" s="17"/>
      <c r="KO208" s="17"/>
      <c r="KP208" s="17"/>
      <c r="KQ208" s="17"/>
      <c r="KR208" s="17"/>
      <c r="KS208" s="17"/>
      <c r="KT208" s="17"/>
      <c r="KU208" s="17"/>
      <c r="KV208" s="17"/>
      <c r="KW208" s="17"/>
      <c r="KX208" s="17"/>
      <c r="KY208" s="17"/>
      <c r="KZ208" s="17"/>
      <c r="LA208" s="17"/>
      <c r="LB208" s="17"/>
      <c r="LC208" s="17"/>
      <c r="LD208" s="17"/>
      <c r="LE208" s="17"/>
      <c r="LF208" s="17"/>
      <c r="LG208" s="17"/>
      <c r="LH208" s="17"/>
      <c r="LI208" s="17"/>
      <c r="LJ208" s="17"/>
      <c r="LK208" s="17"/>
      <c r="LL208" s="17"/>
      <c r="LM208" s="17"/>
      <c r="LN208" s="17"/>
      <c r="LO208" s="17"/>
      <c r="LP208" s="17"/>
      <c r="LQ208" s="17"/>
      <c r="LR208" s="17"/>
      <c r="LS208" s="17"/>
      <c r="LT208" s="17"/>
      <c r="LU208" s="17"/>
      <c r="LV208" s="17"/>
      <c r="LW208" s="17"/>
      <c r="LX208" s="17"/>
      <c r="LY208" s="17"/>
      <c r="LZ208" s="17"/>
      <c r="MA208" s="17"/>
      <c r="MB208" s="17"/>
      <c r="MC208" s="17"/>
      <c r="MD208" s="17"/>
      <c r="ME208" s="17"/>
      <c r="MF208" s="17"/>
      <c r="MG208" s="17"/>
      <c r="MH208" s="17"/>
      <c r="MI208" s="17"/>
      <c r="MJ208" s="17"/>
      <c r="MK208" s="17"/>
      <c r="ML208" s="17"/>
      <c r="MM208" s="17"/>
      <c r="MN208" s="17"/>
      <c r="MO208" s="17"/>
      <c r="MP208" s="17"/>
      <c r="MQ208" s="17"/>
      <c r="MR208" s="17"/>
      <c r="MS208" s="17"/>
      <c r="MT208" s="17"/>
      <c r="MU208" s="17"/>
      <c r="MV208" s="17"/>
      <c r="MW208" s="17"/>
      <c r="MX208" s="17"/>
      <c r="MY208" s="17"/>
      <c r="MZ208" s="17"/>
      <c r="NA208" s="17"/>
      <c r="NB208" s="17"/>
      <c r="NC208" s="17"/>
      <c r="ND208" s="17"/>
      <c r="NE208" s="17"/>
      <c r="NF208" s="17"/>
      <c r="NG208" s="17"/>
      <c r="NH208" s="17"/>
      <c r="NI208" s="17"/>
      <c r="NJ208" s="17"/>
      <c r="NK208" s="17"/>
      <c r="NL208" s="17"/>
      <c r="NM208" s="17"/>
      <c r="NN208" s="17"/>
      <c r="NO208" s="17"/>
      <c r="NP208" s="17"/>
      <c r="NQ208" s="17"/>
      <c r="NR208" s="17"/>
      <c r="NS208" s="17"/>
      <c r="NT208" s="17"/>
      <c r="NU208" s="17"/>
      <c r="NV208" s="17"/>
      <c r="NW208" s="17"/>
      <c r="NX208" s="17"/>
      <c r="NY208" s="17"/>
      <c r="NZ208" s="17"/>
      <c r="OA208" s="17"/>
      <c r="OB208" s="17"/>
      <c r="OC208" s="17"/>
      <c r="OD208" s="17"/>
      <c r="OE208" s="17"/>
      <c r="OF208" s="17"/>
      <c r="OG208" s="17"/>
      <c r="OH208" s="17"/>
      <c r="OI208" s="17"/>
      <c r="OJ208" s="17"/>
      <c r="OK208" s="17"/>
      <c r="OL208" s="17"/>
      <c r="OM208" s="17"/>
      <c r="ON208" s="17"/>
      <c r="OO208" s="17"/>
      <c r="OP208" s="17"/>
      <c r="OQ208" s="17"/>
      <c r="OR208" s="17"/>
      <c r="OS208" s="17"/>
      <c r="OT208" s="17"/>
      <c r="OU208" s="17"/>
      <c r="OV208" s="17"/>
      <c r="OW208" s="17"/>
      <c r="OX208" s="17"/>
      <c r="OY208" s="17"/>
      <c r="OZ208" s="17"/>
      <c r="PA208" s="17"/>
      <c r="PB208" s="17"/>
      <c r="PC208" s="17"/>
      <c r="PD208" s="17"/>
      <c r="PE208" s="17"/>
      <c r="PF208" s="17"/>
      <c r="PG208" s="17"/>
      <c r="PH208" s="17"/>
      <c r="PI208" s="17"/>
      <c r="PJ208" s="17"/>
      <c r="PK208" s="17"/>
      <c r="PL208" s="17"/>
      <c r="PM208" s="17"/>
      <c r="PN208" s="17"/>
      <c r="PO208" s="17"/>
      <c r="PP208" s="17"/>
      <c r="PQ208" s="17"/>
      <c r="PR208" s="17"/>
      <c r="PS208" s="17"/>
      <c r="PT208" s="17"/>
      <c r="PU208" s="17"/>
      <c r="PV208" s="17"/>
      <c r="PW208" s="17"/>
      <c r="PX208" s="17"/>
      <c r="PY208" s="17"/>
      <c r="PZ208" s="17"/>
      <c r="QA208" s="17"/>
      <c r="QB208" s="17"/>
      <c r="QC208" s="17"/>
      <c r="QD208" s="17"/>
      <c r="QE208" s="17"/>
      <c r="QF208" s="17"/>
      <c r="QG208" s="17"/>
      <c r="QH208" s="17"/>
      <c r="QI208" s="17"/>
      <c r="QJ208" s="17"/>
      <c r="QK208" s="17"/>
      <c r="QL208" s="17"/>
      <c r="QM208" s="17"/>
      <c r="QN208" s="17"/>
      <c r="QO208" s="17"/>
      <c r="QP208" s="17"/>
      <c r="QQ208" s="17"/>
      <c r="QR208" s="17"/>
      <c r="QS208" s="17"/>
      <c r="QT208" s="17"/>
      <c r="QU208" s="17"/>
      <c r="QV208" s="17"/>
      <c r="QW208" s="17"/>
      <c r="QX208" s="17"/>
      <c r="QY208" s="17"/>
      <c r="QZ208" s="17"/>
      <c r="RA208" s="17"/>
      <c r="RB208" s="17"/>
      <c r="RC208" s="17"/>
      <c r="RD208" s="17"/>
      <c r="RE208" s="17"/>
      <c r="RF208" s="17"/>
      <c r="RG208" s="17"/>
      <c r="RH208" s="17"/>
      <c r="RI208" s="17"/>
      <c r="RJ208" s="17"/>
      <c r="RK208" s="17"/>
      <c r="RL208" s="17"/>
      <c r="RM208" s="17"/>
      <c r="RN208" s="17"/>
      <c r="RO208" s="17"/>
      <c r="RP208" s="17"/>
      <c r="RQ208" s="17"/>
      <c r="RR208" s="17"/>
      <c r="RS208" s="17"/>
      <c r="RT208" s="17"/>
      <c r="RU208" s="17"/>
      <c r="RV208" s="17"/>
      <c r="RW208" s="17"/>
      <c r="RX208" s="17"/>
      <c r="RY208" s="17"/>
      <c r="RZ208" s="17"/>
      <c r="SA208" s="17"/>
      <c r="SB208" s="17"/>
      <c r="SC208" s="17"/>
      <c r="SD208" s="17"/>
      <c r="SE208" s="17"/>
      <c r="SF208" s="17"/>
      <c r="SG208" s="17"/>
      <c r="SH208" s="17"/>
      <c r="SI208" s="17"/>
      <c r="SJ208" s="17"/>
      <c r="SK208" s="17"/>
      <c r="SL208" s="17"/>
      <c r="SM208" s="17"/>
      <c r="SN208" s="17"/>
      <c r="SO208" s="17"/>
      <c r="SP208" s="17"/>
      <c r="SQ208" s="17"/>
      <c r="SR208" s="17"/>
      <c r="SS208" s="17"/>
      <c r="ST208" s="17"/>
      <c r="SU208" s="17"/>
      <c r="SV208" s="17"/>
      <c r="SW208" s="17"/>
      <c r="SX208" s="17"/>
      <c r="SY208" s="17"/>
      <c r="SZ208" s="17"/>
      <c r="TA208" s="17"/>
      <c r="TB208" s="17"/>
      <c r="TC208" s="17"/>
      <c r="TD208" s="17"/>
      <c r="TE208" s="17"/>
      <c r="TF208" s="17"/>
      <c r="TG208" s="17"/>
      <c r="TH208" s="17"/>
      <c r="TI208" s="17"/>
      <c r="TJ208" s="17"/>
      <c r="TK208" s="17"/>
      <c r="TL208" s="17"/>
      <c r="TM208" s="17"/>
      <c r="TN208" s="17"/>
      <c r="TO208" s="17"/>
      <c r="TP208" s="17"/>
      <c r="TQ208" s="17"/>
      <c r="TR208" s="17"/>
      <c r="TS208" s="17"/>
      <c r="TT208" s="17"/>
      <c r="TU208" s="17"/>
      <c r="TV208" s="17"/>
      <c r="TW208" s="17"/>
      <c r="TX208" s="17"/>
      <c r="TY208" s="17"/>
      <c r="TZ208" s="17"/>
      <c r="UA208" s="17"/>
      <c r="UB208" s="17"/>
      <c r="UC208" s="17"/>
      <c r="UD208" s="17"/>
      <c r="UE208" s="17"/>
      <c r="UF208" s="17"/>
      <c r="UG208" s="17"/>
      <c r="UH208" s="17"/>
      <c r="UI208" s="17"/>
      <c r="UJ208" s="17"/>
      <c r="UK208" s="17"/>
      <c r="UL208" s="17"/>
      <c r="UM208" s="17"/>
      <c r="UN208" s="17"/>
      <c r="UO208" s="17"/>
      <c r="UP208" s="17"/>
      <c r="UQ208" s="17"/>
      <c r="UR208" s="17"/>
      <c r="US208" s="17"/>
      <c r="UT208" s="17"/>
      <c r="UU208" s="17"/>
      <c r="UV208" s="17"/>
      <c r="UW208" s="17"/>
      <c r="UX208" s="17"/>
      <c r="UY208" s="17"/>
      <c r="UZ208" s="17"/>
      <c r="VA208" s="17"/>
      <c r="VB208" s="17"/>
      <c r="VC208" s="17"/>
      <c r="VD208" s="17"/>
      <c r="VE208" s="17"/>
      <c r="VF208" s="17"/>
      <c r="VG208" s="17"/>
      <c r="VH208" s="17"/>
      <c r="VI208" s="17"/>
      <c r="VJ208" s="17"/>
      <c r="VK208" s="17"/>
      <c r="VL208" s="17"/>
      <c r="VM208" s="17"/>
      <c r="VN208" s="17"/>
      <c r="VO208" s="17"/>
      <c r="VP208" s="17"/>
      <c r="VQ208" s="17"/>
      <c r="VR208" s="17"/>
      <c r="VS208" s="17"/>
      <c r="VT208" s="17"/>
      <c r="VU208" s="17"/>
      <c r="VV208" s="17"/>
      <c r="VW208" s="17"/>
      <c r="VX208" s="17"/>
      <c r="VY208" s="17"/>
      <c r="VZ208" s="17"/>
      <c r="WA208" s="17"/>
      <c r="WB208" s="17"/>
      <c r="WC208" s="17"/>
      <c r="WD208" s="17"/>
      <c r="WE208" s="17"/>
      <c r="WF208" s="17"/>
      <c r="WG208" s="17"/>
      <c r="WH208" s="17"/>
      <c r="WI208" s="17"/>
      <c r="WJ208" s="17"/>
      <c r="WK208" s="17"/>
      <c r="WL208" s="17"/>
      <c r="WM208" s="17"/>
      <c r="WN208" s="17"/>
      <c r="WO208" s="17"/>
      <c r="WP208" s="17"/>
      <c r="WQ208" s="17"/>
      <c r="WR208" s="17"/>
      <c r="WS208" s="17"/>
      <c r="WT208" s="17"/>
      <c r="WU208" s="17"/>
      <c r="WV208" s="17"/>
      <c r="WW208" s="17"/>
      <c r="WX208" s="17"/>
      <c r="WY208" s="17"/>
      <c r="WZ208" s="17"/>
      <c r="XA208" s="17"/>
      <c r="XB208" s="17"/>
      <c r="XC208" s="17"/>
      <c r="XD208" s="17"/>
      <c r="XE208" s="17"/>
      <c r="XF208" s="17"/>
      <c r="XG208" s="17"/>
      <c r="XH208" s="17"/>
      <c r="XI208" s="17"/>
      <c r="XJ208" s="17"/>
      <c r="XK208" s="17"/>
      <c r="XL208" s="17"/>
      <c r="XM208" s="17"/>
      <c r="XN208" s="17"/>
      <c r="XO208" s="17"/>
      <c r="XP208" s="17"/>
      <c r="XQ208" s="17"/>
      <c r="XR208" s="17"/>
      <c r="XS208" s="17"/>
      <c r="XT208" s="17"/>
      <c r="XU208" s="17"/>
      <c r="XV208" s="17"/>
      <c r="XW208" s="17"/>
      <c r="XX208" s="17"/>
      <c r="XY208" s="17"/>
      <c r="XZ208" s="17"/>
      <c r="YA208" s="17"/>
      <c r="YB208" s="17"/>
      <c r="YC208" s="17"/>
      <c r="YD208" s="17"/>
      <c r="YE208" s="17"/>
      <c r="YF208" s="17"/>
      <c r="YG208" s="17"/>
      <c r="YH208" s="17"/>
      <c r="YI208" s="17"/>
      <c r="YJ208" s="17"/>
      <c r="YK208" s="17"/>
      <c r="YL208" s="17"/>
      <c r="YM208" s="17"/>
      <c r="YN208" s="17"/>
      <c r="YO208" s="17"/>
      <c r="YP208" s="17"/>
      <c r="YQ208" s="17"/>
      <c r="YR208" s="17"/>
      <c r="YS208" s="17"/>
    </row>
    <row r="209" spans="266:669" x14ac:dyDescent="0.25">
      <c r="JF209" s="17"/>
      <c r="JG209" s="17"/>
      <c r="JH209" s="17"/>
      <c r="JI209" s="17"/>
      <c r="JJ209" s="17"/>
      <c r="JK209" s="17"/>
      <c r="JL209" s="17"/>
      <c r="JM209" s="17"/>
      <c r="JN209" s="17"/>
      <c r="JO209" s="17"/>
      <c r="JP209" s="17"/>
      <c r="JQ209" s="17"/>
      <c r="JR209" s="17"/>
      <c r="JS209" s="17"/>
      <c r="JT209" s="17"/>
      <c r="JU209" s="17"/>
      <c r="JV209" s="17"/>
      <c r="JW209" s="17"/>
      <c r="JX209" s="17"/>
      <c r="JY209" s="17"/>
      <c r="JZ209" s="17"/>
      <c r="KA209" s="17"/>
      <c r="KB209" s="17"/>
      <c r="KC209" s="17"/>
      <c r="KD209" s="17"/>
      <c r="KE209" s="17"/>
      <c r="KF209" s="17"/>
      <c r="KG209" s="17"/>
      <c r="KH209" s="17"/>
      <c r="KI209" s="17"/>
      <c r="KJ209" s="17"/>
      <c r="KK209" s="17"/>
      <c r="KL209" s="17"/>
      <c r="KM209" s="17"/>
      <c r="KN209" s="17"/>
      <c r="KO209" s="17"/>
      <c r="KP209" s="17"/>
      <c r="KQ209" s="17"/>
      <c r="KR209" s="17"/>
      <c r="KS209" s="17"/>
      <c r="KT209" s="17"/>
      <c r="KU209" s="17"/>
      <c r="KV209" s="17"/>
      <c r="KW209" s="17"/>
      <c r="KX209" s="17"/>
      <c r="KY209" s="17"/>
      <c r="KZ209" s="17"/>
      <c r="LA209" s="17"/>
      <c r="LB209" s="17"/>
      <c r="LC209" s="17"/>
      <c r="LD209" s="17"/>
      <c r="LE209" s="17"/>
      <c r="LF209" s="17"/>
      <c r="LG209" s="17"/>
      <c r="LH209" s="17"/>
      <c r="LI209" s="17"/>
      <c r="LJ209" s="17"/>
      <c r="LK209" s="17"/>
      <c r="LL209" s="17"/>
      <c r="LM209" s="17"/>
      <c r="LN209" s="17"/>
      <c r="LO209" s="17"/>
      <c r="LP209" s="17"/>
      <c r="LQ209" s="17"/>
      <c r="LR209" s="17"/>
      <c r="LS209" s="17"/>
      <c r="LT209" s="17"/>
      <c r="LU209" s="17"/>
      <c r="LV209" s="17"/>
      <c r="LW209" s="17"/>
      <c r="LX209" s="17"/>
      <c r="LY209" s="17"/>
      <c r="LZ209" s="17"/>
      <c r="MA209" s="17"/>
      <c r="MB209" s="17"/>
      <c r="MC209" s="17"/>
      <c r="MD209" s="17"/>
      <c r="ME209" s="17"/>
      <c r="MF209" s="17"/>
      <c r="MG209" s="17"/>
      <c r="MH209" s="17"/>
      <c r="MI209" s="17"/>
      <c r="MJ209" s="17"/>
      <c r="MK209" s="17"/>
      <c r="ML209" s="17"/>
      <c r="MM209" s="17"/>
      <c r="MN209" s="17"/>
      <c r="MO209" s="17"/>
      <c r="MP209" s="17"/>
      <c r="MQ209" s="17"/>
      <c r="MR209" s="17"/>
      <c r="MS209" s="17"/>
      <c r="MT209" s="17"/>
      <c r="MU209" s="17"/>
      <c r="MV209" s="17"/>
      <c r="MW209" s="17"/>
      <c r="MX209" s="17"/>
      <c r="MY209" s="17"/>
      <c r="MZ209" s="17"/>
      <c r="NA209" s="17"/>
      <c r="NB209" s="17"/>
      <c r="NC209" s="17"/>
      <c r="ND209" s="17"/>
      <c r="NE209" s="17"/>
      <c r="NF209" s="17"/>
      <c r="NG209" s="17"/>
      <c r="NH209" s="17"/>
      <c r="NI209" s="17"/>
      <c r="NJ209" s="17"/>
      <c r="NK209" s="17"/>
      <c r="NL209" s="17"/>
      <c r="NM209" s="17"/>
      <c r="NN209" s="17"/>
      <c r="NO209" s="17"/>
      <c r="NP209" s="17"/>
      <c r="NQ209" s="17"/>
      <c r="NR209" s="17"/>
      <c r="NS209" s="17"/>
      <c r="NT209" s="17"/>
      <c r="NU209" s="17"/>
      <c r="NV209" s="17"/>
      <c r="NW209" s="17"/>
      <c r="NX209" s="17"/>
      <c r="NY209" s="17"/>
      <c r="NZ209" s="17"/>
      <c r="OA209" s="17"/>
      <c r="OB209" s="17"/>
      <c r="OC209" s="17"/>
      <c r="OD209" s="17"/>
      <c r="OE209" s="17"/>
      <c r="OF209" s="17"/>
      <c r="OG209" s="17"/>
      <c r="OH209" s="17"/>
      <c r="OI209" s="17"/>
      <c r="OJ209" s="17"/>
      <c r="OK209" s="17"/>
      <c r="OL209" s="17"/>
      <c r="OM209" s="17"/>
      <c r="ON209" s="17"/>
      <c r="OO209" s="17"/>
      <c r="OP209" s="17"/>
      <c r="OQ209" s="17"/>
      <c r="OR209" s="17"/>
      <c r="OS209" s="17"/>
      <c r="OT209" s="17"/>
      <c r="OU209" s="17"/>
      <c r="OV209" s="17"/>
      <c r="OW209" s="17"/>
      <c r="OX209" s="17"/>
      <c r="OY209" s="17"/>
      <c r="OZ209" s="17"/>
      <c r="PA209" s="17"/>
      <c r="PB209" s="17"/>
      <c r="PC209" s="17"/>
      <c r="PD209" s="17"/>
      <c r="PE209" s="17"/>
      <c r="PF209" s="17"/>
      <c r="PG209" s="17"/>
      <c r="PH209" s="17"/>
      <c r="PI209" s="17"/>
      <c r="PJ209" s="17"/>
      <c r="PK209" s="17"/>
      <c r="PL209" s="17"/>
      <c r="PM209" s="17"/>
      <c r="PN209" s="17"/>
      <c r="PO209" s="17"/>
      <c r="PP209" s="17"/>
      <c r="PQ209" s="17"/>
      <c r="PR209" s="17"/>
      <c r="PS209" s="17"/>
      <c r="PT209" s="17"/>
      <c r="PU209" s="17"/>
      <c r="PV209" s="17"/>
      <c r="PW209" s="17"/>
      <c r="PX209" s="17"/>
      <c r="PY209" s="17"/>
      <c r="PZ209" s="17"/>
      <c r="QA209" s="17"/>
      <c r="QB209" s="17"/>
      <c r="QC209" s="17"/>
      <c r="QD209" s="17"/>
      <c r="QE209" s="17"/>
      <c r="QF209" s="17"/>
      <c r="QG209" s="17"/>
      <c r="QH209" s="17"/>
      <c r="QI209" s="17"/>
      <c r="QJ209" s="17"/>
      <c r="QK209" s="17"/>
      <c r="QL209" s="17"/>
      <c r="QM209" s="17"/>
      <c r="QN209" s="17"/>
      <c r="QO209" s="17"/>
      <c r="QP209" s="17"/>
      <c r="QQ209" s="17"/>
      <c r="QR209" s="17"/>
      <c r="QS209" s="17"/>
      <c r="QT209" s="17"/>
      <c r="QU209" s="17"/>
      <c r="QV209" s="17"/>
      <c r="QW209" s="17"/>
      <c r="QX209" s="17"/>
      <c r="QY209" s="17"/>
      <c r="QZ209" s="17"/>
      <c r="RA209" s="17"/>
      <c r="RB209" s="17"/>
      <c r="RC209" s="17"/>
      <c r="RD209" s="17"/>
      <c r="RE209" s="17"/>
      <c r="RF209" s="17"/>
      <c r="RG209" s="17"/>
      <c r="RH209" s="17"/>
      <c r="RI209" s="17"/>
      <c r="RJ209" s="17"/>
      <c r="RK209" s="17"/>
      <c r="RL209" s="17"/>
      <c r="RM209" s="17"/>
      <c r="RN209" s="17"/>
      <c r="RO209" s="17"/>
      <c r="RP209" s="17"/>
      <c r="RQ209" s="17"/>
      <c r="RR209" s="17"/>
      <c r="RS209" s="17"/>
      <c r="RT209" s="17"/>
      <c r="RU209" s="17"/>
      <c r="RV209" s="17"/>
      <c r="RW209" s="17"/>
      <c r="RX209" s="17"/>
      <c r="RY209" s="17"/>
      <c r="RZ209" s="17"/>
      <c r="SA209" s="17"/>
      <c r="SB209" s="17"/>
      <c r="SC209" s="17"/>
      <c r="SD209" s="17"/>
      <c r="SE209" s="17"/>
      <c r="SF209" s="17"/>
      <c r="SG209" s="17"/>
      <c r="SH209" s="17"/>
      <c r="SI209" s="17"/>
      <c r="SJ209" s="17"/>
      <c r="SK209" s="17"/>
      <c r="SL209" s="17"/>
      <c r="SM209" s="17"/>
      <c r="SN209" s="17"/>
      <c r="SO209" s="17"/>
      <c r="SP209" s="17"/>
      <c r="SQ209" s="17"/>
      <c r="SR209" s="17"/>
      <c r="SS209" s="17"/>
      <c r="ST209" s="17"/>
      <c r="SU209" s="17"/>
      <c r="SV209" s="17"/>
      <c r="SW209" s="17"/>
      <c r="SX209" s="17"/>
      <c r="SY209" s="17"/>
      <c r="SZ209" s="17"/>
      <c r="TA209" s="17"/>
      <c r="TB209" s="17"/>
      <c r="TC209" s="17"/>
      <c r="TD209" s="17"/>
      <c r="TE209" s="17"/>
      <c r="TF209" s="17"/>
      <c r="TG209" s="17"/>
      <c r="TH209" s="17"/>
      <c r="TI209" s="17"/>
      <c r="TJ209" s="17"/>
      <c r="TK209" s="17"/>
      <c r="TL209" s="17"/>
      <c r="TM209" s="17"/>
      <c r="TN209" s="17"/>
      <c r="TO209" s="17"/>
      <c r="TP209" s="17"/>
      <c r="TQ209" s="17"/>
      <c r="TR209" s="17"/>
      <c r="TS209" s="17"/>
      <c r="TT209" s="17"/>
      <c r="TU209" s="17"/>
      <c r="TV209" s="17"/>
      <c r="TW209" s="17"/>
      <c r="TX209" s="17"/>
      <c r="TY209" s="17"/>
      <c r="TZ209" s="17"/>
      <c r="UA209" s="17"/>
      <c r="UB209" s="17"/>
      <c r="UC209" s="17"/>
      <c r="UD209" s="17"/>
      <c r="UE209" s="17"/>
      <c r="UF209" s="17"/>
      <c r="UG209" s="17"/>
      <c r="UH209" s="17"/>
      <c r="UI209" s="17"/>
      <c r="UJ209" s="17"/>
      <c r="UK209" s="17"/>
      <c r="UL209" s="17"/>
      <c r="UM209" s="17"/>
      <c r="UN209" s="17"/>
      <c r="UO209" s="17"/>
      <c r="UP209" s="17"/>
      <c r="UQ209" s="17"/>
      <c r="UR209" s="17"/>
      <c r="US209" s="17"/>
      <c r="UT209" s="17"/>
      <c r="UU209" s="17"/>
      <c r="UV209" s="17"/>
      <c r="UW209" s="17"/>
      <c r="UX209" s="17"/>
      <c r="UY209" s="17"/>
      <c r="UZ209" s="17"/>
      <c r="VA209" s="17"/>
      <c r="VB209" s="17"/>
      <c r="VC209" s="17"/>
      <c r="VD209" s="17"/>
      <c r="VE209" s="17"/>
      <c r="VF209" s="17"/>
      <c r="VG209" s="17"/>
      <c r="VH209" s="17"/>
      <c r="VI209" s="17"/>
      <c r="VJ209" s="17"/>
      <c r="VK209" s="17"/>
      <c r="VL209" s="17"/>
      <c r="VM209" s="17"/>
      <c r="VN209" s="17"/>
      <c r="VO209" s="17"/>
      <c r="VP209" s="17"/>
      <c r="VQ209" s="17"/>
      <c r="VR209" s="17"/>
      <c r="VS209" s="17"/>
      <c r="VT209" s="17"/>
      <c r="VU209" s="17"/>
      <c r="VV209" s="17"/>
      <c r="VW209" s="17"/>
      <c r="VX209" s="17"/>
      <c r="VY209" s="17"/>
      <c r="VZ209" s="17"/>
      <c r="WA209" s="17"/>
      <c r="WB209" s="17"/>
      <c r="WC209" s="17"/>
      <c r="WD209" s="17"/>
      <c r="WE209" s="17"/>
      <c r="WF209" s="17"/>
      <c r="WG209" s="17"/>
      <c r="WH209" s="17"/>
      <c r="WI209" s="17"/>
      <c r="WJ209" s="17"/>
      <c r="WK209" s="17"/>
      <c r="WL209" s="17"/>
      <c r="WM209" s="17"/>
      <c r="WN209" s="17"/>
      <c r="WO209" s="17"/>
      <c r="WP209" s="17"/>
      <c r="WQ209" s="17"/>
      <c r="WR209" s="17"/>
      <c r="WS209" s="17"/>
      <c r="WT209" s="17"/>
      <c r="WU209" s="17"/>
      <c r="WV209" s="17"/>
      <c r="WW209" s="17"/>
      <c r="WX209" s="17"/>
      <c r="WY209" s="17"/>
      <c r="WZ209" s="17"/>
      <c r="XA209" s="17"/>
      <c r="XB209" s="17"/>
      <c r="XC209" s="17"/>
      <c r="XD209" s="17"/>
      <c r="XE209" s="17"/>
      <c r="XF209" s="17"/>
      <c r="XG209" s="17"/>
      <c r="XH209" s="17"/>
      <c r="XI209" s="17"/>
      <c r="XJ209" s="17"/>
      <c r="XK209" s="17"/>
      <c r="XL209" s="17"/>
      <c r="XM209" s="17"/>
      <c r="XN209" s="17"/>
      <c r="XO209" s="17"/>
      <c r="XP209" s="17"/>
      <c r="XQ209" s="17"/>
      <c r="XR209" s="17"/>
      <c r="XS209" s="17"/>
      <c r="XT209" s="17"/>
      <c r="XU209" s="17"/>
      <c r="XV209" s="17"/>
      <c r="XW209" s="17"/>
      <c r="XX209" s="17"/>
      <c r="XY209" s="17"/>
      <c r="XZ209" s="17"/>
      <c r="YA209" s="17"/>
      <c r="YB209" s="17"/>
      <c r="YC209" s="17"/>
      <c r="YD209" s="17"/>
      <c r="YE209" s="17"/>
      <c r="YF209" s="17"/>
      <c r="YG209" s="17"/>
      <c r="YH209" s="17"/>
      <c r="YI209" s="17"/>
      <c r="YJ209" s="17"/>
      <c r="YK209" s="17"/>
      <c r="YL209" s="17"/>
      <c r="YM209" s="17"/>
      <c r="YN209" s="17"/>
      <c r="YO209" s="17"/>
      <c r="YP209" s="17"/>
      <c r="YQ209" s="17"/>
      <c r="YR209" s="17"/>
      <c r="YS209" s="17"/>
    </row>
    <row r="210" spans="266:669" x14ac:dyDescent="0.25">
      <c r="JF210" s="17"/>
      <c r="JG210" s="17"/>
      <c r="JH210" s="17"/>
      <c r="JI210" s="17"/>
      <c r="JJ210" s="17"/>
      <c r="JK210" s="17"/>
      <c r="JL210" s="17"/>
      <c r="JM210" s="17"/>
      <c r="JN210" s="17"/>
      <c r="JO210" s="17"/>
      <c r="JP210" s="17"/>
      <c r="JQ210" s="17"/>
      <c r="JR210" s="17"/>
      <c r="JS210" s="17"/>
      <c r="JT210" s="17"/>
      <c r="JU210" s="17"/>
      <c r="JV210" s="17"/>
      <c r="JW210" s="17"/>
      <c r="JX210" s="17"/>
      <c r="JY210" s="17"/>
      <c r="JZ210" s="17"/>
      <c r="KA210" s="17"/>
      <c r="KB210" s="17"/>
      <c r="KC210" s="17"/>
      <c r="KD210" s="17"/>
      <c r="KE210" s="17"/>
      <c r="KF210" s="17"/>
      <c r="KG210" s="17"/>
      <c r="KH210" s="17"/>
      <c r="KI210" s="17"/>
      <c r="KJ210" s="17"/>
      <c r="KK210" s="17"/>
      <c r="KL210" s="17"/>
      <c r="KM210" s="17"/>
      <c r="KN210" s="17"/>
      <c r="KO210" s="17"/>
      <c r="KP210" s="17"/>
      <c r="KQ210" s="17"/>
      <c r="KR210" s="17"/>
      <c r="KS210" s="17"/>
      <c r="KT210" s="17"/>
      <c r="KU210" s="17"/>
      <c r="KV210" s="17"/>
      <c r="KW210" s="17"/>
      <c r="KX210" s="17"/>
      <c r="KY210" s="17"/>
      <c r="KZ210" s="17"/>
      <c r="LA210" s="17"/>
      <c r="LB210" s="17"/>
      <c r="LC210" s="17"/>
      <c r="LD210" s="17"/>
      <c r="LE210" s="17"/>
      <c r="LF210" s="17"/>
      <c r="LG210" s="17"/>
      <c r="LH210" s="17"/>
      <c r="LI210" s="17"/>
      <c r="LJ210" s="17"/>
      <c r="LK210" s="17"/>
      <c r="LL210" s="17"/>
      <c r="LM210" s="17"/>
      <c r="LN210" s="17"/>
      <c r="LO210" s="17"/>
      <c r="LP210" s="17"/>
      <c r="LQ210" s="17"/>
      <c r="LR210" s="17"/>
      <c r="LS210" s="17"/>
      <c r="LT210" s="17"/>
      <c r="LU210" s="17"/>
      <c r="LV210" s="17"/>
      <c r="LW210" s="17"/>
      <c r="LX210" s="17"/>
      <c r="LY210" s="17"/>
      <c r="LZ210" s="17"/>
      <c r="MA210" s="17"/>
      <c r="MB210" s="17"/>
      <c r="MC210" s="17"/>
      <c r="MD210" s="17"/>
      <c r="ME210" s="17"/>
      <c r="MF210" s="17"/>
      <c r="MG210" s="17"/>
      <c r="MH210" s="17"/>
      <c r="MI210" s="17"/>
      <c r="MJ210" s="17"/>
      <c r="MK210" s="17"/>
      <c r="ML210" s="17"/>
      <c r="MM210" s="17"/>
      <c r="MN210" s="17"/>
      <c r="MO210" s="17"/>
      <c r="MP210" s="17"/>
      <c r="MQ210" s="17"/>
      <c r="MR210" s="17"/>
      <c r="MS210" s="17"/>
      <c r="MT210" s="17"/>
      <c r="MU210" s="17"/>
      <c r="MV210" s="17"/>
      <c r="MW210" s="17"/>
      <c r="MX210" s="17"/>
      <c r="MY210" s="17"/>
      <c r="MZ210" s="17"/>
      <c r="NA210" s="17"/>
      <c r="NB210" s="17"/>
      <c r="NC210" s="17"/>
      <c r="ND210" s="17"/>
      <c r="NE210" s="17"/>
      <c r="NF210" s="17"/>
      <c r="NG210" s="17"/>
      <c r="NH210" s="17"/>
      <c r="NI210" s="17"/>
      <c r="NJ210" s="17"/>
      <c r="NK210" s="17"/>
      <c r="NL210" s="17"/>
      <c r="NM210" s="17"/>
      <c r="NN210" s="17"/>
      <c r="NO210" s="17"/>
      <c r="NP210" s="17"/>
      <c r="NQ210" s="17"/>
      <c r="NR210" s="17"/>
      <c r="NS210" s="17"/>
      <c r="NT210" s="17"/>
      <c r="NU210" s="17"/>
      <c r="NV210" s="17"/>
      <c r="NW210" s="17"/>
      <c r="NX210" s="17"/>
      <c r="NY210" s="17"/>
      <c r="NZ210" s="17"/>
      <c r="OA210" s="17"/>
      <c r="OB210" s="17"/>
      <c r="OC210" s="17"/>
      <c r="OD210" s="17"/>
      <c r="OE210" s="17"/>
      <c r="OF210" s="17"/>
      <c r="OG210" s="17"/>
      <c r="OH210" s="17"/>
      <c r="OI210" s="17"/>
      <c r="OJ210" s="17"/>
      <c r="OK210" s="17"/>
      <c r="OL210" s="17"/>
      <c r="OM210" s="17"/>
      <c r="ON210" s="17"/>
      <c r="OO210" s="17"/>
      <c r="OP210" s="17"/>
      <c r="OQ210" s="17"/>
      <c r="OR210" s="17"/>
      <c r="OS210" s="17"/>
      <c r="OT210" s="17"/>
      <c r="OU210" s="17"/>
      <c r="OV210" s="17"/>
      <c r="OW210" s="17"/>
      <c r="OX210" s="17"/>
      <c r="OY210" s="17"/>
      <c r="OZ210" s="17"/>
      <c r="PA210" s="17"/>
      <c r="PB210" s="17"/>
      <c r="PC210" s="17"/>
      <c r="PD210" s="17"/>
      <c r="PE210" s="17"/>
      <c r="PF210" s="17"/>
      <c r="PG210" s="17"/>
      <c r="PH210" s="17"/>
      <c r="PI210" s="17"/>
      <c r="PJ210" s="17"/>
      <c r="PK210" s="17"/>
      <c r="PL210" s="17"/>
      <c r="PM210" s="17"/>
      <c r="PN210" s="17"/>
      <c r="PO210" s="17"/>
      <c r="PP210" s="17"/>
      <c r="PQ210" s="17"/>
      <c r="PR210" s="17"/>
      <c r="PS210" s="17"/>
      <c r="PT210" s="17"/>
      <c r="PU210" s="17"/>
      <c r="PV210" s="17"/>
      <c r="PW210" s="17"/>
      <c r="PX210" s="17"/>
      <c r="PY210" s="17"/>
      <c r="PZ210" s="17"/>
      <c r="QA210" s="17"/>
      <c r="QB210" s="17"/>
      <c r="QC210" s="17"/>
      <c r="QD210" s="17"/>
      <c r="QE210" s="17"/>
      <c r="QF210" s="17"/>
      <c r="QG210" s="17"/>
      <c r="QH210" s="17"/>
      <c r="QI210" s="17"/>
      <c r="QJ210" s="17"/>
      <c r="QK210" s="17"/>
      <c r="QL210" s="17"/>
      <c r="QM210" s="17"/>
      <c r="QN210" s="17"/>
      <c r="QO210" s="17"/>
      <c r="QP210" s="17"/>
      <c r="QQ210" s="17"/>
      <c r="QR210" s="17"/>
      <c r="QS210" s="17"/>
      <c r="QT210" s="17"/>
      <c r="QU210" s="17"/>
      <c r="QV210" s="17"/>
      <c r="QW210" s="17"/>
      <c r="QX210" s="17"/>
      <c r="QY210" s="17"/>
      <c r="QZ210" s="17"/>
      <c r="RA210" s="17"/>
      <c r="RB210" s="17"/>
      <c r="RC210" s="17"/>
      <c r="RD210" s="17"/>
      <c r="RE210" s="17"/>
      <c r="RF210" s="17"/>
      <c r="RG210" s="17"/>
      <c r="RH210" s="17"/>
      <c r="RI210" s="17"/>
      <c r="RJ210" s="17"/>
      <c r="RK210" s="17"/>
      <c r="RL210" s="17"/>
      <c r="RM210" s="17"/>
      <c r="RN210" s="17"/>
      <c r="RO210" s="17"/>
      <c r="RP210" s="17"/>
      <c r="RQ210" s="17"/>
      <c r="RR210" s="17"/>
      <c r="RS210" s="17"/>
      <c r="RT210" s="17"/>
      <c r="RU210" s="17"/>
      <c r="RV210" s="17"/>
      <c r="RW210" s="17"/>
      <c r="RX210" s="17"/>
      <c r="RY210" s="17"/>
      <c r="RZ210" s="17"/>
      <c r="SA210" s="17"/>
      <c r="SB210" s="17"/>
      <c r="SC210" s="17"/>
      <c r="SD210" s="17"/>
      <c r="SE210" s="17"/>
      <c r="SF210" s="17"/>
      <c r="SG210" s="17"/>
      <c r="SH210" s="17"/>
      <c r="SI210" s="17"/>
      <c r="SJ210" s="17"/>
      <c r="SK210" s="17"/>
      <c r="SL210" s="17"/>
      <c r="SM210" s="17"/>
      <c r="SN210" s="17"/>
      <c r="SO210" s="17"/>
      <c r="SP210" s="17"/>
      <c r="SQ210" s="17"/>
      <c r="SR210" s="17"/>
      <c r="SS210" s="17"/>
      <c r="ST210" s="17"/>
      <c r="SU210" s="17"/>
      <c r="SV210" s="17"/>
      <c r="SW210" s="17"/>
      <c r="SX210" s="17"/>
      <c r="SY210" s="17"/>
      <c r="SZ210" s="17"/>
      <c r="TA210" s="17"/>
      <c r="TB210" s="17"/>
      <c r="TC210" s="17"/>
      <c r="TD210" s="17"/>
      <c r="TE210" s="17"/>
      <c r="TF210" s="17"/>
      <c r="TG210" s="17"/>
      <c r="TH210" s="17"/>
      <c r="TI210" s="17"/>
      <c r="TJ210" s="17"/>
      <c r="TK210" s="17"/>
      <c r="TL210" s="17"/>
      <c r="TM210" s="17"/>
      <c r="TN210" s="17"/>
      <c r="TO210" s="17"/>
      <c r="TP210" s="17"/>
      <c r="TQ210" s="17"/>
      <c r="TR210" s="17"/>
      <c r="TS210" s="17"/>
      <c r="TT210" s="17"/>
      <c r="TU210" s="17"/>
      <c r="TV210" s="17"/>
      <c r="TW210" s="17"/>
      <c r="TX210" s="17"/>
      <c r="TY210" s="17"/>
      <c r="TZ210" s="17"/>
      <c r="UA210" s="17"/>
      <c r="UB210" s="17"/>
      <c r="UC210" s="17"/>
      <c r="UD210" s="17"/>
      <c r="UE210" s="17"/>
      <c r="UF210" s="17"/>
      <c r="UG210" s="17"/>
      <c r="UH210" s="17"/>
      <c r="UI210" s="17"/>
      <c r="UJ210" s="17"/>
      <c r="UK210" s="17"/>
      <c r="UL210" s="17"/>
      <c r="UM210" s="17"/>
      <c r="UN210" s="17"/>
      <c r="UO210" s="17"/>
      <c r="UP210" s="17"/>
      <c r="UQ210" s="17"/>
      <c r="UR210" s="17"/>
      <c r="US210" s="17"/>
      <c r="UT210" s="17"/>
      <c r="UU210" s="17"/>
      <c r="UV210" s="17"/>
      <c r="UW210" s="17"/>
      <c r="UX210" s="17"/>
      <c r="UY210" s="17"/>
      <c r="UZ210" s="17"/>
      <c r="VA210" s="17"/>
      <c r="VB210" s="17"/>
      <c r="VC210" s="17"/>
      <c r="VD210" s="17"/>
      <c r="VE210" s="17"/>
      <c r="VF210" s="17"/>
      <c r="VG210" s="17"/>
      <c r="VH210" s="17"/>
      <c r="VI210" s="17"/>
      <c r="VJ210" s="17"/>
      <c r="VK210" s="17"/>
      <c r="VL210" s="17"/>
      <c r="VM210" s="17"/>
      <c r="VN210" s="17"/>
      <c r="VO210" s="17"/>
      <c r="VP210" s="17"/>
      <c r="VQ210" s="17"/>
      <c r="VR210" s="17"/>
      <c r="VS210" s="17"/>
      <c r="VT210" s="17"/>
      <c r="VU210" s="17"/>
      <c r="VV210" s="17"/>
      <c r="VW210" s="17"/>
      <c r="VX210" s="17"/>
      <c r="VY210" s="17"/>
      <c r="VZ210" s="17"/>
      <c r="WA210" s="17"/>
      <c r="WB210" s="17"/>
      <c r="WC210" s="17"/>
      <c r="WD210" s="17"/>
      <c r="WE210" s="17"/>
      <c r="WF210" s="17"/>
      <c r="WG210" s="17"/>
      <c r="WH210" s="17"/>
      <c r="WI210" s="17"/>
      <c r="WJ210" s="17"/>
      <c r="WK210" s="17"/>
      <c r="WL210" s="17"/>
      <c r="WM210" s="17"/>
      <c r="WN210" s="17"/>
      <c r="WO210" s="17"/>
      <c r="WP210" s="17"/>
      <c r="WQ210" s="17"/>
      <c r="WR210" s="17"/>
      <c r="WS210" s="17"/>
      <c r="WT210" s="17"/>
      <c r="WU210" s="17"/>
      <c r="WV210" s="17"/>
      <c r="WW210" s="17"/>
      <c r="WX210" s="17"/>
      <c r="WY210" s="17"/>
      <c r="WZ210" s="17"/>
      <c r="XA210" s="17"/>
      <c r="XB210" s="17"/>
      <c r="XC210" s="17"/>
      <c r="XD210" s="17"/>
      <c r="XE210" s="17"/>
      <c r="XF210" s="17"/>
      <c r="XG210" s="17"/>
      <c r="XH210" s="17"/>
      <c r="XI210" s="17"/>
      <c r="XJ210" s="17"/>
      <c r="XK210" s="17"/>
      <c r="XL210" s="17"/>
      <c r="XM210" s="17"/>
      <c r="XN210" s="17"/>
      <c r="XO210" s="17"/>
      <c r="XP210" s="17"/>
      <c r="XQ210" s="17"/>
      <c r="XR210" s="17"/>
      <c r="XS210" s="17"/>
      <c r="XT210" s="17"/>
      <c r="XU210" s="17"/>
      <c r="XV210" s="17"/>
      <c r="XW210" s="17"/>
      <c r="XX210" s="17"/>
      <c r="XY210" s="17"/>
      <c r="XZ210" s="17"/>
      <c r="YA210" s="17"/>
      <c r="YB210" s="17"/>
      <c r="YC210" s="17"/>
      <c r="YD210" s="17"/>
      <c r="YE210" s="17"/>
      <c r="YF210" s="17"/>
      <c r="YG210" s="17"/>
      <c r="YH210" s="17"/>
      <c r="YI210" s="17"/>
      <c r="YJ210" s="17"/>
      <c r="YK210" s="17"/>
      <c r="YL210" s="17"/>
      <c r="YM210" s="17"/>
      <c r="YN210" s="17"/>
      <c r="YO210" s="17"/>
      <c r="YP210" s="17"/>
      <c r="YQ210" s="17"/>
      <c r="YR210" s="17"/>
      <c r="YS210" s="17"/>
    </row>
    <row r="211" spans="266:669" x14ac:dyDescent="0.25">
      <c r="JF211" s="17"/>
      <c r="JG211" s="17"/>
      <c r="JH211" s="17"/>
      <c r="JI211" s="17"/>
      <c r="JJ211" s="17"/>
      <c r="JK211" s="17"/>
      <c r="JL211" s="17"/>
      <c r="JM211" s="17"/>
      <c r="JN211" s="17"/>
      <c r="JO211" s="17"/>
      <c r="JP211" s="17"/>
      <c r="JQ211" s="17"/>
      <c r="JR211" s="17"/>
      <c r="JS211" s="17"/>
      <c r="JT211" s="17"/>
      <c r="JU211" s="17"/>
      <c r="JV211" s="17"/>
      <c r="JW211" s="17"/>
      <c r="JX211" s="17"/>
      <c r="JY211" s="17"/>
      <c r="JZ211" s="17"/>
      <c r="KA211" s="17"/>
      <c r="KB211" s="17"/>
      <c r="KC211" s="17"/>
      <c r="KD211" s="17"/>
      <c r="KE211" s="17"/>
      <c r="KF211" s="17"/>
      <c r="KG211" s="17"/>
      <c r="KH211" s="17"/>
      <c r="KI211" s="17"/>
      <c r="KJ211" s="17"/>
      <c r="KK211" s="17"/>
      <c r="KL211" s="17"/>
      <c r="KM211" s="17"/>
      <c r="KN211" s="17"/>
      <c r="KO211" s="17"/>
      <c r="KP211" s="17"/>
      <c r="KQ211" s="17"/>
      <c r="KR211" s="17"/>
      <c r="KS211" s="17"/>
      <c r="KT211" s="17"/>
      <c r="KU211" s="17"/>
      <c r="KV211" s="17"/>
      <c r="KW211" s="17"/>
      <c r="KX211" s="17"/>
      <c r="KY211" s="17"/>
      <c r="KZ211" s="17"/>
      <c r="LA211" s="17"/>
      <c r="LB211" s="17"/>
      <c r="LC211" s="17"/>
      <c r="LD211" s="17"/>
      <c r="LE211" s="17"/>
      <c r="LF211" s="17"/>
      <c r="LG211" s="17"/>
      <c r="LH211" s="17"/>
      <c r="LI211" s="17"/>
      <c r="LJ211" s="17"/>
      <c r="LK211" s="17"/>
      <c r="LL211" s="17"/>
      <c r="LM211" s="17"/>
      <c r="LN211" s="17"/>
      <c r="LO211" s="17"/>
      <c r="LP211" s="17"/>
      <c r="LQ211" s="17"/>
      <c r="LR211" s="17"/>
      <c r="LS211" s="17"/>
      <c r="LT211" s="17"/>
      <c r="LU211" s="17"/>
      <c r="LV211" s="17"/>
      <c r="LW211" s="17"/>
      <c r="LX211" s="17"/>
      <c r="LY211" s="17"/>
      <c r="LZ211" s="17"/>
      <c r="MA211" s="17"/>
      <c r="MB211" s="17"/>
      <c r="MC211" s="17"/>
      <c r="MD211" s="17"/>
      <c r="ME211" s="17"/>
      <c r="MF211" s="17"/>
      <c r="MG211" s="17"/>
      <c r="MH211" s="17"/>
      <c r="MI211" s="17"/>
      <c r="MJ211" s="17"/>
      <c r="MK211" s="17"/>
      <c r="ML211" s="17"/>
      <c r="MM211" s="17"/>
      <c r="MN211" s="17"/>
      <c r="MO211" s="17"/>
      <c r="MP211" s="17"/>
      <c r="MQ211" s="17"/>
      <c r="MR211" s="17"/>
      <c r="MS211" s="17"/>
      <c r="MT211" s="17"/>
      <c r="MU211" s="17"/>
      <c r="MV211" s="17"/>
      <c r="MW211" s="17"/>
      <c r="MX211" s="17"/>
      <c r="MY211" s="17"/>
      <c r="MZ211" s="17"/>
      <c r="NA211" s="17"/>
      <c r="NB211" s="17"/>
      <c r="NC211" s="17"/>
      <c r="ND211" s="17"/>
      <c r="NE211" s="17"/>
      <c r="NF211" s="17"/>
      <c r="NG211" s="17"/>
      <c r="NH211" s="17"/>
      <c r="NI211" s="17"/>
      <c r="NJ211" s="17"/>
      <c r="NK211" s="17"/>
      <c r="NL211" s="17"/>
      <c r="NM211" s="17"/>
      <c r="NN211" s="17"/>
      <c r="NO211" s="17"/>
      <c r="NP211" s="17"/>
      <c r="NQ211" s="17"/>
      <c r="NR211" s="17"/>
      <c r="NS211" s="17"/>
      <c r="NT211" s="17"/>
      <c r="NU211" s="17"/>
      <c r="NV211" s="17"/>
      <c r="NW211" s="17"/>
      <c r="NX211" s="17"/>
      <c r="NY211" s="17"/>
      <c r="NZ211" s="17"/>
      <c r="OA211" s="17"/>
      <c r="OB211" s="17"/>
      <c r="OC211" s="17"/>
      <c r="OD211" s="17"/>
      <c r="OE211" s="17"/>
      <c r="OF211" s="17"/>
      <c r="OG211" s="17"/>
      <c r="OH211" s="17"/>
      <c r="OI211" s="17"/>
      <c r="OJ211" s="17"/>
      <c r="OK211" s="17"/>
      <c r="OL211" s="17"/>
      <c r="OM211" s="17"/>
      <c r="ON211" s="17"/>
      <c r="OO211" s="17"/>
      <c r="OP211" s="17"/>
      <c r="OQ211" s="17"/>
      <c r="OR211" s="17"/>
      <c r="OS211" s="17"/>
      <c r="OT211" s="17"/>
      <c r="OU211" s="17"/>
      <c r="OV211" s="17"/>
      <c r="OW211" s="17"/>
      <c r="OX211" s="17"/>
      <c r="OY211" s="17"/>
      <c r="OZ211" s="17"/>
      <c r="PA211" s="17"/>
      <c r="PB211" s="17"/>
      <c r="PC211" s="17"/>
      <c r="PD211" s="17"/>
      <c r="PE211" s="17"/>
      <c r="PF211" s="17"/>
      <c r="PG211" s="17"/>
      <c r="PH211" s="17"/>
      <c r="PI211" s="17"/>
      <c r="PJ211" s="17"/>
      <c r="PK211" s="17"/>
      <c r="PL211" s="17"/>
      <c r="PM211" s="17"/>
      <c r="PN211" s="17"/>
      <c r="PO211" s="17"/>
      <c r="PP211" s="17"/>
      <c r="PQ211" s="17"/>
      <c r="PR211" s="17"/>
      <c r="PS211" s="17"/>
      <c r="PT211" s="17"/>
      <c r="PU211" s="17"/>
      <c r="PV211" s="17"/>
      <c r="PW211" s="17"/>
      <c r="PX211" s="17"/>
      <c r="PY211" s="17"/>
      <c r="PZ211" s="17"/>
      <c r="QA211" s="17"/>
      <c r="QB211" s="17"/>
      <c r="QC211" s="17"/>
      <c r="QD211" s="17"/>
      <c r="QE211" s="17"/>
      <c r="QF211" s="17"/>
      <c r="QG211" s="17"/>
      <c r="QH211" s="17"/>
      <c r="QI211" s="17"/>
      <c r="QJ211" s="17"/>
      <c r="QK211" s="17"/>
      <c r="QL211" s="17"/>
      <c r="QM211" s="17"/>
      <c r="QN211" s="17"/>
      <c r="QO211" s="17"/>
      <c r="QP211" s="17"/>
      <c r="QQ211" s="17"/>
      <c r="QR211" s="17"/>
      <c r="QS211" s="17"/>
      <c r="QT211" s="17"/>
      <c r="QU211" s="17"/>
      <c r="QV211" s="17"/>
      <c r="QW211" s="17"/>
      <c r="QX211" s="17"/>
      <c r="QY211" s="17"/>
      <c r="QZ211" s="17"/>
      <c r="RA211" s="17"/>
      <c r="RB211" s="17"/>
      <c r="RC211" s="17"/>
      <c r="RD211" s="17"/>
      <c r="RE211" s="17"/>
      <c r="RF211" s="17"/>
      <c r="RG211" s="17"/>
      <c r="RH211" s="17"/>
      <c r="RI211" s="17"/>
      <c r="RJ211" s="17"/>
      <c r="RK211" s="17"/>
      <c r="RL211" s="17"/>
      <c r="RM211" s="17"/>
      <c r="RN211" s="17"/>
      <c r="RO211" s="17"/>
      <c r="RP211" s="17"/>
      <c r="RQ211" s="17"/>
      <c r="RR211" s="17"/>
      <c r="RS211" s="17"/>
      <c r="RT211" s="17"/>
      <c r="RU211" s="17"/>
      <c r="RV211" s="17"/>
      <c r="RW211" s="17"/>
      <c r="RX211" s="17"/>
      <c r="RY211" s="17"/>
      <c r="RZ211" s="17"/>
      <c r="SA211" s="17"/>
      <c r="SB211" s="17"/>
      <c r="SC211" s="17"/>
      <c r="SD211" s="17"/>
      <c r="SE211" s="17"/>
      <c r="SF211" s="17"/>
      <c r="SG211" s="17"/>
      <c r="SH211" s="17"/>
      <c r="SI211" s="17"/>
      <c r="SJ211" s="17"/>
      <c r="SK211" s="17"/>
      <c r="SL211" s="17"/>
      <c r="SM211" s="17"/>
      <c r="SN211" s="17"/>
      <c r="SO211" s="17"/>
      <c r="SP211" s="17"/>
      <c r="SQ211" s="17"/>
      <c r="SR211" s="17"/>
      <c r="SS211" s="17"/>
      <c r="ST211" s="17"/>
      <c r="SU211" s="17"/>
      <c r="SV211" s="17"/>
      <c r="SW211" s="17"/>
      <c r="SX211" s="17"/>
      <c r="SY211" s="17"/>
      <c r="SZ211" s="17"/>
      <c r="TA211" s="17"/>
      <c r="TB211" s="17"/>
      <c r="TC211" s="17"/>
      <c r="TD211" s="17"/>
      <c r="TE211" s="17"/>
      <c r="TF211" s="17"/>
      <c r="TG211" s="17"/>
      <c r="TH211" s="17"/>
      <c r="TI211" s="17"/>
      <c r="TJ211" s="17"/>
      <c r="TK211" s="17"/>
      <c r="TL211" s="17"/>
      <c r="TM211" s="17"/>
      <c r="TN211" s="17"/>
      <c r="TO211" s="17"/>
      <c r="TP211" s="17"/>
      <c r="TQ211" s="17"/>
      <c r="TR211" s="17"/>
      <c r="TS211" s="17"/>
      <c r="TT211" s="17"/>
      <c r="TU211" s="17"/>
      <c r="TV211" s="17"/>
      <c r="TW211" s="17"/>
      <c r="TX211" s="17"/>
      <c r="TY211" s="17"/>
      <c r="TZ211" s="17"/>
      <c r="UA211" s="17"/>
      <c r="UB211" s="17"/>
      <c r="UC211" s="17"/>
      <c r="UD211" s="17"/>
      <c r="UE211" s="17"/>
      <c r="UF211" s="17"/>
      <c r="UG211" s="17"/>
      <c r="UH211" s="17"/>
      <c r="UI211" s="17"/>
      <c r="UJ211" s="17"/>
      <c r="UK211" s="17"/>
      <c r="UL211" s="17"/>
      <c r="UM211" s="17"/>
      <c r="UN211" s="17"/>
      <c r="UO211" s="17"/>
      <c r="UP211" s="17"/>
      <c r="UQ211" s="17"/>
      <c r="UR211" s="17"/>
      <c r="US211" s="17"/>
      <c r="UT211" s="17"/>
      <c r="UU211" s="17"/>
      <c r="UV211" s="17"/>
      <c r="UW211" s="17"/>
      <c r="UX211" s="17"/>
      <c r="UY211" s="17"/>
      <c r="UZ211" s="17"/>
      <c r="VA211" s="17"/>
      <c r="VB211" s="17"/>
      <c r="VC211" s="17"/>
      <c r="VD211" s="17"/>
      <c r="VE211" s="17"/>
      <c r="VF211" s="17"/>
      <c r="VG211" s="17"/>
      <c r="VH211" s="17"/>
      <c r="VI211" s="17"/>
      <c r="VJ211" s="17"/>
      <c r="VK211" s="17"/>
      <c r="VL211" s="17"/>
      <c r="VM211" s="17"/>
      <c r="VN211" s="17"/>
      <c r="VO211" s="17"/>
      <c r="VP211" s="17"/>
      <c r="VQ211" s="17"/>
      <c r="VR211" s="17"/>
      <c r="VS211" s="17"/>
      <c r="VT211" s="17"/>
      <c r="VU211" s="17"/>
      <c r="VV211" s="17"/>
      <c r="VW211" s="17"/>
      <c r="VX211" s="17"/>
      <c r="VY211" s="17"/>
      <c r="VZ211" s="17"/>
      <c r="WA211" s="17"/>
      <c r="WB211" s="17"/>
      <c r="WC211" s="17"/>
      <c r="WD211" s="17"/>
      <c r="WE211" s="17"/>
      <c r="WF211" s="17"/>
      <c r="WG211" s="17"/>
      <c r="WH211" s="17"/>
      <c r="WI211" s="17"/>
      <c r="WJ211" s="17"/>
      <c r="WK211" s="17"/>
      <c r="WL211" s="17"/>
      <c r="WM211" s="17"/>
      <c r="WN211" s="17"/>
      <c r="WO211" s="17"/>
      <c r="WP211" s="17"/>
      <c r="WQ211" s="17"/>
      <c r="WR211" s="17"/>
      <c r="WS211" s="17"/>
      <c r="WT211" s="17"/>
      <c r="WU211" s="17"/>
      <c r="WV211" s="17"/>
      <c r="WW211" s="17"/>
      <c r="WX211" s="17"/>
      <c r="WY211" s="17"/>
      <c r="WZ211" s="17"/>
      <c r="XA211" s="17"/>
      <c r="XB211" s="17"/>
      <c r="XC211" s="17"/>
      <c r="XD211" s="17"/>
      <c r="XE211" s="17"/>
      <c r="XF211" s="17"/>
      <c r="XG211" s="17"/>
      <c r="XH211" s="17"/>
      <c r="XI211" s="17"/>
      <c r="XJ211" s="17"/>
      <c r="XK211" s="17"/>
      <c r="XL211" s="17"/>
      <c r="XM211" s="17"/>
      <c r="XN211" s="17"/>
      <c r="XO211" s="17"/>
      <c r="XP211" s="17"/>
      <c r="XQ211" s="17"/>
      <c r="XR211" s="17"/>
      <c r="XS211" s="17"/>
      <c r="XT211" s="17"/>
      <c r="XU211" s="17"/>
      <c r="XV211" s="17"/>
      <c r="XW211" s="17"/>
      <c r="XX211" s="17"/>
      <c r="XY211" s="17"/>
      <c r="XZ211" s="17"/>
      <c r="YA211" s="17"/>
      <c r="YB211" s="17"/>
      <c r="YC211" s="17"/>
      <c r="YD211" s="17"/>
      <c r="YE211" s="17"/>
      <c r="YF211" s="17"/>
      <c r="YG211" s="17"/>
      <c r="YH211" s="17"/>
      <c r="YI211" s="17"/>
      <c r="YJ211" s="17"/>
      <c r="YK211" s="17"/>
      <c r="YL211" s="17"/>
      <c r="YM211" s="17"/>
      <c r="YN211" s="17"/>
      <c r="YO211" s="17"/>
      <c r="YP211" s="17"/>
      <c r="YQ211" s="17"/>
      <c r="YR211" s="17"/>
      <c r="YS211" s="17"/>
    </row>
    <row r="212" spans="266:669" x14ac:dyDescent="0.25">
      <c r="JF212" s="17"/>
      <c r="JG212" s="17"/>
      <c r="JH212" s="17"/>
      <c r="JI212" s="17"/>
      <c r="JJ212" s="17"/>
      <c r="JK212" s="17"/>
      <c r="JL212" s="17"/>
      <c r="JM212" s="17"/>
      <c r="JN212" s="17"/>
      <c r="JO212" s="17"/>
      <c r="JP212" s="17"/>
      <c r="JQ212" s="17"/>
      <c r="JR212" s="17"/>
      <c r="JS212" s="17"/>
      <c r="JT212" s="17"/>
      <c r="JU212" s="17"/>
      <c r="JV212" s="17"/>
      <c r="JW212" s="17"/>
      <c r="JX212" s="17"/>
      <c r="JY212" s="17"/>
      <c r="JZ212" s="17"/>
      <c r="KA212" s="17"/>
      <c r="KB212" s="17"/>
      <c r="KC212" s="17"/>
      <c r="KD212" s="17"/>
      <c r="KE212" s="17"/>
      <c r="KF212" s="17"/>
      <c r="KG212" s="17"/>
      <c r="KH212" s="17"/>
      <c r="KI212" s="17"/>
      <c r="KJ212" s="17"/>
      <c r="KK212" s="17"/>
      <c r="KL212" s="17"/>
      <c r="KM212" s="17"/>
      <c r="KN212" s="17"/>
      <c r="KO212" s="17"/>
      <c r="KP212" s="17"/>
      <c r="KQ212" s="17"/>
      <c r="KR212" s="17"/>
      <c r="KS212" s="17"/>
      <c r="KT212" s="17"/>
      <c r="KU212" s="17"/>
      <c r="KV212" s="17"/>
      <c r="KW212" s="17"/>
      <c r="KX212" s="17"/>
      <c r="KY212" s="17"/>
      <c r="KZ212" s="17"/>
      <c r="LA212" s="17"/>
      <c r="LB212" s="17"/>
      <c r="LC212" s="17"/>
      <c r="LD212" s="17"/>
      <c r="LE212" s="17"/>
      <c r="LF212" s="17"/>
      <c r="LG212" s="17"/>
      <c r="LH212" s="17"/>
      <c r="LI212" s="17"/>
      <c r="LJ212" s="17"/>
      <c r="LK212" s="17"/>
      <c r="LL212" s="17"/>
      <c r="LM212" s="17"/>
      <c r="LN212" s="17"/>
      <c r="LO212" s="17"/>
      <c r="LP212" s="17"/>
      <c r="LQ212" s="17"/>
      <c r="LR212" s="17"/>
      <c r="LS212" s="17"/>
      <c r="LT212" s="17"/>
      <c r="LU212" s="17"/>
      <c r="LV212" s="17"/>
      <c r="LW212" s="17"/>
      <c r="LX212" s="17"/>
      <c r="LY212" s="17"/>
      <c r="LZ212" s="17"/>
      <c r="MA212" s="17"/>
      <c r="MB212" s="17"/>
      <c r="MC212" s="17"/>
      <c r="MD212" s="17"/>
      <c r="ME212" s="17"/>
      <c r="MF212" s="17"/>
      <c r="MG212" s="17"/>
      <c r="MH212" s="17"/>
      <c r="MI212" s="17"/>
      <c r="MJ212" s="17"/>
      <c r="MK212" s="17"/>
      <c r="ML212" s="17"/>
      <c r="MM212" s="17"/>
      <c r="MN212" s="17"/>
      <c r="MO212" s="17"/>
      <c r="MP212" s="17"/>
      <c r="MQ212" s="17"/>
      <c r="MR212" s="17"/>
      <c r="MS212" s="17"/>
      <c r="MT212" s="17"/>
      <c r="MU212" s="17"/>
      <c r="MV212" s="17"/>
      <c r="MW212" s="17"/>
      <c r="MX212" s="17"/>
      <c r="MY212" s="17"/>
      <c r="MZ212" s="17"/>
      <c r="NA212" s="17"/>
      <c r="NB212" s="17"/>
      <c r="NC212" s="17"/>
      <c r="ND212" s="17"/>
      <c r="NE212" s="17"/>
      <c r="NF212" s="17"/>
      <c r="NG212" s="17"/>
      <c r="NH212" s="17"/>
      <c r="NI212" s="17"/>
      <c r="NJ212" s="17"/>
      <c r="NK212" s="17"/>
      <c r="NL212" s="17"/>
      <c r="NM212" s="17"/>
      <c r="NN212" s="17"/>
      <c r="NO212" s="17"/>
      <c r="NP212" s="17"/>
      <c r="NQ212" s="17"/>
      <c r="NR212" s="17"/>
      <c r="NS212" s="17"/>
      <c r="NT212" s="17"/>
      <c r="NU212" s="17"/>
      <c r="NV212" s="17"/>
      <c r="NW212" s="17"/>
      <c r="NX212" s="17"/>
      <c r="NY212" s="17"/>
      <c r="NZ212" s="17"/>
      <c r="OA212" s="17"/>
      <c r="OB212" s="17"/>
      <c r="OC212" s="17"/>
      <c r="OD212" s="17"/>
      <c r="OE212" s="17"/>
      <c r="OF212" s="17"/>
      <c r="OG212" s="17"/>
      <c r="OH212" s="17"/>
      <c r="OI212" s="17"/>
      <c r="OJ212" s="17"/>
      <c r="OK212" s="17"/>
      <c r="OL212" s="17"/>
      <c r="OM212" s="17"/>
      <c r="ON212" s="17"/>
      <c r="OO212" s="17"/>
      <c r="OP212" s="17"/>
      <c r="OQ212" s="17"/>
      <c r="OR212" s="17"/>
      <c r="OS212" s="17"/>
      <c r="OT212" s="17"/>
      <c r="OU212" s="17"/>
      <c r="OV212" s="17"/>
      <c r="OW212" s="17"/>
      <c r="OX212" s="17"/>
      <c r="OY212" s="17"/>
      <c r="OZ212" s="17"/>
      <c r="PA212" s="17"/>
      <c r="PB212" s="17"/>
      <c r="PC212" s="17"/>
      <c r="PD212" s="17"/>
      <c r="PE212" s="17"/>
      <c r="PF212" s="17"/>
      <c r="PG212" s="17"/>
      <c r="PH212" s="17"/>
      <c r="PI212" s="17"/>
      <c r="PJ212" s="17"/>
      <c r="PK212" s="17"/>
      <c r="PL212" s="17"/>
      <c r="PM212" s="17"/>
      <c r="PN212" s="17"/>
      <c r="PO212" s="17"/>
      <c r="PP212" s="17"/>
      <c r="PQ212" s="17"/>
      <c r="PR212" s="17"/>
      <c r="PS212" s="17"/>
      <c r="PT212" s="17"/>
      <c r="PU212" s="17"/>
      <c r="PV212" s="17"/>
      <c r="PW212" s="17"/>
      <c r="PX212" s="17"/>
      <c r="PY212" s="17"/>
      <c r="PZ212" s="17"/>
      <c r="QA212" s="17"/>
      <c r="QB212" s="17"/>
      <c r="QC212" s="17"/>
      <c r="QD212" s="17"/>
      <c r="QE212" s="17"/>
      <c r="QF212" s="17"/>
      <c r="QG212" s="17"/>
      <c r="QH212" s="17"/>
      <c r="QI212" s="17"/>
      <c r="QJ212" s="17"/>
      <c r="QK212" s="17"/>
      <c r="QL212" s="17"/>
      <c r="QM212" s="17"/>
      <c r="QN212" s="17"/>
      <c r="QO212" s="17"/>
      <c r="QP212" s="17"/>
      <c r="QQ212" s="17"/>
      <c r="QR212" s="17"/>
      <c r="QS212" s="17"/>
      <c r="QT212" s="17"/>
      <c r="QU212" s="17"/>
      <c r="QV212" s="17"/>
      <c r="QW212" s="17"/>
      <c r="QX212" s="17"/>
      <c r="QY212" s="17"/>
      <c r="QZ212" s="17"/>
      <c r="RA212" s="17"/>
      <c r="RB212" s="17"/>
      <c r="RC212" s="17"/>
      <c r="RD212" s="17"/>
      <c r="RE212" s="17"/>
      <c r="RF212" s="17"/>
      <c r="RG212" s="17"/>
      <c r="RH212" s="17"/>
      <c r="RI212" s="17"/>
      <c r="RJ212" s="17"/>
      <c r="RK212" s="17"/>
      <c r="RL212" s="17"/>
      <c r="RM212" s="17"/>
      <c r="RN212" s="17"/>
      <c r="RO212" s="17"/>
      <c r="RP212" s="17"/>
      <c r="RQ212" s="17"/>
      <c r="RR212" s="17"/>
      <c r="RS212" s="17"/>
      <c r="RT212" s="17"/>
      <c r="RU212" s="17"/>
      <c r="RV212" s="17"/>
      <c r="RW212" s="17"/>
      <c r="RX212" s="17"/>
      <c r="RY212" s="17"/>
      <c r="RZ212" s="17"/>
      <c r="SA212" s="17"/>
      <c r="SB212" s="17"/>
      <c r="SC212" s="17"/>
      <c r="SD212" s="17"/>
      <c r="SE212" s="17"/>
      <c r="SF212" s="17"/>
      <c r="SG212" s="17"/>
      <c r="SH212" s="17"/>
      <c r="SI212" s="17"/>
      <c r="SJ212" s="17"/>
      <c r="SK212" s="17"/>
      <c r="SL212" s="17"/>
      <c r="SM212" s="17"/>
      <c r="SN212" s="17"/>
      <c r="SO212" s="17"/>
      <c r="SP212" s="17"/>
      <c r="SQ212" s="17"/>
      <c r="SR212" s="17"/>
      <c r="SS212" s="17"/>
      <c r="ST212" s="17"/>
      <c r="SU212" s="17"/>
      <c r="SV212" s="17"/>
      <c r="SW212" s="17"/>
      <c r="SX212" s="17"/>
      <c r="SY212" s="17"/>
      <c r="SZ212" s="17"/>
      <c r="TA212" s="17"/>
      <c r="TB212" s="17"/>
      <c r="TC212" s="17"/>
      <c r="TD212" s="17"/>
      <c r="TE212" s="17"/>
      <c r="TF212" s="17"/>
      <c r="TG212" s="17"/>
      <c r="TH212" s="17"/>
      <c r="TI212" s="17"/>
      <c r="TJ212" s="17"/>
      <c r="TK212" s="17"/>
      <c r="TL212" s="17"/>
      <c r="TM212" s="17"/>
      <c r="TN212" s="17"/>
      <c r="TO212" s="17"/>
      <c r="TP212" s="17"/>
      <c r="TQ212" s="17"/>
      <c r="TR212" s="17"/>
      <c r="TS212" s="17"/>
      <c r="TT212" s="17"/>
      <c r="TU212" s="17"/>
      <c r="TV212" s="17"/>
      <c r="TW212" s="17"/>
      <c r="TX212" s="17"/>
      <c r="TY212" s="17"/>
      <c r="TZ212" s="17"/>
      <c r="UA212" s="17"/>
      <c r="UB212" s="17"/>
      <c r="UC212" s="17"/>
      <c r="UD212" s="17"/>
      <c r="UE212" s="17"/>
      <c r="UF212" s="17"/>
      <c r="UG212" s="17"/>
      <c r="UH212" s="17"/>
      <c r="UI212" s="17"/>
      <c r="UJ212" s="17"/>
      <c r="UK212" s="17"/>
      <c r="UL212" s="17"/>
      <c r="UM212" s="17"/>
      <c r="UN212" s="17"/>
      <c r="UO212" s="17"/>
      <c r="UP212" s="17"/>
      <c r="UQ212" s="17"/>
      <c r="UR212" s="17"/>
      <c r="US212" s="17"/>
      <c r="UT212" s="17"/>
      <c r="UU212" s="17"/>
      <c r="UV212" s="17"/>
      <c r="UW212" s="17"/>
      <c r="UX212" s="17"/>
      <c r="UY212" s="17"/>
      <c r="UZ212" s="17"/>
      <c r="VA212" s="17"/>
      <c r="VB212" s="17"/>
      <c r="VC212" s="17"/>
      <c r="VD212" s="17"/>
      <c r="VE212" s="17"/>
      <c r="VF212" s="17"/>
      <c r="VG212" s="17"/>
      <c r="VH212" s="17"/>
      <c r="VI212" s="17"/>
      <c r="VJ212" s="17"/>
      <c r="VK212" s="17"/>
      <c r="VL212" s="17"/>
      <c r="VM212" s="17"/>
      <c r="VN212" s="17"/>
      <c r="VO212" s="17"/>
      <c r="VP212" s="17"/>
      <c r="VQ212" s="17"/>
      <c r="VR212" s="17"/>
      <c r="VS212" s="17"/>
      <c r="VT212" s="17"/>
      <c r="VU212" s="17"/>
      <c r="VV212" s="17"/>
      <c r="VW212" s="17"/>
      <c r="VX212" s="17"/>
      <c r="VY212" s="17"/>
      <c r="VZ212" s="17"/>
      <c r="WA212" s="17"/>
      <c r="WB212" s="17"/>
      <c r="WC212" s="17"/>
      <c r="WD212" s="17"/>
      <c r="WE212" s="17"/>
      <c r="WF212" s="17"/>
      <c r="WG212" s="17"/>
      <c r="WH212" s="17"/>
      <c r="WI212" s="17"/>
      <c r="WJ212" s="17"/>
      <c r="WK212" s="17"/>
      <c r="WL212" s="17"/>
      <c r="WM212" s="17"/>
      <c r="WN212" s="17"/>
      <c r="WO212" s="17"/>
      <c r="WP212" s="17"/>
      <c r="WQ212" s="17"/>
      <c r="WR212" s="17"/>
      <c r="WS212" s="17"/>
      <c r="WT212" s="17"/>
      <c r="WU212" s="17"/>
      <c r="WV212" s="17"/>
      <c r="WW212" s="17"/>
      <c r="WX212" s="17"/>
      <c r="WY212" s="17"/>
      <c r="WZ212" s="17"/>
      <c r="XA212" s="17"/>
      <c r="XB212" s="17"/>
      <c r="XC212" s="17"/>
      <c r="XD212" s="17"/>
      <c r="XE212" s="17"/>
      <c r="XF212" s="17"/>
      <c r="XG212" s="17"/>
      <c r="XH212" s="17"/>
      <c r="XI212" s="17"/>
      <c r="XJ212" s="17"/>
      <c r="XK212" s="17"/>
      <c r="XL212" s="17"/>
      <c r="XM212" s="17"/>
      <c r="XN212" s="17"/>
      <c r="XO212" s="17"/>
      <c r="XP212" s="17"/>
      <c r="XQ212" s="17"/>
      <c r="XR212" s="17"/>
      <c r="XS212" s="17"/>
      <c r="XT212" s="17"/>
      <c r="XU212" s="17"/>
      <c r="XV212" s="17"/>
      <c r="XW212" s="17"/>
      <c r="XX212" s="17"/>
      <c r="XY212" s="17"/>
      <c r="XZ212" s="17"/>
      <c r="YA212" s="17"/>
      <c r="YB212" s="17"/>
      <c r="YC212" s="17"/>
      <c r="YD212" s="17"/>
      <c r="YE212" s="17"/>
      <c r="YF212" s="17"/>
      <c r="YG212" s="17"/>
      <c r="YH212" s="17"/>
      <c r="YI212" s="17"/>
      <c r="YJ212" s="17"/>
      <c r="YK212" s="17"/>
      <c r="YL212" s="17"/>
      <c r="YM212" s="17"/>
      <c r="YN212" s="17"/>
      <c r="YO212" s="17"/>
      <c r="YP212" s="17"/>
      <c r="YQ212" s="17"/>
      <c r="YR212" s="17"/>
      <c r="YS212" s="17"/>
    </row>
    <row r="213" spans="266:669" x14ac:dyDescent="0.25">
      <c r="JF213" s="17"/>
      <c r="JG213" s="17"/>
      <c r="JH213" s="17"/>
      <c r="JI213" s="17"/>
      <c r="JJ213" s="17"/>
      <c r="JK213" s="17"/>
      <c r="JL213" s="17"/>
      <c r="JM213" s="17"/>
      <c r="JN213" s="17"/>
      <c r="JO213" s="17"/>
      <c r="JP213" s="17"/>
      <c r="JQ213" s="17"/>
      <c r="JR213" s="17"/>
      <c r="JS213" s="17"/>
      <c r="JT213" s="17"/>
      <c r="JU213" s="17"/>
      <c r="JV213" s="17"/>
      <c r="JW213" s="17"/>
      <c r="JX213" s="17"/>
      <c r="JY213" s="17"/>
      <c r="JZ213" s="17"/>
      <c r="KA213" s="17"/>
      <c r="KB213" s="17"/>
      <c r="KC213" s="17"/>
      <c r="KD213" s="17"/>
      <c r="KE213" s="17"/>
      <c r="KF213" s="17"/>
      <c r="KG213" s="17"/>
      <c r="KH213" s="17"/>
      <c r="KI213" s="17"/>
      <c r="KJ213" s="17"/>
      <c r="KK213" s="17"/>
      <c r="KL213" s="17"/>
      <c r="KM213" s="17"/>
      <c r="KN213" s="17"/>
      <c r="KO213" s="17"/>
      <c r="KP213" s="17"/>
      <c r="KQ213" s="17"/>
      <c r="KR213" s="17"/>
      <c r="KS213" s="17"/>
      <c r="KT213" s="17"/>
      <c r="KU213" s="17"/>
      <c r="KV213" s="17"/>
      <c r="KW213" s="17"/>
      <c r="KX213" s="17"/>
      <c r="KY213" s="17"/>
      <c r="KZ213" s="17"/>
      <c r="LA213" s="17"/>
      <c r="LB213" s="17"/>
      <c r="LC213" s="17"/>
      <c r="LD213" s="17"/>
      <c r="LE213" s="17"/>
      <c r="LF213" s="17"/>
      <c r="LG213" s="17"/>
      <c r="LH213" s="17"/>
      <c r="LI213" s="17"/>
      <c r="LJ213" s="17"/>
      <c r="LK213" s="17"/>
      <c r="LL213" s="17"/>
      <c r="LM213" s="17"/>
      <c r="LN213" s="17"/>
      <c r="LO213" s="17"/>
      <c r="LP213" s="17"/>
      <c r="LQ213" s="17"/>
      <c r="LR213" s="17"/>
      <c r="LS213" s="17"/>
      <c r="LT213" s="17"/>
      <c r="LU213" s="17"/>
      <c r="LV213" s="17"/>
      <c r="LW213" s="17"/>
      <c r="LX213" s="17"/>
      <c r="LY213" s="17"/>
      <c r="LZ213" s="17"/>
      <c r="MA213" s="17"/>
      <c r="MB213" s="17"/>
      <c r="MC213" s="17"/>
      <c r="MD213" s="17"/>
      <c r="ME213" s="17"/>
      <c r="MF213" s="17"/>
      <c r="MG213" s="17"/>
      <c r="MH213" s="17"/>
      <c r="MI213" s="17"/>
      <c r="MJ213" s="17"/>
      <c r="MK213" s="17"/>
      <c r="ML213" s="17"/>
      <c r="MM213" s="17"/>
      <c r="MN213" s="17"/>
      <c r="MO213" s="17"/>
      <c r="MP213" s="17"/>
      <c r="MQ213" s="17"/>
      <c r="MR213" s="17"/>
      <c r="MS213" s="17"/>
      <c r="MT213" s="17"/>
      <c r="MU213" s="17"/>
      <c r="MV213" s="17"/>
      <c r="MW213" s="17"/>
      <c r="MX213" s="17"/>
      <c r="MY213" s="17"/>
      <c r="MZ213" s="17"/>
      <c r="NA213" s="17"/>
      <c r="NB213" s="17"/>
      <c r="NC213" s="17"/>
      <c r="ND213" s="17"/>
      <c r="NE213" s="17"/>
      <c r="NF213" s="17"/>
      <c r="NG213" s="17"/>
      <c r="NH213" s="17"/>
      <c r="NI213" s="17"/>
      <c r="NJ213" s="17"/>
      <c r="NK213" s="17"/>
      <c r="NL213" s="17"/>
      <c r="NM213" s="17"/>
      <c r="NN213" s="17"/>
      <c r="NO213" s="17"/>
      <c r="NP213" s="17"/>
      <c r="NQ213" s="17"/>
      <c r="NR213" s="17"/>
      <c r="NS213" s="17"/>
      <c r="NT213" s="17"/>
      <c r="NU213" s="17"/>
      <c r="NV213" s="17"/>
      <c r="NW213" s="17"/>
      <c r="NX213" s="17"/>
      <c r="NY213" s="17"/>
      <c r="NZ213" s="17"/>
      <c r="OA213" s="17"/>
      <c r="OB213" s="17"/>
      <c r="OC213" s="17"/>
      <c r="OD213" s="17"/>
      <c r="OE213" s="17"/>
      <c r="OF213" s="17"/>
      <c r="OG213" s="17"/>
      <c r="OH213" s="17"/>
      <c r="OI213" s="17"/>
      <c r="OJ213" s="17"/>
      <c r="OK213" s="17"/>
      <c r="OL213" s="17"/>
      <c r="OM213" s="17"/>
      <c r="ON213" s="17"/>
      <c r="OO213" s="17"/>
      <c r="OP213" s="17"/>
      <c r="OQ213" s="17"/>
      <c r="OR213" s="17"/>
      <c r="OS213" s="17"/>
      <c r="OT213" s="17"/>
      <c r="OU213" s="17"/>
      <c r="OV213" s="17"/>
      <c r="OW213" s="17"/>
      <c r="OX213" s="17"/>
      <c r="OY213" s="17"/>
      <c r="OZ213" s="17"/>
      <c r="PA213" s="17"/>
      <c r="PB213" s="17"/>
      <c r="PC213" s="17"/>
      <c r="PD213" s="17"/>
      <c r="PE213" s="17"/>
      <c r="PF213" s="17"/>
      <c r="PG213" s="17"/>
      <c r="PH213" s="17"/>
      <c r="PI213" s="17"/>
      <c r="PJ213" s="17"/>
      <c r="PK213" s="17"/>
      <c r="PL213" s="17"/>
      <c r="PM213" s="17"/>
      <c r="PN213" s="17"/>
      <c r="PO213" s="17"/>
      <c r="PP213" s="17"/>
      <c r="PQ213" s="17"/>
      <c r="PR213" s="17"/>
      <c r="PS213" s="17"/>
      <c r="PT213" s="17"/>
      <c r="PU213" s="17"/>
      <c r="PV213" s="17"/>
      <c r="PW213" s="17"/>
      <c r="PX213" s="17"/>
      <c r="PY213" s="17"/>
      <c r="PZ213" s="17"/>
      <c r="QA213" s="17"/>
      <c r="QB213" s="17"/>
      <c r="QC213" s="17"/>
      <c r="QD213" s="17"/>
      <c r="QE213" s="17"/>
      <c r="QF213" s="17"/>
      <c r="QG213" s="17"/>
      <c r="QH213" s="17"/>
      <c r="QI213" s="17"/>
      <c r="QJ213" s="17"/>
      <c r="QK213" s="17"/>
      <c r="QL213" s="17"/>
      <c r="QM213" s="17"/>
      <c r="QN213" s="17"/>
      <c r="QO213" s="17"/>
      <c r="QP213" s="17"/>
      <c r="QQ213" s="17"/>
      <c r="QR213" s="17"/>
      <c r="QS213" s="17"/>
      <c r="QT213" s="17"/>
      <c r="QU213" s="17"/>
      <c r="QV213" s="17"/>
      <c r="QW213" s="17"/>
      <c r="QX213" s="17"/>
      <c r="QY213" s="17"/>
      <c r="QZ213" s="17"/>
      <c r="RA213" s="17"/>
      <c r="RB213" s="17"/>
      <c r="RC213" s="17"/>
      <c r="RD213" s="17"/>
      <c r="RE213" s="17"/>
      <c r="RF213" s="17"/>
      <c r="RG213" s="17"/>
      <c r="RH213" s="17"/>
      <c r="RI213" s="17"/>
      <c r="RJ213" s="17"/>
      <c r="RK213" s="17"/>
      <c r="RL213" s="17"/>
      <c r="RM213" s="17"/>
      <c r="RN213" s="17"/>
      <c r="RO213" s="17"/>
      <c r="RP213" s="17"/>
      <c r="RQ213" s="17"/>
      <c r="RR213" s="17"/>
      <c r="RS213" s="17"/>
      <c r="RT213" s="17"/>
      <c r="RU213" s="17"/>
      <c r="RV213" s="17"/>
      <c r="RW213" s="17"/>
      <c r="RX213" s="17"/>
      <c r="RY213" s="17"/>
      <c r="RZ213" s="17"/>
      <c r="SA213" s="17"/>
      <c r="SB213" s="17"/>
      <c r="SC213" s="17"/>
      <c r="SD213" s="17"/>
      <c r="SE213" s="17"/>
      <c r="SF213" s="17"/>
      <c r="SG213" s="17"/>
      <c r="SH213" s="17"/>
      <c r="SI213" s="17"/>
      <c r="SJ213" s="17"/>
      <c r="SK213" s="17"/>
      <c r="SL213" s="17"/>
      <c r="SM213" s="17"/>
      <c r="SN213" s="17"/>
      <c r="SO213" s="17"/>
      <c r="SP213" s="17"/>
      <c r="SQ213" s="17"/>
      <c r="SR213" s="17"/>
      <c r="SS213" s="17"/>
      <c r="ST213" s="17"/>
      <c r="SU213" s="17"/>
      <c r="SV213" s="17"/>
      <c r="SW213" s="17"/>
      <c r="SX213" s="17"/>
      <c r="SY213" s="17"/>
      <c r="SZ213" s="17"/>
      <c r="TA213" s="17"/>
      <c r="TB213" s="17"/>
      <c r="TC213" s="17"/>
      <c r="TD213" s="17"/>
      <c r="TE213" s="17"/>
      <c r="TF213" s="17"/>
      <c r="TG213" s="17"/>
      <c r="TH213" s="17"/>
      <c r="TI213" s="17"/>
      <c r="TJ213" s="17"/>
      <c r="TK213" s="17"/>
      <c r="TL213" s="17"/>
      <c r="TM213" s="17"/>
      <c r="TN213" s="17"/>
      <c r="TO213" s="17"/>
      <c r="TP213" s="17"/>
      <c r="TQ213" s="17"/>
      <c r="TR213" s="17"/>
      <c r="TS213" s="17"/>
      <c r="TT213" s="17"/>
      <c r="TU213" s="17"/>
      <c r="TV213" s="17"/>
      <c r="TW213" s="17"/>
      <c r="TX213" s="17"/>
      <c r="TY213" s="17"/>
      <c r="TZ213" s="17"/>
      <c r="UA213" s="17"/>
      <c r="UB213" s="17"/>
      <c r="UC213" s="17"/>
      <c r="UD213" s="17"/>
      <c r="UE213" s="17"/>
      <c r="UF213" s="17"/>
      <c r="UG213" s="17"/>
      <c r="UH213" s="17"/>
      <c r="UI213" s="17"/>
      <c r="UJ213" s="17"/>
      <c r="UK213" s="17"/>
      <c r="UL213" s="17"/>
      <c r="UM213" s="17"/>
      <c r="UN213" s="17"/>
      <c r="UO213" s="17"/>
      <c r="UP213" s="17"/>
      <c r="UQ213" s="17"/>
      <c r="UR213" s="17"/>
      <c r="US213" s="17"/>
      <c r="UT213" s="17"/>
      <c r="UU213" s="17"/>
      <c r="UV213" s="17"/>
      <c r="UW213" s="17"/>
      <c r="UX213" s="17"/>
      <c r="UY213" s="17"/>
      <c r="UZ213" s="17"/>
      <c r="VA213" s="17"/>
      <c r="VB213" s="17"/>
      <c r="VC213" s="17"/>
      <c r="VD213" s="17"/>
      <c r="VE213" s="17"/>
      <c r="VF213" s="17"/>
      <c r="VG213" s="17"/>
      <c r="VH213" s="17"/>
      <c r="VI213" s="17"/>
      <c r="VJ213" s="17"/>
      <c r="VK213" s="17"/>
      <c r="VL213" s="17"/>
      <c r="VM213" s="17"/>
      <c r="VN213" s="17"/>
      <c r="VO213" s="17"/>
      <c r="VP213" s="17"/>
      <c r="VQ213" s="17"/>
      <c r="VR213" s="17"/>
      <c r="VS213" s="17"/>
      <c r="VT213" s="17"/>
      <c r="VU213" s="17"/>
      <c r="VV213" s="17"/>
      <c r="VW213" s="17"/>
      <c r="VX213" s="17"/>
      <c r="VY213" s="17"/>
      <c r="VZ213" s="17"/>
      <c r="WA213" s="17"/>
      <c r="WB213" s="17"/>
      <c r="WC213" s="17"/>
      <c r="WD213" s="17"/>
      <c r="WE213" s="17"/>
      <c r="WF213" s="17"/>
      <c r="WG213" s="17"/>
      <c r="WH213" s="17"/>
      <c r="WI213" s="17"/>
      <c r="WJ213" s="17"/>
      <c r="WK213" s="17"/>
      <c r="WL213" s="17"/>
      <c r="WM213" s="17"/>
      <c r="WN213" s="17"/>
      <c r="WO213" s="17"/>
      <c r="WP213" s="17"/>
      <c r="WQ213" s="17"/>
      <c r="WR213" s="17"/>
      <c r="WS213" s="17"/>
      <c r="WT213" s="17"/>
      <c r="WU213" s="17"/>
      <c r="WV213" s="17"/>
      <c r="WW213" s="17"/>
      <c r="WX213" s="17"/>
      <c r="WY213" s="17"/>
      <c r="WZ213" s="17"/>
      <c r="XA213" s="17"/>
      <c r="XB213" s="17"/>
      <c r="XC213" s="17"/>
      <c r="XD213" s="17"/>
      <c r="XE213" s="17"/>
      <c r="XF213" s="17"/>
      <c r="XG213" s="17"/>
      <c r="XH213" s="17"/>
      <c r="XI213" s="17"/>
      <c r="XJ213" s="17"/>
      <c r="XK213" s="17"/>
      <c r="XL213" s="17"/>
      <c r="XM213" s="17"/>
      <c r="XN213" s="17"/>
      <c r="XO213" s="17"/>
      <c r="XP213" s="17"/>
      <c r="XQ213" s="17"/>
      <c r="XR213" s="17"/>
      <c r="XS213" s="17"/>
      <c r="XT213" s="17"/>
      <c r="XU213" s="17"/>
      <c r="XV213" s="17"/>
      <c r="XW213" s="17"/>
      <c r="XX213" s="17"/>
      <c r="XY213" s="17"/>
      <c r="XZ213" s="17"/>
      <c r="YA213" s="17"/>
      <c r="YB213" s="17"/>
      <c r="YC213" s="17"/>
      <c r="YD213" s="17"/>
      <c r="YE213" s="17"/>
      <c r="YF213" s="17"/>
      <c r="YG213" s="17"/>
      <c r="YH213" s="17"/>
      <c r="YI213" s="17"/>
      <c r="YJ213" s="17"/>
      <c r="YK213" s="17"/>
      <c r="YL213" s="17"/>
      <c r="YM213" s="17"/>
      <c r="YN213" s="17"/>
      <c r="YO213" s="17"/>
      <c r="YP213" s="17"/>
      <c r="YQ213" s="17"/>
      <c r="YR213" s="17"/>
      <c r="YS213" s="17"/>
    </row>
    <row r="214" spans="266:669" x14ac:dyDescent="0.25">
      <c r="JF214" s="17"/>
      <c r="JG214" s="17"/>
      <c r="JH214" s="17"/>
      <c r="JI214" s="17"/>
      <c r="JJ214" s="17"/>
      <c r="JK214" s="17"/>
      <c r="JL214" s="17"/>
      <c r="JM214" s="17"/>
      <c r="JN214" s="17"/>
      <c r="JO214" s="17"/>
      <c r="JP214" s="17"/>
      <c r="JQ214" s="17"/>
      <c r="JR214" s="17"/>
      <c r="JS214" s="17"/>
      <c r="JT214" s="17"/>
      <c r="JU214" s="17"/>
      <c r="JV214" s="17"/>
      <c r="JW214" s="17"/>
      <c r="JX214" s="17"/>
      <c r="JY214" s="17"/>
      <c r="JZ214" s="17"/>
      <c r="KA214" s="17"/>
      <c r="KB214" s="17"/>
      <c r="KC214" s="17"/>
      <c r="KD214" s="17"/>
      <c r="KE214" s="17"/>
      <c r="KF214" s="17"/>
      <c r="KG214" s="17"/>
      <c r="KH214" s="17"/>
      <c r="KI214" s="17"/>
      <c r="KJ214" s="17"/>
      <c r="KK214" s="17"/>
      <c r="KL214" s="17"/>
      <c r="KM214" s="17"/>
      <c r="KN214" s="17"/>
      <c r="KO214" s="17"/>
      <c r="KP214" s="17"/>
      <c r="KQ214" s="17"/>
      <c r="KR214" s="17"/>
      <c r="KS214" s="17"/>
      <c r="KT214" s="17"/>
      <c r="KU214" s="17"/>
      <c r="KV214" s="17"/>
      <c r="KW214" s="17"/>
      <c r="KX214" s="17"/>
      <c r="KY214" s="17"/>
      <c r="KZ214" s="17"/>
      <c r="LA214" s="17"/>
      <c r="LB214" s="17"/>
      <c r="LC214" s="17"/>
      <c r="LD214" s="17"/>
      <c r="LE214" s="17"/>
      <c r="LF214" s="17"/>
      <c r="LG214" s="17"/>
      <c r="LH214" s="17"/>
      <c r="LI214" s="17"/>
      <c r="LJ214" s="17"/>
      <c r="LK214" s="17"/>
      <c r="LL214" s="17"/>
      <c r="LM214" s="17"/>
      <c r="LN214" s="17"/>
      <c r="LO214" s="17"/>
      <c r="LP214" s="17"/>
      <c r="LQ214" s="17"/>
      <c r="LR214" s="17"/>
      <c r="LS214" s="17"/>
      <c r="LT214" s="17"/>
      <c r="LU214" s="17"/>
      <c r="LV214" s="17"/>
      <c r="LW214" s="17"/>
      <c r="LX214" s="17"/>
      <c r="LY214" s="17"/>
      <c r="LZ214" s="17"/>
      <c r="MA214" s="17"/>
      <c r="MB214" s="17"/>
      <c r="MC214" s="17"/>
      <c r="MD214" s="17"/>
      <c r="ME214" s="17"/>
      <c r="MF214" s="17"/>
      <c r="MG214" s="17"/>
      <c r="MH214" s="17"/>
      <c r="MI214" s="17"/>
      <c r="MJ214" s="17"/>
      <c r="MK214" s="17"/>
      <c r="ML214" s="17"/>
      <c r="MM214" s="17"/>
      <c r="MN214" s="17"/>
      <c r="MO214" s="17"/>
      <c r="MP214" s="17"/>
      <c r="MQ214" s="17"/>
      <c r="MR214" s="17"/>
      <c r="MS214" s="17"/>
      <c r="MT214" s="17"/>
      <c r="MU214" s="17"/>
      <c r="MV214" s="17"/>
      <c r="MW214" s="17"/>
      <c r="MX214" s="17"/>
      <c r="MY214" s="17"/>
      <c r="MZ214" s="17"/>
      <c r="NA214" s="17"/>
      <c r="NB214" s="17"/>
      <c r="NC214" s="17"/>
      <c r="ND214" s="17"/>
      <c r="NE214" s="17"/>
      <c r="NF214" s="17"/>
      <c r="NG214" s="17"/>
      <c r="NH214" s="17"/>
      <c r="NI214" s="17"/>
      <c r="NJ214" s="17"/>
      <c r="NK214" s="17"/>
      <c r="NL214" s="17"/>
      <c r="NM214" s="17"/>
      <c r="NN214" s="17"/>
      <c r="NO214" s="17"/>
      <c r="NP214" s="17"/>
      <c r="NQ214" s="17"/>
      <c r="NR214" s="17"/>
      <c r="NS214" s="17"/>
      <c r="NT214" s="17"/>
      <c r="NU214" s="17"/>
      <c r="NV214" s="17"/>
      <c r="NW214" s="17"/>
      <c r="NX214" s="17"/>
      <c r="NY214" s="17"/>
      <c r="NZ214" s="17"/>
      <c r="OA214" s="17"/>
      <c r="OB214" s="17"/>
      <c r="OC214" s="17"/>
      <c r="OD214" s="17"/>
      <c r="OE214" s="17"/>
      <c r="OF214" s="17"/>
      <c r="OG214" s="17"/>
      <c r="OH214" s="17"/>
      <c r="OI214" s="17"/>
      <c r="OJ214" s="17"/>
      <c r="OK214" s="17"/>
      <c r="OL214" s="17"/>
      <c r="OM214" s="17"/>
      <c r="ON214" s="17"/>
      <c r="OO214" s="17"/>
      <c r="OP214" s="17"/>
      <c r="OQ214" s="17"/>
      <c r="OR214" s="17"/>
      <c r="OS214" s="17"/>
      <c r="OT214" s="17"/>
      <c r="OU214" s="17"/>
      <c r="OV214" s="17"/>
      <c r="OW214" s="17"/>
      <c r="OX214" s="17"/>
      <c r="OY214" s="17"/>
      <c r="OZ214" s="17"/>
      <c r="PA214" s="17"/>
      <c r="PB214" s="17"/>
      <c r="PC214" s="17"/>
      <c r="PD214" s="17"/>
      <c r="PE214" s="17"/>
      <c r="PF214" s="17"/>
      <c r="PG214" s="17"/>
      <c r="PH214" s="17"/>
      <c r="PI214" s="17"/>
      <c r="PJ214" s="17"/>
      <c r="PK214" s="17"/>
      <c r="PL214" s="17"/>
      <c r="PM214" s="17"/>
      <c r="PN214" s="17"/>
      <c r="PO214" s="17"/>
      <c r="PP214" s="17"/>
      <c r="PQ214" s="17"/>
      <c r="PR214" s="17"/>
      <c r="PS214" s="17"/>
      <c r="PT214" s="17"/>
      <c r="PU214" s="17"/>
      <c r="PV214" s="17"/>
      <c r="PW214" s="17"/>
      <c r="PX214" s="17"/>
      <c r="PY214" s="17"/>
      <c r="PZ214" s="17"/>
      <c r="QA214" s="17"/>
      <c r="QB214" s="17"/>
      <c r="QC214" s="17"/>
      <c r="QD214" s="17"/>
      <c r="QE214" s="17"/>
      <c r="QF214" s="17"/>
      <c r="QG214" s="17"/>
      <c r="QH214" s="17"/>
      <c r="QI214" s="17"/>
      <c r="QJ214" s="17"/>
      <c r="QK214" s="17"/>
      <c r="QL214" s="17"/>
      <c r="QM214" s="17"/>
      <c r="QN214" s="17"/>
      <c r="QO214" s="17"/>
      <c r="QP214" s="17"/>
      <c r="QQ214" s="17"/>
      <c r="QR214" s="17"/>
      <c r="QS214" s="17"/>
      <c r="QT214" s="17"/>
      <c r="QU214" s="17"/>
      <c r="QV214" s="17"/>
      <c r="QW214" s="17"/>
      <c r="QX214" s="17"/>
      <c r="QY214" s="17"/>
      <c r="QZ214" s="17"/>
      <c r="RA214" s="17"/>
      <c r="RB214" s="17"/>
      <c r="RC214" s="17"/>
      <c r="RD214" s="17"/>
      <c r="RE214" s="17"/>
      <c r="RF214" s="17"/>
      <c r="RG214" s="17"/>
      <c r="RH214" s="17"/>
      <c r="RI214" s="17"/>
      <c r="RJ214" s="17"/>
      <c r="RK214" s="17"/>
      <c r="RL214" s="17"/>
      <c r="RM214" s="17"/>
      <c r="RN214" s="17"/>
      <c r="RO214" s="17"/>
      <c r="RP214" s="17"/>
      <c r="RQ214" s="17"/>
      <c r="RR214" s="17"/>
      <c r="RS214" s="17"/>
      <c r="RT214" s="17"/>
      <c r="RU214" s="17"/>
      <c r="RV214" s="17"/>
      <c r="RW214" s="17"/>
      <c r="RX214" s="17"/>
      <c r="RY214" s="17"/>
      <c r="RZ214" s="17"/>
      <c r="SA214" s="17"/>
      <c r="SB214" s="17"/>
      <c r="SC214" s="17"/>
      <c r="SD214" s="17"/>
      <c r="SE214" s="17"/>
      <c r="SF214" s="17"/>
      <c r="SG214" s="17"/>
      <c r="SH214" s="17"/>
      <c r="SI214" s="17"/>
      <c r="SJ214" s="17"/>
      <c r="SK214" s="17"/>
      <c r="SL214" s="17"/>
      <c r="SM214" s="17"/>
      <c r="SN214" s="17"/>
      <c r="SO214" s="17"/>
      <c r="SP214" s="17"/>
      <c r="SQ214" s="17"/>
      <c r="SR214" s="17"/>
      <c r="SS214" s="17"/>
      <c r="ST214" s="17"/>
      <c r="SU214" s="17"/>
      <c r="SV214" s="17"/>
      <c r="SW214" s="17"/>
      <c r="SX214" s="17"/>
      <c r="SY214" s="17"/>
      <c r="SZ214" s="17"/>
      <c r="TA214" s="17"/>
      <c r="TB214" s="17"/>
      <c r="TC214" s="17"/>
      <c r="TD214" s="17"/>
      <c r="TE214" s="17"/>
      <c r="TF214" s="17"/>
      <c r="TG214" s="17"/>
      <c r="TH214" s="17"/>
      <c r="TI214" s="17"/>
      <c r="TJ214" s="17"/>
      <c r="TK214" s="17"/>
      <c r="TL214" s="17"/>
      <c r="TM214" s="17"/>
      <c r="TN214" s="17"/>
      <c r="TO214" s="17"/>
      <c r="TP214" s="17"/>
      <c r="TQ214" s="17"/>
      <c r="TR214" s="17"/>
      <c r="TS214" s="17"/>
      <c r="TT214" s="17"/>
      <c r="TU214" s="17"/>
      <c r="TV214" s="17"/>
      <c r="TW214" s="17"/>
      <c r="TX214" s="17"/>
      <c r="TY214" s="17"/>
      <c r="TZ214" s="17"/>
      <c r="UA214" s="17"/>
      <c r="UB214" s="17"/>
      <c r="UC214" s="17"/>
      <c r="UD214" s="17"/>
      <c r="UE214" s="17"/>
      <c r="UF214" s="17"/>
      <c r="UG214" s="17"/>
      <c r="UH214" s="17"/>
      <c r="UI214" s="17"/>
      <c r="UJ214" s="17"/>
      <c r="UK214" s="17"/>
      <c r="UL214" s="17"/>
      <c r="UM214" s="17"/>
      <c r="UN214" s="17"/>
      <c r="UO214" s="17"/>
      <c r="UP214" s="17"/>
      <c r="UQ214" s="17"/>
      <c r="UR214" s="17"/>
      <c r="US214" s="17"/>
      <c r="UT214" s="17"/>
      <c r="UU214" s="17"/>
      <c r="UV214" s="17"/>
      <c r="UW214" s="17"/>
      <c r="UX214" s="17"/>
      <c r="UY214" s="17"/>
      <c r="UZ214" s="17"/>
      <c r="VA214" s="17"/>
      <c r="VB214" s="17"/>
      <c r="VC214" s="17"/>
      <c r="VD214" s="17"/>
      <c r="VE214" s="17"/>
      <c r="VF214" s="17"/>
      <c r="VG214" s="17"/>
      <c r="VH214" s="17"/>
      <c r="VI214" s="17"/>
      <c r="VJ214" s="17"/>
      <c r="VK214" s="17"/>
      <c r="VL214" s="17"/>
      <c r="VM214" s="17"/>
      <c r="VN214" s="17"/>
      <c r="VO214" s="17"/>
      <c r="VP214" s="17"/>
      <c r="VQ214" s="17"/>
      <c r="VR214" s="17"/>
      <c r="VS214" s="17"/>
      <c r="VT214" s="17"/>
      <c r="VU214" s="17"/>
      <c r="VV214" s="17"/>
      <c r="VW214" s="17"/>
      <c r="VX214" s="17"/>
      <c r="VY214" s="17"/>
      <c r="VZ214" s="17"/>
      <c r="WA214" s="17"/>
      <c r="WB214" s="17"/>
      <c r="WC214" s="17"/>
      <c r="WD214" s="17"/>
      <c r="WE214" s="17"/>
      <c r="WF214" s="17"/>
      <c r="WG214" s="17"/>
      <c r="WH214" s="17"/>
      <c r="WI214" s="17"/>
      <c r="WJ214" s="17"/>
      <c r="WK214" s="17"/>
      <c r="WL214" s="17"/>
      <c r="WM214" s="17"/>
      <c r="WN214" s="17"/>
      <c r="WO214" s="17"/>
      <c r="WP214" s="17"/>
      <c r="WQ214" s="17"/>
      <c r="WR214" s="17"/>
      <c r="WS214" s="17"/>
      <c r="WT214" s="17"/>
      <c r="WU214" s="17"/>
      <c r="WV214" s="17"/>
      <c r="WW214" s="17"/>
      <c r="WX214" s="17"/>
      <c r="WY214" s="17"/>
      <c r="WZ214" s="17"/>
      <c r="XA214" s="17"/>
      <c r="XB214" s="17"/>
      <c r="XC214" s="17"/>
      <c r="XD214" s="17"/>
      <c r="XE214" s="17"/>
      <c r="XF214" s="17"/>
      <c r="XG214" s="17"/>
      <c r="XH214" s="17"/>
      <c r="XI214" s="17"/>
      <c r="XJ214" s="17"/>
      <c r="XK214" s="17"/>
      <c r="XL214" s="17"/>
      <c r="XM214" s="17"/>
      <c r="XN214" s="17"/>
      <c r="XO214" s="17"/>
      <c r="XP214" s="17"/>
      <c r="XQ214" s="17"/>
      <c r="XR214" s="17"/>
      <c r="XS214" s="17"/>
      <c r="XT214" s="17"/>
      <c r="XU214" s="17"/>
      <c r="XV214" s="17"/>
      <c r="XW214" s="17"/>
      <c r="XX214" s="17"/>
      <c r="XY214" s="17"/>
      <c r="XZ214" s="17"/>
      <c r="YA214" s="17"/>
      <c r="YB214" s="17"/>
      <c r="YC214" s="17"/>
      <c r="YD214" s="17"/>
      <c r="YE214" s="17"/>
      <c r="YF214" s="17"/>
      <c r="YG214" s="17"/>
      <c r="YH214" s="17"/>
      <c r="YI214" s="17"/>
      <c r="YJ214" s="17"/>
      <c r="YK214" s="17"/>
      <c r="YL214" s="17"/>
      <c r="YM214" s="17"/>
      <c r="YN214" s="17"/>
      <c r="YO214" s="17"/>
      <c r="YP214" s="17"/>
      <c r="YQ214" s="17"/>
      <c r="YR214" s="17"/>
      <c r="YS214" s="17"/>
    </row>
    <row r="215" spans="266:669" x14ac:dyDescent="0.25">
      <c r="JF215" s="17"/>
      <c r="JG215" s="17"/>
      <c r="JH215" s="17"/>
      <c r="JI215" s="17"/>
      <c r="JJ215" s="17"/>
      <c r="JK215" s="17"/>
      <c r="JL215" s="17"/>
      <c r="JM215" s="17"/>
      <c r="JN215" s="17"/>
      <c r="JO215" s="17"/>
      <c r="JP215" s="17"/>
      <c r="JQ215" s="17"/>
      <c r="JR215" s="17"/>
      <c r="JS215" s="17"/>
      <c r="JT215" s="17"/>
      <c r="JU215" s="17"/>
      <c r="JV215" s="17"/>
      <c r="JW215" s="17"/>
      <c r="JX215" s="17"/>
      <c r="JY215" s="17"/>
      <c r="JZ215" s="17"/>
      <c r="KA215" s="17"/>
      <c r="KB215" s="17"/>
      <c r="KC215" s="17"/>
      <c r="KD215" s="17"/>
      <c r="KE215" s="17"/>
      <c r="KF215" s="17"/>
      <c r="KG215" s="17"/>
      <c r="KH215" s="17"/>
      <c r="KI215" s="17"/>
      <c r="KJ215" s="17"/>
      <c r="KK215" s="17"/>
      <c r="KL215" s="17"/>
      <c r="KM215" s="17"/>
      <c r="KN215" s="17"/>
      <c r="KO215" s="17"/>
      <c r="KP215" s="17"/>
      <c r="KQ215" s="17"/>
      <c r="KR215" s="17"/>
      <c r="KS215" s="17"/>
      <c r="KT215" s="17"/>
      <c r="KU215" s="17"/>
      <c r="KV215" s="17"/>
      <c r="KW215" s="17"/>
      <c r="KX215" s="17"/>
      <c r="KY215" s="17"/>
      <c r="KZ215" s="17"/>
      <c r="LA215" s="17"/>
      <c r="LB215" s="17"/>
      <c r="LC215" s="17"/>
      <c r="LD215" s="17"/>
      <c r="LE215" s="17"/>
      <c r="LF215" s="17"/>
      <c r="LG215" s="17"/>
      <c r="LH215" s="17"/>
      <c r="LI215" s="17"/>
      <c r="LJ215" s="17"/>
      <c r="LK215" s="17"/>
      <c r="LL215" s="17"/>
      <c r="LM215" s="17"/>
      <c r="LN215" s="17"/>
      <c r="LO215" s="17"/>
      <c r="LP215" s="17"/>
      <c r="LQ215" s="17"/>
      <c r="LR215" s="17"/>
      <c r="LS215" s="17"/>
      <c r="LT215" s="17"/>
      <c r="LU215" s="17"/>
      <c r="LV215" s="17"/>
      <c r="LW215" s="17"/>
      <c r="LX215" s="17"/>
      <c r="LY215" s="17"/>
      <c r="LZ215" s="17"/>
      <c r="MA215" s="17"/>
      <c r="MB215" s="17"/>
      <c r="MC215" s="17"/>
      <c r="MD215" s="17"/>
      <c r="ME215" s="17"/>
      <c r="MF215" s="17"/>
      <c r="MG215" s="17"/>
      <c r="MH215" s="17"/>
      <c r="MI215" s="17"/>
      <c r="MJ215" s="17"/>
      <c r="MK215" s="17"/>
      <c r="ML215" s="17"/>
      <c r="MM215" s="17"/>
      <c r="MN215" s="17"/>
      <c r="MO215" s="17"/>
      <c r="MP215" s="17"/>
      <c r="MQ215" s="17"/>
      <c r="MR215" s="17"/>
      <c r="MS215" s="17"/>
      <c r="MT215" s="17"/>
      <c r="MU215" s="17"/>
      <c r="MV215" s="17"/>
      <c r="MW215" s="17"/>
      <c r="MX215" s="17"/>
      <c r="MY215" s="17"/>
      <c r="MZ215" s="17"/>
      <c r="NA215" s="17"/>
      <c r="NB215" s="17"/>
      <c r="NC215" s="17"/>
      <c r="ND215" s="17"/>
      <c r="NE215" s="17"/>
      <c r="NF215" s="17"/>
      <c r="NG215" s="17"/>
      <c r="NH215" s="17"/>
      <c r="NI215" s="17"/>
      <c r="NJ215" s="17"/>
      <c r="NK215" s="17"/>
      <c r="NL215" s="17"/>
      <c r="NM215" s="17"/>
      <c r="NN215" s="17"/>
      <c r="NO215" s="17"/>
      <c r="NP215" s="17"/>
      <c r="NQ215" s="17"/>
      <c r="NR215" s="17"/>
      <c r="NS215" s="17"/>
      <c r="NT215" s="17"/>
      <c r="NU215" s="17"/>
      <c r="NV215" s="17"/>
      <c r="NW215" s="17"/>
      <c r="NX215" s="17"/>
      <c r="NY215" s="17"/>
      <c r="NZ215" s="17"/>
      <c r="OA215" s="17"/>
      <c r="OB215" s="17"/>
      <c r="OC215" s="17"/>
      <c r="OD215" s="17"/>
      <c r="OE215" s="17"/>
      <c r="OF215" s="17"/>
      <c r="OG215" s="17"/>
      <c r="OH215" s="17"/>
      <c r="OI215" s="17"/>
      <c r="OJ215" s="17"/>
      <c r="OK215" s="17"/>
      <c r="OL215" s="17"/>
      <c r="OM215" s="17"/>
      <c r="ON215" s="17"/>
      <c r="OO215" s="17"/>
      <c r="OP215" s="17"/>
      <c r="OQ215" s="17"/>
      <c r="OR215" s="17"/>
      <c r="OS215" s="17"/>
      <c r="OT215" s="17"/>
      <c r="OU215" s="17"/>
      <c r="OV215" s="17"/>
      <c r="OW215" s="17"/>
      <c r="OX215" s="17"/>
      <c r="OY215" s="17"/>
      <c r="OZ215" s="17"/>
      <c r="PA215" s="17"/>
      <c r="PB215" s="17"/>
      <c r="PC215" s="17"/>
      <c r="PD215" s="17"/>
      <c r="PE215" s="17"/>
      <c r="PF215" s="17"/>
      <c r="PG215" s="17"/>
      <c r="PH215" s="17"/>
      <c r="PI215" s="17"/>
      <c r="PJ215" s="17"/>
      <c r="PK215" s="17"/>
      <c r="PL215" s="17"/>
      <c r="PM215" s="17"/>
      <c r="PN215" s="17"/>
      <c r="PO215" s="17"/>
      <c r="PP215" s="17"/>
      <c r="PQ215" s="17"/>
      <c r="PR215" s="17"/>
      <c r="PS215" s="17"/>
      <c r="PT215" s="17"/>
      <c r="PU215" s="17"/>
      <c r="PV215" s="17"/>
      <c r="PW215" s="17"/>
      <c r="PX215" s="17"/>
      <c r="PY215" s="17"/>
      <c r="PZ215" s="17"/>
      <c r="QA215" s="17"/>
      <c r="QB215" s="17"/>
      <c r="QC215" s="17"/>
      <c r="QD215" s="17"/>
      <c r="QE215" s="17"/>
      <c r="QF215" s="17"/>
      <c r="QG215" s="17"/>
      <c r="QH215" s="17"/>
      <c r="QI215" s="17"/>
      <c r="QJ215" s="17"/>
      <c r="QK215" s="17"/>
      <c r="QL215" s="17"/>
      <c r="QM215" s="17"/>
      <c r="QN215" s="17"/>
      <c r="QO215" s="17"/>
      <c r="QP215" s="17"/>
      <c r="QQ215" s="17"/>
      <c r="QR215" s="17"/>
      <c r="QS215" s="17"/>
      <c r="QT215" s="17"/>
      <c r="QU215" s="17"/>
      <c r="QV215" s="17"/>
      <c r="QW215" s="17"/>
      <c r="QX215" s="17"/>
      <c r="QY215" s="17"/>
      <c r="QZ215" s="17"/>
      <c r="RA215" s="17"/>
      <c r="RB215" s="17"/>
      <c r="RC215" s="17"/>
      <c r="RD215" s="17"/>
      <c r="RE215" s="17"/>
      <c r="RF215" s="17"/>
      <c r="RG215" s="17"/>
      <c r="RH215" s="17"/>
      <c r="RI215" s="17"/>
      <c r="RJ215" s="17"/>
      <c r="RK215" s="17"/>
      <c r="RL215" s="17"/>
      <c r="RM215" s="17"/>
      <c r="RN215" s="17"/>
      <c r="RO215" s="17"/>
      <c r="RP215" s="17"/>
      <c r="RQ215" s="17"/>
      <c r="RR215" s="17"/>
      <c r="RS215" s="17"/>
      <c r="RT215" s="17"/>
      <c r="RU215" s="17"/>
      <c r="RV215" s="17"/>
      <c r="RW215" s="17"/>
      <c r="RX215" s="17"/>
      <c r="RY215" s="17"/>
      <c r="RZ215" s="17"/>
      <c r="SA215" s="17"/>
      <c r="SB215" s="17"/>
      <c r="SC215" s="17"/>
      <c r="SD215" s="17"/>
      <c r="SE215" s="17"/>
      <c r="SF215" s="17"/>
      <c r="SG215" s="17"/>
      <c r="SH215" s="17"/>
      <c r="SI215" s="17"/>
      <c r="SJ215" s="17"/>
      <c r="SK215" s="17"/>
      <c r="SL215" s="17"/>
      <c r="SM215" s="17"/>
      <c r="SN215" s="17"/>
      <c r="SO215" s="17"/>
      <c r="SP215" s="17"/>
      <c r="SQ215" s="17"/>
      <c r="SR215" s="17"/>
      <c r="SS215" s="17"/>
      <c r="ST215" s="17"/>
      <c r="SU215" s="17"/>
      <c r="SV215" s="17"/>
      <c r="SW215" s="17"/>
      <c r="SX215" s="17"/>
      <c r="SY215" s="17"/>
      <c r="SZ215" s="17"/>
      <c r="TA215" s="17"/>
      <c r="TB215" s="17"/>
      <c r="TC215" s="17"/>
      <c r="TD215" s="17"/>
      <c r="TE215" s="17"/>
      <c r="TF215" s="17"/>
      <c r="TG215" s="17"/>
      <c r="TH215" s="17"/>
      <c r="TI215" s="17"/>
      <c r="TJ215" s="17"/>
      <c r="TK215" s="17"/>
      <c r="TL215" s="17"/>
      <c r="TM215" s="17"/>
      <c r="TN215" s="17"/>
      <c r="TO215" s="17"/>
      <c r="TP215" s="17"/>
      <c r="TQ215" s="17"/>
      <c r="TR215" s="17"/>
      <c r="TS215" s="17"/>
      <c r="TT215" s="17"/>
      <c r="TU215" s="17"/>
      <c r="TV215" s="17"/>
      <c r="TW215" s="17"/>
      <c r="TX215" s="17"/>
      <c r="TY215" s="17"/>
      <c r="TZ215" s="17"/>
      <c r="UA215" s="17"/>
      <c r="UB215" s="17"/>
      <c r="UC215" s="17"/>
      <c r="UD215" s="17"/>
      <c r="UE215" s="17"/>
      <c r="UF215" s="17"/>
      <c r="UG215" s="17"/>
      <c r="UH215" s="17"/>
      <c r="UI215" s="17"/>
      <c r="UJ215" s="17"/>
      <c r="UK215" s="17"/>
      <c r="UL215" s="17"/>
      <c r="UM215" s="17"/>
      <c r="UN215" s="17"/>
      <c r="UO215" s="17"/>
      <c r="UP215" s="17"/>
      <c r="UQ215" s="17"/>
      <c r="UR215" s="17"/>
      <c r="US215" s="17"/>
      <c r="UT215" s="17"/>
      <c r="UU215" s="17"/>
      <c r="UV215" s="17"/>
      <c r="UW215" s="17"/>
      <c r="UX215" s="17"/>
      <c r="UY215" s="17"/>
      <c r="UZ215" s="17"/>
      <c r="VA215" s="17"/>
      <c r="VB215" s="17"/>
      <c r="VC215" s="17"/>
      <c r="VD215" s="17"/>
      <c r="VE215" s="17"/>
      <c r="VF215" s="17"/>
      <c r="VG215" s="17"/>
      <c r="VH215" s="17"/>
      <c r="VI215" s="17"/>
      <c r="VJ215" s="17"/>
      <c r="VK215" s="17"/>
      <c r="VL215" s="17"/>
      <c r="VM215" s="17"/>
      <c r="VN215" s="17"/>
      <c r="VO215" s="17"/>
      <c r="VP215" s="17"/>
      <c r="VQ215" s="17"/>
      <c r="VR215" s="17"/>
      <c r="VS215" s="17"/>
      <c r="VT215" s="17"/>
      <c r="VU215" s="17"/>
      <c r="VV215" s="17"/>
      <c r="VW215" s="17"/>
      <c r="VX215" s="17"/>
      <c r="VY215" s="17"/>
      <c r="VZ215" s="17"/>
      <c r="WA215" s="17"/>
      <c r="WB215" s="17"/>
      <c r="WC215" s="17"/>
      <c r="WD215" s="17"/>
      <c r="WE215" s="17"/>
      <c r="WF215" s="17"/>
      <c r="WG215" s="17"/>
      <c r="WH215" s="17"/>
      <c r="WI215" s="17"/>
      <c r="WJ215" s="17"/>
      <c r="WK215" s="17"/>
      <c r="WL215" s="17"/>
      <c r="WM215" s="17"/>
      <c r="WN215" s="17"/>
      <c r="WO215" s="17"/>
      <c r="WP215" s="17"/>
      <c r="WQ215" s="17"/>
      <c r="WR215" s="17"/>
      <c r="WS215" s="17"/>
      <c r="WT215" s="17"/>
      <c r="WU215" s="17"/>
      <c r="WV215" s="17"/>
      <c r="WW215" s="17"/>
      <c r="WX215" s="17"/>
      <c r="WY215" s="17"/>
      <c r="WZ215" s="17"/>
      <c r="XA215" s="17"/>
      <c r="XB215" s="17"/>
      <c r="XC215" s="17"/>
      <c r="XD215" s="17"/>
      <c r="XE215" s="17"/>
      <c r="XF215" s="17"/>
      <c r="XG215" s="17"/>
      <c r="XH215" s="17"/>
      <c r="XI215" s="17"/>
      <c r="XJ215" s="17"/>
      <c r="XK215" s="17"/>
      <c r="XL215" s="17"/>
      <c r="XM215" s="17"/>
      <c r="XN215" s="17"/>
      <c r="XO215" s="17"/>
      <c r="XP215" s="17"/>
      <c r="XQ215" s="17"/>
      <c r="XR215" s="17"/>
      <c r="XS215" s="17"/>
      <c r="XT215" s="17"/>
      <c r="XU215" s="17"/>
      <c r="XV215" s="17"/>
      <c r="XW215" s="17"/>
      <c r="XX215" s="17"/>
      <c r="XY215" s="17"/>
      <c r="XZ215" s="17"/>
      <c r="YA215" s="17"/>
      <c r="YB215" s="17"/>
      <c r="YC215" s="17"/>
      <c r="YD215" s="17"/>
      <c r="YE215" s="17"/>
      <c r="YF215" s="17"/>
      <c r="YG215" s="17"/>
      <c r="YH215" s="17"/>
      <c r="YI215" s="17"/>
      <c r="YJ215" s="17"/>
      <c r="YK215" s="17"/>
      <c r="YL215" s="17"/>
      <c r="YM215" s="17"/>
      <c r="YN215" s="17"/>
      <c r="YO215" s="17"/>
      <c r="YP215" s="17"/>
      <c r="YQ215" s="17"/>
      <c r="YR215" s="17"/>
      <c r="YS215" s="17"/>
    </row>
    <row r="216" spans="266:669" x14ac:dyDescent="0.25">
      <c r="JF216" s="17"/>
      <c r="JG216" s="17"/>
      <c r="JH216" s="17"/>
      <c r="JI216" s="17"/>
      <c r="JJ216" s="17"/>
      <c r="JK216" s="17"/>
      <c r="JL216" s="17"/>
      <c r="JM216" s="17"/>
      <c r="JN216" s="17"/>
      <c r="JO216" s="17"/>
      <c r="JP216" s="17"/>
      <c r="JQ216" s="17"/>
      <c r="JR216" s="17"/>
      <c r="JS216" s="17"/>
      <c r="JT216" s="17"/>
      <c r="JU216" s="17"/>
      <c r="JV216" s="17"/>
      <c r="JW216" s="17"/>
      <c r="JX216" s="17"/>
      <c r="JY216" s="17"/>
      <c r="JZ216" s="17"/>
      <c r="KA216" s="17"/>
      <c r="KB216" s="17"/>
      <c r="KC216" s="17"/>
      <c r="KD216" s="17"/>
      <c r="KE216" s="17"/>
      <c r="KF216" s="17"/>
      <c r="KG216" s="17"/>
      <c r="KH216" s="17"/>
      <c r="KI216" s="17"/>
      <c r="KJ216" s="17"/>
      <c r="KK216" s="17"/>
      <c r="KL216" s="17"/>
      <c r="KM216" s="17"/>
      <c r="KN216" s="17"/>
      <c r="KO216" s="17"/>
      <c r="KP216" s="17"/>
      <c r="KQ216" s="17"/>
      <c r="KR216" s="17"/>
      <c r="KS216" s="17"/>
      <c r="KT216" s="17"/>
      <c r="KU216" s="17"/>
      <c r="KV216" s="17"/>
      <c r="KW216" s="17"/>
      <c r="KX216" s="17"/>
      <c r="KY216" s="17"/>
      <c r="KZ216" s="17"/>
      <c r="LA216" s="17"/>
      <c r="LB216" s="17"/>
      <c r="LC216" s="17"/>
      <c r="LD216" s="17"/>
      <c r="LE216" s="17"/>
      <c r="LF216" s="17"/>
      <c r="LG216" s="17"/>
      <c r="LH216" s="17"/>
      <c r="LI216" s="17"/>
      <c r="LJ216" s="17"/>
      <c r="LK216" s="17"/>
      <c r="LL216" s="17"/>
      <c r="LM216" s="17"/>
      <c r="LN216" s="17"/>
      <c r="LO216" s="17"/>
      <c r="LP216" s="17"/>
      <c r="LQ216" s="17"/>
      <c r="LR216" s="17"/>
      <c r="LS216" s="17"/>
      <c r="LT216" s="17"/>
      <c r="LU216" s="17"/>
      <c r="LV216" s="17"/>
      <c r="LW216" s="17"/>
      <c r="LX216" s="17"/>
      <c r="LY216" s="17"/>
      <c r="LZ216" s="17"/>
      <c r="MA216" s="17"/>
      <c r="MB216" s="17"/>
      <c r="MC216" s="17"/>
      <c r="MD216" s="17"/>
      <c r="ME216" s="17"/>
      <c r="MF216" s="17"/>
      <c r="MG216" s="17"/>
      <c r="MH216" s="17"/>
      <c r="MI216" s="17"/>
      <c r="MJ216" s="17"/>
      <c r="MK216" s="17"/>
      <c r="ML216" s="17"/>
      <c r="MM216" s="17"/>
      <c r="MN216" s="17"/>
      <c r="MO216" s="17"/>
      <c r="MP216" s="17"/>
      <c r="MQ216" s="17"/>
      <c r="MR216" s="17"/>
      <c r="MS216" s="17"/>
      <c r="MT216" s="17"/>
      <c r="MU216" s="17"/>
      <c r="MV216" s="17"/>
      <c r="MW216" s="17"/>
      <c r="MX216" s="17"/>
      <c r="MY216" s="17"/>
      <c r="MZ216" s="17"/>
      <c r="NA216" s="17"/>
      <c r="NB216" s="17"/>
      <c r="NC216" s="17"/>
      <c r="ND216" s="17"/>
      <c r="NE216" s="17"/>
      <c r="NF216" s="17"/>
      <c r="NG216" s="17"/>
      <c r="NH216" s="17"/>
      <c r="NI216" s="17"/>
      <c r="NJ216" s="17"/>
      <c r="NK216" s="17"/>
      <c r="NL216" s="17"/>
      <c r="NM216" s="17"/>
      <c r="NN216" s="17"/>
      <c r="NO216" s="17"/>
      <c r="NP216" s="17"/>
      <c r="NQ216" s="17"/>
      <c r="NR216" s="17"/>
      <c r="NS216" s="17"/>
      <c r="NT216" s="17"/>
      <c r="NU216" s="17"/>
      <c r="NV216" s="17"/>
      <c r="NW216" s="17"/>
      <c r="NX216" s="17"/>
      <c r="NY216" s="17"/>
      <c r="NZ216" s="17"/>
      <c r="OA216" s="17"/>
      <c r="OB216" s="17"/>
      <c r="OC216" s="17"/>
      <c r="OD216" s="17"/>
      <c r="OE216" s="17"/>
      <c r="OF216" s="17"/>
      <c r="OG216" s="17"/>
      <c r="OH216" s="17"/>
      <c r="OI216" s="17"/>
      <c r="OJ216" s="17"/>
      <c r="OK216" s="17"/>
      <c r="OL216" s="17"/>
      <c r="OM216" s="17"/>
      <c r="ON216" s="17"/>
      <c r="OO216" s="17"/>
      <c r="OP216" s="17"/>
      <c r="OQ216" s="17"/>
      <c r="OR216" s="17"/>
      <c r="OS216" s="17"/>
      <c r="OT216" s="17"/>
      <c r="OU216" s="17"/>
      <c r="OV216" s="17"/>
      <c r="OW216" s="17"/>
      <c r="OX216" s="17"/>
      <c r="OY216" s="17"/>
      <c r="OZ216" s="17"/>
      <c r="PA216" s="17"/>
      <c r="PB216" s="17"/>
      <c r="PC216" s="17"/>
      <c r="PD216" s="17"/>
      <c r="PE216" s="17"/>
      <c r="PF216" s="17"/>
      <c r="PG216" s="17"/>
      <c r="PH216" s="17"/>
      <c r="PI216" s="17"/>
      <c r="PJ216" s="17"/>
      <c r="PK216" s="17"/>
      <c r="PL216" s="17"/>
      <c r="PM216" s="17"/>
      <c r="PN216" s="17"/>
      <c r="PO216" s="17"/>
      <c r="PP216" s="17"/>
      <c r="PQ216" s="17"/>
      <c r="PR216" s="17"/>
      <c r="PS216" s="17"/>
      <c r="PT216" s="17"/>
      <c r="PU216" s="17"/>
      <c r="PV216" s="17"/>
      <c r="PW216" s="17"/>
      <c r="PX216" s="17"/>
      <c r="PY216" s="17"/>
      <c r="PZ216" s="17"/>
      <c r="QA216" s="17"/>
      <c r="QB216" s="17"/>
      <c r="QC216" s="17"/>
      <c r="QD216" s="17"/>
      <c r="QE216" s="17"/>
      <c r="QF216" s="17"/>
      <c r="QG216" s="17"/>
      <c r="QH216" s="17"/>
      <c r="QI216" s="17"/>
      <c r="QJ216" s="17"/>
      <c r="QK216" s="17"/>
      <c r="QL216" s="17"/>
      <c r="QM216" s="17"/>
      <c r="QN216" s="17"/>
      <c r="QO216" s="17"/>
      <c r="QP216" s="17"/>
      <c r="QQ216" s="17"/>
      <c r="QR216" s="17"/>
      <c r="QS216" s="17"/>
      <c r="QT216" s="17"/>
      <c r="QU216" s="17"/>
      <c r="QV216" s="17"/>
      <c r="QW216" s="17"/>
      <c r="QX216" s="17"/>
      <c r="QY216" s="17"/>
      <c r="QZ216" s="17"/>
      <c r="RA216" s="17"/>
      <c r="RB216" s="17"/>
      <c r="RC216" s="17"/>
      <c r="RD216" s="17"/>
      <c r="RE216" s="17"/>
      <c r="RF216" s="17"/>
      <c r="RG216" s="17"/>
      <c r="RH216" s="17"/>
      <c r="RI216" s="17"/>
      <c r="RJ216" s="17"/>
      <c r="RK216" s="17"/>
      <c r="RL216" s="17"/>
      <c r="RM216" s="17"/>
      <c r="RN216" s="17"/>
      <c r="RO216" s="17"/>
      <c r="RP216" s="17"/>
      <c r="RQ216" s="17"/>
      <c r="RR216" s="17"/>
      <c r="RS216" s="17"/>
      <c r="RT216" s="17"/>
      <c r="RU216" s="17"/>
      <c r="RV216" s="17"/>
      <c r="RW216" s="17"/>
      <c r="RX216" s="17"/>
      <c r="RY216" s="17"/>
      <c r="RZ216" s="17"/>
      <c r="SA216" s="17"/>
      <c r="SB216" s="17"/>
      <c r="SC216" s="17"/>
      <c r="SD216" s="17"/>
      <c r="SE216" s="17"/>
      <c r="SF216" s="17"/>
      <c r="SG216" s="17"/>
      <c r="SH216" s="17"/>
      <c r="SI216" s="17"/>
      <c r="SJ216" s="17"/>
      <c r="SK216" s="17"/>
      <c r="SL216" s="17"/>
      <c r="SM216" s="17"/>
      <c r="SN216" s="17"/>
      <c r="SO216" s="17"/>
      <c r="SP216" s="17"/>
      <c r="SQ216" s="17"/>
      <c r="SR216" s="17"/>
      <c r="SS216" s="17"/>
      <c r="ST216" s="17"/>
      <c r="SU216" s="17"/>
      <c r="SV216" s="17"/>
      <c r="SW216" s="17"/>
      <c r="SX216" s="17"/>
      <c r="SY216" s="17"/>
      <c r="SZ216" s="17"/>
      <c r="TA216" s="17"/>
      <c r="TB216" s="17"/>
      <c r="TC216" s="17"/>
      <c r="TD216" s="17"/>
      <c r="TE216" s="17"/>
      <c r="TF216" s="17"/>
      <c r="TG216" s="17"/>
      <c r="TH216" s="17"/>
      <c r="TI216" s="17"/>
      <c r="TJ216" s="17"/>
      <c r="TK216" s="17"/>
      <c r="TL216" s="17"/>
      <c r="TM216" s="17"/>
      <c r="TN216" s="17"/>
      <c r="TO216" s="17"/>
      <c r="TP216" s="17"/>
      <c r="TQ216" s="17"/>
      <c r="TR216" s="17"/>
      <c r="TS216" s="17"/>
      <c r="TT216" s="17"/>
      <c r="TU216" s="17"/>
      <c r="TV216" s="17"/>
      <c r="TW216" s="17"/>
      <c r="TX216" s="17"/>
      <c r="TY216" s="17"/>
      <c r="TZ216" s="17"/>
      <c r="UA216" s="17"/>
      <c r="UB216" s="17"/>
      <c r="UC216" s="17"/>
      <c r="UD216" s="17"/>
      <c r="UE216" s="17"/>
      <c r="UF216" s="17"/>
      <c r="UG216" s="17"/>
      <c r="UH216" s="17"/>
      <c r="UI216" s="17"/>
      <c r="UJ216" s="17"/>
      <c r="UK216" s="17"/>
      <c r="UL216" s="17"/>
      <c r="UM216" s="17"/>
      <c r="UN216" s="17"/>
      <c r="UO216" s="17"/>
      <c r="UP216" s="17"/>
      <c r="UQ216" s="17"/>
      <c r="UR216" s="17"/>
      <c r="US216" s="17"/>
      <c r="UT216" s="17"/>
      <c r="UU216" s="17"/>
      <c r="UV216" s="17"/>
      <c r="UW216" s="17"/>
      <c r="UX216" s="17"/>
      <c r="UY216" s="17"/>
      <c r="UZ216" s="17"/>
      <c r="VA216" s="17"/>
      <c r="VB216" s="17"/>
      <c r="VC216" s="17"/>
      <c r="VD216" s="17"/>
      <c r="VE216" s="17"/>
      <c r="VF216" s="17"/>
      <c r="VG216" s="17"/>
      <c r="VH216" s="17"/>
      <c r="VI216" s="17"/>
      <c r="VJ216" s="17"/>
      <c r="VK216" s="17"/>
      <c r="VL216" s="17"/>
      <c r="VM216" s="17"/>
      <c r="VN216" s="17"/>
      <c r="VO216" s="17"/>
      <c r="VP216" s="17"/>
      <c r="VQ216" s="17"/>
      <c r="VR216" s="17"/>
      <c r="VS216" s="17"/>
      <c r="VT216" s="17"/>
      <c r="VU216" s="17"/>
      <c r="VV216" s="17"/>
      <c r="VW216" s="17"/>
      <c r="VX216" s="17"/>
      <c r="VY216" s="17"/>
      <c r="VZ216" s="17"/>
      <c r="WA216" s="17"/>
      <c r="WB216" s="17"/>
      <c r="WC216" s="17"/>
      <c r="WD216" s="17"/>
      <c r="WE216" s="17"/>
      <c r="WF216" s="17"/>
      <c r="WG216" s="17"/>
      <c r="WH216" s="17"/>
      <c r="WI216" s="17"/>
      <c r="WJ216" s="17"/>
      <c r="WK216" s="17"/>
      <c r="WL216" s="17"/>
      <c r="WM216" s="17"/>
      <c r="WN216" s="17"/>
      <c r="WO216" s="17"/>
      <c r="WP216" s="17"/>
      <c r="WQ216" s="17"/>
      <c r="WR216" s="17"/>
      <c r="WS216" s="17"/>
      <c r="WT216" s="17"/>
      <c r="WU216" s="17"/>
      <c r="WV216" s="17"/>
      <c r="WW216" s="17"/>
      <c r="WX216" s="17"/>
      <c r="WY216" s="17"/>
      <c r="WZ216" s="17"/>
      <c r="XA216" s="17"/>
      <c r="XB216" s="17"/>
      <c r="XC216" s="17"/>
      <c r="XD216" s="17"/>
      <c r="XE216" s="17"/>
      <c r="XF216" s="17"/>
      <c r="XG216" s="17"/>
      <c r="XH216" s="17"/>
      <c r="XI216" s="17"/>
      <c r="XJ216" s="17"/>
      <c r="XK216" s="17"/>
      <c r="XL216" s="17"/>
      <c r="XM216" s="17"/>
      <c r="XN216" s="17"/>
      <c r="XO216" s="17"/>
      <c r="XP216" s="17"/>
      <c r="XQ216" s="17"/>
      <c r="XR216" s="17"/>
      <c r="XS216" s="17"/>
      <c r="XT216" s="17"/>
      <c r="XU216" s="17"/>
      <c r="XV216" s="17"/>
      <c r="XW216" s="17"/>
      <c r="XX216" s="17"/>
      <c r="XY216" s="17"/>
      <c r="XZ216" s="17"/>
      <c r="YA216" s="17"/>
      <c r="YB216" s="17"/>
      <c r="YC216" s="17"/>
      <c r="YD216" s="17"/>
      <c r="YE216" s="17"/>
      <c r="YF216" s="17"/>
      <c r="YG216" s="17"/>
      <c r="YH216" s="17"/>
      <c r="YI216" s="17"/>
      <c r="YJ216" s="17"/>
      <c r="YK216" s="17"/>
      <c r="YL216" s="17"/>
      <c r="YM216" s="17"/>
      <c r="YN216" s="17"/>
      <c r="YO216" s="17"/>
      <c r="YP216" s="17"/>
      <c r="YQ216" s="17"/>
      <c r="YR216" s="17"/>
      <c r="YS216" s="17"/>
    </row>
    <row r="217" spans="266:669" x14ac:dyDescent="0.25">
      <c r="JF217" s="17"/>
      <c r="JG217" s="17"/>
      <c r="JH217" s="17"/>
      <c r="JI217" s="17"/>
      <c r="JJ217" s="17"/>
      <c r="JK217" s="17"/>
      <c r="JL217" s="17"/>
      <c r="JM217" s="17"/>
      <c r="JN217" s="17"/>
      <c r="JO217" s="17"/>
      <c r="JP217" s="17"/>
      <c r="JQ217" s="17"/>
      <c r="JR217" s="17"/>
      <c r="JS217" s="17"/>
      <c r="JT217" s="17"/>
      <c r="JU217" s="17"/>
      <c r="JV217" s="17"/>
      <c r="JW217" s="17"/>
      <c r="JX217" s="17"/>
      <c r="JY217" s="17"/>
      <c r="JZ217" s="17"/>
      <c r="KA217" s="17"/>
      <c r="KB217" s="17"/>
      <c r="KC217" s="17"/>
      <c r="KD217" s="17"/>
      <c r="KE217" s="17"/>
      <c r="KF217" s="17"/>
      <c r="KG217" s="17"/>
      <c r="KH217" s="17"/>
      <c r="KI217" s="17"/>
      <c r="KJ217" s="17"/>
      <c r="KK217" s="17"/>
      <c r="KL217" s="17"/>
      <c r="KM217" s="17"/>
      <c r="KN217" s="17"/>
      <c r="KO217" s="17"/>
      <c r="KP217" s="17"/>
      <c r="KQ217" s="17"/>
      <c r="KR217" s="17"/>
      <c r="KS217" s="17"/>
      <c r="KT217" s="17"/>
      <c r="KU217" s="17"/>
      <c r="KV217" s="17"/>
      <c r="KW217" s="17"/>
      <c r="KX217" s="17"/>
      <c r="KY217" s="17"/>
      <c r="KZ217" s="17"/>
      <c r="LA217" s="17"/>
      <c r="LB217" s="17"/>
      <c r="LC217" s="17"/>
      <c r="LD217" s="17"/>
      <c r="LE217" s="17"/>
      <c r="LF217" s="17"/>
      <c r="LG217" s="17"/>
      <c r="LH217" s="17"/>
      <c r="LI217" s="17"/>
      <c r="LJ217" s="17"/>
      <c r="LK217" s="17"/>
      <c r="LL217" s="17"/>
      <c r="LM217" s="17"/>
      <c r="LN217" s="17"/>
      <c r="LO217" s="17"/>
      <c r="LP217" s="17"/>
      <c r="LQ217" s="17"/>
      <c r="LR217" s="17"/>
      <c r="LS217" s="17"/>
      <c r="LT217" s="17"/>
      <c r="LU217" s="17"/>
      <c r="LV217" s="17"/>
      <c r="LW217" s="17"/>
      <c r="LX217" s="17"/>
      <c r="LY217" s="17"/>
      <c r="LZ217" s="17"/>
      <c r="MA217" s="17"/>
      <c r="MB217" s="17"/>
      <c r="MC217" s="17"/>
      <c r="MD217" s="17"/>
      <c r="ME217" s="17"/>
      <c r="MF217" s="17"/>
      <c r="MG217" s="17"/>
      <c r="MH217" s="17"/>
      <c r="MI217" s="17"/>
      <c r="MJ217" s="17"/>
      <c r="MK217" s="17"/>
      <c r="ML217" s="17"/>
      <c r="MM217" s="17"/>
      <c r="MN217" s="17"/>
      <c r="MO217" s="17"/>
      <c r="MP217" s="17"/>
      <c r="MQ217" s="17"/>
      <c r="MR217" s="17"/>
      <c r="MS217" s="17"/>
      <c r="MT217" s="17"/>
      <c r="MU217" s="17"/>
      <c r="MV217" s="17"/>
      <c r="MW217" s="17"/>
      <c r="MX217" s="17"/>
      <c r="MY217" s="17"/>
      <c r="MZ217" s="17"/>
      <c r="NA217" s="17"/>
      <c r="NB217" s="17"/>
      <c r="NC217" s="17"/>
      <c r="ND217" s="17"/>
      <c r="NE217" s="17"/>
      <c r="NF217" s="17"/>
      <c r="NG217" s="17"/>
      <c r="NH217" s="17"/>
      <c r="NI217" s="17"/>
      <c r="NJ217" s="17"/>
      <c r="NK217" s="17"/>
      <c r="NL217" s="17"/>
      <c r="NM217" s="17"/>
      <c r="NN217" s="17"/>
      <c r="NO217" s="17"/>
      <c r="NP217" s="17"/>
      <c r="NQ217" s="17"/>
      <c r="NR217" s="17"/>
      <c r="NS217" s="17"/>
      <c r="NT217" s="17"/>
      <c r="NU217" s="17"/>
      <c r="NV217" s="17"/>
      <c r="NW217" s="17"/>
      <c r="NX217" s="17"/>
      <c r="NY217" s="17"/>
      <c r="NZ217" s="17"/>
      <c r="OA217" s="17"/>
      <c r="OB217" s="17"/>
      <c r="OC217" s="17"/>
      <c r="OD217" s="17"/>
      <c r="OE217" s="17"/>
      <c r="OF217" s="17"/>
      <c r="OG217" s="17"/>
      <c r="OH217" s="17"/>
      <c r="OI217" s="17"/>
      <c r="OJ217" s="17"/>
      <c r="OK217" s="17"/>
      <c r="OL217" s="17"/>
      <c r="OM217" s="17"/>
      <c r="ON217" s="17"/>
      <c r="OO217" s="17"/>
      <c r="OP217" s="17"/>
      <c r="OQ217" s="17"/>
      <c r="OR217" s="17"/>
      <c r="OS217" s="17"/>
      <c r="OT217" s="17"/>
      <c r="OU217" s="17"/>
      <c r="OV217" s="17"/>
      <c r="OW217" s="17"/>
      <c r="OX217" s="17"/>
      <c r="OY217" s="17"/>
      <c r="OZ217" s="17"/>
      <c r="PA217" s="17"/>
      <c r="PB217" s="17"/>
      <c r="PC217" s="17"/>
      <c r="PD217" s="17"/>
      <c r="PE217" s="17"/>
      <c r="PF217" s="17"/>
      <c r="PG217" s="17"/>
      <c r="PH217" s="17"/>
      <c r="PI217" s="17"/>
      <c r="PJ217" s="17"/>
      <c r="PK217" s="17"/>
      <c r="PL217" s="17"/>
      <c r="PM217" s="17"/>
      <c r="PN217" s="17"/>
      <c r="PO217" s="17"/>
      <c r="PP217" s="17"/>
      <c r="PQ217" s="17"/>
      <c r="PR217" s="17"/>
      <c r="PS217" s="17"/>
      <c r="PT217" s="17"/>
      <c r="PU217" s="17"/>
      <c r="PV217" s="17"/>
      <c r="PW217" s="17"/>
      <c r="PX217" s="17"/>
      <c r="PY217" s="17"/>
      <c r="PZ217" s="17"/>
      <c r="QA217" s="17"/>
      <c r="QB217" s="17"/>
      <c r="QC217" s="17"/>
      <c r="QD217" s="17"/>
      <c r="QE217" s="17"/>
      <c r="QF217" s="17"/>
      <c r="QG217" s="17"/>
      <c r="QH217" s="17"/>
      <c r="QI217" s="17"/>
      <c r="QJ217" s="17"/>
      <c r="QK217" s="17"/>
      <c r="QL217" s="17"/>
      <c r="QM217" s="17"/>
      <c r="QN217" s="17"/>
      <c r="QO217" s="17"/>
      <c r="QP217" s="17"/>
      <c r="QQ217" s="17"/>
      <c r="QR217" s="17"/>
      <c r="QS217" s="17"/>
      <c r="QT217" s="17"/>
      <c r="QU217" s="17"/>
      <c r="QV217" s="17"/>
      <c r="QW217" s="17"/>
      <c r="QX217" s="17"/>
      <c r="QY217" s="17"/>
      <c r="QZ217" s="17"/>
      <c r="RA217" s="17"/>
      <c r="RB217" s="17"/>
      <c r="RC217" s="17"/>
      <c r="RD217" s="17"/>
      <c r="RE217" s="17"/>
      <c r="RF217" s="17"/>
      <c r="RG217" s="17"/>
      <c r="RH217" s="17"/>
      <c r="RI217" s="17"/>
      <c r="RJ217" s="17"/>
      <c r="RK217" s="17"/>
      <c r="RL217" s="17"/>
      <c r="RM217" s="17"/>
      <c r="RN217" s="17"/>
      <c r="RO217" s="17"/>
      <c r="RP217" s="17"/>
      <c r="RQ217" s="17"/>
      <c r="RR217" s="17"/>
      <c r="RS217" s="17"/>
      <c r="RT217" s="17"/>
      <c r="RU217" s="17"/>
      <c r="RV217" s="17"/>
      <c r="RW217" s="17"/>
      <c r="RX217" s="17"/>
      <c r="RY217" s="17"/>
      <c r="RZ217" s="17"/>
      <c r="SA217" s="17"/>
      <c r="SB217" s="17"/>
      <c r="SC217" s="17"/>
      <c r="SD217" s="17"/>
      <c r="SE217" s="17"/>
      <c r="SF217" s="17"/>
      <c r="SG217" s="17"/>
      <c r="SH217" s="17"/>
      <c r="SI217" s="17"/>
      <c r="SJ217" s="17"/>
      <c r="SK217" s="17"/>
      <c r="SL217" s="17"/>
      <c r="SM217" s="17"/>
      <c r="SN217" s="17"/>
      <c r="SO217" s="17"/>
      <c r="SP217" s="17"/>
      <c r="SQ217" s="17"/>
      <c r="SR217" s="17"/>
      <c r="SS217" s="17"/>
      <c r="ST217" s="17"/>
      <c r="SU217" s="17"/>
      <c r="SV217" s="17"/>
      <c r="SW217" s="17"/>
      <c r="SX217" s="17"/>
      <c r="SY217" s="17"/>
      <c r="SZ217" s="17"/>
      <c r="TA217" s="17"/>
      <c r="TB217" s="17"/>
      <c r="TC217" s="17"/>
      <c r="TD217" s="17"/>
      <c r="TE217" s="17"/>
      <c r="TF217" s="17"/>
      <c r="TG217" s="17"/>
      <c r="TH217" s="17"/>
      <c r="TI217" s="17"/>
      <c r="TJ217" s="17"/>
      <c r="TK217" s="17"/>
      <c r="TL217" s="17"/>
      <c r="TM217" s="17"/>
      <c r="TN217" s="17"/>
      <c r="TO217" s="17"/>
      <c r="TP217" s="17"/>
      <c r="TQ217" s="17"/>
      <c r="TR217" s="17"/>
      <c r="TS217" s="17"/>
      <c r="TT217" s="17"/>
      <c r="TU217" s="17"/>
      <c r="TV217" s="17"/>
      <c r="TW217" s="17"/>
      <c r="TX217" s="17"/>
      <c r="TY217" s="17"/>
      <c r="TZ217" s="17"/>
      <c r="UA217" s="17"/>
      <c r="UB217" s="17"/>
      <c r="UC217" s="17"/>
      <c r="UD217" s="17"/>
      <c r="UE217" s="17"/>
      <c r="UF217" s="17"/>
      <c r="UG217" s="17"/>
      <c r="UH217" s="17"/>
      <c r="UI217" s="17"/>
      <c r="UJ217" s="17"/>
      <c r="UK217" s="17"/>
      <c r="UL217" s="17"/>
      <c r="UM217" s="17"/>
      <c r="UN217" s="17"/>
      <c r="UO217" s="17"/>
      <c r="UP217" s="17"/>
      <c r="UQ217" s="17"/>
      <c r="UR217" s="17"/>
      <c r="US217" s="17"/>
      <c r="UT217" s="17"/>
      <c r="UU217" s="17"/>
      <c r="UV217" s="17"/>
      <c r="UW217" s="17"/>
      <c r="UX217" s="17"/>
      <c r="UY217" s="17"/>
      <c r="UZ217" s="17"/>
      <c r="VA217" s="17"/>
      <c r="VB217" s="17"/>
      <c r="VC217" s="17"/>
      <c r="VD217" s="17"/>
      <c r="VE217" s="17"/>
      <c r="VF217" s="17"/>
      <c r="VG217" s="17"/>
      <c r="VH217" s="17"/>
      <c r="VI217" s="17"/>
      <c r="VJ217" s="17"/>
      <c r="VK217" s="17"/>
      <c r="VL217" s="17"/>
      <c r="VM217" s="17"/>
      <c r="VN217" s="17"/>
      <c r="VO217" s="17"/>
      <c r="VP217" s="17"/>
      <c r="VQ217" s="17"/>
      <c r="VR217" s="17"/>
      <c r="VS217" s="17"/>
      <c r="VT217" s="17"/>
      <c r="VU217" s="17"/>
      <c r="VV217" s="17"/>
      <c r="VW217" s="17"/>
      <c r="VX217" s="17"/>
      <c r="VY217" s="17"/>
      <c r="VZ217" s="17"/>
      <c r="WA217" s="17"/>
      <c r="WB217" s="17"/>
      <c r="WC217" s="17"/>
      <c r="WD217" s="17"/>
      <c r="WE217" s="17"/>
      <c r="WF217" s="17"/>
      <c r="WG217" s="17"/>
      <c r="WH217" s="17"/>
      <c r="WI217" s="17"/>
      <c r="WJ217" s="17"/>
      <c r="WK217" s="17"/>
      <c r="WL217" s="17"/>
      <c r="WM217" s="17"/>
      <c r="WN217" s="17"/>
      <c r="WO217" s="17"/>
      <c r="WP217" s="17"/>
      <c r="WQ217" s="17"/>
      <c r="WR217" s="17"/>
      <c r="WS217" s="17"/>
      <c r="WT217" s="17"/>
      <c r="WU217" s="17"/>
      <c r="WV217" s="17"/>
      <c r="WW217" s="17"/>
      <c r="WX217" s="17"/>
      <c r="WY217" s="17"/>
      <c r="WZ217" s="17"/>
      <c r="XA217" s="17"/>
      <c r="XB217" s="17"/>
      <c r="XC217" s="17"/>
      <c r="XD217" s="17"/>
      <c r="XE217" s="17"/>
      <c r="XF217" s="17"/>
      <c r="XG217" s="17"/>
      <c r="XH217" s="17"/>
      <c r="XI217" s="17"/>
      <c r="XJ217" s="17"/>
      <c r="XK217" s="17"/>
      <c r="XL217" s="17"/>
      <c r="XM217" s="17"/>
      <c r="XN217" s="17"/>
      <c r="XO217" s="17"/>
      <c r="XP217" s="17"/>
      <c r="XQ217" s="17"/>
      <c r="XR217" s="17"/>
      <c r="XS217" s="17"/>
      <c r="XT217" s="17"/>
      <c r="XU217" s="17"/>
      <c r="XV217" s="17"/>
      <c r="XW217" s="17"/>
      <c r="XX217" s="17"/>
      <c r="XY217" s="17"/>
      <c r="XZ217" s="17"/>
      <c r="YA217" s="17"/>
      <c r="YB217" s="17"/>
      <c r="YC217" s="17"/>
      <c r="YD217" s="17"/>
      <c r="YE217" s="17"/>
      <c r="YF217" s="17"/>
      <c r="YG217" s="17"/>
      <c r="YH217" s="17"/>
      <c r="YI217" s="17"/>
      <c r="YJ217" s="17"/>
      <c r="YK217" s="17"/>
      <c r="YL217" s="17"/>
      <c r="YM217" s="17"/>
      <c r="YN217" s="17"/>
      <c r="YO217" s="17"/>
      <c r="YP217" s="17"/>
      <c r="YQ217" s="17"/>
      <c r="YR217" s="17"/>
      <c r="YS217" s="17"/>
    </row>
    <row r="218" spans="266:669" x14ac:dyDescent="0.25">
      <c r="JF218" s="17"/>
      <c r="JG218" s="17"/>
      <c r="JH218" s="17"/>
      <c r="JI218" s="17"/>
      <c r="JJ218" s="17"/>
      <c r="JK218" s="17"/>
      <c r="JL218" s="17"/>
      <c r="JM218" s="17"/>
      <c r="JN218" s="17"/>
      <c r="JO218" s="17"/>
      <c r="JP218" s="17"/>
      <c r="JQ218" s="17"/>
      <c r="JR218" s="17"/>
      <c r="JS218" s="17"/>
      <c r="JT218" s="17"/>
      <c r="JU218" s="17"/>
      <c r="JV218" s="17"/>
      <c r="JW218" s="17"/>
      <c r="JX218" s="17"/>
      <c r="JY218" s="17"/>
      <c r="JZ218" s="17"/>
      <c r="KA218" s="17"/>
      <c r="KB218" s="17"/>
      <c r="KC218" s="17"/>
      <c r="KD218" s="17"/>
      <c r="KE218" s="17"/>
      <c r="KF218" s="17"/>
      <c r="KG218" s="17"/>
      <c r="KH218" s="17"/>
      <c r="KI218" s="17"/>
      <c r="KJ218" s="17"/>
      <c r="KK218" s="17"/>
      <c r="KL218" s="17"/>
      <c r="KM218" s="17"/>
      <c r="KN218" s="17"/>
      <c r="KO218" s="17"/>
      <c r="KP218" s="17"/>
      <c r="KQ218" s="17"/>
      <c r="KR218" s="17"/>
      <c r="KS218" s="17"/>
      <c r="KT218" s="17"/>
      <c r="KU218" s="17"/>
      <c r="KV218" s="17"/>
      <c r="KW218" s="17"/>
      <c r="KX218" s="17"/>
      <c r="KY218" s="17"/>
      <c r="KZ218" s="17"/>
      <c r="LA218" s="17"/>
      <c r="LB218" s="17"/>
      <c r="LC218" s="17"/>
      <c r="LD218" s="17"/>
      <c r="LE218" s="17"/>
      <c r="LF218" s="17"/>
      <c r="LG218" s="17"/>
      <c r="LH218" s="17"/>
      <c r="LI218" s="17"/>
      <c r="LJ218" s="17"/>
      <c r="LK218" s="17"/>
      <c r="LL218" s="17"/>
      <c r="LM218" s="17"/>
      <c r="LN218" s="17"/>
      <c r="LO218" s="17"/>
      <c r="LP218" s="17"/>
      <c r="LQ218" s="17"/>
      <c r="LR218" s="17"/>
      <c r="LS218" s="17"/>
      <c r="LT218" s="17"/>
      <c r="LU218" s="17"/>
      <c r="LV218" s="17"/>
      <c r="LW218" s="17"/>
      <c r="LX218" s="17"/>
      <c r="LY218" s="17"/>
      <c r="LZ218" s="17"/>
      <c r="MA218" s="17"/>
      <c r="MB218" s="17"/>
      <c r="MC218" s="17"/>
      <c r="MD218" s="17"/>
      <c r="ME218" s="17"/>
      <c r="MF218" s="17"/>
      <c r="MG218" s="17"/>
      <c r="MH218" s="17"/>
      <c r="MI218" s="17"/>
      <c r="MJ218" s="17"/>
      <c r="MK218" s="17"/>
      <c r="ML218" s="17"/>
      <c r="MM218" s="17"/>
      <c r="MN218" s="17"/>
      <c r="MO218" s="17"/>
      <c r="MP218" s="17"/>
      <c r="MQ218" s="17"/>
      <c r="MR218" s="17"/>
      <c r="MS218" s="17"/>
      <c r="MT218" s="17"/>
      <c r="MU218" s="17"/>
      <c r="MV218" s="17"/>
      <c r="MW218" s="17"/>
      <c r="MX218" s="17"/>
      <c r="MY218" s="17"/>
      <c r="MZ218" s="17"/>
      <c r="NA218" s="17"/>
      <c r="NB218" s="17"/>
      <c r="NC218" s="17"/>
      <c r="ND218" s="17"/>
      <c r="NE218" s="17"/>
      <c r="NF218" s="17"/>
      <c r="NG218" s="17"/>
      <c r="NH218" s="17"/>
      <c r="NI218" s="17"/>
      <c r="NJ218" s="17"/>
      <c r="NK218" s="17"/>
      <c r="NL218" s="17"/>
      <c r="NM218" s="17"/>
      <c r="NN218" s="17"/>
      <c r="NO218" s="17"/>
      <c r="NP218" s="17"/>
      <c r="NQ218" s="17"/>
      <c r="NR218" s="17"/>
      <c r="NS218" s="17"/>
      <c r="NT218" s="17"/>
      <c r="NU218" s="17"/>
      <c r="NV218" s="17"/>
      <c r="NW218" s="17"/>
      <c r="NX218" s="17"/>
      <c r="NY218" s="17"/>
      <c r="NZ218" s="17"/>
      <c r="OA218" s="17"/>
      <c r="OB218" s="17"/>
      <c r="OC218" s="17"/>
      <c r="OD218" s="17"/>
      <c r="OE218" s="17"/>
      <c r="OF218" s="17"/>
      <c r="OG218" s="17"/>
      <c r="OH218" s="17"/>
      <c r="OI218" s="17"/>
      <c r="OJ218" s="17"/>
      <c r="OK218" s="17"/>
      <c r="OL218" s="17"/>
      <c r="OM218" s="17"/>
      <c r="ON218" s="17"/>
      <c r="OO218" s="17"/>
      <c r="OP218" s="17"/>
      <c r="OQ218" s="17"/>
      <c r="OR218" s="17"/>
      <c r="OS218" s="17"/>
      <c r="OT218" s="17"/>
      <c r="OU218" s="17"/>
      <c r="OV218" s="17"/>
      <c r="OW218" s="17"/>
      <c r="OX218" s="17"/>
      <c r="OY218" s="17"/>
      <c r="OZ218" s="17"/>
      <c r="PA218" s="17"/>
      <c r="PB218" s="17"/>
      <c r="PC218" s="17"/>
      <c r="PD218" s="17"/>
      <c r="PE218" s="17"/>
      <c r="PF218" s="17"/>
      <c r="PG218" s="17"/>
      <c r="PH218" s="17"/>
      <c r="PI218" s="17"/>
      <c r="PJ218" s="17"/>
      <c r="PK218" s="17"/>
      <c r="PL218" s="17"/>
      <c r="PM218" s="17"/>
      <c r="PN218" s="17"/>
      <c r="PO218" s="17"/>
      <c r="PP218" s="17"/>
      <c r="PQ218" s="17"/>
      <c r="PR218" s="17"/>
      <c r="PS218" s="17"/>
      <c r="PT218" s="17"/>
      <c r="PU218" s="17"/>
      <c r="PV218" s="17"/>
      <c r="PW218" s="17"/>
      <c r="PX218" s="17"/>
      <c r="PY218" s="17"/>
      <c r="PZ218" s="17"/>
      <c r="QA218" s="17"/>
      <c r="QB218" s="17"/>
      <c r="QC218" s="17"/>
      <c r="QD218" s="17"/>
      <c r="QE218" s="17"/>
      <c r="QF218" s="17"/>
      <c r="QG218" s="17"/>
      <c r="QH218" s="17"/>
      <c r="QI218" s="17"/>
      <c r="QJ218" s="17"/>
      <c r="QK218" s="17"/>
      <c r="QL218" s="17"/>
      <c r="QM218" s="17"/>
      <c r="QN218" s="17"/>
      <c r="QO218" s="17"/>
      <c r="QP218" s="17"/>
      <c r="QQ218" s="17"/>
      <c r="QR218" s="17"/>
      <c r="QS218" s="17"/>
      <c r="QT218" s="17"/>
      <c r="QU218" s="17"/>
      <c r="QV218" s="17"/>
      <c r="QW218" s="17"/>
      <c r="QX218" s="17"/>
      <c r="QY218" s="17"/>
      <c r="QZ218" s="17"/>
      <c r="RA218" s="17"/>
      <c r="RB218" s="17"/>
      <c r="RC218" s="17"/>
      <c r="RD218" s="17"/>
      <c r="RE218" s="17"/>
      <c r="RF218" s="17"/>
      <c r="RG218" s="17"/>
      <c r="RH218" s="17"/>
      <c r="RI218" s="17"/>
      <c r="RJ218" s="17"/>
      <c r="RK218" s="17"/>
      <c r="RL218" s="17"/>
      <c r="RM218" s="17"/>
      <c r="RN218" s="17"/>
      <c r="RO218" s="17"/>
      <c r="RP218" s="17"/>
      <c r="RQ218" s="17"/>
      <c r="RR218" s="17"/>
      <c r="RS218" s="17"/>
      <c r="RT218" s="17"/>
      <c r="RU218" s="17"/>
      <c r="RV218" s="17"/>
      <c r="RW218" s="17"/>
      <c r="RX218" s="17"/>
      <c r="RY218" s="17"/>
      <c r="RZ218" s="17"/>
      <c r="SA218" s="17"/>
      <c r="SB218" s="17"/>
      <c r="SC218" s="17"/>
      <c r="SD218" s="17"/>
      <c r="SE218" s="17"/>
      <c r="SF218" s="17"/>
      <c r="SG218" s="17"/>
      <c r="SH218" s="17"/>
      <c r="SI218" s="17"/>
      <c r="SJ218" s="17"/>
      <c r="SK218" s="17"/>
      <c r="SL218" s="17"/>
      <c r="SM218" s="17"/>
      <c r="SN218" s="17"/>
      <c r="SO218" s="17"/>
      <c r="SP218" s="17"/>
      <c r="SQ218" s="17"/>
      <c r="SR218" s="17"/>
      <c r="SS218" s="17"/>
      <c r="ST218" s="17"/>
      <c r="SU218" s="17"/>
      <c r="SV218" s="17"/>
      <c r="SW218" s="17"/>
      <c r="SX218" s="17"/>
      <c r="SY218" s="17"/>
      <c r="SZ218" s="17"/>
      <c r="TA218" s="17"/>
      <c r="TB218" s="17"/>
      <c r="TC218" s="17"/>
      <c r="TD218" s="17"/>
      <c r="TE218" s="17"/>
      <c r="TF218" s="17"/>
      <c r="TG218" s="17"/>
      <c r="TH218" s="17"/>
      <c r="TI218" s="17"/>
      <c r="TJ218" s="17"/>
      <c r="TK218" s="17"/>
      <c r="TL218" s="17"/>
      <c r="TM218" s="17"/>
      <c r="TN218" s="17"/>
      <c r="TO218" s="17"/>
      <c r="TP218" s="17"/>
      <c r="TQ218" s="17"/>
      <c r="TR218" s="17"/>
      <c r="TS218" s="17"/>
      <c r="TT218" s="17"/>
      <c r="TU218" s="17"/>
      <c r="TV218" s="17"/>
      <c r="TW218" s="17"/>
      <c r="TX218" s="17"/>
      <c r="TY218" s="17"/>
      <c r="TZ218" s="17"/>
      <c r="UA218" s="17"/>
      <c r="UB218" s="17"/>
      <c r="UC218" s="17"/>
      <c r="UD218" s="17"/>
      <c r="UE218" s="17"/>
      <c r="UF218" s="17"/>
      <c r="UG218" s="17"/>
      <c r="UH218" s="17"/>
      <c r="UI218" s="17"/>
      <c r="UJ218" s="17"/>
      <c r="UK218" s="17"/>
      <c r="UL218" s="17"/>
      <c r="UM218" s="17"/>
      <c r="UN218" s="17"/>
      <c r="UO218" s="17"/>
      <c r="UP218" s="17"/>
      <c r="UQ218" s="17"/>
      <c r="UR218" s="17"/>
      <c r="US218" s="17"/>
      <c r="UT218" s="17"/>
      <c r="UU218" s="17"/>
      <c r="UV218" s="17"/>
      <c r="UW218" s="17"/>
      <c r="UX218" s="17"/>
      <c r="UY218" s="17"/>
      <c r="UZ218" s="17"/>
      <c r="VA218" s="17"/>
      <c r="VB218" s="17"/>
      <c r="VC218" s="17"/>
      <c r="VD218" s="17"/>
      <c r="VE218" s="17"/>
      <c r="VF218" s="17"/>
      <c r="VG218" s="17"/>
      <c r="VH218" s="17"/>
      <c r="VI218" s="17"/>
      <c r="VJ218" s="17"/>
      <c r="VK218" s="17"/>
      <c r="VL218" s="17"/>
      <c r="VM218" s="17"/>
      <c r="VN218" s="17"/>
      <c r="VO218" s="17"/>
      <c r="VP218" s="17"/>
      <c r="VQ218" s="17"/>
      <c r="VR218" s="17"/>
      <c r="VS218" s="17"/>
      <c r="VT218" s="17"/>
      <c r="VU218" s="17"/>
      <c r="VV218" s="17"/>
      <c r="VW218" s="17"/>
      <c r="VX218" s="17"/>
      <c r="VY218" s="17"/>
      <c r="VZ218" s="17"/>
      <c r="WA218" s="17"/>
      <c r="WB218" s="17"/>
      <c r="WC218" s="17"/>
      <c r="WD218" s="17"/>
      <c r="WE218" s="17"/>
      <c r="WF218" s="17"/>
      <c r="WG218" s="17"/>
      <c r="WH218" s="17"/>
      <c r="WI218" s="17"/>
      <c r="WJ218" s="17"/>
      <c r="WK218" s="17"/>
      <c r="WL218" s="17"/>
      <c r="WM218" s="17"/>
      <c r="WN218" s="17"/>
      <c r="WO218" s="17"/>
      <c r="WP218" s="17"/>
      <c r="WQ218" s="17"/>
      <c r="WR218" s="17"/>
      <c r="WS218" s="17"/>
      <c r="WT218" s="17"/>
      <c r="WU218" s="17"/>
      <c r="WV218" s="17"/>
      <c r="WW218" s="17"/>
      <c r="WX218" s="17"/>
      <c r="WY218" s="17"/>
      <c r="WZ218" s="17"/>
      <c r="XA218" s="17"/>
      <c r="XB218" s="17"/>
      <c r="XC218" s="17"/>
      <c r="XD218" s="17"/>
      <c r="XE218" s="17"/>
      <c r="XF218" s="17"/>
      <c r="XG218" s="17"/>
      <c r="XH218" s="17"/>
      <c r="XI218" s="17"/>
      <c r="XJ218" s="17"/>
      <c r="XK218" s="17"/>
      <c r="XL218" s="17"/>
      <c r="XM218" s="17"/>
      <c r="XN218" s="17"/>
      <c r="XO218" s="17"/>
      <c r="XP218" s="17"/>
      <c r="XQ218" s="17"/>
      <c r="XR218" s="17"/>
      <c r="XS218" s="17"/>
      <c r="XT218" s="17"/>
      <c r="XU218" s="17"/>
      <c r="XV218" s="17"/>
      <c r="XW218" s="17"/>
      <c r="XX218" s="17"/>
      <c r="XY218" s="17"/>
      <c r="XZ218" s="17"/>
      <c r="YA218" s="17"/>
      <c r="YB218" s="17"/>
      <c r="YC218" s="17"/>
      <c r="YD218" s="17"/>
      <c r="YE218" s="17"/>
      <c r="YF218" s="17"/>
      <c r="YG218" s="17"/>
      <c r="YH218" s="17"/>
      <c r="YI218" s="17"/>
      <c r="YJ218" s="17"/>
      <c r="YK218" s="17"/>
      <c r="YL218" s="17"/>
      <c r="YM218" s="17"/>
      <c r="YN218" s="17"/>
      <c r="YO218" s="17"/>
      <c r="YP218" s="17"/>
      <c r="YQ218" s="17"/>
      <c r="YR218" s="17"/>
      <c r="YS218" s="17"/>
    </row>
    <row r="219" spans="266:669" x14ac:dyDescent="0.25">
      <c r="JF219" s="17"/>
      <c r="JG219" s="17"/>
      <c r="JH219" s="17"/>
      <c r="JI219" s="17"/>
      <c r="JJ219" s="17"/>
      <c r="JK219" s="17"/>
      <c r="JL219" s="17"/>
      <c r="JM219" s="17"/>
      <c r="JN219" s="17"/>
      <c r="JO219" s="17"/>
      <c r="JP219" s="17"/>
      <c r="JQ219" s="17"/>
      <c r="JR219" s="17"/>
      <c r="JS219" s="17"/>
      <c r="JT219" s="17"/>
      <c r="JU219" s="17"/>
      <c r="JV219" s="17"/>
      <c r="JW219" s="17"/>
      <c r="JX219" s="17"/>
      <c r="JY219" s="17"/>
      <c r="JZ219" s="17"/>
      <c r="KA219" s="17"/>
      <c r="KB219" s="17"/>
      <c r="KC219" s="17"/>
      <c r="KD219" s="17"/>
      <c r="KE219" s="17"/>
      <c r="KF219" s="17"/>
      <c r="KG219" s="17"/>
      <c r="KH219" s="17"/>
      <c r="KI219" s="17"/>
      <c r="KJ219" s="17"/>
      <c r="KK219" s="17"/>
      <c r="KL219" s="17"/>
      <c r="KM219" s="17"/>
      <c r="KN219" s="17"/>
      <c r="KO219" s="17"/>
      <c r="KP219" s="17"/>
      <c r="KQ219" s="17"/>
      <c r="KR219" s="17"/>
      <c r="KS219" s="17"/>
      <c r="KT219" s="17"/>
      <c r="KU219" s="17"/>
      <c r="KV219" s="17"/>
      <c r="KW219" s="17"/>
      <c r="KX219" s="17"/>
      <c r="KY219" s="17"/>
      <c r="KZ219" s="17"/>
      <c r="LA219" s="17"/>
      <c r="LB219" s="17"/>
      <c r="LC219" s="17"/>
      <c r="LD219" s="17"/>
      <c r="LE219" s="17"/>
      <c r="LF219" s="17"/>
      <c r="LG219" s="17"/>
      <c r="LH219" s="17"/>
      <c r="LI219" s="17"/>
      <c r="LJ219" s="17"/>
      <c r="LK219" s="17"/>
      <c r="LL219" s="17"/>
      <c r="LM219" s="17"/>
      <c r="LN219" s="17"/>
      <c r="LO219" s="17"/>
      <c r="LP219" s="17"/>
      <c r="LQ219" s="17"/>
      <c r="LR219" s="17"/>
      <c r="LS219" s="17"/>
      <c r="LT219" s="17"/>
      <c r="LU219" s="17"/>
      <c r="LV219" s="17"/>
      <c r="LW219" s="17"/>
      <c r="LX219" s="17"/>
      <c r="LY219" s="17"/>
      <c r="LZ219" s="17"/>
      <c r="MA219" s="17"/>
      <c r="MB219" s="17"/>
      <c r="MC219" s="17"/>
      <c r="MD219" s="17"/>
      <c r="ME219" s="17"/>
      <c r="MF219" s="17"/>
      <c r="MG219" s="17"/>
      <c r="MH219" s="17"/>
      <c r="MI219" s="17"/>
      <c r="MJ219" s="17"/>
      <c r="MK219" s="17"/>
      <c r="ML219" s="17"/>
      <c r="MM219" s="17"/>
      <c r="MN219" s="17"/>
      <c r="MO219" s="17"/>
      <c r="MP219" s="17"/>
      <c r="MQ219" s="17"/>
      <c r="MR219" s="17"/>
      <c r="MS219" s="17"/>
      <c r="MT219" s="17"/>
      <c r="MU219" s="17"/>
      <c r="MV219" s="17"/>
      <c r="MW219" s="17"/>
      <c r="MX219" s="17"/>
      <c r="MY219" s="17"/>
      <c r="MZ219" s="17"/>
      <c r="NA219" s="17"/>
      <c r="NB219" s="17"/>
      <c r="NC219" s="17"/>
      <c r="ND219" s="17"/>
      <c r="NE219" s="17"/>
      <c r="NF219" s="17"/>
      <c r="NG219" s="17"/>
      <c r="NH219" s="17"/>
      <c r="NI219" s="17"/>
      <c r="NJ219" s="17"/>
      <c r="NK219" s="17"/>
      <c r="NL219" s="17"/>
      <c r="NM219" s="17"/>
      <c r="NN219" s="17"/>
      <c r="NO219" s="17"/>
      <c r="NP219" s="17"/>
      <c r="NQ219" s="17"/>
      <c r="NR219" s="17"/>
      <c r="NS219" s="17"/>
      <c r="NT219" s="17"/>
      <c r="NU219" s="17"/>
      <c r="NV219" s="17"/>
      <c r="NW219" s="17"/>
      <c r="NX219" s="17"/>
      <c r="NY219" s="17"/>
      <c r="NZ219" s="17"/>
      <c r="OA219" s="17"/>
      <c r="OB219" s="17"/>
      <c r="OC219" s="17"/>
      <c r="OD219" s="17"/>
      <c r="OE219" s="17"/>
      <c r="OF219" s="17"/>
      <c r="OG219" s="17"/>
      <c r="OH219" s="17"/>
      <c r="OI219" s="17"/>
      <c r="OJ219" s="17"/>
      <c r="OK219" s="17"/>
      <c r="OL219" s="17"/>
      <c r="OM219" s="17"/>
      <c r="ON219" s="17"/>
      <c r="OO219" s="17"/>
      <c r="OP219" s="17"/>
      <c r="OQ219" s="17"/>
      <c r="OR219" s="17"/>
      <c r="OS219" s="17"/>
      <c r="OT219" s="17"/>
      <c r="OU219" s="17"/>
      <c r="OV219" s="17"/>
      <c r="OW219" s="17"/>
      <c r="OX219" s="17"/>
      <c r="OY219" s="17"/>
      <c r="OZ219" s="17"/>
      <c r="PA219" s="17"/>
      <c r="PB219" s="17"/>
      <c r="PC219" s="17"/>
      <c r="PD219" s="17"/>
      <c r="PE219" s="17"/>
      <c r="PF219" s="17"/>
      <c r="PG219" s="17"/>
      <c r="PH219" s="17"/>
      <c r="PI219" s="17"/>
      <c r="PJ219" s="17"/>
      <c r="PK219" s="17"/>
      <c r="PL219" s="17"/>
      <c r="PM219" s="17"/>
      <c r="PN219" s="17"/>
      <c r="PO219" s="17"/>
      <c r="PP219" s="17"/>
      <c r="PQ219" s="17"/>
      <c r="PR219" s="17"/>
      <c r="PS219" s="17"/>
      <c r="PT219" s="17"/>
      <c r="PU219" s="17"/>
      <c r="PV219" s="17"/>
      <c r="PW219" s="17"/>
      <c r="PX219" s="17"/>
      <c r="PY219" s="17"/>
      <c r="PZ219" s="17"/>
      <c r="QA219" s="17"/>
      <c r="QB219" s="17"/>
      <c r="QC219" s="17"/>
      <c r="QD219" s="17"/>
      <c r="QE219" s="17"/>
      <c r="QF219" s="17"/>
      <c r="QG219" s="17"/>
      <c r="QH219" s="17"/>
      <c r="QI219" s="17"/>
      <c r="QJ219" s="17"/>
      <c r="QK219" s="17"/>
      <c r="QL219" s="17"/>
      <c r="QM219" s="17"/>
      <c r="QN219" s="17"/>
      <c r="QO219" s="17"/>
      <c r="QP219" s="17"/>
      <c r="QQ219" s="17"/>
      <c r="QR219" s="17"/>
      <c r="QS219" s="17"/>
      <c r="QT219" s="17"/>
      <c r="QU219" s="17"/>
      <c r="QV219" s="17"/>
      <c r="QW219" s="17"/>
      <c r="QX219" s="17"/>
      <c r="QY219" s="17"/>
      <c r="QZ219" s="17"/>
      <c r="RA219" s="17"/>
      <c r="RB219" s="17"/>
      <c r="RC219" s="17"/>
      <c r="RD219" s="17"/>
      <c r="RE219" s="17"/>
      <c r="RF219" s="17"/>
      <c r="RG219" s="17"/>
      <c r="RH219" s="17"/>
      <c r="RI219" s="17"/>
      <c r="RJ219" s="17"/>
      <c r="RK219" s="17"/>
      <c r="RL219" s="17"/>
      <c r="RM219" s="17"/>
      <c r="RN219" s="17"/>
      <c r="RO219" s="17"/>
      <c r="RP219" s="17"/>
      <c r="RQ219" s="17"/>
      <c r="RR219" s="17"/>
      <c r="RS219" s="17"/>
      <c r="RT219" s="17"/>
      <c r="RU219" s="17"/>
      <c r="RV219" s="17"/>
      <c r="RW219" s="17"/>
      <c r="RX219" s="17"/>
      <c r="RY219" s="17"/>
      <c r="RZ219" s="17"/>
      <c r="SA219" s="17"/>
      <c r="SB219" s="17"/>
      <c r="SC219" s="17"/>
      <c r="SD219" s="17"/>
      <c r="SE219" s="17"/>
      <c r="SF219" s="17"/>
      <c r="SG219" s="17"/>
      <c r="SH219" s="17"/>
      <c r="SI219" s="17"/>
      <c r="SJ219" s="17"/>
      <c r="SK219" s="17"/>
      <c r="SL219" s="17"/>
      <c r="SM219" s="17"/>
      <c r="SN219" s="17"/>
      <c r="SO219" s="17"/>
      <c r="SP219" s="17"/>
      <c r="SQ219" s="17"/>
      <c r="SR219" s="17"/>
      <c r="SS219" s="17"/>
      <c r="ST219" s="17"/>
      <c r="SU219" s="17"/>
      <c r="SV219" s="17"/>
      <c r="SW219" s="17"/>
      <c r="SX219" s="17"/>
      <c r="SY219" s="17"/>
      <c r="SZ219" s="17"/>
      <c r="TA219" s="17"/>
      <c r="TB219" s="17"/>
      <c r="TC219" s="17"/>
      <c r="TD219" s="17"/>
      <c r="TE219" s="17"/>
      <c r="TF219" s="17"/>
      <c r="TG219" s="17"/>
      <c r="TH219" s="17"/>
      <c r="TI219" s="17"/>
      <c r="TJ219" s="17"/>
      <c r="TK219" s="17"/>
      <c r="TL219" s="17"/>
      <c r="TM219" s="17"/>
      <c r="TN219" s="17"/>
      <c r="TO219" s="17"/>
      <c r="TP219" s="17"/>
      <c r="TQ219" s="17"/>
      <c r="TR219" s="17"/>
      <c r="TS219" s="17"/>
      <c r="TT219" s="17"/>
      <c r="TU219" s="17"/>
      <c r="TV219" s="17"/>
      <c r="TW219" s="17"/>
      <c r="TX219" s="17"/>
      <c r="TY219" s="17"/>
      <c r="TZ219" s="17"/>
      <c r="UA219" s="17"/>
      <c r="UB219" s="17"/>
      <c r="UC219" s="17"/>
      <c r="UD219" s="17"/>
      <c r="UE219" s="17"/>
      <c r="UF219" s="17"/>
      <c r="UG219" s="17"/>
      <c r="UH219" s="17"/>
      <c r="UI219" s="17"/>
      <c r="UJ219" s="17"/>
      <c r="UK219" s="17"/>
      <c r="UL219" s="17"/>
      <c r="UM219" s="17"/>
      <c r="UN219" s="17"/>
      <c r="UO219" s="17"/>
      <c r="UP219" s="17"/>
      <c r="UQ219" s="17"/>
      <c r="UR219" s="17"/>
      <c r="US219" s="17"/>
      <c r="UT219" s="17"/>
      <c r="UU219" s="17"/>
      <c r="UV219" s="17"/>
      <c r="UW219" s="17"/>
      <c r="UX219" s="17"/>
      <c r="UY219" s="17"/>
      <c r="UZ219" s="17"/>
      <c r="VA219" s="17"/>
      <c r="VB219" s="17"/>
      <c r="VC219" s="17"/>
      <c r="VD219" s="17"/>
      <c r="VE219" s="17"/>
      <c r="VF219" s="17"/>
      <c r="VG219" s="17"/>
      <c r="VH219" s="17"/>
      <c r="VI219" s="17"/>
      <c r="VJ219" s="17"/>
      <c r="VK219" s="17"/>
      <c r="VL219" s="17"/>
      <c r="VM219" s="17"/>
      <c r="VN219" s="17"/>
      <c r="VO219" s="17"/>
      <c r="VP219" s="17"/>
      <c r="VQ219" s="17"/>
      <c r="VR219" s="17"/>
      <c r="VS219" s="17"/>
      <c r="VT219" s="17"/>
      <c r="VU219" s="17"/>
      <c r="VV219" s="17"/>
      <c r="VW219" s="17"/>
      <c r="VX219" s="17"/>
      <c r="VY219" s="17"/>
      <c r="VZ219" s="17"/>
      <c r="WA219" s="17"/>
      <c r="WB219" s="17"/>
      <c r="WC219" s="17"/>
      <c r="WD219" s="17"/>
      <c r="WE219" s="17"/>
      <c r="WF219" s="17"/>
      <c r="WG219" s="17"/>
      <c r="WH219" s="17"/>
      <c r="WI219" s="17"/>
      <c r="WJ219" s="17"/>
      <c r="WK219" s="17"/>
      <c r="WL219" s="17"/>
      <c r="WM219" s="17"/>
      <c r="WN219" s="17"/>
      <c r="WO219" s="17"/>
      <c r="WP219" s="17"/>
      <c r="WQ219" s="17"/>
      <c r="WR219" s="17"/>
      <c r="WS219" s="17"/>
      <c r="WT219" s="17"/>
      <c r="WU219" s="17"/>
      <c r="WV219" s="17"/>
      <c r="WW219" s="17"/>
      <c r="WX219" s="17"/>
      <c r="WY219" s="17"/>
      <c r="WZ219" s="17"/>
      <c r="XA219" s="17"/>
      <c r="XB219" s="17"/>
      <c r="XC219" s="17"/>
      <c r="XD219" s="17"/>
      <c r="XE219" s="17"/>
      <c r="XF219" s="17"/>
      <c r="XG219" s="17"/>
      <c r="XH219" s="17"/>
      <c r="XI219" s="17"/>
      <c r="XJ219" s="17"/>
      <c r="XK219" s="17"/>
      <c r="XL219" s="17"/>
      <c r="XM219" s="17"/>
      <c r="XN219" s="17"/>
      <c r="XO219" s="17"/>
      <c r="XP219" s="17"/>
      <c r="XQ219" s="17"/>
      <c r="XR219" s="17"/>
      <c r="XS219" s="17"/>
      <c r="XT219" s="17"/>
      <c r="XU219" s="17"/>
      <c r="XV219" s="17"/>
      <c r="XW219" s="17"/>
      <c r="XX219" s="17"/>
      <c r="XY219" s="17"/>
      <c r="XZ219" s="17"/>
      <c r="YA219" s="17"/>
      <c r="YB219" s="17"/>
      <c r="YC219" s="17"/>
      <c r="YD219" s="17"/>
      <c r="YE219" s="17"/>
      <c r="YF219" s="17"/>
      <c r="YG219" s="17"/>
      <c r="YH219" s="17"/>
      <c r="YI219" s="17"/>
      <c r="YJ219" s="17"/>
      <c r="YK219" s="17"/>
      <c r="YL219" s="17"/>
      <c r="YM219" s="17"/>
      <c r="YN219" s="17"/>
      <c r="YO219" s="17"/>
      <c r="YP219" s="17"/>
      <c r="YQ219" s="17"/>
      <c r="YR219" s="17"/>
      <c r="YS219" s="17"/>
    </row>
    <row r="220" spans="266:669" x14ac:dyDescent="0.25">
      <c r="JF220" s="17"/>
      <c r="JG220" s="17"/>
      <c r="JH220" s="17"/>
      <c r="JI220" s="17"/>
      <c r="JJ220" s="17"/>
      <c r="JK220" s="17"/>
      <c r="JL220" s="17"/>
      <c r="JM220" s="17"/>
      <c r="JN220" s="17"/>
      <c r="JO220" s="17"/>
      <c r="JP220" s="17"/>
      <c r="JQ220" s="17"/>
      <c r="JR220" s="17"/>
      <c r="JS220" s="17"/>
      <c r="JT220" s="17"/>
      <c r="JU220" s="17"/>
      <c r="JV220" s="17"/>
      <c r="JW220" s="17"/>
      <c r="JX220" s="17"/>
      <c r="JY220" s="17"/>
      <c r="JZ220" s="17"/>
      <c r="KA220" s="17"/>
      <c r="KB220" s="17"/>
      <c r="KC220" s="17"/>
      <c r="KD220" s="17"/>
      <c r="KE220" s="17"/>
      <c r="KF220" s="17"/>
      <c r="KG220" s="17"/>
      <c r="KH220" s="17"/>
      <c r="KI220" s="17"/>
      <c r="KJ220" s="17"/>
      <c r="KK220" s="17"/>
      <c r="KL220" s="17"/>
      <c r="KM220" s="17"/>
      <c r="KN220" s="17"/>
      <c r="KO220" s="17"/>
      <c r="KP220" s="17"/>
      <c r="KQ220" s="17"/>
      <c r="KR220" s="17"/>
      <c r="KS220" s="17"/>
      <c r="KT220" s="17"/>
      <c r="KU220" s="17"/>
      <c r="KV220" s="17"/>
      <c r="KW220" s="17"/>
      <c r="KX220" s="17"/>
      <c r="KY220" s="17"/>
      <c r="KZ220" s="17"/>
      <c r="LA220" s="17"/>
      <c r="LB220" s="17"/>
      <c r="LC220" s="17"/>
      <c r="LD220" s="17"/>
      <c r="LE220" s="17"/>
      <c r="LF220" s="17"/>
      <c r="LG220" s="17"/>
      <c r="LH220" s="17"/>
      <c r="LI220" s="17"/>
      <c r="LJ220" s="17"/>
      <c r="LK220" s="17"/>
      <c r="LL220" s="17"/>
      <c r="LM220" s="17"/>
      <c r="LN220" s="17"/>
      <c r="LO220" s="17"/>
      <c r="LP220" s="17"/>
      <c r="LQ220" s="17"/>
      <c r="LR220" s="17"/>
      <c r="LS220" s="17"/>
      <c r="LT220" s="17"/>
      <c r="LU220" s="17"/>
      <c r="LV220" s="17"/>
      <c r="LW220" s="17"/>
      <c r="LX220" s="17"/>
      <c r="LY220" s="17"/>
      <c r="LZ220" s="17"/>
      <c r="MA220" s="17"/>
      <c r="MB220" s="17"/>
      <c r="MC220" s="17"/>
      <c r="MD220" s="17"/>
      <c r="ME220" s="17"/>
      <c r="MF220" s="17"/>
      <c r="MG220" s="17"/>
      <c r="MH220" s="17"/>
      <c r="MI220" s="17"/>
      <c r="MJ220" s="17"/>
      <c r="MK220" s="17"/>
      <c r="ML220" s="17"/>
      <c r="MM220" s="17"/>
      <c r="MN220" s="17"/>
      <c r="MO220" s="17"/>
      <c r="MP220" s="17"/>
      <c r="MQ220" s="17"/>
      <c r="MR220" s="17"/>
      <c r="MS220" s="17"/>
      <c r="MT220" s="17"/>
      <c r="MU220" s="17"/>
      <c r="MV220" s="17"/>
      <c r="MW220" s="17"/>
      <c r="MX220" s="17"/>
      <c r="MY220" s="17"/>
      <c r="MZ220" s="17"/>
      <c r="NA220" s="17"/>
      <c r="NB220" s="17"/>
      <c r="NC220" s="17"/>
      <c r="ND220" s="17"/>
      <c r="NE220" s="17"/>
      <c r="NF220" s="17"/>
      <c r="NG220" s="17"/>
      <c r="NH220" s="17"/>
      <c r="NI220" s="17"/>
      <c r="NJ220" s="17"/>
      <c r="NK220" s="17"/>
      <c r="NL220" s="17"/>
      <c r="NM220" s="17"/>
      <c r="NN220" s="17"/>
      <c r="NO220" s="17"/>
      <c r="NP220" s="17"/>
      <c r="NQ220" s="17"/>
      <c r="NR220" s="17"/>
      <c r="NS220" s="17"/>
      <c r="NT220" s="17"/>
      <c r="NU220" s="17"/>
      <c r="NV220" s="17"/>
      <c r="NW220" s="17"/>
      <c r="NX220" s="17"/>
      <c r="NY220" s="17"/>
      <c r="NZ220" s="17"/>
      <c r="OA220" s="17"/>
      <c r="OB220" s="17"/>
      <c r="OC220" s="17"/>
      <c r="OD220" s="17"/>
      <c r="OE220" s="17"/>
      <c r="OF220" s="17"/>
      <c r="OG220" s="17"/>
      <c r="OH220" s="17"/>
      <c r="OI220" s="17"/>
      <c r="OJ220" s="17"/>
      <c r="OK220" s="17"/>
      <c r="OL220" s="17"/>
      <c r="OM220" s="17"/>
      <c r="ON220" s="17"/>
      <c r="OO220" s="17"/>
      <c r="OP220" s="17"/>
      <c r="OQ220" s="17"/>
      <c r="OR220" s="17"/>
      <c r="OS220" s="17"/>
      <c r="OT220" s="17"/>
      <c r="OU220" s="17"/>
      <c r="OV220" s="17"/>
      <c r="OW220" s="17"/>
      <c r="OX220" s="17"/>
      <c r="OY220" s="17"/>
      <c r="OZ220" s="17"/>
      <c r="PA220" s="17"/>
      <c r="PB220" s="17"/>
      <c r="PC220" s="17"/>
      <c r="PD220" s="17"/>
      <c r="PE220" s="17"/>
      <c r="PF220" s="17"/>
      <c r="PG220" s="17"/>
      <c r="PH220" s="17"/>
      <c r="PI220" s="17"/>
      <c r="PJ220" s="17"/>
      <c r="PK220" s="17"/>
      <c r="PL220" s="17"/>
      <c r="PM220" s="17"/>
      <c r="PN220" s="17"/>
      <c r="PO220" s="17"/>
      <c r="PP220" s="17"/>
      <c r="PQ220" s="17"/>
      <c r="PR220" s="17"/>
      <c r="PS220" s="17"/>
      <c r="PT220" s="17"/>
      <c r="PU220" s="17"/>
      <c r="PV220" s="17"/>
      <c r="PW220" s="17"/>
      <c r="PX220" s="17"/>
      <c r="PY220" s="17"/>
      <c r="PZ220" s="17"/>
      <c r="QA220" s="17"/>
      <c r="QB220" s="17"/>
      <c r="QC220" s="17"/>
      <c r="QD220" s="17"/>
      <c r="QE220" s="17"/>
      <c r="QF220" s="17"/>
      <c r="QG220" s="17"/>
      <c r="QH220" s="17"/>
      <c r="QI220" s="17"/>
      <c r="QJ220" s="17"/>
      <c r="QK220" s="17"/>
      <c r="QL220" s="17"/>
      <c r="QM220" s="17"/>
      <c r="QN220" s="17"/>
      <c r="QO220" s="17"/>
      <c r="QP220" s="17"/>
      <c r="QQ220" s="17"/>
      <c r="QR220" s="17"/>
      <c r="QS220" s="17"/>
      <c r="QT220" s="17"/>
      <c r="QU220" s="17"/>
      <c r="QV220" s="17"/>
      <c r="QW220" s="17"/>
      <c r="QX220" s="17"/>
      <c r="QY220" s="17"/>
      <c r="QZ220" s="17"/>
      <c r="RA220" s="17"/>
      <c r="RB220" s="17"/>
      <c r="RC220" s="17"/>
      <c r="RD220" s="17"/>
      <c r="RE220" s="17"/>
      <c r="RF220" s="17"/>
      <c r="RG220" s="17"/>
      <c r="RH220" s="17"/>
      <c r="RI220" s="17"/>
      <c r="RJ220" s="17"/>
      <c r="RK220" s="17"/>
      <c r="RL220" s="17"/>
      <c r="RM220" s="17"/>
      <c r="RN220" s="17"/>
      <c r="RO220" s="17"/>
      <c r="RP220" s="17"/>
      <c r="RQ220" s="17"/>
      <c r="RR220" s="17"/>
      <c r="RS220" s="17"/>
      <c r="RT220" s="17"/>
      <c r="RU220" s="17"/>
      <c r="RV220" s="17"/>
      <c r="RW220" s="17"/>
      <c r="RX220" s="17"/>
      <c r="RY220" s="17"/>
      <c r="RZ220" s="17"/>
      <c r="SA220" s="17"/>
      <c r="SB220" s="17"/>
      <c r="SC220" s="17"/>
      <c r="SD220" s="17"/>
      <c r="SE220" s="17"/>
      <c r="SF220" s="17"/>
      <c r="SG220" s="17"/>
      <c r="SH220" s="17"/>
      <c r="SI220" s="17"/>
      <c r="SJ220" s="17"/>
      <c r="SK220" s="17"/>
      <c r="SL220" s="17"/>
      <c r="SM220" s="17"/>
      <c r="SN220" s="17"/>
      <c r="SO220" s="17"/>
      <c r="SP220" s="17"/>
      <c r="SQ220" s="17"/>
      <c r="SR220" s="17"/>
      <c r="SS220" s="17"/>
      <c r="ST220" s="17"/>
      <c r="SU220" s="17"/>
      <c r="SV220" s="17"/>
      <c r="SW220" s="17"/>
      <c r="SX220" s="17"/>
      <c r="SY220" s="17"/>
      <c r="SZ220" s="17"/>
      <c r="TA220" s="17"/>
      <c r="TB220" s="17"/>
      <c r="TC220" s="17"/>
      <c r="TD220" s="17"/>
      <c r="TE220" s="17"/>
      <c r="TF220" s="17"/>
      <c r="TG220" s="17"/>
      <c r="TH220" s="17"/>
      <c r="TI220" s="17"/>
      <c r="TJ220" s="17"/>
      <c r="TK220" s="17"/>
      <c r="TL220" s="17"/>
      <c r="TM220" s="17"/>
      <c r="TN220" s="17"/>
      <c r="TO220" s="17"/>
      <c r="TP220" s="17"/>
      <c r="TQ220" s="17"/>
      <c r="TR220" s="17"/>
      <c r="TS220" s="17"/>
      <c r="TT220" s="17"/>
      <c r="TU220" s="17"/>
      <c r="TV220" s="17"/>
      <c r="TW220" s="17"/>
      <c r="TX220" s="17"/>
      <c r="TY220" s="17"/>
      <c r="TZ220" s="17"/>
      <c r="UA220" s="17"/>
      <c r="UB220" s="17"/>
      <c r="UC220" s="17"/>
      <c r="UD220" s="17"/>
      <c r="UE220" s="17"/>
      <c r="UF220" s="17"/>
      <c r="UG220" s="17"/>
      <c r="UH220" s="17"/>
      <c r="UI220" s="17"/>
      <c r="UJ220" s="17"/>
      <c r="UK220" s="17"/>
      <c r="UL220" s="17"/>
      <c r="UM220" s="17"/>
      <c r="UN220" s="17"/>
      <c r="UO220" s="17"/>
      <c r="UP220" s="17"/>
      <c r="UQ220" s="17"/>
      <c r="UR220" s="17"/>
      <c r="US220" s="17"/>
      <c r="UT220" s="17"/>
      <c r="UU220" s="17"/>
      <c r="UV220" s="17"/>
      <c r="UW220" s="17"/>
      <c r="UX220" s="17"/>
      <c r="UY220" s="17"/>
      <c r="UZ220" s="17"/>
      <c r="VA220" s="17"/>
      <c r="VB220" s="17"/>
      <c r="VC220" s="17"/>
      <c r="VD220" s="17"/>
      <c r="VE220" s="17"/>
      <c r="VF220" s="17"/>
      <c r="VG220" s="17"/>
      <c r="VH220" s="17"/>
      <c r="VI220" s="17"/>
      <c r="VJ220" s="17"/>
      <c r="VK220" s="17"/>
      <c r="VL220" s="17"/>
      <c r="VM220" s="17"/>
      <c r="VN220" s="17"/>
      <c r="VO220" s="17"/>
      <c r="VP220" s="17"/>
      <c r="VQ220" s="17"/>
      <c r="VR220" s="17"/>
      <c r="VS220" s="17"/>
      <c r="VT220" s="17"/>
      <c r="VU220" s="17"/>
      <c r="VV220" s="17"/>
      <c r="VW220" s="17"/>
      <c r="VX220" s="17"/>
      <c r="VY220" s="17"/>
      <c r="VZ220" s="17"/>
      <c r="WA220" s="17"/>
      <c r="WB220" s="17"/>
      <c r="WC220" s="17"/>
      <c r="WD220" s="17"/>
      <c r="WE220" s="17"/>
      <c r="WF220" s="17"/>
      <c r="WG220" s="17"/>
      <c r="WH220" s="17"/>
      <c r="WI220" s="17"/>
      <c r="WJ220" s="17"/>
      <c r="WK220" s="17"/>
      <c r="WL220" s="17"/>
      <c r="WM220" s="17"/>
      <c r="WN220" s="17"/>
      <c r="WO220" s="17"/>
      <c r="WP220" s="17"/>
      <c r="WQ220" s="17"/>
      <c r="WR220" s="17"/>
      <c r="WS220" s="17"/>
      <c r="WT220" s="17"/>
      <c r="WU220" s="17"/>
      <c r="WV220" s="17"/>
      <c r="WW220" s="17"/>
      <c r="WX220" s="17"/>
      <c r="WY220" s="17"/>
      <c r="WZ220" s="17"/>
      <c r="XA220" s="17"/>
      <c r="XB220" s="17"/>
      <c r="XC220" s="17"/>
      <c r="XD220" s="17"/>
      <c r="XE220" s="17"/>
      <c r="XF220" s="17"/>
      <c r="XG220" s="17"/>
      <c r="XH220" s="17"/>
      <c r="XI220" s="17"/>
      <c r="XJ220" s="17"/>
      <c r="XK220" s="17"/>
      <c r="XL220" s="17"/>
      <c r="XM220" s="17"/>
      <c r="XN220" s="17"/>
      <c r="XO220" s="17"/>
      <c r="XP220" s="17"/>
      <c r="XQ220" s="17"/>
      <c r="XR220" s="17"/>
      <c r="XS220" s="17"/>
      <c r="XT220" s="17"/>
      <c r="XU220" s="17"/>
      <c r="XV220" s="17"/>
      <c r="XW220" s="17"/>
      <c r="XX220" s="17"/>
      <c r="XY220" s="17"/>
      <c r="XZ220" s="17"/>
      <c r="YA220" s="17"/>
      <c r="YB220" s="17"/>
      <c r="YC220" s="17"/>
      <c r="YD220" s="17"/>
      <c r="YE220" s="17"/>
      <c r="YF220" s="17"/>
      <c r="YG220" s="17"/>
      <c r="YH220" s="17"/>
      <c r="YI220" s="17"/>
      <c r="YJ220" s="17"/>
      <c r="YK220" s="17"/>
      <c r="YL220" s="17"/>
      <c r="YM220" s="17"/>
      <c r="YN220" s="17"/>
      <c r="YO220" s="17"/>
      <c r="YP220" s="17"/>
      <c r="YQ220" s="17"/>
      <c r="YR220" s="17"/>
      <c r="YS220" s="17"/>
    </row>
    <row r="221" spans="266:669" x14ac:dyDescent="0.25">
      <c r="JF221" s="17"/>
      <c r="JG221" s="17"/>
      <c r="JH221" s="17"/>
      <c r="JI221" s="17"/>
      <c r="JJ221" s="17"/>
      <c r="JK221" s="17"/>
      <c r="JL221" s="17"/>
      <c r="JM221" s="17"/>
      <c r="JN221" s="17"/>
      <c r="JO221" s="17"/>
      <c r="JP221" s="17"/>
      <c r="JQ221" s="17"/>
      <c r="JR221" s="17"/>
      <c r="JS221" s="17"/>
      <c r="JT221" s="17"/>
      <c r="JU221" s="17"/>
      <c r="JV221" s="17"/>
      <c r="JW221" s="17"/>
      <c r="JX221" s="17"/>
      <c r="JY221" s="17"/>
      <c r="JZ221" s="17"/>
      <c r="KA221" s="17"/>
      <c r="KB221" s="17"/>
      <c r="KC221" s="17"/>
      <c r="KD221" s="17"/>
      <c r="KE221" s="17"/>
      <c r="KF221" s="17"/>
      <c r="KG221" s="17"/>
      <c r="KH221" s="17"/>
      <c r="KI221" s="17"/>
      <c r="KJ221" s="17"/>
      <c r="KK221" s="17"/>
      <c r="KL221" s="17"/>
      <c r="KM221" s="17"/>
      <c r="KN221" s="17"/>
      <c r="KO221" s="17"/>
      <c r="KP221" s="17"/>
      <c r="KQ221" s="17"/>
      <c r="KR221" s="17"/>
      <c r="KS221" s="17"/>
      <c r="KT221" s="17"/>
      <c r="KU221" s="17"/>
      <c r="KV221" s="17"/>
      <c r="KW221" s="17"/>
      <c r="KX221" s="17"/>
      <c r="KY221" s="17"/>
      <c r="KZ221" s="17"/>
      <c r="LA221" s="17"/>
      <c r="LB221" s="17"/>
      <c r="LC221" s="17"/>
      <c r="LD221" s="17"/>
      <c r="LE221" s="17"/>
      <c r="LF221" s="17"/>
      <c r="LG221" s="17"/>
      <c r="LH221" s="17"/>
      <c r="LI221" s="17"/>
      <c r="LJ221" s="17"/>
      <c r="LK221" s="17"/>
      <c r="LL221" s="17"/>
      <c r="LM221" s="17"/>
      <c r="LN221" s="17"/>
      <c r="LO221" s="17"/>
      <c r="LP221" s="17"/>
      <c r="LQ221" s="17"/>
      <c r="LR221" s="17"/>
      <c r="LS221" s="17"/>
      <c r="LT221" s="17"/>
      <c r="LU221" s="17"/>
      <c r="LV221" s="17"/>
      <c r="LW221" s="17"/>
      <c r="LX221" s="17"/>
      <c r="LY221" s="17"/>
      <c r="LZ221" s="17"/>
      <c r="MA221" s="17"/>
      <c r="MB221" s="17"/>
      <c r="MC221" s="17"/>
      <c r="MD221" s="17"/>
      <c r="ME221" s="17"/>
      <c r="MF221" s="17"/>
      <c r="MG221" s="17"/>
      <c r="MH221" s="17"/>
      <c r="MI221" s="17"/>
      <c r="MJ221" s="17"/>
      <c r="MK221" s="17"/>
      <c r="ML221" s="17"/>
      <c r="MM221" s="17"/>
      <c r="MN221" s="17"/>
      <c r="MO221" s="17"/>
      <c r="MP221" s="17"/>
      <c r="MQ221" s="17"/>
      <c r="MR221" s="17"/>
      <c r="MS221" s="17"/>
      <c r="MT221" s="17"/>
      <c r="MU221" s="17"/>
      <c r="MV221" s="17"/>
      <c r="MW221" s="17"/>
      <c r="MX221" s="17"/>
      <c r="MY221" s="17"/>
      <c r="MZ221" s="17"/>
      <c r="NA221" s="17"/>
      <c r="NB221" s="17"/>
      <c r="NC221" s="17"/>
      <c r="ND221" s="17"/>
      <c r="NE221" s="17"/>
      <c r="NF221" s="17"/>
      <c r="NG221" s="17"/>
      <c r="NH221" s="17"/>
      <c r="NI221" s="17"/>
      <c r="NJ221" s="17"/>
      <c r="NK221" s="17"/>
      <c r="NL221" s="17"/>
      <c r="NM221" s="17"/>
      <c r="NN221" s="17"/>
      <c r="NO221" s="17"/>
      <c r="NP221" s="17"/>
      <c r="NQ221" s="17"/>
      <c r="NR221" s="17"/>
      <c r="NS221" s="17"/>
      <c r="NT221" s="17"/>
      <c r="NU221" s="17"/>
      <c r="NV221" s="17"/>
      <c r="NW221" s="17"/>
      <c r="NX221" s="17"/>
      <c r="NY221" s="17"/>
      <c r="NZ221" s="17"/>
      <c r="OA221" s="17"/>
      <c r="OB221" s="17"/>
      <c r="OC221" s="17"/>
      <c r="OD221" s="17"/>
      <c r="OE221" s="17"/>
      <c r="OF221" s="17"/>
      <c r="OG221" s="17"/>
      <c r="OH221" s="17"/>
      <c r="OI221" s="17"/>
      <c r="OJ221" s="17"/>
      <c r="OK221" s="17"/>
      <c r="OL221" s="17"/>
      <c r="OM221" s="17"/>
      <c r="ON221" s="17"/>
      <c r="OO221" s="17"/>
      <c r="OP221" s="17"/>
      <c r="OQ221" s="17"/>
      <c r="OR221" s="17"/>
      <c r="OS221" s="17"/>
      <c r="OT221" s="17"/>
      <c r="OU221" s="17"/>
      <c r="OV221" s="17"/>
      <c r="OW221" s="17"/>
      <c r="OX221" s="17"/>
      <c r="OY221" s="17"/>
      <c r="OZ221" s="17"/>
      <c r="PA221" s="17"/>
      <c r="PB221" s="17"/>
      <c r="PC221" s="17"/>
      <c r="PD221" s="17"/>
      <c r="PE221" s="17"/>
      <c r="PF221" s="17"/>
      <c r="PG221" s="17"/>
      <c r="PH221" s="17"/>
      <c r="PI221" s="17"/>
      <c r="PJ221" s="17"/>
      <c r="PK221" s="17"/>
      <c r="PL221" s="17"/>
      <c r="PM221" s="17"/>
      <c r="PN221" s="17"/>
      <c r="PO221" s="17"/>
      <c r="PP221" s="17"/>
      <c r="PQ221" s="17"/>
      <c r="PR221" s="17"/>
      <c r="PS221" s="17"/>
      <c r="PT221" s="17"/>
      <c r="PU221" s="17"/>
      <c r="PV221" s="17"/>
      <c r="PW221" s="17"/>
      <c r="PX221" s="17"/>
      <c r="PY221" s="17"/>
      <c r="PZ221" s="17"/>
      <c r="QA221" s="17"/>
      <c r="QB221" s="17"/>
      <c r="QC221" s="17"/>
      <c r="QD221" s="17"/>
      <c r="QE221" s="17"/>
      <c r="QF221" s="17"/>
      <c r="QG221" s="17"/>
      <c r="QH221" s="17"/>
      <c r="QI221" s="17"/>
      <c r="QJ221" s="17"/>
      <c r="QK221" s="17"/>
      <c r="QL221" s="17"/>
      <c r="QM221" s="17"/>
      <c r="QN221" s="17"/>
      <c r="QO221" s="17"/>
      <c r="QP221" s="17"/>
      <c r="QQ221" s="17"/>
      <c r="QR221" s="17"/>
      <c r="QS221" s="17"/>
      <c r="QT221" s="17"/>
      <c r="QU221" s="17"/>
      <c r="QV221" s="17"/>
      <c r="QW221" s="17"/>
      <c r="QX221" s="17"/>
      <c r="QY221" s="17"/>
      <c r="QZ221" s="17"/>
      <c r="RA221" s="17"/>
      <c r="RB221" s="17"/>
      <c r="RC221" s="17"/>
      <c r="RD221" s="17"/>
      <c r="RE221" s="17"/>
      <c r="RF221" s="17"/>
      <c r="RG221" s="17"/>
      <c r="RH221" s="17"/>
      <c r="RI221" s="17"/>
      <c r="RJ221" s="17"/>
      <c r="RK221" s="17"/>
      <c r="RL221" s="17"/>
      <c r="RM221" s="17"/>
      <c r="RN221" s="17"/>
      <c r="RO221" s="17"/>
      <c r="RP221" s="17"/>
      <c r="RQ221" s="17"/>
      <c r="RR221" s="17"/>
      <c r="RS221" s="17"/>
      <c r="RT221" s="17"/>
      <c r="RU221" s="17"/>
      <c r="RV221" s="17"/>
      <c r="RW221" s="17"/>
      <c r="RX221" s="17"/>
      <c r="RY221" s="17"/>
      <c r="RZ221" s="17"/>
      <c r="SA221" s="17"/>
      <c r="SB221" s="17"/>
      <c r="SC221" s="17"/>
      <c r="SD221" s="17"/>
      <c r="SE221" s="17"/>
      <c r="SF221" s="17"/>
      <c r="SG221" s="17"/>
      <c r="SH221" s="17"/>
      <c r="SI221" s="17"/>
      <c r="SJ221" s="17"/>
      <c r="SK221" s="17"/>
      <c r="SL221" s="17"/>
      <c r="SM221" s="17"/>
      <c r="SN221" s="17"/>
      <c r="SO221" s="17"/>
      <c r="SP221" s="17"/>
      <c r="SQ221" s="17"/>
      <c r="SR221" s="17"/>
      <c r="SS221" s="17"/>
      <c r="ST221" s="17"/>
      <c r="SU221" s="17"/>
      <c r="SV221" s="17"/>
      <c r="SW221" s="17"/>
      <c r="SX221" s="17"/>
      <c r="SY221" s="17"/>
      <c r="SZ221" s="17"/>
      <c r="TA221" s="17"/>
      <c r="TB221" s="17"/>
      <c r="TC221" s="17"/>
      <c r="TD221" s="17"/>
      <c r="TE221" s="17"/>
      <c r="TF221" s="17"/>
      <c r="TG221" s="17"/>
      <c r="TH221" s="17"/>
      <c r="TI221" s="17"/>
      <c r="TJ221" s="17"/>
      <c r="TK221" s="17"/>
      <c r="TL221" s="17"/>
      <c r="TM221" s="17"/>
      <c r="TN221" s="17"/>
      <c r="TO221" s="17"/>
      <c r="TP221" s="17"/>
      <c r="TQ221" s="17"/>
      <c r="TR221" s="17"/>
      <c r="TS221" s="17"/>
      <c r="TT221" s="17"/>
      <c r="TU221" s="17"/>
      <c r="TV221" s="17"/>
      <c r="TW221" s="17"/>
      <c r="TX221" s="17"/>
      <c r="TY221" s="17"/>
      <c r="TZ221" s="17"/>
      <c r="UA221" s="17"/>
      <c r="UB221" s="17"/>
      <c r="UC221" s="17"/>
      <c r="UD221" s="17"/>
      <c r="UE221" s="17"/>
      <c r="UF221" s="17"/>
      <c r="UG221" s="17"/>
      <c r="UH221" s="17"/>
      <c r="UI221" s="17"/>
      <c r="UJ221" s="17"/>
      <c r="UK221" s="17"/>
      <c r="UL221" s="17"/>
      <c r="UM221" s="17"/>
      <c r="UN221" s="17"/>
      <c r="UO221" s="17"/>
      <c r="UP221" s="17"/>
      <c r="UQ221" s="17"/>
      <c r="UR221" s="17"/>
      <c r="US221" s="17"/>
      <c r="UT221" s="17"/>
      <c r="UU221" s="17"/>
      <c r="UV221" s="17"/>
      <c r="UW221" s="17"/>
      <c r="UX221" s="17"/>
      <c r="UY221" s="17"/>
      <c r="UZ221" s="17"/>
      <c r="VA221" s="17"/>
      <c r="VB221" s="17"/>
      <c r="VC221" s="17"/>
      <c r="VD221" s="17"/>
      <c r="VE221" s="17"/>
      <c r="VF221" s="17"/>
      <c r="VG221" s="17"/>
      <c r="VH221" s="17"/>
      <c r="VI221" s="17"/>
      <c r="VJ221" s="17"/>
      <c r="VK221" s="17"/>
      <c r="VL221" s="17"/>
      <c r="VM221" s="17"/>
      <c r="VN221" s="17"/>
      <c r="VO221" s="17"/>
      <c r="VP221" s="17"/>
      <c r="VQ221" s="17"/>
      <c r="VR221" s="17"/>
      <c r="VS221" s="17"/>
      <c r="VT221" s="17"/>
      <c r="VU221" s="17"/>
      <c r="VV221" s="17"/>
      <c r="VW221" s="17"/>
      <c r="VX221" s="17"/>
      <c r="VY221" s="17"/>
      <c r="VZ221" s="17"/>
      <c r="WA221" s="17"/>
      <c r="WB221" s="17"/>
      <c r="WC221" s="17"/>
      <c r="WD221" s="17"/>
      <c r="WE221" s="17"/>
      <c r="WF221" s="17"/>
      <c r="WG221" s="17"/>
      <c r="WH221" s="17"/>
      <c r="WI221" s="17"/>
      <c r="WJ221" s="17"/>
      <c r="WK221" s="17"/>
      <c r="WL221" s="17"/>
      <c r="WM221" s="17"/>
      <c r="WN221" s="17"/>
      <c r="WO221" s="17"/>
      <c r="WP221" s="17"/>
      <c r="WQ221" s="17"/>
      <c r="WR221" s="17"/>
      <c r="WS221" s="17"/>
      <c r="WT221" s="17"/>
      <c r="WU221" s="17"/>
      <c r="WV221" s="17"/>
      <c r="WW221" s="17"/>
      <c r="WX221" s="17"/>
      <c r="WY221" s="17"/>
      <c r="WZ221" s="17"/>
      <c r="XA221" s="17"/>
      <c r="XB221" s="17"/>
      <c r="XC221" s="17"/>
      <c r="XD221" s="17"/>
      <c r="XE221" s="17"/>
      <c r="XF221" s="17"/>
      <c r="XG221" s="17"/>
      <c r="XH221" s="17"/>
      <c r="XI221" s="17"/>
      <c r="XJ221" s="17"/>
      <c r="XK221" s="17"/>
      <c r="XL221" s="17"/>
      <c r="XM221" s="17"/>
      <c r="XN221" s="17"/>
      <c r="XO221" s="17"/>
      <c r="XP221" s="17"/>
      <c r="XQ221" s="17"/>
      <c r="XR221" s="17"/>
      <c r="XS221" s="17"/>
      <c r="XT221" s="17"/>
      <c r="XU221" s="17"/>
      <c r="XV221" s="17"/>
      <c r="XW221" s="17"/>
      <c r="XX221" s="17"/>
      <c r="XY221" s="17"/>
      <c r="XZ221" s="17"/>
      <c r="YA221" s="17"/>
      <c r="YB221" s="17"/>
      <c r="YC221" s="17"/>
      <c r="YD221" s="17"/>
      <c r="YE221" s="17"/>
      <c r="YF221" s="17"/>
      <c r="YG221" s="17"/>
      <c r="YH221" s="17"/>
      <c r="YI221" s="17"/>
      <c r="YJ221" s="17"/>
      <c r="YK221" s="17"/>
      <c r="YL221" s="17"/>
      <c r="YM221" s="17"/>
      <c r="YN221" s="17"/>
      <c r="YO221" s="17"/>
      <c r="YP221" s="17"/>
      <c r="YQ221" s="17"/>
      <c r="YR221" s="17"/>
      <c r="YS221" s="17"/>
    </row>
    <row r="222" spans="266:669" x14ac:dyDescent="0.25">
      <c r="JF222" s="17"/>
      <c r="JG222" s="17"/>
      <c r="JH222" s="17"/>
      <c r="JI222" s="17"/>
      <c r="JJ222" s="17"/>
      <c r="JK222" s="17"/>
      <c r="JL222" s="17"/>
      <c r="JM222" s="17"/>
      <c r="JN222" s="17"/>
      <c r="JO222" s="17"/>
      <c r="JP222" s="17"/>
      <c r="JQ222" s="17"/>
      <c r="JR222" s="17"/>
      <c r="JS222" s="17"/>
      <c r="JT222" s="17"/>
      <c r="JU222" s="17"/>
      <c r="JV222" s="17"/>
      <c r="JW222" s="17"/>
      <c r="JX222" s="17"/>
      <c r="JY222" s="17"/>
      <c r="JZ222" s="17"/>
      <c r="KA222" s="17"/>
      <c r="KB222" s="17"/>
      <c r="KC222" s="17"/>
      <c r="KD222" s="17"/>
      <c r="KE222" s="17"/>
      <c r="KF222" s="17"/>
      <c r="KG222" s="17"/>
      <c r="KH222" s="17"/>
      <c r="KI222" s="17"/>
      <c r="KJ222" s="17"/>
      <c r="KK222" s="17"/>
      <c r="KL222" s="17"/>
      <c r="KM222" s="17"/>
      <c r="KN222" s="17"/>
      <c r="KO222" s="17"/>
      <c r="KP222" s="17"/>
      <c r="KQ222" s="17"/>
      <c r="KR222" s="17"/>
      <c r="KS222" s="17"/>
      <c r="KT222" s="17"/>
      <c r="KU222" s="17"/>
      <c r="KV222" s="17"/>
      <c r="KW222" s="17"/>
      <c r="KX222" s="17"/>
      <c r="KY222" s="17"/>
      <c r="KZ222" s="17"/>
      <c r="LA222" s="17"/>
      <c r="LB222" s="17"/>
      <c r="LC222" s="17"/>
      <c r="LD222" s="17"/>
      <c r="LE222" s="17"/>
      <c r="LF222" s="17"/>
      <c r="LG222" s="17"/>
      <c r="LH222" s="17"/>
      <c r="LI222" s="17"/>
      <c r="LJ222" s="17"/>
      <c r="LK222" s="17"/>
      <c r="LL222" s="17"/>
      <c r="LM222" s="17"/>
      <c r="LN222" s="17"/>
      <c r="LO222" s="17"/>
      <c r="LP222" s="17"/>
      <c r="LQ222" s="17"/>
      <c r="LR222" s="17"/>
      <c r="LS222" s="17"/>
      <c r="LT222" s="17"/>
      <c r="LU222" s="17"/>
      <c r="LV222" s="17"/>
      <c r="LW222" s="17"/>
      <c r="LX222" s="17"/>
      <c r="LY222" s="17"/>
      <c r="LZ222" s="17"/>
      <c r="MA222" s="17"/>
      <c r="MB222" s="17"/>
      <c r="MC222" s="17"/>
      <c r="MD222" s="17"/>
      <c r="ME222" s="17"/>
      <c r="MF222" s="17"/>
      <c r="MG222" s="17"/>
      <c r="MH222" s="17"/>
      <c r="MI222" s="17"/>
      <c r="MJ222" s="17"/>
      <c r="MK222" s="17"/>
      <c r="ML222" s="17"/>
      <c r="MM222" s="17"/>
      <c r="MN222" s="17"/>
      <c r="MO222" s="17"/>
      <c r="MP222" s="17"/>
      <c r="MQ222" s="17"/>
      <c r="MR222" s="17"/>
      <c r="MS222" s="17"/>
      <c r="MT222" s="17"/>
      <c r="MU222" s="17"/>
      <c r="MV222" s="17"/>
      <c r="MW222" s="17"/>
      <c r="MX222" s="17"/>
      <c r="MY222" s="17"/>
      <c r="MZ222" s="17"/>
      <c r="NA222" s="17"/>
      <c r="NB222" s="17"/>
      <c r="NC222" s="17"/>
      <c r="ND222" s="17"/>
      <c r="NE222" s="17"/>
      <c r="NF222" s="17"/>
      <c r="NG222" s="17"/>
      <c r="NH222" s="17"/>
      <c r="NI222" s="17"/>
      <c r="NJ222" s="17"/>
      <c r="NK222" s="17"/>
      <c r="NL222" s="17"/>
      <c r="NM222" s="17"/>
      <c r="NN222" s="17"/>
      <c r="NO222" s="17"/>
      <c r="NP222" s="17"/>
      <c r="NQ222" s="17"/>
      <c r="NR222" s="17"/>
      <c r="NS222" s="17"/>
      <c r="NT222" s="17"/>
      <c r="NU222" s="17"/>
      <c r="NV222" s="17"/>
      <c r="NW222" s="17"/>
      <c r="NX222" s="17"/>
      <c r="NY222" s="17"/>
      <c r="NZ222" s="17"/>
      <c r="OA222" s="17"/>
      <c r="OB222" s="17"/>
      <c r="OC222" s="17"/>
      <c r="OD222" s="17"/>
      <c r="OE222" s="17"/>
      <c r="OF222" s="17"/>
      <c r="OG222" s="17"/>
      <c r="OH222" s="17"/>
      <c r="OI222" s="17"/>
      <c r="OJ222" s="17"/>
      <c r="OK222" s="17"/>
      <c r="OL222" s="17"/>
      <c r="OM222" s="17"/>
      <c r="ON222" s="17"/>
      <c r="OO222" s="17"/>
      <c r="OP222" s="17"/>
      <c r="OQ222" s="17"/>
      <c r="OR222" s="17"/>
      <c r="OS222" s="17"/>
      <c r="OT222" s="17"/>
      <c r="OU222" s="17"/>
      <c r="OV222" s="17"/>
      <c r="OW222" s="17"/>
      <c r="OX222" s="17"/>
      <c r="OY222" s="17"/>
      <c r="OZ222" s="17"/>
      <c r="PA222" s="17"/>
      <c r="PB222" s="17"/>
      <c r="PC222" s="17"/>
      <c r="PD222" s="17"/>
      <c r="PE222" s="17"/>
      <c r="PF222" s="17"/>
      <c r="PG222" s="17"/>
      <c r="PH222" s="17"/>
      <c r="PI222" s="17"/>
      <c r="PJ222" s="17"/>
      <c r="PK222" s="17"/>
      <c r="PL222" s="17"/>
      <c r="PM222" s="17"/>
      <c r="PN222" s="17"/>
      <c r="PO222" s="17"/>
      <c r="PP222" s="17"/>
      <c r="PQ222" s="17"/>
      <c r="PR222" s="17"/>
      <c r="PS222" s="17"/>
      <c r="PT222" s="17"/>
      <c r="PU222" s="17"/>
      <c r="PV222" s="17"/>
      <c r="PW222" s="17"/>
      <c r="PX222" s="17"/>
      <c r="PY222" s="17"/>
      <c r="PZ222" s="17"/>
      <c r="QA222" s="17"/>
      <c r="QB222" s="17"/>
      <c r="QC222" s="17"/>
      <c r="QD222" s="17"/>
      <c r="QE222" s="17"/>
      <c r="QF222" s="17"/>
      <c r="QG222" s="17"/>
      <c r="QH222" s="17"/>
      <c r="QI222" s="17"/>
      <c r="QJ222" s="17"/>
      <c r="QK222" s="17"/>
      <c r="QL222" s="17"/>
      <c r="QM222" s="17"/>
      <c r="QN222" s="17"/>
      <c r="QO222" s="17"/>
      <c r="QP222" s="17"/>
      <c r="QQ222" s="17"/>
      <c r="QR222" s="17"/>
      <c r="QS222" s="17"/>
      <c r="QT222" s="17"/>
      <c r="QU222" s="17"/>
      <c r="QV222" s="17"/>
      <c r="QW222" s="17"/>
      <c r="QX222" s="17"/>
      <c r="QY222" s="17"/>
      <c r="QZ222" s="17"/>
      <c r="RA222" s="17"/>
      <c r="RB222" s="17"/>
      <c r="RC222" s="17"/>
      <c r="RD222" s="17"/>
      <c r="RE222" s="17"/>
      <c r="RF222" s="17"/>
      <c r="RG222" s="17"/>
      <c r="RH222" s="17"/>
      <c r="RI222" s="17"/>
      <c r="RJ222" s="17"/>
      <c r="RK222" s="17"/>
      <c r="RL222" s="17"/>
      <c r="RM222" s="17"/>
      <c r="RN222" s="17"/>
      <c r="RO222" s="17"/>
      <c r="RP222" s="17"/>
      <c r="RQ222" s="17"/>
      <c r="RR222" s="17"/>
      <c r="RS222" s="17"/>
      <c r="RT222" s="17"/>
      <c r="RU222" s="17"/>
      <c r="RV222" s="17"/>
      <c r="RW222" s="17"/>
      <c r="RX222" s="17"/>
      <c r="RY222" s="17"/>
      <c r="RZ222" s="17"/>
      <c r="SA222" s="17"/>
      <c r="SB222" s="17"/>
      <c r="SC222" s="17"/>
      <c r="SD222" s="17"/>
      <c r="SE222" s="17"/>
      <c r="SF222" s="17"/>
      <c r="SG222" s="17"/>
      <c r="SH222" s="17"/>
      <c r="SI222" s="17"/>
      <c r="SJ222" s="17"/>
      <c r="SK222" s="17"/>
      <c r="SL222" s="17"/>
      <c r="SM222" s="17"/>
      <c r="SN222" s="17"/>
      <c r="SO222" s="17"/>
      <c r="SP222" s="17"/>
      <c r="SQ222" s="17"/>
      <c r="SR222" s="17"/>
      <c r="SS222" s="17"/>
      <c r="ST222" s="17"/>
      <c r="SU222" s="17"/>
      <c r="SV222" s="17"/>
      <c r="SW222" s="17"/>
      <c r="SX222" s="17"/>
      <c r="SY222" s="17"/>
      <c r="SZ222" s="17"/>
      <c r="TA222" s="17"/>
      <c r="TB222" s="17"/>
      <c r="TC222" s="17"/>
      <c r="TD222" s="17"/>
      <c r="TE222" s="17"/>
      <c r="TF222" s="17"/>
      <c r="TG222" s="17"/>
      <c r="TH222" s="17"/>
      <c r="TI222" s="17"/>
      <c r="TJ222" s="17"/>
      <c r="TK222" s="17"/>
      <c r="TL222" s="17"/>
      <c r="TM222" s="17"/>
      <c r="TN222" s="17"/>
      <c r="TO222" s="17"/>
      <c r="TP222" s="17"/>
      <c r="TQ222" s="17"/>
      <c r="TR222" s="17"/>
      <c r="TS222" s="17"/>
      <c r="TT222" s="17"/>
      <c r="TU222" s="17"/>
      <c r="TV222" s="17"/>
      <c r="TW222" s="17"/>
      <c r="TX222" s="17"/>
      <c r="TY222" s="17"/>
      <c r="TZ222" s="17"/>
      <c r="UA222" s="17"/>
      <c r="UB222" s="17"/>
      <c r="UC222" s="17"/>
      <c r="UD222" s="17"/>
      <c r="UE222" s="17"/>
      <c r="UF222" s="17"/>
      <c r="UG222" s="17"/>
      <c r="UH222" s="17"/>
      <c r="UI222" s="17"/>
      <c r="UJ222" s="17"/>
      <c r="UK222" s="17"/>
      <c r="UL222" s="17"/>
      <c r="UM222" s="17"/>
      <c r="UN222" s="17"/>
      <c r="UO222" s="17"/>
      <c r="UP222" s="17"/>
      <c r="UQ222" s="17"/>
      <c r="UR222" s="17"/>
      <c r="US222" s="17"/>
      <c r="UT222" s="17"/>
      <c r="UU222" s="17"/>
      <c r="UV222" s="17"/>
      <c r="UW222" s="17"/>
      <c r="UX222" s="17"/>
      <c r="UY222" s="17"/>
      <c r="UZ222" s="17"/>
      <c r="VA222" s="17"/>
      <c r="VB222" s="17"/>
      <c r="VC222" s="17"/>
      <c r="VD222" s="17"/>
      <c r="VE222" s="17"/>
      <c r="VF222" s="17"/>
      <c r="VG222" s="17"/>
      <c r="VH222" s="17"/>
      <c r="VI222" s="17"/>
      <c r="VJ222" s="17"/>
      <c r="VK222" s="17"/>
      <c r="VL222" s="17"/>
      <c r="VM222" s="17"/>
      <c r="VN222" s="17"/>
      <c r="VO222" s="17"/>
      <c r="VP222" s="17"/>
      <c r="VQ222" s="17"/>
      <c r="VR222" s="17"/>
      <c r="VS222" s="17"/>
      <c r="VT222" s="17"/>
      <c r="VU222" s="17"/>
      <c r="VV222" s="17"/>
      <c r="VW222" s="17"/>
      <c r="VX222" s="17"/>
      <c r="VY222" s="17"/>
      <c r="VZ222" s="17"/>
      <c r="WA222" s="17"/>
      <c r="WB222" s="17"/>
      <c r="WC222" s="17"/>
      <c r="WD222" s="17"/>
      <c r="WE222" s="17"/>
      <c r="WF222" s="17"/>
      <c r="WG222" s="17"/>
      <c r="WH222" s="17"/>
      <c r="WI222" s="17"/>
      <c r="WJ222" s="17"/>
      <c r="WK222" s="17"/>
      <c r="WL222" s="17"/>
      <c r="WM222" s="17"/>
      <c r="WN222" s="17"/>
      <c r="WO222" s="17"/>
      <c r="WP222" s="17"/>
      <c r="WQ222" s="17"/>
      <c r="WR222" s="17"/>
      <c r="WS222" s="17"/>
      <c r="WT222" s="17"/>
      <c r="WU222" s="17"/>
      <c r="WV222" s="17"/>
      <c r="WW222" s="17"/>
      <c r="WX222" s="17"/>
      <c r="WY222" s="17"/>
      <c r="WZ222" s="17"/>
      <c r="XA222" s="17"/>
      <c r="XB222" s="17"/>
      <c r="XC222" s="17"/>
      <c r="XD222" s="17"/>
      <c r="XE222" s="17"/>
      <c r="XF222" s="17"/>
      <c r="XG222" s="17"/>
      <c r="XH222" s="17"/>
      <c r="XI222" s="17"/>
      <c r="XJ222" s="17"/>
      <c r="XK222" s="17"/>
      <c r="XL222" s="17"/>
      <c r="XM222" s="17"/>
      <c r="XN222" s="17"/>
      <c r="XO222" s="17"/>
      <c r="XP222" s="17"/>
      <c r="XQ222" s="17"/>
      <c r="XR222" s="17"/>
      <c r="XS222" s="17"/>
      <c r="XT222" s="17"/>
      <c r="XU222" s="17"/>
      <c r="XV222" s="17"/>
      <c r="XW222" s="17"/>
      <c r="XX222" s="17"/>
      <c r="XY222" s="17"/>
      <c r="XZ222" s="17"/>
      <c r="YA222" s="17"/>
      <c r="YB222" s="17"/>
      <c r="YC222" s="17"/>
      <c r="YD222" s="17"/>
      <c r="YE222" s="17"/>
      <c r="YF222" s="17"/>
      <c r="YG222" s="17"/>
      <c r="YH222" s="17"/>
      <c r="YI222" s="17"/>
      <c r="YJ222" s="17"/>
      <c r="YK222" s="17"/>
      <c r="YL222" s="17"/>
      <c r="YM222" s="17"/>
      <c r="YN222" s="17"/>
      <c r="YO222" s="17"/>
      <c r="YP222" s="17"/>
      <c r="YQ222" s="17"/>
      <c r="YR222" s="17"/>
      <c r="YS222" s="17"/>
    </row>
    <row r="223" spans="266:669" x14ac:dyDescent="0.25">
      <c r="JF223" s="17"/>
      <c r="JG223" s="17"/>
      <c r="JH223" s="17"/>
      <c r="JI223" s="17"/>
      <c r="JJ223" s="17"/>
      <c r="JK223" s="17"/>
      <c r="JL223" s="17"/>
      <c r="JM223" s="17"/>
      <c r="JN223" s="17"/>
      <c r="JO223" s="17"/>
      <c r="JP223" s="17"/>
      <c r="JQ223" s="17"/>
      <c r="JR223" s="17"/>
      <c r="JS223" s="17"/>
      <c r="JT223" s="17"/>
      <c r="JU223" s="17"/>
      <c r="JV223" s="17"/>
      <c r="JW223" s="17"/>
      <c r="JX223" s="17"/>
      <c r="JY223" s="17"/>
      <c r="JZ223" s="17"/>
      <c r="KA223" s="17"/>
      <c r="KB223" s="17"/>
      <c r="KC223" s="17"/>
      <c r="KD223" s="17"/>
      <c r="KE223" s="17"/>
      <c r="KF223" s="17"/>
      <c r="KG223" s="17"/>
      <c r="KH223" s="17"/>
      <c r="KI223" s="17"/>
      <c r="KJ223" s="17"/>
      <c r="KK223" s="17"/>
      <c r="KL223" s="17"/>
      <c r="KM223" s="17"/>
      <c r="KN223" s="17"/>
      <c r="KO223" s="17"/>
      <c r="KP223" s="17"/>
      <c r="KQ223" s="17"/>
      <c r="KR223" s="17"/>
      <c r="KS223" s="17"/>
      <c r="KT223" s="17"/>
      <c r="KU223" s="17"/>
      <c r="KV223" s="17"/>
      <c r="KW223" s="17"/>
      <c r="KX223" s="17"/>
      <c r="KY223" s="17"/>
      <c r="KZ223" s="17"/>
      <c r="LA223" s="17"/>
      <c r="LB223" s="17"/>
      <c r="LC223" s="17"/>
      <c r="LD223" s="17"/>
      <c r="LE223" s="17"/>
      <c r="LF223" s="17"/>
      <c r="LG223" s="17"/>
      <c r="LH223" s="17"/>
      <c r="LI223" s="17"/>
      <c r="LJ223" s="17"/>
      <c r="LK223" s="17"/>
      <c r="LL223" s="17"/>
      <c r="LM223" s="17"/>
      <c r="LN223" s="17"/>
      <c r="LO223" s="17"/>
      <c r="LP223" s="17"/>
      <c r="LQ223" s="17"/>
      <c r="LR223" s="17"/>
      <c r="LS223" s="17"/>
      <c r="LT223" s="17"/>
      <c r="LU223" s="17"/>
      <c r="LV223" s="17"/>
      <c r="LW223" s="17"/>
      <c r="LX223" s="17"/>
      <c r="LY223" s="17"/>
      <c r="LZ223" s="17"/>
      <c r="MA223" s="17"/>
      <c r="MB223" s="17"/>
      <c r="MC223" s="17"/>
      <c r="MD223" s="17"/>
      <c r="ME223" s="17"/>
      <c r="MF223" s="17"/>
      <c r="MG223" s="17"/>
      <c r="MH223" s="17"/>
      <c r="MI223" s="17"/>
      <c r="MJ223" s="17"/>
      <c r="MK223" s="17"/>
      <c r="ML223" s="17"/>
      <c r="MM223" s="17"/>
      <c r="MN223" s="17"/>
      <c r="MO223" s="17"/>
      <c r="MP223" s="17"/>
      <c r="MQ223" s="17"/>
      <c r="MR223" s="17"/>
      <c r="MS223" s="17"/>
      <c r="MT223" s="17"/>
      <c r="MU223" s="17"/>
      <c r="MV223" s="17"/>
      <c r="MW223" s="17"/>
      <c r="MX223" s="17"/>
      <c r="MY223" s="17"/>
      <c r="MZ223" s="17"/>
      <c r="NA223" s="17"/>
      <c r="NB223" s="17"/>
      <c r="NC223" s="17"/>
      <c r="ND223" s="17"/>
      <c r="NE223" s="17"/>
      <c r="NF223" s="17"/>
      <c r="NG223" s="17"/>
      <c r="NH223" s="17"/>
      <c r="NI223" s="17"/>
      <c r="NJ223" s="17"/>
      <c r="NK223" s="17"/>
      <c r="NL223" s="17"/>
      <c r="NM223" s="17"/>
      <c r="NN223" s="17"/>
      <c r="NO223" s="17"/>
      <c r="NP223" s="17"/>
      <c r="NQ223" s="17"/>
      <c r="NR223" s="17"/>
      <c r="NS223" s="17"/>
      <c r="NT223" s="17"/>
      <c r="NU223" s="17"/>
      <c r="NV223" s="17"/>
      <c r="NW223" s="17"/>
      <c r="NX223" s="17"/>
      <c r="NY223" s="17"/>
      <c r="NZ223" s="17"/>
      <c r="OA223" s="17"/>
      <c r="OB223" s="17"/>
      <c r="OC223" s="17"/>
      <c r="OD223" s="17"/>
      <c r="OE223" s="17"/>
      <c r="OF223" s="17"/>
      <c r="OG223" s="17"/>
      <c r="OH223" s="17"/>
      <c r="OI223" s="17"/>
      <c r="OJ223" s="17"/>
      <c r="OK223" s="17"/>
      <c r="OL223" s="17"/>
      <c r="OM223" s="17"/>
      <c r="ON223" s="17"/>
      <c r="OO223" s="17"/>
      <c r="OP223" s="17"/>
      <c r="OQ223" s="17"/>
      <c r="OR223" s="17"/>
      <c r="OS223" s="17"/>
      <c r="OT223" s="17"/>
      <c r="OU223" s="17"/>
      <c r="OV223" s="17"/>
      <c r="OW223" s="17"/>
      <c r="OX223" s="17"/>
      <c r="OY223" s="17"/>
      <c r="OZ223" s="17"/>
      <c r="PA223" s="17"/>
      <c r="PB223" s="17"/>
      <c r="PC223" s="17"/>
      <c r="PD223" s="17"/>
      <c r="PE223" s="17"/>
      <c r="PF223" s="17"/>
      <c r="PG223" s="17"/>
      <c r="PH223" s="17"/>
      <c r="PI223" s="17"/>
      <c r="PJ223" s="17"/>
      <c r="PK223" s="17"/>
      <c r="PL223" s="17"/>
      <c r="PM223" s="17"/>
      <c r="PN223" s="17"/>
      <c r="PO223" s="17"/>
      <c r="PP223" s="17"/>
      <c r="PQ223" s="17"/>
      <c r="PR223" s="17"/>
      <c r="PS223" s="17"/>
      <c r="PT223" s="17"/>
      <c r="PU223" s="17"/>
      <c r="PV223" s="17"/>
      <c r="PW223" s="17"/>
      <c r="PX223" s="17"/>
      <c r="PY223" s="17"/>
      <c r="PZ223" s="17"/>
      <c r="QA223" s="17"/>
      <c r="QB223" s="17"/>
      <c r="QC223" s="17"/>
      <c r="QD223" s="17"/>
      <c r="QE223" s="17"/>
      <c r="QF223" s="17"/>
      <c r="QG223" s="17"/>
      <c r="QH223" s="17"/>
      <c r="QI223" s="17"/>
      <c r="QJ223" s="17"/>
      <c r="QK223" s="17"/>
      <c r="QL223" s="17"/>
      <c r="QM223" s="17"/>
      <c r="QN223" s="17"/>
      <c r="QO223" s="17"/>
      <c r="QP223" s="17"/>
      <c r="QQ223" s="17"/>
      <c r="QR223" s="17"/>
      <c r="QS223" s="17"/>
      <c r="QT223" s="17"/>
      <c r="QU223" s="17"/>
      <c r="QV223" s="17"/>
      <c r="QW223" s="17"/>
      <c r="QX223" s="17"/>
      <c r="QY223" s="17"/>
      <c r="QZ223" s="17"/>
      <c r="RA223" s="17"/>
      <c r="RB223" s="17"/>
      <c r="RC223" s="17"/>
      <c r="RD223" s="17"/>
      <c r="RE223" s="17"/>
      <c r="RF223" s="17"/>
      <c r="RG223" s="17"/>
      <c r="RH223" s="17"/>
      <c r="RI223" s="17"/>
      <c r="RJ223" s="17"/>
      <c r="RK223" s="17"/>
      <c r="RL223" s="17"/>
      <c r="RM223" s="17"/>
      <c r="RN223" s="17"/>
      <c r="RO223" s="17"/>
      <c r="RP223" s="17"/>
      <c r="RQ223" s="17"/>
      <c r="RR223" s="17"/>
      <c r="RS223" s="17"/>
      <c r="RT223" s="17"/>
      <c r="RU223" s="17"/>
      <c r="RV223" s="17"/>
      <c r="RW223" s="17"/>
      <c r="RX223" s="17"/>
      <c r="RY223" s="17"/>
      <c r="RZ223" s="17"/>
      <c r="SA223" s="17"/>
      <c r="SB223" s="17"/>
      <c r="SC223" s="17"/>
      <c r="SD223" s="17"/>
      <c r="SE223" s="17"/>
      <c r="SF223" s="17"/>
      <c r="SG223" s="17"/>
      <c r="SH223" s="17"/>
      <c r="SI223" s="17"/>
      <c r="SJ223" s="17"/>
      <c r="SK223" s="17"/>
      <c r="SL223" s="17"/>
      <c r="SM223" s="17"/>
      <c r="SN223" s="17"/>
      <c r="SO223" s="17"/>
      <c r="SP223" s="17"/>
      <c r="SQ223" s="17"/>
      <c r="SR223" s="17"/>
      <c r="SS223" s="17"/>
      <c r="ST223" s="17"/>
      <c r="SU223" s="17"/>
      <c r="SV223" s="17"/>
      <c r="SW223" s="17"/>
      <c r="SX223" s="17"/>
      <c r="SY223" s="17"/>
      <c r="SZ223" s="17"/>
      <c r="TA223" s="17"/>
      <c r="TB223" s="17"/>
      <c r="TC223" s="17"/>
      <c r="TD223" s="17"/>
      <c r="TE223" s="17"/>
      <c r="TF223" s="17"/>
      <c r="TG223" s="17"/>
      <c r="TH223" s="17"/>
      <c r="TI223" s="17"/>
      <c r="TJ223" s="17"/>
      <c r="TK223" s="17"/>
      <c r="TL223" s="17"/>
      <c r="TM223" s="17"/>
      <c r="TN223" s="17"/>
      <c r="TO223" s="17"/>
      <c r="TP223" s="17"/>
      <c r="TQ223" s="17"/>
      <c r="TR223" s="17"/>
      <c r="TS223" s="17"/>
      <c r="TT223" s="17"/>
      <c r="TU223" s="17"/>
      <c r="TV223" s="17"/>
      <c r="TW223" s="17"/>
      <c r="TX223" s="17"/>
      <c r="TY223" s="17"/>
      <c r="TZ223" s="17"/>
      <c r="UA223" s="17"/>
      <c r="UB223" s="17"/>
      <c r="UC223" s="17"/>
      <c r="UD223" s="17"/>
      <c r="UE223" s="17"/>
      <c r="UF223" s="17"/>
      <c r="UG223" s="17"/>
      <c r="UH223" s="17"/>
      <c r="UI223" s="17"/>
      <c r="UJ223" s="17"/>
      <c r="UK223" s="17"/>
      <c r="UL223" s="17"/>
      <c r="UM223" s="17"/>
      <c r="UN223" s="17"/>
      <c r="UO223" s="17"/>
      <c r="UP223" s="17"/>
      <c r="UQ223" s="17"/>
      <c r="UR223" s="17"/>
      <c r="US223" s="17"/>
      <c r="UT223" s="17"/>
      <c r="UU223" s="17"/>
      <c r="UV223" s="17"/>
      <c r="UW223" s="17"/>
      <c r="UX223" s="17"/>
      <c r="UY223" s="17"/>
      <c r="UZ223" s="17"/>
      <c r="VA223" s="17"/>
      <c r="VB223" s="17"/>
      <c r="VC223" s="17"/>
      <c r="VD223" s="17"/>
      <c r="VE223" s="17"/>
      <c r="VF223" s="17"/>
      <c r="VG223" s="17"/>
      <c r="VH223" s="17"/>
      <c r="VI223" s="17"/>
      <c r="VJ223" s="17"/>
      <c r="VK223" s="17"/>
      <c r="VL223" s="17"/>
      <c r="VM223" s="17"/>
      <c r="VN223" s="17"/>
      <c r="VO223" s="17"/>
      <c r="VP223" s="17"/>
      <c r="VQ223" s="17"/>
      <c r="VR223" s="17"/>
      <c r="VS223" s="17"/>
      <c r="VT223" s="17"/>
      <c r="VU223" s="17"/>
      <c r="VV223" s="17"/>
      <c r="VW223" s="17"/>
      <c r="VX223" s="17"/>
      <c r="VY223" s="17"/>
      <c r="VZ223" s="17"/>
      <c r="WA223" s="17"/>
      <c r="WB223" s="17"/>
      <c r="WC223" s="17"/>
      <c r="WD223" s="17"/>
      <c r="WE223" s="17"/>
      <c r="WF223" s="17"/>
      <c r="WG223" s="17"/>
      <c r="WH223" s="17"/>
      <c r="WI223" s="17"/>
      <c r="WJ223" s="17"/>
      <c r="WK223" s="17"/>
      <c r="WL223" s="17"/>
      <c r="WM223" s="17"/>
      <c r="WN223" s="17"/>
      <c r="WO223" s="17"/>
      <c r="WP223" s="17"/>
      <c r="WQ223" s="17"/>
      <c r="WR223" s="17"/>
      <c r="WS223" s="17"/>
      <c r="WT223" s="17"/>
      <c r="WU223" s="17"/>
      <c r="WV223" s="17"/>
      <c r="WW223" s="17"/>
      <c r="WX223" s="17"/>
      <c r="WY223" s="17"/>
      <c r="WZ223" s="17"/>
      <c r="XA223" s="17"/>
      <c r="XB223" s="17"/>
      <c r="XC223" s="17"/>
      <c r="XD223" s="17"/>
      <c r="XE223" s="17"/>
      <c r="XF223" s="17"/>
      <c r="XG223" s="17"/>
      <c r="XH223" s="17"/>
      <c r="XI223" s="17"/>
      <c r="XJ223" s="17"/>
      <c r="XK223" s="17"/>
      <c r="XL223" s="17"/>
      <c r="XM223" s="17"/>
      <c r="XN223" s="17"/>
      <c r="XO223" s="17"/>
      <c r="XP223" s="17"/>
      <c r="XQ223" s="17"/>
      <c r="XR223" s="17"/>
      <c r="XS223" s="17"/>
      <c r="XT223" s="17"/>
      <c r="XU223" s="17"/>
      <c r="XV223" s="17"/>
      <c r="XW223" s="17"/>
      <c r="XX223" s="17"/>
      <c r="XY223" s="17"/>
      <c r="XZ223" s="17"/>
      <c r="YA223" s="17"/>
      <c r="YB223" s="17"/>
      <c r="YC223" s="17"/>
      <c r="YD223" s="17"/>
      <c r="YE223" s="17"/>
      <c r="YF223" s="17"/>
      <c r="YG223" s="17"/>
      <c r="YH223" s="17"/>
      <c r="YI223" s="17"/>
      <c r="YJ223" s="17"/>
      <c r="YK223" s="17"/>
      <c r="YL223" s="17"/>
      <c r="YM223" s="17"/>
      <c r="YN223" s="17"/>
      <c r="YO223" s="17"/>
      <c r="YP223" s="17"/>
      <c r="YQ223" s="17"/>
      <c r="YR223" s="17"/>
      <c r="YS223" s="17"/>
    </row>
    <row r="224" spans="266:669" x14ac:dyDescent="0.25">
      <c r="JF224" s="17"/>
      <c r="JG224" s="17"/>
      <c r="JH224" s="17"/>
      <c r="JI224" s="17"/>
      <c r="JJ224" s="17"/>
      <c r="JK224" s="17"/>
      <c r="JL224" s="17"/>
      <c r="JM224" s="17"/>
      <c r="JN224" s="17"/>
      <c r="JO224" s="17"/>
      <c r="JP224" s="17"/>
      <c r="JQ224" s="17"/>
      <c r="JR224" s="17"/>
      <c r="JS224" s="17"/>
      <c r="JT224" s="17"/>
      <c r="JU224" s="17"/>
      <c r="JV224" s="17"/>
      <c r="JW224" s="17"/>
      <c r="JX224" s="17"/>
      <c r="JY224" s="17"/>
      <c r="JZ224" s="17"/>
      <c r="KA224" s="17"/>
      <c r="KB224" s="17"/>
      <c r="KC224" s="17"/>
      <c r="KD224" s="17"/>
      <c r="KE224" s="17"/>
      <c r="KF224" s="17"/>
      <c r="KG224" s="17"/>
      <c r="KH224" s="17"/>
      <c r="KI224" s="17"/>
      <c r="KJ224" s="17"/>
      <c r="KK224" s="17"/>
      <c r="KL224" s="17"/>
      <c r="KM224" s="17"/>
      <c r="KN224" s="17"/>
      <c r="KO224" s="17"/>
      <c r="KP224" s="17"/>
      <c r="KQ224" s="17"/>
      <c r="KR224" s="17"/>
      <c r="KS224" s="17"/>
      <c r="KT224" s="17"/>
      <c r="KU224" s="17"/>
      <c r="KV224" s="17"/>
      <c r="KW224" s="17"/>
      <c r="KX224" s="17"/>
      <c r="KY224" s="17"/>
      <c r="KZ224" s="17"/>
      <c r="LA224" s="17"/>
      <c r="LB224" s="17"/>
      <c r="LC224" s="17"/>
      <c r="LD224" s="17"/>
      <c r="LE224" s="17"/>
      <c r="LF224" s="17"/>
      <c r="LG224" s="17"/>
      <c r="LH224" s="17"/>
      <c r="LI224" s="17"/>
      <c r="LJ224" s="17"/>
      <c r="LK224" s="17"/>
      <c r="LL224" s="17"/>
      <c r="LM224" s="17"/>
      <c r="LN224" s="17"/>
      <c r="LO224" s="17"/>
      <c r="LP224" s="17"/>
      <c r="LQ224" s="17"/>
      <c r="LR224" s="17"/>
      <c r="LS224" s="17"/>
      <c r="LT224" s="17"/>
      <c r="LU224" s="17"/>
      <c r="LV224" s="17"/>
      <c r="LW224" s="17"/>
      <c r="LX224" s="17"/>
      <c r="LY224" s="17"/>
      <c r="LZ224" s="17"/>
      <c r="MA224" s="17"/>
      <c r="MB224" s="17"/>
      <c r="MC224" s="17"/>
      <c r="MD224" s="17"/>
      <c r="ME224" s="17"/>
      <c r="MF224" s="17"/>
      <c r="MG224" s="17"/>
      <c r="MH224" s="17"/>
      <c r="MI224" s="17"/>
      <c r="MJ224" s="17"/>
      <c r="MK224" s="17"/>
      <c r="ML224" s="17"/>
      <c r="MM224" s="17"/>
      <c r="MN224" s="17"/>
      <c r="MO224" s="17"/>
      <c r="MP224" s="17"/>
      <c r="MQ224" s="17"/>
      <c r="MR224" s="17"/>
      <c r="MS224" s="17"/>
      <c r="MT224" s="17"/>
      <c r="MU224" s="17"/>
      <c r="MV224" s="17"/>
      <c r="MW224" s="17"/>
      <c r="MX224" s="17"/>
      <c r="MY224" s="17"/>
      <c r="MZ224" s="17"/>
      <c r="NA224" s="17"/>
      <c r="NB224" s="17"/>
      <c r="NC224" s="17"/>
      <c r="ND224" s="17"/>
      <c r="NE224" s="17"/>
      <c r="NF224" s="17"/>
      <c r="NG224" s="17"/>
      <c r="NH224" s="17"/>
      <c r="NI224" s="17"/>
      <c r="NJ224" s="17"/>
      <c r="NK224" s="17"/>
      <c r="NL224" s="17"/>
      <c r="NM224" s="17"/>
      <c r="NN224" s="17"/>
      <c r="NO224" s="17"/>
      <c r="NP224" s="17"/>
      <c r="NQ224" s="17"/>
      <c r="NR224" s="17"/>
      <c r="NS224" s="17"/>
      <c r="NT224" s="17"/>
      <c r="NU224" s="17"/>
      <c r="NV224" s="17"/>
      <c r="NW224" s="17"/>
      <c r="NX224" s="17"/>
      <c r="NY224" s="17"/>
      <c r="NZ224" s="17"/>
      <c r="OA224" s="17"/>
      <c r="OB224" s="17"/>
      <c r="OC224" s="17"/>
      <c r="OD224" s="17"/>
      <c r="OE224" s="17"/>
      <c r="OF224" s="17"/>
      <c r="OG224" s="17"/>
      <c r="OH224" s="17"/>
      <c r="OI224" s="17"/>
      <c r="OJ224" s="17"/>
      <c r="OK224" s="17"/>
      <c r="OL224" s="17"/>
      <c r="OM224" s="17"/>
      <c r="ON224" s="17"/>
      <c r="OO224" s="17"/>
      <c r="OP224" s="17"/>
      <c r="OQ224" s="17"/>
      <c r="OR224" s="17"/>
      <c r="OS224" s="17"/>
      <c r="OT224" s="17"/>
      <c r="OU224" s="17"/>
      <c r="OV224" s="17"/>
      <c r="OW224" s="17"/>
      <c r="OX224" s="17"/>
      <c r="OY224" s="17"/>
      <c r="OZ224" s="17"/>
      <c r="PA224" s="17"/>
      <c r="PB224" s="17"/>
      <c r="PC224" s="17"/>
      <c r="PD224" s="17"/>
      <c r="PE224" s="17"/>
      <c r="PF224" s="17"/>
      <c r="PG224" s="17"/>
      <c r="PH224" s="17"/>
      <c r="PI224" s="17"/>
      <c r="PJ224" s="17"/>
      <c r="PK224" s="17"/>
      <c r="PL224" s="17"/>
      <c r="PM224" s="17"/>
      <c r="PN224" s="17"/>
      <c r="PO224" s="17"/>
      <c r="PP224" s="17"/>
      <c r="PQ224" s="17"/>
      <c r="PR224" s="17"/>
      <c r="PS224" s="17"/>
      <c r="PT224" s="17"/>
      <c r="PU224" s="17"/>
      <c r="PV224" s="17"/>
      <c r="PW224" s="17"/>
      <c r="PX224" s="17"/>
      <c r="PY224" s="17"/>
      <c r="PZ224" s="17"/>
      <c r="QA224" s="17"/>
      <c r="QB224" s="17"/>
      <c r="QC224" s="17"/>
      <c r="QD224" s="17"/>
      <c r="QE224" s="17"/>
      <c r="QF224" s="17"/>
      <c r="QG224" s="17"/>
      <c r="QH224" s="17"/>
      <c r="QI224" s="17"/>
      <c r="QJ224" s="17"/>
      <c r="QK224" s="17"/>
      <c r="QL224" s="17"/>
      <c r="QM224" s="17"/>
      <c r="QN224" s="17"/>
      <c r="QO224" s="17"/>
      <c r="QP224" s="17"/>
      <c r="QQ224" s="17"/>
      <c r="QR224" s="17"/>
      <c r="QS224" s="17"/>
      <c r="QT224" s="17"/>
      <c r="QU224" s="17"/>
      <c r="QV224" s="17"/>
      <c r="QW224" s="17"/>
      <c r="QX224" s="17"/>
      <c r="QY224" s="17"/>
      <c r="QZ224" s="17"/>
      <c r="RA224" s="17"/>
      <c r="RB224" s="17"/>
      <c r="RC224" s="17"/>
      <c r="RD224" s="17"/>
      <c r="RE224" s="17"/>
      <c r="RF224" s="17"/>
      <c r="RG224" s="17"/>
      <c r="RH224" s="17"/>
      <c r="RI224" s="17"/>
      <c r="RJ224" s="17"/>
      <c r="RK224" s="17"/>
      <c r="RL224" s="17"/>
      <c r="RM224" s="17"/>
      <c r="RN224" s="17"/>
      <c r="RO224" s="17"/>
      <c r="RP224" s="17"/>
      <c r="RQ224" s="17"/>
      <c r="RR224" s="17"/>
      <c r="RS224" s="17"/>
      <c r="RT224" s="17"/>
      <c r="RU224" s="17"/>
      <c r="RV224" s="17"/>
      <c r="RW224" s="17"/>
      <c r="RX224" s="17"/>
      <c r="RY224" s="17"/>
      <c r="RZ224" s="17"/>
      <c r="SA224" s="17"/>
      <c r="SB224" s="17"/>
      <c r="SC224" s="17"/>
      <c r="SD224" s="17"/>
      <c r="SE224" s="17"/>
      <c r="SF224" s="17"/>
      <c r="SG224" s="17"/>
      <c r="SH224" s="17"/>
      <c r="SI224" s="17"/>
      <c r="SJ224" s="17"/>
      <c r="SK224" s="17"/>
      <c r="SL224" s="17"/>
      <c r="SM224" s="17"/>
      <c r="SN224" s="17"/>
      <c r="SO224" s="17"/>
      <c r="SP224" s="17"/>
      <c r="SQ224" s="17"/>
      <c r="SR224" s="17"/>
      <c r="SS224" s="17"/>
      <c r="ST224" s="17"/>
      <c r="SU224" s="17"/>
      <c r="SV224" s="17"/>
      <c r="SW224" s="17"/>
      <c r="SX224" s="17"/>
      <c r="SY224" s="17"/>
      <c r="SZ224" s="17"/>
      <c r="TA224" s="17"/>
      <c r="TB224" s="17"/>
      <c r="TC224" s="17"/>
      <c r="TD224" s="17"/>
      <c r="TE224" s="17"/>
      <c r="TF224" s="17"/>
      <c r="TG224" s="17"/>
      <c r="TH224" s="17"/>
      <c r="TI224" s="17"/>
      <c r="TJ224" s="17"/>
      <c r="TK224" s="17"/>
      <c r="TL224" s="17"/>
      <c r="TM224" s="17"/>
      <c r="TN224" s="17"/>
      <c r="TO224" s="17"/>
      <c r="TP224" s="17"/>
      <c r="TQ224" s="17"/>
      <c r="TR224" s="17"/>
      <c r="TS224" s="17"/>
      <c r="TT224" s="17"/>
      <c r="TU224" s="17"/>
      <c r="TV224" s="17"/>
      <c r="TW224" s="17"/>
      <c r="TX224" s="17"/>
      <c r="TY224" s="17"/>
      <c r="TZ224" s="17"/>
      <c r="UA224" s="17"/>
      <c r="UB224" s="17"/>
      <c r="UC224" s="17"/>
      <c r="UD224" s="17"/>
      <c r="UE224" s="17"/>
      <c r="UF224" s="17"/>
      <c r="UG224" s="17"/>
      <c r="UH224" s="17"/>
      <c r="UI224" s="17"/>
      <c r="UJ224" s="17"/>
      <c r="UK224" s="17"/>
      <c r="UL224" s="17"/>
      <c r="UM224" s="17"/>
      <c r="UN224" s="17"/>
      <c r="UO224" s="17"/>
      <c r="UP224" s="17"/>
      <c r="UQ224" s="17"/>
      <c r="UR224" s="17"/>
      <c r="US224" s="17"/>
      <c r="UT224" s="17"/>
      <c r="UU224" s="17"/>
      <c r="UV224" s="17"/>
      <c r="UW224" s="17"/>
      <c r="UX224" s="17"/>
      <c r="UY224" s="17"/>
      <c r="UZ224" s="17"/>
      <c r="VA224" s="17"/>
      <c r="VB224" s="17"/>
      <c r="VC224" s="17"/>
      <c r="VD224" s="17"/>
      <c r="VE224" s="17"/>
      <c r="VF224" s="17"/>
      <c r="VG224" s="17"/>
      <c r="VH224" s="17"/>
      <c r="VI224" s="17"/>
      <c r="VJ224" s="17"/>
      <c r="VK224" s="17"/>
      <c r="VL224" s="17"/>
      <c r="VM224" s="17"/>
      <c r="VN224" s="17"/>
      <c r="VO224" s="17"/>
      <c r="VP224" s="17"/>
      <c r="VQ224" s="17"/>
      <c r="VR224" s="17"/>
      <c r="VS224" s="17"/>
      <c r="VT224" s="17"/>
      <c r="VU224" s="17"/>
      <c r="VV224" s="17"/>
      <c r="VW224" s="17"/>
      <c r="VX224" s="17"/>
      <c r="VY224" s="17"/>
      <c r="VZ224" s="17"/>
      <c r="WA224" s="17"/>
      <c r="WB224" s="17"/>
      <c r="WC224" s="17"/>
      <c r="WD224" s="17"/>
      <c r="WE224" s="17"/>
      <c r="WF224" s="17"/>
      <c r="WG224" s="17"/>
      <c r="WH224" s="17"/>
      <c r="WI224" s="17"/>
      <c r="WJ224" s="17"/>
      <c r="WK224" s="17"/>
      <c r="WL224" s="17"/>
      <c r="WM224" s="17"/>
      <c r="WN224" s="17"/>
      <c r="WO224" s="17"/>
      <c r="WP224" s="17"/>
      <c r="WQ224" s="17"/>
      <c r="WR224" s="17"/>
      <c r="WS224" s="17"/>
      <c r="WT224" s="17"/>
      <c r="WU224" s="17"/>
      <c r="WV224" s="17"/>
      <c r="WW224" s="17"/>
      <c r="WX224" s="17"/>
      <c r="WY224" s="17"/>
      <c r="WZ224" s="17"/>
      <c r="XA224" s="17"/>
      <c r="XB224" s="17"/>
      <c r="XC224" s="17"/>
      <c r="XD224" s="17"/>
      <c r="XE224" s="17"/>
      <c r="XF224" s="17"/>
      <c r="XG224" s="17"/>
      <c r="XH224" s="17"/>
      <c r="XI224" s="17"/>
      <c r="XJ224" s="17"/>
      <c r="XK224" s="17"/>
      <c r="XL224" s="17"/>
      <c r="XM224" s="17"/>
      <c r="XN224" s="17"/>
      <c r="XO224" s="17"/>
      <c r="XP224" s="17"/>
      <c r="XQ224" s="17"/>
      <c r="XR224" s="17"/>
      <c r="XS224" s="17"/>
      <c r="XT224" s="17"/>
      <c r="XU224" s="17"/>
      <c r="XV224" s="17"/>
      <c r="XW224" s="17"/>
      <c r="XX224" s="17"/>
      <c r="XY224" s="17"/>
      <c r="XZ224" s="17"/>
      <c r="YA224" s="17"/>
      <c r="YB224" s="17"/>
      <c r="YC224" s="17"/>
      <c r="YD224" s="17"/>
      <c r="YE224" s="17"/>
      <c r="YF224" s="17"/>
      <c r="YG224" s="17"/>
      <c r="YH224" s="17"/>
      <c r="YI224" s="17"/>
      <c r="YJ224" s="17"/>
      <c r="YK224" s="17"/>
      <c r="YL224" s="17"/>
      <c r="YM224" s="17"/>
      <c r="YN224" s="17"/>
      <c r="YO224" s="17"/>
      <c r="YP224" s="17"/>
      <c r="YQ224" s="17"/>
      <c r="YR224" s="17"/>
      <c r="YS224" s="17"/>
    </row>
    <row r="225" spans="266:669" x14ac:dyDescent="0.25">
      <c r="JF225" s="17"/>
      <c r="JG225" s="17"/>
      <c r="JH225" s="17"/>
      <c r="JI225" s="17"/>
      <c r="JJ225" s="17"/>
      <c r="JK225" s="17"/>
      <c r="JL225" s="17"/>
      <c r="JM225" s="17"/>
      <c r="JN225" s="17"/>
      <c r="JO225" s="17"/>
      <c r="JP225" s="17"/>
      <c r="JQ225" s="17"/>
      <c r="JR225" s="17"/>
      <c r="JS225" s="17"/>
      <c r="JT225" s="17"/>
      <c r="JU225" s="17"/>
      <c r="JV225" s="17"/>
      <c r="JW225" s="17"/>
      <c r="JX225" s="17"/>
      <c r="JY225" s="17"/>
      <c r="JZ225" s="17"/>
      <c r="KA225" s="17"/>
      <c r="KB225" s="17"/>
      <c r="KC225" s="17"/>
      <c r="KD225" s="17"/>
      <c r="KE225" s="17"/>
      <c r="KF225" s="17"/>
      <c r="KG225" s="17"/>
      <c r="KH225" s="17"/>
      <c r="KI225" s="17"/>
      <c r="KJ225" s="17"/>
      <c r="KK225" s="17"/>
      <c r="KL225" s="17"/>
      <c r="KM225" s="17"/>
      <c r="KN225" s="17"/>
      <c r="KO225" s="17"/>
      <c r="KP225" s="17"/>
      <c r="KQ225" s="17"/>
      <c r="KR225" s="17"/>
      <c r="KS225" s="17"/>
      <c r="KT225" s="17"/>
      <c r="KU225" s="17"/>
      <c r="KV225" s="17"/>
      <c r="KW225" s="17"/>
      <c r="KX225" s="17"/>
      <c r="KY225" s="17"/>
      <c r="KZ225" s="17"/>
      <c r="LA225" s="17"/>
      <c r="LB225" s="17"/>
      <c r="LC225" s="17"/>
      <c r="LD225" s="17"/>
      <c r="LE225" s="17"/>
      <c r="LF225" s="17"/>
      <c r="LG225" s="17"/>
      <c r="LH225" s="17"/>
      <c r="LI225" s="17"/>
      <c r="LJ225" s="17"/>
      <c r="LK225" s="17"/>
      <c r="LL225" s="17"/>
      <c r="LM225" s="17"/>
      <c r="LN225" s="17"/>
      <c r="LO225" s="17"/>
      <c r="LP225" s="17"/>
      <c r="LQ225" s="17"/>
      <c r="LR225" s="17"/>
      <c r="LS225" s="17"/>
      <c r="LT225" s="17"/>
      <c r="LU225" s="17"/>
      <c r="LV225" s="17"/>
      <c r="LW225" s="17"/>
      <c r="LX225" s="17"/>
      <c r="LY225" s="17"/>
      <c r="LZ225" s="17"/>
      <c r="MA225" s="17"/>
      <c r="MB225" s="17"/>
      <c r="MC225" s="17"/>
      <c r="MD225" s="17"/>
      <c r="ME225" s="17"/>
      <c r="MF225" s="17"/>
      <c r="MG225" s="17"/>
      <c r="MH225" s="17"/>
      <c r="MI225" s="17"/>
      <c r="MJ225" s="17"/>
      <c r="MK225" s="17"/>
      <c r="ML225" s="17"/>
      <c r="MM225" s="17"/>
      <c r="MN225" s="17"/>
      <c r="MO225" s="17"/>
      <c r="MP225" s="17"/>
      <c r="MQ225" s="17"/>
      <c r="MR225" s="17"/>
      <c r="MS225" s="17"/>
      <c r="MT225" s="17"/>
      <c r="MU225" s="17"/>
      <c r="MV225" s="17"/>
      <c r="MW225" s="17"/>
      <c r="MX225" s="17"/>
      <c r="MY225" s="17"/>
      <c r="MZ225" s="17"/>
      <c r="NA225" s="17"/>
      <c r="NB225" s="17"/>
      <c r="NC225" s="17"/>
      <c r="ND225" s="17"/>
      <c r="NE225" s="17"/>
      <c r="NF225" s="17"/>
      <c r="NG225" s="17"/>
      <c r="NH225" s="17"/>
      <c r="NI225" s="17"/>
      <c r="NJ225" s="17"/>
      <c r="NK225" s="17"/>
      <c r="NL225" s="17"/>
      <c r="NM225" s="17"/>
      <c r="NN225" s="17"/>
      <c r="NO225" s="17"/>
      <c r="NP225" s="17"/>
      <c r="NQ225" s="17"/>
      <c r="NR225" s="17"/>
      <c r="NS225" s="17"/>
      <c r="NT225" s="17"/>
      <c r="NU225" s="17"/>
      <c r="NV225" s="17"/>
      <c r="NW225" s="17"/>
      <c r="NX225" s="17"/>
      <c r="NY225" s="17"/>
      <c r="NZ225" s="17"/>
      <c r="OA225" s="17"/>
      <c r="OB225" s="17"/>
      <c r="OC225" s="17"/>
      <c r="OD225" s="17"/>
      <c r="OE225" s="17"/>
      <c r="OF225" s="17"/>
      <c r="OG225" s="17"/>
      <c r="OH225" s="17"/>
      <c r="OI225" s="17"/>
      <c r="OJ225" s="17"/>
      <c r="OK225" s="17"/>
      <c r="OL225" s="17"/>
      <c r="OM225" s="17"/>
      <c r="ON225" s="17"/>
      <c r="OO225" s="17"/>
      <c r="OP225" s="17"/>
      <c r="OQ225" s="17"/>
      <c r="OR225" s="17"/>
      <c r="OS225" s="17"/>
      <c r="OT225" s="17"/>
      <c r="OU225" s="17"/>
      <c r="OV225" s="17"/>
      <c r="OW225" s="17"/>
      <c r="OX225" s="17"/>
      <c r="OY225" s="17"/>
      <c r="OZ225" s="17"/>
      <c r="PA225" s="17"/>
      <c r="PB225" s="17"/>
      <c r="PC225" s="17"/>
      <c r="PD225" s="17"/>
      <c r="PE225" s="17"/>
      <c r="PF225" s="17"/>
      <c r="PG225" s="17"/>
      <c r="PH225" s="17"/>
      <c r="PI225" s="17"/>
      <c r="PJ225" s="17"/>
      <c r="PK225" s="17"/>
      <c r="PL225" s="17"/>
      <c r="PM225" s="17"/>
      <c r="PN225" s="17"/>
      <c r="PO225" s="17"/>
      <c r="PP225" s="17"/>
      <c r="PQ225" s="17"/>
      <c r="PR225" s="17"/>
      <c r="PS225" s="17"/>
      <c r="PT225" s="17"/>
      <c r="PU225" s="17"/>
      <c r="PV225" s="17"/>
      <c r="PW225" s="17"/>
      <c r="PX225" s="17"/>
      <c r="PY225" s="17"/>
      <c r="PZ225" s="17"/>
      <c r="QA225" s="17"/>
      <c r="QB225" s="17"/>
      <c r="QC225" s="17"/>
      <c r="QD225" s="17"/>
      <c r="QE225" s="17"/>
      <c r="QF225" s="17"/>
      <c r="QG225" s="17"/>
      <c r="QH225" s="17"/>
      <c r="QI225" s="17"/>
      <c r="QJ225" s="17"/>
      <c r="QK225" s="17"/>
      <c r="QL225" s="17"/>
      <c r="QM225" s="17"/>
      <c r="QN225" s="17"/>
      <c r="QO225" s="17"/>
      <c r="QP225" s="17"/>
      <c r="QQ225" s="17"/>
      <c r="QR225" s="17"/>
      <c r="QS225" s="17"/>
      <c r="QT225" s="17"/>
      <c r="QU225" s="17"/>
      <c r="QV225" s="17"/>
      <c r="QW225" s="17"/>
      <c r="QX225" s="17"/>
      <c r="QY225" s="17"/>
      <c r="QZ225" s="17"/>
      <c r="RA225" s="17"/>
      <c r="RB225" s="17"/>
      <c r="RC225" s="17"/>
      <c r="RD225" s="17"/>
      <c r="RE225" s="17"/>
      <c r="RF225" s="17"/>
      <c r="RG225" s="17"/>
      <c r="RH225" s="17"/>
      <c r="RI225" s="17"/>
      <c r="RJ225" s="17"/>
      <c r="RK225" s="17"/>
      <c r="RL225" s="17"/>
      <c r="RM225" s="17"/>
      <c r="RN225" s="17"/>
      <c r="RO225" s="17"/>
      <c r="RP225" s="17"/>
      <c r="RQ225" s="17"/>
      <c r="RR225" s="17"/>
      <c r="RS225" s="17"/>
      <c r="RT225" s="17"/>
      <c r="RU225" s="17"/>
      <c r="RV225" s="17"/>
      <c r="RW225" s="17"/>
      <c r="RX225" s="17"/>
      <c r="RY225" s="17"/>
      <c r="RZ225" s="17"/>
      <c r="SA225" s="17"/>
      <c r="SB225" s="17"/>
      <c r="SC225" s="17"/>
      <c r="SD225" s="17"/>
      <c r="SE225" s="17"/>
      <c r="SF225" s="17"/>
      <c r="SG225" s="17"/>
      <c r="SH225" s="17"/>
      <c r="SI225" s="17"/>
      <c r="SJ225" s="17"/>
      <c r="SK225" s="17"/>
      <c r="SL225" s="17"/>
      <c r="SM225" s="17"/>
      <c r="SN225" s="17"/>
      <c r="SO225" s="17"/>
      <c r="SP225" s="17"/>
      <c r="SQ225" s="17"/>
      <c r="SR225" s="17"/>
      <c r="SS225" s="17"/>
      <c r="ST225" s="17"/>
      <c r="SU225" s="17"/>
      <c r="SV225" s="17"/>
      <c r="SW225" s="17"/>
      <c r="SX225" s="17"/>
      <c r="SY225" s="17"/>
      <c r="SZ225" s="17"/>
      <c r="TA225" s="17"/>
      <c r="TB225" s="17"/>
      <c r="TC225" s="17"/>
      <c r="TD225" s="17"/>
      <c r="TE225" s="17"/>
      <c r="TF225" s="17"/>
      <c r="TG225" s="17"/>
      <c r="TH225" s="17"/>
      <c r="TI225" s="17"/>
      <c r="TJ225" s="17"/>
      <c r="TK225" s="17"/>
      <c r="TL225" s="17"/>
      <c r="TM225" s="17"/>
      <c r="TN225" s="17"/>
      <c r="TO225" s="17"/>
      <c r="TP225" s="17"/>
      <c r="TQ225" s="17"/>
      <c r="TR225" s="17"/>
      <c r="TS225" s="17"/>
      <c r="TT225" s="17"/>
      <c r="TU225" s="17"/>
      <c r="TV225" s="17"/>
      <c r="TW225" s="17"/>
      <c r="TX225" s="17"/>
      <c r="TY225" s="17"/>
      <c r="TZ225" s="17"/>
      <c r="UA225" s="17"/>
      <c r="UB225" s="17"/>
      <c r="UC225" s="17"/>
      <c r="UD225" s="17"/>
      <c r="UE225" s="17"/>
      <c r="UF225" s="17"/>
      <c r="UG225" s="17"/>
      <c r="UH225" s="17"/>
      <c r="UI225" s="17"/>
      <c r="UJ225" s="17"/>
      <c r="UK225" s="17"/>
      <c r="UL225" s="17"/>
      <c r="UM225" s="17"/>
      <c r="UN225" s="17"/>
      <c r="UO225" s="17"/>
      <c r="UP225" s="17"/>
      <c r="UQ225" s="17"/>
      <c r="UR225" s="17"/>
      <c r="US225" s="17"/>
      <c r="UT225" s="17"/>
      <c r="UU225" s="17"/>
      <c r="UV225" s="17"/>
      <c r="UW225" s="17"/>
      <c r="UX225" s="17"/>
      <c r="UY225" s="17"/>
      <c r="UZ225" s="17"/>
      <c r="VA225" s="17"/>
      <c r="VB225" s="17"/>
      <c r="VC225" s="17"/>
      <c r="VD225" s="17"/>
      <c r="VE225" s="17"/>
      <c r="VF225" s="17"/>
      <c r="VG225" s="17"/>
      <c r="VH225" s="17"/>
      <c r="VI225" s="17"/>
      <c r="VJ225" s="17"/>
      <c r="VK225" s="17"/>
      <c r="VL225" s="17"/>
      <c r="VM225" s="17"/>
      <c r="VN225" s="17"/>
      <c r="VO225" s="17"/>
      <c r="VP225" s="17"/>
      <c r="VQ225" s="17"/>
      <c r="VR225" s="17"/>
      <c r="VS225" s="17"/>
      <c r="VT225" s="17"/>
      <c r="VU225" s="17"/>
      <c r="VV225" s="17"/>
      <c r="VW225" s="17"/>
      <c r="VX225" s="17"/>
      <c r="VY225" s="17"/>
      <c r="VZ225" s="17"/>
      <c r="WA225" s="17"/>
      <c r="WB225" s="17"/>
      <c r="WC225" s="17"/>
      <c r="WD225" s="17"/>
      <c r="WE225" s="17"/>
      <c r="WF225" s="17"/>
      <c r="WG225" s="17"/>
      <c r="WH225" s="17"/>
      <c r="WI225" s="17"/>
      <c r="WJ225" s="17"/>
      <c r="WK225" s="17"/>
      <c r="WL225" s="17"/>
      <c r="WM225" s="17"/>
      <c r="WN225" s="17"/>
      <c r="WO225" s="17"/>
      <c r="WP225" s="17"/>
      <c r="WQ225" s="17"/>
      <c r="WR225" s="17"/>
      <c r="WS225" s="17"/>
      <c r="WT225" s="17"/>
      <c r="WU225" s="17"/>
      <c r="WV225" s="17"/>
      <c r="WW225" s="17"/>
      <c r="WX225" s="17"/>
      <c r="WY225" s="17"/>
      <c r="WZ225" s="17"/>
      <c r="XA225" s="17"/>
      <c r="XB225" s="17"/>
      <c r="XC225" s="17"/>
      <c r="XD225" s="17"/>
      <c r="XE225" s="17"/>
      <c r="XF225" s="17"/>
      <c r="XG225" s="17"/>
      <c r="XH225" s="17"/>
      <c r="XI225" s="17"/>
      <c r="XJ225" s="17"/>
      <c r="XK225" s="17"/>
      <c r="XL225" s="17"/>
      <c r="XM225" s="17"/>
      <c r="XN225" s="17"/>
      <c r="XO225" s="17"/>
      <c r="XP225" s="17"/>
      <c r="XQ225" s="17"/>
      <c r="XR225" s="17"/>
      <c r="XS225" s="17"/>
      <c r="XT225" s="17"/>
      <c r="XU225" s="17"/>
      <c r="XV225" s="17"/>
      <c r="XW225" s="17"/>
      <c r="XX225" s="17"/>
      <c r="XY225" s="17"/>
      <c r="XZ225" s="17"/>
      <c r="YA225" s="17"/>
      <c r="YB225" s="17"/>
      <c r="YC225" s="17"/>
      <c r="YD225" s="17"/>
      <c r="YE225" s="17"/>
      <c r="YF225" s="17"/>
      <c r="YG225" s="17"/>
      <c r="YH225" s="17"/>
      <c r="YI225" s="17"/>
      <c r="YJ225" s="17"/>
      <c r="YK225" s="17"/>
      <c r="YL225" s="17"/>
      <c r="YM225" s="17"/>
      <c r="YN225" s="17"/>
      <c r="YO225" s="17"/>
      <c r="YP225" s="17"/>
      <c r="YQ225" s="17"/>
      <c r="YR225" s="17"/>
      <c r="YS225" s="17"/>
    </row>
    <row r="226" spans="266:669" x14ac:dyDescent="0.25">
      <c r="JF226" s="17"/>
      <c r="JG226" s="17"/>
      <c r="JH226" s="17"/>
      <c r="JI226" s="17"/>
      <c r="JJ226" s="17"/>
      <c r="JK226" s="17"/>
      <c r="JL226" s="17"/>
      <c r="JM226" s="17"/>
      <c r="JN226" s="17"/>
      <c r="JO226" s="17"/>
      <c r="JP226" s="17"/>
      <c r="JQ226" s="17"/>
      <c r="JR226" s="17"/>
      <c r="JS226" s="17"/>
      <c r="JT226" s="17"/>
      <c r="JU226" s="17"/>
      <c r="JV226" s="17"/>
      <c r="JW226" s="17"/>
      <c r="JX226" s="17"/>
      <c r="JY226" s="17"/>
      <c r="JZ226" s="17"/>
      <c r="KA226" s="17"/>
      <c r="KB226" s="17"/>
      <c r="KC226" s="17"/>
      <c r="KD226" s="17"/>
      <c r="KE226" s="17"/>
      <c r="KF226" s="17"/>
      <c r="KG226" s="17"/>
      <c r="KH226" s="17"/>
      <c r="KI226" s="17"/>
      <c r="KJ226" s="17"/>
      <c r="KK226" s="17"/>
      <c r="KL226" s="17"/>
      <c r="KM226" s="17"/>
      <c r="KN226" s="17"/>
      <c r="KO226" s="17"/>
      <c r="KP226" s="17"/>
      <c r="KQ226" s="17"/>
      <c r="KR226" s="17"/>
      <c r="KS226" s="17"/>
      <c r="KT226" s="17"/>
      <c r="KU226" s="17"/>
      <c r="KV226" s="17"/>
      <c r="KW226" s="17"/>
      <c r="KX226" s="17"/>
      <c r="KY226" s="17"/>
      <c r="KZ226" s="17"/>
      <c r="LA226" s="17"/>
      <c r="LB226" s="17"/>
      <c r="LC226" s="17"/>
      <c r="LD226" s="17"/>
      <c r="LE226" s="17"/>
      <c r="LF226" s="17"/>
      <c r="LG226" s="17"/>
      <c r="LH226" s="17"/>
      <c r="LI226" s="17"/>
      <c r="LJ226" s="17"/>
      <c r="LK226" s="17"/>
      <c r="LL226" s="17"/>
      <c r="LM226" s="17"/>
      <c r="LN226" s="17"/>
      <c r="LO226" s="17"/>
      <c r="LP226" s="17"/>
      <c r="LQ226" s="17"/>
      <c r="LR226" s="17"/>
      <c r="LS226" s="17"/>
      <c r="LT226" s="17"/>
      <c r="LU226" s="17"/>
      <c r="LV226" s="17"/>
      <c r="LW226" s="17"/>
      <c r="LX226" s="17"/>
      <c r="LY226" s="17"/>
      <c r="LZ226" s="17"/>
      <c r="MA226" s="17"/>
      <c r="MB226" s="17"/>
      <c r="MC226" s="17"/>
      <c r="MD226" s="17"/>
      <c r="ME226" s="17"/>
      <c r="MF226" s="17"/>
      <c r="MG226" s="17"/>
      <c r="MH226" s="17"/>
      <c r="MI226" s="17"/>
      <c r="MJ226" s="17"/>
      <c r="MK226" s="17"/>
      <c r="ML226" s="17"/>
      <c r="MM226" s="17"/>
      <c r="MN226" s="17"/>
      <c r="MO226" s="17"/>
      <c r="MP226" s="17"/>
      <c r="MQ226" s="17"/>
      <c r="MR226" s="17"/>
      <c r="MS226" s="17"/>
      <c r="MT226" s="17"/>
      <c r="MU226" s="17"/>
      <c r="MV226" s="17"/>
      <c r="MW226" s="17"/>
      <c r="MX226" s="17"/>
      <c r="MY226" s="17"/>
      <c r="MZ226" s="17"/>
      <c r="NA226" s="17"/>
      <c r="NB226" s="17"/>
      <c r="NC226" s="17"/>
      <c r="ND226" s="17"/>
      <c r="NE226" s="17"/>
      <c r="NF226" s="17"/>
      <c r="NG226" s="17"/>
      <c r="NH226" s="17"/>
      <c r="NI226" s="17"/>
      <c r="NJ226" s="17"/>
      <c r="NK226" s="17"/>
      <c r="NL226" s="17"/>
      <c r="NM226" s="17"/>
      <c r="NN226" s="17"/>
      <c r="NO226" s="17"/>
      <c r="NP226" s="17"/>
      <c r="NQ226" s="17"/>
      <c r="NR226" s="17"/>
      <c r="NS226" s="17"/>
      <c r="NT226" s="17"/>
      <c r="NU226" s="17"/>
      <c r="NV226" s="17"/>
      <c r="NW226" s="17"/>
      <c r="NX226" s="17"/>
      <c r="NY226" s="17"/>
      <c r="NZ226" s="17"/>
      <c r="OA226" s="17"/>
      <c r="OB226" s="17"/>
      <c r="OC226" s="17"/>
      <c r="OD226" s="17"/>
      <c r="OE226" s="17"/>
      <c r="OF226" s="17"/>
      <c r="OG226" s="17"/>
      <c r="OH226" s="17"/>
      <c r="OI226" s="17"/>
      <c r="OJ226" s="17"/>
      <c r="OK226" s="17"/>
      <c r="OL226" s="17"/>
      <c r="OM226" s="17"/>
      <c r="ON226" s="17"/>
      <c r="OO226" s="17"/>
      <c r="OP226" s="17"/>
      <c r="OQ226" s="17"/>
      <c r="OR226" s="17"/>
      <c r="OS226" s="17"/>
      <c r="OT226" s="17"/>
      <c r="OU226" s="17"/>
      <c r="OV226" s="17"/>
      <c r="OW226" s="17"/>
      <c r="OX226" s="17"/>
      <c r="OY226" s="17"/>
      <c r="OZ226" s="17"/>
      <c r="PA226" s="17"/>
      <c r="PB226" s="17"/>
      <c r="PC226" s="17"/>
      <c r="PD226" s="17"/>
      <c r="PE226" s="17"/>
      <c r="PF226" s="17"/>
      <c r="PG226" s="17"/>
      <c r="PH226" s="17"/>
      <c r="PI226" s="17"/>
      <c r="PJ226" s="17"/>
      <c r="PK226" s="17"/>
      <c r="PL226" s="17"/>
      <c r="PM226" s="17"/>
      <c r="PN226" s="17"/>
      <c r="PO226" s="17"/>
      <c r="PP226" s="17"/>
      <c r="PQ226" s="17"/>
      <c r="PR226" s="17"/>
      <c r="PS226" s="17"/>
      <c r="PT226" s="17"/>
      <c r="PU226" s="17"/>
      <c r="PV226" s="17"/>
      <c r="PW226" s="17"/>
      <c r="PX226" s="17"/>
      <c r="PY226" s="17"/>
      <c r="PZ226" s="17"/>
      <c r="QA226" s="17"/>
      <c r="QB226" s="17"/>
      <c r="QC226" s="17"/>
      <c r="QD226" s="17"/>
      <c r="QE226" s="17"/>
      <c r="QF226" s="17"/>
      <c r="QG226" s="17"/>
      <c r="QH226" s="17"/>
      <c r="QI226" s="17"/>
      <c r="QJ226" s="17"/>
      <c r="QK226" s="17"/>
      <c r="QL226" s="17"/>
      <c r="QM226" s="17"/>
      <c r="QN226" s="17"/>
      <c r="QO226" s="17"/>
      <c r="QP226" s="17"/>
      <c r="QQ226" s="17"/>
      <c r="QR226" s="17"/>
      <c r="QS226" s="17"/>
      <c r="QT226" s="17"/>
      <c r="QU226" s="17"/>
      <c r="QV226" s="17"/>
      <c r="QW226" s="17"/>
      <c r="QX226" s="17"/>
      <c r="QY226" s="17"/>
      <c r="QZ226" s="17"/>
      <c r="RA226" s="17"/>
      <c r="RB226" s="17"/>
      <c r="RC226" s="17"/>
      <c r="RD226" s="17"/>
      <c r="RE226" s="17"/>
      <c r="RF226" s="17"/>
      <c r="RG226" s="17"/>
      <c r="RH226" s="17"/>
      <c r="RI226" s="17"/>
      <c r="RJ226" s="17"/>
      <c r="RK226" s="17"/>
      <c r="RL226" s="17"/>
      <c r="RM226" s="17"/>
      <c r="RN226" s="17"/>
      <c r="RO226" s="17"/>
      <c r="RP226" s="17"/>
      <c r="RQ226" s="17"/>
      <c r="RR226" s="17"/>
      <c r="RS226" s="17"/>
      <c r="RT226" s="17"/>
      <c r="RU226" s="17"/>
      <c r="RV226" s="17"/>
      <c r="RW226" s="17"/>
      <c r="RX226" s="17"/>
      <c r="RY226" s="17"/>
      <c r="RZ226" s="17"/>
      <c r="SA226" s="17"/>
      <c r="SB226" s="17"/>
      <c r="SC226" s="17"/>
      <c r="SD226" s="17"/>
      <c r="SE226" s="17"/>
      <c r="SF226" s="17"/>
      <c r="SG226" s="17"/>
      <c r="SH226" s="17"/>
      <c r="SI226" s="17"/>
      <c r="SJ226" s="17"/>
      <c r="SK226" s="17"/>
      <c r="SL226" s="17"/>
      <c r="SM226" s="17"/>
      <c r="SN226" s="17"/>
      <c r="SO226" s="17"/>
      <c r="SP226" s="17"/>
      <c r="SQ226" s="17"/>
      <c r="SR226" s="17"/>
      <c r="SS226" s="17"/>
      <c r="ST226" s="17"/>
      <c r="SU226" s="17"/>
      <c r="SV226" s="17"/>
      <c r="SW226" s="17"/>
      <c r="SX226" s="17"/>
      <c r="SY226" s="17"/>
      <c r="SZ226" s="17"/>
      <c r="TA226" s="17"/>
      <c r="TB226" s="17"/>
      <c r="TC226" s="17"/>
      <c r="TD226" s="17"/>
      <c r="TE226" s="17"/>
      <c r="TF226" s="17"/>
      <c r="TG226" s="17"/>
      <c r="TH226" s="17"/>
      <c r="TI226" s="17"/>
      <c r="TJ226" s="17"/>
      <c r="TK226" s="17"/>
      <c r="TL226" s="17"/>
      <c r="TM226" s="17"/>
      <c r="TN226" s="17"/>
      <c r="TO226" s="17"/>
      <c r="TP226" s="17"/>
      <c r="TQ226" s="17"/>
      <c r="TR226" s="17"/>
      <c r="TS226" s="17"/>
      <c r="TT226" s="17"/>
      <c r="TU226" s="17"/>
      <c r="TV226" s="17"/>
      <c r="TW226" s="17"/>
      <c r="TX226" s="17"/>
      <c r="TY226" s="17"/>
      <c r="TZ226" s="17"/>
      <c r="UA226" s="17"/>
      <c r="UB226" s="17"/>
      <c r="UC226" s="17"/>
      <c r="UD226" s="17"/>
      <c r="UE226" s="17"/>
      <c r="UF226" s="17"/>
      <c r="UG226" s="17"/>
      <c r="UH226" s="17"/>
      <c r="UI226" s="17"/>
      <c r="UJ226" s="17"/>
      <c r="UK226" s="17"/>
      <c r="UL226" s="17"/>
      <c r="UM226" s="17"/>
      <c r="UN226" s="17"/>
      <c r="UO226" s="17"/>
      <c r="UP226" s="17"/>
      <c r="UQ226" s="17"/>
      <c r="UR226" s="17"/>
      <c r="US226" s="17"/>
      <c r="UT226" s="17"/>
      <c r="UU226" s="17"/>
      <c r="UV226" s="17"/>
      <c r="UW226" s="17"/>
      <c r="UX226" s="17"/>
      <c r="UY226" s="17"/>
      <c r="UZ226" s="17"/>
      <c r="VA226" s="17"/>
      <c r="VB226" s="17"/>
      <c r="VC226" s="17"/>
      <c r="VD226" s="17"/>
      <c r="VE226" s="17"/>
      <c r="VF226" s="17"/>
      <c r="VG226" s="17"/>
      <c r="VH226" s="17"/>
      <c r="VI226" s="17"/>
      <c r="VJ226" s="17"/>
      <c r="VK226" s="17"/>
      <c r="VL226" s="17"/>
      <c r="VM226" s="17"/>
      <c r="VN226" s="17"/>
      <c r="VO226" s="17"/>
      <c r="VP226" s="17"/>
      <c r="VQ226" s="17"/>
      <c r="VR226" s="17"/>
      <c r="VS226" s="17"/>
      <c r="VT226" s="17"/>
      <c r="VU226" s="17"/>
      <c r="VV226" s="17"/>
      <c r="VW226" s="17"/>
      <c r="VX226" s="17"/>
      <c r="VY226" s="17"/>
      <c r="VZ226" s="17"/>
      <c r="WA226" s="17"/>
      <c r="WB226" s="17"/>
      <c r="WC226" s="17"/>
      <c r="WD226" s="17"/>
      <c r="WE226" s="17"/>
      <c r="WF226" s="17"/>
      <c r="WG226" s="17"/>
      <c r="WH226" s="17"/>
      <c r="WI226" s="17"/>
      <c r="WJ226" s="17"/>
      <c r="WK226" s="17"/>
      <c r="WL226" s="17"/>
      <c r="WM226" s="17"/>
      <c r="WN226" s="17"/>
      <c r="WO226" s="17"/>
      <c r="WP226" s="17"/>
      <c r="WQ226" s="17"/>
      <c r="WR226" s="17"/>
      <c r="WS226" s="17"/>
      <c r="WT226" s="17"/>
      <c r="WU226" s="17"/>
      <c r="WV226" s="17"/>
      <c r="WW226" s="17"/>
      <c r="WX226" s="17"/>
      <c r="WY226" s="17"/>
      <c r="WZ226" s="17"/>
      <c r="XA226" s="17"/>
      <c r="XB226" s="17"/>
      <c r="XC226" s="17"/>
      <c r="XD226" s="17"/>
      <c r="XE226" s="17"/>
      <c r="XF226" s="17"/>
      <c r="XG226" s="17"/>
      <c r="XH226" s="17"/>
      <c r="XI226" s="17"/>
      <c r="XJ226" s="17"/>
      <c r="XK226" s="17"/>
      <c r="XL226" s="17"/>
      <c r="XM226" s="17"/>
      <c r="XN226" s="17"/>
      <c r="XO226" s="17"/>
      <c r="XP226" s="17"/>
      <c r="XQ226" s="17"/>
      <c r="XR226" s="17"/>
      <c r="XS226" s="17"/>
      <c r="XT226" s="17"/>
      <c r="XU226" s="17"/>
      <c r="XV226" s="17"/>
      <c r="XW226" s="17"/>
      <c r="XX226" s="17"/>
      <c r="XY226" s="17"/>
      <c r="XZ226" s="17"/>
      <c r="YA226" s="17"/>
      <c r="YB226" s="17"/>
      <c r="YC226" s="17"/>
      <c r="YD226" s="17"/>
      <c r="YE226" s="17"/>
      <c r="YF226" s="17"/>
      <c r="YG226" s="17"/>
      <c r="YH226" s="17"/>
      <c r="YI226" s="17"/>
      <c r="YJ226" s="17"/>
      <c r="YK226" s="17"/>
      <c r="YL226" s="17"/>
      <c r="YM226" s="17"/>
      <c r="YN226" s="17"/>
      <c r="YO226" s="17"/>
      <c r="YP226" s="17"/>
      <c r="YQ226" s="17"/>
      <c r="YR226" s="17"/>
      <c r="YS226" s="17"/>
    </row>
    <row r="227" spans="266:669" x14ac:dyDescent="0.25">
      <c r="JF227" s="17"/>
      <c r="JG227" s="17"/>
      <c r="JH227" s="17"/>
      <c r="JI227" s="17"/>
      <c r="JJ227" s="17"/>
      <c r="JK227" s="17"/>
      <c r="JL227" s="17"/>
      <c r="JM227" s="17"/>
      <c r="JN227" s="17"/>
      <c r="JO227" s="17"/>
      <c r="JP227" s="17"/>
      <c r="JQ227" s="17"/>
      <c r="JR227" s="17"/>
      <c r="JS227" s="17"/>
      <c r="JT227" s="17"/>
      <c r="JU227" s="17"/>
      <c r="JV227" s="17"/>
      <c r="JW227" s="17"/>
      <c r="JX227" s="17"/>
      <c r="JY227" s="17"/>
      <c r="JZ227" s="17"/>
      <c r="KA227" s="17"/>
      <c r="KB227" s="17"/>
      <c r="KC227" s="17"/>
      <c r="KD227" s="17"/>
      <c r="KE227" s="17"/>
      <c r="KF227" s="17"/>
      <c r="KG227" s="17"/>
      <c r="KH227" s="17"/>
      <c r="KI227" s="17"/>
      <c r="KJ227" s="17"/>
      <c r="KK227" s="17"/>
      <c r="KL227" s="17"/>
      <c r="KM227" s="17"/>
      <c r="KN227" s="17"/>
      <c r="KO227" s="17"/>
      <c r="KP227" s="17"/>
      <c r="KQ227" s="17"/>
      <c r="KR227" s="17"/>
      <c r="KS227" s="17"/>
      <c r="KT227" s="17"/>
      <c r="KU227" s="17"/>
      <c r="KV227" s="17"/>
      <c r="KW227" s="17"/>
      <c r="KX227" s="17"/>
      <c r="KY227" s="17"/>
      <c r="KZ227" s="17"/>
      <c r="LA227" s="17"/>
      <c r="LB227" s="17"/>
      <c r="LC227" s="17"/>
      <c r="LD227" s="17"/>
      <c r="LE227" s="17"/>
      <c r="LF227" s="17"/>
      <c r="LG227" s="17"/>
      <c r="LH227" s="17"/>
      <c r="LI227" s="17"/>
      <c r="LJ227" s="17"/>
      <c r="LK227" s="17"/>
      <c r="LL227" s="17"/>
      <c r="LM227" s="17"/>
      <c r="LN227" s="17"/>
      <c r="LO227" s="17"/>
      <c r="LP227" s="17"/>
      <c r="LQ227" s="17"/>
      <c r="LR227" s="17"/>
      <c r="LS227" s="17"/>
      <c r="LT227" s="17"/>
      <c r="LU227" s="17"/>
      <c r="LV227" s="17"/>
      <c r="LW227" s="17"/>
      <c r="LX227" s="17"/>
      <c r="LY227" s="17"/>
      <c r="LZ227" s="17"/>
      <c r="MA227" s="17"/>
      <c r="MB227" s="17"/>
      <c r="MC227" s="17"/>
      <c r="MD227" s="17"/>
      <c r="ME227" s="17"/>
      <c r="MF227" s="17"/>
      <c r="MG227" s="17"/>
      <c r="MH227" s="17"/>
      <c r="MI227" s="17"/>
      <c r="MJ227" s="17"/>
      <c r="MK227" s="17"/>
      <c r="ML227" s="17"/>
      <c r="MM227" s="17"/>
      <c r="MN227" s="17"/>
      <c r="MO227" s="17"/>
      <c r="MP227" s="17"/>
      <c r="MQ227" s="17"/>
      <c r="MR227" s="17"/>
      <c r="MS227" s="17"/>
      <c r="MT227" s="17"/>
      <c r="MU227" s="17"/>
      <c r="MV227" s="17"/>
      <c r="MW227" s="17"/>
      <c r="MX227" s="17"/>
      <c r="MY227" s="17"/>
      <c r="MZ227" s="17"/>
      <c r="NA227" s="17"/>
      <c r="NB227" s="17"/>
      <c r="NC227" s="17"/>
      <c r="ND227" s="17"/>
      <c r="NE227" s="17"/>
      <c r="NF227" s="17"/>
      <c r="NG227" s="17"/>
      <c r="NH227" s="17"/>
      <c r="NI227" s="17"/>
      <c r="NJ227" s="17"/>
      <c r="NK227" s="17"/>
      <c r="NL227" s="17"/>
      <c r="NM227" s="17"/>
      <c r="NN227" s="17"/>
      <c r="NO227" s="17"/>
      <c r="NP227" s="17"/>
      <c r="NQ227" s="17"/>
      <c r="NR227" s="17"/>
      <c r="NS227" s="17"/>
      <c r="NT227" s="17"/>
      <c r="NU227" s="17"/>
      <c r="NV227" s="17"/>
      <c r="NW227" s="17"/>
      <c r="NX227" s="17"/>
      <c r="NY227" s="17"/>
      <c r="NZ227" s="17"/>
      <c r="OA227" s="17"/>
      <c r="OB227" s="17"/>
      <c r="OC227" s="17"/>
      <c r="OD227" s="17"/>
      <c r="OE227" s="17"/>
      <c r="OF227" s="17"/>
      <c r="OG227" s="17"/>
      <c r="OH227" s="17"/>
      <c r="OI227" s="17"/>
      <c r="OJ227" s="17"/>
      <c r="OK227" s="17"/>
      <c r="OL227" s="17"/>
      <c r="OM227" s="17"/>
      <c r="ON227" s="17"/>
      <c r="OO227" s="17"/>
      <c r="OP227" s="17"/>
      <c r="OQ227" s="17"/>
      <c r="OR227" s="17"/>
      <c r="OS227" s="17"/>
      <c r="OT227" s="17"/>
      <c r="OU227" s="17"/>
      <c r="OV227" s="17"/>
      <c r="OW227" s="17"/>
      <c r="OX227" s="17"/>
      <c r="OY227" s="17"/>
      <c r="OZ227" s="17"/>
      <c r="PA227" s="17"/>
      <c r="PB227" s="17"/>
      <c r="PC227" s="17"/>
      <c r="PD227" s="17"/>
      <c r="PE227" s="17"/>
      <c r="PF227" s="17"/>
      <c r="PG227" s="17"/>
      <c r="PH227" s="17"/>
      <c r="PI227" s="17"/>
      <c r="PJ227" s="17"/>
      <c r="PK227" s="17"/>
      <c r="PL227" s="17"/>
      <c r="PM227" s="17"/>
      <c r="PN227" s="17"/>
      <c r="PO227" s="17"/>
      <c r="PP227" s="17"/>
      <c r="PQ227" s="17"/>
      <c r="PR227" s="17"/>
      <c r="PS227" s="17"/>
      <c r="PT227" s="17"/>
      <c r="PU227" s="17"/>
      <c r="PV227" s="17"/>
      <c r="PW227" s="17"/>
      <c r="PX227" s="17"/>
      <c r="PY227" s="17"/>
      <c r="PZ227" s="17"/>
      <c r="QA227" s="17"/>
      <c r="QB227" s="17"/>
      <c r="QC227" s="17"/>
      <c r="QD227" s="17"/>
      <c r="QE227" s="17"/>
      <c r="QF227" s="17"/>
      <c r="QG227" s="17"/>
      <c r="QH227" s="17"/>
      <c r="QI227" s="17"/>
      <c r="QJ227" s="17"/>
      <c r="QK227" s="17"/>
      <c r="QL227" s="17"/>
      <c r="QM227" s="17"/>
      <c r="QN227" s="17"/>
      <c r="QO227" s="17"/>
      <c r="QP227" s="17"/>
      <c r="QQ227" s="17"/>
      <c r="QR227" s="17"/>
      <c r="QS227" s="17"/>
      <c r="QT227" s="17"/>
      <c r="QU227" s="17"/>
      <c r="QV227" s="17"/>
      <c r="QW227" s="17"/>
      <c r="QX227" s="17"/>
      <c r="QY227" s="17"/>
      <c r="QZ227" s="17"/>
      <c r="RA227" s="17"/>
      <c r="RB227" s="17"/>
      <c r="RC227" s="17"/>
      <c r="RD227" s="17"/>
      <c r="RE227" s="17"/>
      <c r="RF227" s="17"/>
      <c r="RG227" s="17"/>
      <c r="RH227" s="17"/>
      <c r="RI227" s="17"/>
      <c r="RJ227" s="17"/>
      <c r="RK227" s="17"/>
      <c r="RL227" s="17"/>
      <c r="RM227" s="17"/>
      <c r="RN227" s="17"/>
      <c r="RO227" s="17"/>
      <c r="RP227" s="17"/>
      <c r="RQ227" s="17"/>
      <c r="RR227" s="17"/>
      <c r="RS227" s="17"/>
      <c r="RT227" s="17"/>
      <c r="RU227" s="17"/>
      <c r="RV227" s="17"/>
      <c r="RW227" s="17"/>
      <c r="RX227" s="17"/>
      <c r="RY227" s="17"/>
      <c r="RZ227" s="17"/>
      <c r="SA227" s="17"/>
      <c r="SB227" s="17"/>
      <c r="SC227" s="17"/>
      <c r="SD227" s="17"/>
      <c r="SE227" s="17"/>
      <c r="SF227" s="17"/>
      <c r="SG227" s="17"/>
      <c r="SH227" s="17"/>
      <c r="SI227" s="17"/>
      <c r="SJ227" s="17"/>
      <c r="SK227" s="17"/>
      <c r="SL227" s="17"/>
      <c r="SM227" s="17"/>
      <c r="SN227" s="17"/>
      <c r="SO227" s="17"/>
      <c r="SP227" s="17"/>
      <c r="SQ227" s="17"/>
      <c r="SR227" s="17"/>
      <c r="SS227" s="17"/>
      <c r="ST227" s="17"/>
      <c r="SU227" s="17"/>
      <c r="SV227" s="17"/>
      <c r="SW227" s="17"/>
      <c r="SX227" s="17"/>
      <c r="SY227" s="17"/>
      <c r="SZ227" s="17"/>
      <c r="TA227" s="17"/>
      <c r="TB227" s="17"/>
      <c r="TC227" s="17"/>
      <c r="TD227" s="17"/>
      <c r="TE227" s="17"/>
      <c r="TF227" s="17"/>
      <c r="TG227" s="17"/>
      <c r="TH227" s="17"/>
      <c r="TI227" s="17"/>
      <c r="TJ227" s="17"/>
      <c r="TK227" s="17"/>
      <c r="TL227" s="17"/>
      <c r="TM227" s="17"/>
      <c r="TN227" s="17"/>
      <c r="TO227" s="17"/>
      <c r="TP227" s="17"/>
      <c r="TQ227" s="17"/>
      <c r="TR227" s="17"/>
      <c r="TS227" s="17"/>
      <c r="TT227" s="17"/>
      <c r="TU227" s="17"/>
      <c r="TV227" s="17"/>
      <c r="TW227" s="17"/>
      <c r="TX227" s="17"/>
      <c r="TY227" s="17"/>
      <c r="TZ227" s="17"/>
      <c r="UA227" s="17"/>
      <c r="UB227" s="17"/>
      <c r="UC227" s="17"/>
      <c r="UD227" s="17"/>
      <c r="UE227" s="17"/>
      <c r="UF227" s="17"/>
      <c r="UG227" s="17"/>
      <c r="UH227" s="17"/>
      <c r="UI227" s="17"/>
      <c r="UJ227" s="17"/>
      <c r="UK227" s="17"/>
      <c r="UL227" s="17"/>
      <c r="UM227" s="17"/>
      <c r="UN227" s="17"/>
      <c r="UO227" s="17"/>
      <c r="UP227" s="17"/>
      <c r="UQ227" s="17"/>
      <c r="UR227" s="17"/>
      <c r="US227" s="17"/>
      <c r="UT227" s="17"/>
      <c r="UU227" s="17"/>
      <c r="UV227" s="17"/>
      <c r="UW227" s="17"/>
      <c r="UX227" s="17"/>
      <c r="UY227" s="17"/>
      <c r="UZ227" s="17"/>
      <c r="VA227" s="17"/>
      <c r="VB227" s="17"/>
      <c r="VC227" s="17"/>
      <c r="VD227" s="17"/>
      <c r="VE227" s="17"/>
      <c r="VF227" s="17"/>
      <c r="VG227" s="17"/>
      <c r="VH227" s="17"/>
      <c r="VI227" s="17"/>
      <c r="VJ227" s="17"/>
      <c r="VK227" s="17"/>
      <c r="VL227" s="17"/>
      <c r="VM227" s="17"/>
      <c r="VN227" s="17"/>
      <c r="VO227" s="17"/>
      <c r="VP227" s="17"/>
      <c r="VQ227" s="17"/>
      <c r="VR227" s="17"/>
      <c r="VS227" s="17"/>
      <c r="VT227" s="17"/>
      <c r="VU227" s="17"/>
      <c r="VV227" s="17"/>
      <c r="VW227" s="17"/>
      <c r="VX227" s="17"/>
      <c r="VY227" s="17"/>
      <c r="VZ227" s="17"/>
      <c r="WA227" s="17"/>
      <c r="WB227" s="17"/>
      <c r="WC227" s="17"/>
      <c r="WD227" s="17"/>
      <c r="WE227" s="17"/>
      <c r="WF227" s="17"/>
      <c r="WG227" s="17"/>
      <c r="WH227" s="17"/>
      <c r="WI227" s="17"/>
      <c r="WJ227" s="17"/>
      <c r="WK227" s="17"/>
      <c r="WL227" s="17"/>
      <c r="WM227" s="17"/>
      <c r="WN227" s="17"/>
      <c r="WO227" s="17"/>
      <c r="WP227" s="17"/>
      <c r="WQ227" s="17"/>
      <c r="WR227" s="17"/>
      <c r="WS227" s="17"/>
      <c r="WT227" s="17"/>
      <c r="WU227" s="17"/>
      <c r="WV227" s="17"/>
      <c r="WW227" s="17"/>
      <c r="WX227" s="17"/>
      <c r="WY227" s="17"/>
      <c r="WZ227" s="17"/>
      <c r="XA227" s="17"/>
      <c r="XB227" s="17"/>
      <c r="XC227" s="17"/>
      <c r="XD227" s="17"/>
      <c r="XE227" s="17"/>
      <c r="XF227" s="17"/>
      <c r="XG227" s="17"/>
      <c r="XH227" s="17"/>
      <c r="XI227" s="17"/>
      <c r="XJ227" s="17"/>
      <c r="XK227" s="17"/>
      <c r="XL227" s="17"/>
      <c r="XM227" s="17"/>
      <c r="XN227" s="17"/>
      <c r="XO227" s="17"/>
      <c r="XP227" s="17"/>
      <c r="XQ227" s="17"/>
      <c r="XR227" s="17"/>
      <c r="XS227" s="17"/>
      <c r="XT227" s="17"/>
      <c r="XU227" s="17"/>
      <c r="XV227" s="17"/>
      <c r="XW227" s="17"/>
      <c r="XX227" s="17"/>
      <c r="XY227" s="17"/>
      <c r="XZ227" s="17"/>
      <c r="YA227" s="17"/>
      <c r="YB227" s="17"/>
      <c r="YC227" s="17"/>
      <c r="YD227" s="17"/>
      <c r="YE227" s="17"/>
      <c r="YF227" s="17"/>
      <c r="YG227" s="17"/>
      <c r="YH227" s="17"/>
      <c r="YI227" s="17"/>
      <c r="YJ227" s="17"/>
      <c r="YK227" s="17"/>
      <c r="YL227" s="17"/>
      <c r="YM227" s="17"/>
      <c r="YN227" s="17"/>
      <c r="YO227" s="17"/>
      <c r="YP227" s="17"/>
      <c r="YQ227" s="17"/>
      <c r="YR227" s="17"/>
      <c r="YS227" s="17"/>
    </row>
    <row r="228" spans="266:669" x14ac:dyDescent="0.25">
      <c r="JF228" s="17"/>
      <c r="JG228" s="17"/>
      <c r="JH228" s="17"/>
      <c r="JI228" s="17"/>
      <c r="JJ228" s="17"/>
      <c r="JK228" s="17"/>
      <c r="JL228" s="17"/>
      <c r="JM228" s="17"/>
      <c r="JN228" s="17"/>
      <c r="JO228" s="17"/>
      <c r="JP228" s="17"/>
      <c r="JQ228" s="17"/>
      <c r="JR228" s="17"/>
      <c r="JS228" s="17"/>
      <c r="JT228" s="17"/>
      <c r="JU228" s="17"/>
      <c r="JV228" s="17"/>
      <c r="JW228" s="17"/>
      <c r="JX228" s="17"/>
      <c r="JY228" s="17"/>
      <c r="JZ228" s="17"/>
      <c r="KA228" s="17"/>
      <c r="KB228" s="17"/>
      <c r="KC228" s="17"/>
      <c r="KD228" s="17"/>
      <c r="KE228" s="17"/>
      <c r="KF228" s="17"/>
      <c r="KG228" s="17"/>
      <c r="KH228" s="17"/>
      <c r="KI228" s="17"/>
      <c r="KJ228" s="17"/>
      <c r="KK228" s="17"/>
      <c r="KL228" s="17"/>
      <c r="KM228" s="17"/>
      <c r="KN228" s="17"/>
      <c r="KO228" s="17"/>
      <c r="KP228" s="17"/>
      <c r="KQ228" s="17"/>
      <c r="KR228" s="17"/>
      <c r="KS228" s="17"/>
      <c r="KT228" s="17"/>
      <c r="KU228" s="17"/>
      <c r="KV228" s="17"/>
      <c r="KW228" s="17"/>
      <c r="KX228" s="17"/>
      <c r="KY228" s="17"/>
      <c r="KZ228" s="17"/>
      <c r="LA228" s="17"/>
      <c r="LB228" s="17"/>
      <c r="LC228" s="17"/>
      <c r="LD228" s="17"/>
      <c r="LE228" s="17"/>
      <c r="LF228" s="17"/>
      <c r="LG228" s="17"/>
      <c r="LH228" s="17"/>
      <c r="LI228" s="17"/>
      <c r="LJ228" s="17"/>
      <c r="LK228" s="17"/>
      <c r="LL228" s="17"/>
      <c r="LM228" s="17"/>
      <c r="LN228" s="17"/>
      <c r="LO228" s="17"/>
      <c r="LP228" s="17"/>
      <c r="LQ228" s="17"/>
      <c r="LR228" s="17"/>
      <c r="LS228" s="17"/>
      <c r="LT228" s="17"/>
      <c r="LU228" s="17"/>
      <c r="LV228" s="17"/>
      <c r="LW228" s="17"/>
      <c r="LX228" s="17"/>
      <c r="LY228" s="17"/>
      <c r="LZ228" s="17"/>
      <c r="MA228" s="17"/>
      <c r="MB228" s="17"/>
      <c r="MC228" s="17"/>
      <c r="MD228" s="17"/>
      <c r="ME228" s="17"/>
      <c r="MF228" s="17"/>
      <c r="MG228" s="17"/>
      <c r="MH228" s="17"/>
      <c r="MI228" s="17"/>
      <c r="MJ228" s="17"/>
      <c r="MK228" s="17"/>
      <c r="ML228" s="17"/>
      <c r="MM228" s="17"/>
      <c r="MN228" s="17"/>
      <c r="MO228" s="17"/>
      <c r="MP228" s="17"/>
      <c r="MQ228" s="17"/>
      <c r="MR228" s="17"/>
      <c r="MS228" s="17"/>
      <c r="MT228" s="17"/>
      <c r="MU228" s="17"/>
      <c r="MV228" s="17"/>
      <c r="MW228" s="17"/>
      <c r="MX228" s="17"/>
      <c r="MY228" s="17"/>
      <c r="MZ228" s="17"/>
      <c r="NA228" s="17"/>
      <c r="NB228" s="17"/>
      <c r="NC228" s="17"/>
      <c r="ND228" s="17"/>
      <c r="NE228" s="17"/>
      <c r="NF228" s="17"/>
      <c r="NG228" s="17"/>
      <c r="NH228" s="17"/>
      <c r="NI228" s="17"/>
      <c r="NJ228" s="17"/>
      <c r="NK228" s="17"/>
      <c r="NL228" s="17"/>
      <c r="NM228" s="17"/>
      <c r="NN228" s="17"/>
      <c r="NO228" s="17"/>
      <c r="NP228" s="17"/>
      <c r="NQ228" s="17"/>
      <c r="NR228" s="17"/>
      <c r="NS228" s="17"/>
      <c r="NT228" s="17"/>
      <c r="NU228" s="17"/>
      <c r="NV228" s="17"/>
      <c r="NW228" s="17"/>
      <c r="NX228" s="17"/>
      <c r="NY228" s="17"/>
      <c r="NZ228" s="17"/>
      <c r="OA228" s="17"/>
      <c r="OB228" s="17"/>
      <c r="OC228" s="17"/>
      <c r="OD228" s="17"/>
      <c r="OE228" s="17"/>
      <c r="OF228" s="17"/>
      <c r="OG228" s="17"/>
      <c r="OH228" s="17"/>
      <c r="OI228" s="17"/>
      <c r="OJ228" s="17"/>
      <c r="OK228" s="17"/>
      <c r="OL228" s="17"/>
      <c r="OM228" s="17"/>
      <c r="ON228" s="17"/>
      <c r="OO228" s="17"/>
      <c r="OP228" s="17"/>
      <c r="OQ228" s="17"/>
      <c r="OR228" s="17"/>
      <c r="OS228" s="17"/>
      <c r="OT228" s="17"/>
      <c r="OU228" s="17"/>
      <c r="OV228" s="17"/>
      <c r="OW228" s="17"/>
      <c r="OX228" s="17"/>
      <c r="OY228" s="17"/>
      <c r="OZ228" s="17"/>
      <c r="PA228" s="17"/>
      <c r="PB228" s="17"/>
      <c r="PC228" s="17"/>
      <c r="PD228" s="17"/>
      <c r="PE228" s="17"/>
      <c r="PF228" s="17"/>
      <c r="PG228" s="17"/>
      <c r="PH228" s="17"/>
      <c r="PI228" s="17"/>
      <c r="PJ228" s="17"/>
      <c r="PK228" s="17"/>
      <c r="PL228" s="17"/>
      <c r="PM228" s="17"/>
      <c r="PN228" s="17"/>
      <c r="PO228" s="17"/>
      <c r="PP228" s="17"/>
      <c r="PQ228" s="17"/>
      <c r="PR228" s="17"/>
      <c r="PS228" s="17"/>
      <c r="PT228" s="17"/>
      <c r="PU228" s="17"/>
      <c r="PV228" s="17"/>
      <c r="PW228" s="17"/>
      <c r="PX228" s="17"/>
      <c r="PY228" s="17"/>
      <c r="PZ228" s="17"/>
      <c r="QA228" s="17"/>
      <c r="QB228" s="17"/>
      <c r="QC228" s="17"/>
      <c r="QD228" s="17"/>
      <c r="QE228" s="17"/>
      <c r="QF228" s="17"/>
      <c r="QG228" s="17"/>
      <c r="QH228" s="17"/>
      <c r="QI228" s="17"/>
      <c r="QJ228" s="17"/>
      <c r="QK228" s="17"/>
      <c r="QL228" s="17"/>
      <c r="QM228" s="17"/>
      <c r="QN228" s="17"/>
      <c r="QO228" s="17"/>
      <c r="QP228" s="17"/>
      <c r="QQ228" s="17"/>
      <c r="QR228" s="17"/>
      <c r="QS228" s="17"/>
      <c r="QT228" s="17"/>
      <c r="QU228" s="17"/>
      <c r="QV228" s="17"/>
      <c r="QW228" s="17"/>
      <c r="QX228" s="17"/>
      <c r="QY228" s="17"/>
      <c r="QZ228" s="17"/>
      <c r="RA228" s="17"/>
      <c r="RB228" s="17"/>
      <c r="RC228" s="17"/>
      <c r="RD228" s="17"/>
      <c r="RE228" s="17"/>
      <c r="RF228" s="17"/>
      <c r="RG228" s="17"/>
      <c r="RH228" s="17"/>
      <c r="RI228" s="17"/>
      <c r="RJ228" s="17"/>
      <c r="RK228" s="17"/>
      <c r="RL228" s="17"/>
      <c r="RM228" s="17"/>
      <c r="RN228" s="17"/>
      <c r="RO228" s="17"/>
      <c r="RP228" s="17"/>
      <c r="RQ228" s="17"/>
      <c r="RR228" s="17"/>
      <c r="RS228" s="17"/>
      <c r="RT228" s="17"/>
      <c r="RU228" s="17"/>
      <c r="RV228" s="17"/>
      <c r="RW228" s="17"/>
      <c r="RX228" s="17"/>
      <c r="RY228" s="17"/>
      <c r="RZ228" s="17"/>
      <c r="SA228" s="17"/>
      <c r="SB228" s="17"/>
      <c r="SC228" s="17"/>
      <c r="SD228" s="17"/>
      <c r="SE228" s="17"/>
      <c r="SF228" s="17"/>
      <c r="SG228" s="17"/>
      <c r="SH228" s="17"/>
      <c r="SI228" s="17"/>
      <c r="SJ228" s="17"/>
      <c r="SK228" s="17"/>
      <c r="SL228" s="17"/>
      <c r="SM228" s="17"/>
      <c r="SN228" s="17"/>
      <c r="SO228" s="17"/>
      <c r="SP228" s="17"/>
      <c r="SQ228" s="17"/>
      <c r="SR228" s="17"/>
      <c r="SS228" s="17"/>
      <c r="ST228" s="17"/>
      <c r="SU228" s="17"/>
      <c r="SV228" s="17"/>
      <c r="SW228" s="17"/>
      <c r="SX228" s="17"/>
      <c r="SY228" s="17"/>
      <c r="SZ228" s="17"/>
      <c r="TA228" s="17"/>
      <c r="TB228" s="17"/>
      <c r="TC228" s="17"/>
      <c r="TD228" s="17"/>
      <c r="TE228" s="17"/>
      <c r="TF228" s="17"/>
      <c r="TG228" s="17"/>
      <c r="TH228" s="17"/>
      <c r="TI228" s="17"/>
      <c r="TJ228" s="17"/>
      <c r="TK228" s="17"/>
      <c r="TL228" s="17"/>
      <c r="TM228" s="17"/>
      <c r="TN228" s="17"/>
      <c r="TO228" s="17"/>
      <c r="TP228" s="17"/>
      <c r="TQ228" s="17"/>
      <c r="TR228" s="17"/>
      <c r="TS228" s="17"/>
      <c r="TT228" s="17"/>
      <c r="TU228" s="17"/>
      <c r="TV228" s="17"/>
      <c r="TW228" s="17"/>
      <c r="TX228" s="17"/>
      <c r="TY228" s="17"/>
      <c r="TZ228" s="17"/>
      <c r="UA228" s="17"/>
      <c r="UB228" s="17"/>
      <c r="UC228" s="17"/>
      <c r="UD228" s="17"/>
      <c r="UE228" s="17"/>
      <c r="UF228" s="17"/>
      <c r="UG228" s="17"/>
      <c r="UH228" s="17"/>
      <c r="UI228" s="17"/>
      <c r="UJ228" s="17"/>
      <c r="UK228" s="17"/>
      <c r="UL228" s="17"/>
      <c r="UM228" s="17"/>
      <c r="UN228" s="17"/>
      <c r="UO228" s="17"/>
      <c r="UP228" s="17"/>
      <c r="UQ228" s="17"/>
      <c r="UR228" s="17"/>
      <c r="US228" s="17"/>
      <c r="UT228" s="17"/>
      <c r="UU228" s="17"/>
      <c r="UV228" s="17"/>
      <c r="UW228" s="17"/>
      <c r="UX228" s="17"/>
      <c r="UY228" s="17"/>
      <c r="UZ228" s="17"/>
      <c r="VA228" s="17"/>
      <c r="VB228" s="17"/>
      <c r="VC228" s="17"/>
      <c r="VD228" s="17"/>
      <c r="VE228" s="17"/>
      <c r="VF228" s="17"/>
      <c r="VG228" s="17"/>
      <c r="VH228" s="17"/>
      <c r="VI228" s="17"/>
      <c r="VJ228" s="17"/>
      <c r="VK228" s="17"/>
      <c r="VL228" s="17"/>
      <c r="VM228" s="17"/>
      <c r="VN228" s="17"/>
      <c r="VO228" s="17"/>
      <c r="VP228" s="17"/>
      <c r="VQ228" s="17"/>
      <c r="VR228" s="17"/>
      <c r="VS228" s="17"/>
      <c r="VT228" s="17"/>
      <c r="VU228" s="17"/>
      <c r="VV228" s="17"/>
      <c r="VW228" s="17"/>
      <c r="VX228" s="17"/>
      <c r="VY228" s="17"/>
      <c r="VZ228" s="17"/>
      <c r="WA228" s="17"/>
      <c r="WB228" s="17"/>
      <c r="WC228" s="17"/>
      <c r="WD228" s="17"/>
      <c r="WE228" s="17"/>
      <c r="WF228" s="17"/>
      <c r="WG228" s="17"/>
      <c r="WH228" s="17"/>
      <c r="WI228" s="17"/>
      <c r="WJ228" s="17"/>
      <c r="WK228" s="17"/>
      <c r="WL228" s="17"/>
      <c r="WM228" s="17"/>
      <c r="WN228" s="17"/>
      <c r="WO228" s="17"/>
      <c r="WP228" s="17"/>
      <c r="WQ228" s="17"/>
      <c r="WR228" s="17"/>
      <c r="WS228" s="17"/>
      <c r="WT228" s="17"/>
      <c r="WU228" s="17"/>
      <c r="WV228" s="17"/>
      <c r="WW228" s="17"/>
      <c r="WX228" s="17"/>
      <c r="WY228" s="17"/>
      <c r="WZ228" s="17"/>
      <c r="XA228" s="17"/>
      <c r="XB228" s="17"/>
      <c r="XC228" s="17"/>
      <c r="XD228" s="17"/>
      <c r="XE228" s="17"/>
      <c r="XF228" s="17"/>
      <c r="XG228" s="17"/>
      <c r="XH228" s="17"/>
      <c r="XI228" s="17"/>
      <c r="XJ228" s="17"/>
      <c r="XK228" s="17"/>
      <c r="XL228" s="17"/>
      <c r="XM228" s="17"/>
      <c r="XN228" s="17"/>
      <c r="XO228" s="17"/>
      <c r="XP228" s="17"/>
      <c r="XQ228" s="17"/>
      <c r="XR228" s="17"/>
      <c r="XS228" s="17"/>
      <c r="XT228" s="17"/>
      <c r="XU228" s="17"/>
      <c r="XV228" s="17"/>
      <c r="XW228" s="17"/>
      <c r="XX228" s="17"/>
      <c r="XY228" s="17"/>
      <c r="XZ228" s="17"/>
      <c r="YA228" s="17"/>
      <c r="YB228" s="17"/>
      <c r="YC228" s="17"/>
      <c r="YD228" s="17"/>
      <c r="YE228" s="17"/>
      <c r="YF228" s="17"/>
      <c r="YG228" s="17"/>
      <c r="YH228" s="17"/>
      <c r="YI228" s="17"/>
      <c r="YJ228" s="17"/>
      <c r="YK228" s="17"/>
      <c r="YL228" s="17"/>
      <c r="YM228" s="17"/>
      <c r="YN228" s="17"/>
      <c r="YO228" s="17"/>
      <c r="YP228" s="17"/>
      <c r="YQ228" s="17"/>
      <c r="YR228" s="17"/>
      <c r="YS228" s="17"/>
    </row>
    <row r="229" spans="266:669" x14ac:dyDescent="0.25">
      <c r="JF229" s="17"/>
      <c r="JG229" s="17"/>
      <c r="JH229" s="17"/>
      <c r="JI229" s="17"/>
      <c r="JJ229" s="17"/>
      <c r="JK229" s="17"/>
      <c r="JL229" s="17"/>
      <c r="JM229" s="17"/>
      <c r="JN229" s="17"/>
      <c r="JO229" s="17"/>
      <c r="JP229" s="17"/>
      <c r="JQ229" s="17"/>
      <c r="JR229" s="17"/>
      <c r="JS229" s="17"/>
      <c r="JT229" s="17"/>
      <c r="JU229" s="17"/>
      <c r="JV229" s="17"/>
      <c r="JW229" s="17"/>
      <c r="JX229" s="17"/>
      <c r="JY229" s="17"/>
      <c r="JZ229" s="17"/>
      <c r="KA229" s="17"/>
      <c r="KB229" s="17"/>
      <c r="KC229" s="17"/>
      <c r="KD229" s="17"/>
      <c r="KE229" s="17"/>
      <c r="KF229" s="17"/>
      <c r="KG229" s="17"/>
      <c r="KH229" s="17"/>
      <c r="KI229" s="17"/>
      <c r="KJ229" s="17"/>
      <c r="KK229" s="17"/>
      <c r="KL229" s="17"/>
      <c r="KM229" s="17"/>
      <c r="KN229" s="17"/>
      <c r="KO229" s="17"/>
      <c r="KP229" s="17"/>
      <c r="KQ229" s="17"/>
      <c r="KR229" s="17"/>
      <c r="KS229" s="17"/>
      <c r="KT229" s="17"/>
      <c r="KU229" s="17"/>
      <c r="KV229" s="17"/>
      <c r="KW229" s="17"/>
      <c r="KX229" s="17"/>
      <c r="KY229" s="17"/>
      <c r="KZ229" s="17"/>
      <c r="LA229" s="17"/>
      <c r="LB229" s="17"/>
      <c r="LC229" s="17"/>
      <c r="LD229" s="17"/>
      <c r="LE229" s="17"/>
      <c r="LF229" s="17"/>
      <c r="LG229" s="17"/>
      <c r="LH229" s="17"/>
      <c r="LI229" s="17"/>
      <c r="LJ229" s="17"/>
      <c r="LK229" s="17"/>
      <c r="LL229" s="17"/>
      <c r="LM229" s="17"/>
      <c r="LN229" s="17"/>
      <c r="LO229" s="17"/>
      <c r="LP229" s="17"/>
      <c r="LQ229" s="17"/>
      <c r="LR229" s="17"/>
      <c r="LS229" s="17"/>
      <c r="LT229" s="17"/>
      <c r="LU229" s="17"/>
      <c r="LV229" s="17"/>
      <c r="LW229" s="17"/>
      <c r="LX229" s="17"/>
      <c r="LY229" s="17"/>
      <c r="LZ229" s="17"/>
      <c r="MA229" s="17"/>
      <c r="MB229" s="17"/>
      <c r="MC229" s="17"/>
      <c r="MD229" s="17"/>
      <c r="ME229" s="17"/>
      <c r="MF229" s="17"/>
      <c r="MG229" s="17"/>
      <c r="MH229" s="17"/>
      <c r="MI229" s="17"/>
      <c r="MJ229" s="17"/>
      <c r="MK229" s="17"/>
      <c r="ML229" s="17"/>
      <c r="MM229" s="17"/>
      <c r="MN229" s="17"/>
      <c r="MO229" s="17"/>
      <c r="MP229" s="17"/>
      <c r="MQ229" s="17"/>
      <c r="MR229" s="17"/>
      <c r="MS229" s="17"/>
      <c r="MT229" s="17"/>
      <c r="MU229" s="17"/>
      <c r="MV229" s="17"/>
      <c r="MW229" s="17"/>
      <c r="MX229" s="17"/>
      <c r="MY229" s="17"/>
      <c r="MZ229" s="17"/>
      <c r="NA229" s="17"/>
      <c r="NB229" s="17"/>
      <c r="NC229" s="17"/>
      <c r="ND229" s="17"/>
      <c r="NE229" s="17"/>
      <c r="NF229" s="17"/>
      <c r="NG229" s="17"/>
      <c r="NH229" s="17"/>
      <c r="NI229" s="17"/>
      <c r="NJ229" s="17"/>
      <c r="NK229" s="17"/>
      <c r="NL229" s="17"/>
      <c r="NM229" s="17"/>
      <c r="NN229" s="17"/>
      <c r="NO229" s="17"/>
      <c r="NP229" s="17"/>
      <c r="NQ229" s="17"/>
      <c r="NR229" s="17"/>
      <c r="NS229" s="17"/>
      <c r="NT229" s="17"/>
      <c r="NU229" s="17"/>
      <c r="NV229" s="17"/>
      <c r="NW229" s="17"/>
      <c r="NX229" s="17"/>
      <c r="NY229" s="17"/>
      <c r="NZ229" s="17"/>
      <c r="OA229" s="17"/>
      <c r="OB229" s="17"/>
      <c r="OC229" s="17"/>
      <c r="OD229" s="17"/>
      <c r="OE229" s="17"/>
      <c r="OF229" s="17"/>
      <c r="OG229" s="17"/>
      <c r="OH229" s="17"/>
      <c r="OI229" s="17"/>
      <c r="OJ229" s="17"/>
      <c r="OK229" s="17"/>
      <c r="OL229" s="17"/>
      <c r="OM229" s="17"/>
      <c r="ON229" s="17"/>
      <c r="OO229" s="17"/>
      <c r="OP229" s="17"/>
      <c r="OQ229" s="17"/>
      <c r="OR229" s="17"/>
      <c r="OS229" s="17"/>
      <c r="OT229" s="17"/>
      <c r="OU229" s="17"/>
      <c r="OV229" s="17"/>
      <c r="OW229" s="17"/>
      <c r="OX229" s="17"/>
      <c r="OY229" s="17"/>
      <c r="OZ229" s="17"/>
      <c r="PA229" s="17"/>
      <c r="PB229" s="17"/>
      <c r="PC229" s="17"/>
      <c r="PD229" s="17"/>
      <c r="PE229" s="17"/>
      <c r="PF229" s="17"/>
      <c r="PG229" s="17"/>
      <c r="PH229" s="17"/>
      <c r="PI229" s="17"/>
      <c r="PJ229" s="17"/>
      <c r="PK229" s="17"/>
      <c r="PL229" s="17"/>
      <c r="PM229" s="17"/>
      <c r="PN229" s="17"/>
      <c r="PO229" s="17"/>
      <c r="PP229" s="17"/>
      <c r="PQ229" s="17"/>
      <c r="PR229" s="17"/>
      <c r="PS229" s="17"/>
      <c r="PT229" s="17"/>
      <c r="PU229" s="17"/>
      <c r="PV229" s="17"/>
      <c r="PW229" s="17"/>
      <c r="PX229" s="17"/>
      <c r="PY229" s="17"/>
      <c r="PZ229" s="17"/>
      <c r="QA229" s="17"/>
      <c r="QB229" s="17"/>
      <c r="QC229" s="17"/>
      <c r="QD229" s="17"/>
      <c r="QE229" s="17"/>
      <c r="QF229" s="17"/>
      <c r="QG229" s="17"/>
      <c r="QH229" s="17"/>
      <c r="QI229" s="17"/>
      <c r="QJ229" s="17"/>
      <c r="QK229" s="17"/>
      <c r="QL229" s="17"/>
      <c r="QM229" s="17"/>
      <c r="QN229" s="17"/>
      <c r="QO229" s="17"/>
      <c r="QP229" s="17"/>
      <c r="QQ229" s="17"/>
      <c r="QR229" s="17"/>
      <c r="QS229" s="17"/>
      <c r="QT229" s="17"/>
      <c r="QU229" s="17"/>
      <c r="QV229" s="17"/>
      <c r="QW229" s="17"/>
      <c r="QX229" s="17"/>
      <c r="QY229" s="17"/>
      <c r="QZ229" s="17"/>
      <c r="RA229" s="17"/>
      <c r="RB229" s="17"/>
      <c r="RC229" s="17"/>
      <c r="RD229" s="17"/>
      <c r="RE229" s="17"/>
      <c r="RF229" s="17"/>
      <c r="RG229" s="17"/>
      <c r="RH229" s="17"/>
      <c r="RI229" s="17"/>
      <c r="RJ229" s="17"/>
      <c r="RK229" s="17"/>
      <c r="RL229" s="17"/>
      <c r="RM229" s="17"/>
      <c r="RN229" s="17"/>
      <c r="RO229" s="17"/>
      <c r="RP229" s="17"/>
      <c r="RQ229" s="17"/>
      <c r="RR229" s="17"/>
      <c r="RS229" s="17"/>
      <c r="RT229" s="17"/>
      <c r="RU229" s="17"/>
      <c r="RV229" s="17"/>
      <c r="RW229" s="17"/>
      <c r="RX229" s="17"/>
      <c r="RY229" s="17"/>
      <c r="RZ229" s="17"/>
      <c r="SA229" s="17"/>
      <c r="SB229" s="17"/>
      <c r="SC229" s="17"/>
      <c r="SD229" s="17"/>
      <c r="SE229" s="17"/>
      <c r="SF229" s="17"/>
      <c r="SG229" s="17"/>
      <c r="SH229" s="17"/>
      <c r="SI229" s="17"/>
      <c r="SJ229" s="17"/>
      <c r="SK229" s="17"/>
      <c r="SL229" s="17"/>
      <c r="SM229" s="17"/>
      <c r="SN229" s="17"/>
      <c r="SO229" s="17"/>
      <c r="SP229" s="17"/>
      <c r="SQ229" s="17"/>
      <c r="SR229" s="17"/>
      <c r="SS229" s="17"/>
      <c r="ST229" s="17"/>
      <c r="SU229" s="17"/>
      <c r="SV229" s="17"/>
      <c r="SW229" s="17"/>
      <c r="SX229" s="17"/>
      <c r="SY229" s="17"/>
      <c r="SZ229" s="17"/>
      <c r="TA229" s="17"/>
      <c r="TB229" s="17"/>
      <c r="TC229" s="17"/>
      <c r="TD229" s="17"/>
      <c r="TE229" s="17"/>
      <c r="TF229" s="17"/>
      <c r="TG229" s="17"/>
      <c r="TH229" s="17"/>
      <c r="TI229" s="17"/>
      <c r="TJ229" s="17"/>
      <c r="TK229" s="17"/>
      <c r="TL229" s="17"/>
      <c r="TM229" s="17"/>
      <c r="TN229" s="17"/>
      <c r="TO229" s="17"/>
      <c r="TP229" s="17"/>
      <c r="TQ229" s="17"/>
      <c r="TR229" s="17"/>
      <c r="TS229" s="17"/>
      <c r="TT229" s="17"/>
      <c r="TU229" s="17"/>
      <c r="TV229" s="17"/>
      <c r="TW229" s="17"/>
      <c r="TX229" s="17"/>
      <c r="TY229" s="17"/>
      <c r="TZ229" s="17"/>
      <c r="UA229" s="17"/>
      <c r="UB229" s="17"/>
      <c r="UC229" s="17"/>
      <c r="UD229" s="17"/>
      <c r="UE229" s="17"/>
      <c r="UF229" s="17"/>
      <c r="UG229" s="17"/>
      <c r="UH229" s="17"/>
      <c r="UI229" s="17"/>
      <c r="UJ229" s="17"/>
      <c r="UK229" s="17"/>
      <c r="UL229" s="17"/>
      <c r="UM229" s="17"/>
      <c r="UN229" s="17"/>
      <c r="UO229" s="17"/>
      <c r="UP229" s="17"/>
      <c r="UQ229" s="17"/>
      <c r="UR229" s="17"/>
      <c r="US229" s="17"/>
      <c r="UT229" s="17"/>
      <c r="UU229" s="17"/>
      <c r="UV229" s="17"/>
      <c r="UW229" s="17"/>
      <c r="UX229" s="17"/>
      <c r="UY229" s="17"/>
      <c r="UZ229" s="17"/>
      <c r="VA229" s="17"/>
      <c r="VB229" s="17"/>
      <c r="VC229" s="17"/>
      <c r="VD229" s="17"/>
      <c r="VE229" s="17"/>
      <c r="VF229" s="17"/>
      <c r="VG229" s="17"/>
      <c r="VH229" s="17"/>
      <c r="VI229" s="17"/>
      <c r="VJ229" s="17"/>
      <c r="VK229" s="17"/>
      <c r="VL229" s="17"/>
      <c r="VM229" s="17"/>
      <c r="VN229" s="17"/>
      <c r="VO229" s="17"/>
      <c r="VP229" s="17"/>
      <c r="VQ229" s="17"/>
      <c r="VR229" s="17"/>
      <c r="VS229" s="17"/>
      <c r="VT229" s="17"/>
      <c r="VU229" s="17"/>
      <c r="VV229" s="17"/>
      <c r="VW229" s="17"/>
      <c r="VX229" s="17"/>
      <c r="VY229" s="17"/>
      <c r="VZ229" s="17"/>
      <c r="WA229" s="17"/>
      <c r="WB229" s="17"/>
      <c r="WC229" s="17"/>
      <c r="WD229" s="17"/>
      <c r="WE229" s="17"/>
      <c r="WF229" s="17"/>
      <c r="WG229" s="17"/>
      <c r="WH229" s="17"/>
      <c r="WI229" s="17"/>
      <c r="WJ229" s="17"/>
      <c r="WK229" s="17"/>
      <c r="WL229" s="17"/>
      <c r="WM229" s="17"/>
      <c r="WN229" s="17"/>
      <c r="WO229" s="17"/>
      <c r="WP229" s="17"/>
      <c r="WQ229" s="17"/>
      <c r="WR229" s="17"/>
      <c r="WS229" s="17"/>
      <c r="WT229" s="17"/>
      <c r="WU229" s="17"/>
      <c r="WV229" s="17"/>
      <c r="WW229" s="17"/>
      <c r="WX229" s="17"/>
      <c r="WY229" s="17"/>
      <c r="WZ229" s="17"/>
      <c r="XA229" s="17"/>
      <c r="XB229" s="17"/>
      <c r="XC229" s="17"/>
      <c r="XD229" s="17"/>
      <c r="XE229" s="17"/>
      <c r="XF229" s="17"/>
      <c r="XG229" s="17"/>
      <c r="XH229" s="17"/>
      <c r="XI229" s="17"/>
      <c r="XJ229" s="17"/>
      <c r="XK229" s="17"/>
      <c r="XL229" s="17"/>
      <c r="XM229" s="17"/>
      <c r="XN229" s="17"/>
      <c r="XO229" s="17"/>
      <c r="XP229" s="17"/>
      <c r="XQ229" s="17"/>
      <c r="XR229" s="17"/>
      <c r="XS229" s="17"/>
      <c r="XT229" s="17"/>
      <c r="XU229" s="17"/>
      <c r="XV229" s="17"/>
      <c r="XW229" s="17"/>
      <c r="XX229" s="17"/>
      <c r="XY229" s="17"/>
      <c r="XZ229" s="17"/>
      <c r="YA229" s="17"/>
      <c r="YB229" s="17"/>
      <c r="YC229" s="17"/>
      <c r="YD229" s="17"/>
      <c r="YE229" s="17"/>
      <c r="YF229" s="17"/>
      <c r="YG229" s="17"/>
      <c r="YH229" s="17"/>
      <c r="YI229" s="17"/>
      <c r="YJ229" s="17"/>
      <c r="YK229" s="17"/>
      <c r="YL229" s="17"/>
      <c r="YM229" s="17"/>
      <c r="YN229" s="17"/>
      <c r="YO229" s="17"/>
      <c r="YP229" s="17"/>
      <c r="YQ229" s="17"/>
      <c r="YR229" s="17"/>
      <c r="YS229" s="17"/>
    </row>
    <row r="230" spans="266:669" x14ac:dyDescent="0.25">
      <c r="JF230" s="17"/>
      <c r="JG230" s="17"/>
      <c r="JH230" s="17"/>
      <c r="JI230" s="17"/>
      <c r="JJ230" s="17"/>
      <c r="JK230" s="17"/>
      <c r="JL230" s="17"/>
      <c r="JM230" s="17"/>
      <c r="JN230" s="17"/>
      <c r="JO230" s="17"/>
      <c r="JP230" s="17"/>
      <c r="JQ230" s="17"/>
      <c r="JR230" s="17"/>
      <c r="JS230" s="17"/>
      <c r="JT230" s="17"/>
      <c r="JU230" s="17"/>
      <c r="JV230" s="17"/>
      <c r="JW230" s="17"/>
      <c r="JX230" s="17"/>
      <c r="JY230" s="17"/>
      <c r="JZ230" s="17"/>
      <c r="KA230" s="17"/>
      <c r="KB230" s="17"/>
      <c r="KC230" s="17"/>
      <c r="KD230" s="17"/>
      <c r="KE230" s="17"/>
      <c r="KF230" s="17"/>
      <c r="KG230" s="17"/>
      <c r="KH230" s="17"/>
      <c r="KI230" s="17"/>
      <c r="KJ230" s="17"/>
      <c r="KK230" s="17"/>
      <c r="KL230" s="17"/>
      <c r="KM230" s="17"/>
      <c r="KN230" s="17"/>
      <c r="KO230" s="17"/>
      <c r="KP230" s="17"/>
      <c r="KQ230" s="17"/>
      <c r="KR230" s="17"/>
      <c r="KS230" s="17"/>
      <c r="KT230" s="17"/>
      <c r="KU230" s="17"/>
      <c r="KV230" s="17"/>
      <c r="KW230" s="17"/>
      <c r="KX230" s="17"/>
      <c r="KY230" s="17"/>
      <c r="KZ230" s="17"/>
      <c r="LA230" s="17"/>
      <c r="LB230" s="17"/>
      <c r="LC230" s="17"/>
      <c r="LD230" s="17"/>
      <c r="LE230" s="17"/>
      <c r="LF230" s="17"/>
      <c r="LG230" s="17"/>
      <c r="LH230" s="17"/>
      <c r="LI230" s="17"/>
      <c r="LJ230" s="17"/>
      <c r="LK230" s="17"/>
      <c r="LL230" s="17"/>
      <c r="LM230" s="17"/>
      <c r="LN230" s="17"/>
      <c r="LO230" s="17"/>
      <c r="LP230" s="17"/>
      <c r="LQ230" s="17"/>
      <c r="LR230" s="17"/>
      <c r="LS230" s="17"/>
      <c r="LT230" s="17"/>
      <c r="LU230" s="17"/>
      <c r="LV230" s="17"/>
      <c r="LW230" s="17"/>
      <c r="LX230" s="17"/>
      <c r="LY230" s="17"/>
      <c r="LZ230" s="17"/>
      <c r="MA230" s="17"/>
      <c r="MB230" s="17"/>
      <c r="MC230" s="17"/>
      <c r="MD230" s="17"/>
      <c r="ME230" s="17"/>
      <c r="MF230" s="17"/>
      <c r="MG230" s="17"/>
      <c r="MH230" s="17"/>
      <c r="MI230" s="17"/>
      <c r="MJ230" s="17"/>
      <c r="MK230" s="17"/>
      <c r="ML230" s="17"/>
      <c r="MM230" s="17"/>
      <c r="MN230" s="17"/>
      <c r="MO230" s="17"/>
      <c r="MP230" s="17"/>
      <c r="MQ230" s="17"/>
      <c r="MR230" s="17"/>
      <c r="MS230" s="17"/>
      <c r="MT230" s="17"/>
      <c r="MU230" s="17"/>
      <c r="MV230" s="17"/>
      <c r="MW230" s="17"/>
      <c r="MX230" s="17"/>
      <c r="MY230" s="17"/>
      <c r="MZ230" s="17"/>
      <c r="NA230" s="17"/>
      <c r="NB230" s="17"/>
      <c r="NC230" s="17"/>
      <c r="ND230" s="17"/>
      <c r="NE230" s="17"/>
      <c r="NF230" s="17"/>
      <c r="NG230" s="17"/>
      <c r="NH230" s="17"/>
      <c r="NI230" s="17"/>
      <c r="NJ230" s="17"/>
      <c r="NK230" s="17"/>
      <c r="NL230" s="17"/>
      <c r="NM230" s="17"/>
      <c r="NN230" s="17"/>
      <c r="NO230" s="17"/>
      <c r="NP230" s="17"/>
      <c r="NQ230" s="17"/>
      <c r="NR230" s="17"/>
      <c r="NS230" s="17"/>
      <c r="NT230" s="17"/>
      <c r="NU230" s="17"/>
      <c r="NV230" s="17"/>
      <c r="NW230" s="17"/>
      <c r="NX230" s="17"/>
      <c r="NY230" s="17"/>
      <c r="NZ230" s="17"/>
      <c r="OA230" s="17"/>
      <c r="OB230" s="17"/>
      <c r="OC230" s="17"/>
      <c r="OD230" s="17"/>
      <c r="OE230" s="17"/>
      <c r="OF230" s="17"/>
      <c r="OG230" s="17"/>
      <c r="OH230" s="17"/>
      <c r="OI230" s="17"/>
      <c r="OJ230" s="17"/>
      <c r="OK230" s="17"/>
      <c r="OL230" s="17"/>
      <c r="OM230" s="17"/>
      <c r="ON230" s="17"/>
      <c r="OO230" s="17"/>
      <c r="OP230" s="17"/>
      <c r="OQ230" s="17"/>
      <c r="OR230" s="17"/>
      <c r="OS230" s="17"/>
      <c r="OT230" s="17"/>
      <c r="OU230" s="17"/>
      <c r="OV230" s="17"/>
      <c r="OW230" s="17"/>
      <c r="OX230" s="17"/>
      <c r="OY230" s="17"/>
      <c r="OZ230" s="17"/>
      <c r="PA230" s="17"/>
      <c r="PB230" s="17"/>
      <c r="PC230" s="17"/>
      <c r="PD230" s="17"/>
      <c r="PE230" s="17"/>
      <c r="PF230" s="17"/>
      <c r="PG230" s="17"/>
      <c r="PH230" s="17"/>
      <c r="PI230" s="17"/>
      <c r="PJ230" s="17"/>
      <c r="PK230" s="17"/>
      <c r="PL230" s="17"/>
      <c r="PM230" s="17"/>
      <c r="PN230" s="17"/>
      <c r="PO230" s="17"/>
      <c r="PP230" s="17"/>
      <c r="PQ230" s="17"/>
      <c r="PR230" s="17"/>
      <c r="PS230" s="17"/>
      <c r="PT230" s="17"/>
      <c r="PU230" s="17"/>
      <c r="PV230" s="17"/>
      <c r="PW230" s="17"/>
      <c r="PX230" s="17"/>
      <c r="PY230" s="17"/>
      <c r="PZ230" s="17"/>
      <c r="QA230" s="17"/>
      <c r="QB230" s="17"/>
      <c r="QC230" s="17"/>
      <c r="QD230" s="17"/>
      <c r="QE230" s="17"/>
      <c r="QF230" s="17"/>
      <c r="QG230" s="17"/>
      <c r="QH230" s="17"/>
      <c r="QI230" s="17"/>
      <c r="QJ230" s="17"/>
      <c r="QK230" s="17"/>
      <c r="QL230" s="17"/>
      <c r="QM230" s="17"/>
      <c r="QN230" s="17"/>
      <c r="QO230" s="17"/>
      <c r="QP230" s="17"/>
      <c r="QQ230" s="17"/>
      <c r="QR230" s="17"/>
      <c r="QS230" s="17"/>
      <c r="QT230" s="17"/>
      <c r="QU230" s="17"/>
      <c r="QV230" s="17"/>
      <c r="QW230" s="17"/>
      <c r="QX230" s="17"/>
      <c r="QY230" s="17"/>
      <c r="QZ230" s="17"/>
      <c r="RA230" s="17"/>
      <c r="RB230" s="17"/>
      <c r="RC230" s="17"/>
      <c r="RD230" s="17"/>
      <c r="RE230" s="17"/>
      <c r="RF230" s="17"/>
      <c r="RG230" s="17"/>
      <c r="RH230" s="17"/>
      <c r="RI230" s="17"/>
      <c r="RJ230" s="17"/>
      <c r="RK230" s="17"/>
      <c r="RL230" s="17"/>
      <c r="RM230" s="17"/>
      <c r="RN230" s="17"/>
      <c r="RO230" s="17"/>
      <c r="RP230" s="17"/>
      <c r="RQ230" s="17"/>
      <c r="RR230" s="17"/>
      <c r="RS230" s="17"/>
      <c r="RT230" s="17"/>
      <c r="RU230" s="17"/>
      <c r="RV230" s="17"/>
      <c r="RW230" s="17"/>
      <c r="RX230" s="17"/>
      <c r="RY230" s="17"/>
      <c r="RZ230" s="17"/>
      <c r="SA230" s="17"/>
      <c r="SB230" s="17"/>
      <c r="SC230" s="17"/>
      <c r="SD230" s="17"/>
      <c r="SE230" s="17"/>
      <c r="SF230" s="17"/>
      <c r="SG230" s="17"/>
      <c r="SH230" s="17"/>
      <c r="SI230" s="17"/>
      <c r="SJ230" s="17"/>
      <c r="SK230" s="17"/>
      <c r="SL230" s="17"/>
      <c r="SM230" s="17"/>
      <c r="SN230" s="17"/>
      <c r="SO230" s="17"/>
      <c r="SP230" s="17"/>
      <c r="SQ230" s="17"/>
      <c r="SR230" s="17"/>
      <c r="SS230" s="17"/>
      <c r="ST230" s="17"/>
      <c r="SU230" s="17"/>
      <c r="SV230" s="17"/>
      <c r="SW230" s="17"/>
      <c r="SX230" s="17"/>
      <c r="SY230" s="17"/>
      <c r="SZ230" s="17"/>
      <c r="TA230" s="17"/>
      <c r="TB230" s="17"/>
      <c r="TC230" s="17"/>
      <c r="TD230" s="17"/>
      <c r="TE230" s="17"/>
      <c r="TF230" s="17"/>
      <c r="TG230" s="17"/>
      <c r="TH230" s="17"/>
      <c r="TI230" s="17"/>
      <c r="TJ230" s="17"/>
      <c r="TK230" s="17"/>
      <c r="TL230" s="17"/>
      <c r="TM230" s="17"/>
      <c r="TN230" s="17"/>
      <c r="TO230" s="17"/>
      <c r="TP230" s="17"/>
      <c r="TQ230" s="17"/>
      <c r="TR230" s="17"/>
      <c r="TS230" s="17"/>
      <c r="TT230" s="17"/>
      <c r="TU230" s="17"/>
      <c r="TV230" s="17"/>
      <c r="TW230" s="17"/>
      <c r="TX230" s="17"/>
      <c r="TY230" s="17"/>
      <c r="TZ230" s="17"/>
      <c r="UA230" s="17"/>
      <c r="UB230" s="17"/>
      <c r="UC230" s="17"/>
      <c r="UD230" s="17"/>
      <c r="UE230" s="17"/>
      <c r="UF230" s="17"/>
      <c r="UG230" s="17"/>
      <c r="UH230" s="17"/>
      <c r="UI230" s="17"/>
      <c r="UJ230" s="17"/>
      <c r="UK230" s="17"/>
      <c r="UL230" s="17"/>
      <c r="UM230" s="17"/>
      <c r="UN230" s="17"/>
      <c r="UO230" s="17"/>
      <c r="UP230" s="17"/>
      <c r="UQ230" s="17"/>
      <c r="UR230" s="17"/>
      <c r="US230" s="17"/>
      <c r="UT230" s="17"/>
      <c r="UU230" s="17"/>
      <c r="UV230" s="17"/>
      <c r="UW230" s="17"/>
      <c r="UX230" s="17"/>
      <c r="UY230" s="17"/>
      <c r="UZ230" s="17"/>
      <c r="VA230" s="17"/>
      <c r="VB230" s="17"/>
      <c r="VC230" s="17"/>
      <c r="VD230" s="17"/>
      <c r="VE230" s="17"/>
      <c r="VF230" s="17"/>
      <c r="VG230" s="17"/>
      <c r="VH230" s="17"/>
      <c r="VI230" s="17"/>
      <c r="VJ230" s="17"/>
      <c r="VK230" s="17"/>
      <c r="VL230" s="17"/>
      <c r="VM230" s="17"/>
      <c r="VN230" s="17"/>
      <c r="VO230" s="17"/>
      <c r="VP230" s="17"/>
      <c r="VQ230" s="17"/>
      <c r="VR230" s="17"/>
      <c r="VS230" s="17"/>
      <c r="VT230" s="17"/>
      <c r="VU230" s="17"/>
      <c r="VV230" s="17"/>
      <c r="VW230" s="17"/>
      <c r="VX230" s="17"/>
      <c r="VY230" s="17"/>
      <c r="VZ230" s="17"/>
      <c r="WA230" s="17"/>
      <c r="WB230" s="17"/>
      <c r="WC230" s="17"/>
      <c r="WD230" s="17"/>
      <c r="WE230" s="17"/>
      <c r="WF230" s="17"/>
      <c r="WG230" s="17"/>
      <c r="WH230" s="17"/>
      <c r="WI230" s="17"/>
      <c r="WJ230" s="17"/>
      <c r="WK230" s="17"/>
      <c r="WL230" s="17"/>
      <c r="WM230" s="17"/>
      <c r="WN230" s="17"/>
      <c r="WO230" s="17"/>
      <c r="WP230" s="17"/>
      <c r="WQ230" s="17"/>
      <c r="WR230" s="17"/>
      <c r="WS230" s="17"/>
      <c r="WT230" s="17"/>
      <c r="WU230" s="17"/>
      <c r="WV230" s="17"/>
      <c r="WW230" s="17"/>
      <c r="WX230" s="17"/>
      <c r="WY230" s="17"/>
      <c r="WZ230" s="17"/>
      <c r="XA230" s="17"/>
      <c r="XB230" s="17"/>
      <c r="XC230" s="17"/>
      <c r="XD230" s="17"/>
      <c r="XE230" s="17"/>
      <c r="XF230" s="17"/>
      <c r="XG230" s="17"/>
      <c r="XH230" s="17"/>
      <c r="XI230" s="17"/>
      <c r="XJ230" s="17"/>
      <c r="XK230" s="17"/>
      <c r="XL230" s="17"/>
      <c r="XM230" s="17"/>
      <c r="XN230" s="17"/>
      <c r="XO230" s="17"/>
      <c r="XP230" s="17"/>
      <c r="XQ230" s="17"/>
      <c r="XR230" s="17"/>
      <c r="XS230" s="17"/>
      <c r="XT230" s="17"/>
      <c r="XU230" s="17"/>
      <c r="XV230" s="17"/>
      <c r="XW230" s="17"/>
      <c r="XX230" s="17"/>
      <c r="XY230" s="17"/>
      <c r="XZ230" s="17"/>
      <c r="YA230" s="17"/>
      <c r="YB230" s="17"/>
      <c r="YC230" s="17"/>
      <c r="YD230" s="17"/>
      <c r="YE230" s="17"/>
      <c r="YF230" s="17"/>
      <c r="YG230" s="17"/>
      <c r="YH230" s="17"/>
      <c r="YI230" s="17"/>
      <c r="YJ230" s="17"/>
      <c r="YK230" s="17"/>
      <c r="YL230" s="17"/>
      <c r="YM230" s="17"/>
      <c r="YN230" s="17"/>
      <c r="YO230" s="17"/>
      <c r="YP230" s="17"/>
      <c r="YQ230" s="17"/>
      <c r="YR230" s="17"/>
      <c r="YS230" s="17"/>
    </row>
    <row r="231" spans="266:669" x14ac:dyDescent="0.25">
      <c r="JF231" s="17"/>
      <c r="JG231" s="17"/>
      <c r="JH231" s="17"/>
      <c r="JI231" s="17"/>
      <c r="JJ231" s="17"/>
      <c r="JK231" s="17"/>
      <c r="JL231" s="17"/>
      <c r="JM231" s="17"/>
      <c r="JN231" s="17"/>
      <c r="JO231" s="17"/>
      <c r="JP231" s="17"/>
      <c r="JQ231" s="17"/>
      <c r="JR231" s="17"/>
      <c r="JS231" s="17"/>
      <c r="JT231" s="17"/>
      <c r="JU231" s="17"/>
      <c r="JV231" s="17"/>
      <c r="JW231" s="17"/>
      <c r="JX231" s="17"/>
      <c r="JY231" s="17"/>
      <c r="JZ231" s="17"/>
      <c r="KA231" s="17"/>
      <c r="KB231" s="17"/>
      <c r="KC231" s="17"/>
      <c r="KD231" s="17"/>
      <c r="KE231" s="17"/>
      <c r="KF231" s="17"/>
      <c r="KG231" s="17"/>
      <c r="KH231" s="17"/>
      <c r="KI231" s="17"/>
      <c r="KJ231" s="17"/>
      <c r="KK231" s="17"/>
      <c r="KL231" s="17"/>
      <c r="KM231" s="17"/>
      <c r="KN231" s="17"/>
      <c r="KO231" s="17"/>
      <c r="KP231" s="17"/>
      <c r="KQ231" s="17"/>
      <c r="KR231" s="17"/>
      <c r="KS231" s="17"/>
      <c r="KT231" s="17"/>
      <c r="KU231" s="17"/>
      <c r="KV231" s="17"/>
      <c r="KW231" s="17"/>
      <c r="KX231" s="17"/>
      <c r="KY231" s="17"/>
      <c r="KZ231" s="17"/>
      <c r="LA231" s="17"/>
      <c r="LB231" s="17"/>
      <c r="LC231" s="17"/>
      <c r="LD231" s="17"/>
      <c r="LE231" s="17"/>
      <c r="LF231" s="17"/>
      <c r="LG231" s="17"/>
      <c r="LH231" s="17"/>
      <c r="LI231" s="17"/>
      <c r="LJ231" s="17"/>
      <c r="LK231" s="17"/>
      <c r="LL231" s="17"/>
      <c r="LM231" s="17"/>
      <c r="LN231" s="17"/>
      <c r="LO231" s="17"/>
      <c r="LP231" s="17"/>
      <c r="LQ231" s="17"/>
      <c r="LR231" s="17"/>
      <c r="LS231" s="17"/>
      <c r="LT231" s="17"/>
      <c r="LU231" s="17"/>
      <c r="LV231" s="17"/>
      <c r="LW231" s="17"/>
      <c r="LX231" s="17"/>
      <c r="LY231" s="17"/>
      <c r="LZ231" s="17"/>
      <c r="MA231" s="17"/>
      <c r="MB231" s="17"/>
      <c r="MC231" s="17"/>
      <c r="MD231" s="17"/>
      <c r="ME231" s="17"/>
      <c r="MF231" s="17"/>
      <c r="MG231" s="17"/>
      <c r="MH231" s="17"/>
      <c r="MI231" s="17"/>
      <c r="MJ231" s="17"/>
      <c r="MK231" s="17"/>
      <c r="ML231" s="17"/>
      <c r="MM231" s="17"/>
      <c r="MN231" s="17"/>
      <c r="MO231" s="17"/>
      <c r="MP231" s="17"/>
      <c r="MQ231" s="17"/>
      <c r="MR231" s="17"/>
      <c r="MS231" s="17"/>
      <c r="MT231" s="17"/>
      <c r="MU231" s="17"/>
      <c r="MV231" s="17"/>
      <c r="MW231" s="17"/>
      <c r="MX231" s="17"/>
      <c r="MY231" s="17"/>
      <c r="MZ231" s="17"/>
      <c r="NA231" s="17"/>
      <c r="NB231" s="17"/>
      <c r="NC231" s="17"/>
      <c r="ND231" s="17"/>
      <c r="NE231" s="17"/>
      <c r="NF231" s="17"/>
      <c r="NG231" s="17"/>
      <c r="NH231" s="17"/>
      <c r="NI231" s="17"/>
      <c r="NJ231" s="17"/>
      <c r="NK231" s="17"/>
      <c r="NL231" s="17"/>
      <c r="NM231" s="17"/>
      <c r="NN231" s="17"/>
      <c r="NO231" s="17"/>
      <c r="NP231" s="17"/>
      <c r="NQ231" s="17"/>
      <c r="NR231" s="17"/>
      <c r="NS231" s="17"/>
      <c r="NT231" s="17"/>
      <c r="NU231" s="17"/>
      <c r="NV231" s="17"/>
      <c r="NW231" s="17"/>
      <c r="NX231" s="17"/>
      <c r="NY231" s="17"/>
      <c r="NZ231" s="17"/>
      <c r="OA231" s="17"/>
      <c r="OB231" s="17"/>
      <c r="OC231" s="17"/>
      <c r="OD231" s="17"/>
      <c r="OE231" s="17"/>
      <c r="OF231" s="17"/>
      <c r="OG231" s="17"/>
      <c r="OH231" s="17"/>
      <c r="OI231" s="17"/>
      <c r="OJ231" s="17"/>
      <c r="OK231" s="17"/>
      <c r="OL231" s="17"/>
      <c r="OM231" s="17"/>
      <c r="ON231" s="17"/>
      <c r="OO231" s="17"/>
      <c r="OP231" s="17"/>
      <c r="OQ231" s="17"/>
      <c r="OR231" s="17"/>
      <c r="OS231" s="17"/>
      <c r="OT231" s="17"/>
      <c r="OU231" s="17"/>
      <c r="OV231" s="17"/>
      <c r="OW231" s="17"/>
      <c r="OX231" s="17"/>
      <c r="OY231" s="17"/>
      <c r="OZ231" s="17"/>
      <c r="PA231" s="17"/>
      <c r="PB231" s="17"/>
      <c r="PC231" s="17"/>
      <c r="PD231" s="17"/>
      <c r="PE231" s="17"/>
      <c r="PF231" s="17"/>
      <c r="PG231" s="17"/>
      <c r="PH231" s="17"/>
      <c r="PI231" s="17"/>
      <c r="PJ231" s="17"/>
      <c r="PK231" s="17"/>
      <c r="PL231" s="17"/>
      <c r="PM231" s="17"/>
      <c r="PN231" s="17"/>
      <c r="PO231" s="17"/>
      <c r="PP231" s="17"/>
      <c r="PQ231" s="17"/>
      <c r="PR231" s="17"/>
      <c r="PS231" s="17"/>
      <c r="PT231" s="17"/>
      <c r="PU231" s="17"/>
      <c r="PV231" s="17"/>
      <c r="PW231" s="17"/>
      <c r="PX231" s="17"/>
      <c r="PY231" s="17"/>
      <c r="PZ231" s="17"/>
      <c r="QA231" s="17"/>
      <c r="QB231" s="17"/>
      <c r="QC231" s="17"/>
      <c r="QD231" s="17"/>
      <c r="QE231" s="17"/>
      <c r="QF231" s="17"/>
      <c r="QG231" s="17"/>
      <c r="QH231" s="17"/>
      <c r="QI231" s="17"/>
      <c r="QJ231" s="17"/>
      <c r="QK231" s="17"/>
      <c r="QL231" s="17"/>
      <c r="QM231" s="17"/>
      <c r="QN231" s="17"/>
      <c r="QO231" s="17"/>
      <c r="QP231" s="17"/>
      <c r="QQ231" s="17"/>
      <c r="QR231" s="17"/>
      <c r="QS231" s="17"/>
      <c r="QT231" s="17"/>
      <c r="QU231" s="17"/>
      <c r="QV231" s="17"/>
      <c r="QW231" s="17"/>
      <c r="QX231" s="17"/>
      <c r="QY231" s="17"/>
      <c r="QZ231" s="17"/>
      <c r="RA231" s="17"/>
      <c r="RB231" s="17"/>
      <c r="RC231" s="17"/>
      <c r="RD231" s="17"/>
      <c r="RE231" s="17"/>
      <c r="RF231" s="17"/>
      <c r="RG231" s="17"/>
      <c r="RH231" s="17"/>
      <c r="RI231" s="17"/>
      <c r="RJ231" s="17"/>
      <c r="RK231" s="17"/>
      <c r="RL231" s="17"/>
      <c r="RM231" s="17"/>
      <c r="RN231" s="17"/>
      <c r="RO231" s="17"/>
      <c r="RP231" s="17"/>
      <c r="RQ231" s="17"/>
      <c r="RR231" s="17"/>
      <c r="RS231" s="17"/>
      <c r="RT231" s="17"/>
      <c r="RU231" s="17"/>
      <c r="RV231" s="17"/>
      <c r="RW231" s="17"/>
      <c r="RX231" s="17"/>
      <c r="RY231" s="17"/>
      <c r="RZ231" s="17"/>
      <c r="SA231" s="17"/>
      <c r="SB231" s="17"/>
      <c r="SC231" s="17"/>
      <c r="SD231" s="17"/>
      <c r="SE231" s="17"/>
      <c r="SF231" s="17"/>
      <c r="SG231" s="17"/>
      <c r="SH231" s="17"/>
      <c r="SI231" s="17"/>
      <c r="SJ231" s="17"/>
      <c r="SK231" s="17"/>
      <c r="SL231" s="17"/>
      <c r="SM231" s="17"/>
      <c r="SN231" s="17"/>
      <c r="SO231" s="17"/>
      <c r="SP231" s="17"/>
      <c r="SQ231" s="17"/>
      <c r="SR231" s="17"/>
      <c r="SS231" s="17"/>
      <c r="ST231" s="17"/>
      <c r="SU231" s="17"/>
      <c r="SV231" s="17"/>
      <c r="SW231" s="17"/>
      <c r="SX231" s="17"/>
      <c r="SY231" s="17"/>
      <c r="SZ231" s="17"/>
      <c r="TA231" s="17"/>
      <c r="TB231" s="17"/>
      <c r="TC231" s="17"/>
      <c r="TD231" s="17"/>
      <c r="TE231" s="17"/>
      <c r="TF231" s="17"/>
      <c r="TG231" s="17"/>
      <c r="TH231" s="17"/>
      <c r="TI231" s="17"/>
      <c r="TJ231" s="17"/>
      <c r="TK231" s="17"/>
      <c r="TL231" s="17"/>
      <c r="TM231" s="17"/>
      <c r="TN231" s="17"/>
      <c r="TO231" s="17"/>
      <c r="TP231" s="17"/>
      <c r="TQ231" s="17"/>
      <c r="TR231" s="17"/>
      <c r="TS231" s="17"/>
      <c r="TT231" s="17"/>
      <c r="TU231" s="17"/>
      <c r="TV231" s="17"/>
      <c r="TW231" s="17"/>
      <c r="TX231" s="17"/>
      <c r="TY231" s="17"/>
      <c r="TZ231" s="17"/>
      <c r="UA231" s="17"/>
      <c r="UB231" s="17"/>
      <c r="UC231" s="17"/>
      <c r="UD231" s="17"/>
      <c r="UE231" s="17"/>
      <c r="UF231" s="17"/>
      <c r="UG231" s="17"/>
      <c r="UH231" s="17"/>
      <c r="UI231" s="17"/>
      <c r="UJ231" s="17"/>
      <c r="UK231" s="17"/>
      <c r="UL231" s="17"/>
      <c r="UM231" s="17"/>
      <c r="UN231" s="17"/>
      <c r="UO231" s="17"/>
      <c r="UP231" s="17"/>
      <c r="UQ231" s="17"/>
      <c r="UR231" s="17"/>
      <c r="US231" s="17"/>
      <c r="UT231" s="17"/>
      <c r="UU231" s="17"/>
      <c r="UV231" s="17"/>
      <c r="UW231" s="17"/>
      <c r="UX231" s="17"/>
      <c r="UY231" s="17"/>
      <c r="UZ231" s="17"/>
      <c r="VA231" s="17"/>
      <c r="VB231" s="17"/>
      <c r="VC231" s="17"/>
      <c r="VD231" s="17"/>
      <c r="VE231" s="17"/>
      <c r="VF231" s="17"/>
      <c r="VG231" s="17"/>
      <c r="VH231" s="17"/>
      <c r="VI231" s="17"/>
      <c r="VJ231" s="17"/>
      <c r="VK231" s="17"/>
      <c r="VL231" s="17"/>
      <c r="VM231" s="17"/>
      <c r="VN231" s="17"/>
      <c r="VO231" s="17"/>
      <c r="VP231" s="17"/>
      <c r="VQ231" s="17"/>
      <c r="VR231" s="17"/>
      <c r="VS231" s="17"/>
      <c r="VT231" s="17"/>
      <c r="VU231" s="17"/>
      <c r="VV231" s="17"/>
      <c r="VW231" s="17"/>
      <c r="VX231" s="17"/>
      <c r="VY231" s="17"/>
      <c r="VZ231" s="17"/>
      <c r="WA231" s="17"/>
      <c r="WB231" s="17"/>
      <c r="WC231" s="17"/>
      <c r="WD231" s="17"/>
      <c r="WE231" s="17"/>
      <c r="WF231" s="17"/>
      <c r="WG231" s="17"/>
      <c r="WH231" s="17"/>
      <c r="WI231" s="17"/>
      <c r="WJ231" s="17"/>
      <c r="WK231" s="17"/>
      <c r="WL231" s="17"/>
      <c r="WM231" s="17"/>
      <c r="WN231" s="17"/>
      <c r="WO231" s="17"/>
      <c r="WP231" s="17"/>
      <c r="WQ231" s="17"/>
      <c r="WR231" s="17"/>
      <c r="WS231" s="17"/>
      <c r="WT231" s="17"/>
      <c r="WU231" s="17"/>
      <c r="WV231" s="17"/>
      <c r="WW231" s="17"/>
      <c r="WX231" s="17"/>
      <c r="WY231" s="17"/>
      <c r="WZ231" s="17"/>
      <c r="XA231" s="17"/>
      <c r="XB231" s="17"/>
      <c r="XC231" s="17"/>
      <c r="XD231" s="17"/>
      <c r="XE231" s="17"/>
      <c r="XF231" s="17"/>
      <c r="XG231" s="17"/>
      <c r="XH231" s="17"/>
      <c r="XI231" s="17"/>
      <c r="XJ231" s="17"/>
      <c r="XK231" s="17"/>
      <c r="XL231" s="17"/>
      <c r="XM231" s="17"/>
      <c r="XN231" s="17"/>
      <c r="XO231" s="17"/>
      <c r="XP231" s="17"/>
      <c r="XQ231" s="17"/>
      <c r="XR231" s="17"/>
      <c r="XS231" s="17"/>
      <c r="XT231" s="17"/>
      <c r="XU231" s="17"/>
      <c r="XV231" s="17"/>
      <c r="XW231" s="17"/>
      <c r="XX231" s="17"/>
      <c r="XY231" s="17"/>
      <c r="XZ231" s="17"/>
      <c r="YA231" s="17"/>
      <c r="YB231" s="17"/>
      <c r="YC231" s="17"/>
      <c r="YD231" s="17"/>
      <c r="YE231" s="17"/>
      <c r="YF231" s="17"/>
      <c r="YG231" s="17"/>
      <c r="YH231" s="17"/>
      <c r="YI231" s="17"/>
      <c r="YJ231" s="17"/>
      <c r="YK231" s="17"/>
      <c r="YL231" s="17"/>
      <c r="YM231" s="17"/>
      <c r="YN231" s="17"/>
      <c r="YO231" s="17"/>
      <c r="YP231" s="17"/>
      <c r="YQ231" s="17"/>
      <c r="YR231" s="17"/>
      <c r="YS231" s="17"/>
    </row>
    <row r="232" spans="266:669" x14ac:dyDescent="0.25">
      <c r="JF232" s="17"/>
      <c r="JG232" s="17"/>
      <c r="JH232" s="17"/>
      <c r="JI232" s="17"/>
      <c r="JJ232" s="17"/>
      <c r="JK232" s="17"/>
      <c r="JL232" s="17"/>
      <c r="JM232" s="17"/>
      <c r="JN232" s="17"/>
      <c r="JO232" s="17"/>
      <c r="JP232" s="17"/>
      <c r="JQ232" s="17"/>
      <c r="JR232" s="17"/>
      <c r="JS232" s="17"/>
      <c r="JT232" s="17"/>
      <c r="JU232" s="17"/>
      <c r="JV232" s="17"/>
      <c r="JW232" s="17"/>
      <c r="JX232" s="17"/>
      <c r="JY232" s="17"/>
      <c r="JZ232" s="17"/>
      <c r="KA232" s="17"/>
      <c r="KB232" s="17"/>
      <c r="KC232" s="17"/>
      <c r="KD232" s="17"/>
      <c r="KE232" s="17"/>
      <c r="KF232" s="17"/>
      <c r="KG232" s="17"/>
      <c r="KH232" s="17"/>
      <c r="KI232" s="17"/>
      <c r="KJ232" s="17"/>
      <c r="KK232" s="17"/>
      <c r="KL232" s="17"/>
      <c r="KM232" s="17"/>
      <c r="KN232" s="17"/>
      <c r="KO232" s="17"/>
      <c r="KP232" s="17"/>
      <c r="KQ232" s="17"/>
      <c r="KR232" s="17"/>
      <c r="KS232" s="17"/>
      <c r="KT232" s="17"/>
      <c r="KU232" s="17"/>
      <c r="KV232" s="17"/>
      <c r="KW232" s="17"/>
      <c r="KX232" s="17"/>
      <c r="KY232" s="17"/>
      <c r="KZ232" s="17"/>
      <c r="LA232" s="17"/>
      <c r="LB232" s="17"/>
      <c r="LC232" s="17"/>
      <c r="LD232" s="17"/>
      <c r="LE232" s="17"/>
      <c r="LF232" s="17"/>
      <c r="LG232" s="17"/>
      <c r="LH232" s="17"/>
      <c r="LI232" s="17"/>
      <c r="LJ232" s="17"/>
      <c r="LK232" s="17"/>
      <c r="LL232" s="17"/>
      <c r="LM232" s="17"/>
      <c r="LN232" s="17"/>
      <c r="LO232" s="17"/>
      <c r="LP232" s="17"/>
      <c r="LQ232" s="17"/>
      <c r="LR232" s="17"/>
      <c r="LS232" s="17"/>
      <c r="LT232" s="17"/>
      <c r="LU232" s="17"/>
      <c r="LV232" s="17"/>
      <c r="LW232" s="17"/>
      <c r="LX232" s="17"/>
      <c r="LY232" s="17"/>
      <c r="LZ232" s="17"/>
      <c r="MA232" s="17"/>
      <c r="MB232" s="17"/>
      <c r="MC232" s="17"/>
      <c r="MD232" s="17"/>
      <c r="ME232" s="17"/>
      <c r="MF232" s="17"/>
      <c r="MG232" s="17"/>
      <c r="MH232" s="17"/>
      <c r="MI232" s="17"/>
      <c r="MJ232" s="17"/>
      <c r="MK232" s="17"/>
      <c r="ML232" s="17"/>
      <c r="MM232" s="17"/>
      <c r="MN232" s="17"/>
      <c r="MO232" s="17"/>
      <c r="MP232" s="17"/>
      <c r="MQ232" s="17"/>
      <c r="MR232" s="17"/>
      <c r="MS232" s="17"/>
      <c r="MT232" s="17"/>
      <c r="MU232" s="17"/>
      <c r="MV232" s="17"/>
      <c r="MW232" s="17"/>
      <c r="MX232" s="17"/>
      <c r="MY232" s="17"/>
      <c r="MZ232" s="17"/>
      <c r="NA232" s="17"/>
      <c r="NB232" s="17"/>
      <c r="NC232" s="17"/>
      <c r="ND232" s="17"/>
      <c r="NE232" s="17"/>
      <c r="NF232" s="17"/>
      <c r="NG232" s="17"/>
      <c r="NH232" s="17"/>
      <c r="NI232" s="17"/>
      <c r="NJ232" s="17"/>
      <c r="NK232" s="17"/>
      <c r="NL232" s="17"/>
      <c r="NM232" s="17"/>
      <c r="NN232" s="17"/>
      <c r="NO232" s="17"/>
      <c r="NP232" s="17"/>
      <c r="NQ232" s="17"/>
      <c r="NR232" s="17"/>
      <c r="NS232" s="17"/>
      <c r="NT232" s="17"/>
      <c r="NU232" s="17"/>
      <c r="NV232" s="17"/>
      <c r="NW232" s="17"/>
      <c r="NX232" s="17"/>
      <c r="NY232" s="17"/>
      <c r="NZ232" s="17"/>
      <c r="OA232" s="17"/>
      <c r="OB232" s="17"/>
      <c r="OC232" s="17"/>
      <c r="OD232" s="17"/>
      <c r="OE232" s="17"/>
      <c r="OF232" s="17"/>
      <c r="OG232" s="17"/>
      <c r="OH232" s="17"/>
      <c r="OI232" s="17"/>
      <c r="OJ232" s="17"/>
      <c r="OK232" s="17"/>
      <c r="OL232" s="17"/>
      <c r="OM232" s="17"/>
      <c r="ON232" s="17"/>
      <c r="OO232" s="17"/>
      <c r="OP232" s="17"/>
      <c r="OQ232" s="17"/>
      <c r="OR232" s="17"/>
      <c r="OS232" s="17"/>
      <c r="OT232" s="17"/>
      <c r="OU232" s="17"/>
      <c r="OV232" s="17"/>
      <c r="OW232" s="17"/>
      <c r="OX232" s="17"/>
      <c r="OY232" s="17"/>
      <c r="OZ232" s="17"/>
      <c r="PA232" s="17"/>
      <c r="PB232" s="17"/>
      <c r="PC232" s="17"/>
      <c r="PD232" s="17"/>
      <c r="PE232" s="17"/>
      <c r="PF232" s="17"/>
      <c r="PG232" s="17"/>
      <c r="PH232" s="17"/>
      <c r="PI232" s="17"/>
      <c r="PJ232" s="17"/>
      <c r="PK232" s="17"/>
      <c r="PL232" s="17"/>
      <c r="PM232" s="17"/>
      <c r="PN232" s="17"/>
      <c r="PO232" s="17"/>
      <c r="PP232" s="17"/>
      <c r="PQ232" s="17"/>
      <c r="PR232" s="17"/>
      <c r="PS232" s="17"/>
      <c r="PT232" s="17"/>
      <c r="PU232" s="17"/>
      <c r="PV232" s="17"/>
      <c r="PW232" s="17"/>
      <c r="PX232" s="17"/>
      <c r="PY232" s="17"/>
      <c r="PZ232" s="17"/>
      <c r="QA232" s="17"/>
      <c r="QB232" s="17"/>
      <c r="QC232" s="17"/>
      <c r="QD232" s="17"/>
      <c r="QE232" s="17"/>
      <c r="QF232" s="17"/>
      <c r="QG232" s="17"/>
      <c r="QH232" s="17"/>
      <c r="QI232" s="17"/>
      <c r="QJ232" s="17"/>
      <c r="QK232" s="17"/>
      <c r="QL232" s="17"/>
      <c r="QM232" s="17"/>
      <c r="QN232" s="17"/>
      <c r="QO232" s="17"/>
      <c r="QP232" s="17"/>
      <c r="QQ232" s="17"/>
      <c r="QR232" s="17"/>
      <c r="QS232" s="17"/>
      <c r="QT232" s="17"/>
      <c r="QU232" s="17"/>
      <c r="QV232" s="17"/>
      <c r="QW232" s="17"/>
      <c r="QX232" s="17"/>
      <c r="QY232" s="17"/>
      <c r="QZ232" s="17"/>
      <c r="RA232" s="17"/>
      <c r="RB232" s="17"/>
      <c r="RC232" s="17"/>
      <c r="RD232" s="17"/>
      <c r="RE232" s="17"/>
      <c r="RF232" s="17"/>
      <c r="RG232" s="17"/>
      <c r="RH232" s="17"/>
      <c r="RI232" s="17"/>
      <c r="RJ232" s="17"/>
      <c r="RK232" s="17"/>
      <c r="RL232" s="17"/>
      <c r="RM232" s="17"/>
      <c r="RN232" s="17"/>
      <c r="RO232" s="17"/>
      <c r="RP232" s="17"/>
      <c r="RQ232" s="17"/>
      <c r="RR232" s="17"/>
      <c r="RS232" s="17"/>
      <c r="RT232" s="17"/>
      <c r="RU232" s="17"/>
      <c r="RV232" s="17"/>
      <c r="RW232" s="17"/>
      <c r="RX232" s="17"/>
      <c r="RY232" s="17"/>
      <c r="RZ232" s="17"/>
      <c r="SA232" s="17"/>
      <c r="SB232" s="17"/>
      <c r="SC232" s="17"/>
      <c r="SD232" s="17"/>
      <c r="SE232" s="17"/>
      <c r="SF232" s="17"/>
      <c r="SG232" s="17"/>
      <c r="SH232" s="17"/>
      <c r="SI232" s="17"/>
      <c r="SJ232" s="17"/>
      <c r="SK232" s="17"/>
      <c r="SL232" s="17"/>
      <c r="SM232" s="17"/>
      <c r="SN232" s="17"/>
      <c r="SO232" s="17"/>
      <c r="SP232" s="17"/>
      <c r="SQ232" s="17"/>
      <c r="SR232" s="17"/>
      <c r="SS232" s="17"/>
      <c r="ST232" s="17"/>
      <c r="SU232" s="17"/>
      <c r="SV232" s="17"/>
      <c r="SW232" s="17"/>
      <c r="SX232" s="17"/>
      <c r="SY232" s="17"/>
      <c r="SZ232" s="17"/>
      <c r="TA232" s="17"/>
      <c r="TB232" s="17"/>
      <c r="TC232" s="17"/>
      <c r="TD232" s="17"/>
      <c r="TE232" s="17"/>
      <c r="TF232" s="17"/>
      <c r="TG232" s="17"/>
      <c r="TH232" s="17"/>
      <c r="TI232" s="17"/>
      <c r="TJ232" s="17"/>
      <c r="TK232" s="17"/>
      <c r="TL232" s="17"/>
      <c r="TM232" s="17"/>
      <c r="TN232" s="17"/>
      <c r="TO232" s="17"/>
      <c r="TP232" s="17"/>
      <c r="TQ232" s="17"/>
      <c r="TR232" s="17"/>
      <c r="TS232" s="17"/>
      <c r="TT232" s="17"/>
      <c r="TU232" s="17"/>
      <c r="TV232" s="17"/>
      <c r="TW232" s="17"/>
      <c r="TX232" s="17"/>
      <c r="TY232" s="17"/>
      <c r="TZ232" s="17"/>
      <c r="UA232" s="17"/>
      <c r="UB232" s="17"/>
      <c r="UC232" s="17"/>
      <c r="UD232" s="17"/>
      <c r="UE232" s="17"/>
      <c r="UF232" s="17"/>
      <c r="UG232" s="17"/>
      <c r="UH232" s="17"/>
      <c r="UI232" s="17"/>
      <c r="UJ232" s="17"/>
      <c r="UK232" s="17"/>
      <c r="UL232" s="17"/>
      <c r="UM232" s="17"/>
      <c r="UN232" s="17"/>
      <c r="UO232" s="17"/>
      <c r="UP232" s="17"/>
      <c r="UQ232" s="17"/>
      <c r="UR232" s="17"/>
      <c r="US232" s="17"/>
      <c r="UT232" s="17"/>
      <c r="UU232" s="17"/>
      <c r="UV232" s="17"/>
      <c r="UW232" s="17"/>
      <c r="UX232" s="17"/>
      <c r="UY232" s="17"/>
      <c r="UZ232" s="17"/>
      <c r="VA232" s="17"/>
      <c r="VB232" s="17"/>
      <c r="VC232" s="17"/>
      <c r="VD232" s="17"/>
      <c r="VE232" s="17"/>
      <c r="VF232" s="17"/>
      <c r="VG232" s="17"/>
      <c r="VH232" s="17"/>
      <c r="VI232" s="17"/>
      <c r="VJ232" s="17"/>
      <c r="VK232" s="17"/>
      <c r="VL232" s="17"/>
      <c r="VM232" s="17"/>
      <c r="VN232" s="17"/>
      <c r="VO232" s="17"/>
      <c r="VP232" s="17"/>
      <c r="VQ232" s="17"/>
      <c r="VR232" s="17"/>
      <c r="VS232" s="17"/>
      <c r="VT232" s="17"/>
      <c r="VU232" s="17"/>
      <c r="VV232" s="17"/>
      <c r="VW232" s="17"/>
      <c r="VX232" s="17"/>
      <c r="VY232" s="17"/>
      <c r="VZ232" s="17"/>
      <c r="WA232" s="17"/>
      <c r="WB232" s="17"/>
      <c r="WC232" s="17"/>
      <c r="WD232" s="17"/>
      <c r="WE232" s="17"/>
      <c r="WF232" s="17"/>
      <c r="WG232" s="17"/>
      <c r="WH232" s="17"/>
      <c r="WI232" s="17"/>
      <c r="WJ232" s="17"/>
      <c r="WK232" s="17"/>
      <c r="WL232" s="17"/>
      <c r="WM232" s="17"/>
      <c r="WN232" s="17"/>
      <c r="WO232" s="17"/>
      <c r="WP232" s="17"/>
      <c r="WQ232" s="17"/>
      <c r="WR232" s="17"/>
      <c r="WS232" s="17"/>
      <c r="WT232" s="17"/>
      <c r="WU232" s="17"/>
      <c r="WV232" s="17"/>
      <c r="WW232" s="17"/>
      <c r="WX232" s="17"/>
      <c r="WY232" s="17"/>
      <c r="WZ232" s="17"/>
      <c r="XA232" s="17"/>
      <c r="XB232" s="17"/>
      <c r="XC232" s="17"/>
      <c r="XD232" s="17"/>
      <c r="XE232" s="17"/>
      <c r="XF232" s="17"/>
      <c r="XG232" s="17"/>
      <c r="XH232" s="17"/>
      <c r="XI232" s="17"/>
      <c r="XJ232" s="17"/>
      <c r="XK232" s="17"/>
      <c r="XL232" s="17"/>
      <c r="XM232" s="17"/>
      <c r="XN232" s="17"/>
      <c r="XO232" s="17"/>
      <c r="XP232" s="17"/>
      <c r="XQ232" s="17"/>
      <c r="XR232" s="17"/>
      <c r="XS232" s="17"/>
      <c r="XT232" s="17"/>
      <c r="XU232" s="17"/>
      <c r="XV232" s="17"/>
      <c r="XW232" s="17"/>
      <c r="XX232" s="17"/>
      <c r="XY232" s="17"/>
      <c r="XZ232" s="17"/>
      <c r="YA232" s="17"/>
      <c r="YB232" s="17"/>
      <c r="YC232" s="17"/>
      <c r="YD232" s="17"/>
      <c r="YE232" s="17"/>
      <c r="YF232" s="17"/>
      <c r="YG232" s="17"/>
      <c r="YH232" s="17"/>
      <c r="YI232" s="17"/>
      <c r="YJ232" s="17"/>
      <c r="YK232" s="17"/>
      <c r="YL232" s="17"/>
      <c r="YM232" s="17"/>
      <c r="YN232" s="17"/>
      <c r="YO232" s="17"/>
      <c r="YP232" s="17"/>
      <c r="YQ232" s="17"/>
      <c r="YR232" s="17"/>
      <c r="YS232" s="17"/>
    </row>
    <row r="233" spans="266:669" x14ac:dyDescent="0.25">
      <c r="JF233" s="17"/>
      <c r="JG233" s="17"/>
      <c r="JH233" s="17"/>
      <c r="JI233" s="17"/>
      <c r="JJ233" s="17"/>
      <c r="JK233" s="17"/>
      <c r="JL233" s="17"/>
      <c r="JM233" s="17"/>
      <c r="JN233" s="17"/>
      <c r="JO233" s="17"/>
      <c r="JP233" s="17"/>
      <c r="JQ233" s="17"/>
      <c r="JR233" s="17"/>
      <c r="JS233" s="17"/>
      <c r="JT233" s="17"/>
      <c r="JU233" s="17"/>
      <c r="JV233" s="17"/>
      <c r="JW233" s="17"/>
      <c r="JX233" s="17"/>
      <c r="JY233" s="17"/>
      <c r="JZ233" s="17"/>
      <c r="KA233" s="17"/>
      <c r="KB233" s="17"/>
      <c r="KC233" s="17"/>
      <c r="KD233" s="17"/>
      <c r="KE233" s="17"/>
      <c r="KF233" s="17"/>
      <c r="KG233" s="17"/>
      <c r="KH233" s="17"/>
      <c r="KI233" s="17"/>
      <c r="KJ233" s="17"/>
      <c r="KK233" s="17"/>
      <c r="KL233" s="17"/>
      <c r="KM233" s="17"/>
      <c r="KN233" s="17"/>
      <c r="KO233" s="17"/>
      <c r="KP233" s="17"/>
      <c r="KQ233" s="17"/>
      <c r="KR233" s="17"/>
      <c r="KS233" s="17"/>
      <c r="KT233" s="17"/>
      <c r="KU233" s="17"/>
      <c r="KV233" s="17"/>
      <c r="KW233" s="17"/>
      <c r="KX233" s="17"/>
      <c r="KY233" s="17"/>
      <c r="KZ233" s="17"/>
      <c r="LA233" s="17"/>
      <c r="LB233" s="17"/>
      <c r="LC233" s="17"/>
      <c r="LD233" s="17"/>
      <c r="LE233" s="17"/>
      <c r="LF233" s="17"/>
      <c r="LG233" s="17"/>
      <c r="LH233" s="17"/>
      <c r="LI233" s="17"/>
      <c r="LJ233" s="17"/>
      <c r="LK233" s="17"/>
      <c r="LL233" s="17"/>
      <c r="LM233" s="17"/>
      <c r="LN233" s="17"/>
      <c r="LO233" s="17"/>
      <c r="LP233" s="17"/>
      <c r="LQ233" s="17"/>
      <c r="LR233" s="17"/>
      <c r="LS233" s="17"/>
      <c r="LT233" s="17"/>
      <c r="LU233" s="17"/>
      <c r="LV233" s="17"/>
      <c r="LW233" s="17"/>
      <c r="LX233" s="17"/>
      <c r="LY233" s="17"/>
      <c r="LZ233" s="17"/>
      <c r="MA233" s="17"/>
      <c r="MB233" s="17"/>
      <c r="MC233" s="17"/>
      <c r="MD233" s="17"/>
      <c r="ME233" s="17"/>
      <c r="MF233" s="17"/>
      <c r="MG233" s="17"/>
      <c r="MH233" s="17"/>
      <c r="MI233" s="17"/>
      <c r="MJ233" s="17"/>
      <c r="MK233" s="17"/>
      <c r="ML233" s="17"/>
      <c r="MM233" s="17"/>
      <c r="MN233" s="17"/>
      <c r="MO233" s="17"/>
      <c r="MP233" s="17"/>
      <c r="MQ233" s="17"/>
      <c r="MR233" s="17"/>
      <c r="MS233" s="17"/>
      <c r="MT233" s="17"/>
      <c r="MU233" s="17"/>
      <c r="MV233" s="17"/>
      <c r="MW233" s="17"/>
      <c r="MX233" s="17"/>
      <c r="MY233" s="17"/>
      <c r="MZ233" s="17"/>
      <c r="NA233" s="17"/>
      <c r="NB233" s="17"/>
      <c r="NC233" s="17"/>
      <c r="ND233" s="17"/>
      <c r="NE233" s="17"/>
      <c r="NF233" s="17"/>
      <c r="NG233" s="17"/>
      <c r="NH233" s="17"/>
      <c r="NI233" s="17"/>
      <c r="NJ233" s="17"/>
      <c r="NK233" s="17"/>
      <c r="NL233" s="17"/>
      <c r="NM233" s="17"/>
      <c r="NN233" s="17"/>
      <c r="NO233" s="17"/>
      <c r="NP233" s="17"/>
      <c r="NQ233" s="17"/>
      <c r="NR233" s="17"/>
      <c r="NS233" s="17"/>
      <c r="NT233" s="17"/>
      <c r="NU233" s="17"/>
      <c r="NV233" s="17"/>
      <c r="NW233" s="17"/>
      <c r="NX233" s="17"/>
      <c r="NY233" s="17"/>
      <c r="NZ233" s="17"/>
      <c r="OA233" s="17"/>
      <c r="OB233" s="17"/>
      <c r="OC233" s="17"/>
      <c r="OD233" s="17"/>
      <c r="OE233" s="17"/>
      <c r="OF233" s="17"/>
      <c r="OG233" s="17"/>
      <c r="OH233" s="17"/>
      <c r="OI233" s="17"/>
      <c r="OJ233" s="17"/>
      <c r="OK233" s="17"/>
      <c r="OL233" s="17"/>
      <c r="OM233" s="17"/>
      <c r="ON233" s="17"/>
      <c r="OO233" s="17"/>
      <c r="OP233" s="17"/>
      <c r="OQ233" s="17"/>
      <c r="OR233" s="17"/>
      <c r="OS233" s="17"/>
      <c r="OT233" s="17"/>
      <c r="OU233" s="17"/>
      <c r="OV233" s="17"/>
      <c r="OW233" s="17"/>
      <c r="OX233" s="17"/>
      <c r="OY233" s="17"/>
      <c r="OZ233" s="17"/>
      <c r="PA233" s="17"/>
      <c r="PB233" s="17"/>
      <c r="PC233" s="17"/>
      <c r="PD233" s="17"/>
      <c r="PE233" s="17"/>
      <c r="PF233" s="17"/>
      <c r="PG233" s="17"/>
      <c r="PH233" s="17"/>
      <c r="PI233" s="17"/>
      <c r="PJ233" s="17"/>
      <c r="PK233" s="17"/>
      <c r="PL233" s="17"/>
      <c r="PM233" s="17"/>
      <c r="PN233" s="17"/>
      <c r="PO233" s="17"/>
      <c r="PP233" s="17"/>
      <c r="PQ233" s="17"/>
      <c r="PR233" s="17"/>
      <c r="PS233" s="17"/>
      <c r="PT233" s="17"/>
      <c r="PU233" s="17"/>
      <c r="PV233" s="17"/>
      <c r="PW233" s="17"/>
      <c r="PX233" s="17"/>
      <c r="PY233" s="17"/>
      <c r="PZ233" s="17"/>
      <c r="QA233" s="17"/>
      <c r="QB233" s="17"/>
      <c r="QC233" s="17"/>
      <c r="QD233" s="17"/>
      <c r="QE233" s="17"/>
      <c r="QF233" s="17"/>
      <c r="QG233" s="17"/>
      <c r="QH233" s="17"/>
      <c r="QI233" s="17"/>
      <c r="QJ233" s="17"/>
      <c r="QK233" s="17"/>
      <c r="QL233" s="17"/>
      <c r="QM233" s="17"/>
      <c r="QN233" s="17"/>
      <c r="QO233" s="17"/>
      <c r="QP233" s="17"/>
      <c r="QQ233" s="17"/>
      <c r="QR233" s="17"/>
      <c r="QS233" s="17"/>
      <c r="QT233" s="17"/>
      <c r="QU233" s="17"/>
      <c r="QV233" s="17"/>
      <c r="QW233" s="17"/>
      <c r="QX233" s="17"/>
      <c r="QY233" s="17"/>
      <c r="QZ233" s="17"/>
      <c r="RA233" s="17"/>
      <c r="RB233" s="17"/>
      <c r="RC233" s="17"/>
      <c r="RD233" s="17"/>
      <c r="RE233" s="17"/>
      <c r="RF233" s="17"/>
      <c r="RG233" s="17"/>
      <c r="RH233" s="17"/>
      <c r="RI233" s="17"/>
      <c r="RJ233" s="17"/>
      <c r="RK233" s="17"/>
      <c r="RL233" s="17"/>
      <c r="RM233" s="17"/>
      <c r="RN233" s="17"/>
      <c r="RO233" s="17"/>
      <c r="RP233" s="17"/>
      <c r="RQ233" s="17"/>
      <c r="RR233" s="17"/>
      <c r="RS233" s="17"/>
      <c r="RT233" s="17"/>
      <c r="RU233" s="17"/>
      <c r="RV233" s="17"/>
      <c r="RW233" s="17"/>
      <c r="RX233" s="17"/>
      <c r="RY233" s="17"/>
      <c r="RZ233" s="17"/>
      <c r="SA233" s="17"/>
      <c r="SB233" s="17"/>
      <c r="SC233" s="17"/>
      <c r="SD233" s="17"/>
      <c r="SE233" s="17"/>
      <c r="SF233" s="17"/>
      <c r="SG233" s="17"/>
      <c r="SH233" s="17"/>
      <c r="SI233" s="17"/>
      <c r="SJ233" s="17"/>
      <c r="SK233" s="17"/>
      <c r="SL233" s="17"/>
      <c r="SM233" s="17"/>
      <c r="SN233" s="17"/>
      <c r="SO233" s="17"/>
      <c r="SP233" s="17"/>
      <c r="SQ233" s="17"/>
      <c r="SR233" s="17"/>
      <c r="SS233" s="17"/>
      <c r="ST233" s="17"/>
      <c r="SU233" s="17"/>
      <c r="SV233" s="17"/>
      <c r="SW233" s="17"/>
      <c r="SX233" s="17"/>
      <c r="SY233" s="17"/>
      <c r="SZ233" s="17"/>
      <c r="TA233" s="17"/>
      <c r="TB233" s="17"/>
      <c r="TC233" s="17"/>
      <c r="TD233" s="17"/>
      <c r="TE233" s="17"/>
      <c r="TF233" s="17"/>
      <c r="TG233" s="17"/>
      <c r="TH233" s="17"/>
      <c r="TI233" s="17"/>
      <c r="TJ233" s="17"/>
      <c r="TK233" s="17"/>
      <c r="TL233" s="17"/>
      <c r="TM233" s="17"/>
      <c r="TN233" s="17"/>
      <c r="TO233" s="17"/>
      <c r="TP233" s="17"/>
      <c r="TQ233" s="17"/>
      <c r="TR233" s="17"/>
      <c r="TS233" s="17"/>
      <c r="TT233" s="17"/>
      <c r="TU233" s="17"/>
      <c r="TV233" s="17"/>
      <c r="TW233" s="17"/>
      <c r="TX233" s="17"/>
      <c r="TY233" s="17"/>
      <c r="TZ233" s="17"/>
      <c r="UA233" s="17"/>
      <c r="UB233" s="17"/>
      <c r="UC233" s="17"/>
      <c r="UD233" s="17"/>
      <c r="UE233" s="17"/>
      <c r="UF233" s="17"/>
      <c r="UG233" s="17"/>
      <c r="UH233" s="17"/>
      <c r="UI233" s="17"/>
      <c r="UJ233" s="17"/>
      <c r="UK233" s="17"/>
      <c r="UL233" s="17"/>
      <c r="UM233" s="17"/>
      <c r="UN233" s="17"/>
      <c r="UO233" s="17"/>
      <c r="UP233" s="17"/>
      <c r="UQ233" s="17"/>
      <c r="UR233" s="17"/>
      <c r="US233" s="17"/>
      <c r="UT233" s="17"/>
      <c r="UU233" s="17"/>
      <c r="UV233" s="17"/>
      <c r="UW233" s="17"/>
      <c r="UX233" s="17"/>
      <c r="UY233" s="17"/>
      <c r="UZ233" s="17"/>
      <c r="VA233" s="17"/>
      <c r="VB233" s="17"/>
      <c r="VC233" s="17"/>
      <c r="VD233" s="17"/>
      <c r="VE233" s="17"/>
      <c r="VF233" s="17"/>
      <c r="VG233" s="17"/>
      <c r="VH233" s="17"/>
      <c r="VI233" s="17"/>
      <c r="VJ233" s="17"/>
      <c r="VK233" s="17"/>
      <c r="VL233" s="17"/>
      <c r="VM233" s="17"/>
      <c r="VN233" s="17"/>
      <c r="VO233" s="17"/>
      <c r="VP233" s="17"/>
      <c r="VQ233" s="17"/>
      <c r="VR233" s="17"/>
      <c r="VS233" s="17"/>
      <c r="VT233" s="17"/>
      <c r="VU233" s="17"/>
      <c r="VV233" s="17"/>
      <c r="VW233" s="17"/>
      <c r="VX233" s="17"/>
      <c r="VY233" s="17"/>
      <c r="VZ233" s="17"/>
      <c r="WA233" s="17"/>
      <c r="WB233" s="17"/>
      <c r="WC233" s="17"/>
      <c r="WD233" s="17"/>
      <c r="WE233" s="17"/>
      <c r="WF233" s="17"/>
      <c r="WG233" s="17"/>
      <c r="WH233" s="17"/>
      <c r="WI233" s="17"/>
      <c r="WJ233" s="17"/>
      <c r="WK233" s="17"/>
      <c r="WL233" s="17"/>
      <c r="WM233" s="17"/>
      <c r="WN233" s="17"/>
      <c r="WO233" s="17"/>
      <c r="WP233" s="17"/>
      <c r="WQ233" s="17"/>
      <c r="WR233" s="17"/>
      <c r="WS233" s="17"/>
      <c r="WT233" s="17"/>
      <c r="WU233" s="17"/>
      <c r="WV233" s="17"/>
      <c r="WW233" s="17"/>
      <c r="WX233" s="17"/>
      <c r="WY233" s="17"/>
      <c r="WZ233" s="17"/>
      <c r="XA233" s="17"/>
      <c r="XB233" s="17"/>
      <c r="XC233" s="17"/>
      <c r="XD233" s="17"/>
      <c r="XE233" s="17"/>
      <c r="XF233" s="17"/>
      <c r="XG233" s="17"/>
      <c r="XH233" s="17"/>
      <c r="XI233" s="17"/>
      <c r="XJ233" s="17"/>
      <c r="XK233" s="17"/>
      <c r="XL233" s="17"/>
      <c r="XM233" s="17"/>
      <c r="XN233" s="17"/>
      <c r="XO233" s="17"/>
      <c r="XP233" s="17"/>
      <c r="XQ233" s="17"/>
      <c r="XR233" s="17"/>
      <c r="XS233" s="17"/>
      <c r="XT233" s="17"/>
      <c r="XU233" s="17"/>
      <c r="XV233" s="17"/>
      <c r="XW233" s="17"/>
      <c r="XX233" s="17"/>
      <c r="XY233" s="17"/>
      <c r="XZ233" s="17"/>
      <c r="YA233" s="17"/>
      <c r="YB233" s="17"/>
      <c r="YC233" s="17"/>
      <c r="YD233" s="17"/>
      <c r="YE233" s="17"/>
      <c r="YF233" s="17"/>
      <c r="YG233" s="17"/>
      <c r="YH233" s="17"/>
      <c r="YI233" s="17"/>
      <c r="YJ233" s="17"/>
      <c r="YK233" s="17"/>
      <c r="YL233" s="17"/>
      <c r="YM233" s="17"/>
      <c r="YN233" s="17"/>
      <c r="YO233" s="17"/>
      <c r="YP233" s="17"/>
      <c r="YQ233" s="17"/>
      <c r="YR233" s="17"/>
      <c r="YS233" s="17"/>
    </row>
    <row r="234" spans="266:669" x14ac:dyDescent="0.25">
      <c r="JF234" s="17"/>
      <c r="JG234" s="17"/>
      <c r="JH234" s="17"/>
      <c r="JI234" s="17"/>
      <c r="JJ234" s="17"/>
      <c r="JK234" s="17"/>
      <c r="JL234" s="17"/>
      <c r="JM234" s="17"/>
      <c r="JN234" s="17"/>
      <c r="JO234" s="17"/>
      <c r="JP234" s="17"/>
      <c r="JQ234" s="17"/>
      <c r="JR234" s="17"/>
      <c r="JS234" s="17"/>
      <c r="JT234" s="17"/>
      <c r="JU234" s="17"/>
      <c r="JV234" s="17"/>
      <c r="JW234" s="17"/>
      <c r="JX234" s="17"/>
      <c r="JY234" s="17"/>
      <c r="JZ234" s="17"/>
      <c r="KA234" s="17"/>
      <c r="KB234" s="17"/>
      <c r="KC234" s="17"/>
      <c r="KD234" s="17"/>
      <c r="KE234" s="17"/>
      <c r="KF234" s="17"/>
      <c r="KG234" s="17"/>
      <c r="KH234" s="17"/>
      <c r="KI234" s="17"/>
      <c r="KJ234" s="17"/>
      <c r="KK234" s="17"/>
      <c r="KL234" s="17"/>
      <c r="KM234" s="17"/>
      <c r="KN234" s="17"/>
      <c r="KO234" s="17"/>
      <c r="KP234" s="17"/>
      <c r="KQ234" s="17"/>
      <c r="KR234" s="17"/>
      <c r="KS234" s="17"/>
      <c r="KT234" s="17"/>
      <c r="KU234" s="17"/>
      <c r="KV234" s="17"/>
      <c r="KW234" s="17"/>
      <c r="KX234" s="17"/>
      <c r="KY234" s="17"/>
      <c r="KZ234" s="17"/>
      <c r="LA234" s="17"/>
      <c r="LB234" s="17"/>
      <c r="LC234" s="17"/>
      <c r="LD234" s="17"/>
      <c r="LE234" s="17"/>
      <c r="LF234" s="17"/>
      <c r="LG234" s="17"/>
      <c r="LH234" s="17"/>
      <c r="LI234" s="17"/>
      <c r="LJ234" s="17"/>
      <c r="LK234" s="17"/>
      <c r="LL234" s="17"/>
      <c r="LM234" s="17"/>
      <c r="LN234" s="17"/>
      <c r="LO234" s="17"/>
      <c r="LP234" s="17"/>
      <c r="LQ234" s="17"/>
      <c r="LR234" s="17"/>
      <c r="LS234" s="17"/>
      <c r="LT234" s="17"/>
      <c r="LU234" s="17"/>
      <c r="LV234" s="17"/>
      <c r="LW234" s="17"/>
      <c r="LX234" s="17"/>
      <c r="LY234" s="17"/>
      <c r="LZ234" s="17"/>
      <c r="MA234" s="17"/>
      <c r="MB234" s="17"/>
      <c r="MC234" s="17"/>
      <c r="MD234" s="17"/>
      <c r="ME234" s="17"/>
      <c r="MF234" s="17"/>
      <c r="MG234" s="17"/>
      <c r="MH234" s="17"/>
      <c r="MI234" s="17"/>
      <c r="MJ234" s="17"/>
      <c r="MK234" s="17"/>
      <c r="ML234" s="17"/>
      <c r="MM234" s="17"/>
      <c r="MN234" s="17"/>
      <c r="MO234" s="17"/>
      <c r="MP234" s="17"/>
      <c r="MQ234" s="17"/>
      <c r="MR234" s="17"/>
      <c r="MS234" s="17"/>
      <c r="MT234" s="17"/>
      <c r="MU234" s="17"/>
      <c r="MV234" s="17"/>
      <c r="MW234" s="17"/>
      <c r="MX234" s="17"/>
      <c r="MY234" s="17"/>
      <c r="MZ234" s="17"/>
      <c r="NA234" s="17"/>
      <c r="NB234" s="17"/>
      <c r="NC234" s="17"/>
      <c r="ND234" s="17"/>
      <c r="NE234" s="17"/>
      <c r="NF234" s="17"/>
      <c r="NG234" s="17"/>
      <c r="NH234" s="17"/>
      <c r="NI234" s="17"/>
      <c r="NJ234" s="17"/>
      <c r="NK234" s="17"/>
      <c r="NL234" s="17"/>
      <c r="NM234" s="17"/>
      <c r="NN234" s="17"/>
      <c r="NO234" s="17"/>
      <c r="NP234" s="17"/>
      <c r="NQ234" s="17"/>
      <c r="NR234" s="17"/>
      <c r="NS234" s="17"/>
      <c r="NT234" s="17"/>
      <c r="NU234" s="17"/>
      <c r="NV234" s="17"/>
      <c r="NW234" s="17"/>
      <c r="NX234" s="17"/>
      <c r="NY234" s="17"/>
      <c r="NZ234" s="17"/>
      <c r="OA234" s="17"/>
      <c r="OB234" s="17"/>
      <c r="OC234" s="17"/>
      <c r="OD234" s="17"/>
      <c r="OE234" s="17"/>
      <c r="OF234" s="17"/>
      <c r="OG234" s="17"/>
      <c r="OH234" s="17"/>
      <c r="OI234" s="17"/>
      <c r="OJ234" s="17"/>
      <c r="OK234" s="17"/>
      <c r="OL234" s="17"/>
      <c r="OM234" s="17"/>
      <c r="ON234" s="17"/>
      <c r="OO234" s="17"/>
      <c r="OP234" s="17"/>
      <c r="OQ234" s="17"/>
      <c r="OR234" s="17"/>
      <c r="OS234" s="17"/>
      <c r="OT234" s="17"/>
      <c r="OU234" s="17"/>
      <c r="OV234" s="17"/>
      <c r="OW234" s="17"/>
      <c r="OX234" s="17"/>
      <c r="OY234" s="17"/>
      <c r="OZ234" s="17"/>
      <c r="PA234" s="17"/>
      <c r="PB234" s="17"/>
      <c r="PC234" s="17"/>
      <c r="PD234" s="17"/>
      <c r="PE234" s="17"/>
      <c r="PF234" s="17"/>
      <c r="PG234" s="17"/>
      <c r="PH234" s="17"/>
      <c r="PI234" s="17"/>
      <c r="PJ234" s="17"/>
      <c r="PK234" s="17"/>
      <c r="PL234" s="17"/>
      <c r="PM234" s="17"/>
      <c r="PN234" s="17"/>
      <c r="PO234" s="17"/>
      <c r="PP234" s="17"/>
      <c r="PQ234" s="17"/>
      <c r="PR234" s="17"/>
      <c r="PS234" s="17"/>
      <c r="PT234" s="17"/>
      <c r="PU234" s="17"/>
      <c r="PV234" s="17"/>
      <c r="PW234" s="17"/>
      <c r="PX234" s="17"/>
      <c r="PY234" s="17"/>
      <c r="PZ234" s="17"/>
      <c r="QA234" s="17"/>
      <c r="QB234" s="17"/>
      <c r="QC234" s="17"/>
      <c r="QD234" s="17"/>
      <c r="QE234" s="17"/>
      <c r="QF234" s="17"/>
      <c r="QG234" s="17"/>
      <c r="QH234" s="17"/>
      <c r="QI234" s="17"/>
      <c r="QJ234" s="17"/>
      <c r="QK234" s="17"/>
      <c r="QL234" s="17"/>
      <c r="QM234" s="17"/>
      <c r="QN234" s="17"/>
      <c r="QO234" s="17"/>
      <c r="QP234" s="17"/>
      <c r="QQ234" s="17"/>
      <c r="QR234" s="17"/>
      <c r="QS234" s="17"/>
      <c r="QT234" s="17"/>
      <c r="QU234" s="17"/>
      <c r="QV234" s="17"/>
      <c r="QW234" s="17"/>
      <c r="QX234" s="17"/>
      <c r="QY234" s="17"/>
      <c r="QZ234" s="17"/>
      <c r="RA234" s="17"/>
      <c r="RB234" s="17"/>
      <c r="RC234" s="17"/>
      <c r="RD234" s="17"/>
      <c r="RE234" s="17"/>
      <c r="RF234" s="17"/>
      <c r="RG234" s="17"/>
      <c r="RH234" s="17"/>
      <c r="RI234" s="17"/>
      <c r="RJ234" s="17"/>
      <c r="RK234" s="17"/>
      <c r="RL234" s="17"/>
      <c r="RM234" s="17"/>
      <c r="RN234" s="17"/>
      <c r="RO234" s="17"/>
      <c r="RP234" s="17"/>
      <c r="RQ234" s="17"/>
      <c r="RR234" s="17"/>
      <c r="RS234" s="17"/>
      <c r="RT234" s="17"/>
      <c r="RU234" s="17"/>
      <c r="RV234" s="17"/>
      <c r="RW234" s="17"/>
      <c r="RX234" s="17"/>
      <c r="RY234" s="17"/>
      <c r="RZ234" s="17"/>
      <c r="SA234" s="17"/>
      <c r="SB234" s="17"/>
      <c r="SC234" s="17"/>
      <c r="SD234" s="17"/>
      <c r="SE234" s="17"/>
      <c r="SF234" s="17"/>
      <c r="SG234" s="17"/>
      <c r="SH234" s="17"/>
      <c r="SI234" s="17"/>
      <c r="SJ234" s="17"/>
      <c r="SK234" s="17"/>
      <c r="SL234" s="17"/>
      <c r="SM234" s="17"/>
      <c r="SN234" s="17"/>
      <c r="SO234" s="17"/>
      <c r="SP234" s="17"/>
      <c r="SQ234" s="17"/>
      <c r="SR234" s="17"/>
      <c r="SS234" s="17"/>
      <c r="ST234" s="17"/>
      <c r="SU234" s="17"/>
      <c r="SV234" s="17"/>
      <c r="SW234" s="17"/>
      <c r="SX234" s="17"/>
      <c r="SY234" s="17"/>
      <c r="SZ234" s="17"/>
      <c r="TA234" s="17"/>
      <c r="TB234" s="17"/>
      <c r="TC234" s="17"/>
      <c r="TD234" s="17"/>
      <c r="TE234" s="17"/>
      <c r="TF234" s="17"/>
      <c r="TG234" s="17"/>
      <c r="TH234" s="17"/>
      <c r="TI234" s="17"/>
      <c r="TJ234" s="17"/>
      <c r="TK234" s="17"/>
      <c r="TL234" s="17"/>
      <c r="TM234" s="17"/>
      <c r="TN234" s="17"/>
      <c r="TO234" s="17"/>
      <c r="TP234" s="17"/>
      <c r="TQ234" s="17"/>
      <c r="TR234" s="17"/>
      <c r="TS234" s="17"/>
      <c r="TT234" s="17"/>
      <c r="TU234" s="17"/>
      <c r="TV234" s="17"/>
      <c r="TW234" s="17"/>
      <c r="TX234" s="17"/>
      <c r="TY234" s="17"/>
      <c r="TZ234" s="17"/>
      <c r="UA234" s="17"/>
      <c r="UB234" s="17"/>
      <c r="UC234" s="17"/>
      <c r="UD234" s="17"/>
      <c r="UE234" s="17"/>
      <c r="UF234" s="17"/>
      <c r="UG234" s="17"/>
      <c r="UH234" s="17"/>
      <c r="UI234" s="17"/>
      <c r="UJ234" s="17"/>
      <c r="UK234" s="17"/>
      <c r="UL234" s="17"/>
      <c r="UM234" s="17"/>
      <c r="UN234" s="17"/>
      <c r="UO234" s="17"/>
      <c r="UP234" s="17"/>
      <c r="UQ234" s="17"/>
      <c r="UR234" s="17"/>
      <c r="US234" s="17"/>
      <c r="UT234" s="17"/>
      <c r="UU234" s="17"/>
      <c r="UV234" s="17"/>
      <c r="UW234" s="17"/>
      <c r="UX234" s="17"/>
      <c r="UY234" s="17"/>
      <c r="UZ234" s="17"/>
      <c r="VA234" s="17"/>
      <c r="VB234" s="17"/>
      <c r="VC234" s="17"/>
      <c r="VD234" s="17"/>
      <c r="VE234" s="17"/>
      <c r="VF234" s="17"/>
      <c r="VG234" s="17"/>
      <c r="VH234" s="17"/>
      <c r="VI234" s="17"/>
      <c r="VJ234" s="17"/>
      <c r="VK234" s="17"/>
      <c r="VL234" s="17"/>
      <c r="VM234" s="17"/>
      <c r="VN234" s="17"/>
      <c r="VO234" s="17"/>
      <c r="VP234" s="17"/>
      <c r="VQ234" s="17"/>
      <c r="VR234" s="17"/>
      <c r="VS234" s="17"/>
      <c r="VT234" s="17"/>
      <c r="VU234" s="17"/>
      <c r="VV234" s="17"/>
      <c r="VW234" s="17"/>
      <c r="VX234" s="17"/>
      <c r="VY234" s="17"/>
      <c r="VZ234" s="17"/>
      <c r="WA234" s="17"/>
      <c r="WB234" s="17"/>
      <c r="WC234" s="17"/>
      <c r="WD234" s="17"/>
      <c r="WE234" s="17"/>
      <c r="WF234" s="17"/>
      <c r="WG234" s="17"/>
      <c r="WH234" s="17"/>
      <c r="WI234" s="17"/>
      <c r="WJ234" s="17"/>
      <c r="WK234" s="17"/>
      <c r="WL234" s="17"/>
      <c r="WM234" s="17"/>
      <c r="WN234" s="17"/>
      <c r="WO234" s="17"/>
      <c r="WP234" s="17"/>
      <c r="WQ234" s="17"/>
      <c r="WR234" s="17"/>
      <c r="WS234" s="17"/>
      <c r="WT234" s="17"/>
      <c r="WU234" s="17"/>
      <c r="WV234" s="17"/>
      <c r="WW234" s="17"/>
      <c r="WX234" s="17"/>
      <c r="WY234" s="17"/>
      <c r="WZ234" s="17"/>
      <c r="XA234" s="17"/>
      <c r="XB234" s="17"/>
      <c r="XC234" s="17"/>
      <c r="XD234" s="17"/>
      <c r="XE234" s="17"/>
      <c r="XF234" s="17"/>
      <c r="XG234" s="17"/>
      <c r="XH234" s="17"/>
      <c r="XI234" s="17"/>
      <c r="XJ234" s="17"/>
      <c r="XK234" s="17"/>
      <c r="XL234" s="17"/>
      <c r="XM234" s="17"/>
      <c r="XN234" s="17"/>
      <c r="XO234" s="17"/>
      <c r="XP234" s="17"/>
      <c r="XQ234" s="17"/>
      <c r="XR234" s="17"/>
      <c r="XS234" s="17"/>
      <c r="XT234" s="17"/>
      <c r="XU234" s="17"/>
      <c r="XV234" s="17"/>
      <c r="XW234" s="17"/>
      <c r="XX234" s="17"/>
      <c r="XY234" s="17"/>
      <c r="XZ234" s="17"/>
      <c r="YA234" s="17"/>
      <c r="YB234" s="17"/>
      <c r="YC234" s="17"/>
      <c r="YD234" s="17"/>
      <c r="YE234" s="17"/>
      <c r="YF234" s="17"/>
      <c r="YG234" s="17"/>
      <c r="YH234" s="17"/>
      <c r="YI234" s="17"/>
      <c r="YJ234" s="17"/>
      <c r="YK234" s="17"/>
      <c r="YL234" s="17"/>
      <c r="YM234" s="17"/>
      <c r="YN234" s="17"/>
      <c r="YO234" s="17"/>
      <c r="YP234" s="17"/>
      <c r="YQ234" s="17"/>
      <c r="YR234" s="17"/>
      <c r="YS234" s="17"/>
    </row>
    <row r="235" spans="266:669" x14ac:dyDescent="0.25">
      <c r="JF235" s="17"/>
      <c r="JG235" s="17"/>
      <c r="JH235" s="17"/>
      <c r="JI235" s="17"/>
      <c r="JJ235" s="17"/>
      <c r="JK235" s="17"/>
      <c r="JL235" s="17"/>
      <c r="JM235" s="17"/>
      <c r="JN235" s="17"/>
      <c r="JO235" s="17"/>
      <c r="JP235" s="17"/>
      <c r="JQ235" s="17"/>
      <c r="JR235" s="17"/>
      <c r="JS235" s="17"/>
      <c r="JT235" s="17"/>
      <c r="JU235" s="17"/>
      <c r="JV235" s="17"/>
      <c r="JW235" s="17"/>
      <c r="JX235" s="17"/>
      <c r="JY235" s="17"/>
      <c r="JZ235" s="17"/>
      <c r="KA235" s="17"/>
      <c r="KB235" s="17"/>
      <c r="KC235" s="17"/>
      <c r="KD235" s="17"/>
      <c r="KE235" s="17"/>
      <c r="KF235" s="17"/>
      <c r="KG235" s="17"/>
      <c r="KH235" s="17"/>
      <c r="KI235" s="17"/>
      <c r="KJ235" s="17"/>
      <c r="KK235" s="17"/>
      <c r="KL235" s="17"/>
      <c r="KM235" s="17"/>
      <c r="KN235" s="17"/>
      <c r="KO235" s="17"/>
      <c r="KP235" s="17"/>
      <c r="KQ235" s="17"/>
      <c r="KR235" s="17"/>
      <c r="KS235" s="17"/>
      <c r="KT235" s="17"/>
      <c r="KU235" s="17"/>
      <c r="KV235" s="17"/>
      <c r="KW235" s="17"/>
      <c r="KX235" s="17"/>
      <c r="KY235" s="17"/>
      <c r="KZ235" s="17"/>
      <c r="LA235" s="17"/>
      <c r="LB235" s="17"/>
      <c r="LC235" s="17"/>
      <c r="LD235" s="17"/>
      <c r="LE235" s="17"/>
      <c r="LF235" s="17"/>
      <c r="LG235" s="17"/>
      <c r="LH235" s="17"/>
      <c r="LI235" s="17"/>
      <c r="LJ235" s="17"/>
      <c r="LK235" s="17"/>
      <c r="LL235" s="17"/>
      <c r="LM235" s="17"/>
      <c r="LN235" s="17"/>
      <c r="LO235" s="17"/>
      <c r="LP235" s="17"/>
      <c r="LQ235" s="17"/>
      <c r="LR235" s="17"/>
      <c r="LS235" s="17"/>
      <c r="LT235" s="17"/>
      <c r="LU235" s="17"/>
      <c r="LV235" s="17"/>
      <c r="LW235" s="17"/>
      <c r="LX235" s="17"/>
      <c r="LY235" s="17"/>
      <c r="LZ235" s="17"/>
      <c r="MA235" s="17"/>
      <c r="MB235" s="17"/>
      <c r="MC235" s="17"/>
      <c r="MD235" s="17"/>
      <c r="ME235" s="17"/>
      <c r="MF235" s="17"/>
      <c r="MG235" s="17"/>
      <c r="MH235" s="17"/>
      <c r="MI235" s="17"/>
      <c r="MJ235" s="17"/>
      <c r="MK235" s="17"/>
      <c r="ML235" s="17"/>
      <c r="MM235" s="17"/>
      <c r="MN235" s="17"/>
      <c r="MO235" s="17"/>
      <c r="MP235" s="17"/>
      <c r="MQ235" s="17"/>
      <c r="MR235" s="17"/>
      <c r="MS235" s="17"/>
      <c r="MT235" s="17"/>
      <c r="MU235" s="17"/>
      <c r="MV235" s="17"/>
      <c r="MW235" s="17"/>
      <c r="MX235" s="17"/>
      <c r="MY235" s="17"/>
      <c r="MZ235" s="17"/>
      <c r="NA235" s="17"/>
      <c r="NB235" s="17"/>
      <c r="NC235" s="17"/>
      <c r="ND235" s="17"/>
      <c r="NE235" s="17"/>
      <c r="NF235" s="17"/>
      <c r="NG235" s="17"/>
      <c r="NH235" s="17"/>
      <c r="NI235" s="17"/>
      <c r="NJ235" s="17"/>
      <c r="NK235" s="17"/>
      <c r="NL235" s="17"/>
      <c r="NM235" s="17"/>
      <c r="NN235" s="17"/>
      <c r="NO235" s="17"/>
      <c r="NP235" s="17"/>
      <c r="NQ235" s="17"/>
      <c r="NR235" s="17"/>
      <c r="NS235" s="17"/>
      <c r="NT235" s="17"/>
      <c r="NU235" s="17"/>
      <c r="NV235" s="17"/>
      <c r="NW235" s="17"/>
      <c r="NX235" s="17"/>
      <c r="NY235" s="17"/>
      <c r="NZ235" s="17"/>
      <c r="OA235" s="17"/>
      <c r="OB235" s="17"/>
      <c r="OC235" s="17"/>
      <c r="OD235" s="17"/>
      <c r="OE235" s="17"/>
      <c r="OF235" s="17"/>
      <c r="OG235" s="17"/>
      <c r="OH235" s="17"/>
      <c r="OI235" s="17"/>
      <c r="OJ235" s="17"/>
      <c r="OK235" s="17"/>
      <c r="OL235" s="17"/>
      <c r="OM235" s="17"/>
      <c r="ON235" s="17"/>
      <c r="OO235" s="17"/>
      <c r="OP235" s="17"/>
      <c r="OQ235" s="17"/>
      <c r="OR235" s="17"/>
      <c r="OS235" s="17"/>
      <c r="OT235" s="17"/>
      <c r="OU235" s="17"/>
      <c r="OV235" s="17"/>
      <c r="OW235" s="17"/>
      <c r="OX235" s="17"/>
      <c r="OY235" s="17"/>
      <c r="OZ235" s="17"/>
      <c r="PA235" s="17"/>
      <c r="PB235" s="17"/>
      <c r="PC235" s="17"/>
      <c r="PD235" s="17"/>
      <c r="PE235" s="17"/>
      <c r="PF235" s="17"/>
      <c r="PG235" s="17"/>
      <c r="PH235" s="17"/>
      <c r="PI235" s="17"/>
      <c r="PJ235" s="17"/>
      <c r="PK235" s="17"/>
      <c r="PL235" s="17"/>
      <c r="PM235" s="17"/>
      <c r="PN235" s="17"/>
      <c r="PO235" s="17"/>
      <c r="PP235" s="17"/>
      <c r="PQ235" s="17"/>
      <c r="PR235" s="17"/>
      <c r="PS235" s="17"/>
      <c r="PT235" s="17"/>
      <c r="PU235" s="17"/>
      <c r="PV235" s="17"/>
      <c r="PW235" s="17"/>
      <c r="PX235" s="17"/>
      <c r="PY235" s="17"/>
      <c r="PZ235" s="17"/>
      <c r="QA235" s="17"/>
      <c r="QB235" s="17"/>
      <c r="QC235" s="17"/>
      <c r="QD235" s="17"/>
      <c r="QE235" s="17"/>
      <c r="QF235" s="17"/>
      <c r="QG235" s="17"/>
      <c r="QH235" s="17"/>
      <c r="QI235" s="17"/>
      <c r="QJ235" s="17"/>
      <c r="QK235" s="17"/>
      <c r="QL235" s="17"/>
      <c r="QM235" s="17"/>
      <c r="QN235" s="17"/>
      <c r="QO235" s="17"/>
      <c r="QP235" s="17"/>
      <c r="QQ235" s="17"/>
      <c r="QR235" s="17"/>
      <c r="QS235" s="17"/>
      <c r="QT235" s="17"/>
      <c r="QU235" s="17"/>
      <c r="QV235" s="17"/>
      <c r="QW235" s="17"/>
      <c r="QX235" s="17"/>
      <c r="QY235" s="17"/>
      <c r="QZ235" s="17"/>
      <c r="RA235" s="17"/>
      <c r="RB235" s="17"/>
      <c r="RC235" s="17"/>
      <c r="RD235" s="17"/>
      <c r="RE235" s="17"/>
      <c r="RF235" s="17"/>
      <c r="RG235" s="17"/>
      <c r="RH235" s="17"/>
      <c r="RI235" s="17"/>
      <c r="RJ235" s="17"/>
      <c r="RK235" s="17"/>
      <c r="RL235" s="17"/>
      <c r="RM235" s="17"/>
      <c r="RN235" s="17"/>
      <c r="RO235" s="17"/>
      <c r="RP235" s="17"/>
      <c r="RQ235" s="17"/>
      <c r="RR235" s="17"/>
      <c r="RS235" s="17"/>
      <c r="RT235" s="17"/>
      <c r="RU235" s="17"/>
      <c r="RV235" s="17"/>
      <c r="RW235" s="17"/>
      <c r="RX235" s="17"/>
      <c r="RY235" s="17"/>
      <c r="RZ235" s="17"/>
      <c r="SA235" s="17"/>
      <c r="SB235" s="17"/>
      <c r="SC235" s="17"/>
      <c r="SD235" s="17"/>
      <c r="SE235" s="17"/>
      <c r="SF235" s="17"/>
      <c r="SG235" s="17"/>
      <c r="SH235" s="17"/>
      <c r="SI235" s="17"/>
      <c r="SJ235" s="17"/>
      <c r="SK235" s="17"/>
      <c r="SL235" s="17"/>
      <c r="SM235" s="17"/>
      <c r="SN235" s="17"/>
      <c r="SO235" s="17"/>
      <c r="SP235" s="17"/>
      <c r="SQ235" s="17"/>
      <c r="SR235" s="17"/>
      <c r="SS235" s="17"/>
      <c r="ST235" s="17"/>
      <c r="SU235" s="17"/>
      <c r="SV235" s="17"/>
      <c r="SW235" s="17"/>
      <c r="SX235" s="17"/>
      <c r="SY235" s="17"/>
      <c r="SZ235" s="17"/>
      <c r="TA235" s="17"/>
      <c r="TB235" s="17"/>
      <c r="TC235" s="17"/>
      <c r="TD235" s="17"/>
      <c r="TE235" s="17"/>
      <c r="TF235" s="17"/>
      <c r="TG235" s="17"/>
      <c r="TH235" s="17"/>
      <c r="TI235" s="17"/>
      <c r="TJ235" s="17"/>
      <c r="TK235" s="17"/>
      <c r="TL235" s="17"/>
      <c r="TM235" s="17"/>
      <c r="TN235" s="17"/>
      <c r="TO235" s="17"/>
      <c r="TP235" s="17"/>
      <c r="TQ235" s="17"/>
      <c r="TR235" s="17"/>
      <c r="TS235" s="17"/>
      <c r="TT235" s="17"/>
      <c r="TU235" s="17"/>
      <c r="TV235" s="17"/>
      <c r="TW235" s="17"/>
      <c r="TX235" s="17"/>
      <c r="TY235" s="17"/>
      <c r="TZ235" s="17"/>
      <c r="UA235" s="17"/>
      <c r="UB235" s="17"/>
      <c r="UC235" s="17"/>
      <c r="UD235" s="17"/>
      <c r="UE235" s="17"/>
      <c r="UF235" s="17"/>
      <c r="UG235" s="17"/>
      <c r="UH235" s="17"/>
      <c r="UI235" s="17"/>
      <c r="UJ235" s="17"/>
      <c r="UK235" s="17"/>
      <c r="UL235" s="17"/>
      <c r="UM235" s="17"/>
      <c r="UN235" s="17"/>
      <c r="UO235" s="17"/>
      <c r="UP235" s="17"/>
      <c r="UQ235" s="17"/>
      <c r="UR235" s="17"/>
      <c r="US235" s="17"/>
      <c r="UT235" s="17"/>
      <c r="UU235" s="17"/>
      <c r="UV235" s="17"/>
      <c r="UW235" s="17"/>
      <c r="UX235" s="17"/>
      <c r="UY235" s="17"/>
      <c r="UZ235" s="17"/>
      <c r="VA235" s="17"/>
      <c r="VB235" s="17"/>
      <c r="VC235" s="17"/>
      <c r="VD235" s="17"/>
      <c r="VE235" s="17"/>
      <c r="VF235" s="17"/>
      <c r="VG235" s="17"/>
      <c r="VH235" s="17"/>
      <c r="VI235" s="17"/>
      <c r="VJ235" s="17"/>
      <c r="VK235" s="17"/>
      <c r="VL235" s="17"/>
      <c r="VM235" s="17"/>
      <c r="VN235" s="17"/>
      <c r="VO235" s="17"/>
      <c r="VP235" s="17"/>
      <c r="VQ235" s="17"/>
      <c r="VR235" s="17"/>
      <c r="VS235" s="17"/>
      <c r="VT235" s="17"/>
      <c r="VU235" s="17"/>
      <c r="VV235" s="17"/>
      <c r="VW235" s="17"/>
      <c r="VX235" s="17"/>
      <c r="VY235" s="17"/>
      <c r="VZ235" s="17"/>
      <c r="WA235" s="17"/>
      <c r="WB235" s="17"/>
      <c r="WC235" s="17"/>
      <c r="WD235" s="17"/>
      <c r="WE235" s="17"/>
      <c r="WF235" s="17"/>
      <c r="WG235" s="17"/>
      <c r="WH235" s="17"/>
      <c r="WI235" s="17"/>
      <c r="WJ235" s="17"/>
      <c r="WK235" s="17"/>
      <c r="WL235" s="17"/>
      <c r="WM235" s="17"/>
      <c r="WN235" s="17"/>
      <c r="WO235" s="17"/>
      <c r="WP235" s="17"/>
      <c r="WQ235" s="17"/>
      <c r="WR235" s="17"/>
      <c r="WS235" s="17"/>
      <c r="WT235" s="17"/>
      <c r="WU235" s="17"/>
      <c r="WV235" s="17"/>
      <c r="WW235" s="17"/>
      <c r="WX235" s="17"/>
      <c r="WY235" s="17"/>
      <c r="WZ235" s="17"/>
      <c r="XA235" s="17"/>
      <c r="XB235" s="17"/>
      <c r="XC235" s="17"/>
      <c r="XD235" s="17"/>
      <c r="XE235" s="17"/>
      <c r="XF235" s="17"/>
      <c r="XG235" s="17"/>
      <c r="XH235" s="17"/>
      <c r="XI235" s="17"/>
      <c r="XJ235" s="17"/>
      <c r="XK235" s="17"/>
      <c r="XL235" s="17"/>
      <c r="XM235" s="17"/>
      <c r="XN235" s="17"/>
      <c r="XO235" s="17"/>
      <c r="XP235" s="17"/>
      <c r="XQ235" s="17"/>
      <c r="XR235" s="17"/>
      <c r="XS235" s="17"/>
      <c r="XT235" s="17"/>
      <c r="XU235" s="17"/>
      <c r="XV235" s="17"/>
      <c r="XW235" s="17"/>
      <c r="XX235" s="17"/>
      <c r="XY235" s="17"/>
      <c r="XZ235" s="17"/>
      <c r="YA235" s="17"/>
      <c r="YB235" s="17"/>
      <c r="YC235" s="17"/>
      <c r="YD235" s="17"/>
      <c r="YE235" s="17"/>
      <c r="YF235" s="17"/>
      <c r="YG235" s="17"/>
      <c r="YH235" s="17"/>
      <c r="YI235" s="17"/>
      <c r="YJ235" s="17"/>
      <c r="YK235" s="17"/>
      <c r="YL235" s="17"/>
      <c r="YM235" s="17"/>
      <c r="YN235" s="17"/>
      <c r="YO235" s="17"/>
      <c r="YP235" s="17"/>
      <c r="YQ235" s="17"/>
      <c r="YR235" s="17"/>
      <c r="YS235" s="17"/>
    </row>
    <row r="236" spans="266:669" x14ac:dyDescent="0.25">
      <c r="JF236" s="17"/>
      <c r="JG236" s="17"/>
      <c r="JH236" s="17"/>
      <c r="JI236" s="17"/>
      <c r="JJ236" s="17"/>
      <c r="JK236" s="17"/>
      <c r="JL236" s="17"/>
      <c r="JM236" s="17"/>
      <c r="JN236" s="17"/>
      <c r="JO236" s="17"/>
      <c r="JP236" s="17"/>
      <c r="JQ236" s="17"/>
      <c r="JR236" s="17"/>
      <c r="JS236" s="17"/>
      <c r="JT236" s="17"/>
      <c r="JU236" s="17"/>
      <c r="JV236" s="17"/>
      <c r="JW236" s="17"/>
      <c r="JX236" s="17"/>
      <c r="JY236" s="17"/>
      <c r="JZ236" s="17"/>
      <c r="KA236" s="17"/>
      <c r="KB236" s="17"/>
      <c r="KC236" s="17"/>
      <c r="KD236" s="17"/>
      <c r="KE236" s="17"/>
      <c r="KF236" s="17"/>
      <c r="KG236" s="17"/>
      <c r="KH236" s="17"/>
      <c r="KI236" s="17"/>
      <c r="KJ236" s="17"/>
      <c r="KK236" s="17"/>
      <c r="KL236" s="17"/>
      <c r="KM236" s="17"/>
      <c r="KN236" s="17"/>
      <c r="KO236" s="17"/>
      <c r="KP236" s="17"/>
      <c r="KQ236" s="17"/>
      <c r="KR236" s="17"/>
      <c r="KS236" s="17"/>
      <c r="KT236" s="17"/>
      <c r="KU236" s="17"/>
      <c r="KV236" s="17"/>
      <c r="KW236" s="17"/>
      <c r="KX236" s="17"/>
      <c r="KY236" s="17"/>
      <c r="KZ236" s="17"/>
      <c r="LA236" s="17"/>
      <c r="LB236" s="17"/>
      <c r="LC236" s="17"/>
      <c r="LD236" s="17"/>
      <c r="LE236" s="17"/>
      <c r="LF236" s="17"/>
      <c r="LG236" s="17"/>
      <c r="LH236" s="17"/>
      <c r="LI236" s="17"/>
      <c r="LJ236" s="17"/>
      <c r="LK236" s="17"/>
      <c r="LL236" s="17"/>
      <c r="LM236" s="17"/>
      <c r="LN236" s="17"/>
      <c r="LO236" s="17"/>
      <c r="LP236" s="17"/>
      <c r="LQ236" s="17"/>
      <c r="LR236" s="17"/>
      <c r="LS236" s="17"/>
      <c r="LT236" s="17"/>
      <c r="LU236" s="17"/>
      <c r="LV236" s="17"/>
      <c r="LW236" s="17"/>
      <c r="LX236" s="17"/>
      <c r="LY236" s="17"/>
      <c r="LZ236" s="17"/>
      <c r="MA236" s="17"/>
      <c r="MB236" s="17"/>
      <c r="MC236" s="17"/>
      <c r="MD236" s="17"/>
      <c r="ME236" s="17"/>
      <c r="MF236" s="17"/>
      <c r="MG236" s="17"/>
      <c r="MH236" s="17"/>
      <c r="MI236" s="17"/>
      <c r="MJ236" s="17"/>
      <c r="MK236" s="17"/>
      <c r="ML236" s="17"/>
      <c r="MM236" s="17"/>
      <c r="MN236" s="17"/>
      <c r="MO236" s="17"/>
      <c r="MP236" s="17"/>
      <c r="MQ236" s="17"/>
      <c r="MR236" s="17"/>
      <c r="MS236" s="17"/>
      <c r="MT236" s="17"/>
      <c r="MU236" s="17"/>
      <c r="MV236" s="17"/>
      <c r="MW236" s="17"/>
      <c r="MX236" s="17"/>
      <c r="MY236" s="17"/>
      <c r="MZ236" s="17"/>
      <c r="NA236" s="17"/>
      <c r="NB236" s="17"/>
      <c r="NC236" s="17"/>
      <c r="ND236" s="17"/>
      <c r="NE236" s="17"/>
      <c r="NF236" s="17"/>
      <c r="NG236" s="17"/>
      <c r="NH236" s="17"/>
      <c r="NI236" s="17"/>
      <c r="NJ236" s="17"/>
      <c r="NK236" s="17"/>
      <c r="NL236" s="17"/>
      <c r="NM236" s="17"/>
      <c r="NN236" s="17"/>
      <c r="NO236" s="17"/>
      <c r="NP236" s="17"/>
      <c r="NQ236" s="17"/>
      <c r="NR236" s="17"/>
      <c r="NS236" s="17"/>
      <c r="NT236" s="17"/>
      <c r="NU236" s="17"/>
      <c r="NV236" s="17"/>
      <c r="NW236" s="17"/>
      <c r="NX236" s="17"/>
      <c r="NY236" s="17"/>
      <c r="NZ236" s="17"/>
      <c r="OA236" s="17"/>
      <c r="OB236" s="17"/>
      <c r="OC236" s="17"/>
      <c r="OD236" s="17"/>
      <c r="OE236" s="17"/>
      <c r="OF236" s="17"/>
      <c r="OG236" s="17"/>
      <c r="OH236" s="17"/>
      <c r="OI236" s="17"/>
      <c r="OJ236" s="17"/>
      <c r="OK236" s="17"/>
      <c r="OL236" s="17"/>
      <c r="OM236" s="17"/>
      <c r="ON236" s="17"/>
      <c r="OO236" s="17"/>
      <c r="OP236" s="17"/>
      <c r="OQ236" s="17"/>
      <c r="OR236" s="17"/>
      <c r="OS236" s="17"/>
      <c r="OT236" s="17"/>
      <c r="OU236" s="17"/>
      <c r="OV236" s="17"/>
      <c r="OW236" s="17"/>
      <c r="OX236" s="17"/>
      <c r="OY236" s="17"/>
      <c r="OZ236" s="17"/>
      <c r="PA236" s="17"/>
      <c r="PB236" s="17"/>
      <c r="PC236" s="17"/>
      <c r="PD236" s="17"/>
      <c r="PE236" s="17"/>
      <c r="PF236" s="17"/>
      <c r="PG236" s="17"/>
      <c r="PH236" s="17"/>
      <c r="PI236" s="17"/>
      <c r="PJ236" s="17"/>
      <c r="PK236" s="17"/>
      <c r="PL236" s="17"/>
      <c r="PM236" s="17"/>
      <c r="PN236" s="17"/>
      <c r="PO236" s="17"/>
      <c r="PP236" s="17"/>
      <c r="PQ236" s="17"/>
      <c r="PR236" s="17"/>
      <c r="PS236" s="17"/>
      <c r="PT236" s="17"/>
      <c r="PU236" s="17"/>
      <c r="PV236" s="17"/>
      <c r="PW236" s="17"/>
      <c r="PX236" s="17"/>
      <c r="PY236" s="17"/>
      <c r="PZ236" s="17"/>
      <c r="QA236" s="17"/>
      <c r="QB236" s="17"/>
      <c r="QC236" s="17"/>
      <c r="QD236" s="17"/>
      <c r="QE236" s="17"/>
      <c r="QF236" s="17"/>
      <c r="QG236" s="17"/>
      <c r="QH236" s="17"/>
      <c r="QI236" s="17"/>
      <c r="QJ236" s="17"/>
      <c r="QK236" s="17"/>
      <c r="QL236" s="17"/>
      <c r="QM236" s="17"/>
      <c r="QN236" s="17"/>
      <c r="QO236" s="17"/>
      <c r="QP236" s="17"/>
      <c r="QQ236" s="17"/>
      <c r="QR236" s="17"/>
      <c r="QS236" s="17"/>
      <c r="QT236" s="17"/>
      <c r="QU236" s="17"/>
      <c r="QV236" s="17"/>
      <c r="QW236" s="17"/>
      <c r="QX236" s="17"/>
      <c r="QY236" s="17"/>
      <c r="QZ236" s="17"/>
      <c r="RA236" s="17"/>
      <c r="RB236" s="17"/>
      <c r="RC236" s="17"/>
      <c r="RD236" s="17"/>
      <c r="RE236" s="17"/>
      <c r="RF236" s="17"/>
      <c r="RG236" s="17"/>
      <c r="RH236" s="17"/>
      <c r="RI236" s="17"/>
      <c r="RJ236" s="17"/>
      <c r="RK236" s="17"/>
      <c r="RL236" s="17"/>
      <c r="RM236" s="17"/>
      <c r="RN236" s="17"/>
      <c r="RO236" s="17"/>
      <c r="RP236" s="17"/>
      <c r="RQ236" s="17"/>
      <c r="RR236" s="17"/>
      <c r="RS236" s="17"/>
      <c r="RT236" s="17"/>
      <c r="RU236" s="17"/>
      <c r="RV236" s="17"/>
      <c r="RW236" s="17"/>
      <c r="RX236" s="17"/>
      <c r="RY236" s="17"/>
      <c r="RZ236" s="17"/>
      <c r="SA236" s="17"/>
      <c r="SB236" s="17"/>
      <c r="SC236" s="17"/>
      <c r="SD236" s="17"/>
      <c r="SE236" s="17"/>
      <c r="SF236" s="17"/>
      <c r="SG236" s="17"/>
      <c r="SH236" s="17"/>
      <c r="SI236" s="17"/>
      <c r="SJ236" s="17"/>
      <c r="SK236" s="17"/>
      <c r="SL236" s="17"/>
      <c r="SM236" s="17"/>
      <c r="SN236" s="17"/>
      <c r="SO236" s="17"/>
      <c r="SP236" s="17"/>
      <c r="SQ236" s="17"/>
      <c r="SR236" s="17"/>
      <c r="SS236" s="17"/>
      <c r="ST236" s="17"/>
      <c r="SU236" s="17"/>
      <c r="SV236" s="17"/>
      <c r="SW236" s="17"/>
      <c r="SX236" s="17"/>
      <c r="SY236" s="17"/>
      <c r="SZ236" s="17"/>
      <c r="TA236" s="17"/>
      <c r="TB236" s="17"/>
      <c r="TC236" s="17"/>
      <c r="TD236" s="17"/>
      <c r="TE236" s="17"/>
      <c r="TF236" s="17"/>
      <c r="TG236" s="17"/>
      <c r="TH236" s="17"/>
      <c r="TI236" s="17"/>
      <c r="TJ236" s="17"/>
      <c r="TK236" s="17"/>
      <c r="TL236" s="17"/>
      <c r="TM236" s="17"/>
      <c r="TN236" s="17"/>
      <c r="TO236" s="17"/>
      <c r="TP236" s="17"/>
      <c r="TQ236" s="17"/>
      <c r="TR236" s="17"/>
      <c r="TS236" s="17"/>
      <c r="TT236" s="17"/>
      <c r="TU236" s="17"/>
      <c r="TV236" s="17"/>
      <c r="TW236" s="17"/>
      <c r="TX236" s="17"/>
      <c r="TY236" s="17"/>
      <c r="TZ236" s="17"/>
      <c r="UA236" s="17"/>
      <c r="UB236" s="17"/>
      <c r="UC236" s="17"/>
      <c r="UD236" s="17"/>
      <c r="UE236" s="17"/>
      <c r="UF236" s="17"/>
      <c r="UG236" s="17"/>
      <c r="UH236" s="17"/>
      <c r="UI236" s="17"/>
      <c r="UJ236" s="17"/>
      <c r="UK236" s="17"/>
      <c r="UL236" s="17"/>
      <c r="UM236" s="17"/>
      <c r="UN236" s="17"/>
      <c r="UO236" s="17"/>
      <c r="UP236" s="17"/>
      <c r="UQ236" s="17"/>
      <c r="UR236" s="17"/>
      <c r="US236" s="17"/>
      <c r="UT236" s="17"/>
      <c r="UU236" s="17"/>
      <c r="UV236" s="17"/>
      <c r="UW236" s="17"/>
      <c r="UX236" s="17"/>
      <c r="UY236" s="17"/>
      <c r="UZ236" s="17"/>
      <c r="VA236" s="17"/>
      <c r="VB236" s="17"/>
      <c r="VC236" s="17"/>
      <c r="VD236" s="17"/>
      <c r="VE236" s="17"/>
      <c r="VF236" s="17"/>
      <c r="VG236" s="17"/>
      <c r="VH236" s="17"/>
      <c r="VI236" s="17"/>
      <c r="VJ236" s="17"/>
      <c r="VK236" s="17"/>
      <c r="VL236" s="17"/>
      <c r="VM236" s="17"/>
      <c r="VN236" s="17"/>
      <c r="VO236" s="17"/>
      <c r="VP236" s="17"/>
      <c r="VQ236" s="17"/>
      <c r="VR236" s="17"/>
      <c r="VS236" s="17"/>
      <c r="VT236" s="17"/>
      <c r="VU236" s="17"/>
      <c r="VV236" s="17"/>
      <c r="VW236" s="17"/>
      <c r="VX236" s="17"/>
      <c r="VY236" s="17"/>
      <c r="VZ236" s="17"/>
      <c r="WA236" s="17"/>
      <c r="WB236" s="17"/>
      <c r="WC236" s="17"/>
      <c r="WD236" s="17"/>
      <c r="WE236" s="17"/>
      <c r="WF236" s="17"/>
      <c r="WG236" s="17"/>
      <c r="WH236" s="17"/>
      <c r="WI236" s="17"/>
      <c r="WJ236" s="17"/>
      <c r="WK236" s="17"/>
      <c r="WL236" s="17"/>
      <c r="WM236" s="17"/>
      <c r="WN236" s="17"/>
      <c r="WO236" s="17"/>
      <c r="WP236" s="17"/>
      <c r="WQ236" s="17"/>
      <c r="WR236" s="17"/>
      <c r="WS236" s="17"/>
      <c r="WT236" s="17"/>
      <c r="WU236" s="17"/>
      <c r="WV236" s="17"/>
      <c r="WW236" s="17"/>
      <c r="WX236" s="17"/>
      <c r="WY236" s="17"/>
      <c r="WZ236" s="17"/>
      <c r="XA236" s="17"/>
      <c r="XB236" s="17"/>
      <c r="XC236" s="17"/>
      <c r="XD236" s="17"/>
      <c r="XE236" s="17"/>
      <c r="XF236" s="17"/>
      <c r="XG236" s="17"/>
      <c r="XH236" s="17"/>
      <c r="XI236" s="17"/>
      <c r="XJ236" s="17"/>
      <c r="XK236" s="17"/>
      <c r="XL236" s="17"/>
      <c r="XM236" s="17"/>
      <c r="XN236" s="17"/>
      <c r="XO236" s="17"/>
      <c r="XP236" s="17"/>
      <c r="XQ236" s="17"/>
      <c r="XR236" s="17"/>
      <c r="XS236" s="17"/>
      <c r="XT236" s="17"/>
      <c r="XU236" s="17"/>
      <c r="XV236" s="17"/>
      <c r="XW236" s="17"/>
      <c r="XX236" s="17"/>
      <c r="XY236" s="17"/>
      <c r="XZ236" s="17"/>
      <c r="YA236" s="17"/>
      <c r="YB236" s="17"/>
      <c r="YC236" s="17"/>
      <c r="YD236" s="17"/>
      <c r="YE236" s="17"/>
      <c r="YF236" s="17"/>
      <c r="YG236" s="17"/>
      <c r="YH236" s="17"/>
      <c r="YI236" s="17"/>
      <c r="YJ236" s="17"/>
      <c r="YK236" s="17"/>
      <c r="YL236" s="17"/>
      <c r="YM236" s="17"/>
      <c r="YN236" s="17"/>
      <c r="YO236" s="17"/>
      <c r="YP236" s="17"/>
      <c r="YQ236" s="17"/>
      <c r="YR236" s="17"/>
      <c r="YS236" s="17"/>
    </row>
    <row r="237" spans="266:669" x14ac:dyDescent="0.25">
      <c r="JF237" s="17"/>
      <c r="JG237" s="17"/>
      <c r="JH237" s="17"/>
      <c r="JI237" s="17"/>
      <c r="JJ237" s="17"/>
      <c r="JK237" s="17"/>
      <c r="JL237" s="17"/>
      <c r="JM237" s="17"/>
      <c r="JN237" s="17"/>
      <c r="JO237" s="17"/>
      <c r="JP237" s="17"/>
      <c r="JQ237" s="17"/>
      <c r="JR237" s="17"/>
      <c r="JS237" s="17"/>
      <c r="JT237" s="17"/>
      <c r="JU237" s="17"/>
      <c r="JV237" s="17"/>
      <c r="JW237" s="17"/>
      <c r="JX237" s="17"/>
      <c r="JY237" s="17"/>
      <c r="JZ237" s="17"/>
      <c r="KA237" s="17"/>
      <c r="KB237" s="17"/>
      <c r="KC237" s="17"/>
      <c r="KD237" s="17"/>
      <c r="KE237" s="17"/>
      <c r="KF237" s="17"/>
      <c r="KG237" s="17"/>
      <c r="KH237" s="17"/>
      <c r="KI237" s="17"/>
      <c r="KJ237" s="17"/>
      <c r="KK237" s="17"/>
      <c r="KL237" s="17"/>
      <c r="KM237" s="17"/>
      <c r="KN237" s="17"/>
      <c r="KO237" s="17"/>
      <c r="KP237" s="17"/>
      <c r="KQ237" s="17"/>
      <c r="KR237" s="17"/>
      <c r="KS237" s="17"/>
      <c r="KT237" s="17"/>
      <c r="KU237" s="17"/>
      <c r="KV237" s="17"/>
      <c r="KW237" s="17"/>
      <c r="KX237" s="17"/>
      <c r="KY237" s="17"/>
      <c r="KZ237" s="17"/>
      <c r="LA237" s="17"/>
      <c r="LB237" s="17"/>
      <c r="LC237" s="17"/>
      <c r="LD237" s="17"/>
      <c r="LE237" s="17"/>
      <c r="LF237" s="17"/>
      <c r="LG237" s="17"/>
      <c r="LH237" s="17"/>
      <c r="LI237" s="17"/>
      <c r="LJ237" s="17"/>
      <c r="LK237" s="17"/>
      <c r="LL237" s="17"/>
      <c r="LM237" s="17"/>
      <c r="LN237" s="17"/>
      <c r="LO237" s="17"/>
      <c r="LP237" s="17"/>
      <c r="LQ237" s="17"/>
      <c r="LR237" s="17"/>
      <c r="LS237" s="17"/>
      <c r="LT237" s="17"/>
      <c r="LU237" s="17"/>
      <c r="LV237" s="17"/>
      <c r="LW237" s="17"/>
      <c r="LX237" s="17"/>
      <c r="LY237" s="17"/>
      <c r="LZ237" s="17"/>
      <c r="MA237" s="17"/>
      <c r="MB237" s="17"/>
      <c r="MC237" s="17"/>
      <c r="MD237" s="17"/>
      <c r="ME237" s="17"/>
      <c r="MF237" s="17"/>
      <c r="MG237" s="17"/>
      <c r="MH237" s="17"/>
      <c r="MI237" s="17"/>
      <c r="MJ237" s="17"/>
      <c r="MK237" s="17"/>
      <c r="ML237" s="17"/>
      <c r="MM237" s="17"/>
      <c r="MN237" s="17"/>
      <c r="MO237" s="17"/>
      <c r="MP237" s="17"/>
      <c r="MQ237" s="17"/>
      <c r="MR237" s="17"/>
      <c r="MS237" s="17"/>
      <c r="MT237" s="17"/>
      <c r="MU237" s="17"/>
      <c r="MV237" s="17"/>
      <c r="MW237" s="17"/>
      <c r="MX237" s="17"/>
      <c r="MY237" s="17"/>
      <c r="MZ237" s="17"/>
      <c r="NA237" s="17"/>
      <c r="NB237" s="17"/>
      <c r="NC237" s="17"/>
      <c r="ND237" s="17"/>
      <c r="NE237" s="17"/>
      <c r="NF237" s="17"/>
      <c r="NG237" s="17"/>
      <c r="NH237" s="17"/>
      <c r="NI237" s="17"/>
      <c r="NJ237" s="17"/>
      <c r="NK237" s="17"/>
      <c r="NL237" s="17"/>
      <c r="NM237" s="17"/>
      <c r="NN237" s="17"/>
      <c r="NO237" s="17"/>
      <c r="NP237" s="17"/>
      <c r="NQ237" s="17"/>
      <c r="NR237" s="17"/>
      <c r="NS237" s="17"/>
      <c r="NT237" s="17"/>
      <c r="NU237" s="17"/>
      <c r="NV237" s="17"/>
      <c r="NW237" s="17"/>
      <c r="NX237" s="17"/>
      <c r="NY237" s="17"/>
      <c r="NZ237" s="17"/>
      <c r="OA237" s="17"/>
      <c r="OB237" s="17"/>
      <c r="OC237" s="17"/>
      <c r="OD237" s="17"/>
      <c r="OE237" s="17"/>
      <c r="OF237" s="17"/>
      <c r="OG237" s="17"/>
      <c r="OH237" s="17"/>
      <c r="OI237" s="17"/>
      <c r="OJ237" s="17"/>
      <c r="OK237" s="17"/>
      <c r="OL237" s="17"/>
      <c r="OM237" s="17"/>
      <c r="ON237" s="17"/>
      <c r="OO237" s="17"/>
      <c r="OP237" s="17"/>
      <c r="OQ237" s="17"/>
      <c r="OR237" s="17"/>
      <c r="OS237" s="17"/>
      <c r="OT237" s="17"/>
      <c r="OU237" s="17"/>
      <c r="OV237" s="17"/>
      <c r="OW237" s="17"/>
      <c r="OX237" s="17"/>
      <c r="OY237" s="17"/>
      <c r="OZ237" s="17"/>
      <c r="PA237" s="17"/>
      <c r="PB237" s="17"/>
      <c r="PC237" s="17"/>
      <c r="PD237" s="17"/>
      <c r="PE237" s="17"/>
      <c r="PF237" s="17"/>
      <c r="PG237" s="17"/>
      <c r="PH237" s="17"/>
      <c r="PI237" s="17"/>
      <c r="PJ237" s="17"/>
      <c r="PK237" s="17"/>
      <c r="PL237" s="17"/>
      <c r="PM237" s="17"/>
      <c r="PN237" s="17"/>
      <c r="PO237" s="17"/>
      <c r="PP237" s="17"/>
      <c r="PQ237" s="17"/>
      <c r="PR237" s="17"/>
      <c r="PS237" s="17"/>
      <c r="PT237" s="17"/>
      <c r="PU237" s="17"/>
      <c r="PV237" s="17"/>
      <c r="PW237" s="17"/>
      <c r="PX237" s="17"/>
      <c r="PY237" s="17"/>
      <c r="PZ237" s="17"/>
      <c r="QA237" s="17"/>
      <c r="QB237" s="17"/>
      <c r="QC237" s="17"/>
      <c r="QD237" s="17"/>
      <c r="QE237" s="17"/>
      <c r="QF237" s="17"/>
      <c r="QG237" s="17"/>
      <c r="QH237" s="17"/>
      <c r="QI237" s="17"/>
      <c r="QJ237" s="17"/>
      <c r="QK237" s="17"/>
      <c r="QL237" s="17"/>
      <c r="QM237" s="17"/>
      <c r="QN237" s="17"/>
      <c r="QO237" s="17"/>
      <c r="QP237" s="17"/>
      <c r="QQ237" s="17"/>
      <c r="QR237" s="17"/>
      <c r="QS237" s="17"/>
      <c r="QT237" s="17"/>
      <c r="QU237" s="17"/>
      <c r="QV237" s="17"/>
      <c r="QW237" s="17"/>
      <c r="QX237" s="17"/>
      <c r="QY237" s="17"/>
      <c r="QZ237" s="17"/>
      <c r="RA237" s="17"/>
      <c r="RB237" s="17"/>
      <c r="RC237" s="17"/>
      <c r="RD237" s="17"/>
      <c r="RE237" s="17"/>
      <c r="RF237" s="17"/>
      <c r="RG237" s="17"/>
      <c r="RH237" s="17"/>
      <c r="RI237" s="17"/>
      <c r="RJ237" s="17"/>
      <c r="RK237" s="17"/>
      <c r="RL237" s="17"/>
      <c r="RM237" s="17"/>
      <c r="RN237" s="17"/>
      <c r="RO237" s="17"/>
      <c r="RP237" s="17"/>
      <c r="RQ237" s="17"/>
      <c r="RR237" s="17"/>
      <c r="RS237" s="17"/>
      <c r="RT237" s="17"/>
      <c r="RU237" s="17"/>
      <c r="RV237" s="17"/>
      <c r="RW237" s="17"/>
      <c r="RX237" s="17"/>
      <c r="RY237" s="17"/>
      <c r="RZ237" s="17"/>
      <c r="SA237" s="17"/>
      <c r="SB237" s="17"/>
      <c r="SC237" s="17"/>
      <c r="SD237" s="17"/>
      <c r="SE237" s="17"/>
      <c r="SF237" s="17"/>
      <c r="SG237" s="17"/>
      <c r="SH237" s="17"/>
      <c r="SI237" s="17"/>
      <c r="SJ237" s="17"/>
      <c r="SK237" s="17"/>
      <c r="SL237" s="17"/>
      <c r="SM237" s="17"/>
      <c r="SN237" s="17"/>
      <c r="SO237" s="17"/>
      <c r="SP237" s="17"/>
      <c r="SQ237" s="17"/>
      <c r="SR237" s="17"/>
      <c r="SS237" s="17"/>
      <c r="ST237" s="17"/>
      <c r="SU237" s="17"/>
      <c r="SV237" s="17"/>
      <c r="SW237" s="17"/>
      <c r="SX237" s="17"/>
      <c r="SY237" s="17"/>
      <c r="SZ237" s="17"/>
      <c r="TA237" s="17"/>
      <c r="TB237" s="17"/>
      <c r="TC237" s="17"/>
      <c r="TD237" s="17"/>
      <c r="TE237" s="17"/>
      <c r="TF237" s="17"/>
      <c r="TG237" s="17"/>
      <c r="TH237" s="17"/>
      <c r="TI237" s="17"/>
      <c r="TJ237" s="17"/>
      <c r="TK237" s="17"/>
      <c r="TL237" s="17"/>
      <c r="TM237" s="17"/>
      <c r="TN237" s="17"/>
      <c r="TO237" s="17"/>
      <c r="TP237" s="17"/>
      <c r="TQ237" s="17"/>
      <c r="TR237" s="17"/>
      <c r="TS237" s="17"/>
      <c r="TT237" s="17"/>
      <c r="TU237" s="17"/>
      <c r="TV237" s="17"/>
      <c r="TW237" s="17"/>
      <c r="TX237" s="17"/>
      <c r="TY237" s="17"/>
      <c r="TZ237" s="17"/>
      <c r="UA237" s="17"/>
      <c r="UB237" s="17"/>
      <c r="UC237" s="17"/>
      <c r="UD237" s="17"/>
      <c r="UE237" s="17"/>
      <c r="UF237" s="17"/>
      <c r="UG237" s="17"/>
      <c r="UH237" s="17"/>
      <c r="UI237" s="17"/>
      <c r="UJ237" s="17"/>
      <c r="UK237" s="17"/>
      <c r="UL237" s="17"/>
      <c r="UM237" s="17"/>
      <c r="UN237" s="17"/>
      <c r="UO237" s="17"/>
      <c r="UP237" s="17"/>
      <c r="UQ237" s="17"/>
      <c r="UR237" s="17"/>
      <c r="US237" s="17"/>
      <c r="UT237" s="17"/>
      <c r="UU237" s="17"/>
      <c r="UV237" s="17"/>
      <c r="UW237" s="17"/>
      <c r="UX237" s="17"/>
      <c r="UY237" s="17"/>
      <c r="UZ237" s="17"/>
      <c r="VA237" s="17"/>
      <c r="VB237" s="17"/>
      <c r="VC237" s="17"/>
      <c r="VD237" s="17"/>
      <c r="VE237" s="17"/>
      <c r="VF237" s="17"/>
      <c r="VG237" s="17"/>
      <c r="VH237" s="17"/>
      <c r="VI237" s="17"/>
      <c r="VJ237" s="17"/>
      <c r="VK237" s="17"/>
      <c r="VL237" s="17"/>
      <c r="VM237" s="17"/>
      <c r="VN237" s="17"/>
      <c r="VO237" s="17"/>
      <c r="VP237" s="17"/>
      <c r="VQ237" s="17"/>
      <c r="VR237" s="17"/>
      <c r="VS237" s="17"/>
      <c r="VT237" s="17"/>
      <c r="VU237" s="17"/>
      <c r="VV237" s="17"/>
      <c r="VW237" s="17"/>
      <c r="VX237" s="17"/>
      <c r="VY237" s="17"/>
      <c r="VZ237" s="17"/>
      <c r="WA237" s="17"/>
      <c r="WB237" s="17"/>
      <c r="WC237" s="17"/>
      <c r="WD237" s="17"/>
      <c r="WE237" s="17"/>
      <c r="WF237" s="17"/>
      <c r="WG237" s="17"/>
      <c r="WH237" s="17"/>
      <c r="WI237" s="17"/>
      <c r="WJ237" s="17"/>
      <c r="WK237" s="17"/>
      <c r="WL237" s="17"/>
      <c r="WM237" s="17"/>
      <c r="WN237" s="17"/>
      <c r="WO237" s="17"/>
      <c r="WP237" s="17"/>
      <c r="WQ237" s="17"/>
      <c r="WR237" s="17"/>
      <c r="WS237" s="17"/>
      <c r="WT237" s="17"/>
      <c r="WU237" s="17"/>
      <c r="WV237" s="17"/>
      <c r="WW237" s="17"/>
      <c r="WX237" s="17"/>
      <c r="WY237" s="17"/>
      <c r="WZ237" s="17"/>
      <c r="XA237" s="17"/>
      <c r="XB237" s="17"/>
      <c r="XC237" s="17"/>
      <c r="XD237" s="17"/>
      <c r="XE237" s="17"/>
      <c r="XF237" s="17"/>
      <c r="XG237" s="17"/>
      <c r="XH237" s="17"/>
      <c r="XI237" s="17"/>
      <c r="XJ237" s="17"/>
      <c r="XK237" s="17"/>
      <c r="XL237" s="17"/>
      <c r="XM237" s="17"/>
      <c r="XN237" s="17"/>
      <c r="XO237" s="17"/>
      <c r="XP237" s="17"/>
      <c r="XQ237" s="17"/>
      <c r="XR237" s="17"/>
      <c r="XS237" s="17"/>
      <c r="XT237" s="17"/>
      <c r="XU237" s="17"/>
      <c r="XV237" s="17"/>
      <c r="XW237" s="17"/>
      <c r="XX237" s="17"/>
      <c r="XY237" s="17"/>
      <c r="XZ237" s="17"/>
      <c r="YA237" s="17"/>
      <c r="YB237" s="17"/>
      <c r="YC237" s="17"/>
      <c r="YD237" s="17"/>
      <c r="YE237" s="17"/>
      <c r="YF237" s="17"/>
      <c r="YG237" s="17"/>
      <c r="YH237" s="17"/>
      <c r="YI237" s="17"/>
      <c r="YJ237" s="17"/>
      <c r="YK237" s="17"/>
      <c r="YL237" s="17"/>
      <c r="YM237" s="17"/>
      <c r="YN237" s="17"/>
      <c r="YO237" s="17"/>
      <c r="YP237" s="17"/>
      <c r="YQ237" s="17"/>
      <c r="YR237" s="17"/>
      <c r="YS237" s="17"/>
    </row>
    <row r="238" spans="266:669" x14ac:dyDescent="0.25">
      <c r="JF238" s="17"/>
      <c r="JG238" s="17"/>
      <c r="JH238" s="17"/>
      <c r="JI238" s="17"/>
      <c r="JJ238" s="17"/>
      <c r="JK238" s="17"/>
      <c r="JL238" s="17"/>
      <c r="JM238" s="17"/>
      <c r="JN238" s="17"/>
      <c r="JO238" s="17"/>
      <c r="JP238" s="17"/>
      <c r="JQ238" s="17"/>
      <c r="JR238" s="17"/>
      <c r="JS238" s="17"/>
      <c r="JT238" s="17"/>
      <c r="JU238" s="17"/>
      <c r="JV238" s="17"/>
      <c r="JW238" s="17"/>
      <c r="JX238" s="17"/>
      <c r="JY238" s="17"/>
      <c r="JZ238" s="17"/>
      <c r="KA238" s="17"/>
      <c r="KB238" s="17"/>
      <c r="KC238" s="17"/>
      <c r="KD238" s="17"/>
      <c r="KE238" s="17"/>
      <c r="KF238" s="17"/>
      <c r="KG238" s="17"/>
      <c r="KH238" s="17"/>
      <c r="KI238" s="17"/>
      <c r="KJ238" s="17"/>
      <c r="KK238" s="17"/>
      <c r="KL238" s="17"/>
      <c r="KM238" s="17"/>
      <c r="KN238" s="17"/>
      <c r="KO238" s="17"/>
      <c r="KP238" s="17"/>
      <c r="KQ238" s="17"/>
      <c r="KR238" s="17"/>
      <c r="KS238" s="17"/>
      <c r="KT238" s="17"/>
      <c r="KU238" s="17"/>
      <c r="KV238" s="17"/>
      <c r="KW238" s="17"/>
      <c r="KX238" s="17"/>
      <c r="KY238" s="17"/>
      <c r="KZ238" s="17"/>
      <c r="LA238" s="17"/>
      <c r="LB238" s="17"/>
      <c r="LC238" s="17"/>
      <c r="LD238" s="17"/>
      <c r="LE238" s="17"/>
      <c r="LF238" s="17"/>
      <c r="LG238" s="17"/>
      <c r="LH238" s="17"/>
      <c r="LI238" s="17"/>
      <c r="LJ238" s="17"/>
      <c r="LK238" s="17"/>
      <c r="LL238" s="17"/>
      <c r="LM238" s="17"/>
      <c r="LN238" s="17"/>
      <c r="LO238" s="17"/>
      <c r="LP238" s="17"/>
      <c r="LQ238" s="17"/>
      <c r="LR238" s="17"/>
      <c r="LS238" s="17"/>
      <c r="LT238" s="17"/>
      <c r="LU238" s="17"/>
      <c r="LV238" s="17"/>
      <c r="LW238" s="17"/>
      <c r="LX238" s="17"/>
      <c r="LY238" s="17"/>
      <c r="LZ238" s="17"/>
      <c r="MA238" s="17"/>
      <c r="MB238" s="17"/>
      <c r="MC238" s="17"/>
      <c r="MD238" s="17"/>
      <c r="ME238" s="17"/>
      <c r="MF238" s="17"/>
      <c r="MG238" s="17"/>
      <c r="MH238" s="17"/>
      <c r="MI238" s="17"/>
      <c r="MJ238" s="17"/>
      <c r="MK238" s="17"/>
      <c r="ML238" s="17"/>
      <c r="MM238" s="17"/>
      <c r="MN238" s="17"/>
      <c r="MO238" s="17"/>
      <c r="MP238" s="17"/>
      <c r="MQ238" s="17"/>
      <c r="MR238" s="17"/>
      <c r="MS238" s="17"/>
      <c r="MT238" s="17"/>
      <c r="MU238" s="17"/>
      <c r="MV238" s="17"/>
      <c r="MW238" s="17"/>
      <c r="MX238" s="17"/>
      <c r="MY238" s="17"/>
      <c r="MZ238" s="17"/>
      <c r="NA238" s="17"/>
      <c r="NB238" s="17"/>
      <c r="NC238" s="17"/>
      <c r="ND238" s="17"/>
      <c r="NE238" s="17"/>
      <c r="NF238" s="17"/>
      <c r="NG238" s="17"/>
      <c r="NH238" s="17"/>
      <c r="NI238" s="17"/>
      <c r="NJ238" s="17"/>
      <c r="NK238" s="17"/>
      <c r="NL238" s="17"/>
      <c r="NM238" s="17"/>
      <c r="NN238" s="17"/>
      <c r="NO238" s="17"/>
      <c r="NP238" s="17"/>
      <c r="NQ238" s="17"/>
      <c r="NR238" s="17"/>
      <c r="NS238" s="17"/>
      <c r="NT238" s="17"/>
      <c r="NU238" s="17"/>
      <c r="NV238" s="17"/>
      <c r="NW238" s="17"/>
      <c r="NX238" s="17"/>
      <c r="NY238" s="17"/>
      <c r="NZ238" s="17"/>
      <c r="OA238" s="17"/>
      <c r="OB238" s="17"/>
      <c r="OC238" s="17"/>
      <c r="OD238" s="17"/>
      <c r="OE238" s="17"/>
      <c r="OF238" s="17"/>
      <c r="OG238" s="17"/>
      <c r="OH238" s="17"/>
      <c r="OI238" s="17"/>
      <c r="OJ238" s="17"/>
      <c r="OK238" s="17"/>
      <c r="OL238" s="17"/>
      <c r="OM238" s="17"/>
      <c r="ON238" s="17"/>
      <c r="OO238" s="17"/>
      <c r="OP238" s="17"/>
      <c r="OQ238" s="17"/>
      <c r="OR238" s="17"/>
      <c r="OS238" s="17"/>
      <c r="OT238" s="17"/>
      <c r="OU238" s="17"/>
      <c r="OV238" s="17"/>
      <c r="OW238" s="17"/>
      <c r="OX238" s="17"/>
      <c r="OY238" s="17"/>
      <c r="OZ238" s="17"/>
      <c r="PA238" s="17"/>
      <c r="PB238" s="17"/>
      <c r="PC238" s="17"/>
      <c r="PD238" s="17"/>
      <c r="PE238" s="17"/>
      <c r="PF238" s="17"/>
      <c r="PG238" s="17"/>
      <c r="PH238" s="17"/>
      <c r="PI238" s="17"/>
      <c r="PJ238" s="17"/>
      <c r="PK238" s="17"/>
      <c r="PL238" s="17"/>
      <c r="PM238" s="17"/>
      <c r="PN238" s="17"/>
      <c r="PO238" s="17"/>
      <c r="PP238" s="17"/>
      <c r="PQ238" s="17"/>
      <c r="PR238" s="17"/>
      <c r="PS238" s="17"/>
      <c r="PT238" s="17"/>
      <c r="PU238" s="17"/>
      <c r="PV238" s="17"/>
      <c r="PW238" s="17"/>
      <c r="PX238" s="17"/>
      <c r="PY238" s="17"/>
      <c r="PZ238" s="17"/>
      <c r="QA238" s="17"/>
      <c r="QB238" s="17"/>
      <c r="QC238" s="17"/>
      <c r="QD238" s="17"/>
      <c r="QE238" s="17"/>
      <c r="QF238" s="17"/>
      <c r="QG238" s="17"/>
      <c r="QH238" s="17"/>
      <c r="QI238" s="17"/>
      <c r="QJ238" s="17"/>
      <c r="QK238" s="17"/>
      <c r="QL238" s="17"/>
      <c r="QM238" s="17"/>
      <c r="QN238" s="17"/>
      <c r="QO238" s="17"/>
      <c r="QP238" s="17"/>
      <c r="QQ238" s="17"/>
      <c r="QR238" s="17"/>
      <c r="QS238" s="17"/>
      <c r="QT238" s="17"/>
      <c r="QU238" s="17"/>
      <c r="QV238" s="17"/>
      <c r="QW238" s="17"/>
      <c r="QX238" s="17"/>
      <c r="QY238" s="17"/>
      <c r="QZ238" s="17"/>
      <c r="RA238" s="17"/>
      <c r="RB238" s="17"/>
      <c r="RC238" s="17"/>
      <c r="RD238" s="17"/>
      <c r="RE238" s="17"/>
      <c r="RF238" s="17"/>
      <c r="RG238" s="17"/>
      <c r="RH238" s="17"/>
      <c r="RI238" s="17"/>
      <c r="RJ238" s="17"/>
      <c r="RK238" s="17"/>
      <c r="RL238" s="17"/>
      <c r="RM238" s="17"/>
      <c r="RN238" s="17"/>
      <c r="RO238" s="17"/>
      <c r="RP238" s="17"/>
      <c r="RQ238" s="17"/>
      <c r="RR238" s="17"/>
      <c r="RS238" s="17"/>
      <c r="RT238" s="17"/>
      <c r="RU238" s="17"/>
      <c r="RV238" s="17"/>
      <c r="RW238" s="17"/>
      <c r="RX238" s="17"/>
      <c r="RY238" s="17"/>
      <c r="RZ238" s="17"/>
      <c r="SA238" s="17"/>
      <c r="SB238" s="17"/>
      <c r="SC238" s="17"/>
      <c r="SD238" s="17"/>
      <c r="SE238" s="17"/>
      <c r="SF238" s="17"/>
      <c r="SG238" s="17"/>
      <c r="SH238" s="17"/>
      <c r="SI238" s="17"/>
      <c r="SJ238" s="17"/>
      <c r="SK238" s="17"/>
      <c r="SL238" s="17"/>
      <c r="SM238" s="17"/>
      <c r="SN238" s="17"/>
      <c r="SO238" s="17"/>
      <c r="SP238" s="17"/>
      <c r="SQ238" s="17"/>
      <c r="SR238" s="17"/>
      <c r="SS238" s="17"/>
      <c r="ST238" s="17"/>
      <c r="SU238" s="17"/>
      <c r="SV238" s="17"/>
      <c r="SW238" s="17"/>
      <c r="SX238" s="17"/>
      <c r="SY238" s="17"/>
      <c r="SZ238" s="17"/>
      <c r="TA238" s="17"/>
      <c r="TB238" s="17"/>
      <c r="TC238" s="17"/>
      <c r="TD238" s="17"/>
      <c r="TE238" s="17"/>
      <c r="TF238" s="17"/>
      <c r="TG238" s="17"/>
      <c r="TH238" s="17"/>
      <c r="TI238" s="17"/>
      <c r="TJ238" s="17"/>
      <c r="TK238" s="17"/>
      <c r="TL238" s="17"/>
      <c r="TM238" s="17"/>
      <c r="TN238" s="17"/>
      <c r="TO238" s="17"/>
      <c r="TP238" s="17"/>
      <c r="TQ238" s="17"/>
      <c r="TR238" s="17"/>
      <c r="TS238" s="17"/>
      <c r="TT238" s="17"/>
      <c r="TU238" s="17"/>
      <c r="TV238" s="17"/>
      <c r="TW238" s="17"/>
      <c r="TX238" s="17"/>
      <c r="TY238" s="17"/>
      <c r="TZ238" s="17"/>
      <c r="UA238" s="17"/>
      <c r="UB238" s="17"/>
      <c r="UC238" s="17"/>
      <c r="UD238" s="17"/>
      <c r="UE238" s="17"/>
      <c r="UF238" s="17"/>
      <c r="UG238" s="17"/>
      <c r="UH238" s="17"/>
      <c r="UI238" s="17"/>
      <c r="UJ238" s="17"/>
      <c r="UK238" s="17"/>
      <c r="UL238" s="17"/>
      <c r="UM238" s="17"/>
      <c r="UN238" s="17"/>
      <c r="UO238" s="17"/>
      <c r="UP238" s="17"/>
      <c r="UQ238" s="17"/>
      <c r="UR238" s="17"/>
      <c r="US238" s="17"/>
      <c r="UT238" s="17"/>
      <c r="UU238" s="17"/>
      <c r="UV238" s="17"/>
      <c r="UW238" s="17"/>
      <c r="UX238" s="17"/>
      <c r="UY238" s="17"/>
      <c r="UZ238" s="17"/>
      <c r="VA238" s="17"/>
      <c r="VB238" s="17"/>
      <c r="VC238" s="17"/>
      <c r="VD238" s="17"/>
      <c r="VE238" s="17"/>
      <c r="VF238" s="17"/>
      <c r="VG238" s="17"/>
      <c r="VH238" s="17"/>
      <c r="VI238" s="17"/>
      <c r="VJ238" s="17"/>
      <c r="VK238" s="17"/>
      <c r="VL238" s="17"/>
      <c r="VM238" s="17"/>
      <c r="VN238" s="17"/>
      <c r="VO238" s="17"/>
      <c r="VP238" s="17"/>
      <c r="VQ238" s="17"/>
      <c r="VR238" s="17"/>
      <c r="VS238" s="17"/>
      <c r="VT238" s="17"/>
      <c r="VU238" s="17"/>
      <c r="VV238" s="17"/>
      <c r="VW238" s="17"/>
      <c r="VX238" s="17"/>
      <c r="VY238" s="17"/>
      <c r="VZ238" s="17"/>
      <c r="WA238" s="17"/>
      <c r="WB238" s="17"/>
      <c r="WC238" s="17"/>
      <c r="WD238" s="17"/>
      <c r="WE238" s="17"/>
      <c r="WF238" s="17"/>
      <c r="WG238" s="17"/>
      <c r="WH238" s="17"/>
      <c r="WI238" s="17"/>
      <c r="WJ238" s="17"/>
      <c r="WK238" s="17"/>
      <c r="WL238" s="17"/>
      <c r="WM238" s="17"/>
      <c r="WN238" s="17"/>
      <c r="WO238" s="17"/>
      <c r="WP238" s="17"/>
      <c r="WQ238" s="17"/>
      <c r="WR238" s="17"/>
      <c r="WS238" s="17"/>
      <c r="WT238" s="17"/>
      <c r="WU238" s="17"/>
      <c r="WV238" s="17"/>
      <c r="WW238" s="17"/>
      <c r="WX238" s="17"/>
      <c r="WY238" s="17"/>
      <c r="WZ238" s="17"/>
      <c r="XA238" s="17"/>
      <c r="XB238" s="17"/>
      <c r="XC238" s="17"/>
      <c r="XD238" s="17"/>
      <c r="XE238" s="17"/>
      <c r="XF238" s="17"/>
      <c r="XG238" s="17"/>
      <c r="XH238" s="17"/>
      <c r="XI238" s="17"/>
      <c r="XJ238" s="17"/>
      <c r="XK238" s="17"/>
      <c r="XL238" s="17"/>
      <c r="XM238" s="17"/>
      <c r="XN238" s="17"/>
      <c r="XO238" s="17"/>
      <c r="XP238" s="17"/>
      <c r="XQ238" s="17"/>
      <c r="XR238" s="17"/>
      <c r="XS238" s="17"/>
      <c r="XT238" s="17"/>
      <c r="XU238" s="17"/>
      <c r="XV238" s="17"/>
      <c r="XW238" s="17"/>
      <c r="XX238" s="17"/>
      <c r="XY238" s="17"/>
      <c r="XZ238" s="17"/>
      <c r="YA238" s="17"/>
      <c r="YB238" s="17"/>
      <c r="YC238" s="17"/>
      <c r="YD238" s="17"/>
      <c r="YE238" s="17"/>
      <c r="YF238" s="17"/>
      <c r="YG238" s="17"/>
      <c r="YH238" s="17"/>
      <c r="YI238" s="17"/>
      <c r="YJ238" s="17"/>
      <c r="YK238" s="17"/>
      <c r="YL238" s="17"/>
      <c r="YM238" s="17"/>
      <c r="YN238" s="17"/>
      <c r="YO238" s="17"/>
      <c r="YP238" s="17"/>
      <c r="YQ238" s="17"/>
      <c r="YR238" s="17"/>
      <c r="YS238" s="17"/>
    </row>
    <row r="239" spans="266:669" x14ac:dyDescent="0.25">
      <c r="JF239" s="17"/>
      <c r="JG239" s="17"/>
      <c r="JH239" s="17"/>
      <c r="JI239" s="17"/>
      <c r="JJ239" s="17"/>
      <c r="JK239" s="17"/>
      <c r="JL239" s="17"/>
      <c r="JM239" s="17"/>
      <c r="JN239" s="17"/>
      <c r="JO239" s="17"/>
      <c r="JP239" s="17"/>
      <c r="JQ239" s="17"/>
      <c r="JR239" s="17"/>
      <c r="JS239" s="17"/>
      <c r="JT239" s="17"/>
      <c r="JU239" s="17"/>
      <c r="JV239" s="17"/>
      <c r="JW239" s="17"/>
      <c r="JX239" s="17"/>
      <c r="JY239" s="17"/>
      <c r="JZ239" s="17"/>
      <c r="KA239" s="17"/>
      <c r="KB239" s="17"/>
      <c r="KC239" s="17"/>
      <c r="KD239" s="17"/>
      <c r="KE239" s="17"/>
      <c r="KF239" s="17"/>
      <c r="KG239" s="17"/>
      <c r="KH239" s="17"/>
      <c r="KI239" s="17"/>
      <c r="KJ239" s="17"/>
      <c r="KK239" s="17"/>
      <c r="KL239" s="17"/>
      <c r="KM239" s="17"/>
      <c r="KN239" s="17"/>
      <c r="KO239" s="17"/>
      <c r="KP239" s="17"/>
      <c r="KQ239" s="17"/>
      <c r="KR239" s="17"/>
      <c r="KS239" s="17"/>
      <c r="KT239" s="17"/>
      <c r="KU239" s="17"/>
      <c r="KV239" s="17"/>
      <c r="KW239" s="17"/>
      <c r="KX239" s="17"/>
      <c r="KY239" s="17"/>
      <c r="KZ239" s="17"/>
      <c r="LA239" s="17"/>
      <c r="LB239" s="17"/>
      <c r="LC239" s="17"/>
      <c r="LD239" s="17"/>
      <c r="LE239" s="17"/>
      <c r="LF239" s="17"/>
      <c r="LG239" s="17"/>
      <c r="LH239" s="17"/>
      <c r="LI239" s="17"/>
      <c r="LJ239" s="17"/>
      <c r="LK239" s="17"/>
      <c r="LL239" s="17"/>
      <c r="LM239" s="17"/>
      <c r="LN239" s="17"/>
      <c r="LO239" s="17"/>
      <c r="LP239" s="17"/>
      <c r="LQ239" s="17"/>
      <c r="LR239" s="17"/>
      <c r="LS239" s="17"/>
      <c r="LT239" s="17"/>
      <c r="LU239" s="17"/>
      <c r="LV239" s="17"/>
      <c r="LW239" s="17"/>
      <c r="LX239" s="17"/>
      <c r="LY239" s="17"/>
      <c r="LZ239" s="17"/>
      <c r="MA239" s="17"/>
      <c r="MB239" s="17"/>
      <c r="MC239" s="17"/>
      <c r="MD239" s="17"/>
      <c r="ME239" s="17"/>
      <c r="MF239" s="17"/>
      <c r="MG239" s="17"/>
      <c r="MH239" s="17"/>
      <c r="MI239" s="17"/>
      <c r="MJ239" s="17"/>
      <c r="MK239" s="17"/>
      <c r="ML239" s="17"/>
      <c r="MM239" s="17"/>
      <c r="MN239" s="17"/>
      <c r="MO239" s="17"/>
      <c r="MP239" s="17"/>
      <c r="MQ239" s="17"/>
      <c r="MR239" s="17"/>
      <c r="MS239" s="17"/>
      <c r="MT239" s="17"/>
      <c r="MU239" s="17"/>
      <c r="MV239" s="17"/>
      <c r="MW239" s="17"/>
      <c r="MX239" s="17"/>
      <c r="MY239" s="17"/>
      <c r="MZ239" s="17"/>
      <c r="NA239" s="17"/>
      <c r="NB239" s="17"/>
      <c r="NC239" s="17"/>
      <c r="ND239" s="17"/>
      <c r="NE239" s="17"/>
      <c r="NF239" s="17"/>
      <c r="NG239" s="17"/>
      <c r="NH239" s="17"/>
      <c r="NI239" s="17"/>
      <c r="NJ239" s="17"/>
      <c r="NK239" s="17"/>
      <c r="NL239" s="17"/>
      <c r="NM239" s="17"/>
      <c r="NN239" s="17"/>
      <c r="NO239" s="17"/>
      <c r="NP239" s="17"/>
      <c r="NQ239" s="17"/>
      <c r="NR239" s="17"/>
      <c r="NS239" s="17"/>
      <c r="NT239" s="17"/>
      <c r="NU239" s="17"/>
      <c r="NV239" s="17"/>
      <c r="NW239" s="17"/>
      <c r="NX239" s="17"/>
      <c r="NY239" s="17"/>
      <c r="NZ239" s="17"/>
      <c r="OA239" s="17"/>
      <c r="OB239" s="17"/>
      <c r="OC239" s="17"/>
      <c r="OD239" s="17"/>
      <c r="OE239" s="17"/>
      <c r="OF239" s="17"/>
      <c r="OG239" s="17"/>
      <c r="OH239" s="17"/>
      <c r="OI239" s="17"/>
      <c r="OJ239" s="17"/>
      <c r="OK239" s="17"/>
      <c r="OL239" s="17"/>
      <c r="OM239" s="17"/>
      <c r="ON239" s="17"/>
      <c r="OO239" s="17"/>
      <c r="OP239" s="17"/>
      <c r="OQ239" s="17"/>
      <c r="OR239" s="17"/>
      <c r="OS239" s="17"/>
      <c r="OT239" s="17"/>
      <c r="OU239" s="17"/>
      <c r="OV239" s="17"/>
      <c r="OW239" s="17"/>
      <c r="OX239" s="17"/>
      <c r="OY239" s="17"/>
      <c r="OZ239" s="17"/>
      <c r="PA239" s="17"/>
      <c r="PB239" s="17"/>
      <c r="PC239" s="17"/>
      <c r="PD239" s="17"/>
      <c r="PE239" s="17"/>
      <c r="PF239" s="17"/>
      <c r="PG239" s="17"/>
      <c r="PH239" s="17"/>
      <c r="PI239" s="17"/>
      <c r="PJ239" s="17"/>
      <c r="PK239" s="17"/>
      <c r="PL239" s="17"/>
      <c r="PM239" s="17"/>
      <c r="PN239" s="17"/>
      <c r="PO239" s="17"/>
      <c r="PP239" s="17"/>
      <c r="PQ239" s="17"/>
      <c r="PR239" s="17"/>
      <c r="PS239" s="17"/>
      <c r="PT239" s="17"/>
      <c r="PU239" s="17"/>
      <c r="PV239" s="17"/>
      <c r="PW239" s="17"/>
      <c r="PX239" s="17"/>
      <c r="PY239" s="17"/>
      <c r="PZ239" s="17"/>
      <c r="QA239" s="17"/>
      <c r="QB239" s="17"/>
      <c r="QC239" s="17"/>
      <c r="QD239" s="17"/>
      <c r="QE239" s="17"/>
      <c r="QF239" s="17"/>
      <c r="QG239" s="17"/>
      <c r="QH239" s="17"/>
      <c r="QI239" s="17"/>
      <c r="QJ239" s="17"/>
      <c r="QK239" s="17"/>
      <c r="QL239" s="17"/>
      <c r="QM239" s="17"/>
      <c r="QN239" s="17"/>
      <c r="QO239" s="17"/>
      <c r="QP239" s="17"/>
      <c r="QQ239" s="17"/>
      <c r="QR239" s="17"/>
      <c r="QS239" s="17"/>
      <c r="QT239" s="17"/>
      <c r="QU239" s="17"/>
      <c r="QV239" s="17"/>
      <c r="QW239" s="17"/>
      <c r="QX239" s="17"/>
      <c r="QY239" s="17"/>
      <c r="QZ239" s="17"/>
      <c r="RA239" s="17"/>
      <c r="RB239" s="17"/>
      <c r="RC239" s="17"/>
      <c r="RD239" s="17"/>
      <c r="RE239" s="17"/>
      <c r="RF239" s="17"/>
      <c r="RG239" s="17"/>
      <c r="RH239" s="17"/>
      <c r="RI239" s="17"/>
      <c r="RJ239" s="17"/>
      <c r="RK239" s="17"/>
      <c r="RL239" s="17"/>
      <c r="RM239" s="17"/>
      <c r="RN239" s="17"/>
      <c r="RO239" s="17"/>
      <c r="RP239" s="17"/>
      <c r="RQ239" s="17"/>
      <c r="RR239" s="17"/>
      <c r="RS239" s="17"/>
      <c r="RT239" s="17"/>
      <c r="RU239" s="17"/>
      <c r="RV239" s="17"/>
      <c r="RW239" s="17"/>
      <c r="RX239" s="17"/>
      <c r="RY239" s="17"/>
      <c r="RZ239" s="17"/>
      <c r="SA239" s="17"/>
      <c r="SB239" s="17"/>
      <c r="SC239" s="17"/>
      <c r="SD239" s="17"/>
      <c r="SE239" s="17"/>
      <c r="SF239" s="17"/>
      <c r="SG239" s="17"/>
      <c r="SH239" s="17"/>
      <c r="SI239" s="17"/>
      <c r="SJ239" s="17"/>
      <c r="SK239" s="17"/>
      <c r="SL239" s="17"/>
      <c r="SM239" s="17"/>
      <c r="SN239" s="17"/>
      <c r="SO239" s="17"/>
      <c r="SP239" s="17"/>
      <c r="SQ239" s="17"/>
      <c r="SR239" s="17"/>
      <c r="SS239" s="17"/>
      <c r="ST239" s="17"/>
      <c r="SU239" s="17"/>
      <c r="SV239" s="17"/>
      <c r="SW239" s="17"/>
      <c r="SX239" s="17"/>
      <c r="SY239" s="17"/>
      <c r="SZ239" s="17"/>
      <c r="TA239" s="17"/>
      <c r="TB239" s="17"/>
      <c r="TC239" s="17"/>
      <c r="TD239" s="17"/>
      <c r="TE239" s="17"/>
      <c r="TF239" s="17"/>
      <c r="TG239" s="17"/>
      <c r="TH239" s="17"/>
      <c r="TI239" s="17"/>
      <c r="TJ239" s="17"/>
      <c r="TK239" s="17"/>
      <c r="TL239" s="17"/>
      <c r="TM239" s="17"/>
      <c r="TN239" s="17"/>
      <c r="TO239" s="17"/>
      <c r="TP239" s="17"/>
      <c r="TQ239" s="17"/>
      <c r="TR239" s="17"/>
      <c r="TS239" s="17"/>
      <c r="TT239" s="17"/>
      <c r="TU239" s="17"/>
      <c r="TV239" s="17"/>
      <c r="TW239" s="17"/>
      <c r="TX239" s="17"/>
      <c r="TY239" s="17"/>
      <c r="TZ239" s="17"/>
      <c r="UA239" s="17"/>
      <c r="UB239" s="17"/>
      <c r="UC239" s="17"/>
      <c r="UD239" s="17"/>
      <c r="UE239" s="17"/>
      <c r="UF239" s="17"/>
      <c r="UG239" s="17"/>
      <c r="UH239" s="17"/>
      <c r="UI239" s="17"/>
      <c r="UJ239" s="17"/>
      <c r="UK239" s="17"/>
      <c r="UL239" s="17"/>
      <c r="UM239" s="17"/>
      <c r="UN239" s="17"/>
      <c r="UO239" s="17"/>
      <c r="UP239" s="17"/>
      <c r="UQ239" s="17"/>
      <c r="UR239" s="17"/>
      <c r="US239" s="17"/>
      <c r="UT239" s="17"/>
      <c r="UU239" s="17"/>
      <c r="UV239" s="17"/>
      <c r="UW239" s="17"/>
      <c r="UX239" s="17"/>
      <c r="UY239" s="17"/>
      <c r="UZ239" s="17"/>
      <c r="VA239" s="17"/>
      <c r="VB239" s="17"/>
      <c r="VC239" s="17"/>
      <c r="VD239" s="17"/>
      <c r="VE239" s="17"/>
      <c r="VF239" s="17"/>
      <c r="VG239" s="17"/>
      <c r="VH239" s="17"/>
      <c r="VI239" s="17"/>
      <c r="VJ239" s="17"/>
      <c r="VK239" s="17"/>
      <c r="VL239" s="17"/>
      <c r="VM239" s="17"/>
      <c r="VN239" s="17"/>
      <c r="VO239" s="17"/>
      <c r="VP239" s="17"/>
      <c r="VQ239" s="17"/>
      <c r="VR239" s="17"/>
      <c r="VS239" s="17"/>
      <c r="VT239" s="17"/>
      <c r="VU239" s="17"/>
      <c r="VV239" s="17"/>
      <c r="VW239" s="17"/>
      <c r="VX239" s="17"/>
      <c r="VY239" s="17"/>
      <c r="VZ239" s="17"/>
      <c r="WA239" s="17"/>
      <c r="WB239" s="17"/>
      <c r="WC239" s="17"/>
      <c r="WD239" s="17"/>
      <c r="WE239" s="17"/>
      <c r="WF239" s="17"/>
      <c r="WG239" s="17"/>
      <c r="WH239" s="17"/>
      <c r="WI239" s="17"/>
      <c r="WJ239" s="17"/>
      <c r="WK239" s="17"/>
      <c r="WL239" s="17"/>
      <c r="WM239" s="17"/>
      <c r="WN239" s="17"/>
      <c r="WO239" s="17"/>
      <c r="WP239" s="17"/>
      <c r="WQ239" s="17"/>
      <c r="WR239" s="17"/>
      <c r="WS239" s="17"/>
      <c r="WT239" s="17"/>
      <c r="WU239" s="17"/>
      <c r="WV239" s="17"/>
      <c r="WW239" s="17"/>
      <c r="WX239" s="17"/>
      <c r="WY239" s="17"/>
      <c r="WZ239" s="17"/>
      <c r="XA239" s="17"/>
      <c r="XB239" s="17"/>
      <c r="XC239" s="17"/>
      <c r="XD239" s="17"/>
      <c r="XE239" s="17"/>
      <c r="XF239" s="17"/>
      <c r="XG239" s="17"/>
      <c r="XH239" s="17"/>
      <c r="XI239" s="17"/>
      <c r="XJ239" s="17"/>
      <c r="XK239" s="17"/>
      <c r="XL239" s="17"/>
      <c r="XM239" s="17"/>
      <c r="XN239" s="17"/>
      <c r="XO239" s="17"/>
      <c r="XP239" s="17"/>
      <c r="XQ239" s="17"/>
      <c r="XR239" s="17"/>
      <c r="XS239" s="17"/>
      <c r="XT239" s="17"/>
      <c r="XU239" s="17"/>
      <c r="XV239" s="17"/>
      <c r="XW239" s="17"/>
      <c r="XX239" s="17"/>
      <c r="XY239" s="17"/>
      <c r="XZ239" s="17"/>
      <c r="YA239" s="17"/>
      <c r="YB239" s="17"/>
      <c r="YC239" s="17"/>
      <c r="YD239" s="17"/>
      <c r="YE239" s="17"/>
      <c r="YF239" s="17"/>
      <c r="YG239" s="17"/>
      <c r="YH239" s="17"/>
      <c r="YI239" s="17"/>
      <c r="YJ239" s="17"/>
      <c r="YK239" s="17"/>
      <c r="YL239" s="17"/>
      <c r="YM239" s="17"/>
      <c r="YN239" s="17"/>
      <c r="YO239" s="17"/>
      <c r="YP239" s="17"/>
      <c r="YQ239" s="17"/>
      <c r="YR239" s="17"/>
      <c r="YS239" s="17"/>
    </row>
    <row r="240" spans="266:669" x14ac:dyDescent="0.25">
      <c r="JF240" s="17"/>
      <c r="JG240" s="17"/>
      <c r="JH240" s="17"/>
      <c r="JI240" s="17"/>
      <c r="JJ240" s="17"/>
      <c r="JK240" s="17"/>
      <c r="JL240" s="17"/>
      <c r="JM240" s="17"/>
      <c r="JN240" s="17"/>
      <c r="JO240" s="17"/>
      <c r="JP240" s="17"/>
      <c r="JQ240" s="17"/>
      <c r="JR240" s="17"/>
      <c r="JS240" s="17"/>
      <c r="JT240" s="17"/>
      <c r="JU240" s="17"/>
      <c r="JV240" s="17"/>
      <c r="JW240" s="17"/>
      <c r="JX240" s="17"/>
      <c r="JY240" s="17"/>
      <c r="JZ240" s="17"/>
      <c r="KA240" s="17"/>
      <c r="KB240" s="17"/>
      <c r="KC240" s="17"/>
      <c r="KD240" s="17"/>
      <c r="KE240" s="17"/>
      <c r="KF240" s="17"/>
      <c r="KG240" s="17"/>
      <c r="KH240" s="17"/>
      <c r="KI240" s="17"/>
      <c r="KJ240" s="17"/>
      <c r="KK240" s="17"/>
      <c r="KL240" s="17"/>
      <c r="KM240" s="17"/>
      <c r="KN240" s="17"/>
      <c r="KO240" s="17"/>
      <c r="KP240" s="17"/>
      <c r="KQ240" s="17"/>
      <c r="KR240" s="17"/>
      <c r="KS240" s="17"/>
      <c r="KT240" s="17"/>
      <c r="KU240" s="17"/>
      <c r="KV240" s="17"/>
      <c r="KW240" s="17"/>
      <c r="KX240" s="17"/>
      <c r="KY240" s="17"/>
      <c r="KZ240" s="17"/>
      <c r="LA240" s="17"/>
      <c r="LB240" s="17"/>
      <c r="LC240" s="17"/>
      <c r="LD240" s="17"/>
      <c r="LE240" s="17"/>
      <c r="LF240" s="17"/>
      <c r="LG240" s="17"/>
      <c r="LH240" s="17"/>
      <c r="LI240" s="17"/>
      <c r="LJ240" s="17"/>
      <c r="LK240" s="17"/>
      <c r="LL240" s="17"/>
      <c r="LM240" s="17"/>
      <c r="LN240" s="17"/>
      <c r="LO240" s="17"/>
      <c r="LP240" s="17"/>
      <c r="LQ240" s="17"/>
      <c r="LR240" s="17"/>
      <c r="LS240" s="17"/>
      <c r="LT240" s="17"/>
      <c r="LU240" s="17"/>
      <c r="LV240" s="17"/>
      <c r="LW240" s="17"/>
      <c r="LX240" s="17"/>
      <c r="LY240" s="17"/>
      <c r="LZ240" s="17"/>
      <c r="MA240" s="17"/>
      <c r="MB240" s="17"/>
      <c r="MC240" s="17"/>
      <c r="MD240" s="17"/>
      <c r="ME240" s="17"/>
      <c r="MF240" s="17"/>
      <c r="MG240" s="17"/>
      <c r="MH240" s="17"/>
      <c r="MI240" s="17"/>
      <c r="MJ240" s="17"/>
      <c r="MK240" s="17"/>
      <c r="ML240" s="17"/>
      <c r="MM240" s="17"/>
      <c r="MN240" s="17"/>
      <c r="MO240" s="17"/>
      <c r="MP240" s="17"/>
      <c r="MQ240" s="17"/>
      <c r="MR240" s="17"/>
      <c r="MS240" s="17"/>
      <c r="MT240" s="17"/>
      <c r="MU240" s="17"/>
      <c r="MV240" s="17"/>
      <c r="MW240" s="17"/>
      <c r="MX240" s="17"/>
      <c r="MY240" s="17"/>
      <c r="MZ240" s="17"/>
      <c r="NA240" s="17"/>
      <c r="NB240" s="17"/>
      <c r="NC240" s="17"/>
      <c r="ND240" s="17"/>
      <c r="NE240" s="17"/>
      <c r="NF240" s="17"/>
      <c r="NG240" s="17"/>
      <c r="NH240" s="17"/>
      <c r="NI240" s="17"/>
      <c r="NJ240" s="17"/>
      <c r="NK240" s="17"/>
      <c r="NL240" s="17"/>
      <c r="NM240" s="17"/>
      <c r="NN240" s="17"/>
      <c r="NO240" s="17"/>
      <c r="NP240" s="17"/>
      <c r="NQ240" s="17"/>
      <c r="NR240" s="17"/>
      <c r="NS240" s="17"/>
      <c r="NT240" s="17"/>
      <c r="NU240" s="17"/>
      <c r="NV240" s="17"/>
      <c r="NW240" s="17"/>
      <c r="NX240" s="17"/>
      <c r="NY240" s="17"/>
      <c r="NZ240" s="17"/>
      <c r="OA240" s="17"/>
      <c r="OB240" s="17"/>
      <c r="OC240" s="17"/>
      <c r="OD240" s="17"/>
      <c r="OE240" s="17"/>
      <c r="OF240" s="17"/>
      <c r="OG240" s="17"/>
      <c r="OH240" s="17"/>
      <c r="OI240" s="17"/>
      <c r="OJ240" s="17"/>
      <c r="OK240" s="17"/>
      <c r="OL240" s="17"/>
      <c r="OM240" s="17"/>
      <c r="ON240" s="17"/>
      <c r="OO240" s="17"/>
      <c r="OP240" s="17"/>
      <c r="OQ240" s="17"/>
      <c r="OR240" s="17"/>
      <c r="OS240" s="17"/>
      <c r="OT240" s="17"/>
      <c r="OU240" s="17"/>
      <c r="OV240" s="17"/>
      <c r="OW240" s="17"/>
      <c r="OX240" s="17"/>
      <c r="OY240" s="17"/>
      <c r="OZ240" s="17"/>
      <c r="PA240" s="17"/>
      <c r="PB240" s="17"/>
      <c r="PC240" s="17"/>
      <c r="PD240" s="17"/>
      <c r="PE240" s="17"/>
      <c r="PF240" s="17"/>
      <c r="PG240" s="17"/>
      <c r="PH240" s="17"/>
      <c r="PI240" s="17"/>
      <c r="PJ240" s="17"/>
      <c r="PK240" s="17"/>
      <c r="PL240" s="17"/>
      <c r="PM240" s="17"/>
      <c r="PN240" s="17"/>
      <c r="PO240" s="17"/>
      <c r="PP240" s="17"/>
      <c r="PQ240" s="17"/>
      <c r="PR240" s="17"/>
      <c r="PS240" s="17"/>
      <c r="PT240" s="17"/>
      <c r="PU240" s="17"/>
      <c r="PV240" s="17"/>
      <c r="PW240" s="17"/>
      <c r="PX240" s="17"/>
      <c r="PY240" s="17"/>
      <c r="PZ240" s="17"/>
      <c r="QA240" s="17"/>
      <c r="QB240" s="17"/>
      <c r="QC240" s="17"/>
      <c r="QD240" s="17"/>
      <c r="QE240" s="17"/>
      <c r="QF240" s="17"/>
      <c r="QG240" s="17"/>
      <c r="QH240" s="17"/>
      <c r="QI240" s="17"/>
      <c r="QJ240" s="17"/>
      <c r="QK240" s="17"/>
      <c r="QL240" s="17"/>
      <c r="QM240" s="17"/>
      <c r="QN240" s="17"/>
      <c r="QO240" s="17"/>
      <c r="QP240" s="17"/>
      <c r="QQ240" s="17"/>
      <c r="QR240" s="17"/>
      <c r="QS240" s="17"/>
      <c r="QT240" s="17"/>
      <c r="QU240" s="17"/>
      <c r="QV240" s="17"/>
      <c r="QW240" s="17"/>
      <c r="QX240" s="17"/>
      <c r="QY240" s="17"/>
      <c r="QZ240" s="17"/>
      <c r="RA240" s="17"/>
      <c r="RB240" s="17"/>
      <c r="RC240" s="17"/>
      <c r="RD240" s="17"/>
      <c r="RE240" s="17"/>
      <c r="RF240" s="17"/>
      <c r="RG240" s="17"/>
      <c r="RH240" s="17"/>
      <c r="RI240" s="17"/>
      <c r="RJ240" s="17"/>
      <c r="RK240" s="17"/>
      <c r="RL240" s="17"/>
      <c r="RM240" s="17"/>
      <c r="RN240" s="17"/>
      <c r="RO240" s="17"/>
      <c r="RP240" s="17"/>
      <c r="RQ240" s="17"/>
      <c r="RR240" s="17"/>
      <c r="RS240" s="17"/>
      <c r="RT240" s="17"/>
      <c r="RU240" s="17"/>
      <c r="RV240" s="17"/>
      <c r="RW240" s="17"/>
      <c r="RX240" s="17"/>
      <c r="RY240" s="17"/>
      <c r="RZ240" s="17"/>
      <c r="SA240" s="17"/>
      <c r="SB240" s="17"/>
      <c r="SC240" s="17"/>
      <c r="SD240" s="17"/>
      <c r="SE240" s="17"/>
      <c r="SF240" s="17"/>
      <c r="SG240" s="17"/>
      <c r="SH240" s="17"/>
      <c r="SI240" s="17"/>
      <c r="SJ240" s="17"/>
      <c r="SK240" s="17"/>
      <c r="SL240" s="17"/>
      <c r="SM240" s="17"/>
      <c r="SN240" s="17"/>
      <c r="SO240" s="17"/>
      <c r="SP240" s="17"/>
      <c r="SQ240" s="17"/>
      <c r="SR240" s="17"/>
      <c r="SS240" s="17"/>
      <c r="ST240" s="17"/>
      <c r="SU240" s="17"/>
      <c r="SV240" s="17"/>
      <c r="SW240" s="17"/>
      <c r="SX240" s="17"/>
      <c r="SY240" s="17"/>
      <c r="SZ240" s="17"/>
      <c r="TA240" s="17"/>
      <c r="TB240" s="17"/>
      <c r="TC240" s="17"/>
      <c r="TD240" s="17"/>
      <c r="TE240" s="17"/>
      <c r="TF240" s="17"/>
      <c r="TG240" s="17"/>
      <c r="TH240" s="17"/>
      <c r="TI240" s="17"/>
      <c r="TJ240" s="17"/>
      <c r="TK240" s="17"/>
      <c r="TL240" s="17"/>
      <c r="TM240" s="17"/>
      <c r="TN240" s="17"/>
      <c r="TO240" s="17"/>
      <c r="TP240" s="17"/>
      <c r="TQ240" s="17"/>
      <c r="TR240" s="17"/>
      <c r="TS240" s="17"/>
      <c r="TT240" s="17"/>
      <c r="TU240" s="17"/>
      <c r="TV240" s="17"/>
      <c r="TW240" s="17"/>
      <c r="TX240" s="17"/>
      <c r="TY240" s="17"/>
      <c r="TZ240" s="17"/>
      <c r="UA240" s="17"/>
      <c r="UB240" s="17"/>
      <c r="UC240" s="17"/>
      <c r="UD240" s="17"/>
      <c r="UE240" s="17"/>
      <c r="UF240" s="17"/>
      <c r="UG240" s="17"/>
      <c r="UH240" s="17"/>
      <c r="UI240" s="17"/>
      <c r="UJ240" s="17"/>
      <c r="UK240" s="17"/>
      <c r="UL240" s="17"/>
      <c r="UM240" s="17"/>
      <c r="UN240" s="17"/>
      <c r="UO240" s="17"/>
      <c r="UP240" s="17"/>
      <c r="UQ240" s="17"/>
      <c r="UR240" s="17"/>
      <c r="US240" s="17"/>
      <c r="UT240" s="17"/>
      <c r="UU240" s="17"/>
      <c r="UV240" s="17"/>
      <c r="UW240" s="17"/>
      <c r="UX240" s="17"/>
      <c r="UY240" s="17"/>
      <c r="UZ240" s="17"/>
      <c r="VA240" s="17"/>
      <c r="VB240" s="17"/>
      <c r="VC240" s="17"/>
      <c r="VD240" s="17"/>
      <c r="VE240" s="17"/>
      <c r="VF240" s="17"/>
      <c r="VG240" s="17"/>
      <c r="VH240" s="17"/>
      <c r="VI240" s="17"/>
      <c r="VJ240" s="17"/>
      <c r="VK240" s="17"/>
      <c r="VL240" s="17"/>
      <c r="VM240" s="17"/>
      <c r="VN240" s="17"/>
      <c r="VO240" s="17"/>
      <c r="VP240" s="17"/>
      <c r="VQ240" s="17"/>
      <c r="VR240" s="17"/>
      <c r="VS240" s="17"/>
      <c r="VT240" s="17"/>
      <c r="VU240" s="17"/>
      <c r="VV240" s="17"/>
      <c r="VW240" s="17"/>
      <c r="VX240" s="17"/>
      <c r="VY240" s="17"/>
      <c r="VZ240" s="17"/>
      <c r="WA240" s="17"/>
      <c r="WB240" s="17"/>
      <c r="WC240" s="17"/>
      <c r="WD240" s="17"/>
      <c r="WE240" s="17"/>
      <c r="WF240" s="17"/>
      <c r="WG240" s="17"/>
      <c r="WH240" s="17"/>
      <c r="WI240" s="17"/>
      <c r="WJ240" s="17"/>
      <c r="WK240" s="17"/>
      <c r="WL240" s="17"/>
      <c r="WM240" s="17"/>
      <c r="WN240" s="17"/>
      <c r="WO240" s="17"/>
      <c r="WP240" s="17"/>
      <c r="WQ240" s="17"/>
      <c r="WR240" s="17"/>
      <c r="WS240" s="17"/>
      <c r="WT240" s="17"/>
      <c r="WU240" s="17"/>
      <c r="WV240" s="17"/>
      <c r="WW240" s="17"/>
      <c r="WX240" s="17"/>
      <c r="WY240" s="17"/>
      <c r="WZ240" s="17"/>
      <c r="XA240" s="17"/>
      <c r="XB240" s="17"/>
      <c r="XC240" s="17"/>
      <c r="XD240" s="17"/>
      <c r="XE240" s="17"/>
      <c r="XF240" s="17"/>
      <c r="XG240" s="17"/>
      <c r="XH240" s="17"/>
      <c r="XI240" s="17"/>
      <c r="XJ240" s="17"/>
      <c r="XK240" s="17"/>
      <c r="XL240" s="17"/>
      <c r="XM240" s="17"/>
      <c r="XN240" s="17"/>
      <c r="XO240" s="17"/>
      <c r="XP240" s="17"/>
      <c r="XQ240" s="17"/>
      <c r="XR240" s="17"/>
      <c r="XS240" s="17"/>
      <c r="XT240" s="17"/>
      <c r="XU240" s="17"/>
      <c r="XV240" s="17"/>
      <c r="XW240" s="17"/>
      <c r="XX240" s="17"/>
      <c r="XY240" s="17"/>
      <c r="XZ240" s="17"/>
      <c r="YA240" s="17"/>
      <c r="YB240" s="17"/>
      <c r="YC240" s="17"/>
      <c r="YD240" s="17"/>
      <c r="YE240" s="17"/>
      <c r="YF240" s="17"/>
      <c r="YG240" s="17"/>
      <c r="YH240" s="17"/>
      <c r="YI240" s="17"/>
      <c r="YJ240" s="17"/>
      <c r="YK240" s="17"/>
      <c r="YL240" s="17"/>
      <c r="YM240" s="17"/>
      <c r="YN240" s="17"/>
      <c r="YO240" s="17"/>
      <c r="YP240" s="17"/>
      <c r="YQ240" s="17"/>
      <c r="YR240" s="17"/>
      <c r="YS240" s="17"/>
    </row>
    <row r="241" spans="266:669" x14ac:dyDescent="0.25">
      <c r="JF241" s="17"/>
      <c r="JG241" s="17"/>
      <c r="JH241" s="17"/>
      <c r="JI241" s="17"/>
      <c r="JJ241" s="17"/>
      <c r="JK241" s="17"/>
      <c r="JL241" s="17"/>
      <c r="JM241" s="17"/>
      <c r="JN241" s="17"/>
      <c r="JO241" s="17"/>
      <c r="JP241" s="17"/>
      <c r="JQ241" s="17"/>
      <c r="JR241" s="17"/>
      <c r="JS241" s="17"/>
      <c r="JT241" s="17"/>
      <c r="JU241" s="17"/>
      <c r="JV241" s="17"/>
      <c r="JW241" s="17"/>
      <c r="JX241" s="17"/>
      <c r="JY241" s="17"/>
      <c r="JZ241" s="17"/>
      <c r="KA241" s="17"/>
      <c r="KB241" s="17"/>
      <c r="KC241" s="17"/>
      <c r="KD241" s="17"/>
      <c r="KE241" s="17"/>
      <c r="KF241" s="17"/>
      <c r="KG241" s="17"/>
      <c r="KH241" s="17"/>
      <c r="KI241" s="17"/>
      <c r="KJ241" s="17"/>
      <c r="KK241" s="17"/>
      <c r="KL241" s="17"/>
      <c r="KM241" s="17"/>
      <c r="KN241" s="17"/>
      <c r="KO241" s="17"/>
      <c r="KP241" s="17"/>
      <c r="KQ241" s="17"/>
      <c r="KR241" s="17"/>
      <c r="KS241" s="17"/>
      <c r="KT241" s="17"/>
      <c r="KU241" s="17"/>
      <c r="KV241" s="17"/>
      <c r="KW241" s="17"/>
      <c r="KX241" s="17"/>
      <c r="KY241" s="17"/>
      <c r="KZ241" s="17"/>
      <c r="LA241" s="17"/>
      <c r="LB241" s="17"/>
      <c r="LC241" s="17"/>
      <c r="LD241" s="17"/>
      <c r="LE241" s="17"/>
      <c r="LF241" s="17"/>
      <c r="LG241" s="17"/>
      <c r="LH241" s="17"/>
      <c r="LI241" s="17"/>
      <c r="LJ241" s="17"/>
      <c r="LK241" s="17"/>
      <c r="LL241" s="17"/>
      <c r="LM241" s="17"/>
      <c r="LN241" s="17"/>
      <c r="LO241" s="17"/>
      <c r="LP241" s="17"/>
      <c r="LQ241" s="17"/>
      <c r="LR241" s="17"/>
      <c r="LS241" s="17"/>
      <c r="LT241" s="17"/>
      <c r="LU241" s="17"/>
      <c r="LV241" s="17"/>
      <c r="LW241" s="17"/>
      <c r="LX241" s="17"/>
      <c r="LY241" s="17"/>
      <c r="LZ241" s="17"/>
      <c r="MA241" s="17"/>
      <c r="MB241" s="17"/>
      <c r="MC241" s="17"/>
      <c r="MD241" s="17"/>
      <c r="ME241" s="17"/>
      <c r="MF241" s="17"/>
      <c r="MG241" s="17"/>
      <c r="MH241" s="17"/>
      <c r="MI241" s="17"/>
      <c r="MJ241" s="17"/>
      <c r="MK241" s="17"/>
      <c r="ML241" s="17"/>
      <c r="MM241" s="17"/>
      <c r="MN241" s="17"/>
      <c r="MO241" s="17"/>
      <c r="MP241" s="17"/>
      <c r="MQ241" s="17"/>
      <c r="MR241" s="17"/>
      <c r="MS241" s="17"/>
      <c r="MT241" s="17"/>
      <c r="MU241" s="17"/>
      <c r="MV241" s="17"/>
      <c r="MW241" s="17"/>
      <c r="MX241" s="17"/>
      <c r="MY241" s="17"/>
      <c r="MZ241" s="17"/>
      <c r="NA241" s="17"/>
      <c r="NB241" s="17"/>
      <c r="NC241" s="17"/>
      <c r="ND241" s="17"/>
      <c r="NE241" s="17"/>
      <c r="NF241" s="17"/>
      <c r="NG241" s="17"/>
      <c r="NH241" s="17"/>
      <c r="NI241" s="17"/>
      <c r="NJ241" s="17"/>
      <c r="NK241" s="17"/>
      <c r="NL241" s="17"/>
      <c r="NM241" s="17"/>
      <c r="NN241" s="17"/>
      <c r="NO241" s="17"/>
      <c r="NP241" s="17"/>
      <c r="NQ241" s="17"/>
      <c r="NR241" s="17"/>
      <c r="NS241" s="17"/>
      <c r="NT241" s="17"/>
      <c r="NU241" s="17"/>
      <c r="NV241" s="17"/>
      <c r="NW241" s="17"/>
      <c r="NX241" s="17"/>
      <c r="NY241" s="17"/>
      <c r="NZ241" s="17"/>
      <c r="OA241" s="17"/>
      <c r="OB241" s="17"/>
      <c r="OC241" s="17"/>
      <c r="OD241" s="17"/>
      <c r="OE241" s="17"/>
      <c r="OF241" s="17"/>
      <c r="OG241" s="17"/>
      <c r="OH241" s="17"/>
      <c r="OI241" s="17"/>
      <c r="OJ241" s="17"/>
      <c r="OK241" s="17"/>
      <c r="OL241" s="17"/>
      <c r="OM241" s="17"/>
      <c r="ON241" s="17"/>
      <c r="OO241" s="17"/>
      <c r="OP241" s="17"/>
      <c r="OQ241" s="17"/>
      <c r="OR241" s="17"/>
      <c r="OS241" s="17"/>
      <c r="OT241" s="17"/>
      <c r="OU241" s="17"/>
      <c r="OV241" s="17"/>
      <c r="OW241" s="17"/>
      <c r="OX241" s="17"/>
      <c r="OY241" s="17"/>
      <c r="OZ241" s="17"/>
      <c r="PA241" s="17"/>
      <c r="PB241" s="17"/>
      <c r="PC241" s="17"/>
      <c r="PD241" s="17"/>
      <c r="PE241" s="17"/>
      <c r="PF241" s="17"/>
      <c r="PG241" s="17"/>
      <c r="PH241" s="17"/>
      <c r="PI241" s="17"/>
      <c r="PJ241" s="17"/>
      <c r="PK241" s="17"/>
      <c r="PL241" s="17"/>
      <c r="PM241" s="17"/>
      <c r="PN241" s="17"/>
      <c r="PO241" s="17"/>
      <c r="PP241" s="17"/>
      <c r="PQ241" s="17"/>
      <c r="PR241" s="17"/>
      <c r="PS241" s="17"/>
      <c r="PT241" s="17"/>
      <c r="PU241" s="17"/>
      <c r="PV241" s="17"/>
      <c r="PW241" s="17"/>
      <c r="PX241" s="17"/>
      <c r="PY241" s="17"/>
      <c r="PZ241" s="17"/>
      <c r="QA241" s="17"/>
      <c r="QB241" s="17"/>
      <c r="QC241" s="17"/>
      <c r="QD241" s="17"/>
      <c r="QE241" s="17"/>
      <c r="QF241" s="17"/>
      <c r="QG241" s="17"/>
      <c r="QH241" s="17"/>
      <c r="QI241" s="17"/>
      <c r="QJ241" s="17"/>
      <c r="QK241" s="17"/>
      <c r="QL241" s="17"/>
      <c r="QM241" s="17"/>
      <c r="QN241" s="17"/>
      <c r="QO241" s="17"/>
      <c r="QP241" s="17"/>
      <c r="QQ241" s="17"/>
      <c r="QR241" s="17"/>
      <c r="QS241" s="17"/>
      <c r="QT241" s="17"/>
      <c r="QU241" s="17"/>
      <c r="QV241" s="17"/>
      <c r="QW241" s="17"/>
      <c r="QX241" s="17"/>
      <c r="QY241" s="17"/>
      <c r="QZ241" s="17"/>
      <c r="RA241" s="17"/>
      <c r="RB241" s="17"/>
      <c r="RC241" s="17"/>
      <c r="RD241" s="17"/>
      <c r="RE241" s="17"/>
      <c r="RF241" s="17"/>
      <c r="RG241" s="17"/>
      <c r="RH241" s="17"/>
      <c r="RI241" s="17"/>
      <c r="RJ241" s="17"/>
      <c r="RK241" s="17"/>
      <c r="RL241" s="17"/>
      <c r="RM241" s="17"/>
      <c r="RN241" s="17"/>
      <c r="RO241" s="17"/>
      <c r="RP241" s="17"/>
      <c r="RQ241" s="17"/>
      <c r="RR241" s="17"/>
      <c r="RS241" s="17"/>
      <c r="RT241" s="17"/>
      <c r="RU241" s="17"/>
      <c r="RV241" s="17"/>
      <c r="RW241" s="17"/>
      <c r="RX241" s="17"/>
      <c r="RY241" s="17"/>
      <c r="RZ241" s="17"/>
      <c r="SA241" s="17"/>
      <c r="SB241" s="17"/>
      <c r="SC241" s="17"/>
      <c r="SD241" s="17"/>
      <c r="SE241" s="17"/>
      <c r="SF241" s="17"/>
      <c r="SG241" s="17"/>
      <c r="SH241" s="17"/>
      <c r="SI241" s="17"/>
      <c r="SJ241" s="17"/>
      <c r="SK241" s="17"/>
      <c r="SL241" s="17"/>
      <c r="SM241" s="17"/>
      <c r="SN241" s="17"/>
      <c r="SO241" s="17"/>
      <c r="SP241" s="17"/>
      <c r="SQ241" s="17"/>
      <c r="SR241" s="17"/>
      <c r="SS241" s="17"/>
      <c r="ST241" s="17"/>
      <c r="SU241" s="17"/>
      <c r="SV241" s="17"/>
      <c r="SW241" s="17"/>
      <c r="SX241" s="17"/>
      <c r="SY241" s="17"/>
      <c r="SZ241" s="17"/>
      <c r="TA241" s="17"/>
      <c r="TB241" s="17"/>
      <c r="TC241" s="17"/>
      <c r="TD241" s="17"/>
      <c r="TE241" s="17"/>
      <c r="TF241" s="17"/>
      <c r="TG241" s="17"/>
      <c r="TH241" s="17"/>
      <c r="TI241" s="17"/>
      <c r="TJ241" s="17"/>
      <c r="TK241" s="17"/>
      <c r="TL241" s="17"/>
      <c r="TM241" s="17"/>
      <c r="TN241" s="17"/>
      <c r="TO241" s="17"/>
      <c r="TP241" s="17"/>
      <c r="TQ241" s="17"/>
      <c r="TR241" s="17"/>
      <c r="TS241" s="17"/>
      <c r="TT241" s="17"/>
      <c r="TU241" s="17"/>
      <c r="TV241" s="17"/>
      <c r="TW241" s="17"/>
      <c r="TX241" s="17"/>
      <c r="TY241" s="17"/>
      <c r="TZ241" s="17"/>
      <c r="UA241" s="17"/>
      <c r="UB241" s="17"/>
      <c r="UC241" s="17"/>
      <c r="UD241" s="17"/>
      <c r="UE241" s="17"/>
      <c r="UF241" s="17"/>
      <c r="UG241" s="17"/>
      <c r="UH241" s="17"/>
      <c r="UI241" s="17"/>
      <c r="UJ241" s="17"/>
      <c r="UK241" s="17"/>
      <c r="UL241" s="17"/>
      <c r="UM241" s="17"/>
      <c r="UN241" s="17"/>
      <c r="UO241" s="17"/>
      <c r="UP241" s="17"/>
      <c r="UQ241" s="17"/>
      <c r="UR241" s="17"/>
      <c r="US241" s="17"/>
      <c r="UT241" s="17"/>
      <c r="UU241" s="17"/>
      <c r="UV241" s="17"/>
      <c r="UW241" s="17"/>
      <c r="UX241" s="17"/>
      <c r="UY241" s="17"/>
      <c r="UZ241" s="17"/>
      <c r="VA241" s="17"/>
      <c r="VB241" s="17"/>
      <c r="VC241" s="17"/>
      <c r="VD241" s="17"/>
      <c r="VE241" s="17"/>
      <c r="VF241" s="17"/>
      <c r="VG241" s="17"/>
      <c r="VH241" s="17"/>
      <c r="VI241" s="17"/>
      <c r="VJ241" s="17"/>
      <c r="VK241" s="17"/>
      <c r="VL241" s="17"/>
      <c r="VM241" s="17"/>
      <c r="VN241" s="17"/>
      <c r="VO241" s="17"/>
      <c r="VP241" s="17"/>
      <c r="VQ241" s="17"/>
      <c r="VR241" s="17"/>
      <c r="VS241" s="17"/>
      <c r="VT241" s="17"/>
      <c r="VU241" s="17"/>
      <c r="VV241" s="17"/>
      <c r="VW241" s="17"/>
      <c r="VX241" s="17"/>
      <c r="VY241" s="17"/>
      <c r="VZ241" s="17"/>
      <c r="WA241" s="17"/>
      <c r="WB241" s="17"/>
      <c r="WC241" s="17"/>
      <c r="WD241" s="17"/>
      <c r="WE241" s="17"/>
      <c r="WF241" s="17"/>
      <c r="WG241" s="17"/>
      <c r="WH241" s="17"/>
      <c r="WI241" s="17"/>
      <c r="WJ241" s="17"/>
      <c r="WK241" s="17"/>
      <c r="WL241" s="17"/>
      <c r="WM241" s="17"/>
      <c r="WN241" s="17"/>
      <c r="WO241" s="17"/>
      <c r="WP241" s="17"/>
      <c r="WQ241" s="17"/>
      <c r="WR241" s="17"/>
      <c r="WS241" s="17"/>
      <c r="WT241" s="17"/>
      <c r="WU241" s="17"/>
      <c r="WV241" s="17"/>
      <c r="WW241" s="17"/>
      <c r="WX241" s="17"/>
      <c r="WY241" s="17"/>
      <c r="WZ241" s="17"/>
      <c r="XA241" s="17"/>
      <c r="XB241" s="17"/>
      <c r="XC241" s="17"/>
      <c r="XD241" s="17"/>
      <c r="XE241" s="17"/>
      <c r="XF241" s="17"/>
      <c r="XG241" s="17"/>
      <c r="XH241" s="17"/>
      <c r="XI241" s="17"/>
      <c r="XJ241" s="17"/>
      <c r="XK241" s="17"/>
      <c r="XL241" s="17"/>
      <c r="XM241" s="17"/>
      <c r="XN241" s="17"/>
      <c r="XO241" s="17"/>
      <c r="XP241" s="17"/>
      <c r="XQ241" s="17"/>
      <c r="XR241" s="17"/>
      <c r="XS241" s="17"/>
      <c r="XT241" s="17"/>
      <c r="XU241" s="17"/>
      <c r="XV241" s="17"/>
      <c r="XW241" s="17"/>
      <c r="XX241" s="17"/>
      <c r="XY241" s="17"/>
      <c r="XZ241" s="17"/>
      <c r="YA241" s="17"/>
      <c r="YB241" s="17"/>
      <c r="YC241" s="17"/>
      <c r="YD241" s="17"/>
      <c r="YE241" s="17"/>
      <c r="YF241" s="17"/>
      <c r="YG241" s="17"/>
      <c r="YH241" s="17"/>
      <c r="YI241" s="17"/>
      <c r="YJ241" s="17"/>
      <c r="YK241" s="17"/>
      <c r="YL241" s="17"/>
      <c r="YM241" s="17"/>
      <c r="YN241" s="17"/>
      <c r="YO241" s="17"/>
      <c r="YP241" s="17"/>
      <c r="YQ241" s="17"/>
      <c r="YR241" s="17"/>
      <c r="YS241" s="17"/>
    </row>
    <row r="242" spans="266:669" x14ac:dyDescent="0.25">
      <c r="JF242" s="17"/>
      <c r="JG242" s="17"/>
      <c r="JH242" s="17"/>
      <c r="JI242" s="17"/>
      <c r="JJ242" s="17"/>
      <c r="JK242" s="17"/>
      <c r="JL242" s="17"/>
      <c r="JM242" s="17"/>
      <c r="JN242" s="17"/>
      <c r="JO242" s="17"/>
      <c r="JP242" s="17"/>
      <c r="JQ242" s="17"/>
      <c r="JR242" s="17"/>
      <c r="JS242" s="17"/>
      <c r="JT242" s="17"/>
      <c r="JU242" s="17"/>
      <c r="JV242" s="17"/>
      <c r="JW242" s="17"/>
      <c r="JX242" s="17"/>
      <c r="JY242" s="17"/>
      <c r="JZ242" s="17"/>
      <c r="KA242" s="17"/>
      <c r="KB242" s="17"/>
      <c r="KC242" s="17"/>
      <c r="KD242" s="17"/>
      <c r="KE242" s="17"/>
      <c r="KF242" s="17"/>
      <c r="KG242" s="17"/>
      <c r="KH242" s="17"/>
      <c r="KI242" s="17"/>
      <c r="KJ242" s="17"/>
      <c r="KK242" s="17"/>
      <c r="KL242" s="17"/>
      <c r="KM242" s="17"/>
      <c r="KN242" s="17"/>
      <c r="KO242" s="17"/>
      <c r="KP242" s="17"/>
      <c r="KQ242" s="17"/>
      <c r="KR242" s="17"/>
      <c r="KS242" s="17"/>
      <c r="KT242" s="17"/>
      <c r="KU242" s="17"/>
      <c r="KV242" s="17"/>
      <c r="KW242" s="17"/>
      <c r="KX242" s="17"/>
      <c r="KY242" s="17"/>
      <c r="KZ242" s="17"/>
      <c r="LA242" s="17"/>
      <c r="LB242" s="17"/>
      <c r="LC242" s="17"/>
      <c r="LD242" s="17"/>
      <c r="LE242" s="17"/>
      <c r="LF242" s="17"/>
      <c r="LG242" s="17"/>
      <c r="LH242" s="17"/>
      <c r="LI242" s="17"/>
      <c r="LJ242" s="17"/>
      <c r="LK242" s="17"/>
      <c r="LL242" s="17"/>
      <c r="LM242" s="17"/>
      <c r="LN242" s="17"/>
      <c r="LO242" s="17"/>
      <c r="LP242" s="17"/>
      <c r="LQ242" s="17"/>
      <c r="LR242" s="17"/>
      <c r="LS242" s="17"/>
      <c r="LT242" s="17"/>
      <c r="LU242" s="17"/>
      <c r="LV242" s="17"/>
      <c r="LW242" s="17"/>
      <c r="LX242" s="17"/>
      <c r="LY242" s="17"/>
      <c r="LZ242" s="17"/>
      <c r="MA242" s="17"/>
      <c r="MB242" s="17"/>
      <c r="MC242" s="17"/>
      <c r="MD242" s="17"/>
      <c r="ME242" s="17"/>
      <c r="MF242" s="17"/>
      <c r="MG242" s="17"/>
      <c r="MH242" s="17"/>
      <c r="MI242" s="17"/>
      <c r="MJ242" s="17"/>
      <c r="MK242" s="17"/>
      <c r="ML242" s="17"/>
      <c r="MM242" s="17"/>
      <c r="MN242" s="17"/>
      <c r="MO242" s="17"/>
      <c r="MP242" s="17"/>
      <c r="MQ242" s="17"/>
      <c r="MR242" s="17"/>
      <c r="MS242" s="17"/>
      <c r="MT242" s="17"/>
      <c r="MU242" s="17"/>
      <c r="MV242" s="17"/>
      <c r="MW242" s="17"/>
      <c r="MX242" s="17"/>
      <c r="MY242" s="17"/>
      <c r="MZ242" s="17"/>
      <c r="NA242" s="17"/>
      <c r="NB242" s="17"/>
      <c r="NC242" s="17"/>
      <c r="ND242" s="17"/>
      <c r="NE242" s="17"/>
      <c r="NF242" s="17"/>
      <c r="NG242" s="17"/>
      <c r="NH242" s="17"/>
      <c r="NI242" s="17"/>
      <c r="NJ242" s="17"/>
      <c r="NK242" s="17"/>
      <c r="NL242" s="17"/>
      <c r="NM242" s="17"/>
      <c r="NN242" s="17"/>
      <c r="NO242" s="17"/>
      <c r="NP242" s="17"/>
      <c r="NQ242" s="17"/>
      <c r="NR242" s="17"/>
      <c r="NS242" s="17"/>
      <c r="NT242" s="17"/>
      <c r="NU242" s="17"/>
      <c r="NV242" s="17"/>
      <c r="NW242" s="17"/>
      <c r="NX242" s="17"/>
      <c r="NY242" s="17"/>
      <c r="NZ242" s="17"/>
      <c r="OA242" s="17"/>
      <c r="OB242" s="17"/>
      <c r="OC242" s="17"/>
      <c r="OD242" s="17"/>
      <c r="OE242" s="17"/>
      <c r="OF242" s="17"/>
      <c r="OG242" s="17"/>
      <c r="OH242" s="17"/>
      <c r="OI242" s="17"/>
      <c r="OJ242" s="17"/>
      <c r="OK242" s="17"/>
      <c r="OL242" s="17"/>
      <c r="OM242" s="17"/>
      <c r="ON242" s="17"/>
      <c r="OO242" s="17"/>
      <c r="OP242" s="17"/>
      <c r="OQ242" s="17"/>
      <c r="OR242" s="17"/>
      <c r="OS242" s="17"/>
      <c r="OT242" s="17"/>
      <c r="OU242" s="17"/>
      <c r="OV242" s="17"/>
      <c r="OW242" s="17"/>
      <c r="OX242" s="17"/>
      <c r="OY242" s="17"/>
      <c r="OZ242" s="17"/>
      <c r="PA242" s="17"/>
      <c r="PB242" s="17"/>
      <c r="PC242" s="17"/>
      <c r="PD242" s="17"/>
      <c r="PE242" s="17"/>
      <c r="PF242" s="17"/>
      <c r="PG242" s="17"/>
      <c r="PH242" s="17"/>
      <c r="PI242" s="17"/>
      <c r="PJ242" s="17"/>
      <c r="PK242" s="17"/>
      <c r="PL242" s="17"/>
      <c r="PM242" s="17"/>
      <c r="PN242" s="17"/>
      <c r="PO242" s="17"/>
      <c r="PP242" s="17"/>
      <c r="PQ242" s="17"/>
      <c r="PR242" s="17"/>
      <c r="PS242" s="17"/>
      <c r="PT242" s="17"/>
      <c r="PU242" s="17"/>
      <c r="PV242" s="17"/>
      <c r="PW242" s="17"/>
      <c r="PX242" s="17"/>
      <c r="PY242" s="17"/>
      <c r="PZ242" s="17"/>
      <c r="QA242" s="17"/>
      <c r="QB242" s="17"/>
      <c r="QC242" s="17"/>
      <c r="QD242" s="17"/>
      <c r="QE242" s="17"/>
      <c r="QF242" s="17"/>
      <c r="QG242" s="17"/>
      <c r="QH242" s="17"/>
      <c r="QI242" s="17"/>
      <c r="QJ242" s="17"/>
      <c r="QK242" s="17"/>
      <c r="QL242" s="17"/>
      <c r="QM242" s="17"/>
      <c r="QN242" s="17"/>
      <c r="QO242" s="17"/>
      <c r="QP242" s="17"/>
      <c r="QQ242" s="17"/>
      <c r="QR242" s="17"/>
      <c r="QS242" s="17"/>
      <c r="QT242" s="17"/>
      <c r="QU242" s="17"/>
      <c r="QV242" s="17"/>
      <c r="QW242" s="17"/>
      <c r="QX242" s="17"/>
      <c r="QY242" s="17"/>
      <c r="QZ242" s="17"/>
      <c r="RA242" s="17"/>
      <c r="RB242" s="17"/>
      <c r="RC242" s="17"/>
      <c r="RD242" s="17"/>
      <c r="RE242" s="17"/>
      <c r="RF242" s="17"/>
      <c r="RG242" s="17"/>
      <c r="RH242" s="17"/>
      <c r="RI242" s="17"/>
      <c r="RJ242" s="17"/>
      <c r="RK242" s="17"/>
      <c r="RL242" s="17"/>
      <c r="RM242" s="17"/>
      <c r="RN242" s="17"/>
      <c r="RO242" s="17"/>
      <c r="RP242" s="17"/>
      <c r="RQ242" s="17"/>
      <c r="RR242" s="17"/>
      <c r="RS242" s="17"/>
      <c r="RT242" s="17"/>
      <c r="RU242" s="17"/>
      <c r="RV242" s="17"/>
      <c r="RW242" s="17"/>
      <c r="RX242" s="17"/>
      <c r="RY242" s="17"/>
      <c r="RZ242" s="17"/>
      <c r="SA242" s="17"/>
      <c r="SB242" s="17"/>
      <c r="SC242" s="17"/>
      <c r="SD242" s="17"/>
      <c r="SE242" s="17"/>
      <c r="SF242" s="17"/>
      <c r="SG242" s="17"/>
      <c r="SH242" s="17"/>
      <c r="SI242" s="17"/>
      <c r="SJ242" s="17"/>
      <c r="SK242" s="17"/>
      <c r="SL242" s="17"/>
      <c r="SM242" s="17"/>
      <c r="SN242" s="17"/>
      <c r="SO242" s="17"/>
      <c r="SP242" s="17"/>
      <c r="SQ242" s="17"/>
      <c r="SR242" s="17"/>
      <c r="SS242" s="17"/>
      <c r="ST242" s="17"/>
      <c r="SU242" s="17"/>
      <c r="SV242" s="17"/>
      <c r="SW242" s="17"/>
      <c r="SX242" s="17"/>
      <c r="SY242" s="17"/>
      <c r="SZ242" s="17"/>
      <c r="TA242" s="17"/>
      <c r="TB242" s="17"/>
      <c r="TC242" s="17"/>
      <c r="TD242" s="17"/>
      <c r="TE242" s="17"/>
      <c r="TF242" s="17"/>
      <c r="TG242" s="17"/>
      <c r="TH242" s="17"/>
      <c r="TI242" s="17"/>
      <c r="TJ242" s="17"/>
      <c r="TK242" s="17"/>
      <c r="TL242" s="17"/>
      <c r="TM242" s="17"/>
      <c r="TN242" s="17"/>
      <c r="TO242" s="17"/>
      <c r="TP242" s="17"/>
      <c r="TQ242" s="17"/>
      <c r="TR242" s="17"/>
      <c r="TS242" s="17"/>
      <c r="TT242" s="17"/>
      <c r="TU242" s="17"/>
      <c r="TV242" s="17"/>
      <c r="TW242" s="17"/>
      <c r="TX242" s="17"/>
      <c r="TY242" s="17"/>
      <c r="TZ242" s="17"/>
      <c r="UA242" s="17"/>
      <c r="UB242" s="17"/>
      <c r="UC242" s="17"/>
      <c r="UD242" s="17"/>
      <c r="UE242" s="17"/>
      <c r="UF242" s="17"/>
      <c r="UG242" s="17"/>
      <c r="UH242" s="17"/>
      <c r="UI242" s="17"/>
      <c r="UJ242" s="17"/>
      <c r="UK242" s="17"/>
      <c r="UL242" s="17"/>
      <c r="UM242" s="17"/>
      <c r="UN242" s="17"/>
      <c r="UO242" s="17"/>
      <c r="UP242" s="17"/>
      <c r="UQ242" s="17"/>
      <c r="UR242" s="17"/>
      <c r="US242" s="17"/>
      <c r="UT242" s="17"/>
      <c r="UU242" s="17"/>
      <c r="UV242" s="17"/>
      <c r="UW242" s="17"/>
      <c r="UX242" s="17"/>
      <c r="UY242" s="17"/>
      <c r="UZ242" s="17"/>
      <c r="VA242" s="17"/>
      <c r="VB242" s="17"/>
      <c r="VC242" s="17"/>
      <c r="VD242" s="17"/>
      <c r="VE242" s="17"/>
      <c r="VF242" s="17"/>
      <c r="VG242" s="17"/>
      <c r="VH242" s="17"/>
      <c r="VI242" s="17"/>
      <c r="VJ242" s="17"/>
      <c r="VK242" s="17"/>
      <c r="VL242" s="17"/>
      <c r="VM242" s="17"/>
      <c r="VN242" s="17"/>
      <c r="VO242" s="17"/>
      <c r="VP242" s="17"/>
      <c r="VQ242" s="17"/>
      <c r="VR242" s="17"/>
      <c r="VS242" s="17"/>
      <c r="VT242" s="17"/>
      <c r="VU242" s="17"/>
      <c r="VV242" s="17"/>
      <c r="VW242" s="17"/>
      <c r="VX242" s="17"/>
      <c r="VY242" s="17"/>
      <c r="VZ242" s="17"/>
      <c r="WA242" s="17"/>
      <c r="WB242" s="17"/>
      <c r="WC242" s="17"/>
      <c r="WD242" s="17"/>
      <c r="WE242" s="17"/>
      <c r="WF242" s="17"/>
      <c r="WG242" s="17"/>
      <c r="WH242" s="17"/>
      <c r="WI242" s="17"/>
      <c r="WJ242" s="17"/>
      <c r="WK242" s="17"/>
      <c r="WL242" s="17"/>
      <c r="WM242" s="17"/>
      <c r="WN242" s="17"/>
      <c r="WO242" s="17"/>
      <c r="WP242" s="17"/>
      <c r="WQ242" s="17"/>
      <c r="WR242" s="17"/>
      <c r="WS242" s="17"/>
      <c r="WT242" s="17"/>
      <c r="WU242" s="17"/>
      <c r="WV242" s="17"/>
      <c r="WW242" s="17"/>
      <c r="WX242" s="17"/>
      <c r="WY242" s="17"/>
      <c r="WZ242" s="17"/>
      <c r="XA242" s="17"/>
      <c r="XB242" s="17"/>
      <c r="XC242" s="17"/>
      <c r="XD242" s="17"/>
      <c r="XE242" s="17"/>
      <c r="XF242" s="17"/>
      <c r="XG242" s="17"/>
      <c r="XH242" s="17"/>
      <c r="XI242" s="17"/>
      <c r="XJ242" s="17"/>
      <c r="XK242" s="17"/>
      <c r="XL242" s="17"/>
      <c r="XM242" s="17"/>
      <c r="XN242" s="17"/>
      <c r="XO242" s="17"/>
      <c r="XP242" s="17"/>
      <c r="XQ242" s="17"/>
      <c r="XR242" s="17"/>
      <c r="XS242" s="17"/>
      <c r="XT242" s="17"/>
      <c r="XU242" s="17"/>
      <c r="XV242" s="17"/>
      <c r="XW242" s="17"/>
      <c r="XX242" s="17"/>
      <c r="XY242" s="17"/>
      <c r="XZ242" s="17"/>
      <c r="YA242" s="17"/>
      <c r="YB242" s="17"/>
      <c r="YC242" s="17"/>
      <c r="YD242" s="17"/>
      <c r="YE242" s="17"/>
      <c r="YF242" s="17"/>
      <c r="YG242" s="17"/>
      <c r="YH242" s="17"/>
      <c r="YI242" s="17"/>
      <c r="YJ242" s="17"/>
      <c r="YK242" s="17"/>
      <c r="YL242" s="17"/>
      <c r="YM242" s="17"/>
      <c r="YN242" s="17"/>
      <c r="YO242" s="17"/>
      <c r="YP242" s="17"/>
      <c r="YQ242" s="17"/>
      <c r="YR242" s="17"/>
      <c r="YS242" s="17"/>
    </row>
    <row r="243" spans="266:669" x14ac:dyDescent="0.25">
      <c r="JF243" s="17"/>
      <c r="JG243" s="17"/>
      <c r="JH243" s="17"/>
      <c r="JI243" s="17"/>
      <c r="JJ243" s="17"/>
      <c r="JK243" s="17"/>
      <c r="JL243" s="17"/>
      <c r="JM243" s="17"/>
      <c r="JN243" s="17"/>
      <c r="JO243" s="17"/>
      <c r="JP243" s="17"/>
      <c r="JQ243" s="17"/>
      <c r="JR243" s="17"/>
      <c r="JS243" s="17"/>
      <c r="JT243" s="17"/>
      <c r="JU243" s="17"/>
      <c r="JV243" s="17"/>
      <c r="JW243" s="17"/>
      <c r="JX243" s="17"/>
      <c r="JY243" s="17"/>
      <c r="JZ243" s="17"/>
      <c r="KA243" s="17"/>
      <c r="KB243" s="17"/>
      <c r="KC243" s="17"/>
      <c r="KD243" s="17"/>
      <c r="KE243" s="17"/>
      <c r="KF243" s="17"/>
      <c r="KG243" s="17"/>
      <c r="KH243" s="17"/>
      <c r="KI243" s="17"/>
      <c r="KJ243" s="17"/>
      <c r="KK243" s="17"/>
      <c r="KL243" s="17"/>
      <c r="KM243" s="17"/>
      <c r="KN243" s="17"/>
      <c r="KO243" s="17"/>
      <c r="KP243" s="17"/>
      <c r="KQ243" s="17"/>
      <c r="KR243" s="17"/>
      <c r="KS243" s="17"/>
      <c r="KT243" s="17"/>
      <c r="KU243" s="17"/>
      <c r="KV243" s="17"/>
      <c r="KW243" s="17"/>
      <c r="KX243" s="17"/>
      <c r="KY243" s="17"/>
      <c r="KZ243" s="17"/>
      <c r="LA243" s="17"/>
      <c r="LB243" s="17"/>
      <c r="LC243" s="17"/>
      <c r="LD243" s="17"/>
      <c r="LE243" s="17"/>
      <c r="LF243" s="17"/>
      <c r="LG243" s="17"/>
      <c r="LH243" s="17"/>
      <c r="LI243" s="17"/>
      <c r="LJ243" s="17"/>
      <c r="LK243" s="17"/>
      <c r="LL243" s="17"/>
      <c r="LM243" s="17"/>
      <c r="LN243" s="17"/>
      <c r="LO243" s="17"/>
      <c r="LP243" s="17"/>
      <c r="LQ243" s="17"/>
      <c r="LR243" s="17"/>
      <c r="LS243" s="17"/>
      <c r="LT243" s="17"/>
      <c r="LU243" s="17"/>
      <c r="LV243" s="17"/>
      <c r="LW243" s="17"/>
      <c r="LX243" s="17"/>
      <c r="LY243" s="17"/>
      <c r="LZ243" s="17"/>
      <c r="MA243" s="17"/>
      <c r="MB243" s="17"/>
      <c r="MC243" s="17"/>
      <c r="MD243" s="17"/>
      <c r="ME243" s="17"/>
      <c r="MF243" s="17"/>
      <c r="MG243" s="17"/>
      <c r="MH243" s="17"/>
      <c r="MI243" s="17"/>
      <c r="MJ243" s="17"/>
      <c r="MK243" s="17"/>
      <c r="ML243" s="17"/>
      <c r="MM243" s="17"/>
      <c r="MN243" s="17"/>
      <c r="MO243" s="17"/>
      <c r="MP243" s="17"/>
      <c r="MQ243" s="17"/>
      <c r="MR243" s="17"/>
      <c r="MS243" s="17"/>
      <c r="MT243" s="17"/>
      <c r="MU243" s="17"/>
      <c r="MV243" s="17"/>
      <c r="MW243" s="17"/>
      <c r="MX243" s="17"/>
      <c r="MY243" s="17"/>
      <c r="MZ243" s="17"/>
      <c r="NA243" s="17"/>
      <c r="NB243" s="17"/>
      <c r="NC243" s="17"/>
      <c r="ND243" s="17"/>
      <c r="NE243" s="17"/>
      <c r="NF243" s="17"/>
      <c r="NG243" s="17"/>
      <c r="NH243" s="17"/>
      <c r="NI243" s="17"/>
      <c r="NJ243" s="17"/>
      <c r="NK243" s="17"/>
      <c r="NL243" s="17"/>
      <c r="NM243" s="17"/>
      <c r="NN243" s="17"/>
      <c r="NO243" s="17"/>
      <c r="NP243" s="17"/>
      <c r="NQ243" s="17"/>
      <c r="NR243" s="17"/>
      <c r="NS243" s="17"/>
      <c r="NT243" s="17"/>
      <c r="NU243" s="17"/>
      <c r="NV243" s="17"/>
      <c r="NW243" s="17"/>
      <c r="NX243" s="17"/>
      <c r="NY243" s="17"/>
      <c r="NZ243" s="17"/>
      <c r="OA243" s="17"/>
      <c r="OB243" s="17"/>
      <c r="OC243" s="17"/>
      <c r="OD243" s="17"/>
      <c r="OE243" s="17"/>
      <c r="OF243" s="17"/>
      <c r="OG243" s="17"/>
      <c r="OH243" s="17"/>
      <c r="OI243" s="17"/>
      <c r="OJ243" s="17"/>
      <c r="OK243" s="17"/>
      <c r="OL243" s="17"/>
      <c r="OM243" s="17"/>
      <c r="ON243" s="17"/>
      <c r="OO243" s="17"/>
      <c r="OP243" s="17"/>
      <c r="OQ243" s="17"/>
      <c r="OR243" s="17"/>
      <c r="OS243" s="17"/>
      <c r="OT243" s="17"/>
      <c r="OU243" s="17"/>
      <c r="OV243" s="17"/>
      <c r="OW243" s="17"/>
      <c r="OX243" s="17"/>
      <c r="OY243" s="17"/>
      <c r="OZ243" s="17"/>
      <c r="PA243" s="17"/>
      <c r="PB243" s="17"/>
      <c r="PC243" s="17"/>
      <c r="PD243" s="17"/>
      <c r="PE243" s="17"/>
      <c r="PF243" s="17"/>
      <c r="PG243" s="17"/>
      <c r="PH243" s="17"/>
      <c r="PI243" s="17"/>
      <c r="PJ243" s="17"/>
      <c r="PK243" s="17"/>
      <c r="PL243" s="17"/>
      <c r="PM243" s="17"/>
      <c r="PN243" s="17"/>
      <c r="PO243" s="17"/>
      <c r="PP243" s="17"/>
      <c r="PQ243" s="17"/>
      <c r="PR243" s="17"/>
      <c r="PS243" s="17"/>
      <c r="PT243" s="17"/>
      <c r="PU243" s="17"/>
      <c r="PV243" s="17"/>
      <c r="PW243" s="17"/>
      <c r="PX243" s="17"/>
      <c r="PY243" s="17"/>
      <c r="PZ243" s="17"/>
      <c r="QA243" s="17"/>
      <c r="QB243" s="17"/>
      <c r="QC243" s="17"/>
      <c r="QD243" s="17"/>
      <c r="QE243" s="17"/>
      <c r="QF243" s="17"/>
      <c r="QG243" s="17"/>
      <c r="QH243" s="17"/>
      <c r="QI243" s="17"/>
      <c r="QJ243" s="17"/>
      <c r="QK243" s="17"/>
      <c r="QL243" s="17"/>
      <c r="QM243" s="17"/>
      <c r="QN243" s="17"/>
      <c r="QO243" s="17"/>
      <c r="QP243" s="17"/>
      <c r="QQ243" s="17"/>
      <c r="QR243" s="17"/>
      <c r="QS243" s="17"/>
      <c r="QT243" s="17"/>
      <c r="QU243" s="17"/>
      <c r="QV243" s="17"/>
      <c r="QW243" s="17"/>
      <c r="QX243" s="17"/>
      <c r="QY243" s="17"/>
      <c r="QZ243" s="17"/>
      <c r="RA243" s="17"/>
      <c r="RB243" s="17"/>
      <c r="RC243" s="17"/>
      <c r="RD243" s="17"/>
      <c r="RE243" s="17"/>
      <c r="RF243" s="17"/>
      <c r="RG243" s="17"/>
      <c r="RH243" s="17"/>
      <c r="RI243" s="17"/>
      <c r="RJ243" s="17"/>
      <c r="RK243" s="17"/>
      <c r="RL243" s="17"/>
      <c r="RM243" s="17"/>
      <c r="RN243" s="17"/>
      <c r="RO243" s="17"/>
      <c r="RP243" s="17"/>
      <c r="RQ243" s="17"/>
      <c r="RR243" s="17"/>
      <c r="RS243" s="17"/>
      <c r="RT243" s="17"/>
      <c r="RU243" s="17"/>
      <c r="RV243" s="17"/>
      <c r="RW243" s="17"/>
      <c r="RX243" s="17"/>
      <c r="RY243" s="17"/>
      <c r="RZ243" s="17"/>
      <c r="SA243" s="17"/>
      <c r="SB243" s="17"/>
      <c r="SC243" s="17"/>
      <c r="SD243" s="17"/>
      <c r="SE243" s="17"/>
      <c r="SF243" s="17"/>
      <c r="SG243" s="17"/>
      <c r="SH243" s="17"/>
      <c r="SI243" s="17"/>
      <c r="SJ243" s="17"/>
      <c r="SK243" s="17"/>
      <c r="SL243" s="17"/>
      <c r="SM243" s="17"/>
      <c r="SN243" s="17"/>
      <c r="SO243" s="17"/>
      <c r="SP243" s="17"/>
      <c r="SQ243" s="17"/>
      <c r="SR243" s="17"/>
      <c r="SS243" s="17"/>
      <c r="ST243" s="17"/>
      <c r="SU243" s="17"/>
      <c r="SV243" s="17"/>
      <c r="SW243" s="17"/>
      <c r="SX243" s="17"/>
      <c r="SY243" s="17"/>
      <c r="SZ243" s="17"/>
      <c r="TA243" s="17"/>
      <c r="TB243" s="17"/>
      <c r="TC243" s="17"/>
      <c r="TD243" s="17"/>
      <c r="TE243" s="17"/>
      <c r="TF243" s="17"/>
      <c r="TG243" s="17"/>
      <c r="TH243" s="17"/>
      <c r="TI243" s="17"/>
      <c r="TJ243" s="17"/>
      <c r="TK243" s="17"/>
      <c r="TL243" s="17"/>
      <c r="TM243" s="17"/>
      <c r="TN243" s="17"/>
      <c r="TO243" s="17"/>
      <c r="TP243" s="17"/>
      <c r="TQ243" s="17"/>
      <c r="TR243" s="17"/>
      <c r="TS243" s="17"/>
      <c r="TT243" s="17"/>
      <c r="TU243" s="17"/>
      <c r="TV243" s="17"/>
      <c r="TW243" s="17"/>
      <c r="TX243" s="17"/>
      <c r="TY243" s="17"/>
      <c r="TZ243" s="17"/>
      <c r="UA243" s="17"/>
      <c r="UB243" s="17"/>
      <c r="UC243" s="17"/>
      <c r="UD243" s="17"/>
      <c r="UE243" s="17"/>
      <c r="UF243" s="17"/>
      <c r="UG243" s="17"/>
      <c r="UH243" s="17"/>
      <c r="UI243" s="17"/>
      <c r="UJ243" s="17"/>
      <c r="UK243" s="17"/>
      <c r="UL243" s="17"/>
      <c r="UM243" s="17"/>
      <c r="UN243" s="17"/>
      <c r="UO243" s="17"/>
      <c r="UP243" s="17"/>
      <c r="UQ243" s="17"/>
      <c r="UR243" s="17"/>
      <c r="US243" s="17"/>
      <c r="UT243" s="17"/>
      <c r="UU243" s="17"/>
      <c r="UV243" s="17"/>
      <c r="UW243" s="17"/>
      <c r="UX243" s="17"/>
      <c r="UY243" s="17"/>
      <c r="UZ243" s="17"/>
      <c r="VA243" s="17"/>
      <c r="VB243" s="17"/>
      <c r="VC243" s="17"/>
      <c r="VD243" s="17"/>
      <c r="VE243" s="17"/>
      <c r="VF243" s="17"/>
      <c r="VG243" s="17"/>
      <c r="VH243" s="17"/>
      <c r="VI243" s="17"/>
      <c r="VJ243" s="17"/>
      <c r="VK243" s="17"/>
      <c r="VL243" s="17"/>
      <c r="VM243" s="17"/>
      <c r="VN243" s="17"/>
      <c r="VO243" s="17"/>
      <c r="VP243" s="17"/>
      <c r="VQ243" s="17"/>
      <c r="VR243" s="17"/>
      <c r="VS243" s="17"/>
      <c r="VT243" s="17"/>
      <c r="VU243" s="17"/>
      <c r="VV243" s="17"/>
      <c r="VW243" s="17"/>
      <c r="VX243" s="17"/>
      <c r="VY243" s="17"/>
      <c r="VZ243" s="17"/>
      <c r="WA243" s="17"/>
      <c r="WB243" s="17"/>
      <c r="WC243" s="17"/>
      <c r="WD243" s="17"/>
      <c r="WE243" s="17"/>
      <c r="WF243" s="17"/>
      <c r="WG243" s="17"/>
      <c r="WH243" s="17"/>
      <c r="WI243" s="17"/>
      <c r="WJ243" s="17"/>
      <c r="WK243" s="17"/>
      <c r="WL243" s="17"/>
      <c r="WM243" s="17"/>
      <c r="WN243" s="17"/>
      <c r="WO243" s="17"/>
      <c r="WP243" s="17"/>
      <c r="WQ243" s="17"/>
      <c r="WR243" s="17"/>
      <c r="WS243" s="17"/>
      <c r="WT243" s="17"/>
      <c r="WU243" s="17"/>
      <c r="WV243" s="17"/>
      <c r="WW243" s="17"/>
      <c r="WX243" s="17"/>
      <c r="WY243" s="17"/>
      <c r="WZ243" s="17"/>
      <c r="XA243" s="17"/>
      <c r="XB243" s="17"/>
      <c r="XC243" s="17"/>
      <c r="XD243" s="17"/>
      <c r="XE243" s="17"/>
      <c r="XF243" s="17"/>
      <c r="XG243" s="17"/>
      <c r="XH243" s="17"/>
      <c r="XI243" s="17"/>
      <c r="XJ243" s="17"/>
      <c r="XK243" s="17"/>
      <c r="XL243" s="17"/>
      <c r="XM243" s="17"/>
      <c r="XN243" s="17"/>
      <c r="XO243" s="17"/>
      <c r="XP243" s="17"/>
      <c r="XQ243" s="17"/>
      <c r="XR243" s="17"/>
      <c r="XS243" s="17"/>
      <c r="XT243" s="17"/>
      <c r="XU243" s="17"/>
      <c r="XV243" s="17"/>
      <c r="XW243" s="17"/>
      <c r="XX243" s="17"/>
      <c r="XY243" s="17"/>
      <c r="XZ243" s="17"/>
      <c r="YA243" s="17"/>
      <c r="YB243" s="17"/>
      <c r="YC243" s="17"/>
      <c r="YD243" s="17"/>
      <c r="YE243" s="17"/>
      <c r="YF243" s="17"/>
      <c r="YG243" s="17"/>
      <c r="YH243" s="17"/>
      <c r="YI243" s="17"/>
      <c r="YJ243" s="17"/>
      <c r="YK243" s="17"/>
      <c r="YL243" s="17"/>
      <c r="YM243" s="17"/>
      <c r="YN243" s="17"/>
      <c r="YO243" s="17"/>
      <c r="YP243" s="17"/>
      <c r="YQ243" s="17"/>
      <c r="YR243" s="17"/>
      <c r="YS243" s="17"/>
    </row>
    <row r="244" spans="266:669" x14ac:dyDescent="0.25">
      <c r="JF244" s="17"/>
      <c r="JG244" s="17"/>
      <c r="JH244" s="17"/>
      <c r="JI244" s="17"/>
      <c r="JJ244" s="17"/>
      <c r="JK244" s="17"/>
      <c r="JL244" s="17"/>
      <c r="JM244" s="17"/>
      <c r="JN244" s="17"/>
      <c r="JO244" s="17"/>
      <c r="JP244" s="17"/>
      <c r="JQ244" s="17"/>
      <c r="JR244" s="17"/>
      <c r="JS244" s="17"/>
      <c r="JT244" s="17"/>
      <c r="JU244" s="17"/>
      <c r="JV244" s="17"/>
      <c r="JW244" s="17"/>
      <c r="JX244" s="17"/>
      <c r="JY244" s="17"/>
      <c r="JZ244" s="17"/>
      <c r="KA244" s="17"/>
      <c r="KB244" s="17"/>
      <c r="KC244" s="17"/>
      <c r="KD244" s="17"/>
      <c r="KE244" s="17"/>
      <c r="KF244" s="17"/>
      <c r="KG244" s="17"/>
      <c r="KH244" s="17"/>
      <c r="KI244" s="17"/>
      <c r="KJ244" s="17"/>
      <c r="KK244" s="17"/>
      <c r="KL244" s="17"/>
      <c r="KM244" s="17"/>
      <c r="KN244" s="17"/>
      <c r="KO244" s="17"/>
      <c r="KP244" s="17"/>
      <c r="KQ244" s="17"/>
      <c r="KR244" s="17"/>
      <c r="KS244" s="17"/>
      <c r="KT244" s="17"/>
      <c r="KU244" s="17"/>
      <c r="KV244" s="17"/>
      <c r="KW244" s="17"/>
      <c r="KX244" s="17"/>
      <c r="KY244" s="17"/>
      <c r="KZ244" s="17"/>
      <c r="LA244" s="17"/>
      <c r="LB244" s="17"/>
      <c r="LC244" s="17"/>
      <c r="LD244" s="17"/>
      <c r="LE244" s="17"/>
      <c r="LF244" s="17"/>
      <c r="LG244" s="17"/>
      <c r="LH244" s="17"/>
      <c r="LI244" s="17"/>
      <c r="LJ244" s="17"/>
      <c r="LK244" s="17"/>
      <c r="LL244" s="17"/>
      <c r="LM244" s="17"/>
      <c r="LN244" s="17"/>
      <c r="LO244" s="17"/>
      <c r="LP244" s="17"/>
      <c r="LQ244" s="17"/>
      <c r="LR244" s="17"/>
      <c r="LS244" s="17"/>
      <c r="LT244" s="17"/>
      <c r="LU244" s="17"/>
      <c r="LV244" s="17"/>
      <c r="LW244" s="17"/>
      <c r="LX244" s="17"/>
      <c r="LY244" s="17"/>
      <c r="LZ244" s="17"/>
      <c r="MA244" s="17"/>
      <c r="MB244" s="17"/>
      <c r="MC244" s="17"/>
      <c r="MD244" s="17"/>
      <c r="ME244" s="17"/>
      <c r="MF244" s="17"/>
      <c r="MG244" s="17"/>
      <c r="MH244" s="17"/>
      <c r="MI244" s="17"/>
      <c r="MJ244" s="17"/>
      <c r="MK244" s="17"/>
      <c r="ML244" s="17"/>
      <c r="MM244" s="17"/>
      <c r="MN244" s="17"/>
      <c r="MO244" s="17"/>
      <c r="MP244" s="17"/>
      <c r="MQ244" s="17"/>
      <c r="MR244" s="17"/>
      <c r="MS244" s="17"/>
      <c r="MT244" s="17"/>
      <c r="MU244" s="17"/>
      <c r="MV244" s="17"/>
      <c r="MW244" s="17"/>
      <c r="MX244" s="17"/>
      <c r="MY244" s="17"/>
      <c r="MZ244" s="17"/>
      <c r="NA244" s="17"/>
      <c r="NB244" s="17"/>
      <c r="NC244" s="17"/>
      <c r="ND244" s="17"/>
      <c r="NE244" s="17"/>
      <c r="NF244" s="17"/>
      <c r="NG244" s="17"/>
      <c r="NH244" s="17"/>
      <c r="NI244" s="17"/>
      <c r="NJ244" s="17"/>
      <c r="NK244" s="17"/>
      <c r="NL244" s="17"/>
      <c r="NM244" s="17"/>
      <c r="NN244" s="17"/>
      <c r="NO244" s="17"/>
      <c r="NP244" s="17"/>
      <c r="NQ244" s="17"/>
      <c r="NR244" s="17"/>
      <c r="NS244" s="17"/>
      <c r="NT244" s="17"/>
      <c r="NU244" s="17"/>
      <c r="NV244" s="17"/>
      <c r="NW244" s="17"/>
      <c r="NX244" s="17"/>
      <c r="NY244" s="17"/>
      <c r="NZ244" s="17"/>
      <c r="OA244" s="17"/>
      <c r="OB244" s="17"/>
      <c r="OC244" s="17"/>
      <c r="OD244" s="17"/>
      <c r="OE244" s="17"/>
      <c r="OF244" s="17"/>
      <c r="OG244" s="17"/>
      <c r="OH244" s="17"/>
      <c r="OI244" s="17"/>
      <c r="OJ244" s="17"/>
      <c r="OK244" s="17"/>
      <c r="OL244" s="17"/>
      <c r="OM244" s="17"/>
      <c r="ON244" s="17"/>
      <c r="OO244" s="17"/>
      <c r="OP244" s="17"/>
      <c r="OQ244" s="17"/>
      <c r="OR244" s="17"/>
      <c r="OS244" s="17"/>
      <c r="OT244" s="17"/>
      <c r="OU244" s="17"/>
      <c r="OV244" s="17"/>
      <c r="OW244" s="17"/>
      <c r="OX244" s="17"/>
      <c r="OY244" s="17"/>
      <c r="OZ244" s="17"/>
      <c r="PA244" s="17"/>
      <c r="PB244" s="17"/>
      <c r="PC244" s="17"/>
      <c r="PD244" s="17"/>
      <c r="PE244" s="17"/>
      <c r="PF244" s="17"/>
      <c r="PG244" s="17"/>
      <c r="PH244" s="17"/>
      <c r="PI244" s="17"/>
      <c r="PJ244" s="17"/>
      <c r="PK244" s="17"/>
      <c r="PL244" s="17"/>
      <c r="PM244" s="17"/>
      <c r="PN244" s="17"/>
      <c r="PO244" s="17"/>
      <c r="PP244" s="17"/>
      <c r="PQ244" s="17"/>
      <c r="PR244" s="17"/>
      <c r="PS244" s="17"/>
      <c r="PT244" s="17"/>
      <c r="PU244" s="17"/>
      <c r="PV244" s="17"/>
      <c r="PW244" s="17"/>
      <c r="PX244" s="17"/>
      <c r="PY244" s="17"/>
      <c r="PZ244" s="17"/>
      <c r="QA244" s="17"/>
      <c r="QB244" s="17"/>
      <c r="QC244" s="17"/>
      <c r="QD244" s="17"/>
      <c r="QE244" s="17"/>
      <c r="QF244" s="17"/>
      <c r="QG244" s="17"/>
      <c r="QH244" s="17"/>
      <c r="QI244" s="17"/>
      <c r="QJ244" s="17"/>
      <c r="QK244" s="17"/>
      <c r="QL244" s="17"/>
      <c r="QM244" s="17"/>
      <c r="QN244" s="17"/>
      <c r="QO244" s="17"/>
      <c r="QP244" s="17"/>
      <c r="QQ244" s="17"/>
      <c r="QR244" s="17"/>
      <c r="QS244" s="17"/>
      <c r="QT244" s="17"/>
      <c r="QU244" s="17"/>
      <c r="QV244" s="17"/>
      <c r="QW244" s="17"/>
      <c r="QX244" s="17"/>
      <c r="QY244" s="17"/>
      <c r="QZ244" s="17"/>
      <c r="RA244" s="17"/>
      <c r="RB244" s="17"/>
      <c r="RC244" s="17"/>
      <c r="RD244" s="17"/>
      <c r="RE244" s="17"/>
      <c r="RF244" s="17"/>
      <c r="RG244" s="17"/>
      <c r="RH244" s="17"/>
      <c r="RI244" s="17"/>
      <c r="RJ244" s="17"/>
      <c r="RK244" s="17"/>
      <c r="RL244" s="17"/>
      <c r="RM244" s="17"/>
      <c r="RN244" s="17"/>
      <c r="RO244" s="17"/>
      <c r="RP244" s="17"/>
      <c r="RQ244" s="17"/>
      <c r="RR244" s="17"/>
      <c r="RS244" s="17"/>
      <c r="RT244" s="17"/>
      <c r="RU244" s="17"/>
      <c r="RV244" s="17"/>
      <c r="RW244" s="17"/>
      <c r="RX244" s="17"/>
      <c r="RY244" s="17"/>
      <c r="RZ244" s="17"/>
      <c r="SA244" s="17"/>
      <c r="SB244" s="17"/>
      <c r="SC244" s="17"/>
      <c r="SD244" s="17"/>
      <c r="SE244" s="17"/>
      <c r="SF244" s="17"/>
      <c r="SG244" s="17"/>
      <c r="SH244" s="17"/>
      <c r="SI244" s="17"/>
      <c r="SJ244" s="17"/>
      <c r="SK244" s="17"/>
      <c r="SL244" s="17"/>
      <c r="SM244" s="17"/>
      <c r="SN244" s="17"/>
      <c r="SO244" s="17"/>
      <c r="SP244" s="17"/>
      <c r="SQ244" s="17"/>
      <c r="SR244" s="17"/>
      <c r="SS244" s="17"/>
      <c r="ST244" s="17"/>
      <c r="SU244" s="17"/>
      <c r="SV244" s="17"/>
      <c r="SW244" s="17"/>
      <c r="SX244" s="17"/>
      <c r="SY244" s="17"/>
      <c r="SZ244" s="17"/>
      <c r="TA244" s="17"/>
      <c r="TB244" s="17"/>
      <c r="TC244" s="17"/>
      <c r="TD244" s="17"/>
      <c r="TE244" s="17"/>
      <c r="TF244" s="17"/>
      <c r="TG244" s="17"/>
      <c r="TH244" s="17"/>
      <c r="TI244" s="17"/>
      <c r="TJ244" s="17"/>
      <c r="TK244" s="17"/>
      <c r="TL244" s="17"/>
      <c r="TM244" s="17"/>
      <c r="TN244" s="17"/>
      <c r="TO244" s="17"/>
      <c r="TP244" s="17"/>
      <c r="TQ244" s="17"/>
      <c r="TR244" s="17"/>
      <c r="TS244" s="17"/>
      <c r="TT244" s="17"/>
      <c r="TU244" s="17"/>
      <c r="TV244" s="17"/>
      <c r="TW244" s="17"/>
      <c r="TX244" s="17"/>
      <c r="TY244" s="17"/>
      <c r="TZ244" s="17"/>
      <c r="UA244" s="17"/>
      <c r="UB244" s="17"/>
      <c r="UC244" s="17"/>
      <c r="UD244" s="17"/>
      <c r="UE244" s="17"/>
      <c r="UF244" s="17"/>
      <c r="UG244" s="17"/>
      <c r="UH244" s="17"/>
      <c r="UI244" s="17"/>
      <c r="UJ244" s="17"/>
      <c r="UK244" s="17"/>
      <c r="UL244" s="17"/>
      <c r="UM244" s="17"/>
      <c r="UN244" s="17"/>
      <c r="UO244" s="17"/>
      <c r="UP244" s="17"/>
      <c r="UQ244" s="17"/>
      <c r="UR244" s="17"/>
      <c r="US244" s="17"/>
      <c r="UT244" s="17"/>
      <c r="UU244" s="17"/>
      <c r="UV244" s="17"/>
      <c r="UW244" s="17"/>
      <c r="UX244" s="17"/>
      <c r="UY244" s="17"/>
      <c r="UZ244" s="17"/>
      <c r="VA244" s="17"/>
      <c r="VB244" s="17"/>
      <c r="VC244" s="17"/>
      <c r="VD244" s="17"/>
      <c r="VE244" s="17"/>
      <c r="VF244" s="17"/>
      <c r="VG244" s="17"/>
      <c r="VH244" s="17"/>
      <c r="VI244" s="17"/>
      <c r="VJ244" s="17"/>
      <c r="VK244" s="17"/>
      <c r="VL244" s="17"/>
      <c r="VM244" s="17"/>
      <c r="VN244" s="17"/>
      <c r="VO244" s="17"/>
      <c r="VP244" s="17"/>
      <c r="VQ244" s="17"/>
      <c r="VR244" s="17"/>
      <c r="VS244" s="17"/>
      <c r="VT244" s="17"/>
      <c r="VU244" s="17"/>
      <c r="VV244" s="17"/>
      <c r="VW244" s="17"/>
      <c r="VX244" s="17"/>
      <c r="VY244" s="17"/>
      <c r="VZ244" s="17"/>
      <c r="WA244" s="17"/>
      <c r="WB244" s="17"/>
      <c r="WC244" s="17"/>
      <c r="WD244" s="17"/>
      <c r="WE244" s="17"/>
      <c r="WF244" s="17"/>
      <c r="WG244" s="17"/>
      <c r="WH244" s="17"/>
      <c r="WI244" s="17"/>
      <c r="WJ244" s="17"/>
      <c r="WK244" s="17"/>
      <c r="WL244" s="17"/>
      <c r="WM244" s="17"/>
      <c r="WN244" s="17"/>
      <c r="WO244" s="17"/>
      <c r="WP244" s="17"/>
      <c r="WQ244" s="17"/>
      <c r="WR244" s="17"/>
      <c r="WS244" s="17"/>
      <c r="WT244" s="17"/>
      <c r="WU244" s="17"/>
      <c r="WV244" s="17"/>
      <c r="WW244" s="17"/>
      <c r="WX244" s="17"/>
      <c r="WY244" s="17"/>
      <c r="WZ244" s="17"/>
      <c r="XA244" s="17"/>
      <c r="XB244" s="17"/>
      <c r="XC244" s="17"/>
      <c r="XD244" s="17"/>
      <c r="XE244" s="17"/>
      <c r="XF244" s="17"/>
      <c r="XG244" s="17"/>
      <c r="XH244" s="17"/>
      <c r="XI244" s="17"/>
      <c r="XJ244" s="17"/>
      <c r="XK244" s="17"/>
      <c r="XL244" s="17"/>
      <c r="XM244" s="17"/>
      <c r="XN244" s="17"/>
      <c r="XO244" s="17"/>
      <c r="XP244" s="17"/>
      <c r="XQ244" s="17"/>
      <c r="XR244" s="17"/>
      <c r="XS244" s="17"/>
      <c r="XT244" s="17"/>
      <c r="XU244" s="17"/>
      <c r="XV244" s="17"/>
      <c r="XW244" s="17"/>
      <c r="XX244" s="17"/>
      <c r="XY244" s="17"/>
      <c r="XZ244" s="17"/>
      <c r="YA244" s="17"/>
      <c r="YB244" s="17"/>
      <c r="YC244" s="17"/>
      <c r="YD244" s="17"/>
      <c r="YE244" s="17"/>
      <c r="YF244" s="17"/>
      <c r="YG244" s="17"/>
      <c r="YH244" s="17"/>
      <c r="YI244" s="17"/>
      <c r="YJ244" s="17"/>
      <c r="YK244" s="17"/>
      <c r="YL244" s="17"/>
      <c r="YM244" s="17"/>
      <c r="YN244" s="17"/>
      <c r="YO244" s="17"/>
      <c r="YP244" s="17"/>
      <c r="YQ244" s="17"/>
      <c r="YR244" s="17"/>
      <c r="YS244" s="17"/>
    </row>
    <row r="245" spans="266:669" x14ac:dyDescent="0.25">
      <c r="JF245" s="17"/>
      <c r="JG245" s="17"/>
      <c r="JH245" s="17"/>
      <c r="JI245" s="17"/>
      <c r="JJ245" s="17"/>
      <c r="JK245" s="17"/>
      <c r="JL245" s="17"/>
      <c r="JM245" s="17"/>
      <c r="JN245" s="17"/>
      <c r="JO245" s="17"/>
      <c r="JP245" s="17"/>
      <c r="JQ245" s="17"/>
      <c r="JR245" s="17"/>
      <c r="JS245" s="17"/>
      <c r="JT245" s="17"/>
      <c r="JU245" s="17"/>
      <c r="JV245" s="17"/>
      <c r="JW245" s="17"/>
      <c r="JX245" s="17"/>
      <c r="JY245" s="17"/>
      <c r="JZ245" s="17"/>
      <c r="KA245" s="17"/>
      <c r="KB245" s="17"/>
      <c r="KC245" s="17"/>
      <c r="KD245" s="17"/>
      <c r="KE245" s="17"/>
      <c r="KF245" s="17"/>
      <c r="KG245" s="17"/>
      <c r="KH245" s="17"/>
      <c r="KI245" s="17"/>
      <c r="KJ245" s="17"/>
      <c r="KK245" s="17"/>
      <c r="KL245" s="17"/>
      <c r="KM245" s="17"/>
      <c r="KN245" s="17"/>
      <c r="KO245" s="17"/>
      <c r="KP245" s="17"/>
      <c r="KQ245" s="17"/>
      <c r="KR245" s="17"/>
      <c r="KS245" s="17"/>
      <c r="KT245" s="17"/>
      <c r="KU245" s="17"/>
      <c r="KV245" s="17"/>
      <c r="KW245" s="17"/>
      <c r="KX245" s="17"/>
      <c r="KY245" s="17"/>
      <c r="KZ245" s="17"/>
      <c r="LA245" s="17"/>
      <c r="LB245" s="17"/>
      <c r="LC245" s="17"/>
      <c r="LD245" s="17"/>
      <c r="LE245" s="17"/>
      <c r="LF245" s="17"/>
      <c r="LG245" s="17"/>
      <c r="LH245" s="17"/>
      <c r="LI245" s="17"/>
      <c r="LJ245" s="17"/>
      <c r="LK245" s="17"/>
      <c r="LL245" s="17"/>
      <c r="LM245" s="17"/>
      <c r="LN245" s="17"/>
      <c r="LO245" s="17"/>
      <c r="LP245" s="17"/>
      <c r="LQ245" s="17"/>
      <c r="LR245" s="17"/>
      <c r="LS245" s="17"/>
      <c r="LT245" s="17"/>
      <c r="LU245" s="17"/>
      <c r="LV245" s="17"/>
      <c r="LW245" s="17"/>
      <c r="LX245" s="17"/>
      <c r="LY245" s="17"/>
      <c r="LZ245" s="17"/>
      <c r="MA245" s="17"/>
      <c r="MB245" s="17"/>
      <c r="MC245" s="17"/>
      <c r="MD245" s="17"/>
      <c r="ME245" s="17"/>
      <c r="MF245" s="17"/>
      <c r="MG245" s="17"/>
      <c r="MH245" s="17"/>
      <c r="MI245" s="17"/>
      <c r="MJ245" s="17"/>
      <c r="MK245" s="17"/>
      <c r="ML245" s="17"/>
      <c r="MM245" s="17"/>
      <c r="MN245" s="17"/>
      <c r="MO245" s="17"/>
      <c r="MP245" s="17"/>
      <c r="MQ245" s="17"/>
      <c r="MR245" s="17"/>
      <c r="MS245" s="17"/>
      <c r="MT245" s="17"/>
      <c r="MU245" s="17"/>
      <c r="MV245" s="17"/>
      <c r="MW245" s="17"/>
      <c r="MX245" s="17"/>
      <c r="MY245" s="17"/>
      <c r="MZ245" s="17"/>
      <c r="NA245" s="17"/>
      <c r="NB245" s="17"/>
      <c r="NC245" s="17"/>
      <c r="ND245" s="17"/>
      <c r="NE245" s="17"/>
      <c r="NF245" s="17"/>
      <c r="NG245" s="17"/>
      <c r="NH245" s="17"/>
      <c r="NI245" s="17"/>
      <c r="NJ245" s="17"/>
      <c r="NK245" s="17"/>
      <c r="NL245" s="17"/>
      <c r="NM245" s="17"/>
      <c r="NN245" s="17"/>
      <c r="NO245" s="17"/>
      <c r="NP245" s="17"/>
      <c r="NQ245" s="17"/>
      <c r="NR245" s="17"/>
      <c r="NS245" s="17"/>
      <c r="NT245" s="17"/>
      <c r="NU245" s="17"/>
      <c r="NV245" s="17"/>
      <c r="NW245" s="17"/>
      <c r="NX245" s="17"/>
      <c r="NY245" s="17"/>
      <c r="NZ245" s="17"/>
      <c r="OA245" s="17"/>
      <c r="OB245" s="17"/>
      <c r="OC245" s="17"/>
      <c r="OD245" s="17"/>
      <c r="OE245" s="17"/>
      <c r="OF245" s="17"/>
      <c r="OG245" s="17"/>
      <c r="OH245" s="17"/>
      <c r="OI245" s="17"/>
      <c r="OJ245" s="17"/>
      <c r="OK245" s="17"/>
      <c r="OL245" s="17"/>
      <c r="OM245" s="17"/>
      <c r="ON245" s="17"/>
      <c r="OO245" s="17"/>
      <c r="OP245" s="17"/>
      <c r="OQ245" s="17"/>
      <c r="OR245" s="17"/>
      <c r="OS245" s="17"/>
      <c r="OT245" s="17"/>
      <c r="OU245" s="17"/>
      <c r="OV245" s="17"/>
      <c r="OW245" s="17"/>
      <c r="OX245" s="17"/>
      <c r="OY245" s="17"/>
      <c r="OZ245" s="17"/>
      <c r="PA245" s="17"/>
      <c r="PB245" s="17"/>
      <c r="PC245" s="17"/>
      <c r="PD245" s="17"/>
      <c r="PE245" s="17"/>
      <c r="PF245" s="17"/>
      <c r="PG245" s="17"/>
      <c r="PH245" s="17"/>
      <c r="PI245" s="17"/>
      <c r="PJ245" s="17"/>
      <c r="PK245" s="17"/>
      <c r="PL245" s="17"/>
      <c r="PM245" s="17"/>
      <c r="PN245" s="17"/>
      <c r="PO245" s="17"/>
      <c r="PP245" s="17"/>
      <c r="PQ245" s="17"/>
      <c r="PR245" s="17"/>
      <c r="PS245" s="17"/>
      <c r="PT245" s="17"/>
      <c r="PU245" s="17"/>
      <c r="PV245" s="17"/>
      <c r="PW245" s="17"/>
      <c r="PX245" s="17"/>
      <c r="PY245" s="17"/>
      <c r="PZ245" s="17"/>
      <c r="QA245" s="17"/>
      <c r="QB245" s="17"/>
      <c r="QC245" s="17"/>
      <c r="QD245" s="17"/>
      <c r="QE245" s="17"/>
      <c r="QF245" s="17"/>
      <c r="QG245" s="17"/>
      <c r="QH245" s="17"/>
      <c r="QI245" s="17"/>
      <c r="QJ245" s="17"/>
      <c r="QK245" s="17"/>
      <c r="QL245" s="17"/>
      <c r="QM245" s="17"/>
      <c r="QN245" s="17"/>
      <c r="QO245" s="17"/>
      <c r="QP245" s="17"/>
      <c r="QQ245" s="17"/>
      <c r="QR245" s="17"/>
      <c r="QS245" s="17"/>
      <c r="QT245" s="17"/>
      <c r="QU245" s="17"/>
      <c r="QV245" s="17"/>
      <c r="QW245" s="17"/>
      <c r="QX245" s="17"/>
      <c r="QY245" s="17"/>
      <c r="QZ245" s="17"/>
      <c r="RA245" s="17"/>
      <c r="RB245" s="17"/>
      <c r="RC245" s="17"/>
      <c r="RD245" s="17"/>
      <c r="RE245" s="17"/>
      <c r="RF245" s="17"/>
      <c r="RG245" s="17"/>
      <c r="RH245" s="17"/>
      <c r="RI245" s="17"/>
      <c r="RJ245" s="17"/>
      <c r="RK245" s="17"/>
      <c r="RL245" s="17"/>
      <c r="RM245" s="17"/>
      <c r="RN245" s="17"/>
      <c r="RO245" s="17"/>
      <c r="RP245" s="17"/>
      <c r="RQ245" s="17"/>
      <c r="RR245" s="17"/>
      <c r="RS245" s="17"/>
      <c r="RT245" s="17"/>
      <c r="RU245" s="17"/>
      <c r="RV245" s="17"/>
      <c r="RW245" s="17"/>
      <c r="RX245" s="17"/>
      <c r="RY245" s="17"/>
      <c r="RZ245" s="17"/>
      <c r="SA245" s="17"/>
      <c r="SB245" s="17"/>
      <c r="SC245" s="17"/>
      <c r="SD245" s="17"/>
      <c r="SE245" s="17"/>
      <c r="SF245" s="17"/>
      <c r="SG245" s="17"/>
      <c r="SH245" s="17"/>
      <c r="SI245" s="17"/>
      <c r="SJ245" s="17"/>
      <c r="SK245" s="17"/>
      <c r="SL245" s="17"/>
      <c r="SM245" s="17"/>
      <c r="SN245" s="17"/>
      <c r="SO245" s="17"/>
      <c r="SP245" s="17"/>
      <c r="SQ245" s="17"/>
      <c r="SR245" s="17"/>
      <c r="SS245" s="17"/>
      <c r="ST245" s="17"/>
      <c r="SU245" s="17"/>
      <c r="SV245" s="17"/>
      <c r="SW245" s="17"/>
      <c r="SX245" s="17"/>
      <c r="SY245" s="17"/>
      <c r="SZ245" s="17"/>
      <c r="TA245" s="17"/>
      <c r="TB245" s="17"/>
      <c r="TC245" s="17"/>
      <c r="TD245" s="17"/>
      <c r="TE245" s="17"/>
      <c r="TF245" s="17"/>
      <c r="TG245" s="17"/>
      <c r="TH245" s="17"/>
      <c r="TI245" s="17"/>
      <c r="TJ245" s="17"/>
      <c r="TK245" s="17"/>
      <c r="TL245" s="17"/>
      <c r="TM245" s="17"/>
      <c r="TN245" s="17"/>
      <c r="TO245" s="17"/>
      <c r="TP245" s="17"/>
      <c r="TQ245" s="17"/>
      <c r="TR245" s="17"/>
      <c r="TS245" s="17"/>
      <c r="TT245" s="17"/>
      <c r="TU245" s="17"/>
      <c r="TV245" s="17"/>
      <c r="TW245" s="17"/>
      <c r="TX245" s="17"/>
      <c r="TY245" s="17"/>
      <c r="TZ245" s="17"/>
      <c r="UA245" s="17"/>
      <c r="UB245" s="17"/>
      <c r="UC245" s="17"/>
      <c r="UD245" s="17"/>
      <c r="UE245" s="17"/>
      <c r="UF245" s="17"/>
      <c r="UG245" s="17"/>
      <c r="UH245" s="17"/>
      <c r="UI245" s="17"/>
      <c r="UJ245" s="17"/>
      <c r="UK245" s="17"/>
      <c r="UL245" s="17"/>
      <c r="UM245" s="17"/>
      <c r="UN245" s="17"/>
      <c r="UO245" s="17"/>
      <c r="UP245" s="17"/>
      <c r="UQ245" s="17"/>
      <c r="UR245" s="17"/>
      <c r="US245" s="17"/>
      <c r="UT245" s="17"/>
      <c r="UU245" s="17"/>
      <c r="UV245" s="17"/>
      <c r="UW245" s="17"/>
      <c r="UX245" s="17"/>
      <c r="UY245" s="17"/>
      <c r="UZ245" s="17"/>
      <c r="VA245" s="17"/>
      <c r="VB245" s="17"/>
      <c r="VC245" s="17"/>
      <c r="VD245" s="17"/>
      <c r="VE245" s="17"/>
      <c r="VF245" s="17"/>
      <c r="VG245" s="17"/>
      <c r="VH245" s="17"/>
      <c r="VI245" s="17"/>
      <c r="VJ245" s="17"/>
      <c r="VK245" s="17"/>
      <c r="VL245" s="17"/>
      <c r="VM245" s="17"/>
      <c r="VN245" s="17"/>
      <c r="VO245" s="17"/>
      <c r="VP245" s="17"/>
      <c r="VQ245" s="17"/>
      <c r="VR245" s="17"/>
      <c r="VS245" s="17"/>
      <c r="VT245" s="17"/>
      <c r="VU245" s="17"/>
      <c r="VV245" s="17"/>
      <c r="VW245" s="17"/>
      <c r="VX245" s="17"/>
      <c r="VY245" s="17"/>
      <c r="VZ245" s="17"/>
      <c r="WA245" s="17"/>
      <c r="WB245" s="17"/>
      <c r="WC245" s="17"/>
      <c r="WD245" s="17"/>
      <c r="WE245" s="17"/>
      <c r="WF245" s="17"/>
      <c r="WG245" s="17"/>
      <c r="WH245" s="17"/>
      <c r="WI245" s="17"/>
      <c r="WJ245" s="17"/>
      <c r="WK245" s="17"/>
      <c r="WL245" s="17"/>
      <c r="WM245" s="17"/>
      <c r="WN245" s="17"/>
      <c r="WO245" s="17"/>
      <c r="WP245" s="17"/>
      <c r="WQ245" s="17"/>
      <c r="WR245" s="17"/>
      <c r="WS245" s="17"/>
      <c r="WT245" s="17"/>
      <c r="WU245" s="17"/>
      <c r="WV245" s="17"/>
      <c r="WW245" s="17"/>
      <c r="WX245" s="17"/>
      <c r="WY245" s="17"/>
      <c r="WZ245" s="17"/>
      <c r="XA245" s="17"/>
      <c r="XB245" s="17"/>
      <c r="XC245" s="17"/>
      <c r="XD245" s="17"/>
      <c r="XE245" s="17"/>
      <c r="XF245" s="17"/>
      <c r="XG245" s="17"/>
      <c r="XH245" s="17"/>
      <c r="XI245" s="17"/>
      <c r="XJ245" s="17"/>
      <c r="XK245" s="17"/>
      <c r="XL245" s="17"/>
      <c r="XM245" s="17"/>
      <c r="XN245" s="17"/>
      <c r="XO245" s="17"/>
      <c r="XP245" s="17"/>
      <c r="XQ245" s="17"/>
      <c r="XR245" s="17"/>
      <c r="XS245" s="17"/>
      <c r="XT245" s="17"/>
      <c r="XU245" s="17"/>
      <c r="XV245" s="17"/>
      <c r="XW245" s="17"/>
      <c r="XX245" s="17"/>
      <c r="XY245" s="17"/>
      <c r="XZ245" s="17"/>
      <c r="YA245" s="17"/>
      <c r="YB245" s="17"/>
      <c r="YC245" s="17"/>
      <c r="YD245" s="17"/>
      <c r="YE245" s="17"/>
      <c r="YF245" s="17"/>
      <c r="YG245" s="17"/>
      <c r="YH245" s="17"/>
      <c r="YI245" s="17"/>
      <c r="YJ245" s="17"/>
      <c r="YK245" s="17"/>
      <c r="YL245" s="17"/>
      <c r="YM245" s="17"/>
      <c r="YN245" s="17"/>
      <c r="YO245" s="17"/>
      <c r="YP245" s="17"/>
      <c r="YQ245" s="17"/>
      <c r="YR245" s="17"/>
      <c r="YS245" s="17"/>
    </row>
    <row r="246" spans="266:669" x14ac:dyDescent="0.25">
      <c r="JF246" s="17"/>
      <c r="JG246" s="17"/>
      <c r="JH246" s="17"/>
      <c r="JI246" s="17"/>
      <c r="JJ246" s="17"/>
      <c r="JK246" s="17"/>
      <c r="JL246" s="17"/>
      <c r="JM246" s="17"/>
      <c r="JN246" s="17"/>
      <c r="JO246" s="17"/>
      <c r="JP246" s="17"/>
      <c r="JQ246" s="17"/>
      <c r="JR246" s="17"/>
      <c r="JS246" s="17"/>
      <c r="JT246" s="17"/>
      <c r="JU246" s="17"/>
      <c r="JV246" s="17"/>
      <c r="JW246" s="17"/>
      <c r="JX246" s="17"/>
      <c r="JY246" s="17"/>
      <c r="JZ246" s="17"/>
      <c r="KA246" s="17"/>
      <c r="KB246" s="17"/>
      <c r="KC246" s="17"/>
      <c r="KD246" s="17"/>
      <c r="KE246" s="17"/>
      <c r="KF246" s="17"/>
      <c r="KG246" s="17"/>
      <c r="KH246" s="17"/>
      <c r="KI246" s="17"/>
      <c r="KJ246" s="17"/>
      <c r="KK246" s="17"/>
      <c r="KL246" s="17"/>
      <c r="KM246" s="17"/>
      <c r="KN246" s="17"/>
      <c r="KO246" s="17"/>
      <c r="KP246" s="17"/>
      <c r="KQ246" s="17"/>
      <c r="KR246" s="17"/>
      <c r="KS246" s="17"/>
      <c r="KT246" s="17"/>
      <c r="KU246" s="17"/>
      <c r="KV246" s="17"/>
      <c r="KW246" s="17"/>
      <c r="KX246" s="17"/>
      <c r="KY246" s="17"/>
      <c r="KZ246" s="17"/>
      <c r="LA246" s="17"/>
      <c r="LB246" s="17"/>
      <c r="LC246" s="17"/>
      <c r="LD246" s="17"/>
      <c r="LE246" s="17"/>
      <c r="LF246" s="17"/>
      <c r="LG246" s="17"/>
      <c r="LH246" s="17"/>
      <c r="LI246" s="17"/>
      <c r="LJ246" s="17"/>
      <c r="LK246" s="17"/>
      <c r="LL246" s="17"/>
      <c r="LM246" s="17"/>
      <c r="LN246" s="17"/>
      <c r="LO246" s="17"/>
      <c r="LP246" s="17"/>
      <c r="LQ246" s="17"/>
      <c r="LR246" s="17"/>
      <c r="LS246" s="17"/>
      <c r="LT246" s="17"/>
      <c r="LU246" s="17"/>
      <c r="LV246" s="17"/>
      <c r="LW246" s="17"/>
      <c r="LX246" s="17"/>
      <c r="LY246" s="17"/>
      <c r="LZ246" s="17"/>
      <c r="MA246" s="17"/>
      <c r="MB246" s="17"/>
      <c r="MC246" s="17"/>
      <c r="MD246" s="17"/>
      <c r="ME246" s="17"/>
      <c r="MF246" s="17"/>
      <c r="MG246" s="17"/>
      <c r="MH246" s="17"/>
      <c r="MI246" s="17"/>
      <c r="MJ246" s="17"/>
      <c r="MK246" s="17"/>
      <c r="ML246" s="17"/>
      <c r="MM246" s="17"/>
      <c r="MN246" s="17"/>
      <c r="MO246" s="17"/>
      <c r="MP246" s="17"/>
      <c r="MQ246" s="17"/>
      <c r="MR246" s="17"/>
      <c r="MS246" s="17"/>
      <c r="MT246" s="17"/>
      <c r="MU246" s="17"/>
      <c r="MV246" s="17"/>
      <c r="MW246" s="17"/>
      <c r="MX246" s="17"/>
      <c r="MY246" s="17"/>
      <c r="MZ246" s="17"/>
      <c r="NA246" s="17"/>
      <c r="NB246" s="17"/>
      <c r="NC246" s="17"/>
      <c r="ND246" s="17"/>
      <c r="NE246" s="17"/>
      <c r="NF246" s="17"/>
      <c r="NG246" s="17"/>
      <c r="NH246" s="17"/>
      <c r="NI246" s="17"/>
      <c r="NJ246" s="17"/>
      <c r="NK246" s="17"/>
      <c r="NL246" s="17"/>
      <c r="NM246" s="17"/>
      <c r="NN246" s="17"/>
      <c r="NO246" s="17"/>
      <c r="NP246" s="17"/>
      <c r="NQ246" s="17"/>
      <c r="NR246" s="17"/>
      <c r="NS246" s="17"/>
      <c r="NT246" s="17"/>
      <c r="NU246" s="17"/>
      <c r="NV246" s="17"/>
      <c r="NW246" s="17"/>
      <c r="NX246" s="17"/>
      <c r="NY246" s="17"/>
      <c r="NZ246" s="17"/>
      <c r="OA246" s="17"/>
      <c r="OB246" s="17"/>
      <c r="OC246" s="17"/>
      <c r="OD246" s="17"/>
      <c r="OE246" s="17"/>
      <c r="OF246" s="17"/>
      <c r="OG246" s="17"/>
      <c r="OH246" s="17"/>
      <c r="OI246" s="17"/>
      <c r="OJ246" s="17"/>
      <c r="OK246" s="17"/>
      <c r="OL246" s="17"/>
      <c r="OM246" s="17"/>
      <c r="ON246" s="17"/>
      <c r="OO246" s="17"/>
      <c r="OP246" s="17"/>
      <c r="OQ246" s="17"/>
      <c r="OR246" s="17"/>
      <c r="OS246" s="17"/>
      <c r="OT246" s="17"/>
      <c r="OU246" s="17"/>
      <c r="OV246" s="17"/>
      <c r="OW246" s="17"/>
      <c r="OX246" s="17"/>
      <c r="OY246" s="17"/>
      <c r="OZ246" s="17"/>
      <c r="PA246" s="17"/>
      <c r="PB246" s="17"/>
      <c r="PC246" s="17"/>
      <c r="PD246" s="17"/>
      <c r="PE246" s="17"/>
      <c r="PF246" s="17"/>
      <c r="PG246" s="17"/>
      <c r="PH246" s="17"/>
      <c r="PI246" s="17"/>
      <c r="PJ246" s="17"/>
      <c r="PK246" s="17"/>
      <c r="PL246" s="17"/>
      <c r="PM246" s="17"/>
      <c r="PN246" s="17"/>
      <c r="PO246" s="17"/>
      <c r="PP246" s="17"/>
      <c r="PQ246" s="17"/>
      <c r="PR246" s="17"/>
      <c r="PS246" s="17"/>
      <c r="PT246" s="17"/>
      <c r="PU246" s="17"/>
      <c r="PV246" s="17"/>
      <c r="PW246" s="17"/>
      <c r="PX246" s="17"/>
      <c r="PY246" s="17"/>
      <c r="PZ246" s="17"/>
      <c r="QA246" s="17"/>
      <c r="QB246" s="17"/>
      <c r="QC246" s="17"/>
      <c r="QD246" s="17"/>
      <c r="QE246" s="17"/>
      <c r="QF246" s="17"/>
      <c r="QG246" s="17"/>
      <c r="QH246" s="17"/>
      <c r="QI246" s="17"/>
      <c r="QJ246" s="17"/>
      <c r="QK246" s="17"/>
      <c r="QL246" s="17"/>
      <c r="QM246" s="17"/>
      <c r="QN246" s="17"/>
      <c r="QO246" s="17"/>
      <c r="QP246" s="17"/>
      <c r="QQ246" s="17"/>
      <c r="QR246" s="17"/>
      <c r="QS246" s="17"/>
      <c r="QT246" s="17"/>
      <c r="QU246" s="17"/>
      <c r="QV246" s="17"/>
      <c r="QW246" s="17"/>
      <c r="QX246" s="17"/>
      <c r="QY246" s="17"/>
      <c r="QZ246" s="17"/>
      <c r="RA246" s="17"/>
      <c r="RB246" s="17"/>
      <c r="RC246" s="17"/>
      <c r="RD246" s="17"/>
      <c r="RE246" s="17"/>
      <c r="RF246" s="17"/>
      <c r="RG246" s="17"/>
      <c r="RH246" s="17"/>
      <c r="RI246" s="17"/>
      <c r="RJ246" s="17"/>
      <c r="RK246" s="17"/>
      <c r="RL246" s="17"/>
      <c r="RM246" s="17"/>
      <c r="RN246" s="17"/>
      <c r="RO246" s="17"/>
      <c r="RP246" s="17"/>
      <c r="RQ246" s="17"/>
      <c r="RR246" s="17"/>
      <c r="RS246" s="17"/>
      <c r="RT246" s="17"/>
      <c r="RU246" s="17"/>
      <c r="RV246" s="17"/>
      <c r="RW246" s="17"/>
      <c r="RX246" s="17"/>
      <c r="RY246" s="17"/>
      <c r="RZ246" s="17"/>
      <c r="SA246" s="17"/>
      <c r="SB246" s="17"/>
      <c r="SC246" s="17"/>
      <c r="SD246" s="17"/>
      <c r="SE246" s="17"/>
      <c r="SF246" s="17"/>
      <c r="SG246" s="17"/>
      <c r="SH246" s="17"/>
      <c r="SI246" s="17"/>
      <c r="SJ246" s="17"/>
      <c r="SK246" s="17"/>
      <c r="SL246" s="17"/>
      <c r="SM246" s="17"/>
      <c r="SN246" s="17"/>
      <c r="SO246" s="17"/>
      <c r="SP246" s="17"/>
      <c r="SQ246" s="17"/>
      <c r="SR246" s="17"/>
      <c r="SS246" s="17"/>
      <c r="ST246" s="17"/>
      <c r="SU246" s="17"/>
      <c r="SV246" s="17"/>
      <c r="SW246" s="17"/>
      <c r="SX246" s="17"/>
      <c r="SY246" s="17"/>
      <c r="SZ246" s="17"/>
      <c r="TA246" s="17"/>
      <c r="TB246" s="17"/>
      <c r="TC246" s="17"/>
      <c r="TD246" s="17"/>
      <c r="TE246" s="17"/>
      <c r="TF246" s="17"/>
      <c r="TG246" s="17"/>
      <c r="TH246" s="17"/>
      <c r="TI246" s="17"/>
      <c r="TJ246" s="17"/>
      <c r="TK246" s="17"/>
      <c r="TL246" s="17"/>
      <c r="TM246" s="17"/>
      <c r="TN246" s="17"/>
      <c r="TO246" s="17"/>
      <c r="TP246" s="17"/>
      <c r="TQ246" s="17"/>
      <c r="TR246" s="17"/>
      <c r="TS246" s="17"/>
      <c r="TT246" s="17"/>
      <c r="TU246" s="17"/>
      <c r="TV246" s="17"/>
      <c r="TW246" s="17"/>
      <c r="TX246" s="17"/>
      <c r="TY246" s="17"/>
      <c r="TZ246" s="17"/>
      <c r="UA246" s="17"/>
      <c r="UB246" s="17"/>
      <c r="UC246" s="17"/>
      <c r="UD246" s="17"/>
      <c r="UE246" s="17"/>
      <c r="UF246" s="17"/>
      <c r="UG246" s="17"/>
      <c r="UH246" s="17"/>
      <c r="UI246" s="17"/>
      <c r="UJ246" s="17"/>
      <c r="UK246" s="17"/>
      <c r="UL246" s="17"/>
      <c r="UM246" s="17"/>
      <c r="UN246" s="17"/>
      <c r="UO246" s="17"/>
      <c r="UP246" s="17"/>
      <c r="UQ246" s="17"/>
      <c r="UR246" s="17"/>
      <c r="US246" s="17"/>
      <c r="UT246" s="17"/>
      <c r="UU246" s="17"/>
      <c r="UV246" s="17"/>
      <c r="UW246" s="17"/>
      <c r="UX246" s="17"/>
      <c r="UY246" s="17"/>
      <c r="UZ246" s="17"/>
      <c r="VA246" s="17"/>
      <c r="VB246" s="17"/>
      <c r="VC246" s="17"/>
      <c r="VD246" s="17"/>
      <c r="VE246" s="17"/>
      <c r="VF246" s="17"/>
      <c r="VG246" s="17"/>
      <c r="VH246" s="17"/>
      <c r="VI246" s="17"/>
      <c r="VJ246" s="17"/>
      <c r="VK246" s="17"/>
      <c r="VL246" s="17"/>
      <c r="VM246" s="17"/>
      <c r="VN246" s="17"/>
      <c r="VO246" s="17"/>
      <c r="VP246" s="17"/>
      <c r="VQ246" s="17"/>
      <c r="VR246" s="17"/>
      <c r="VS246" s="17"/>
      <c r="VT246" s="17"/>
      <c r="VU246" s="17"/>
      <c r="VV246" s="17"/>
      <c r="VW246" s="17"/>
      <c r="VX246" s="17"/>
      <c r="VY246" s="17"/>
      <c r="VZ246" s="17"/>
      <c r="WA246" s="17"/>
      <c r="WB246" s="17"/>
      <c r="WC246" s="17"/>
      <c r="WD246" s="17"/>
      <c r="WE246" s="17"/>
      <c r="WF246" s="17"/>
      <c r="WG246" s="17"/>
      <c r="WH246" s="17"/>
      <c r="WI246" s="17"/>
      <c r="WJ246" s="17"/>
      <c r="WK246" s="17"/>
      <c r="WL246" s="17"/>
      <c r="WM246" s="17"/>
      <c r="WN246" s="17"/>
      <c r="WO246" s="17"/>
      <c r="WP246" s="17"/>
      <c r="WQ246" s="17"/>
      <c r="WR246" s="17"/>
      <c r="WS246" s="17"/>
      <c r="WT246" s="17"/>
      <c r="WU246" s="17"/>
      <c r="WV246" s="17"/>
      <c r="WW246" s="17"/>
      <c r="WX246" s="17"/>
      <c r="WY246" s="17"/>
      <c r="WZ246" s="17"/>
      <c r="XA246" s="17"/>
      <c r="XB246" s="17"/>
      <c r="XC246" s="17"/>
      <c r="XD246" s="17"/>
      <c r="XE246" s="17"/>
      <c r="XF246" s="17"/>
      <c r="XG246" s="17"/>
      <c r="XH246" s="17"/>
      <c r="XI246" s="17"/>
      <c r="XJ246" s="17"/>
      <c r="XK246" s="17"/>
      <c r="XL246" s="17"/>
      <c r="XM246" s="17"/>
      <c r="XN246" s="17"/>
      <c r="XO246" s="17"/>
      <c r="XP246" s="17"/>
      <c r="XQ246" s="17"/>
      <c r="XR246" s="17"/>
      <c r="XS246" s="17"/>
      <c r="XT246" s="17"/>
      <c r="XU246" s="17"/>
      <c r="XV246" s="17"/>
      <c r="XW246" s="17"/>
      <c r="XX246" s="17"/>
      <c r="XY246" s="17"/>
      <c r="XZ246" s="17"/>
      <c r="YA246" s="17"/>
      <c r="YB246" s="17"/>
      <c r="YC246" s="17"/>
      <c r="YD246" s="17"/>
      <c r="YE246" s="17"/>
      <c r="YF246" s="17"/>
      <c r="YG246" s="17"/>
      <c r="YH246" s="17"/>
      <c r="YI246" s="17"/>
      <c r="YJ246" s="17"/>
      <c r="YK246" s="17"/>
      <c r="YL246" s="17"/>
      <c r="YM246" s="17"/>
      <c r="YN246" s="17"/>
      <c r="YO246" s="17"/>
      <c r="YP246" s="17"/>
      <c r="YQ246" s="17"/>
      <c r="YR246" s="17"/>
      <c r="YS246" s="17"/>
    </row>
    <row r="247" spans="266:669" x14ac:dyDescent="0.25">
      <c r="JF247" s="17"/>
      <c r="JG247" s="17"/>
      <c r="JH247" s="17"/>
      <c r="JI247" s="17"/>
      <c r="JJ247" s="17"/>
      <c r="JK247" s="17"/>
      <c r="JL247" s="17"/>
      <c r="JM247" s="17"/>
      <c r="JN247" s="17"/>
      <c r="JO247" s="17"/>
      <c r="JP247" s="17"/>
      <c r="JQ247" s="17"/>
      <c r="JR247" s="17"/>
      <c r="JS247" s="17"/>
      <c r="JT247" s="17"/>
      <c r="JU247" s="17"/>
      <c r="JV247" s="17"/>
      <c r="JW247" s="17"/>
      <c r="JX247" s="17"/>
      <c r="JY247" s="17"/>
      <c r="JZ247" s="17"/>
      <c r="KA247" s="17"/>
      <c r="KB247" s="17"/>
      <c r="KC247" s="17"/>
      <c r="KD247" s="17"/>
      <c r="KE247" s="17"/>
      <c r="KF247" s="17"/>
      <c r="KG247" s="17"/>
      <c r="KH247" s="17"/>
      <c r="KI247" s="17"/>
      <c r="KJ247" s="17"/>
      <c r="KK247" s="17"/>
      <c r="KL247" s="17"/>
      <c r="KM247" s="17"/>
      <c r="KN247" s="17"/>
      <c r="KO247" s="17"/>
      <c r="KP247" s="17"/>
      <c r="KQ247" s="17"/>
      <c r="KR247" s="17"/>
      <c r="KS247" s="17"/>
      <c r="KT247" s="17"/>
      <c r="KU247" s="17"/>
      <c r="KV247" s="17"/>
      <c r="KW247" s="17"/>
      <c r="KX247" s="17"/>
      <c r="KY247" s="17"/>
      <c r="KZ247" s="17"/>
      <c r="LA247" s="17"/>
      <c r="LB247" s="17"/>
      <c r="LC247" s="17"/>
      <c r="LD247" s="17"/>
      <c r="LE247" s="17"/>
      <c r="LF247" s="17"/>
      <c r="LG247" s="17"/>
      <c r="LH247" s="17"/>
      <c r="LI247" s="17"/>
      <c r="LJ247" s="17"/>
      <c r="LK247" s="17"/>
      <c r="LL247" s="17"/>
      <c r="LM247" s="17"/>
      <c r="LN247" s="17"/>
      <c r="LO247" s="17"/>
      <c r="LP247" s="17"/>
      <c r="LQ247" s="17"/>
      <c r="LR247" s="17"/>
      <c r="LS247" s="17"/>
      <c r="LT247" s="17"/>
      <c r="LU247" s="17"/>
      <c r="LV247" s="17"/>
      <c r="LW247" s="17"/>
      <c r="LX247" s="17"/>
      <c r="LY247" s="17"/>
      <c r="LZ247" s="17"/>
      <c r="MA247" s="17"/>
      <c r="MB247" s="17"/>
      <c r="MC247" s="17"/>
      <c r="MD247" s="17"/>
      <c r="ME247" s="17"/>
      <c r="MF247" s="17"/>
      <c r="MG247" s="17"/>
      <c r="MH247" s="17"/>
      <c r="MI247" s="17"/>
      <c r="MJ247" s="17"/>
      <c r="MK247" s="17"/>
      <c r="ML247" s="17"/>
      <c r="MM247" s="17"/>
      <c r="MN247" s="17"/>
      <c r="MO247" s="17"/>
      <c r="MP247" s="17"/>
      <c r="MQ247" s="17"/>
      <c r="MR247" s="17"/>
      <c r="MS247" s="17"/>
      <c r="MT247" s="17"/>
      <c r="MU247" s="17"/>
      <c r="MV247" s="17"/>
      <c r="MW247" s="17"/>
      <c r="MX247" s="17"/>
      <c r="MY247" s="17"/>
      <c r="MZ247" s="17"/>
      <c r="NA247" s="17"/>
      <c r="NB247" s="17"/>
      <c r="NC247" s="17"/>
      <c r="ND247" s="17"/>
      <c r="NE247" s="17"/>
      <c r="NF247" s="17"/>
      <c r="NG247" s="17"/>
      <c r="NH247" s="17"/>
      <c r="NI247" s="17"/>
      <c r="NJ247" s="17"/>
      <c r="NK247" s="17"/>
      <c r="NL247" s="17"/>
      <c r="NM247" s="17"/>
      <c r="NN247" s="17"/>
      <c r="NO247" s="17"/>
      <c r="NP247" s="17"/>
      <c r="NQ247" s="17"/>
      <c r="NR247" s="17"/>
      <c r="NS247" s="17"/>
      <c r="NT247" s="17"/>
      <c r="NU247" s="17"/>
      <c r="NV247" s="17"/>
      <c r="NW247" s="17"/>
      <c r="NX247" s="17"/>
      <c r="NY247" s="17"/>
      <c r="NZ247" s="17"/>
      <c r="OA247" s="17"/>
      <c r="OB247" s="17"/>
      <c r="OC247" s="17"/>
      <c r="OD247" s="17"/>
      <c r="OE247" s="17"/>
      <c r="OF247" s="17"/>
      <c r="OG247" s="17"/>
      <c r="OH247" s="17"/>
      <c r="OI247" s="17"/>
      <c r="OJ247" s="17"/>
      <c r="OK247" s="17"/>
      <c r="OL247" s="17"/>
      <c r="OM247" s="17"/>
      <c r="ON247" s="17"/>
      <c r="OO247" s="17"/>
      <c r="OP247" s="17"/>
      <c r="OQ247" s="17"/>
      <c r="OR247" s="17"/>
      <c r="OS247" s="17"/>
      <c r="OT247" s="17"/>
      <c r="OU247" s="17"/>
      <c r="OV247" s="17"/>
      <c r="OW247" s="17"/>
      <c r="OX247" s="17"/>
      <c r="OY247" s="17"/>
      <c r="OZ247" s="17"/>
      <c r="PA247" s="17"/>
      <c r="PB247" s="17"/>
      <c r="PC247" s="17"/>
      <c r="PD247" s="17"/>
      <c r="PE247" s="17"/>
      <c r="PF247" s="17"/>
      <c r="PG247" s="17"/>
      <c r="PH247" s="17"/>
      <c r="PI247" s="17"/>
      <c r="PJ247" s="17"/>
      <c r="PK247" s="17"/>
      <c r="PL247" s="17"/>
      <c r="PM247" s="17"/>
      <c r="PN247" s="17"/>
      <c r="PO247" s="17"/>
      <c r="PP247" s="17"/>
      <c r="PQ247" s="17"/>
      <c r="PR247" s="17"/>
      <c r="PS247" s="17"/>
      <c r="PT247" s="17"/>
      <c r="PU247" s="17"/>
      <c r="PV247" s="17"/>
      <c r="PW247" s="17"/>
      <c r="PX247" s="17"/>
      <c r="PY247" s="17"/>
      <c r="PZ247" s="17"/>
      <c r="QA247" s="17"/>
      <c r="QB247" s="17"/>
      <c r="QC247" s="17"/>
      <c r="QD247" s="17"/>
      <c r="QE247" s="17"/>
      <c r="QF247" s="17"/>
      <c r="QG247" s="17"/>
      <c r="QH247" s="17"/>
      <c r="QI247" s="17"/>
      <c r="QJ247" s="17"/>
      <c r="QK247" s="17"/>
      <c r="QL247" s="17"/>
      <c r="QM247" s="17"/>
      <c r="QN247" s="17"/>
      <c r="QO247" s="17"/>
      <c r="QP247" s="17"/>
      <c r="QQ247" s="17"/>
      <c r="QR247" s="17"/>
      <c r="QS247" s="17"/>
      <c r="QT247" s="17"/>
      <c r="QU247" s="17"/>
      <c r="QV247" s="17"/>
      <c r="QW247" s="17"/>
      <c r="QX247" s="17"/>
      <c r="QY247" s="17"/>
      <c r="QZ247" s="17"/>
      <c r="RA247" s="17"/>
      <c r="RB247" s="17"/>
      <c r="RC247" s="17"/>
      <c r="RD247" s="17"/>
      <c r="RE247" s="17"/>
      <c r="RF247" s="17"/>
      <c r="RG247" s="17"/>
      <c r="RH247" s="17"/>
      <c r="RI247" s="17"/>
      <c r="RJ247" s="17"/>
      <c r="RK247" s="17"/>
      <c r="RL247" s="17"/>
      <c r="RM247" s="17"/>
      <c r="RN247" s="17"/>
      <c r="RO247" s="17"/>
      <c r="RP247" s="17"/>
      <c r="RQ247" s="17"/>
      <c r="RR247" s="17"/>
      <c r="RS247" s="17"/>
      <c r="RT247" s="17"/>
      <c r="RU247" s="17"/>
      <c r="RV247" s="17"/>
      <c r="RW247" s="17"/>
      <c r="RX247" s="17"/>
      <c r="RY247" s="17"/>
      <c r="RZ247" s="17"/>
      <c r="SA247" s="17"/>
      <c r="SB247" s="17"/>
      <c r="SC247" s="17"/>
      <c r="SD247" s="17"/>
      <c r="SE247" s="17"/>
      <c r="SF247" s="17"/>
      <c r="SG247" s="17"/>
      <c r="SH247" s="17"/>
      <c r="SI247" s="17"/>
      <c r="SJ247" s="17"/>
      <c r="SK247" s="17"/>
      <c r="SL247" s="17"/>
      <c r="SM247" s="17"/>
      <c r="SN247" s="17"/>
      <c r="SO247" s="17"/>
      <c r="SP247" s="17"/>
      <c r="SQ247" s="17"/>
      <c r="SR247" s="17"/>
      <c r="SS247" s="17"/>
      <c r="ST247" s="17"/>
      <c r="SU247" s="17"/>
      <c r="SV247" s="17"/>
      <c r="SW247" s="17"/>
      <c r="SX247" s="17"/>
      <c r="SY247" s="17"/>
      <c r="SZ247" s="17"/>
      <c r="TA247" s="17"/>
      <c r="TB247" s="17"/>
      <c r="TC247" s="17"/>
      <c r="TD247" s="17"/>
      <c r="TE247" s="17"/>
      <c r="TF247" s="17"/>
      <c r="TG247" s="17"/>
      <c r="TH247" s="17"/>
      <c r="TI247" s="17"/>
      <c r="TJ247" s="17"/>
      <c r="TK247" s="17"/>
      <c r="TL247" s="17"/>
      <c r="TM247" s="17"/>
      <c r="TN247" s="17"/>
      <c r="TO247" s="17"/>
      <c r="TP247" s="17"/>
      <c r="TQ247" s="17"/>
      <c r="TR247" s="17"/>
      <c r="TS247" s="17"/>
      <c r="TT247" s="17"/>
      <c r="TU247" s="17"/>
      <c r="TV247" s="17"/>
      <c r="TW247" s="17"/>
      <c r="TX247" s="17"/>
      <c r="TY247" s="17"/>
      <c r="TZ247" s="17"/>
      <c r="UA247" s="17"/>
      <c r="UB247" s="17"/>
      <c r="UC247" s="17"/>
      <c r="UD247" s="17"/>
      <c r="UE247" s="17"/>
      <c r="UF247" s="17"/>
      <c r="UG247" s="17"/>
      <c r="UH247" s="17"/>
      <c r="UI247" s="17"/>
      <c r="UJ247" s="17"/>
      <c r="UK247" s="17"/>
      <c r="UL247" s="17"/>
      <c r="UM247" s="17"/>
      <c r="UN247" s="17"/>
      <c r="UO247" s="17"/>
      <c r="UP247" s="17"/>
      <c r="UQ247" s="17"/>
      <c r="UR247" s="17"/>
      <c r="US247" s="17"/>
      <c r="UT247" s="17"/>
      <c r="UU247" s="17"/>
      <c r="UV247" s="17"/>
      <c r="UW247" s="17"/>
      <c r="UX247" s="17"/>
      <c r="UY247" s="17"/>
      <c r="UZ247" s="17"/>
      <c r="VA247" s="17"/>
      <c r="VB247" s="17"/>
      <c r="VC247" s="17"/>
      <c r="VD247" s="17"/>
      <c r="VE247" s="17"/>
      <c r="VF247" s="17"/>
      <c r="VG247" s="17"/>
      <c r="VH247" s="17"/>
      <c r="VI247" s="17"/>
      <c r="VJ247" s="17"/>
      <c r="VK247" s="17"/>
      <c r="VL247" s="17"/>
      <c r="VM247" s="17"/>
      <c r="VN247" s="17"/>
      <c r="VO247" s="17"/>
      <c r="VP247" s="17"/>
      <c r="VQ247" s="17"/>
      <c r="VR247" s="17"/>
      <c r="VS247" s="17"/>
      <c r="VT247" s="17"/>
      <c r="VU247" s="17"/>
      <c r="VV247" s="17"/>
      <c r="VW247" s="17"/>
      <c r="VX247" s="17"/>
      <c r="VY247" s="17"/>
      <c r="VZ247" s="17"/>
      <c r="WA247" s="17"/>
      <c r="WB247" s="17"/>
      <c r="WC247" s="17"/>
      <c r="WD247" s="17"/>
      <c r="WE247" s="17"/>
      <c r="WF247" s="17"/>
      <c r="WG247" s="17"/>
      <c r="WH247" s="17"/>
      <c r="WI247" s="17"/>
      <c r="WJ247" s="17"/>
      <c r="WK247" s="17"/>
      <c r="WL247" s="17"/>
      <c r="WM247" s="17"/>
      <c r="WN247" s="17"/>
      <c r="WO247" s="17"/>
      <c r="WP247" s="17"/>
      <c r="WQ247" s="17"/>
      <c r="WR247" s="17"/>
      <c r="WS247" s="17"/>
      <c r="WT247" s="17"/>
      <c r="WU247" s="17"/>
      <c r="WV247" s="17"/>
      <c r="WW247" s="17"/>
      <c r="WX247" s="17"/>
      <c r="WY247" s="17"/>
      <c r="WZ247" s="17"/>
      <c r="XA247" s="17"/>
      <c r="XB247" s="17"/>
      <c r="XC247" s="17"/>
      <c r="XD247" s="17"/>
      <c r="XE247" s="17"/>
      <c r="XF247" s="17"/>
      <c r="XG247" s="17"/>
      <c r="XH247" s="17"/>
      <c r="XI247" s="17"/>
      <c r="XJ247" s="17"/>
      <c r="XK247" s="17"/>
      <c r="XL247" s="17"/>
      <c r="XM247" s="17"/>
      <c r="XN247" s="17"/>
      <c r="XO247" s="17"/>
      <c r="XP247" s="17"/>
      <c r="XQ247" s="17"/>
      <c r="XR247" s="17"/>
      <c r="XS247" s="17"/>
      <c r="XT247" s="17"/>
      <c r="XU247" s="17"/>
      <c r="XV247" s="17"/>
      <c r="XW247" s="17"/>
      <c r="XX247" s="17"/>
      <c r="XY247" s="17"/>
      <c r="XZ247" s="17"/>
      <c r="YA247" s="17"/>
      <c r="YB247" s="17"/>
      <c r="YC247" s="17"/>
      <c r="YD247" s="17"/>
      <c r="YE247" s="17"/>
      <c r="YF247" s="17"/>
      <c r="YG247" s="17"/>
      <c r="YH247" s="17"/>
      <c r="YI247" s="17"/>
      <c r="YJ247" s="17"/>
      <c r="YK247" s="17"/>
      <c r="YL247" s="17"/>
      <c r="YM247" s="17"/>
      <c r="YN247" s="17"/>
      <c r="YO247" s="17"/>
      <c r="YP247" s="17"/>
      <c r="YQ247" s="17"/>
      <c r="YR247" s="17"/>
      <c r="YS247" s="17"/>
    </row>
    <row r="248" spans="266:669" x14ac:dyDescent="0.25">
      <c r="JF248" s="17"/>
      <c r="JG248" s="17"/>
      <c r="JH248" s="17"/>
      <c r="JI248" s="17"/>
      <c r="JJ248" s="17"/>
      <c r="JK248" s="17"/>
      <c r="JL248" s="17"/>
      <c r="JM248" s="17"/>
      <c r="JN248" s="17"/>
      <c r="JO248" s="17"/>
      <c r="JP248" s="17"/>
      <c r="JQ248" s="17"/>
      <c r="JR248" s="17"/>
      <c r="JS248" s="17"/>
      <c r="JT248" s="17"/>
      <c r="JU248" s="17"/>
      <c r="JV248" s="17"/>
      <c r="JW248" s="17"/>
      <c r="JX248" s="17"/>
      <c r="JY248" s="17"/>
      <c r="JZ248" s="17"/>
      <c r="KA248" s="17"/>
      <c r="KB248" s="17"/>
      <c r="KC248" s="17"/>
      <c r="KD248" s="17"/>
      <c r="KE248" s="17"/>
      <c r="KF248" s="17"/>
      <c r="KG248" s="17"/>
      <c r="KH248" s="17"/>
      <c r="KI248" s="17"/>
      <c r="KJ248" s="17"/>
      <c r="KK248" s="17"/>
      <c r="KL248" s="17"/>
      <c r="KM248" s="17"/>
      <c r="KN248" s="17"/>
      <c r="KO248" s="17"/>
      <c r="KP248" s="17"/>
      <c r="KQ248" s="17"/>
      <c r="KR248" s="17"/>
      <c r="KS248" s="17"/>
      <c r="KT248" s="17"/>
      <c r="KU248" s="17"/>
      <c r="KV248" s="17"/>
      <c r="KW248" s="17"/>
      <c r="KX248" s="17"/>
      <c r="KY248" s="17"/>
      <c r="KZ248" s="17"/>
      <c r="LA248" s="17"/>
      <c r="LB248" s="17"/>
      <c r="LC248" s="17"/>
      <c r="LD248" s="17"/>
      <c r="LE248" s="17"/>
      <c r="LF248" s="17"/>
      <c r="LG248" s="17"/>
      <c r="LH248" s="17"/>
      <c r="LI248" s="17"/>
      <c r="LJ248" s="17"/>
      <c r="LK248" s="17"/>
      <c r="LL248" s="17"/>
      <c r="LM248" s="17"/>
      <c r="LN248" s="17"/>
      <c r="LO248" s="17"/>
      <c r="LP248" s="17"/>
      <c r="LQ248" s="17"/>
      <c r="LR248" s="17"/>
      <c r="LS248" s="17"/>
      <c r="LT248" s="17"/>
      <c r="LU248" s="17"/>
      <c r="LV248" s="17"/>
      <c r="LW248" s="17"/>
      <c r="LX248" s="17"/>
      <c r="LY248" s="17"/>
      <c r="LZ248" s="17"/>
      <c r="MA248" s="17"/>
      <c r="MB248" s="17"/>
      <c r="MC248" s="17"/>
      <c r="MD248" s="17"/>
      <c r="ME248" s="17"/>
      <c r="MF248" s="17"/>
      <c r="MG248" s="17"/>
      <c r="MH248" s="17"/>
      <c r="MI248" s="17"/>
      <c r="MJ248" s="17"/>
      <c r="MK248" s="17"/>
      <c r="ML248" s="17"/>
      <c r="MM248" s="17"/>
      <c r="MN248" s="17"/>
      <c r="MO248" s="17"/>
      <c r="MP248" s="17"/>
      <c r="MQ248" s="17"/>
      <c r="MR248" s="17"/>
      <c r="MS248" s="17"/>
      <c r="MT248" s="17"/>
      <c r="MU248" s="17"/>
      <c r="MV248" s="17"/>
      <c r="MW248" s="17"/>
      <c r="MX248" s="17"/>
      <c r="MY248" s="17"/>
      <c r="MZ248" s="17"/>
      <c r="NA248" s="17"/>
      <c r="NB248" s="17"/>
      <c r="NC248" s="17"/>
      <c r="ND248" s="17"/>
      <c r="NE248" s="17"/>
      <c r="NF248" s="17"/>
      <c r="NG248" s="17"/>
      <c r="NH248" s="17"/>
      <c r="NI248" s="17"/>
      <c r="NJ248" s="17"/>
      <c r="NK248" s="17"/>
      <c r="NL248" s="17"/>
      <c r="NM248" s="17"/>
      <c r="NN248" s="17"/>
      <c r="NO248" s="17"/>
      <c r="NP248" s="17"/>
      <c r="NQ248" s="17"/>
      <c r="NR248" s="17"/>
      <c r="NS248" s="17"/>
      <c r="NT248" s="17"/>
      <c r="NU248" s="17"/>
      <c r="NV248" s="17"/>
      <c r="NW248" s="17"/>
      <c r="NX248" s="17"/>
      <c r="NY248" s="17"/>
      <c r="NZ248" s="17"/>
      <c r="OA248" s="17"/>
      <c r="OB248" s="17"/>
      <c r="OC248" s="17"/>
      <c r="OD248" s="17"/>
      <c r="OE248" s="17"/>
      <c r="OF248" s="17"/>
      <c r="OG248" s="17"/>
      <c r="OH248" s="17"/>
      <c r="OI248" s="17"/>
      <c r="OJ248" s="17"/>
      <c r="OK248" s="17"/>
      <c r="OL248" s="17"/>
      <c r="OM248" s="17"/>
      <c r="ON248" s="17"/>
      <c r="OO248" s="17"/>
      <c r="OP248" s="17"/>
      <c r="OQ248" s="17"/>
      <c r="OR248" s="17"/>
      <c r="OS248" s="17"/>
      <c r="OT248" s="17"/>
      <c r="OU248" s="17"/>
      <c r="OV248" s="17"/>
      <c r="OW248" s="17"/>
      <c r="OX248" s="17"/>
      <c r="OY248" s="17"/>
      <c r="OZ248" s="17"/>
      <c r="PA248" s="17"/>
      <c r="PB248" s="17"/>
      <c r="PC248" s="17"/>
      <c r="PD248" s="17"/>
      <c r="PE248" s="17"/>
      <c r="PF248" s="17"/>
      <c r="PG248" s="17"/>
      <c r="PH248" s="17"/>
      <c r="PI248" s="17"/>
      <c r="PJ248" s="17"/>
      <c r="PK248" s="17"/>
      <c r="PL248" s="17"/>
      <c r="PM248" s="17"/>
      <c r="PN248" s="17"/>
      <c r="PO248" s="17"/>
      <c r="PP248" s="17"/>
      <c r="PQ248" s="17"/>
      <c r="PR248" s="17"/>
      <c r="PS248" s="17"/>
      <c r="PT248" s="17"/>
      <c r="PU248" s="17"/>
      <c r="PV248" s="17"/>
      <c r="PW248" s="17"/>
      <c r="PX248" s="17"/>
      <c r="PY248" s="17"/>
      <c r="PZ248" s="17"/>
      <c r="QA248" s="17"/>
      <c r="QB248" s="17"/>
      <c r="QC248" s="17"/>
      <c r="QD248" s="17"/>
      <c r="QE248" s="17"/>
      <c r="QF248" s="17"/>
      <c r="QG248" s="17"/>
      <c r="QH248" s="17"/>
      <c r="QI248" s="17"/>
      <c r="QJ248" s="17"/>
      <c r="QK248" s="17"/>
      <c r="QL248" s="17"/>
      <c r="QM248" s="17"/>
      <c r="QN248" s="17"/>
      <c r="QO248" s="17"/>
      <c r="QP248" s="17"/>
      <c r="QQ248" s="17"/>
      <c r="QR248" s="17"/>
      <c r="QS248" s="17"/>
      <c r="QT248" s="17"/>
      <c r="QU248" s="17"/>
      <c r="QV248" s="17"/>
      <c r="QW248" s="17"/>
      <c r="QX248" s="17"/>
      <c r="QY248" s="17"/>
      <c r="QZ248" s="17"/>
      <c r="RA248" s="17"/>
      <c r="RB248" s="17"/>
      <c r="RC248" s="17"/>
      <c r="RD248" s="17"/>
      <c r="RE248" s="17"/>
      <c r="RF248" s="17"/>
      <c r="RG248" s="17"/>
      <c r="RH248" s="17"/>
      <c r="RI248" s="17"/>
      <c r="RJ248" s="17"/>
      <c r="RK248" s="17"/>
      <c r="RL248" s="17"/>
      <c r="RM248" s="17"/>
      <c r="RN248" s="17"/>
      <c r="RO248" s="17"/>
      <c r="RP248" s="17"/>
      <c r="RQ248" s="17"/>
      <c r="RR248" s="17"/>
      <c r="RS248" s="17"/>
      <c r="RT248" s="17"/>
      <c r="RU248" s="17"/>
      <c r="RV248" s="17"/>
      <c r="RW248" s="17"/>
      <c r="RX248" s="17"/>
      <c r="RY248" s="17"/>
      <c r="RZ248" s="17"/>
      <c r="SA248" s="17"/>
      <c r="SB248" s="17"/>
      <c r="SC248" s="17"/>
      <c r="SD248" s="17"/>
      <c r="SE248" s="17"/>
      <c r="SF248" s="17"/>
      <c r="SG248" s="17"/>
      <c r="SH248" s="17"/>
      <c r="SI248" s="17"/>
      <c r="SJ248" s="17"/>
      <c r="SK248" s="17"/>
      <c r="SL248" s="17"/>
      <c r="SM248" s="17"/>
      <c r="SN248" s="17"/>
      <c r="SO248" s="17"/>
      <c r="SP248" s="17"/>
      <c r="SQ248" s="17"/>
      <c r="SR248" s="17"/>
      <c r="SS248" s="17"/>
      <c r="ST248" s="17"/>
      <c r="SU248" s="17"/>
      <c r="SV248" s="17"/>
      <c r="SW248" s="17"/>
      <c r="SX248" s="17"/>
      <c r="SY248" s="17"/>
      <c r="SZ248" s="17"/>
      <c r="TA248" s="17"/>
      <c r="TB248" s="17"/>
      <c r="TC248" s="17"/>
      <c r="TD248" s="17"/>
      <c r="TE248" s="17"/>
      <c r="TF248" s="17"/>
      <c r="TG248" s="17"/>
      <c r="TH248" s="17"/>
      <c r="TI248" s="17"/>
      <c r="TJ248" s="17"/>
      <c r="TK248" s="17"/>
      <c r="TL248" s="17"/>
      <c r="TM248" s="17"/>
      <c r="TN248" s="17"/>
      <c r="TO248" s="17"/>
      <c r="TP248" s="17"/>
      <c r="TQ248" s="17"/>
      <c r="TR248" s="17"/>
      <c r="TS248" s="17"/>
      <c r="TT248" s="17"/>
      <c r="TU248" s="17"/>
      <c r="TV248" s="17"/>
      <c r="TW248" s="17"/>
      <c r="TX248" s="17"/>
      <c r="TY248" s="17"/>
      <c r="TZ248" s="17"/>
      <c r="UA248" s="17"/>
      <c r="UB248" s="17"/>
      <c r="UC248" s="17"/>
      <c r="UD248" s="17"/>
      <c r="UE248" s="17"/>
      <c r="UF248" s="17"/>
      <c r="UG248" s="17"/>
      <c r="UH248" s="17"/>
      <c r="UI248" s="17"/>
      <c r="UJ248" s="17"/>
      <c r="UK248" s="17"/>
      <c r="UL248" s="17"/>
      <c r="UM248" s="17"/>
      <c r="UN248" s="17"/>
      <c r="UO248" s="17"/>
      <c r="UP248" s="17"/>
      <c r="UQ248" s="17"/>
      <c r="UR248" s="17"/>
      <c r="US248" s="17"/>
      <c r="UT248" s="17"/>
      <c r="UU248" s="17"/>
      <c r="UV248" s="17"/>
      <c r="UW248" s="17"/>
      <c r="UX248" s="17"/>
      <c r="UY248" s="17"/>
      <c r="UZ248" s="17"/>
      <c r="VA248" s="17"/>
      <c r="VB248" s="17"/>
      <c r="VC248" s="17"/>
      <c r="VD248" s="17"/>
      <c r="VE248" s="17"/>
      <c r="VF248" s="17"/>
      <c r="VG248" s="17"/>
      <c r="VH248" s="17"/>
      <c r="VI248" s="17"/>
      <c r="VJ248" s="17"/>
      <c r="VK248" s="17"/>
      <c r="VL248" s="17"/>
      <c r="VM248" s="17"/>
      <c r="VN248" s="17"/>
      <c r="VO248" s="17"/>
      <c r="VP248" s="17"/>
      <c r="VQ248" s="17"/>
      <c r="VR248" s="17"/>
      <c r="VS248" s="17"/>
      <c r="VT248" s="17"/>
      <c r="VU248" s="17"/>
      <c r="VV248" s="17"/>
      <c r="VW248" s="17"/>
      <c r="VX248" s="17"/>
      <c r="VY248" s="17"/>
      <c r="VZ248" s="17"/>
      <c r="WA248" s="17"/>
      <c r="WB248" s="17"/>
      <c r="WC248" s="17"/>
      <c r="WD248" s="17"/>
      <c r="WE248" s="17"/>
      <c r="WF248" s="17"/>
      <c r="WG248" s="17"/>
      <c r="WH248" s="17"/>
      <c r="WI248" s="17"/>
      <c r="WJ248" s="17"/>
      <c r="WK248" s="17"/>
      <c r="WL248" s="17"/>
      <c r="WM248" s="17"/>
      <c r="WN248" s="17"/>
      <c r="WO248" s="17"/>
      <c r="WP248" s="17"/>
      <c r="WQ248" s="17"/>
      <c r="WR248" s="17"/>
      <c r="WS248" s="17"/>
      <c r="WT248" s="17"/>
      <c r="WU248" s="17"/>
      <c r="WV248" s="17"/>
      <c r="WW248" s="17"/>
      <c r="WX248" s="17"/>
      <c r="WY248" s="17"/>
      <c r="WZ248" s="17"/>
      <c r="XA248" s="17"/>
      <c r="XB248" s="17"/>
      <c r="XC248" s="17"/>
      <c r="XD248" s="17"/>
      <c r="XE248" s="17"/>
      <c r="XF248" s="17"/>
      <c r="XG248" s="17"/>
      <c r="XH248" s="17"/>
      <c r="XI248" s="17"/>
      <c r="XJ248" s="17"/>
      <c r="XK248" s="17"/>
      <c r="XL248" s="17"/>
      <c r="XM248" s="17"/>
      <c r="XN248" s="17"/>
      <c r="XO248" s="17"/>
      <c r="XP248" s="17"/>
      <c r="XQ248" s="17"/>
      <c r="XR248" s="17"/>
      <c r="XS248" s="17"/>
      <c r="XT248" s="17"/>
      <c r="XU248" s="17"/>
      <c r="XV248" s="17"/>
      <c r="XW248" s="17"/>
      <c r="XX248" s="17"/>
      <c r="XY248" s="17"/>
      <c r="XZ248" s="17"/>
      <c r="YA248" s="17"/>
      <c r="YB248" s="17"/>
      <c r="YC248" s="17"/>
      <c r="YD248" s="17"/>
      <c r="YE248" s="17"/>
      <c r="YF248" s="17"/>
      <c r="YG248" s="17"/>
      <c r="YH248" s="17"/>
      <c r="YI248" s="17"/>
      <c r="YJ248" s="17"/>
      <c r="YK248" s="17"/>
      <c r="YL248" s="17"/>
      <c r="YM248" s="17"/>
      <c r="YN248" s="17"/>
      <c r="YO248" s="17"/>
      <c r="YP248" s="17"/>
      <c r="YQ248" s="17"/>
      <c r="YR248" s="17"/>
      <c r="YS248" s="17"/>
    </row>
    <row r="249" spans="266:669" x14ac:dyDescent="0.25">
      <c r="JF249" s="17"/>
      <c r="JG249" s="17"/>
      <c r="JH249" s="17"/>
      <c r="JI249" s="17"/>
      <c r="JJ249" s="17"/>
      <c r="JK249" s="17"/>
      <c r="JL249" s="17"/>
      <c r="JM249" s="17"/>
      <c r="JN249" s="17"/>
      <c r="JO249" s="17"/>
      <c r="JP249" s="17"/>
      <c r="JQ249" s="17"/>
      <c r="JR249" s="17"/>
      <c r="JS249" s="17"/>
      <c r="JT249" s="17"/>
      <c r="JU249" s="17"/>
      <c r="JV249" s="17"/>
      <c r="JW249" s="17"/>
      <c r="JX249" s="17"/>
      <c r="JY249" s="17"/>
      <c r="JZ249" s="17"/>
      <c r="KA249" s="17"/>
      <c r="KB249" s="17"/>
      <c r="KC249" s="17"/>
      <c r="KD249" s="17"/>
      <c r="KE249" s="17"/>
      <c r="KF249" s="17"/>
      <c r="KG249" s="17"/>
      <c r="KH249" s="17"/>
      <c r="KI249" s="17"/>
      <c r="KJ249" s="17"/>
      <c r="KK249" s="17"/>
      <c r="KL249" s="17"/>
      <c r="KM249" s="17"/>
      <c r="KN249" s="17"/>
      <c r="KO249" s="17"/>
      <c r="KP249" s="17"/>
      <c r="KQ249" s="17"/>
      <c r="KR249" s="17"/>
      <c r="KS249" s="17"/>
      <c r="KT249" s="17"/>
      <c r="KU249" s="17"/>
      <c r="KV249" s="17"/>
      <c r="KW249" s="17"/>
      <c r="KX249" s="17"/>
      <c r="KY249" s="17"/>
      <c r="KZ249" s="17"/>
      <c r="LA249" s="17"/>
      <c r="LB249" s="17"/>
      <c r="LC249" s="17"/>
      <c r="LD249" s="17"/>
      <c r="LE249" s="17"/>
      <c r="LF249" s="17"/>
      <c r="LG249" s="17"/>
      <c r="LH249" s="17"/>
      <c r="LI249" s="17"/>
      <c r="LJ249" s="17"/>
      <c r="LK249" s="17"/>
      <c r="LL249" s="17"/>
      <c r="LM249" s="17"/>
      <c r="LN249" s="17"/>
      <c r="LO249" s="17"/>
      <c r="LP249" s="17"/>
      <c r="LQ249" s="17"/>
      <c r="LR249" s="17"/>
      <c r="LS249" s="17"/>
      <c r="LT249" s="17"/>
      <c r="LU249" s="17"/>
      <c r="LV249" s="17"/>
      <c r="LW249" s="17"/>
      <c r="LX249" s="17"/>
      <c r="LY249" s="17"/>
      <c r="LZ249" s="17"/>
      <c r="MA249" s="17"/>
      <c r="MB249" s="17"/>
      <c r="MC249" s="17"/>
      <c r="MD249" s="17"/>
      <c r="ME249" s="17"/>
      <c r="MF249" s="17"/>
      <c r="MG249" s="17"/>
      <c r="MH249" s="17"/>
      <c r="MI249" s="17"/>
      <c r="MJ249" s="17"/>
      <c r="MK249" s="17"/>
      <c r="ML249" s="17"/>
      <c r="MM249" s="17"/>
      <c r="MN249" s="17"/>
      <c r="MO249" s="17"/>
      <c r="MP249" s="17"/>
      <c r="MQ249" s="17"/>
      <c r="MR249" s="17"/>
      <c r="MS249" s="17"/>
      <c r="MT249" s="17"/>
      <c r="MU249" s="17"/>
      <c r="MV249" s="17"/>
      <c r="MW249" s="17"/>
      <c r="MX249" s="17"/>
      <c r="MY249" s="17"/>
      <c r="MZ249" s="17"/>
      <c r="NA249" s="17"/>
      <c r="NB249" s="17"/>
      <c r="NC249" s="17"/>
      <c r="ND249" s="17"/>
      <c r="NE249" s="17"/>
      <c r="NF249" s="17"/>
      <c r="NG249" s="17"/>
      <c r="NH249" s="17"/>
      <c r="NI249" s="17"/>
      <c r="NJ249" s="17"/>
      <c r="NK249" s="17"/>
      <c r="NL249" s="17"/>
      <c r="NM249" s="17"/>
      <c r="NN249" s="17"/>
      <c r="NO249" s="17"/>
      <c r="NP249" s="17"/>
      <c r="NQ249" s="17"/>
      <c r="NR249" s="17"/>
      <c r="NS249" s="17"/>
      <c r="NT249" s="17"/>
      <c r="NU249" s="17"/>
      <c r="NV249" s="17"/>
      <c r="NW249" s="17"/>
      <c r="NX249" s="17"/>
      <c r="NY249" s="17"/>
      <c r="NZ249" s="17"/>
      <c r="OA249" s="17"/>
      <c r="OB249" s="17"/>
      <c r="OC249" s="17"/>
      <c r="OD249" s="17"/>
      <c r="OE249" s="17"/>
      <c r="OF249" s="17"/>
      <c r="OG249" s="17"/>
      <c r="OH249" s="17"/>
      <c r="OI249" s="17"/>
      <c r="OJ249" s="17"/>
      <c r="OK249" s="17"/>
      <c r="OL249" s="17"/>
      <c r="OM249" s="17"/>
      <c r="ON249" s="17"/>
      <c r="OO249" s="17"/>
      <c r="OP249" s="17"/>
      <c r="OQ249" s="17"/>
      <c r="OR249" s="17"/>
      <c r="OS249" s="17"/>
      <c r="OT249" s="17"/>
      <c r="OU249" s="17"/>
      <c r="OV249" s="17"/>
      <c r="OW249" s="17"/>
      <c r="OX249" s="17"/>
      <c r="OY249" s="17"/>
      <c r="OZ249" s="17"/>
      <c r="PA249" s="17"/>
      <c r="PB249" s="17"/>
      <c r="PC249" s="17"/>
      <c r="PD249" s="17"/>
      <c r="PE249" s="17"/>
      <c r="PF249" s="17"/>
      <c r="PG249" s="17"/>
      <c r="PH249" s="17"/>
      <c r="PI249" s="17"/>
      <c r="PJ249" s="17"/>
      <c r="PK249" s="17"/>
      <c r="PL249" s="17"/>
      <c r="PM249" s="17"/>
      <c r="PN249" s="17"/>
      <c r="PO249" s="17"/>
      <c r="PP249" s="17"/>
      <c r="PQ249" s="17"/>
      <c r="PR249" s="17"/>
      <c r="PS249" s="17"/>
      <c r="PT249" s="17"/>
      <c r="PU249" s="17"/>
      <c r="PV249" s="17"/>
      <c r="PW249" s="17"/>
      <c r="PX249" s="17"/>
      <c r="PY249" s="17"/>
      <c r="PZ249" s="17"/>
      <c r="QA249" s="17"/>
      <c r="QB249" s="17"/>
      <c r="QC249" s="17"/>
      <c r="QD249" s="17"/>
      <c r="QE249" s="17"/>
      <c r="QF249" s="17"/>
      <c r="QG249" s="17"/>
      <c r="QH249" s="17"/>
      <c r="QI249" s="17"/>
      <c r="QJ249" s="17"/>
      <c r="QK249" s="17"/>
      <c r="QL249" s="17"/>
      <c r="QM249" s="17"/>
      <c r="QN249" s="17"/>
      <c r="QO249" s="17"/>
      <c r="QP249" s="17"/>
      <c r="QQ249" s="17"/>
      <c r="QR249" s="17"/>
      <c r="QS249" s="17"/>
      <c r="QT249" s="17"/>
      <c r="QU249" s="17"/>
      <c r="QV249" s="17"/>
      <c r="QW249" s="17"/>
      <c r="QX249" s="17"/>
      <c r="QY249" s="17"/>
      <c r="QZ249" s="17"/>
      <c r="RA249" s="17"/>
      <c r="RB249" s="17"/>
      <c r="RC249" s="17"/>
      <c r="RD249" s="17"/>
      <c r="RE249" s="17"/>
      <c r="RF249" s="17"/>
      <c r="RG249" s="17"/>
      <c r="RH249" s="17"/>
      <c r="RI249" s="17"/>
      <c r="RJ249" s="17"/>
      <c r="RK249" s="17"/>
      <c r="RL249" s="17"/>
      <c r="RM249" s="17"/>
      <c r="RN249" s="17"/>
      <c r="RO249" s="17"/>
      <c r="RP249" s="17"/>
      <c r="RQ249" s="17"/>
      <c r="RR249" s="17"/>
      <c r="RS249" s="17"/>
      <c r="RT249" s="17"/>
      <c r="RU249" s="17"/>
      <c r="RV249" s="17"/>
      <c r="RW249" s="17"/>
      <c r="RX249" s="17"/>
      <c r="RY249" s="17"/>
      <c r="RZ249" s="17"/>
      <c r="SA249" s="17"/>
      <c r="SB249" s="17"/>
      <c r="SC249" s="17"/>
      <c r="SD249" s="17"/>
      <c r="SE249" s="17"/>
      <c r="SF249" s="17"/>
      <c r="SG249" s="17"/>
      <c r="SH249" s="17"/>
      <c r="SI249" s="17"/>
      <c r="SJ249" s="17"/>
      <c r="SK249" s="17"/>
      <c r="SL249" s="17"/>
      <c r="SM249" s="17"/>
      <c r="SN249" s="17"/>
      <c r="SO249" s="17"/>
      <c r="SP249" s="17"/>
      <c r="SQ249" s="17"/>
      <c r="SR249" s="17"/>
      <c r="SS249" s="17"/>
      <c r="ST249" s="17"/>
      <c r="SU249" s="17"/>
      <c r="SV249" s="17"/>
      <c r="SW249" s="17"/>
      <c r="SX249" s="17"/>
      <c r="SY249" s="17"/>
      <c r="SZ249" s="17"/>
      <c r="TA249" s="17"/>
      <c r="TB249" s="17"/>
      <c r="TC249" s="17"/>
      <c r="TD249" s="17"/>
      <c r="TE249" s="17"/>
      <c r="TF249" s="17"/>
      <c r="TG249" s="17"/>
      <c r="TH249" s="17"/>
      <c r="TI249" s="17"/>
      <c r="TJ249" s="17"/>
      <c r="TK249" s="17"/>
      <c r="TL249" s="17"/>
      <c r="TM249" s="17"/>
      <c r="TN249" s="17"/>
      <c r="TO249" s="17"/>
      <c r="TP249" s="17"/>
      <c r="TQ249" s="17"/>
      <c r="TR249" s="17"/>
      <c r="TS249" s="17"/>
      <c r="TT249" s="17"/>
      <c r="TU249" s="17"/>
      <c r="TV249" s="17"/>
      <c r="TW249" s="17"/>
      <c r="TX249" s="17"/>
      <c r="TY249" s="17"/>
      <c r="TZ249" s="17"/>
      <c r="UA249" s="17"/>
      <c r="UB249" s="17"/>
      <c r="UC249" s="17"/>
      <c r="UD249" s="17"/>
      <c r="UE249" s="17"/>
      <c r="UF249" s="17"/>
      <c r="UG249" s="17"/>
      <c r="UH249" s="17"/>
      <c r="UI249" s="17"/>
      <c r="UJ249" s="17"/>
      <c r="UK249" s="17"/>
      <c r="UL249" s="17"/>
      <c r="UM249" s="17"/>
      <c r="UN249" s="17"/>
      <c r="UO249" s="17"/>
      <c r="UP249" s="17"/>
      <c r="UQ249" s="17"/>
      <c r="UR249" s="17"/>
      <c r="US249" s="17"/>
      <c r="UT249" s="17"/>
      <c r="UU249" s="17"/>
      <c r="UV249" s="17"/>
      <c r="UW249" s="17"/>
      <c r="UX249" s="17"/>
      <c r="UY249" s="17"/>
      <c r="UZ249" s="17"/>
      <c r="VA249" s="17"/>
      <c r="VB249" s="17"/>
      <c r="VC249" s="17"/>
      <c r="VD249" s="17"/>
      <c r="VE249" s="17"/>
      <c r="VF249" s="17"/>
      <c r="VG249" s="17"/>
      <c r="VH249" s="17"/>
      <c r="VI249" s="17"/>
      <c r="VJ249" s="17"/>
      <c r="VK249" s="17"/>
      <c r="VL249" s="17"/>
      <c r="VM249" s="17"/>
      <c r="VN249" s="17"/>
      <c r="VO249" s="17"/>
      <c r="VP249" s="17"/>
      <c r="VQ249" s="17"/>
      <c r="VR249" s="17"/>
      <c r="VS249" s="17"/>
      <c r="VT249" s="17"/>
      <c r="VU249" s="17"/>
      <c r="VV249" s="17"/>
      <c r="VW249" s="17"/>
      <c r="VX249" s="17"/>
      <c r="VY249" s="17"/>
      <c r="VZ249" s="17"/>
      <c r="WA249" s="17"/>
      <c r="WB249" s="17"/>
      <c r="WC249" s="17"/>
      <c r="WD249" s="17"/>
      <c r="WE249" s="17"/>
      <c r="WF249" s="17"/>
      <c r="WG249" s="17"/>
      <c r="WH249" s="17"/>
      <c r="WI249" s="17"/>
      <c r="WJ249" s="17"/>
      <c r="WK249" s="17"/>
      <c r="WL249" s="17"/>
      <c r="WM249" s="17"/>
      <c r="WN249" s="17"/>
      <c r="WO249" s="17"/>
      <c r="WP249" s="17"/>
      <c r="WQ249" s="17"/>
      <c r="WR249" s="17"/>
      <c r="WS249" s="17"/>
      <c r="WT249" s="17"/>
      <c r="WU249" s="17"/>
      <c r="WV249" s="17"/>
      <c r="WW249" s="17"/>
      <c r="WX249" s="17"/>
      <c r="WY249" s="17"/>
      <c r="WZ249" s="17"/>
      <c r="XA249" s="17"/>
      <c r="XB249" s="17"/>
      <c r="XC249" s="17"/>
      <c r="XD249" s="17"/>
      <c r="XE249" s="17"/>
      <c r="XF249" s="17"/>
      <c r="XG249" s="17"/>
      <c r="XH249" s="17"/>
      <c r="XI249" s="17"/>
      <c r="XJ249" s="17"/>
      <c r="XK249" s="17"/>
      <c r="XL249" s="17"/>
      <c r="XM249" s="17"/>
      <c r="XN249" s="17"/>
      <c r="XO249" s="17"/>
      <c r="XP249" s="17"/>
      <c r="XQ249" s="17"/>
      <c r="XR249" s="17"/>
      <c r="XS249" s="17"/>
      <c r="XT249" s="17"/>
      <c r="XU249" s="17"/>
      <c r="XV249" s="17"/>
      <c r="XW249" s="17"/>
      <c r="XX249" s="17"/>
      <c r="XY249" s="17"/>
      <c r="XZ249" s="17"/>
      <c r="YA249" s="17"/>
      <c r="YB249" s="17"/>
      <c r="YC249" s="17"/>
      <c r="YD249" s="17"/>
      <c r="YE249" s="17"/>
      <c r="YF249" s="17"/>
      <c r="YG249" s="17"/>
      <c r="YH249" s="17"/>
      <c r="YI249" s="17"/>
      <c r="YJ249" s="17"/>
      <c r="YK249" s="17"/>
      <c r="YL249" s="17"/>
      <c r="YM249" s="17"/>
      <c r="YN249" s="17"/>
      <c r="YO249" s="17"/>
      <c r="YP249" s="17"/>
      <c r="YQ249" s="17"/>
      <c r="YR249" s="17"/>
      <c r="YS249" s="17"/>
    </row>
    <row r="250" spans="266:669" x14ac:dyDescent="0.25">
      <c r="JF250" s="17"/>
      <c r="JG250" s="17"/>
      <c r="JH250" s="17"/>
      <c r="JI250" s="17"/>
      <c r="JJ250" s="17"/>
      <c r="JK250" s="17"/>
      <c r="JL250" s="17"/>
      <c r="JM250" s="17"/>
      <c r="JN250" s="17"/>
      <c r="JO250" s="17"/>
      <c r="JP250" s="17"/>
      <c r="JQ250" s="17"/>
      <c r="JR250" s="17"/>
      <c r="JS250" s="17"/>
      <c r="JT250" s="17"/>
      <c r="JU250" s="17"/>
      <c r="JV250" s="17"/>
      <c r="JW250" s="17"/>
      <c r="JX250" s="17"/>
      <c r="JY250" s="17"/>
      <c r="JZ250" s="17"/>
      <c r="KA250" s="17"/>
      <c r="KB250" s="17"/>
      <c r="KC250" s="17"/>
      <c r="KD250" s="17"/>
      <c r="KE250" s="17"/>
      <c r="KF250" s="17"/>
      <c r="KG250" s="17"/>
      <c r="KH250" s="17"/>
      <c r="KI250" s="17"/>
      <c r="KJ250" s="17"/>
      <c r="KK250" s="17"/>
      <c r="KL250" s="17"/>
      <c r="KM250" s="17"/>
      <c r="KN250" s="17"/>
      <c r="KO250" s="17"/>
      <c r="KP250" s="17"/>
      <c r="KQ250" s="17"/>
      <c r="KR250" s="17"/>
      <c r="KS250" s="17"/>
      <c r="KT250" s="17"/>
      <c r="KU250" s="17"/>
      <c r="KV250" s="17"/>
      <c r="KW250" s="17"/>
      <c r="KX250" s="17"/>
      <c r="KY250" s="17"/>
      <c r="KZ250" s="17"/>
      <c r="LA250" s="17"/>
      <c r="LB250" s="17"/>
      <c r="LC250" s="17"/>
      <c r="LD250" s="17"/>
      <c r="LE250" s="17"/>
      <c r="LF250" s="17"/>
      <c r="LG250" s="17"/>
      <c r="LH250" s="17"/>
      <c r="LI250" s="17"/>
      <c r="LJ250" s="17"/>
      <c r="LK250" s="17"/>
      <c r="LL250" s="17"/>
      <c r="LM250" s="17"/>
      <c r="LN250" s="17"/>
      <c r="LO250" s="17"/>
      <c r="LP250" s="17"/>
      <c r="LQ250" s="17"/>
      <c r="LR250" s="17"/>
      <c r="LS250" s="17"/>
      <c r="LT250" s="17"/>
      <c r="LU250" s="17"/>
      <c r="LV250" s="17"/>
      <c r="LW250" s="17"/>
      <c r="LX250" s="17"/>
      <c r="LY250" s="17"/>
      <c r="LZ250" s="17"/>
      <c r="MA250" s="17"/>
      <c r="MB250" s="17"/>
      <c r="MC250" s="17"/>
      <c r="MD250" s="17"/>
      <c r="ME250" s="17"/>
      <c r="MF250" s="17"/>
      <c r="MG250" s="17"/>
      <c r="MH250" s="17"/>
      <c r="MI250" s="17"/>
      <c r="MJ250" s="17"/>
      <c r="MK250" s="17"/>
      <c r="ML250" s="17"/>
      <c r="MM250" s="17"/>
      <c r="MN250" s="17"/>
      <c r="MO250" s="17"/>
      <c r="MP250" s="17"/>
      <c r="MQ250" s="17"/>
      <c r="MR250" s="17"/>
      <c r="MS250" s="17"/>
      <c r="MT250" s="17"/>
      <c r="MU250" s="17"/>
      <c r="MV250" s="17"/>
      <c r="MW250" s="17"/>
      <c r="MX250" s="17"/>
      <c r="MY250" s="17"/>
      <c r="MZ250" s="17"/>
      <c r="NA250" s="17"/>
      <c r="NB250" s="17"/>
      <c r="NC250" s="17"/>
      <c r="ND250" s="17"/>
      <c r="NE250" s="17"/>
      <c r="NF250" s="17"/>
      <c r="NG250" s="17"/>
      <c r="NH250" s="17"/>
      <c r="NI250" s="17"/>
      <c r="NJ250" s="17"/>
      <c r="NK250" s="17"/>
      <c r="NL250" s="17"/>
      <c r="NM250" s="17"/>
      <c r="NN250" s="17"/>
      <c r="NO250" s="17"/>
      <c r="NP250" s="17"/>
      <c r="NQ250" s="17"/>
      <c r="NR250" s="17"/>
      <c r="NS250" s="17"/>
      <c r="NT250" s="17"/>
      <c r="NU250" s="17"/>
      <c r="NV250" s="17"/>
      <c r="NW250" s="17"/>
      <c r="NX250" s="17"/>
      <c r="NY250" s="17"/>
      <c r="NZ250" s="17"/>
      <c r="OA250" s="17"/>
      <c r="OB250" s="17"/>
      <c r="OC250" s="17"/>
      <c r="OD250" s="17"/>
      <c r="OE250" s="17"/>
      <c r="OF250" s="17"/>
      <c r="OG250" s="17"/>
      <c r="OH250" s="17"/>
      <c r="OI250" s="17"/>
      <c r="OJ250" s="17"/>
      <c r="OK250" s="17"/>
      <c r="OL250" s="17"/>
      <c r="OM250" s="17"/>
      <c r="ON250" s="17"/>
      <c r="OO250" s="17"/>
      <c r="OP250" s="17"/>
      <c r="OQ250" s="17"/>
      <c r="OR250" s="17"/>
      <c r="OS250" s="17"/>
      <c r="OT250" s="17"/>
      <c r="OU250" s="17"/>
      <c r="OV250" s="17"/>
      <c r="OW250" s="17"/>
      <c r="OX250" s="17"/>
      <c r="OY250" s="17"/>
      <c r="OZ250" s="17"/>
      <c r="PA250" s="17"/>
      <c r="PB250" s="17"/>
      <c r="PC250" s="17"/>
      <c r="PD250" s="17"/>
      <c r="PE250" s="17"/>
      <c r="PF250" s="17"/>
      <c r="PG250" s="17"/>
      <c r="PH250" s="17"/>
      <c r="PI250" s="17"/>
      <c r="PJ250" s="17"/>
      <c r="PK250" s="17"/>
      <c r="PL250" s="17"/>
      <c r="PM250" s="17"/>
      <c r="PN250" s="17"/>
      <c r="PO250" s="17"/>
      <c r="PP250" s="17"/>
      <c r="PQ250" s="17"/>
      <c r="PR250" s="17"/>
      <c r="PS250" s="17"/>
      <c r="PT250" s="17"/>
      <c r="PU250" s="17"/>
      <c r="PV250" s="17"/>
      <c r="PW250" s="17"/>
      <c r="PX250" s="17"/>
      <c r="PY250" s="17"/>
      <c r="PZ250" s="17"/>
      <c r="QA250" s="17"/>
      <c r="QB250" s="17"/>
      <c r="QC250" s="17"/>
      <c r="QD250" s="17"/>
      <c r="QE250" s="17"/>
      <c r="QF250" s="17"/>
      <c r="QG250" s="17"/>
      <c r="QH250" s="17"/>
      <c r="QI250" s="17"/>
      <c r="QJ250" s="17"/>
      <c r="QK250" s="17"/>
      <c r="QL250" s="17"/>
      <c r="QM250" s="17"/>
      <c r="QN250" s="17"/>
      <c r="QO250" s="17"/>
      <c r="QP250" s="17"/>
      <c r="QQ250" s="17"/>
      <c r="QR250" s="17"/>
      <c r="QS250" s="17"/>
      <c r="QT250" s="17"/>
      <c r="QU250" s="17"/>
      <c r="QV250" s="17"/>
      <c r="QW250" s="17"/>
      <c r="QX250" s="17"/>
      <c r="QY250" s="17"/>
      <c r="QZ250" s="17"/>
      <c r="RA250" s="17"/>
      <c r="RB250" s="17"/>
      <c r="RC250" s="17"/>
      <c r="RD250" s="17"/>
      <c r="RE250" s="17"/>
      <c r="RF250" s="17"/>
      <c r="RG250" s="17"/>
      <c r="RH250" s="17"/>
      <c r="RI250" s="17"/>
      <c r="RJ250" s="17"/>
      <c r="RK250" s="17"/>
      <c r="RL250" s="17"/>
      <c r="RM250" s="17"/>
      <c r="RN250" s="17"/>
      <c r="RO250" s="17"/>
      <c r="RP250" s="17"/>
      <c r="RQ250" s="17"/>
      <c r="RR250" s="17"/>
      <c r="RS250" s="17"/>
      <c r="RT250" s="17"/>
      <c r="RU250" s="17"/>
      <c r="RV250" s="17"/>
      <c r="RW250" s="17"/>
      <c r="RX250" s="17"/>
      <c r="RY250" s="17"/>
      <c r="RZ250" s="17"/>
      <c r="SA250" s="17"/>
      <c r="SB250" s="17"/>
      <c r="SC250" s="17"/>
      <c r="SD250" s="17"/>
      <c r="SE250" s="17"/>
      <c r="SF250" s="17"/>
      <c r="SG250" s="17"/>
      <c r="SH250" s="17"/>
      <c r="SI250" s="17"/>
      <c r="SJ250" s="17"/>
      <c r="SK250" s="17"/>
      <c r="SL250" s="17"/>
      <c r="SM250" s="17"/>
      <c r="SN250" s="17"/>
      <c r="SO250" s="17"/>
      <c r="SP250" s="17"/>
      <c r="SQ250" s="17"/>
      <c r="SR250" s="17"/>
      <c r="SS250" s="17"/>
      <c r="ST250" s="17"/>
      <c r="SU250" s="17"/>
      <c r="SV250" s="17"/>
      <c r="SW250" s="17"/>
      <c r="SX250" s="17"/>
      <c r="SY250" s="17"/>
      <c r="SZ250" s="17"/>
      <c r="TA250" s="17"/>
      <c r="TB250" s="17"/>
      <c r="TC250" s="17"/>
      <c r="TD250" s="17"/>
      <c r="TE250" s="17"/>
      <c r="TF250" s="17"/>
      <c r="TG250" s="17"/>
      <c r="TH250" s="17"/>
      <c r="TI250" s="17"/>
      <c r="TJ250" s="17"/>
      <c r="TK250" s="17"/>
      <c r="TL250" s="17"/>
      <c r="TM250" s="17"/>
      <c r="TN250" s="17"/>
      <c r="TO250" s="17"/>
      <c r="TP250" s="17"/>
      <c r="TQ250" s="17"/>
      <c r="TR250" s="17"/>
      <c r="TS250" s="17"/>
      <c r="TT250" s="17"/>
      <c r="TU250" s="17"/>
      <c r="TV250" s="17"/>
      <c r="TW250" s="17"/>
      <c r="TX250" s="17"/>
      <c r="TY250" s="17"/>
      <c r="TZ250" s="17"/>
      <c r="UA250" s="17"/>
      <c r="UB250" s="17"/>
      <c r="UC250" s="17"/>
      <c r="UD250" s="17"/>
      <c r="UE250" s="17"/>
      <c r="UF250" s="17"/>
      <c r="UG250" s="17"/>
      <c r="UH250" s="17"/>
      <c r="UI250" s="17"/>
      <c r="UJ250" s="17"/>
      <c r="UK250" s="17"/>
      <c r="UL250" s="17"/>
      <c r="UM250" s="17"/>
      <c r="UN250" s="17"/>
      <c r="UO250" s="17"/>
      <c r="UP250" s="17"/>
      <c r="UQ250" s="17"/>
      <c r="UR250" s="17"/>
      <c r="US250" s="17"/>
      <c r="UT250" s="17"/>
      <c r="UU250" s="17"/>
      <c r="UV250" s="17"/>
      <c r="UW250" s="17"/>
      <c r="UX250" s="17"/>
      <c r="UY250" s="17"/>
      <c r="UZ250" s="17"/>
      <c r="VA250" s="17"/>
      <c r="VB250" s="17"/>
      <c r="VC250" s="17"/>
      <c r="VD250" s="17"/>
      <c r="VE250" s="17"/>
      <c r="VF250" s="17"/>
      <c r="VG250" s="17"/>
      <c r="VH250" s="17"/>
      <c r="VI250" s="17"/>
      <c r="VJ250" s="17"/>
      <c r="VK250" s="17"/>
      <c r="VL250" s="17"/>
      <c r="VM250" s="17"/>
      <c r="VN250" s="17"/>
      <c r="VO250" s="17"/>
      <c r="VP250" s="17"/>
      <c r="VQ250" s="17"/>
      <c r="VR250" s="17"/>
      <c r="VS250" s="17"/>
      <c r="VT250" s="17"/>
      <c r="VU250" s="17"/>
      <c r="VV250" s="17"/>
      <c r="VW250" s="17"/>
      <c r="VX250" s="17"/>
      <c r="VY250" s="17"/>
      <c r="VZ250" s="17"/>
      <c r="WA250" s="17"/>
      <c r="WB250" s="17"/>
      <c r="WC250" s="17"/>
      <c r="WD250" s="17"/>
      <c r="WE250" s="17"/>
      <c r="WF250" s="17"/>
      <c r="WG250" s="17"/>
      <c r="WH250" s="17"/>
      <c r="WI250" s="17"/>
      <c r="WJ250" s="17"/>
      <c r="WK250" s="17"/>
      <c r="WL250" s="17"/>
      <c r="WM250" s="17"/>
      <c r="WN250" s="17"/>
      <c r="WO250" s="17"/>
      <c r="WP250" s="17"/>
      <c r="WQ250" s="17"/>
      <c r="WR250" s="17"/>
      <c r="WS250" s="17"/>
      <c r="WT250" s="17"/>
      <c r="WU250" s="17"/>
      <c r="WV250" s="17"/>
      <c r="WW250" s="17"/>
      <c r="WX250" s="17"/>
      <c r="WY250" s="17"/>
      <c r="WZ250" s="17"/>
      <c r="XA250" s="17"/>
      <c r="XB250" s="17"/>
      <c r="XC250" s="17"/>
      <c r="XD250" s="17"/>
      <c r="XE250" s="17"/>
      <c r="XF250" s="17"/>
      <c r="XG250" s="17"/>
      <c r="XH250" s="17"/>
      <c r="XI250" s="17"/>
      <c r="XJ250" s="17"/>
      <c r="XK250" s="17"/>
      <c r="XL250" s="17"/>
      <c r="XM250" s="17"/>
      <c r="XN250" s="17"/>
      <c r="XO250" s="17"/>
      <c r="XP250" s="17"/>
      <c r="XQ250" s="17"/>
      <c r="XR250" s="17"/>
      <c r="XS250" s="17"/>
      <c r="XT250" s="17"/>
      <c r="XU250" s="17"/>
      <c r="XV250" s="17"/>
      <c r="XW250" s="17"/>
      <c r="XX250" s="17"/>
      <c r="XY250" s="17"/>
      <c r="XZ250" s="17"/>
      <c r="YA250" s="17"/>
      <c r="YB250" s="17"/>
      <c r="YC250" s="17"/>
      <c r="YD250" s="17"/>
      <c r="YE250" s="17"/>
      <c r="YF250" s="17"/>
      <c r="YG250" s="17"/>
      <c r="YH250" s="17"/>
      <c r="YI250" s="17"/>
      <c r="YJ250" s="17"/>
      <c r="YK250" s="17"/>
      <c r="YL250" s="17"/>
      <c r="YM250" s="17"/>
      <c r="YN250" s="17"/>
      <c r="YO250" s="17"/>
      <c r="YP250" s="17"/>
      <c r="YQ250" s="17"/>
      <c r="YR250" s="17"/>
      <c r="YS250" s="17"/>
    </row>
    <row r="251" spans="266:669" x14ac:dyDescent="0.25">
      <c r="JF251" s="17"/>
      <c r="JG251" s="17"/>
      <c r="JH251" s="17"/>
      <c r="JI251" s="17"/>
      <c r="JJ251" s="17"/>
      <c r="JK251" s="17"/>
      <c r="JL251" s="17"/>
      <c r="JM251" s="17"/>
      <c r="JN251" s="17"/>
      <c r="JO251" s="17"/>
      <c r="JP251" s="17"/>
      <c r="JQ251" s="17"/>
      <c r="JR251" s="17"/>
      <c r="JS251" s="17"/>
      <c r="JT251" s="17"/>
      <c r="JU251" s="17"/>
      <c r="JV251" s="17"/>
      <c r="JW251" s="17"/>
      <c r="JX251" s="17"/>
      <c r="JY251" s="17"/>
      <c r="JZ251" s="17"/>
      <c r="KA251" s="17"/>
      <c r="KB251" s="17"/>
      <c r="KC251" s="17"/>
      <c r="KD251" s="17"/>
      <c r="KE251" s="17"/>
      <c r="KF251" s="17"/>
      <c r="KG251" s="17"/>
      <c r="KH251" s="17"/>
      <c r="KI251" s="17"/>
      <c r="KJ251" s="17"/>
      <c r="KK251" s="17"/>
      <c r="KL251" s="17"/>
      <c r="KM251" s="17"/>
      <c r="KN251" s="17"/>
      <c r="KO251" s="17"/>
      <c r="KP251" s="17"/>
      <c r="KQ251" s="17"/>
      <c r="KR251" s="17"/>
      <c r="KS251" s="17"/>
      <c r="KT251" s="17"/>
      <c r="KU251" s="17"/>
      <c r="KV251" s="17"/>
      <c r="KW251" s="17"/>
      <c r="KX251" s="17"/>
      <c r="KY251" s="17"/>
      <c r="KZ251" s="17"/>
      <c r="LA251" s="17"/>
      <c r="LB251" s="17"/>
      <c r="LC251" s="17"/>
      <c r="LD251" s="17"/>
      <c r="LE251" s="17"/>
      <c r="LF251" s="17"/>
      <c r="LG251" s="17"/>
      <c r="LH251" s="17"/>
      <c r="LI251" s="17"/>
      <c r="LJ251" s="17"/>
      <c r="LK251" s="17"/>
      <c r="LL251" s="17"/>
      <c r="LM251" s="17"/>
      <c r="LN251" s="17"/>
      <c r="LO251" s="17"/>
      <c r="LP251" s="17"/>
      <c r="LQ251" s="17"/>
      <c r="LR251" s="17"/>
      <c r="LS251" s="17"/>
      <c r="LT251" s="17"/>
      <c r="LU251" s="17"/>
      <c r="LV251" s="17"/>
      <c r="LW251" s="17"/>
      <c r="LX251" s="17"/>
      <c r="LY251" s="17"/>
      <c r="LZ251" s="17"/>
      <c r="MA251" s="17"/>
      <c r="MB251" s="17"/>
      <c r="MC251" s="17"/>
      <c r="MD251" s="17"/>
      <c r="ME251" s="17"/>
      <c r="MF251" s="17"/>
      <c r="MG251" s="17"/>
      <c r="MH251" s="17"/>
      <c r="MI251" s="17"/>
      <c r="MJ251" s="17"/>
      <c r="MK251" s="17"/>
      <c r="ML251" s="17"/>
      <c r="MM251" s="17"/>
      <c r="MN251" s="17"/>
      <c r="MO251" s="17"/>
      <c r="MP251" s="17"/>
      <c r="MQ251" s="17"/>
      <c r="MR251" s="17"/>
      <c r="MS251" s="17"/>
      <c r="MT251" s="17"/>
      <c r="MU251" s="17"/>
      <c r="MV251" s="17"/>
      <c r="MW251" s="17"/>
      <c r="MX251" s="17"/>
      <c r="MY251" s="17"/>
      <c r="MZ251" s="17"/>
      <c r="NA251" s="17"/>
      <c r="NB251" s="17"/>
      <c r="NC251" s="17"/>
      <c r="ND251" s="17"/>
      <c r="NE251" s="17"/>
      <c r="NF251" s="17"/>
      <c r="NG251" s="17"/>
      <c r="NH251" s="17"/>
      <c r="NI251" s="17"/>
      <c r="NJ251" s="17"/>
      <c r="NK251" s="17"/>
      <c r="NL251" s="17"/>
      <c r="NM251" s="17"/>
      <c r="NN251" s="17"/>
      <c r="NO251" s="17"/>
      <c r="NP251" s="17"/>
      <c r="NQ251" s="17"/>
      <c r="NR251" s="17"/>
      <c r="NS251" s="17"/>
      <c r="NT251" s="17"/>
      <c r="NU251" s="17"/>
      <c r="NV251" s="17"/>
      <c r="NW251" s="17"/>
      <c r="NX251" s="17"/>
      <c r="NY251" s="17"/>
      <c r="NZ251" s="17"/>
      <c r="OA251" s="17"/>
      <c r="OB251" s="17"/>
      <c r="OC251" s="17"/>
      <c r="OD251" s="17"/>
      <c r="OE251" s="17"/>
      <c r="OF251" s="17"/>
      <c r="OG251" s="17"/>
      <c r="OH251" s="17"/>
      <c r="OI251" s="17"/>
      <c r="OJ251" s="17"/>
      <c r="OK251" s="17"/>
      <c r="OL251" s="17"/>
      <c r="OM251" s="17"/>
      <c r="ON251" s="17"/>
      <c r="OO251" s="17"/>
      <c r="OP251" s="17"/>
      <c r="OQ251" s="17"/>
      <c r="OR251" s="17"/>
      <c r="OS251" s="17"/>
      <c r="OT251" s="17"/>
      <c r="OU251" s="17"/>
      <c r="OV251" s="17"/>
      <c r="OW251" s="17"/>
      <c r="OX251" s="17"/>
      <c r="OY251" s="17"/>
      <c r="OZ251" s="17"/>
      <c r="PA251" s="17"/>
      <c r="PB251" s="17"/>
      <c r="PC251" s="17"/>
      <c r="PD251" s="17"/>
      <c r="PE251" s="17"/>
      <c r="PF251" s="17"/>
      <c r="PG251" s="17"/>
      <c r="PH251" s="17"/>
      <c r="PI251" s="17"/>
      <c r="PJ251" s="17"/>
      <c r="PK251" s="17"/>
      <c r="PL251" s="17"/>
      <c r="PM251" s="17"/>
      <c r="PN251" s="17"/>
      <c r="PO251" s="17"/>
      <c r="PP251" s="17"/>
      <c r="PQ251" s="17"/>
      <c r="PR251" s="17"/>
      <c r="PS251" s="17"/>
      <c r="PT251" s="17"/>
      <c r="PU251" s="17"/>
      <c r="PV251" s="17"/>
      <c r="PW251" s="17"/>
      <c r="PX251" s="17"/>
      <c r="PY251" s="17"/>
      <c r="PZ251" s="17"/>
      <c r="QA251" s="17"/>
      <c r="QB251" s="17"/>
      <c r="QC251" s="17"/>
      <c r="QD251" s="17"/>
      <c r="QE251" s="17"/>
      <c r="QF251" s="17"/>
      <c r="QG251" s="17"/>
      <c r="QH251" s="17"/>
      <c r="QI251" s="17"/>
      <c r="QJ251" s="17"/>
      <c r="QK251" s="17"/>
      <c r="QL251" s="17"/>
      <c r="QM251" s="17"/>
      <c r="QN251" s="17"/>
      <c r="QO251" s="17"/>
      <c r="QP251" s="17"/>
      <c r="QQ251" s="17"/>
      <c r="QR251" s="17"/>
      <c r="QS251" s="17"/>
      <c r="QT251" s="17"/>
      <c r="QU251" s="17"/>
      <c r="QV251" s="17"/>
      <c r="QW251" s="17"/>
      <c r="QX251" s="17"/>
      <c r="QY251" s="17"/>
      <c r="QZ251" s="17"/>
      <c r="RA251" s="17"/>
      <c r="RB251" s="17"/>
      <c r="RC251" s="17"/>
      <c r="RD251" s="17"/>
      <c r="RE251" s="17"/>
      <c r="RF251" s="17"/>
      <c r="RG251" s="17"/>
      <c r="RH251" s="17"/>
      <c r="RI251" s="17"/>
      <c r="RJ251" s="17"/>
      <c r="RK251" s="17"/>
      <c r="RL251" s="17"/>
      <c r="RM251" s="17"/>
      <c r="RN251" s="17"/>
      <c r="RO251" s="17"/>
      <c r="RP251" s="17"/>
      <c r="RQ251" s="17"/>
      <c r="RR251" s="17"/>
      <c r="RS251" s="17"/>
      <c r="RT251" s="17"/>
      <c r="RU251" s="17"/>
      <c r="RV251" s="17"/>
      <c r="RW251" s="17"/>
      <c r="RX251" s="17"/>
      <c r="RY251" s="17"/>
      <c r="RZ251" s="17"/>
      <c r="SA251" s="17"/>
      <c r="SB251" s="17"/>
      <c r="SC251" s="17"/>
      <c r="SD251" s="17"/>
      <c r="SE251" s="17"/>
      <c r="SF251" s="17"/>
      <c r="SG251" s="17"/>
      <c r="SH251" s="17"/>
      <c r="SI251" s="17"/>
      <c r="SJ251" s="17"/>
      <c r="SK251" s="17"/>
      <c r="SL251" s="17"/>
      <c r="SM251" s="17"/>
      <c r="SN251" s="17"/>
      <c r="SO251" s="17"/>
      <c r="SP251" s="17"/>
      <c r="SQ251" s="17"/>
      <c r="SR251" s="17"/>
      <c r="SS251" s="17"/>
      <c r="ST251" s="17"/>
      <c r="SU251" s="17"/>
      <c r="SV251" s="17"/>
      <c r="SW251" s="17"/>
      <c r="SX251" s="17"/>
      <c r="SY251" s="17"/>
      <c r="SZ251" s="17"/>
      <c r="TA251" s="17"/>
      <c r="TB251" s="17"/>
      <c r="TC251" s="17"/>
      <c r="TD251" s="17"/>
      <c r="TE251" s="17"/>
      <c r="TF251" s="17"/>
      <c r="TG251" s="17"/>
      <c r="TH251" s="17"/>
      <c r="TI251" s="17"/>
      <c r="TJ251" s="17"/>
      <c r="TK251" s="17"/>
      <c r="TL251" s="17"/>
      <c r="TM251" s="17"/>
      <c r="TN251" s="17"/>
      <c r="TO251" s="17"/>
      <c r="TP251" s="17"/>
      <c r="TQ251" s="17"/>
      <c r="TR251" s="17"/>
      <c r="TS251" s="17"/>
      <c r="TT251" s="17"/>
      <c r="TU251" s="17"/>
      <c r="TV251" s="17"/>
      <c r="TW251" s="17"/>
      <c r="TX251" s="17"/>
      <c r="TY251" s="17"/>
      <c r="TZ251" s="17"/>
      <c r="UA251" s="17"/>
      <c r="UB251" s="17"/>
      <c r="UC251" s="17"/>
      <c r="UD251" s="17"/>
      <c r="UE251" s="17"/>
      <c r="UF251" s="17"/>
      <c r="UG251" s="17"/>
      <c r="UH251" s="17"/>
      <c r="UI251" s="17"/>
      <c r="UJ251" s="17"/>
      <c r="UK251" s="17"/>
      <c r="UL251" s="17"/>
      <c r="UM251" s="17"/>
      <c r="UN251" s="17"/>
      <c r="UO251" s="17"/>
      <c r="UP251" s="17"/>
      <c r="UQ251" s="17"/>
      <c r="UR251" s="17"/>
      <c r="US251" s="17"/>
      <c r="UT251" s="17"/>
      <c r="UU251" s="17"/>
      <c r="UV251" s="17"/>
      <c r="UW251" s="17"/>
      <c r="UX251" s="17"/>
      <c r="UY251" s="17"/>
      <c r="UZ251" s="17"/>
      <c r="VA251" s="17"/>
      <c r="VB251" s="17"/>
      <c r="VC251" s="17"/>
      <c r="VD251" s="17"/>
      <c r="VE251" s="17"/>
      <c r="VF251" s="17"/>
      <c r="VG251" s="17"/>
      <c r="VH251" s="17"/>
      <c r="VI251" s="17"/>
      <c r="VJ251" s="17"/>
      <c r="VK251" s="17"/>
      <c r="VL251" s="17"/>
      <c r="VM251" s="17"/>
      <c r="VN251" s="17"/>
      <c r="VO251" s="17"/>
      <c r="VP251" s="17"/>
      <c r="VQ251" s="17"/>
      <c r="VR251" s="17"/>
      <c r="VS251" s="17"/>
      <c r="VT251" s="17"/>
      <c r="VU251" s="17"/>
      <c r="VV251" s="17"/>
      <c r="VW251" s="17"/>
      <c r="VX251" s="17"/>
      <c r="VY251" s="17"/>
      <c r="VZ251" s="17"/>
      <c r="WA251" s="17"/>
      <c r="WB251" s="17"/>
      <c r="WC251" s="17"/>
      <c r="WD251" s="17"/>
      <c r="WE251" s="17"/>
      <c r="WF251" s="17"/>
      <c r="WG251" s="17"/>
      <c r="WH251" s="17"/>
      <c r="WI251" s="17"/>
      <c r="WJ251" s="17"/>
      <c r="WK251" s="17"/>
      <c r="WL251" s="17"/>
      <c r="WM251" s="17"/>
      <c r="WN251" s="17"/>
      <c r="WO251" s="17"/>
      <c r="WP251" s="17"/>
      <c r="WQ251" s="17"/>
      <c r="WR251" s="17"/>
      <c r="WS251" s="17"/>
      <c r="WT251" s="17"/>
      <c r="WU251" s="17"/>
      <c r="WV251" s="17"/>
      <c r="WW251" s="17"/>
      <c r="WX251" s="17"/>
      <c r="WY251" s="17"/>
      <c r="WZ251" s="17"/>
      <c r="XA251" s="17"/>
      <c r="XB251" s="17"/>
      <c r="XC251" s="17"/>
      <c r="XD251" s="17"/>
      <c r="XE251" s="17"/>
      <c r="XF251" s="17"/>
      <c r="XG251" s="17"/>
      <c r="XH251" s="17"/>
      <c r="XI251" s="17"/>
      <c r="XJ251" s="17"/>
      <c r="XK251" s="17"/>
      <c r="XL251" s="17"/>
      <c r="XM251" s="17"/>
      <c r="XN251" s="17"/>
      <c r="XO251" s="17"/>
      <c r="XP251" s="17"/>
      <c r="XQ251" s="17"/>
      <c r="XR251" s="17"/>
      <c r="XS251" s="17"/>
      <c r="XT251" s="17"/>
      <c r="XU251" s="17"/>
      <c r="XV251" s="17"/>
      <c r="XW251" s="17"/>
      <c r="XX251" s="17"/>
      <c r="XY251" s="17"/>
      <c r="XZ251" s="17"/>
      <c r="YA251" s="17"/>
      <c r="YB251" s="17"/>
      <c r="YC251" s="17"/>
      <c r="YD251" s="17"/>
      <c r="YE251" s="17"/>
      <c r="YF251" s="17"/>
      <c r="YG251" s="17"/>
      <c r="YH251" s="17"/>
      <c r="YI251" s="17"/>
      <c r="YJ251" s="17"/>
      <c r="YK251" s="17"/>
      <c r="YL251" s="17"/>
      <c r="YM251" s="17"/>
      <c r="YN251" s="17"/>
      <c r="YO251" s="17"/>
      <c r="YP251" s="17"/>
      <c r="YQ251" s="17"/>
      <c r="YR251" s="17"/>
      <c r="YS251" s="17"/>
    </row>
    <row r="252" spans="266:669" x14ac:dyDescent="0.25">
      <c r="JF252" s="17"/>
      <c r="JG252" s="17"/>
      <c r="JH252" s="17"/>
      <c r="JI252" s="17"/>
      <c r="JJ252" s="17"/>
      <c r="JK252" s="17"/>
      <c r="JL252" s="17"/>
      <c r="JM252" s="17"/>
      <c r="JN252" s="17"/>
      <c r="JO252" s="17"/>
      <c r="JP252" s="17"/>
      <c r="JQ252" s="17"/>
      <c r="JR252" s="17"/>
      <c r="JS252" s="17"/>
      <c r="JT252" s="17"/>
      <c r="JU252" s="17"/>
      <c r="JV252" s="17"/>
      <c r="JW252" s="17"/>
      <c r="JX252" s="17"/>
      <c r="JY252" s="17"/>
      <c r="JZ252" s="17"/>
      <c r="KA252" s="17"/>
      <c r="KB252" s="17"/>
      <c r="KC252" s="17"/>
      <c r="KD252" s="17"/>
      <c r="KE252" s="17"/>
      <c r="KF252" s="17"/>
      <c r="KG252" s="17"/>
      <c r="KH252" s="17"/>
      <c r="KI252" s="17"/>
      <c r="KJ252" s="17"/>
      <c r="KK252" s="17"/>
      <c r="KL252" s="17"/>
      <c r="KM252" s="17"/>
      <c r="KN252" s="17"/>
      <c r="KO252" s="17"/>
      <c r="KP252" s="17"/>
      <c r="KQ252" s="17"/>
      <c r="KR252" s="17"/>
      <c r="KS252" s="17"/>
      <c r="KT252" s="17"/>
      <c r="KU252" s="17"/>
      <c r="KV252" s="17"/>
      <c r="KW252" s="17"/>
      <c r="KX252" s="17"/>
      <c r="KY252" s="17"/>
      <c r="KZ252" s="17"/>
      <c r="LA252" s="17"/>
      <c r="LB252" s="17"/>
      <c r="LC252" s="17"/>
      <c r="LD252" s="17"/>
      <c r="LE252" s="17"/>
      <c r="LF252" s="17"/>
      <c r="LG252" s="17"/>
      <c r="LH252" s="17"/>
      <c r="LI252" s="17"/>
      <c r="LJ252" s="17"/>
      <c r="LK252" s="17"/>
      <c r="LL252" s="17"/>
      <c r="LM252" s="17"/>
      <c r="LN252" s="17"/>
      <c r="LO252" s="17"/>
      <c r="LP252" s="17"/>
      <c r="LQ252" s="17"/>
      <c r="LR252" s="17"/>
      <c r="LS252" s="17"/>
      <c r="LT252" s="17"/>
      <c r="LU252" s="17"/>
      <c r="LV252" s="17"/>
      <c r="LW252" s="17"/>
      <c r="LX252" s="17"/>
      <c r="LY252" s="17"/>
      <c r="LZ252" s="17"/>
      <c r="MA252" s="17"/>
      <c r="MB252" s="17"/>
      <c r="MC252" s="17"/>
      <c r="MD252" s="17"/>
      <c r="ME252" s="17"/>
      <c r="MF252" s="17"/>
      <c r="MG252" s="17"/>
      <c r="MH252" s="17"/>
      <c r="MI252" s="17"/>
      <c r="MJ252" s="17"/>
      <c r="MK252" s="17"/>
      <c r="ML252" s="17"/>
      <c r="MM252" s="17"/>
      <c r="MN252" s="17"/>
      <c r="MO252" s="17"/>
      <c r="MP252" s="17"/>
      <c r="MQ252" s="17"/>
      <c r="MR252" s="17"/>
      <c r="MS252" s="17"/>
      <c r="MT252" s="17"/>
      <c r="MU252" s="17"/>
      <c r="MV252" s="17"/>
      <c r="MW252" s="17"/>
      <c r="MX252" s="17"/>
      <c r="MY252" s="17"/>
      <c r="MZ252" s="17"/>
      <c r="NA252" s="17"/>
      <c r="NB252" s="17"/>
      <c r="NC252" s="17"/>
      <c r="ND252" s="17"/>
      <c r="NE252" s="17"/>
      <c r="NF252" s="17"/>
      <c r="NG252" s="17"/>
      <c r="NH252" s="17"/>
      <c r="NI252" s="17"/>
      <c r="NJ252" s="17"/>
      <c r="NK252" s="17"/>
      <c r="NL252" s="17"/>
      <c r="NM252" s="17"/>
      <c r="NN252" s="17"/>
      <c r="NO252" s="17"/>
      <c r="NP252" s="17"/>
      <c r="NQ252" s="17"/>
      <c r="NR252" s="17"/>
      <c r="NS252" s="17"/>
      <c r="NT252" s="17"/>
      <c r="NU252" s="17"/>
      <c r="NV252" s="17"/>
      <c r="NW252" s="17"/>
      <c r="NX252" s="17"/>
      <c r="NY252" s="17"/>
      <c r="NZ252" s="17"/>
      <c r="OA252" s="17"/>
      <c r="OB252" s="17"/>
      <c r="OC252" s="17"/>
      <c r="OD252" s="17"/>
      <c r="OE252" s="17"/>
      <c r="OF252" s="17"/>
      <c r="OG252" s="17"/>
      <c r="OH252" s="17"/>
      <c r="OI252" s="17"/>
      <c r="OJ252" s="17"/>
      <c r="OK252" s="17"/>
      <c r="OL252" s="17"/>
      <c r="OM252" s="17"/>
      <c r="ON252" s="17"/>
      <c r="OO252" s="17"/>
      <c r="OP252" s="17"/>
      <c r="OQ252" s="17"/>
      <c r="OR252" s="17"/>
      <c r="OS252" s="17"/>
      <c r="OT252" s="17"/>
      <c r="OU252" s="17"/>
      <c r="OV252" s="17"/>
      <c r="OW252" s="17"/>
      <c r="OX252" s="17"/>
      <c r="OY252" s="17"/>
      <c r="OZ252" s="17"/>
      <c r="PA252" s="17"/>
      <c r="PB252" s="17"/>
      <c r="PC252" s="17"/>
      <c r="PD252" s="17"/>
      <c r="PE252" s="17"/>
      <c r="PF252" s="17"/>
      <c r="PG252" s="17"/>
      <c r="PH252" s="17"/>
      <c r="PI252" s="17"/>
      <c r="PJ252" s="17"/>
      <c r="PK252" s="17"/>
      <c r="PL252" s="17"/>
      <c r="PM252" s="17"/>
      <c r="PN252" s="17"/>
      <c r="PO252" s="17"/>
      <c r="PP252" s="17"/>
      <c r="PQ252" s="17"/>
      <c r="PR252" s="17"/>
      <c r="PS252" s="17"/>
      <c r="PT252" s="17"/>
      <c r="PU252" s="17"/>
      <c r="PV252" s="17"/>
      <c r="PW252" s="17"/>
      <c r="PX252" s="17"/>
      <c r="PY252" s="17"/>
      <c r="PZ252" s="17"/>
      <c r="QA252" s="17"/>
      <c r="QB252" s="17"/>
      <c r="QC252" s="17"/>
      <c r="QD252" s="17"/>
      <c r="QE252" s="17"/>
      <c r="QF252" s="17"/>
      <c r="QG252" s="17"/>
      <c r="QH252" s="17"/>
      <c r="QI252" s="17"/>
      <c r="QJ252" s="17"/>
      <c r="QK252" s="17"/>
      <c r="QL252" s="17"/>
      <c r="QM252" s="17"/>
      <c r="QN252" s="17"/>
      <c r="QO252" s="17"/>
      <c r="QP252" s="17"/>
      <c r="QQ252" s="17"/>
      <c r="QR252" s="17"/>
      <c r="QS252" s="17"/>
      <c r="QT252" s="17"/>
      <c r="QU252" s="17"/>
      <c r="QV252" s="17"/>
      <c r="QW252" s="17"/>
      <c r="QX252" s="17"/>
      <c r="QY252" s="17"/>
      <c r="QZ252" s="17"/>
      <c r="RA252" s="17"/>
      <c r="RB252" s="17"/>
      <c r="RC252" s="17"/>
      <c r="RD252" s="17"/>
      <c r="RE252" s="17"/>
      <c r="RF252" s="17"/>
      <c r="RG252" s="17"/>
      <c r="RH252" s="17"/>
      <c r="RI252" s="17"/>
      <c r="RJ252" s="17"/>
      <c r="RK252" s="17"/>
      <c r="RL252" s="17"/>
      <c r="RM252" s="17"/>
      <c r="RN252" s="17"/>
      <c r="RO252" s="17"/>
      <c r="RP252" s="17"/>
      <c r="RQ252" s="17"/>
      <c r="RR252" s="17"/>
      <c r="RS252" s="17"/>
      <c r="RT252" s="17"/>
      <c r="RU252" s="17"/>
      <c r="RV252" s="17"/>
      <c r="RW252" s="17"/>
      <c r="RX252" s="17"/>
      <c r="RY252" s="17"/>
      <c r="RZ252" s="17"/>
      <c r="SA252" s="17"/>
      <c r="SB252" s="17"/>
      <c r="SC252" s="17"/>
      <c r="SD252" s="17"/>
      <c r="SE252" s="17"/>
      <c r="SF252" s="17"/>
      <c r="SG252" s="17"/>
      <c r="SH252" s="17"/>
      <c r="SI252" s="17"/>
      <c r="SJ252" s="17"/>
      <c r="SK252" s="17"/>
      <c r="SL252" s="17"/>
      <c r="SM252" s="17"/>
      <c r="SN252" s="17"/>
      <c r="SO252" s="17"/>
      <c r="SP252" s="17"/>
      <c r="SQ252" s="17"/>
      <c r="SR252" s="17"/>
      <c r="SS252" s="17"/>
      <c r="ST252" s="17"/>
      <c r="SU252" s="17"/>
      <c r="SV252" s="17"/>
      <c r="SW252" s="17"/>
      <c r="SX252" s="17"/>
      <c r="SY252" s="17"/>
      <c r="SZ252" s="17"/>
      <c r="TA252" s="17"/>
      <c r="TB252" s="17"/>
      <c r="TC252" s="17"/>
      <c r="TD252" s="17"/>
      <c r="TE252" s="17"/>
      <c r="TF252" s="17"/>
      <c r="TG252" s="17"/>
      <c r="TH252" s="17"/>
      <c r="TI252" s="17"/>
      <c r="TJ252" s="17"/>
      <c r="TK252" s="17"/>
      <c r="TL252" s="17"/>
      <c r="TM252" s="17"/>
      <c r="TN252" s="17"/>
      <c r="TO252" s="17"/>
      <c r="TP252" s="17"/>
      <c r="TQ252" s="17"/>
      <c r="TR252" s="17"/>
      <c r="TS252" s="17"/>
      <c r="TT252" s="17"/>
      <c r="TU252" s="17"/>
      <c r="TV252" s="17"/>
      <c r="TW252" s="17"/>
      <c r="TX252" s="17"/>
      <c r="TY252" s="17"/>
      <c r="TZ252" s="17"/>
      <c r="UA252" s="17"/>
      <c r="UB252" s="17"/>
      <c r="UC252" s="17"/>
      <c r="UD252" s="17"/>
      <c r="UE252" s="17"/>
      <c r="UF252" s="17"/>
      <c r="UG252" s="17"/>
      <c r="UH252" s="17"/>
      <c r="UI252" s="17"/>
      <c r="UJ252" s="17"/>
      <c r="UK252" s="17"/>
      <c r="UL252" s="17"/>
      <c r="UM252" s="17"/>
      <c r="UN252" s="17"/>
      <c r="UO252" s="17"/>
      <c r="UP252" s="17"/>
      <c r="UQ252" s="17"/>
      <c r="UR252" s="17"/>
      <c r="US252" s="17"/>
      <c r="UT252" s="17"/>
      <c r="UU252" s="17"/>
      <c r="UV252" s="17"/>
      <c r="UW252" s="17"/>
      <c r="UX252" s="17"/>
      <c r="UY252" s="17"/>
      <c r="UZ252" s="17"/>
      <c r="VA252" s="17"/>
      <c r="VB252" s="17"/>
      <c r="VC252" s="17"/>
      <c r="VD252" s="17"/>
      <c r="VE252" s="17"/>
      <c r="VF252" s="17"/>
      <c r="VG252" s="17"/>
      <c r="VH252" s="17"/>
      <c r="VI252" s="17"/>
      <c r="VJ252" s="17"/>
      <c r="VK252" s="17"/>
      <c r="VL252" s="17"/>
      <c r="VM252" s="17"/>
      <c r="VN252" s="17"/>
      <c r="VO252" s="17"/>
      <c r="VP252" s="17"/>
      <c r="VQ252" s="17"/>
      <c r="VR252" s="17"/>
      <c r="VS252" s="17"/>
      <c r="VT252" s="17"/>
      <c r="VU252" s="17"/>
      <c r="VV252" s="17"/>
      <c r="VW252" s="17"/>
      <c r="VX252" s="17"/>
      <c r="VY252" s="17"/>
      <c r="VZ252" s="17"/>
      <c r="WA252" s="17"/>
      <c r="WB252" s="17"/>
      <c r="WC252" s="17"/>
      <c r="WD252" s="17"/>
      <c r="WE252" s="17"/>
      <c r="WF252" s="17"/>
      <c r="WG252" s="17"/>
      <c r="WH252" s="17"/>
      <c r="WI252" s="17"/>
      <c r="WJ252" s="17"/>
      <c r="WK252" s="17"/>
      <c r="WL252" s="17"/>
      <c r="WM252" s="17"/>
      <c r="WN252" s="17"/>
      <c r="WO252" s="17"/>
      <c r="WP252" s="17"/>
      <c r="WQ252" s="17"/>
      <c r="WR252" s="17"/>
      <c r="WS252" s="17"/>
      <c r="WT252" s="17"/>
      <c r="WU252" s="17"/>
      <c r="WV252" s="17"/>
      <c r="WW252" s="17"/>
      <c r="WX252" s="17"/>
      <c r="WY252" s="17"/>
      <c r="WZ252" s="17"/>
      <c r="XA252" s="17"/>
      <c r="XB252" s="17"/>
      <c r="XC252" s="17"/>
      <c r="XD252" s="17"/>
      <c r="XE252" s="17"/>
      <c r="XF252" s="17"/>
      <c r="XG252" s="17"/>
      <c r="XH252" s="17"/>
      <c r="XI252" s="17"/>
      <c r="XJ252" s="17"/>
      <c r="XK252" s="17"/>
      <c r="XL252" s="17"/>
      <c r="XM252" s="17"/>
      <c r="XN252" s="17"/>
      <c r="XO252" s="17"/>
      <c r="XP252" s="17"/>
      <c r="XQ252" s="17"/>
      <c r="XR252" s="17"/>
      <c r="XS252" s="17"/>
      <c r="XT252" s="17"/>
      <c r="XU252" s="17"/>
      <c r="XV252" s="17"/>
      <c r="XW252" s="17"/>
      <c r="XX252" s="17"/>
      <c r="XY252" s="17"/>
      <c r="XZ252" s="17"/>
      <c r="YA252" s="17"/>
      <c r="YB252" s="17"/>
      <c r="YC252" s="17"/>
      <c r="YD252" s="17"/>
      <c r="YE252" s="17"/>
      <c r="YF252" s="17"/>
      <c r="YG252" s="17"/>
      <c r="YH252" s="17"/>
      <c r="YI252" s="17"/>
      <c r="YJ252" s="17"/>
      <c r="YK252" s="17"/>
      <c r="YL252" s="17"/>
      <c r="YM252" s="17"/>
      <c r="YN252" s="17"/>
      <c r="YO252" s="17"/>
      <c r="YP252" s="17"/>
      <c r="YQ252" s="17"/>
      <c r="YR252" s="17"/>
      <c r="YS252" s="17"/>
    </row>
    <row r="253" spans="266:669" x14ac:dyDescent="0.25">
      <c r="JF253" s="17"/>
      <c r="JG253" s="17"/>
      <c r="JH253" s="17"/>
      <c r="JI253" s="17"/>
      <c r="JJ253" s="17"/>
      <c r="JK253" s="17"/>
      <c r="JL253" s="17"/>
      <c r="JM253" s="17"/>
      <c r="JN253" s="17"/>
      <c r="JO253" s="17"/>
      <c r="JP253" s="17"/>
      <c r="JQ253" s="17"/>
      <c r="JR253" s="17"/>
      <c r="JS253" s="17"/>
      <c r="JT253" s="17"/>
      <c r="JU253" s="17"/>
      <c r="JV253" s="17"/>
      <c r="JW253" s="17"/>
      <c r="JX253" s="17"/>
      <c r="JY253" s="17"/>
      <c r="JZ253" s="17"/>
      <c r="KA253" s="17"/>
      <c r="KB253" s="17"/>
      <c r="KC253" s="17"/>
      <c r="KD253" s="17"/>
      <c r="KE253" s="17"/>
      <c r="KF253" s="17"/>
      <c r="KG253" s="17"/>
      <c r="KH253" s="17"/>
      <c r="KI253" s="17"/>
      <c r="KJ253" s="17"/>
      <c r="KK253" s="17"/>
      <c r="KL253" s="17"/>
      <c r="KM253" s="17"/>
      <c r="KN253" s="17"/>
      <c r="KO253" s="17"/>
      <c r="KP253" s="17"/>
      <c r="KQ253" s="17"/>
      <c r="KR253" s="17"/>
      <c r="KS253" s="17"/>
      <c r="KT253" s="17"/>
      <c r="KU253" s="17"/>
      <c r="KV253" s="17"/>
      <c r="KW253" s="17"/>
      <c r="KX253" s="17"/>
      <c r="KY253" s="17"/>
      <c r="KZ253" s="17"/>
      <c r="LA253" s="17"/>
      <c r="LB253" s="17"/>
      <c r="LC253" s="17"/>
      <c r="LD253" s="17"/>
      <c r="LE253" s="17"/>
      <c r="LF253" s="17"/>
      <c r="LG253" s="17"/>
      <c r="LH253" s="17"/>
      <c r="LI253" s="17"/>
      <c r="LJ253" s="17"/>
      <c r="LK253" s="17"/>
      <c r="LL253" s="17"/>
      <c r="LM253" s="17"/>
      <c r="LN253" s="17"/>
      <c r="LO253" s="17"/>
      <c r="LP253" s="17"/>
      <c r="LQ253" s="17"/>
      <c r="LR253" s="17"/>
      <c r="LS253" s="17"/>
      <c r="LT253" s="17"/>
      <c r="LU253" s="17"/>
      <c r="LV253" s="17"/>
      <c r="LW253" s="17"/>
      <c r="LX253" s="17"/>
      <c r="LY253" s="17"/>
      <c r="LZ253" s="17"/>
      <c r="MA253" s="17"/>
      <c r="MB253" s="17"/>
      <c r="MC253" s="17"/>
      <c r="MD253" s="17"/>
      <c r="ME253" s="17"/>
      <c r="MF253" s="17"/>
      <c r="MG253" s="17"/>
      <c r="MH253" s="17"/>
      <c r="MI253" s="17"/>
      <c r="MJ253" s="17"/>
      <c r="MK253" s="17"/>
      <c r="ML253" s="17"/>
      <c r="MM253" s="17"/>
      <c r="MN253" s="17"/>
      <c r="MO253" s="17"/>
      <c r="MP253" s="17"/>
      <c r="MQ253" s="17"/>
      <c r="MR253" s="17"/>
      <c r="MS253" s="17"/>
      <c r="MT253" s="17"/>
      <c r="MU253" s="17"/>
      <c r="MV253" s="17"/>
      <c r="MW253" s="17"/>
      <c r="MX253" s="17"/>
      <c r="MY253" s="17"/>
      <c r="MZ253" s="17"/>
      <c r="NA253" s="17"/>
      <c r="NB253" s="17"/>
      <c r="NC253" s="17"/>
      <c r="ND253" s="17"/>
      <c r="NE253" s="17"/>
      <c r="NF253" s="17"/>
      <c r="NG253" s="17"/>
      <c r="NH253" s="17"/>
      <c r="NI253" s="17"/>
      <c r="NJ253" s="17"/>
      <c r="NK253" s="17"/>
      <c r="NL253" s="17"/>
      <c r="NM253" s="17"/>
      <c r="NN253" s="17"/>
      <c r="NO253" s="17"/>
      <c r="NP253" s="17"/>
      <c r="NQ253" s="17"/>
      <c r="NR253" s="17"/>
      <c r="NS253" s="17"/>
      <c r="NT253" s="17"/>
      <c r="NU253" s="17"/>
      <c r="NV253" s="17"/>
      <c r="NW253" s="17"/>
      <c r="NX253" s="17"/>
      <c r="NY253" s="17"/>
      <c r="NZ253" s="17"/>
      <c r="OA253" s="17"/>
      <c r="OB253" s="17"/>
      <c r="OC253" s="17"/>
      <c r="OD253" s="17"/>
      <c r="OE253" s="17"/>
      <c r="OF253" s="17"/>
      <c r="OG253" s="17"/>
      <c r="OH253" s="17"/>
      <c r="OI253" s="17"/>
      <c r="OJ253" s="17"/>
      <c r="OK253" s="17"/>
      <c r="OL253" s="17"/>
      <c r="OM253" s="17"/>
      <c r="ON253" s="17"/>
      <c r="OO253" s="17"/>
      <c r="OP253" s="17"/>
      <c r="OQ253" s="17"/>
      <c r="OR253" s="17"/>
      <c r="OS253" s="17"/>
      <c r="OT253" s="17"/>
      <c r="OU253" s="17"/>
      <c r="OV253" s="17"/>
      <c r="OW253" s="17"/>
      <c r="OX253" s="17"/>
      <c r="OY253" s="17"/>
      <c r="OZ253" s="17"/>
      <c r="PA253" s="17"/>
      <c r="PB253" s="17"/>
      <c r="PC253" s="17"/>
      <c r="PD253" s="17"/>
      <c r="PE253" s="17"/>
      <c r="PF253" s="17"/>
      <c r="PG253" s="17"/>
      <c r="PH253" s="17"/>
      <c r="PI253" s="17"/>
      <c r="PJ253" s="17"/>
      <c r="PK253" s="17"/>
      <c r="PL253" s="17"/>
      <c r="PM253" s="17"/>
      <c r="PN253" s="17"/>
      <c r="PO253" s="17"/>
      <c r="PP253" s="17"/>
      <c r="PQ253" s="17"/>
      <c r="PR253" s="17"/>
      <c r="PS253" s="17"/>
      <c r="PT253" s="17"/>
      <c r="PU253" s="17"/>
      <c r="PV253" s="17"/>
      <c r="PW253" s="17"/>
      <c r="PX253" s="17"/>
      <c r="PY253" s="17"/>
      <c r="PZ253" s="17"/>
      <c r="QA253" s="17"/>
      <c r="QB253" s="17"/>
      <c r="QC253" s="17"/>
      <c r="QD253" s="17"/>
      <c r="QE253" s="17"/>
      <c r="QF253" s="17"/>
      <c r="QG253" s="17"/>
      <c r="QH253" s="17"/>
      <c r="QI253" s="17"/>
      <c r="QJ253" s="17"/>
      <c r="QK253" s="17"/>
      <c r="QL253" s="17"/>
      <c r="QM253" s="17"/>
      <c r="QN253" s="17"/>
      <c r="QO253" s="17"/>
      <c r="QP253" s="17"/>
      <c r="QQ253" s="17"/>
      <c r="QR253" s="17"/>
      <c r="QS253" s="17"/>
      <c r="QT253" s="17"/>
      <c r="QU253" s="17"/>
      <c r="QV253" s="17"/>
      <c r="QW253" s="17"/>
      <c r="QX253" s="17"/>
      <c r="QY253" s="17"/>
      <c r="QZ253" s="17"/>
      <c r="RA253" s="17"/>
      <c r="RB253" s="17"/>
      <c r="RC253" s="17"/>
      <c r="RD253" s="17"/>
      <c r="RE253" s="17"/>
      <c r="RF253" s="17"/>
      <c r="RG253" s="17"/>
      <c r="RH253" s="17"/>
      <c r="RI253" s="17"/>
      <c r="RJ253" s="17"/>
      <c r="RK253" s="17"/>
      <c r="RL253" s="17"/>
      <c r="RM253" s="17"/>
      <c r="RN253" s="17"/>
      <c r="RO253" s="17"/>
      <c r="RP253" s="17"/>
      <c r="RQ253" s="17"/>
      <c r="RR253" s="17"/>
      <c r="RS253" s="17"/>
      <c r="RT253" s="17"/>
      <c r="RU253" s="17"/>
      <c r="RV253" s="17"/>
      <c r="RW253" s="17"/>
      <c r="RX253" s="17"/>
      <c r="RY253" s="17"/>
      <c r="RZ253" s="17"/>
      <c r="SA253" s="17"/>
      <c r="SB253" s="17"/>
      <c r="SC253" s="17"/>
      <c r="SD253" s="17"/>
      <c r="SE253" s="17"/>
      <c r="SF253" s="17"/>
      <c r="SG253" s="17"/>
      <c r="SH253" s="17"/>
      <c r="SI253" s="17"/>
      <c r="SJ253" s="17"/>
      <c r="SK253" s="17"/>
      <c r="SL253" s="17"/>
      <c r="SM253" s="17"/>
      <c r="SN253" s="17"/>
      <c r="SO253" s="17"/>
      <c r="SP253" s="17"/>
      <c r="SQ253" s="17"/>
      <c r="SR253" s="17"/>
      <c r="SS253" s="17"/>
      <c r="ST253" s="17"/>
      <c r="SU253" s="17"/>
      <c r="SV253" s="17"/>
      <c r="SW253" s="17"/>
      <c r="SX253" s="17"/>
      <c r="SY253" s="17"/>
      <c r="SZ253" s="17"/>
      <c r="TA253" s="17"/>
      <c r="TB253" s="17"/>
      <c r="TC253" s="17"/>
      <c r="TD253" s="17"/>
      <c r="TE253" s="17"/>
      <c r="TF253" s="17"/>
      <c r="TG253" s="17"/>
      <c r="TH253" s="17"/>
      <c r="TI253" s="17"/>
      <c r="TJ253" s="17"/>
      <c r="TK253" s="17"/>
      <c r="TL253" s="17"/>
      <c r="TM253" s="17"/>
      <c r="TN253" s="17"/>
      <c r="TO253" s="17"/>
      <c r="TP253" s="17"/>
      <c r="TQ253" s="17"/>
      <c r="TR253" s="17"/>
      <c r="TS253" s="17"/>
      <c r="TT253" s="17"/>
      <c r="TU253" s="17"/>
      <c r="TV253" s="17"/>
      <c r="TW253" s="17"/>
      <c r="TX253" s="17"/>
      <c r="TY253" s="17"/>
      <c r="TZ253" s="17"/>
      <c r="UA253" s="17"/>
      <c r="UB253" s="17"/>
      <c r="UC253" s="17"/>
      <c r="UD253" s="17"/>
      <c r="UE253" s="17"/>
      <c r="UF253" s="17"/>
      <c r="UG253" s="17"/>
      <c r="UH253" s="17"/>
      <c r="UI253" s="17"/>
      <c r="UJ253" s="17"/>
      <c r="UK253" s="17"/>
      <c r="UL253" s="17"/>
      <c r="UM253" s="17"/>
      <c r="UN253" s="17"/>
      <c r="UO253" s="17"/>
      <c r="UP253" s="17"/>
      <c r="UQ253" s="17"/>
      <c r="UR253" s="17"/>
      <c r="US253" s="17"/>
      <c r="UT253" s="17"/>
      <c r="UU253" s="17"/>
      <c r="UV253" s="17"/>
      <c r="UW253" s="17"/>
      <c r="UX253" s="17"/>
      <c r="UY253" s="17"/>
      <c r="UZ253" s="17"/>
      <c r="VA253" s="17"/>
      <c r="VB253" s="17"/>
      <c r="VC253" s="17"/>
      <c r="VD253" s="17"/>
      <c r="VE253" s="17"/>
      <c r="VF253" s="17"/>
      <c r="VG253" s="17"/>
      <c r="VH253" s="17"/>
      <c r="VI253" s="17"/>
      <c r="VJ253" s="17"/>
      <c r="VK253" s="17"/>
      <c r="VL253" s="17"/>
      <c r="VM253" s="17"/>
      <c r="VN253" s="17"/>
      <c r="VO253" s="17"/>
      <c r="VP253" s="17"/>
      <c r="VQ253" s="17"/>
      <c r="VR253" s="17"/>
      <c r="VS253" s="17"/>
      <c r="VT253" s="17"/>
      <c r="VU253" s="17"/>
      <c r="VV253" s="17"/>
      <c r="VW253" s="17"/>
      <c r="VX253" s="17"/>
      <c r="VY253" s="17"/>
      <c r="VZ253" s="17"/>
      <c r="WA253" s="17"/>
      <c r="WB253" s="17"/>
      <c r="WC253" s="17"/>
      <c r="WD253" s="17"/>
      <c r="WE253" s="17"/>
      <c r="WF253" s="17"/>
      <c r="WG253" s="17"/>
      <c r="WH253" s="17"/>
      <c r="WI253" s="17"/>
      <c r="WJ253" s="17"/>
      <c r="WK253" s="17"/>
      <c r="WL253" s="17"/>
      <c r="WM253" s="17"/>
      <c r="WN253" s="17"/>
      <c r="WO253" s="17"/>
      <c r="WP253" s="17"/>
      <c r="WQ253" s="17"/>
      <c r="WR253" s="17"/>
      <c r="WS253" s="17"/>
      <c r="WT253" s="17"/>
      <c r="WU253" s="17"/>
      <c r="WV253" s="17"/>
      <c r="WW253" s="17"/>
      <c r="WX253" s="17"/>
      <c r="WY253" s="17"/>
      <c r="WZ253" s="17"/>
      <c r="XA253" s="17"/>
      <c r="XB253" s="17"/>
      <c r="XC253" s="17"/>
      <c r="XD253" s="17"/>
      <c r="XE253" s="17"/>
      <c r="XF253" s="17"/>
      <c r="XG253" s="17"/>
      <c r="XH253" s="17"/>
      <c r="XI253" s="17"/>
      <c r="XJ253" s="17"/>
      <c r="XK253" s="17"/>
      <c r="XL253" s="17"/>
      <c r="XM253" s="17"/>
      <c r="XN253" s="17"/>
      <c r="XO253" s="17"/>
      <c r="XP253" s="17"/>
      <c r="XQ253" s="17"/>
      <c r="XR253" s="17"/>
      <c r="XS253" s="17"/>
      <c r="XT253" s="17"/>
      <c r="XU253" s="17"/>
      <c r="XV253" s="17"/>
      <c r="XW253" s="17"/>
      <c r="XX253" s="17"/>
      <c r="XY253" s="17"/>
      <c r="XZ253" s="17"/>
      <c r="YA253" s="17"/>
      <c r="YB253" s="17"/>
      <c r="YC253" s="17"/>
      <c r="YD253" s="17"/>
      <c r="YE253" s="17"/>
      <c r="YF253" s="17"/>
      <c r="YG253" s="17"/>
      <c r="YH253" s="17"/>
      <c r="YI253" s="17"/>
      <c r="YJ253" s="17"/>
      <c r="YK253" s="17"/>
      <c r="YL253" s="17"/>
      <c r="YM253" s="17"/>
      <c r="YN253" s="17"/>
      <c r="YO253" s="17"/>
      <c r="YP253" s="17"/>
      <c r="YQ253" s="17"/>
      <c r="YR253" s="17"/>
      <c r="YS253" s="17"/>
    </row>
    <row r="254" spans="266:669" x14ac:dyDescent="0.25">
      <c r="JF254" s="17"/>
      <c r="JG254" s="17"/>
      <c r="JH254" s="17"/>
      <c r="JI254" s="17"/>
      <c r="JJ254" s="17"/>
      <c r="JK254" s="17"/>
      <c r="JL254" s="17"/>
      <c r="JM254" s="17"/>
      <c r="JN254" s="17"/>
      <c r="JO254" s="17"/>
      <c r="JP254" s="17"/>
      <c r="JQ254" s="17"/>
      <c r="JR254" s="17"/>
      <c r="JS254" s="17"/>
      <c r="JT254" s="17"/>
      <c r="JU254" s="17"/>
      <c r="JV254" s="17"/>
      <c r="JW254" s="17"/>
      <c r="JX254" s="17"/>
      <c r="JY254" s="17"/>
      <c r="JZ254" s="17"/>
      <c r="KA254" s="17"/>
      <c r="KB254" s="17"/>
      <c r="KC254" s="17"/>
      <c r="KD254" s="17"/>
      <c r="KE254" s="17"/>
      <c r="KF254" s="17"/>
      <c r="KG254" s="17"/>
      <c r="KH254" s="17"/>
      <c r="KI254" s="17"/>
      <c r="KJ254" s="17"/>
      <c r="KK254" s="17"/>
      <c r="KL254" s="17"/>
      <c r="KM254" s="17"/>
      <c r="KN254" s="17"/>
      <c r="KO254" s="17"/>
      <c r="KP254" s="17"/>
      <c r="KQ254" s="17"/>
      <c r="KR254" s="17"/>
      <c r="KS254" s="17"/>
      <c r="KT254" s="17"/>
      <c r="KU254" s="17"/>
      <c r="KV254" s="17"/>
      <c r="KW254" s="17"/>
      <c r="KX254" s="17"/>
      <c r="KY254" s="17"/>
      <c r="KZ254" s="17"/>
      <c r="LA254" s="17"/>
      <c r="LB254" s="17"/>
      <c r="LC254" s="17"/>
      <c r="LD254" s="17"/>
      <c r="LE254" s="17"/>
      <c r="LF254" s="17"/>
      <c r="LG254" s="17"/>
      <c r="LH254" s="17"/>
      <c r="LI254" s="17"/>
      <c r="LJ254" s="17"/>
      <c r="LK254" s="17"/>
      <c r="LL254" s="17"/>
      <c r="LM254" s="17"/>
      <c r="LN254" s="17"/>
      <c r="LO254" s="17"/>
      <c r="LP254" s="17"/>
      <c r="LQ254" s="17"/>
      <c r="LR254" s="17"/>
      <c r="LS254" s="17"/>
      <c r="LT254" s="17"/>
      <c r="LU254" s="17"/>
      <c r="LV254" s="17"/>
      <c r="LW254" s="17"/>
      <c r="LX254" s="17"/>
      <c r="LY254" s="17"/>
      <c r="LZ254" s="17"/>
      <c r="MA254" s="17"/>
      <c r="MB254" s="17"/>
      <c r="MC254" s="17"/>
      <c r="MD254" s="17"/>
      <c r="ME254" s="17"/>
      <c r="MF254" s="17"/>
      <c r="MG254" s="17"/>
      <c r="MH254" s="17"/>
      <c r="MI254" s="17"/>
      <c r="MJ254" s="17"/>
      <c r="MK254" s="17"/>
      <c r="ML254" s="17"/>
      <c r="MM254" s="17"/>
      <c r="MN254" s="17"/>
      <c r="MO254" s="17"/>
      <c r="MP254" s="17"/>
      <c r="MQ254" s="17"/>
      <c r="MR254" s="17"/>
      <c r="MS254" s="17"/>
      <c r="MT254" s="17"/>
      <c r="MU254" s="17"/>
      <c r="MV254" s="17"/>
      <c r="MW254" s="17"/>
      <c r="MX254" s="17"/>
      <c r="MY254" s="17"/>
      <c r="MZ254" s="17"/>
      <c r="NA254" s="17"/>
      <c r="NB254" s="17"/>
      <c r="NC254" s="17"/>
      <c r="ND254" s="17"/>
      <c r="NE254" s="17"/>
      <c r="NF254" s="17"/>
      <c r="NG254" s="17"/>
      <c r="NH254" s="17"/>
      <c r="NI254" s="17"/>
      <c r="NJ254" s="17"/>
      <c r="NK254" s="17"/>
      <c r="NL254" s="17"/>
      <c r="NM254" s="17"/>
      <c r="NN254" s="17"/>
      <c r="NO254" s="17"/>
      <c r="NP254" s="17"/>
      <c r="NQ254" s="17"/>
      <c r="NR254" s="17"/>
      <c r="NS254" s="17"/>
      <c r="NT254" s="17"/>
      <c r="NU254" s="17"/>
      <c r="NV254" s="17"/>
      <c r="NW254" s="17"/>
      <c r="NX254" s="17"/>
      <c r="NY254" s="17"/>
      <c r="NZ254" s="17"/>
      <c r="OA254" s="17"/>
      <c r="OB254" s="17"/>
      <c r="OC254" s="17"/>
      <c r="OD254" s="17"/>
      <c r="OE254" s="17"/>
      <c r="OF254" s="17"/>
      <c r="OG254" s="17"/>
      <c r="OH254" s="17"/>
      <c r="OI254" s="17"/>
      <c r="OJ254" s="17"/>
      <c r="OK254" s="17"/>
      <c r="OL254" s="17"/>
      <c r="OM254" s="17"/>
      <c r="ON254" s="17"/>
      <c r="OO254" s="17"/>
      <c r="OP254" s="17"/>
      <c r="OQ254" s="17"/>
      <c r="OR254" s="17"/>
      <c r="OS254" s="17"/>
      <c r="OT254" s="17"/>
      <c r="OU254" s="17"/>
      <c r="OV254" s="17"/>
      <c r="OW254" s="17"/>
      <c r="OX254" s="17"/>
      <c r="OY254" s="17"/>
      <c r="OZ254" s="17"/>
      <c r="PA254" s="17"/>
      <c r="PB254" s="17"/>
      <c r="PC254" s="17"/>
      <c r="PD254" s="17"/>
      <c r="PE254" s="17"/>
      <c r="PF254" s="17"/>
      <c r="PG254" s="17"/>
      <c r="PH254" s="17"/>
      <c r="PI254" s="17"/>
      <c r="PJ254" s="17"/>
      <c r="PK254" s="17"/>
      <c r="PL254" s="17"/>
      <c r="PM254" s="17"/>
      <c r="PN254" s="17"/>
      <c r="PO254" s="17"/>
      <c r="PP254" s="17"/>
      <c r="PQ254" s="17"/>
      <c r="PR254" s="17"/>
      <c r="PS254" s="17"/>
      <c r="PT254" s="17"/>
      <c r="PU254" s="17"/>
      <c r="PV254" s="17"/>
      <c r="PW254" s="17"/>
      <c r="PX254" s="17"/>
      <c r="PY254" s="17"/>
      <c r="PZ254" s="17"/>
      <c r="QA254" s="17"/>
      <c r="QB254" s="17"/>
      <c r="QC254" s="17"/>
      <c r="QD254" s="17"/>
      <c r="QE254" s="17"/>
      <c r="QF254" s="17"/>
      <c r="QG254" s="17"/>
      <c r="QH254" s="17"/>
      <c r="QI254" s="17"/>
      <c r="QJ254" s="17"/>
      <c r="QK254" s="17"/>
      <c r="QL254" s="17"/>
      <c r="QM254" s="17"/>
      <c r="QN254" s="17"/>
      <c r="QO254" s="17"/>
      <c r="QP254" s="17"/>
      <c r="QQ254" s="17"/>
      <c r="QR254" s="17"/>
      <c r="QS254" s="17"/>
      <c r="QT254" s="17"/>
      <c r="QU254" s="17"/>
      <c r="QV254" s="17"/>
      <c r="QW254" s="17"/>
      <c r="QX254" s="17"/>
      <c r="QY254" s="17"/>
      <c r="QZ254" s="17"/>
      <c r="RA254" s="17"/>
      <c r="RB254" s="17"/>
      <c r="RC254" s="17"/>
      <c r="RD254" s="17"/>
      <c r="RE254" s="17"/>
      <c r="RF254" s="17"/>
      <c r="RG254" s="17"/>
      <c r="RH254" s="17"/>
      <c r="RI254" s="17"/>
      <c r="RJ254" s="17"/>
      <c r="RK254" s="17"/>
      <c r="RL254" s="17"/>
      <c r="RM254" s="17"/>
      <c r="RN254" s="17"/>
      <c r="RO254" s="17"/>
      <c r="RP254" s="17"/>
      <c r="RQ254" s="17"/>
      <c r="RR254" s="17"/>
      <c r="RS254" s="17"/>
      <c r="RT254" s="17"/>
      <c r="RU254" s="17"/>
      <c r="RV254" s="17"/>
      <c r="RW254" s="17"/>
      <c r="RX254" s="17"/>
      <c r="RY254" s="17"/>
      <c r="RZ254" s="17"/>
      <c r="SA254" s="17"/>
      <c r="SB254" s="17"/>
      <c r="SC254" s="17"/>
      <c r="SD254" s="17"/>
      <c r="SE254" s="17"/>
      <c r="SF254" s="17"/>
      <c r="SG254" s="17"/>
      <c r="SH254" s="17"/>
      <c r="SI254" s="17"/>
      <c r="SJ254" s="17"/>
      <c r="SK254" s="17"/>
      <c r="SL254" s="17"/>
      <c r="SM254" s="17"/>
      <c r="SN254" s="17"/>
      <c r="SO254" s="17"/>
      <c r="SP254" s="17"/>
      <c r="SQ254" s="17"/>
      <c r="SR254" s="17"/>
      <c r="SS254" s="17"/>
      <c r="ST254" s="17"/>
      <c r="SU254" s="17"/>
      <c r="SV254" s="17"/>
      <c r="SW254" s="17"/>
      <c r="SX254" s="17"/>
      <c r="SY254" s="17"/>
      <c r="SZ254" s="17"/>
      <c r="TA254" s="17"/>
      <c r="TB254" s="17"/>
      <c r="TC254" s="17"/>
      <c r="TD254" s="17"/>
      <c r="TE254" s="17"/>
      <c r="TF254" s="17"/>
      <c r="TG254" s="17"/>
      <c r="TH254" s="17"/>
      <c r="TI254" s="17"/>
      <c r="TJ254" s="17"/>
      <c r="TK254" s="17"/>
      <c r="TL254" s="17"/>
      <c r="TM254" s="17"/>
      <c r="TN254" s="17"/>
      <c r="TO254" s="17"/>
      <c r="TP254" s="17"/>
      <c r="TQ254" s="17"/>
      <c r="TR254" s="17"/>
      <c r="TS254" s="17"/>
      <c r="TT254" s="17"/>
      <c r="TU254" s="17"/>
      <c r="TV254" s="17"/>
      <c r="TW254" s="17"/>
      <c r="TX254" s="17"/>
      <c r="TY254" s="17"/>
      <c r="TZ254" s="17"/>
      <c r="UA254" s="17"/>
      <c r="UB254" s="17"/>
      <c r="UC254" s="17"/>
      <c r="UD254" s="17"/>
      <c r="UE254" s="17"/>
      <c r="UF254" s="17"/>
      <c r="UG254" s="17"/>
      <c r="UH254" s="17"/>
      <c r="UI254" s="17"/>
      <c r="UJ254" s="17"/>
      <c r="UK254" s="17"/>
      <c r="UL254" s="17"/>
      <c r="UM254" s="17"/>
      <c r="UN254" s="17"/>
      <c r="UO254" s="17"/>
      <c r="UP254" s="17"/>
      <c r="UQ254" s="17"/>
      <c r="UR254" s="17"/>
      <c r="US254" s="17"/>
      <c r="UT254" s="17"/>
      <c r="UU254" s="17"/>
      <c r="UV254" s="17"/>
      <c r="UW254" s="17"/>
      <c r="UX254" s="17"/>
      <c r="UY254" s="17"/>
      <c r="UZ254" s="17"/>
      <c r="VA254" s="17"/>
      <c r="VB254" s="17"/>
      <c r="VC254" s="17"/>
      <c r="VD254" s="17"/>
      <c r="VE254" s="17"/>
      <c r="VF254" s="17"/>
      <c r="VG254" s="17"/>
      <c r="VH254" s="17"/>
      <c r="VI254" s="17"/>
      <c r="VJ254" s="17"/>
      <c r="VK254" s="17"/>
      <c r="VL254" s="17"/>
      <c r="VM254" s="17"/>
      <c r="VN254" s="17"/>
      <c r="VO254" s="17"/>
      <c r="VP254" s="17"/>
      <c r="VQ254" s="17"/>
      <c r="VR254" s="17"/>
      <c r="VS254" s="17"/>
      <c r="VT254" s="17"/>
      <c r="VU254" s="17"/>
      <c r="VV254" s="17"/>
      <c r="VW254" s="17"/>
      <c r="VX254" s="17"/>
      <c r="VY254" s="17"/>
      <c r="VZ254" s="17"/>
      <c r="WA254" s="17"/>
      <c r="WB254" s="17"/>
      <c r="WC254" s="17"/>
      <c r="WD254" s="17"/>
      <c r="WE254" s="17"/>
      <c r="WF254" s="17"/>
      <c r="WG254" s="17"/>
      <c r="WH254" s="17"/>
      <c r="WI254" s="17"/>
      <c r="WJ254" s="17"/>
      <c r="WK254" s="17"/>
      <c r="WL254" s="17"/>
      <c r="WM254" s="17"/>
      <c r="WN254" s="17"/>
      <c r="WO254" s="17"/>
      <c r="WP254" s="17"/>
      <c r="WQ254" s="17"/>
      <c r="WR254" s="17"/>
      <c r="WS254" s="17"/>
      <c r="WT254" s="17"/>
      <c r="WU254" s="17"/>
      <c r="WV254" s="17"/>
      <c r="WW254" s="17"/>
      <c r="WX254" s="17"/>
      <c r="WY254" s="17"/>
      <c r="WZ254" s="17"/>
      <c r="XA254" s="17"/>
      <c r="XB254" s="17"/>
      <c r="XC254" s="17"/>
      <c r="XD254" s="17"/>
      <c r="XE254" s="17"/>
      <c r="XF254" s="17"/>
      <c r="XG254" s="17"/>
      <c r="XH254" s="17"/>
      <c r="XI254" s="17"/>
      <c r="XJ254" s="17"/>
      <c r="XK254" s="17"/>
      <c r="XL254" s="17"/>
      <c r="XM254" s="17"/>
      <c r="XN254" s="17"/>
      <c r="XO254" s="17"/>
      <c r="XP254" s="17"/>
      <c r="XQ254" s="17"/>
      <c r="XR254" s="17"/>
      <c r="XS254" s="17"/>
      <c r="XT254" s="17"/>
      <c r="XU254" s="17"/>
      <c r="XV254" s="17"/>
      <c r="XW254" s="17"/>
      <c r="XX254" s="17"/>
      <c r="XY254" s="17"/>
      <c r="XZ254" s="17"/>
      <c r="YA254" s="17"/>
      <c r="YB254" s="17"/>
      <c r="YC254" s="17"/>
      <c r="YD254" s="17"/>
      <c r="YE254" s="17"/>
      <c r="YF254" s="17"/>
      <c r="YG254" s="17"/>
      <c r="YH254" s="17"/>
      <c r="YI254" s="17"/>
      <c r="YJ254" s="17"/>
      <c r="YK254" s="17"/>
      <c r="YL254" s="17"/>
      <c r="YM254" s="17"/>
      <c r="YN254" s="17"/>
      <c r="YO254" s="17"/>
      <c r="YP254" s="17"/>
      <c r="YQ254" s="17"/>
      <c r="YR254" s="17"/>
      <c r="YS254" s="17"/>
    </row>
    <row r="255" spans="266:669" x14ac:dyDescent="0.25">
      <c r="JF255" s="17"/>
      <c r="JG255" s="17"/>
      <c r="JH255" s="17"/>
      <c r="JI255" s="17"/>
      <c r="JJ255" s="17"/>
      <c r="JK255" s="17"/>
      <c r="JL255" s="17"/>
      <c r="JM255" s="17"/>
      <c r="JN255" s="17"/>
      <c r="JO255" s="17"/>
      <c r="JP255" s="17"/>
      <c r="JQ255" s="17"/>
      <c r="JR255" s="17"/>
      <c r="JS255" s="17"/>
      <c r="JT255" s="17"/>
      <c r="JU255" s="17"/>
      <c r="JV255" s="17"/>
      <c r="JW255" s="17"/>
      <c r="JX255" s="17"/>
      <c r="JY255" s="17"/>
      <c r="JZ255" s="17"/>
      <c r="KA255" s="17"/>
      <c r="KB255" s="17"/>
      <c r="KC255" s="17"/>
      <c r="KD255" s="17"/>
      <c r="KE255" s="17"/>
      <c r="KF255" s="17"/>
      <c r="KG255" s="17"/>
      <c r="KH255" s="17"/>
      <c r="KI255" s="17"/>
      <c r="KJ255" s="17"/>
      <c r="KK255" s="17"/>
      <c r="KL255" s="17"/>
      <c r="KM255" s="17"/>
      <c r="KN255" s="17"/>
      <c r="KO255" s="17"/>
      <c r="KP255" s="17"/>
      <c r="KQ255" s="17"/>
      <c r="KR255" s="17"/>
      <c r="KS255" s="17"/>
      <c r="KT255" s="17"/>
      <c r="KU255" s="17"/>
      <c r="KV255" s="17"/>
      <c r="KW255" s="17"/>
      <c r="KX255" s="17"/>
      <c r="KY255" s="17"/>
      <c r="KZ255" s="17"/>
      <c r="LA255" s="17"/>
      <c r="LB255" s="17"/>
      <c r="LC255" s="17"/>
      <c r="LD255" s="17"/>
      <c r="LE255" s="17"/>
      <c r="LF255" s="17"/>
      <c r="LG255" s="17"/>
      <c r="LH255" s="17"/>
      <c r="LI255" s="17"/>
      <c r="LJ255" s="17"/>
      <c r="LK255" s="17"/>
      <c r="LL255" s="17"/>
      <c r="LM255" s="17"/>
      <c r="LN255" s="17"/>
      <c r="LO255" s="17"/>
      <c r="LP255" s="17"/>
      <c r="LQ255" s="17"/>
      <c r="LR255" s="17"/>
      <c r="LS255" s="17"/>
      <c r="LT255" s="17"/>
      <c r="LU255" s="17"/>
      <c r="LV255" s="17"/>
      <c r="LW255" s="17"/>
      <c r="LX255" s="17"/>
      <c r="LY255" s="17"/>
      <c r="LZ255" s="17"/>
      <c r="MA255" s="17"/>
      <c r="MB255" s="17"/>
      <c r="MC255" s="17"/>
      <c r="MD255" s="17"/>
      <c r="ME255" s="17"/>
      <c r="MF255" s="17"/>
      <c r="MG255" s="17"/>
      <c r="MH255" s="17"/>
      <c r="MI255" s="17"/>
      <c r="MJ255" s="17"/>
      <c r="MK255" s="17"/>
      <c r="ML255" s="17"/>
      <c r="MM255" s="17"/>
      <c r="MN255" s="17"/>
      <c r="MO255" s="17"/>
      <c r="MP255" s="17"/>
      <c r="MQ255" s="17"/>
      <c r="MR255" s="17"/>
      <c r="MS255" s="17"/>
      <c r="MT255" s="17"/>
      <c r="MU255" s="17"/>
      <c r="MV255" s="17"/>
      <c r="MW255" s="17"/>
      <c r="MX255" s="17"/>
      <c r="MY255" s="17"/>
      <c r="MZ255" s="17"/>
      <c r="NA255" s="17"/>
      <c r="NB255" s="17"/>
      <c r="NC255" s="17"/>
      <c r="ND255" s="17"/>
      <c r="NE255" s="17"/>
      <c r="NF255" s="17"/>
      <c r="NG255" s="17"/>
      <c r="NH255" s="17"/>
      <c r="NI255" s="17"/>
      <c r="NJ255" s="17"/>
      <c r="NK255" s="17"/>
      <c r="NL255" s="17"/>
      <c r="NM255" s="17"/>
      <c r="NN255" s="17"/>
      <c r="NO255" s="17"/>
      <c r="NP255" s="17"/>
      <c r="NQ255" s="17"/>
      <c r="NR255" s="17"/>
      <c r="NS255" s="17"/>
      <c r="NT255" s="17"/>
      <c r="NU255" s="17"/>
      <c r="NV255" s="17"/>
      <c r="NW255" s="17"/>
      <c r="NX255" s="17"/>
      <c r="NY255" s="17"/>
      <c r="NZ255" s="17"/>
      <c r="OA255" s="17"/>
      <c r="OB255" s="17"/>
      <c r="OC255" s="17"/>
      <c r="OD255" s="17"/>
      <c r="OE255" s="17"/>
      <c r="OF255" s="17"/>
      <c r="OG255" s="17"/>
      <c r="OH255" s="17"/>
      <c r="OI255" s="17"/>
      <c r="OJ255" s="17"/>
      <c r="OK255" s="17"/>
      <c r="OL255" s="17"/>
      <c r="OM255" s="17"/>
      <c r="ON255" s="17"/>
      <c r="OO255" s="17"/>
      <c r="OP255" s="17"/>
      <c r="OQ255" s="17"/>
      <c r="OR255" s="17"/>
      <c r="OS255" s="17"/>
      <c r="OT255" s="17"/>
      <c r="OU255" s="17"/>
      <c r="OV255" s="17"/>
      <c r="OW255" s="17"/>
      <c r="OX255" s="17"/>
      <c r="OY255" s="17"/>
      <c r="OZ255" s="17"/>
      <c r="PA255" s="17"/>
      <c r="PB255" s="17"/>
      <c r="PC255" s="17"/>
      <c r="PD255" s="17"/>
      <c r="PE255" s="17"/>
      <c r="PF255" s="17"/>
      <c r="PG255" s="17"/>
      <c r="PH255" s="17"/>
      <c r="PI255" s="17"/>
      <c r="PJ255" s="17"/>
      <c r="PK255" s="17"/>
      <c r="PL255" s="17"/>
      <c r="PM255" s="17"/>
      <c r="PN255" s="17"/>
      <c r="PO255" s="17"/>
      <c r="PP255" s="17"/>
      <c r="PQ255" s="17"/>
      <c r="PR255" s="17"/>
      <c r="PS255" s="17"/>
      <c r="PT255" s="17"/>
      <c r="PU255" s="17"/>
      <c r="PV255" s="17"/>
      <c r="PW255" s="17"/>
      <c r="PX255" s="17"/>
      <c r="PY255" s="17"/>
      <c r="PZ255" s="17"/>
      <c r="QA255" s="17"/>
      <c r="QB255" s="17"/>
      <c r="QC255" s="17"/>
      <c r="QD255" s="17"/>
      <c r="QE255" s="17"/>
      <c r="QF255" s="17"/>
      <c r="QG255" s="17"/>
      <c r="QH255" s="17"/>
      <c r="QI255" s="17"/>
      <c r="QJ255" s="17"/>
      <c r="QK255" s="17"/>
      <c r="QL255" s="17"/>
      <c r="QM255" s="17"/>
      <c r="QN255" s="17"/>
      <c r="QO255" s="17"/>
      <c r="QP255" s="17"/>
      <c r="QQ255" s="17"/>
      <c r="QR255" s="17"/>
      <c r="QS255" s="17"/>
      <c r="QT255" s="17"/>
      <c r="QU255" s="17"/>
      <c r="QV255" s="17"/>
      <c r="QW255" s="17"/>
      <c r="QX255" s="17"/>
      <c r="QY255" s="17"/>
      <c r="QZ255" s="17"/>
      <c r="RA255" s="17"/>
      <c r="RB255" s="17"/>
      <c r="RC255" s="17"/>
      <c r="RD255" s="17"/>
      <c r="RE255" s="17"/>
      <c r="RF255" s="17"/>
      <c r="RG255" s="17"/>
      <c r="RH255" s="17"/>
      <c r="RI255" s="17"/>
      <c r="RJ255" s="17"/>
      <c r="RK255" s="17"/>
      <c r="RL255" s="17"/>
      <c r="RM255" s="17"/>
      <c r="RN255" s="17"/>
      <c r="RO255" s="17"/>
      <c r="RP255" s="17"/>
      <c r="RQ255" s="17"/>
      <c r="RR255" s="17"/>
      <c r="RS255" s="17"/>
      <c r="RT255" s="17"/>
      <c r="RU255" s="17"/>
      <c r="RV255" s="17"/>
      <c r="RW255" s="17"/>
      <c r="RX255" s="17"/>
      <c r="RY255" s="17"/>
      <c r="RZ255" s="17"/>
      <c r="SA255" s="17"/>
      <c r="SB255" s="17"/>
      <c r="SC255" s="17"/>
      <c r="SD255" s="17"/>
      <c r="SE255" s="17"/>
      <c r="SF255" s="17"/>
      <c r="SG255" s="17"/>
      <c r="SH255" s="17"/>
      <c r="SI255" s="17"/>
      <c r="SJ255" s="17"/>
      <c r="SK255" s="17"/>
      <c r="SL255" s="17"/>
      <c r="SM255" s="17"/>
      <c r="SN255" s="17"/>
      <c r="SO255" s="17"/>
      <c r="SP255" s="17"/>
      <c r="SQ255" s="17"/>
      <c r="SR255" s="17"/>
      <c r="SS255" s="17"/>
      <c r="ST255" s="17"/>
      <c r="SU255" s="17"/>
      <c r="SV255" s="17"/>
      <c r="SW255" s="17"/>
      <c r="SX255" s="17"/>
      <c r="SY255" s="17"/>
      <c r="SZ255" s="17"/>
      <c r="TA255" s="17"/>
      <c r="TB255" s="17"/>
      <c r="TC255" s="17"/>
      <c r="TD255" s="17"/>
      <c r="TE255" s="17"/>
      <c r="TF255" s="17"/>
      <c r="TG255" s="17"/>
      <c r="TH255" s="17"/>
      <c r="TI255" s="17"/>
      <c r="TJ255" s="17"/>
      <c r="TK255" s="17"/>
      <c r="TL255" s="17"/>
      <c r="TM255" s="17"/>
      <c r="TN255" s="17"/>
      <c r="TO255" s="17"/>
      <c r="TP255" s="17"/>
      <c r="TQ255" s="17"/>
      <c r="TR255" s="17"/>
      <c r="TS255" s="17"/>
      <c r="TT255" s="17"/>
      <c r="TU255" s="17"/>
      <c r="TV255" s="17"/>
      <c r="TW255" s="17"/>
      <c r="TX255" s="17"/>
      <c r="TY255" s="17"/>
      <c r="TZ255" s="17"/>
      <c r="UA255" s="17"/>
      <c r="UB255" s="17"/>
      <c r="UC255" s="17"/>
      <c r="UD255" s="17"/>
      <c r="UE255" s="17"/>
      <c r="UF255" s="17"/>
      <c r="UG255" s="17"/>
      <c r="UH255" s="17"/>
      <c r="UI255" s="17"/>
      <c r="UJ255" s="17"/>
      <c r="UK255" s="17"/>
      <c r="UL255" s="17"/>
      <c r="UM255" s="17"/>
      <c r="UN255" s="17"/>
      <c r="UO255" s="17"/>
      <c r="UP255" s="17"/>
      <c r="UQ255" s="17"/>
      <c r="UR255" s="17"/>
      <c r="US255" s="17"/>
      <c r="UT255" s="17"/>
      <c r="UU255" s="17"/>
      <c r="UV255" s="17"/>
      <c r="UW255" s="17"/>
      <c r="UX255" s="17"/>
      <c r="UY255" s="17"/>
      <c r="UZ255" s="17"/>
      <c r="VA255" s="17"/>
      <c r="VB255" s="17"/>
      <c r="VC255" s="17"/>
      <c r="VD255" s="17"/>
      <c r="VE255" s="17"/>
      <c r="VF255" s="17"/>
      <c r="VG255" s="17"/>
      <c r="VH255" s="17"/>
      <c r="VI255" s="17"/>
      <c r="VJ255" s="17"/>
      <c r="VK255" s="17"/>
      <c r="VL255" s="17"/>
      <c r="VM255" s="17"/>
      <c r="VN255" s="17"/>
      <c r="VO255" s="17"/>
      <c r="VP255" s="17"/>
      <c r="VQ255" s="17"/>
      <c r="VR255" s="17"/>
      <c r="VS255" s="17"/>
      <c r="VT255" s="17"/>
      <c r="VU255" s="17"/>
      <c r="VV255" s="17"/>
      <c r="VW255" s="17"/>
      <c r="VX255" s="17"/>
      <c r="VY255" s="17"/>
      <c r="VZ255" s="17"/>
      <c r="WA255" s="17"/>
      <c r="WB255" s="17"/>
      <c r="WC255" s="17"/>
      <c r="WD255" s="17"/>
      <c r="WE255" s="17"/>
      <c r="WF255" s="17"/>
      <c r="WG255" s="17"/>
      <c r="WH255" s="17"/>
      <c r="WI255" s="17"/>
      <c r="WJ255" s="17"/>
      <c r="WK255" s="17"/>
      <c r="WL255" s="17"/>
      <c r="WM255" s="17"/>
      <c r="WN255" s="17"/>
      <c r="WO255" s="17"/>
      <c r="WP255" s="17"/>
      <c r="WQ255" s="17"/>
      <c r="WR255" s="17"/>
      <c r="WS255" s="17"/>
      <c r="WT255" s="17"/>
      <c r="WU255" s="17"/>
      <c r="WV255" s="17"/>
      <c r="WW255" s="17"/>
      <c r="WX255" s="17"/>
      <c r="WY255" s="17"/>
      <c r="WZ255" s="17"/>
      <c r="XA255" s="17"/>
      <c r="XB255" s="17"/>
      <c r="XC255" s="17"/>
      <c r="XD255" s="17"/>
      <c r="XE255" s="17"/>
      <c r="XF255" s="17"/>
      <c r="XG255" s="17"/>
      <c r="XH255" s="17"/>
      <c r="XI255" s="17"/>
      <c r="XJ255" s="17"/>
      <c r="XK255" s="17"/>
      <c r="XL255" s="17"/>
      <c r="XM255" s="17"/>
      <c r="XN255" s="17"/>
      <c r="XO255" s="17"/>
      <c r="XP255" s="17"/>
      <c r="XQ255" s="17"/>
      <c r="XR255" s="17"/>
      <c r="XS255" s="17"/>
      <c r="XT255" s="17"/>
      <c r="XU255" s="17"/>
      <c r="XV255" s="17"/>
      <c r="XW255" s="17"/>
      <c r="XX255" s="17"/>
      <c r="XY255" s="17"/>
      <c r="XZ255" s="17"/>
      <c r="YA255" s="17"/>
      <c r="YB255" s="17"/>
      <c r="YC255" s="17"/>
      <c r="YD255" s="17"/>
      <c r="YE255" s="17"/>
      <c r="YF255" s="17"/>
      <c r="YG255" s="17"/>
      <c r="YH255" s="17"/>
      <c r="YI255" s="17"/>
      <c r="YJ255" s="17"/>
      <c r="YK255" s="17"/>
      <c r="YL255" s="17"/>
      <c r="YM255" s="17"/>
      <c r="YN255" s="17"/>
      <c r="YO255" s="17"/>
      <c r="YP255" s="17"/>
      <c r="YQ255" s="17"/>
      <c r="YR255" s="17"/>
      <c r="YS255" s="17"/>
    </row>
    <row r="256" spans="266:669" x14ac:dyDescent="0.25">
      <c r="JF256" s="17"/>
      <c r="JG256" s="17"/>
      <c r="JH256" s="17"/>
      <c r="JI256" s="17"/>
      <c r="JJ256" s="17"/>
      <c r="JK256" s="17"/>
      <c r="JL256" s="17"/>
      <c r="JM256" s="17"/>
      <c r="JN256" s="17"/>
      <c r="JO256" s="17"/>
      <c r="JP256" s="17"/>
      <c r="JQ256" s="17"/>
      <c r="JR256" s="17"/>
      <c r="JS256" s="17"/>
      <c r="JT256" s="17"/>
      <c r="JU256" s="17"/>
      <c r="JV256" s="17"/>
      <c r="JW256" s="17"/>
      <c r="JX256" s="17"/>
      <c r="JY256" s="17"/>
      <c r="JZ256" s="17"/>
      <c r="KA256" s="17"/>
      <c r="KB256" s="17"/>
      <c r="KC256" s="17"/>
      <c r="KD256" s="17"/>
      <c r="KE256" s="17"/>
      <c r="KF256" s="17"/>
      <c r="KG256" s="17"/>
      <c r="KH256" s="17"/>
      <c r="KI256" s="17"/>
      <c r="KJ256" s="17"/>
      <c r="KK256" s="17"/>
      <c r="KL256" s="17"/>
      <c r="KM256" s="17"/>
      <c r="KN256" s="17"/>
      <c r="KO256" s="17"/>
      <c r="KP256" s="17"/>
      <c r="KQ256" s="17"/>
      <c r="KR256" s="17"/>
      <c r="KS256" s="17"/>
      <c r="KT256" s="17"/>
      <c r="KU256" s="17"/>
      <c r="KV256" s="17"/>
      <c r="KW256" s="17"/>
      <c r="KX256" s="17"/>
      <c r="KY256" s="17"/>
      <c r="KZ256" s="17"/>
      <c r="LA256" s="17"/>
      <c r="LB256" s="17"/>
      <c r="LC256" s="17"/>
      <c r="LD256" s="17"/>
      <c r="LE256" s="17"/>
      <c r="LF256" s="17"/>
      <c r="LG256" s="17"/>
      <c r="LH256" s="17"/>
      <c r="LI256" s="17"/>
      <c r="LJ256" s="17"/>
      <c r="LK256" s="17"/>
      <c r="LL256" s="17"/>
      <c r="LM256" s="17"/>
      <c r="LN256" s="17"/>
      <c r="LO256" s="17"/>
      <c r="LP256" s="17"/>
      <c r="LQ256" s="17"/>
      <c r="LR256" s="17"/>
      <c r="LS256" s="17"/>
      <c r="LT256" s="17"/>
      <c r="LU256" s="17"/>
      <c r="LV256" s="17"/>
      <c r="LW256" s="17"/>
      <c r="LX256" s="17"/>
      <c r="LY256" s="17"/>
      <c r="LZ256" s="17"/>
      <c r="MA256" s="17"/>
      <c r="MB256" s="17"/>
      <c r="MC256" s="17"/>
      <c r="MD256" s="17"/>
      <c r="ME256" s="17"/>
      <c r="MF256" s="17"/>
      <c r="MG256" s="17"/>
      <c r="MH256" s="17"/>
      <c r="MI256" s="17"/>
      <c r="MJ256" s="17"/>
      <c r="MK256" s="17"/>
      <c r="ML256" s="17"/>
      <c r="MM256" s="17"/>
      <c r="MN256" s="17"/>
      <c r="MO256" s="17"/>
      <c r="MP256" s="17"/>
      <c r="MQ256" s="17"/>
      <c r="MR256" s="17"/>
      <c r="MS256" s="17"/>
      <c r="MT256" s="17"/>
      <c r="MU256" s="17"/>
      <c r="MV256" s="17"/>
      <c r="MW256" s="17"/>
      <c r="MX256" s="17"/>
      <c r="MY256" s="17"/>
      <c r="MZ256" s="17"/>
      <c r="NA256" s="17"/>
      <c r="NB256" s="17"/>
      <c r="NC256" s="17"/>
      <c r="ND256" s="17"/>
      <c r="NE256" s="17"/>
      <c r="NF256" s="17"/>
      <c r="NG256" s="17"/>
      <c r="NH256" s="17"/>
      <c r="NI256" s="17"/>
      <c r="NJ256" s="17"/>
      <c r="NK256" s="17"/>
      <c r="NL256" s="17"/>
      <c r="NM256" s="17"/>
      <c r="NN256" s="17"/>
      <c r="NO256" s="17"/>
      <c r="NP256" s="17"/>
      <c r="NQ256" s="17"/>
      <c r="NR256" s="17"/>
      <c r="NS256" s="17"/>
      <c r="NT256" s="17"/>
      <c r="NU256" s="17"/>
      <c r="NV256" s="17"/>
      <c r="NW256" s="17"/>
      <c r="NX256" s="17"/>
      <c r="NY256" s="17"/>
      <c r="NZ256" s="17"/>
      <c r="OA256" s="17"/>
      <c r="OB256" s="17"/>
      <c r="OC256" s="17"/>
      <c r="OD256" s="17"/>
      <c r="OE256" s="17"/>
      <c r="OF256" s="17"/>
      <c r="OG256" s="17"/>
      <c r="OH256" s="17"/>
      <c r="OI256" s="17"/>
      <c r="OJ256" s="17"/>
      <c r="OK256" s="17"/>
      <c r="OL256" s="17"/>
      <c r="OM256" s="17"/>
      <c r="ON256" s="17"/>
      <c r="OO256" s="17"/>
      <c r="OP256" s="17"/>
      <c r="OQ256" s="17"/>
      <c r="OR256" s="17"/>
      <c r="OS256" s="17"/>
      <c r="OT256" s="17"/>
      <c r="OU256" s="17"/>
      <c r="OV256" s="17"/>
      <c r="OW256" s="17"/>
      <c r="OX256" s="17"/>
      <c r="OY256" s="17"/>
      <c r="OZ256" s="17"/>
      <c r="PA256" s="17"/>
      <c r="PB256" s="17"/>
      <c r="PC256" s="17"/>
      <c r="PD256" s="17"/>
      <c r="PE256" s="17"/>
      <c r="PF256" s="17"/>
      <c r="PG256" s="17"/>
      <c r="PH256" s="17"/>
      <c r="PI256" s="17"/>
      <c r="PJ256" s="17"/>
      <c r="PK256" s="17"/>
      <c r="PL256" s="17"/>
      <c r="PM256" s="17"/>
      <c r="PN256" s="17"/>
      <c r="PO256" s="17"/>
      <c r="PP256" s="17"/>
      <c r="PQ256" s="17"/>
      <c r="PR256" s="17"/>
      <c r="PS256" s="17"/>
      <c r="PT256" s="17"/>
      <c r="PU256" s="17"/>
      <c r="PV256" s="17"/>
      <c r="PW256" s="17"/>
      <c r="PX256" s="17"/>
      <c r="PY256" s="17"/>
      <c r="PZ256" s="17"/>
      <c r="QA256" s="17"/>
      <c r="QB256" s="17"/>
      <c r="QC256" s="17"/>
      <c r="QD256" s="17"/>
      <c r="QE256" s="17"/>
      <c r="QF256" s="17"/>
      <c r="QG256" s="17"/>
      <c r="QH256" s="17"/>
      <c r="QI256" s="17"/>
      <c r="QJ256" s="17"/>
      <c r="QK256" s="17"/>
      <c r="QL256" s="17"/>
      <c r="QM256" s="17"/>
      <c r="QN256" s="17"/>
      <c r="QO256" s="17"/>
      <c r="QP256" s="17"/>
      <c r="QQ256" s="17"/>
      <c r="QR256" s="17"/>
      <c r="QS256" s="17"/>
      <c r="QT256" s="17"/>
      <c r="QU256" s="17"/>
      <c r="QV256" s="17"/>
      <c r="QW256" s="17"/>
      <c r="QX256" s="17"/>
      <c r="QY256" s="17"/>
      <c r="QZ256" s="17"/>
      <c r="RA256" s="17"/>
      <c r="RB256" s="17"/>
      <c r="RC256" s="17"/>
      <c r="RD256" s="17"/>
      <c r="RE256" s="17"/>
      <c r="RF256" s="17"/>
      <c r="RG256" s="17"/>
      <c r="RH256" s="17"/>
      <c r="RI256" s="17"/>
      <c r="RJ256" s="17"/>
      <c r="RK256" s="17"/>
      <c r="RL256" s="17"/>
      <c r="RM256" s="17"/>
      <c r="RN256" s="17"/>
      <c r="RO256" s="17"/>
      <c r="RP256" s="17"/>
      <c r="RQ256" s="17"/>
      <c r="RR256" s="17"/>
      <c r="RS256" s="17"/>
      <c r="RT256" s="17"/>
      <c r="RU256" s="17"/>
      <c r="RV256" s="17"/>
      <c r="RW256" s="17"/>
      <c r="RX256" s="17"/>
      <c r="RY256" s="17"/>
      <c r="RZ256" s="17"/>
      <c r="SA256" s="17"/>
      <c r="SB256" s="17"/>
      <c r="SC256" s="17"/>
      <c r="SD256" s="17"/>
      <c r="SE256" s="17"/>
      <c r="SF256" s="17"/>
      <c r="SG256" s="17"/>
      <c r="SH256" s="17"/>
      <c r="SI256" s="17"/>
      <c r="SJ256" s="17"/>
      <c r="SK256" s="17"/>
      <c r="SL256" s="17"/>
      <c r="SM256" s="17"/>
      <c r="SN256" s="17"/>
      <c r="SO256" s="17"/>
      <c r="SP256" s="17"/>
      <c r="SQ256" s="17"/>
      <c r="SR256" s="17"/>
      <c r="SS256" s="17"/>
      <c r="ST256" s="17"/>
      <c r="SU256" s="17"/>
      <c r="SV256" s="17"/>
      <c r="SW256" s="17"/>
      <c r="SX256" s="17"/>
      <c r="SY256" s="17"/>
      <c r="SZ256" s="17"/>
      <c r="TA256" s="17"/>
      <c r="TB256" s="17"/>
      <c r="TC256" s="17"/>
      <c r="TD256" s="17"/>
      <c r="TE256" s="17"/>
      <c r="TF256" s="17"/>
      <c r="TG256" s="17"/>
      <c r="TH256" s="17"/>
      <c r="TI256" s="17"/>
      <c r="TJ256" s="17"/>
      <c r="TK256" s="17"/>
      <c r="TL256" s="17"/>
      <c r="TM256" s="17"/>
      <c r="TN256" s="17"/>
      <c r="TO256" s="17"/>
      <c r="TP256" s="17"/>
      <c r="TQ256" s="17"/>
      <c r="TR256" s="17"/>
      <c r="TS256" s="17"/>
      <c r="TT256" s="17"/>
      <c r="TU256" s="17"/>
      <c r="TV256" s="17"/>
      <c r="TW256" s="17"/>
      <c r="TX256" s="17"/>
      <c r="TY256" s="17"/>
      <c r="TZ256" s="17"/>
      <c r="UA256" s="17"/>
      <c r="UB256" s="17"/>
      <c r="UC256" s="17"/>
      <c r="UD256" s="17"/>
      <c r="UE256" s="17"/>
      <c r="UF256" s="17"/>
      <c r="UG256" s="17"/>
      <c r="UH256" s="17"/>
      <c r="UI256" s="17"/>
      <c r="UJ256" s="17"/>
      <c r="UK256" s="17"/>
      <c r="UL256" s="17"/>
      <c r="UM256" s="17"/>
      <c r="UN256" s="17"/>
      <c r="UO256" s="17"/>
      <c r="UP256" s="17"/>
      <c r="UQ256" s="17"/>
      <c r="UR256" s="17"/>
      <c r="US256" s="17"/>
      <c r="UT256" s="17"/>
      <c r="UU256" s="17"/>
      <c r="UV256" s="17"/>
      <c r="UW256" s="17"/>
      <c r="UX256" s="17"/>
      <c r="UY256" s="17"/>
      <c r="UZ256" s="17"/>
      <c r="VA256" s="17"/>
      <c r="VB256" s="17"/>
      <c r="VC256" s="17"/>
      <c r="VD256" s="17"/>
      <c r="VE256" s="17"/>
      <c r="VF256" s="17"/>
      <c r="VG256" s="17"/>
      <c r="VH256" s="17"/>
      <c r="VI256" s="17"/>
      <c r="VJ256" s="17"/>
      <c r="VK256" s="17"/>
      <c r="VL256" s="17"/>
      <c r="VM256" s="17"/>
      <c r="VN256" s="17"/>
      <c r="VO256" s="17"/>
      <c r="VP256" s="17"/>
      <c r="VQ256" s="17"/>
      <c r="VR256" s="17"/>
      <c r="VS256" s="17"/>
      <c r="VT256" s="17"/>
      <c r="VU256" s="17"/>
      <c r="VV256" s="17"/>
      <c r="VW256" s="17"/>
      <c r="VX256" s="17"/>
      <c r="VY256" s="17"/>
      <c r="VZ256" s="17"/>
      <c r="WA256" s="17"/>
      <c r="WB256" s="17"/>
      <c r="WC256" s="17"/>
      <c r="WD256" s="17"/>
      <c r="WE256" s="17"/>
      <c r="WF256" s="17"/>
      <c r="WG256" s="17"/>
      <c r="WH256" s="17"/>
      <c r="WI256" s="17"/>
      <c r="WJ256" s="17"/>
      <c r="WK256" s="17"/>
      <c r="WL256" s="17"/>
      <c r="WM256" s="17"/>
      <c r="WN256" s="17"/>
      <c r="WO256" s="17"/>
      <c r="WP256" s="17"/>
      <c r="WQ256" s="17"/>
      <c r="WR256" s="17"/>
      <c r="WS256" s="17"/>
      <c r="WT256" s="17"/>
      <c r="WU256" s="17"/>
      <c r="WV256" s="17"/>
      <c r="WW256" s="17"/>
      <c r="WX256" s="17"/>
      <c r="WY256" s="17"/>
      <c r="WZ256" s="17"/>
      <c r="XA256" s="17"/>
      <c r="XB256" s="17"/>
      <c r="XC256" s="17"/>
      <c r="XD256" s="17"/>
      <c r="XE256" s="17"/>
      <c r="XF256" s="17"/>
      <c r="XG256" s="17"/>
      <c r="XH256" s="17"/>
      <c r="XI256" s="17"/>
      <c r="XJ256" s="17"/>
      <c r="XK256" s="17"/>
      <c r="XL256" s="17"/>
      <c r="XM256" s="17"/>
      <c r="XN256" s="17"/>
      <c r="XO256" s="17"/>
      <c r="XP256" s="17"/>
      <c r="XQ256" s="17"/>
      <c r="XR256" s="17"/>
      <c r="XS256" s="17"/>
      <c r="XT256" s="17"/>
      <c r="XU256" s="17"/>
      <c r="XV256" s="17"/>
      <c r="XW256" s="17"/>
      <c r="XX256" s="17"/>
      <c r="XY256" s="17"/>
      <c r="XZ256" s="17"/>
      <c r="YA256" s="17"/>
      <c r="YB256" s="17"/>
      <c r="YC256" s="17"/>
      <c r="YD256" s="17"/>
      <c r="YE256" s="17"/>
      <c r="YF256" s="17"/>
      <c r="YG256" s="17"/>
      <c r="YH256" s="17"/>
      <c r="YI256" s="17"/>
      <c r="YJ256" s="17"/>
      <c r="YK256" s="17"/>
      <c r="YL256" s="17"/>
      <c r="YM256" s="17"/>
      <c r="YN256" s="17"/>
      <c r="YO256" s="17"/>
      <c r="YP256" s="17"/>
      <c r="YQ256" s="17"/>
      <c r="YR256" s="17"/>
      <c r="YS256" s="17"/>
    </row>
    <row r="257" spans="266:669" x14ac:dyDescent="0.25">
      <c r="JF257" s="17"/>
      <c r="JG257" s="17"/>
      <c r="JH257" s="17"/>
      <c r="JI257" s="17"/>
      <c r="JJ257" s="17"/>
      <c r="JK257" s="17"/>
      <c r="JL257" s="17"/>
      <c r="JM257" s="17"/>
      <c r="JN257" s="17"/>
      <c r="JO257" s="17"/>
      <c r="JP257" s="17"/>
      <c r="JQ257" s="17"/>
      <c r="JR257" s="17"/>
      <c r="JS257" s="17"/>
      <c r="JT257" s="17"/>
      <c r="JU257" s="17"/>
      <c r="JV257" s="17"/>
      <c r="JW257" s="17"/>
      <c r="JX257" s="17"/>
      <c r="JY257" s="17"/>
      <c r="JZ257" s="17"/>
      <c r="KA257" s="17"/>
      <c r="KB257" s="17"/>
      <c r="KC257" s="17"/>
      <c r="KD257" s="17"/>
      <c r="KE257" s="17"/>
      <c r="KF257" s="17"/>
      <c r="KG257" s="17"/>
      <c r="KH257" s="17"/>
      <c r="KI257" s="17"/>
      <c r="KJ257" s="17"/>
      <c r="KK257" s="17"/>
      <c r="KL257" s="17"/>
      <c r="KM257" s="17"/>
      <c r="KN257" s="17"/>
      <c r="KO257" s="17"/>
      <c r="KP257" s="17"/>
      <c r="KQ257" s="17"/>
      <c r="KR257" s="17"/>
      <c r="KS257" s="17"/>
      <c r="KT257" s="17"/>
      <c r="KU257" s="17"/>
      <c r="KV257" s="17"/>
      <c r="KW257" s="17"/>
      <c r="KX257" s="17"/>
      <c r="KY257" s="17"/>
      <c r="KZ257" s="17"/>
      <c r="LA257" s="17"/>
      <c r="LB257" s="17"/>
      <c r="LC257" s="17"/>
      <c r="LD257" s="17"/>
      <c r="LE257" s="17"/>
      <c r="LF257" s="17"/>
      <c r="LG257" s="17"/>
      <c r="LH257" s="17"/>
      <c r="LI257" s="17"/>
      <c r="LJ257" s="17"/>
      <c r="LK257" s="17"/>
      <c r="LL257" s="17"/>
      <c r="LM257" s="17"/>
      <c r="LN257" s="17"/>
      <c r="LO257" s="17"/>
      <c r="LP257" s="17"/>
      <c r="LQ257" s="17"/>
      <c r="LR257" s="17"/>
      <c r="LS257" s="17"/>
      <c r="LT257" s="17"/>
      <c r="LU257" s="17"/>
      <c r="LV257" s="17"/>
      <c r="LW257" s="17"/>
      <c r="LX257" s="17"/>
      <c r="LY257" s="17"/>
      <c r="LZ257" s="17"/>
      <c r="MA257" s="17"/>
      <c r="MB257" s="17"/>
      <c r="MC257" s="17"/>
      <c r="MD257" s="17"/>
      <c r="ME257" s="17"/>
      <c r="MF257" s="17"/>
      <c r="MG257" s="17"/>
      <c r="MH257" s="17"/>
      <c r="MI257" s="17"/>
      <c r="MJ257" s="17"/>
      <c r="MK257" s="17"/>
      <c r="ML257" s="17"/>
      <c r="MM257" s="17"/>
      <c r="MN257" s="17"/>
      <c r="MO257" s="17"/>
      <c r="MP257" s="17"/>
      <c r="MQ257" s="17"/>
      <c r="MR257" s="17"/>
      <c r="MS257" s="17"/>
      <c r="MT257" s="17"/>
      <c r="MU257" s="17"/>
      <c r="MV257" s="17"/>
      <c r="MW257" s="17"/>
      <c r="MX257" s="17"/>
      <c r="MY257" s="17"/>
      <c r="MZ257" s="17"/>
      <c r="NA257" s="17"/>
      <c r="NB257" s="17"/>
      <c r="NC257" s="17"/>
      <c r="ND257" s="17"/>
      <c r="NE257" s="17"/>
      <c r="NF257" s="17"/>
      <c r="NG257" s="17"/>
      <c r="NH257" s="17"/>
      <c r="NI257" s="17"/>
      <c r="NJ257" s="17"/>
      <c r="NK257" s="17"/>
      <c r="NL257" s="17"/>
      <c r="NM257" s="17"/>
      <c r="NN257" s="17"/>
      <c r="NO257" s="17"/>
      <c r="NP257" s="17"/>
      <c r="NQ257" s="17"/>
      <c r="NR257" s="17"/>
      <c r="NS257" s="17"/>
      <c r="NT257" s="17"/>
      <c r="NU257" s="17"/>
      <c r="NV257" s="17"/>
      <c r="NW257" s="17"/>
      <c r="NX257" s="17"/>
      <c r="NY257" s="17"/>
      <c r="NZ257" s="17"/>
      <c r="OA257" s="17"/>
      <c r="OB257" s="17"/>
      <c r="OC257" s="17"/>
      <c r="OD257" s="17"/>
      <c r="OE257" s="17"/>
      <c r="OF257" s="17"/>
      <c r="OG257" s="17"/>
      <c r="OH257" s="17"/>
      <c r="OI257" s="17"/>
      <c r="OJ257" s="17"/>
      <c r="OK257" s="17"/>
      <c r="OL257" s="17"/>
      <c r="OM257" s="17"/>
      <c r="ON257" s="17"/>
      <c r="OO257" s="17"/>
      <c r="OP257" s="17"/>
      <c r="OQ257" s="17"/>
      <c r="OR257" s="17"/>
      <c r="OS257" s="17"/>
      <c r="OT257" s="17"/>
      <c r="OU257" s="17"/>
      <c r="OV257" s="17"/>
      <c r="OW257" s="17"/>
      <c r="OX257" s="17"/>
      <c r="OY257" s="17"/>
      <c r="OZ257" s="17"/>
      <c r="PA257" s="17"/>
      <c r="PB257" s="17"/>
      <c r="PC257" s="17"/>
      <c r="PD257" s="17"/>
      <c r="PE257" s="17"/>
      <c r="PF257" s="17"/>
      <c r="PG257" s="17"/>
      <c r="PH257" s="17"/>
      <c r="PI257" s="17"/>
      <c r="PJ257" s="17"/>
      <c r="PK257" s="17"/>
      <c r="PL257" s="17"/>
      <c r="PM257" s="17"/>
      <c r="PN257" s="17"/>
      <c r="PO257" s="17"/>
      <c r="PP257" s="17"/>
      <c r="PQ257" s="17"/>
      <c r="PR257" s="17"/>
      <c r="PS257" s="17"/>
      <c r="PT257" s="17"/>
      <c r="PU257" s="17"/>
      <c r="PV257" s="17"/>
      <c r="PW257" s="17"/>
      <c r="PX257" s="17"/>
      <c r="PY257" s="17"/>
      <c r="PZ257" s="17"/>
      <c r="QA257" s="17"/>
      <c r="QB257" s="17"/>
      <c r="QC257" s="17"/>
      <c r="QD257" s="17"/>
      <c r="QE257" s="17"/>
      <c r="QF257" s="17"/>
      <c r="QG257" s="17"/>
      <c r="QH257" s="17"/>
      <c r="QI257" s="17"/>
      <c r="QJ257" s="17"/>
      <c r="QK257" s="17"/>
      <c r="QL257" s="17"/>
      <c r="QM257" s="17"/>
      <c r="QN257" s="17"/>
      <c r="QO257" s="17"/>
      <c r="QP257" s="17"/>
      <c r="QQ257" s="17"/>
      <c r="QR257" s="17"/>
      <c r="QS257" s="17"/>
      <c r="QT257" s="17"/>
      <c r="QU257" s="17"/>
      <c r="QV257" s="17"/>
      <c r="QW257" s="17"/>
      <c r="QX257" s="17"/>
      <c r="QY257" s="17"/>
      <c r="QZ257" s="17"/>
      <c r="RA257" s="17"/>
      <c r="RB257" s="17"/>
      <c r="RC257" s="17"/>
      <c r="RD257" s="17"/>
      <c r="RE257" s="17"/>
      <c r="RF257" s="17"/>
      <c r="RG257" s="17"/>
      <c r="RH257" s="17"/>
      <c r="RI257" s="17"/>
      <c r="RJ257" s="17"/>
      <c r="RK257" s="17"/>
      <c r="RL257" s="17"/>
      <c r="RM257" s="17"/>
      <c r="RN257" s="17"/>
      <c r="RO257" s="17"/>
      <c r="RP257" s="17"/>
      <c r="RQ257" s="17"/>
      <c r="RR257" s="17"/>
      <c r="RS257" s="17"/>
      <c r="RT257" s="17"/>
      <c r="RU257" s="17"/>
      <c r="RV257" s="17"/>
      <c r="RW257" s="17"/>
      <c r="RX257" s="17"/>
      <c r="RY257" s="17"/>
      <c r="RZ257" s="17"/>
      <c r="SA257" s="17"/>
      <c r="SB257" s="17"/>
      <c r="SC257" s="17"/>
      <c r="SD257" s="17"/>
      <c r="SE257" s="17"/>
      <c r="SF257" s="17"/>
      <c r="SG257" s="17"/>
      <c r="SH257" s="17"/>
      <c r="SI257" s="17"/>
      <c r="SJ257" s="17"/>
      <c r="SK257" s="17"/>
      <c r="SL257" s="17"/>
      <c r="SM257" s="17"/>
      <c r="SN257" s="17"/>
      <c r="SO257" s="17"/>
      <c r="SP257" s="17"/>
      <c r="SQ257" s="17"/>
      <c r="SR257" s="17"/>
      <c r="SS257" s="17"/>
      <c r="ST257" s="17"/>
      <c r="SU257" s="17"/>
      <c r="SV257" s="17"/>
      <c r="SW257" s="17"/>
      <c r="SX257" s="17"/>
      <c r="SY257" s="17"/>
      <c r="SZ257" s="17"/>
      <c r="TA257" s="17"/>
      <c r="TB257" s="17"/>
      <c r="TC257" s="17"/>
      <c r="TD257" s="17"/>
      <c r="TE257" s="17"/>
      <c r="TF257" s="17"/>
      <c r="TG257" s="17"/>
      <c r="TH257" s="17"/>
      <c r="TI257" s="17"/>
      <c r="TJ257" s="17"/>
      <c r="TK257" s="17"/>
      <c r="TL257" s="17"/>
      <c r="TM257" s="17"/>
      <c r="TN257" s="17"/>
      <c r="TO257" s="17"/>
      <c r="TP257" s="17"/>
      <c r="TQ257" s="17"/>
      <c r="TR257" s="17"/>
      <c r="TS257" s="17"/>
      <c r="TT257" s="17"/>
      <c r="TU257" s="17"/>
      <c r="TV257" s="17"/>
      <c r="TW257" s="17"/>
      <c r="TX257" s="17"/>
      <c r="TY257" s="17"/>
      <c r="TZ257" s="17"/>
      <c r="UA257" s="17"/>
      <c r="UB257" s="17"/>
      <c r="UC257" s="17"/>
      <c r="UD257" s="17"/>
      <c r="UE257" s="17"/>
      <c r="UF257" s="17"/>
      <c r="UG257" s="17"/>
      <c r="UH257" s="17"/>
      <c r="UI257" s="17"/>
      <c r="UJ257" s="17"/>
      <c r="UK257" s="17"/>
      <c r="UL257" s="17"/>
      <c r="UM257" s="17"/>
      <c r="UN257" s="17"/>
      <c r="UO257" s="17"/>
      <c r="UP257" s="17"/>
      <c r="UQ257" s="17"/>
      <c r="UR257" s="17"/>
      <c r="US257" s="17"/>
      <c r="UT257" s="17"/>
      <c r="UU257" s="17"/>
      <c r="UV257" s="17"/>
      <c r="UW257" s="17"/>
      <c r="UX257" s="17"/>
      <c r="UY257" s="17"/>
      <c r="UZ257" s="17"/>
      <c r="VA257" s="17"/>
      <c r="VB257" s="17"/>
      <c r="VC257" s="17"/>
      <c r="VD257" s="17"/>
      <c r="VE257" s="17"/>
      <c r="VF257" s="17"/>
      <c r="VG257" s="17"/>
      <c r="VH257" s="17"/>
      <c r="VI257" s="17"/>
      <c r="VJ257" s="17"/>
      <c r="VK257" s="17"/>
      <c r="VL257" s="17"/>
      <c r="VM257" s="17"/>
      <c r="VN257" s="17"/>
      <c r="VO257" s="17"/>
      <c r="VP257" s="17"/>
      <c r="VQ257" s="17"/>
      <c r="VR257" s="17"/>
      <c r="VS257" s="17"/>
      <c r="VT257" s="17"/>
      <c r="VU257" s="17"/>
      <c r="VV257" s="17"/>
      <c r="VW257" s="17"/>
      <c r="VX257" s="17"/>
      <c r="VY257" s="17"/>
      <c r="VZ257" s="17"/>
      <c r="WA257" s="17"/>
      <c r="WB257" s="17"/>
      <c r="WC257" s="17"/>
      <c r="WD257" s="17"/>
      <c r="WE257" s="17"/>
      <c r="WF257" s="17"/>
      <c r="WG257" s="17"/>
      <c r="WH257" s="17"/>
      <c r="WI257" s="17"/>
      <c r="WJ257" s="17"/>
      <c r="WK257" s="17"/>
      <c r="WL257" s="17"/>
      <c r="WM257" s="17"/>
      <c r="WN257" s="17"/>
      <c r="WO257" s="17"/>
      <c r="WP257" s="17"/>
      <c r="WQ257" s="17"/>
      <c r="WR257" s="17"/>
      <c r="WS257" s="17"/>
      <c r="WT257" s="17"/>
      <c r="WU257" s="17"/>
      <c r="WV257" s="17"/>
      <c r="WW257" s="17"/>
      <c r="WX257" s="17"/>
      <c r="WY257" s="17"/>
      <c r="WZ257" s="17"/>
      <c r="XA257" s="17"/>
      <c r="XB257" s="17"/>
      <c r="XC257" s="17"/>
      <c r="XD257" s="17"/>
      <c r="XE257" s="17"/>
      <c r="XF257" s="17"/>
      <c r="XG257" s="17"/>
      <c r="XH257" s="17"/>
      <c r="XI257" s="17"/>
      <c r="XJ257" s="17"/>
      <c r="XK257" s="17"/>
      <c r="XL257" s="17"/>
      <c r="XM257" s="17"/>
      <c r="XN257" s="17"/>
      <c r="XO257" s="17"/>
      <c r="XP257" s="17"/>
      <c r="XQ257" s="17"/>
      <c r="XR257" s="17"/>
      <c r="XS257" s="17"/>
      <c r="XT257" s="17"/>
      <c r="XU257" s="17"/>
      <c r="XV257" s="17"/>
      <c r="XW257" s="17"/>
      <c r="XX257" s="17"/>
      <c r="XY257" s="17"/>
      <c r="XZ257" s="17"/>
      <c r="YA257" s="17"/>
      <c r="YB257" s="17"/>
      <c r="YC257" s="17"/>
      <c r="YD257" s="17"/>
      <c r="YE257" s="17"/>
      <c r="YF257" s="17"/>
      <c r="YG257" s="17"/>
      <c r="YH257" s="17"/>
      <c r="YI257" s="17"/>
      <c r="YJ257" s="17"/>
      <c r="YK257" s="17"/>
      <c r="YL257" s="17"/>
      <c r="YM257" s="17"/>
      <c r="YN257" s="17"/>
      <c r="YO257" s="17"/>
      <c r="YP257" s="17"/>
      <c r="YQ257" s="17"/>
      <c r="YR257" s="17"/>
      <c r="YS257" s="17"/>
    </row>
    <row r="258" spans="266:669" x14ac:dyDescent="0.25">
      <c r="JF258" s="17"/>
      <c r="JG258" s="17"/>
      <c r="JH258" s="17"/>
      <c r="JI258" s="17"/>
      <c r="JJ258" s="17"/>
      <c r="JK258" s="17"/>
      <c r="JL258" s="17"/>
      <c r="JM258" s="17"/>
      <c r="JN258" s="17"/>
      <c r="JO258" s="17"/>
      <c r="JP258" s="17"/>
      <c r="JQ258" s="17"/>
      <c r="JR258" s="17"/>
      <c r="JS258" s="17"/>
      <c r="JT258" s="17"/>
      <c r="JU258" s="17"/>
      <c r="JV258" s="17"/>
      <c r="JW258" s="17"/>
      <c r="JX258" s="17"/>
      <c r="JY258" s="17"/>
      <c r="JZ258" s="17"/>
      <c r="KA258" s="17"/>
      <c r="KB258" s="17"/>
      <c r="KC258" s="17"/>
      <c r="KD258" s="17"/>
      <c r="KE258" s="17"/>
      <c r="KF258" s="17"/>
      <c r="KG258" s="17"/>
      <c r="KH258" s="17"/>
      <c r="KI258" s="17"/>
      <c r="KJ258" s="17"/>
      <c r="KK258" s="17"/>
      <c r="KL258" s="17"/>
      <c r="KM258" s="17"/>
      <c r="KN258" s="17"/>
      <c r="KO258" s="17"/>
      <c r="KP258" s="17"/>
      <c r="KQ258" s="17"/>
      <c r="KR258" s="17"/>
      <c r="KS258" s="17"/>
      <c r="KT258" s="17"/>
      <c r="KU258" s="17"/>
      <c r="KV258" s="17"/>
      <c r="KW258" s="17"/>
      <c r="KX258" s="17"/>
      <c r="KY258" s="17"/>
      <c r="KZ258" s="17"/>
      <c r="LA258" s="17"/>
      <c r="LB258" s="17"/>
      <c r="LC258" s="17"/>
      <c r="LD258" s="17"/>
      <c r="LE258" s="17"/>
      <c r="LF258" s="17"/>
      <c r="LG258" s="17"/>
      <c r="LH258" s="17"/>
      <c r="LI258" s="17"/>
      <c r="LJ258" s="17"/>
      <c r="LK258" s="17"/>
      <c r="LL258" s="17"/>
      <c r="LM258" s="17"/>
      <c r="LN258" s="17"/>
      <c r="LO258" s="17"/>
      <c r="LP258" s="17"/>
      <c r="LQ258" s="17"/>
      <c r="LR258" s="17"/>
      <c r="LS258" s="17"/>
      <c r="LT258" s="17"/>
      <c r="LU258" s="17"/>
      <c r="LV258" s="17"/>
      <c r="LW258" s="17"/>
      <c r="LX258" s="17"/>
      <c r="LY258" s="17"/>
      <c r="LZ258" s="17"/>
      <c r="MA258" s="17"/>
      <c r="MB258" s="17"/>
      <c r="MC258" s="17"/>
      <c r="MD258" s="17"/>
      <c r="ME258" s="17"/>
      <c r="MF258" s="17"/>
      <c r="MG258" s="17"/>
      <c r="MH258" s="17"/>
      <c r="MI258" s="17"/>
      <c r="MJ258" s="17"/>
      <c r="MK258" s="17"/>
      <c r="ML258" s="17"/>
      <c r="MM258" s="17"/>
      <c r="MN258" s="17"/>
      <c r="MO258" s="17"/>
      <c r="MP258" s="17"/>
      <c r="MQ258" s="17"/>
      <c r="MR258" s="17"/>
      <c r="MS258" s="17"/>
      <c r="MT258" s="17"/>
      <c r="MU258" s="17"/>
      <c r="MV258" s="17"/>
      <c r="MW258" s="17"/>
      <c r="MX258" s="17"/>
      <c r="MY258" s="17"/>
      <c r="MZ258" s="17"/>
      <c r="NA258" s="17"/>
      <c r="NB258" s="17"/>
      <c r="NC258" s="17"/>
      <c r="ND258" s="17"/>
      <c r="NE258" s="17"/>
      <c r="NF258" s="17"/>
      <c r="NG258" s="17"/>
      <c r="NH258" s="17"/>
      <c r="NI258" s="17"/>
      <c r="NJ258" s="17"/>
      <c r="NK258" s="17"/>
      <c r="NL258" s="17"/>
      <c r="NM258" s="17"/>
      <c r="NN258" s="17"/>
      <c r="NO258" s="17"/>
      <c r="NP258" s="17"/>
      <c r="NQ258" s="17"/>
      <c r="NR258" s="17"/>
      <c r="NS258" s="17"/>
      <c r="NT258" s="17"/>
      <c r="NU258" s="17"/>
      <c r="NV258" s="17"/>
      <c r="NW258" s="17"/>
      <c r="NX258" s="17"/>
      <c r="NY258" s="17"/>
      <c r="NZ258" s="17"/>
      <c r="OA258" s="17"/>
      <c r="OB258" s="17"/>
      <c r="OC258" s="17"/>
      <c r="OD258" s="17"/>
      <c r="OE258" s="17"/>
      <c r="OF258" s="17"/>
      <c r="OG258" s="17"/>
      <c r="OH258" s="17"/>
      <c r="OI258" s="17"/>
      <c r="OJ258" s="17"/>
      <c r="OK258" s="17"/>
      <c r="OL258" s="17"/>
      <c r="OM258" s="17"/>
      <c r="ON258" s="17"/>
      <c r="OO258" s="17"/>
      <c r="OP258" s="17"/>
      <c r="OQ258" s="17"/>
      <c r="OR258" s="17"/>
      <c r="OS258" s="17"/>
      <c r="OT258" s="17"/>
      <c r="OU258" s="17"/>
      <c r="OV258" s="17"/>
      <c r="OW258" s="17"/>
      <c r="OX258" s="17"/>
      <c r="OY258" s="17"/>
      <c r="OZ258" s="17"/>
      <c r="PA258" s="17"/>
      <c r="PB258" s="17"/>
      <c r="PC258" s="17"/>
      <c r="PD258" s="17"/>
      <c r="PE258" s="17"/>
      <c r="PF258" s="17"/>
      <c r="PG258" s="17"/>
      <c r="PH258" s="17"/>
      <c r="PI258" s="17"/>
      <c r="PJ258" s="17"/>
      <c r="PK258" s="17"/>
      <c r="PL258" s="17"/>
      <c r="PM258" s="17"/>
      <c r="PN258" s="17"/>
      <c r="PO258" s="17"/>
      <c r="PP258" s="17"/>
      <c r="PQ258" s="17"/>
      <c r="PR258" s="17"/>
      <c r="PS258" s="17"/>
      <c r="PT258" s="17"/>
      <c r="PU258" s="17"/>
      <c r="PV258" s="17"/>
      <c r="PW258" s="17"/>
      <c r="PX258" s="17"/>
      <c r="PY258" s="17"/>
      <c r="PZ258" s="17"/>
      <c r="QA258" s="17"/>
      <c r="QB258" s="17"/>
      <c r="QC258" s="17"/>
      <c r="QD258" s="17"/>
      <c r="QE258" s="17"/>
      <c r="QF258" s="17"/>
      <c r="QG258" s="17"/>
      <c r="QH258" s="17"/>
      <c r="QI258" s="17"/>
      <c r="QJ258" s="17"/>
      <c r="QK258" s="17"/>
      <c r="QL258" s="17"/>
      <c r="QM258" s="17"/>
      <c r="QN258" s="17"/>
      <c r="QO258" s="17"/>
      <c r="QP258" s="17"/>
      <c r="QQ258" s="17"/>
      <c r="QR258" s="17"/>
      <c r="QS258" s="17"/>
      <c r="QT258" s="17"/>
      <c r="QU258" s="17"/>
      <c r="QV258" s="17"/>
      <c r="QW258" s="17"/>
      <c r="QX258" s="17"/>
      <c r="QY258" s="17"/>
      <c r="QZ258" s="17"/>
      <c r="RA258" s="17"/>
      <c r="RB258" s="17"/>
      <c r="RC258" s="17"/>
      <c r="RD258" s="17"/>
      <c r="RE258" s="17"/>
      <c r="RF258" s="17"/>
      <c r="RG258" s="17"/>
      <c r="RH258" s="17"/>
      <c r="RI258" s="17"/>
      <c r="RJ258" s="17"/>
      <c r="RK258" s="17"/>
      <c r="RL258" s="17"/>
      <c r="RM258" s="17"/>
      <c r="RN258" s="17"/>
      <c r="RO258" s="17"/>
      <c r="RP258" s="17"/>
      <c r="RQ258" s="17"/>
      <c r="RR258" s="17"/>
      <c r="RS258" s="17"/>
      <c r="RT258" s="17"/>
      <c r="RU258" s="17"/>
      <c r="RV258" s="17"/>
      <c r="RW258" s="17"/>
      <c r="RX258" s="17"/>
      <c r="RY258" s="17"/>
      <c r="RZ258" s="17"/>
      <c r="SA258" s="17"/>
      <c r="SB258" s="17"/>
      <c r="SC258" s="17"/>
      <c r="SD258" s="17"/>
      <c r="SE258" s="17"/>
      <c r="SF258" s="17"/>
      <c r="SG258" s="17"/>
      <c r="SH258" s="17"/>
      <c r="SI258" s="17"/>
      <c r="SJ258" s="17"/>
      <c r="SK258" s="17"/>
      <c r="SL258" s="17"/>
      <c r="SM258" s="17"/>
      <c r="SN258" s="17"/>
      <c r="SO258" s="17"/>
      <c r="SP258" s="17"/>
      <c r="SQ258" s="17"/>
      <c r="SR258" s="17"/>
      <c r="SS258" s="17"/>
      <c r="ST258" s="17"/>
      <c r="SU258" s="17"/>
      <c r="SV258" s="17"/>
      <c r="SW258" s="17"/>
      <c r="SX258" s="17"/>
      <c r="SY258" s="17"/>
      <c r="SZ258" s="17"/>
      <c r="TA258" s="17"/>
      <c r="TB258" s="17"/>
      <c r="TC258" s="17"/>
      <c r="TD258" s="17"/>
      <c r="TE258" s="17"/>
      <c r="TF258" s="17"/>
      <c r="TG258" s="17"/>
      <c r="TH258" s="17"/>
      <c r="TI258" s="17"/>
      <c r="TJ258" s="17"/>
      <c r="TK258" s="17"/>
      <c r="TL258" s="17"/>
      <c r="TM258" s="17"/>
      <c r="TN258" s="17"/>
      <c r="TO258" s="17"/>
      <c r="TP258" s="17"/>
      <c r="TQ258" s="17"/>
      <c r="TR258" s="17"/>
      <c r="TS258" s="17"/>
      <c r="TT258" s="17"/>
      <c r="TU258" s="17"/>
      <c r="TV258" s="17"/>
      <c r="TW258" s="17"/>
      <c r="TX258" s="17"/>
      <c r="TY258" s="17"/>
      <c r="TZ258" s="17"/>
      <c r="UA258" s="17"/>
      <c r="UB258" s="17"/>
      <c r="UC258" s="17"/>
      <c r="UD258" s="17"/>
      <c r="UE258" s="17"/>
      <c r="UF258" s="17"/>
      <c r="UG258" s="17"/>
      <c r="UH258" s="17"/>
      <c r="UI258" s="17"/>
      <c r="UJ258" s="17"/>
      <c r="UK258" s="17"/>
      <c r="UL258" s="17"/>
      <c r="UM258" s="17"/>
      <c r="UN258" s="17"/>
      <c r="UO258" s="17"/>
      <c r="UP258" s="17"/>
      <c r="UQ258" s="17"/>
      <c r="UR258" s="17"/>
      <c r="US258" s="17"/>
      <c r="UT258" s="17"/>
      <c r="UU258" s="17"/>
      <c r="UV258" s="17"/>
      <c r="UW258" s="17"/>
      <c r="UX258" s="17"/>
      <c r="UY258" s="17"/>
      <c r="UZ258" s="17"/>
      <c r="VA258" s="17"/>
      <c r="VB258" s="17"/>
      <c r="VC258" s="17"/>
      <c r="VD258" s="17"/>
      <c r="VE258" s="17"/>
      <c r="VF258" s="17"/>
      <c r="VG258" s="17"/>
      <c r="VH258" s="17"/>
      <c r="VI258" s="17"/>
      <c r="VJ258" s="17"/>
      <c r="VK258" s="17"/>
      <c r="VL258" s="17"/>
      <c r="VM258" s="17"/>
      <c r="VN258" s="17"/>
      <c r="VO258" s="17"/>
      <c r="VP258" s="17"/>
      <c r="VQ258" s="17"/>
      <c r="VR258" s="17"/>
      <c r="VS258" s="17"/>
      <c r="VT258" s="17"/>
      <c r="VU258" s="17"/>
      <c r="VV258" s="17"/>
      <c r="VW258" s="17"/>
      <c r="VX258" s="17"/>
      <c r="VY258" s="17"/>
      <c r="VZ258" s="17"/>
      <c r="WA258" s="17"/>
      <c r="WB258" s="17"/>
      <c r="WC258" s="17"/>
      <c r="WD258" s="17"/>
      <c r="WE258" s="17"/>
      <c r="WF258" s="17"/>
      <c r="WG258" s="17"/>
      <c r="WH258" s="17"/>
      <c r="WI258" s="17"/>
      <c r="WJ258" s="17"/>
      <c r="WK258" s="17"/>
      <c r="WL258" s="17"/>
      <c r="WM258" s="17"/>
      <c r="WN258" s="17"/>
      <c r="WO258" s="17"/>
      <c r="WP258" s="17"/>
      <c r="WQ258" s="17"/>
      <c r="WR258" s="17"/>
      <c r="WS258" s="17"/>
      <c r="WT258" s="17"/>
      <c r="WU258" s="17"/>
      <c r="WV258" s="17"/>
      <c r="WW258" s="17"/>
      <c r="WX258" s="17"/>
      <c r="WY258" s="17"/>
      <c r="WZ258" s="17"/>
      <c r="XA258" s="17"/>
      <c r="XB258" s="17"/>
      <c r="XC258" s="17"/>
      <c r="XD258" s="17"/>
      <c r="XE258" s="17"/>
      <c r="XF258" s="17"/>
      <c r="XG258" s="17"/>
      <c r="XH258" s="17"/>
      <c r="XI258" s="17"/>
      <c r="XJ258" s="17"/>
      <c r="XK258" s="17"/>
      <c r="XL258" s="17"/>
      <c r="XM258" s="17"/>
      <c r="XN258" s="17"/>
      <c r="XO258" s="17"/>
      <c r="XP258" s="17"/>
      <c r="XQ258" s="17"/>
      <c r="XR258" s="17"/>
      <c r="XS258" s="17"/>
      <c r="XT258" s="17"/>
      <c r="XU258" s="17"/>
      <c r="XV258" s="17"/>
      <c r="XW258" s="17"/>
      <c r="XX258" s="17"/>
      <c r="XY258" s="17"/>
      <c r="XZ258" s="17"/>
      <c r="YA258" s="17"/>
      <c r="YB258" s="17"/>
      <c r="YC258" s="17"/>
      <c r="YD258" s="17"/>
      <c r="YE258" s="17"/>
      <c r="YF258" s="17"/>
      <c r="YG258" s="17"/>
      <c r="YH258" s="17"/>
      <c r="YI258" s="17"/>
      <c r="YJ258" s="17"/>
      <c r="YK258" s="17"/>
      <c r="YL258" s="17"/>
      <c r="YM258" s="17"/>
      <c r="YN258" s="17"/>
      <c r="YO258" s="17"/>
      <c r="YP258" s="17"/>
      <c r="YQ258" s="17"/>
      <c r="YR258" s="17"/>
      <c r="YS258" s="17"/>
    </row>
    <row r="259" spans="266:669" x14ac:dyDescent="0.25">
      <c r="JF259" s="17"/>
      <c r="JG259" s="17"/>
      <c r="JH259" s="17"/>
      <c r="JI259" s="17"/>
      <c r="JJ259" s="17"/>
      <c r="JK259" s="17"/>
      <c r="JL259" s="17"/>
      <c r="JM259" s="17"/>
      <c r="JN259" s="17"/>
      <c r="JO259" s="17"/>
      <c r="JP259" s="17"/>
      <c r="JQ259" s="17"/>
      <c r="JR259" s="17"/>
      <c r="JS259" s="17"/>
      <c r="JT259" s="17"/>
      <c r="JU259" s="17"/>
      <c r="JV259" s="17"/>
      <c r="JW259" s="17"/>
      <c r="JX259" s="17"/>
      <c r="JY259" s="17"/>
      <c r="JZ259" s="17"/>
      <c r="KA259" s="17"/>
      <c r="KB259" s="17"/>
      <c r="KC259" s="17"/>
      <c r="KD259" s="17"/>
      <c r="KE259" s="17"/>
      <c r="KF259" s="17"/>
      <c r="KG259" s="17"/>
      <c r="KH259" s="17"/>
      <c r="KI259" s="17"/>
      <c r="KJ259" s="17"/>
      <c r="KK259" s="17"/>
      <c r="KL259" s="17"/>
      <c r="KM259" s="17"/>
      <c r="KN259" s="17"/>
      <c r="KO259" s="17"/>
      <c r="KP259" s="17"/>
      <c r="KQ259" s="17"/>
      <c r="KR259" s="17"/>
      <c r="KS259" s="17"/>
      <c r="KT259" s="17"/>
      <c r="KU259" s="17"/>
      <c r="KV259" s="17"/>
      <c r="KW259" s="17"/>
      <c r="KX259" s="17"/>
      <c r="KY259" s="17"/>
      <c r="KZ259" s="17"/>
      <c r="LA259" s="17"/>
      <c r="LB259" s="17"/>
      <c r="LC259" s="17"/>
      <c r="LD259" s="17"/>
      <c r="LE259" s="17"/>
      <c r="LF259" s="17"/>
      <c r="LG259" s="17"/>
      <c r="LH259" s="17"/>
      <c r="LI259" s="17"/>
      <c r="LJ259" s="17"/>
      <c r="LK259" s="17"/>
      <c r="LL259" s="17"/>
      <c r="LM259" s="17"/>
      <c r="LN259" s="17"/>
      <c r="LO259" s="17"/>
      <c r="LP259" s="17"/>
      <c r="LQ259" s="17"/>
      <c r="LR259" s="17"/>
      <c r="LS259" s="17"/>
      <c r="LT259" s="17"/>
      <c r="LU259" s="17"/>
      <c r="LV259" s="17"/>
      <c r="LW259" s="17"/>
      <c r="LX259" s="17"/>
      <c r="LY259" s="17"/>
      <c r="LZ259" s="17"/>
      <c r="MA259" s="17"/>
      <c r="MB259" s="17"/>
      <c r="MC259" s="17"/>
      <c r="MD259" s="17"/>
      <c r="ME259" s="17"/>
      <c r="MF259" s="17"/>
      <c r="MG259" s="17"/>
      <c r="MH259" s="17"/>
      <c r="MI259" s="17"/>
      <c r="MJ259" s="17"/>
      <c r="MK259" s="17"/>
      <c r="ML259" s="17"/>
      <c r="MM259" s="17"/>
      <c r="MN259" s="17"/>
      <c r="MO259" s="17"/>
      <c r="MP259" s="17"/>
      <c r="MQ259" s="17"/>
      <c r="MR259" s="17"/>
      <c r="MS259" s="17"/>
      <c r="MT259" s="17"/>
      <c r="MU259" s="17"/>
      <c r="MV259" s="17"/>
      <c r="MW259" s="17"/>
      <c r="MX259" s="17"/>
      <c r="MY259" s="17"/>
      <c r="MZ259" s="17"/>
      <c r="NA259" s="17"/>
      <c r="NB259" s="17"/>
      <c r="NC259" s="17"/>
      <c r="ND259" s="17"/>
      <c r="NE259" s="17"/>
      <c r="NF259" s="17"/>
      <c r="NG259" s="17"/>
      <c r="NH259" s="17"/>
      <c r="NI259" s="17"/>
      <c r="NJ259" s="17"/>
      <c r="NK259" s="17"/>
      <c r="NL259" s="17"/>
      <c r="NM259" s="17"/>
      <c r="NN259" s="17"/>
      <c r="NO259" s="17"/>
      <c r="NP259" s="17"/>
      <c r="NQ259" s="17"/>
      <c r="NR259" s="17"/>
      <c r="NS259" s="17"/>
      <c r="NT259" s="17"/>
      <c r="NU259" s="17"/>
      <c r="NV259" s="17"/>
      <c r="NW259" s="17"/>
      <c r="NX259" s="17"/>
      <c r="NY259" s="17"/>
      <c r="NZ259" s="17"/>
      <c r="OA259" s="17"/>
      <c r="OB259" s="17"/>
      <c r="OC259" s="17"/>
      <c r="OD259" s="17"/>
      <c r="OE259" s="17"/>
      <c r="OF259" s="17"/>
      <c r="OG259" s="17"/>
      <c r="OH259" s="17"/>
      <c r="OI259" s="17"/>
      <c r="OJ259" s="17"/>
      <c r="OK259" s="17"/>
      <c r="OL259" s="17"/>
      <c r="OM259" s="17"/>
      <c r="ON259" s="17"/>
      <c r="OO259" s="17"/>
      <c r="OP259" s="17"/>
      <c r="OQ259" s="17"/>
      <c r="OR259" s="17"/>
      <c r="OS259" s="17"/>
      <c r="OT259" s="17"/>
      <c r="OU259" s="17"/>
      <c r="OV259" s="17"/>
      <c r="OW259" s="17"/>
      <c r="OX259" s="17"/>
      <c r="OY259" s="17"/>
      <c r="OZ259" s="17"/>
      <c r="PA259" s="17"/>
      <c r="PB259" s="17"/>
      <c r="PC259" s="17"/>
      <c r="PD259" s="17"/>
      <c r="PE259" s="17"/>
      <c r="PF259" s="17"/>
      <c r="PG259" s="17"/>
      <c r="PH259" s="17"/>
      <c r="PI259" s="17"/>
      <c r="PJ259" s="17"/>
      <c r="PK259" s="17"/>
      <c r="PL259" s="17"/>
      <c r="PM259" s="17"/>
      <c r="PN259" s="17"/>
      <c r="PO259" s="17"/>
      <c r="PP259" s="17"/>
      <c r="PQ259" s="17"/>
      <c r="PR259" s="17"/>
      <c r="PS259" s="17"/>
      <c r="PT259" s="17"/>
      <c r="PU259" s="17"/>
      <c r="PV259" s="17"/>
      <c r="PW259" s="17"/>
      <c r="PX259" s="17"/>
      <c r="PY259" s="17"/>
      <c r="PZ259" s="17"/>
      <c r="QA259" s="17"/>
      <c r="QB259" s="17"/>
      <c r="QC259" s="17"/>
      <c r="QD259" s="17"/>
      <c r="QE259" s="17"/>
      <c r="QF259" s="17"/>
      <c r="QG259" s="17"/>
      <c r="QH259" s="17"/>
      <c r="QI259" s="17"/>
      <c r="QJ259" s="17"/>
      <c r="QK259" s="17"/>
      <c r="QL259" s="17"/>
      <c r="QM259" s="17"/>
      <c r="QN259" s="17"/>
      <c r="QO259" s="17"/>
      <c r="QP259" s="17"/>
      <c r="QQ259" s="17"/>
      <c r="QR259" s="17"/>
      <c r="QS259" s="17"/>
      <c r="QT259" s="17"/>
      <c r="QU259" s="17"/>
      <c r="QV259" s="17"/>
      <c r="QW259" s="17"/>
      <c r="QX259" s="17"/>
      <c r="QY259" s="17"/>
      <c r="QZ259" s="17"/>
      <c r="RA259" s="17"/>
      <c r="RB259" s="17"/>
      <c r="RC259" s="17"/>
      <c r="RD259" s="17"/>
      <c r="RE259" s="17"/>
      <c r="RF259" s="17"/>
      <c r="RG259" s="17"/>
      <c r="RH259" s="17"/>
      <c r="RI259" s="17"/>
      <c r="RJ259" s="17"/>
      <c r="RK259" s="17"/>
      <c r="RL259" s="17"/>
      <c r="RM259" s="17"/>
      <c r="RN259" s="17"/>
      <c r="RO259" s="17"/>
      <c r="RP259" s="17"/>
      <c r="RQ259" s="17"/>
      <c r="RR259" s="17"/>
      <c r="RS259" s="17"/>
      <c r="RT259" s="17"/>
      <c r="RU259" s="17"/>
      <c r="RV259" s="17"/>
      <c r="RW259" s="17"/>
      <c r="RX259" s="17"/>
      <c r="RY259" s="17"/>
      <c r="RZ259" s="17"/>
      <c r="SA259" s="17"/>
      <c r="SB259" s="17"/>
      <c r="SC259" s="17"/>
      <c r="SD259" s="17"/>
      <c r="SE259" s="17"/>
      <c r="SF259" s="17"/>
      <c r="SG259" s="17"/>
      <c r="SH259" s="17"/>
      <c r="SI259" s="17"/>
      <c r="SJ259" s="17"/>
      <c r="SK259" s="17"/>
      <c r="SL259" s="17"/>
      <c r="SM259" s="17"/>
      <c r="SN259" s="17"/>
      <c r="SO259" s="17"/>
      <c r="SP259" s="17"/>
      <c r="SQ259" s="17"/>
      <c r="SR259" s="17"/>
      <c r="SS259" s="17"/>
      <c r="ST259" s="17"/>
      <c r="SU259" s="17"/>
      <c r="SV259" s="17"/>
      <c r="SW259" s="17"/>
      <c r="SX259" s="17"/>
      <c r="SY259" s="17"/>
      <c r="SZ259" s="17"/>
      <c r="TA259" s="17"/>
      <c r="TB259" s="17"/>
      <c r="TC259" s="17"/>
      <c r="TD259" s="17"/>
      <c r="TE259" s="17"/>
      <c r="TF259" s="17"/>
      <c r="TG259" s="17"/>
      <c r="TH259" s="17"/>
      <c r="TI259" s="17"/>
      <c r="TJ259" s="17"/>
      <c r="TK259" s="17"/>
      <c r="TL259" s="17"/>
      <c r="TM259" s="17"/>
      <c r="TN259" s="17"/>
      <c r="TO259" s="17"/>
      <c r="TP259" s="17"/>
      <c r="TQ259" s="17"/>
      <c r="TR259" s="17"/>
      <c r="TS259" s="17"/>
      <c r="TT259" s="17"/>
      <c r="TU259" s="17"/>
      <c r="TV259" s="17"/>
      <c r="TW259" s="17"/>
      <c r="TX259" s="17"/>
      <c r="TY259" s="17"/>
      <c r="TZ259" s="17"/>
      <c r="UA259" s="17"/>
      <c r="UB259" s="17"/>
      <c r="UC259" s="17"/>
      <c r="UD259" s="17"/>
      <c r="UE259" s="17"/>
      <c r="UF259" s="17"/>
      <c r="UG259" s="17"/>
      <c r="UH259" s="17"/>
      <c r="UI259" s="17"/>
      <c r="UJ259" s="17"/>
      <c r="UK259" s="17"/>
      <c r="UL259" s="17"/>
      <c r="UM259" s="17"/>
      <c r="UN259" s="17"/>
      <c r="UO259" s="17"/>
      <c r="UP259" s="17"/>
      <c r="UQ259" s="17"/>
      <c r="UR259" s="17"/>
      <c r="US259" s="17"/>
      <c r="UT259" s="17"/>
      <c r="UU259" s="17"/>
      <c r="UV259" s="17"/>
      <c r="UW259" s="17"/>
      <c r="UX259" s="17"/>
      <c r="UY259" s="17"/>
      <c r="UZ259" s="17"/>
      <c r="VA259" s="17"/>
      <c r="VB259" s="17"/>
      <c r="VC259" s="17"/>
      <c r="VD259" s="17"/>
      <c r="VE259" s="17"/>
      <c r="VF259" s="17"/>
      <c r="VG259" s="17"/>
      <c r="VH259" s="17"/>
      <c r="VI259" s="17"/>
      <c r="VJ259" s="17"/>
      <c r="VK259" s="17"/>
      <c r="VL259" s="17"/>
      <c r="VM259" s="17"/>
      <c r="VN259" s="17"/>
      <c r="VO259" s="17"/>
      <c r="VP259" s="17"/>
      <c r="VQ259" s="17"/>
      <c r="VR259" s="17"/>
      <c r="VS259" s="17"/>
      <c r="VT259" s="17"/>
      <c r="VU259" s="17"/>
      <c r="VV259" s="17"/>
      <c r="VW259" s="17"/>
      <c r="VX259" s="17"/>
      <c r="VY259" s="17"/>
      <c r="VZ259" s="17"/>
      <c r="WA259" s="17"/>
      <c r="WB259" s="17"/>
      <c r="WC259" s="17"/>
      <c r="WD259" s="17"/>
      <c r="WE259" s="17"/>
      <c r="WF259" s="17"/>
      <c r="WG259" s="17"/>
      <c r="WH259" s="17"/>
      <c r="WI259" s="17"/>
      <c r="WJ259" s="17"/>
      <c r="WK259" s="17"/>
      <c r="WL259" s="17"/>
      <c r="WM259" s="17"/>
      <c r="WN259" s="17"/>
      <c r="WO259" s="17"/>
      <c r="WP259" s="17"/>
      <c r="WQ259" s="17"/>
      <c r="WR259" s="17"/>
      <c r="WS259" s="17"/>
      <c r="WT259" s="17"/>
      <c r="WU259" s="17"/>
      <c r="WV259" s="17"/>
      <c r="WW259" s="17"/>
      <c r="WX259" s="17"/>
      <c r="WY259" s="17"/>
      <c r="WZ259" s="17"/>
      <c r="XA259" s="17"/>
      <c r="XB259" s="17"/>
      <c r="XC259" s="17"/>
      <c r="XD259" s="17"/>
      <c r="XE259" s="17"/>
      <c r="XF259" s="17"/>
      <c r="XG259" s="17"/>
      <c r="XH259" s="17"/>
      <c r="XI259" s="17"/>
      <c r="XJ259" s="17"/>
      <c r="XK259" s="17"/>
      <c r="XL259" s="17"/>
      <c r="XM259" s="17"/>
      <c r="XN259" s="17"/>
      <c r="XO259" s="17"/>
      <c r="XP259" s="17"/>
      <c r="XQ259" s="17"/>
      <c r="XR259" s="17"/>
      <c r="XS259" s="17"/>
      <c r="XT259" s="17"/>
      <c r="XU259" s="17"/>
      <c r="XV259" s="17"/>
      <c r="XW259" s="17"/>
      <c r="XX259" s="17"/>
      <c r="XY259" s="17"/>
      <c r="XZ259" s="17"/>
      <c r="YA259" s="17"/>
      <c r="YB259" s="17"/>
      <c r="YC259" s="17"/>
      <c r="YD259" s="17"/>
      <c r="YE259" s="17"/>
      <c r="YF259" s="17"/>
      <c r="YG259" s="17"/>
      <c r="YH259" s="17"/>
      <c r="YI259" s="17"/>
      <c r="YJ259" s="17"/>
      <c r="YK259" s="17"/>
      <c r="YL259" s="17"/>
      <c r="YM259" s="17"/>
      <c r="YN259" s="17"/>
      <c r="YO259" s="17"/>
      <c r="YP259" s="17"/>
      <c r="YQ259" s="17"/>
      <c r="YR259" s="17"/>
      <c r="YS259" s="17"/>
    </row>
    <row r="260" spans="266:669" x14ac:dyDescent="0.25">
      <c r="JF260" s="17"/>
      <c r="JG260" s="17"/>
      <c r="JH260" s="17"/>
      <c r="JI260" s="17"/>
      <c r="JJ260" s="17"/>
      <c r="JK260" s="17"/>
      <c r="JL260" s="17"/>
      <c r="JM260" s="17"/>
      <c r="JN260" s="17"/>
      <c r="JO260" s="17"/>
      <c r="JP260" s="17"/>
      <c r="JQ260" s="17"/>
      <c r="JR260" s="17"/>
      <c r="JS260" s="17"/>
      <c r="JT260" s="17"/>
      <c r="JU260" s="17"/>
      <c r="JV260" s="17"/>
      <c r="JW260" s="17"/>
      <c r="JX260" s="17"/>
      <c r="JY260" s="17"/>
      <c r="JZ260" s="17"/>
      <c r="KA260" s="17"/>
      <c r="KB260" s="17"/>
      <c r="KC260" s="17"/>
      <c r="KD260" s="17"/>
      <c r="KE260" s="17"/>
      <c r="KF260" s="17"/>
      <c r="KG260" s="17"/>
      <c r="KH260" s="17"/>
      <c r="KI260" s="17"/>
      <c r="KJ260" s="17"/>
      <c r="KK260" s="17"/>
      <c r="KL260" s="17"/>
      <c r="KM260" s="17"/>
      <c r="KN260" s="17"/>
      <c r="KO260" s="17"/>
      <c r="KP260" s="17"/>
      <c r="KQ260" s="17"/>
      <c r="KR260" s="17"/>
      <c r="KS260" s="17"/>
      <c r="KT260" s="17"/>
      <c r="KU260" s="17"/>
      <c r="KV260" s="17"/>
      <c r="KW260" s="17"/>
      <c r="KX260" s="17"/>
      <c r="KY260" s="17"/>
      <c r="KZ260" s="17"/>
      <c r="LA260" s="17"/>
      <c r="LB260" s="17"/>
      <c r="LC260" s="17"/>
      <c r="LD260" s="17"/>
      <c r="LE260" s="17"/>
      <c r="LF260" s="17"/>
      <c r="LG260" s="17"/>
      <c r="LH260" s="17"/>
      <c r="LI260" s="17"/>
      <c r="LJ260" s="17"/>
      <c r="LK260" s="17"/>
      <c r="LL260" s="17"/>
      <c r="LM260" s="17"/>
      <c r="LN260" s="17"/>
      <c r="LO260" s="17"/>
      <c r="LP260" s="17"/>
      <c r="LQ260" s="17"/>
      <c r="LR260" s="17"/>
      <c r="LS260" s="17"/>
      <c r="LT260" s="17"/>
      <c r="LU260" s="17"/>
      <c r="LV260" s="17"/>
      <c r="LW260" s="17"/>
      <c r="LX260" s="17"/>
      <c r="LY260" s="17"/>
      <c r="LZ260" s="17"/>
      <c r="MA260" s="17"/>
      <c r="MB260" s="17"/>
      <c r="MC260" s="17"/>
      <c r="MD260" s="17"/>
      <c r="ME260" s="17"/>
      <c r="MF260" s="17"/>
      <c r="MG260" s="17"/>
      <c r="MH260" s="17"/>
      <c r="MI260" s="17"/>
      <c r="MJ260" s="17"/>
      <c r="MK260" s="17"/>
      <c r="ML260" s="17"/>
      <c r="MM260" s="17"/>
      <c r="MN260" s="17"/>
      <c r="MO260" s="17"/>
      <c r="MP260" s="17"/>
      <c r="MQ260" s="17"/>
      <c r="MR260" s="17"/>
      <c r="MS260" s="17"/>
      <c r="MT260" s="17"/>
      <c r="MU260" s="17"/>
      <c r="MV260" s="17"/>
      <c r="MW260" s="17"/>
      <c r="MX260" s="17"/>
      <c r="MY260" s="17"/>
      <c r="MZ260" s="17"/>
      <c r="NA260" s="17"/>
      <c r="NB260" s="17"/>
      <c r="NC260" s="17"/>
      <c r="ND260" s="17"/>
      <c r="NE260" s="17"/>
      <c r="NF260" s="17"/>
      <c r="NG260" s="17"/>
      <c r="NH260" s="17"/>
      <c r="NI260" s="17"/>
      <c r="NJ260" s="17"/>
      <c r="NK260" s="17"/>
      <c r="NL260" s="17"/>
      <c r="NM260" s="17"/>
      <c r="NN260" s="17"/>
      <c r="NO260" s="17"/>
      <c r="NP260" s="17"/>
      <c r="NQ260" s="17"/>
      <c r="NR260" s="17"/>
      <c r="NS260" s="17"/>
      <c r="NT260" s="17"/>
      <c r="NU260" s="17"/>
      <c r="NV260" s="17"/>
      <c r="NW260" s="17"/>
      <c r="NX260" s="17"/>
      <c r="NY260" s="17"/>
      <c r="NZ260" s="17"/>
      <c r="OA260" s="17"/>
      <c r="OB260" s="17"/>
      <c r="OC260" s="17"/>
      <c r="OD260" s="17"/>
      <c r="OE260" s="17"/>
      <c r="OF260" s="17"/>
      <c r="OG260" s="17"/>
      <c r="OH260" s="17"/>
      <c r="OI260" s="17"/>
      <c r="OJ260" s="17"/>
      <c r="OK260" s="17"/>
      <c r="OL260" s="17"/>
      <c r="OM260" s="17"/>
      <c r="ON260" s="17"/>
      <c r="OO260" s="17"/>
      <c r="OP260" s="17"/>
      <c r="OQ260" s="17"/>
      <c r="OR260" s="17"/>
      <c r="OS260" s="17"/>
      <c r="OT260" s="17"/>
      <c r="OU260" s="17"/>
      <c r="OV260" s="17"/>
      <c r="OW260" s="17"/>
      <c r="OX260" s="17"/>
      <c r="OY260" s="17"/>
      <c r="OZ260" s="17"/>
      <c r="PA260" s="17"/>
      <c r="PB260" s="17"/>
      <c r="PC260" s="17"/>
      <c r="PD260" s="17"/>
      <c r="PE260" s="17"/>
      <c r="PF260" s="17"/>
      <c r="PG260" s="17"/>
      <c r="PH260" s="17"/>
      <c r="PI260" s="17"/>
      <c r="PJ260" s="17"/>
      <c r="PK260" s="17"/>
      <c r="PL260" s="17"/>
      <c r="PM260" s="17"/>
      <c r="PN260" s="17"/>
      <c r="PO260" s="17"/>
      <c r="PP260" s="17"/>
      <c r="PQ260" s="17"/>
      <c r="PR260" s="17"/>
      <c r="PS260" s="17"/>
      <c r="PT260" s="17"/>
      <c r="PU260" s="17"/>
      <c r="PV260" s="17"/>
      <c r="PW260" s="17"/>
      <c r="PX260" s="17"/>
      <c r="PY260" s="17"/>
      <c r="PZ260" s="17"/>
      <c r="QA260" s="17"/>
      <c r="QB260" s="17"/>
      <c r="QC260" s="17"/>
      <c r="QD260" s="17"/>
      <c r="QE260" s="17"/>
      <c r="QF260" s="17"/>
      <c r="QG260" s="17"/>
      <c r="QH260" s="17"/>
      <c r="QI260" s="17"/>
      <c r="QJ260" s="17"/>
      <c r="QK260" s="17"/>
      <c r="QL260" s="17"/>
      <c r="QM260" s="17"/>
      <c r="QN260" s="17"/>
      <c r="QO260" s="17"/>
      <c r="QP260" s="17"/>
      <c r="QQ260" s="17"/>
      <c r="QR260" s="17"/>
      <c r="QS260" s="17"/>
      <c r="QT260" s="17"/>
      <c r="QU260" s="17"/>
      <c r="QV260" s="17"/>
      <c r="QW260" s="17"/>
      <c r="QX260" s="17"/>
      <c r="QY260" s="17"/>
      <c r="QZ260" s="17"/>
      <c r="RA260" s="17"/>
      <c r="RB260" s="17"/>
      <c r="RC260" s="17"/>
      <c r="RD260" s="17"/>
      <c r="RE260" s="17"/>
      <c r="RF260" s="17"/>
      <c r="RG260" s="17"/>
      <c r="RH260" s="17"/>
      <c r="RI260" s="17"/>
      <c r="RJ260" s="17"/>
      <c r="RK260" s="17"/>
      <c r="RL260" s="17"/>
      <c r="RM260" s="17"/>
      <c r="RN260" s="17"/>
      <c r="RO260" s="17"/>
      <c r="RP260" s="17"/>
      <c r="RQ260" s="17"/>
      <c r="RR260" s="17"/>
      <c r="RS260" s="17"/>
      <c r="RT260" s="17"/>
      <c r="RU260" s="17"/>
      <c r="RV260" s="17"/>
      <c r="RW260" s="17"/>
      <c r="RX260" s="17"/>
      <c r="RY260" s="17"/>
      <c r="RZ260" s="17"/>
      <c r="SA260" s="17"/>
      <c r="SB260" s="17"/>
      <c r="SC260" s="17"/>
      <c r="SD260" s="17"/>
      <c r="SE260" s="17"/>
      <c r="SF260" s="17"/>
      <c r="SG260" s="17"/>
      <c r="SH260" s="17"/>
      <c r="SI260" s="17"/>
      <c r="SJ260" s="17"/>
      <c r="SK260" s="17"/>
      <c r="SL260" s="17"/>
      <c r="SM260" s="17"/>
      <c r="SN260" s="17"/>
      <c r="SO260" s="17"/>
      <c r="SP260" s="17"/>
      <c r="SQ260" s="17"/>
      <c r="SR260" s="17"/>
      <c r="SS260" s="17"/>
      <c r="ST260" s="17"/>
      <c r="SU260" s="17"/>
      <c r="SV260" s="17"/>
      <c r="SW260" s="17"/>
      <c r="SX260" s="17"/>
      <c r="SY260" s="17"/>
      <c r="SZ260" s="17"/>
      <c r="TA260" s="17"/>
      <c r="TB260" s="17"/>
      <c r="TC260" s="17"/>
      <c r="TD260" s="17"/>
      <c r="TE260" s="17"/>
      <c r="TF260" s="17"/>
      <c r="TG260" s="17"/>
      <c r="TH260" s="17"/>
      <c r="TI260" s="17"/>
      <c r="TJ260" s="17"/>
      <c r="TK260" s="17"/>
      <c r="TL260" s="17"/>
      <c r="TM260" s="17"/>
      <c r="TN260" s="17"/>
      <c r="TO260" s="17"/>
      <c r="TP260" s="17"/>
      <c r="TQ260" s="17"/>
      <c r="TR260" s="17"/>
      <c r="TS260" s="17"/>
      <c r="TT260" s="17"/>
      <c r="TU260" s="17"/>
      <c r="TV260" s="17"/>
      <c r="TW260" s="17"/>
      <c r="TX260" s="17"/>
      <c r="TY260" s="17"/>
      <c r="TZ260" s="17"/>
      <c r="UA260" s="17"/>
      <c r="UB260" s="17"/>
      <c r="UC260" s="17"/>
      <c r="UD260" s="17"/>
      <c r="UE260" s="17"/>
      <c r="UF260" s="17"/>
      <c r="UG260" s="17"/>
      <c r="UH260" s="17"/>
      <c r="UI260" s="17"/>
      <c r="UJ260" s="17"/>
      <c r="UK260" s="17"/>
      <c r="UL260" s="17"/>
      <c r="UM260" s="17"/>
      <c r="UN260" s="17"/>
      <c r="UO260" s="17"/>
      <c r="UP260" s="17"/>
      <c r="UQ260" s="17"/>
      <c r="UR260" s="17"/>
      <c r="US260" s="17"/>
      <c r="UT260" s="17"/>
      <c r="UU260" s="17"/>
      <c r="UV260" s="17"/>
      <c r="UW260" s="17"/>
      <c r="UX260" s="17"/>
      <c r="UY260" s="17"/>
      <c r="UZ260" s="17"/>
      <c r="VA260" s="17"/>
      <c r="VB260" s="17"/>
      <c r="VC260" s="17"/>
      <c r="VD260" s="17"/>
      <c r="VE260" s="17"/>
      <c r="VF260" s="17"/>
      <c r="VG260" s="17"/>
      <c r="VH260" s="17"/>
      <c r="VI260" s="17"/>
      <c r="VJ260" s="17"/>
      <c r="VK260" s="17"/>
      <c r="VL260" s="17"/>
      <c r="VM260" s="17"/>
      <c r="VN260" s="17"/>
      <c r="VO260" s="17"/>
      <c r="VP260" s="17"/>
      <c r="VQ260" s="17"/>
      <c r="VR260" s="17"/>
      <c r="VS260" s="17"/>
      <c r="VT260" s="17"/>
      <c r="VU260" s="17"/>
      <c r="VV260" s="17"/>
      <c r="VW260" s="17"/>
      <c r="VX260" s="17"/>
      <c r="VY260" s="17"/>
      <c r="VZ260" s="17"/>
      <c r="WA260" s="17"/>
      <c r="WB260" s="17"/>
      <c r="WC260" s="17"/>
      <c r="WD260" s="17"/>
      <c r="WE260" s="17"/>
      <c r="WF260" s="17"/>
      <c r="WG260" s="17"/>
      <c r="WH260" s="17"/>
      <c r="WI260" s="17"/>
      <c r="WJ260" s="17"/>
      <c r="WK260" s="17"/>
      <c r="WL260" s="17"/>
      <c r="WM260" s="17"/>
      <c r="WN260" s="17"/>
      <c r="WO260" s="17"/>
      <c r="WP260" s="17"/>
      <c r="WQ260" s="17"/>
      <c r="WR260" s="17"/>
      <c r="WS260" s="17"/>
      <c r="WT260" s="17"/>
      <c r="WU260" s="17"/>
      <c r="WV260" s="17"/>
      <c r="WW260" s="17"/>
      <c r="WX260" s="17"/>
      <c r="WY260" s="17"/>
      <c r="WZ260" s="17"/>
      <c r="XA260" s="17"/>
      <c r="XB260" s="17"/>
      <c r="XC260" s="17"/>
      <c r="XD260" s="17"/>
      <c r="XE260" s="17"/>
      <c r="XF260" s="17"/>
      <c r="XG260" s="17"/>
      <c r="XH260" s="17"/>
      <c r="XI260" s="17"/>
      <c r="XJ260" s="17"/>
      <c r="XK260" s="17"/>
      <c r="XL260" s="17"/>
      <c r="XM260" s="17"/>
      <c r="XN260" s="17"/>
      <c r="XO260" s="17"/>
      <c r="XP260" s="17"/>
      <c r="XQ260" s="17"/>
      <c r="XR260" s="17"/>
      <c r="XS260" s="17"/>
      <c r="XT260" s="17"/>
      <c r="XU260" s="17"/>
      <c r="XV260" s="17"/>
      <c r="XW260" s="17"/>
      <c r="XX260" s="17"/>
      <c r="XY260" s="17"/>
      <c r="XZ260" s="17"/>
      <c r="YA260" s="17"/>
      <c r="YB260" s="17"/>
      <c r="YC260" s="17"/>
      <c r="YD260" s="17"/>
      <c r="YE260" s="17"/>
      <c r="YF260" s="17"/>
      <c r="YG260" s="17"/>
      <c r="YH260" s="17"/>
      <c r="YI260" s="17"/>
      <c r="YJ260" s="17"/>
      <c r="YK260" s="17"/>
      <c r="YL260" s="17"/>
      <c r="YM260" s="17"/>
      <c r="YN260" s="17"/>
      <c r="YO260" s="17"/>
      <c r="YP260" s="17"/>
      <c r="YQ260" s="17"/>
      <c r="YR260" s="17"/>
      <c r="YS260" s="17"/>
    </row>
    <row r="261" spans="266:669" x14ac:dyDescent="0.25">
      <c r="JF261" s="17"/>
      <c r="JG261" s="17"/>
      <c r="JH261" s="17"/>
      <c r="JI261" s="17"/>
      <c r="JJ261" s="17"/>
      <c r="JK261" s="17"/>
      <c r="JL261" s="17"/>
      <c r="JM261" s="17"/>
      <c r="JN261" s="17"/>
      <c r="JO261" s="17"/>
      <c r="JP261" s="17"/>
      <c r="JQ261" s="17"/>
      <c r="JR261" s="17"/>
      <c r="JS261" s="17"/>
      <c r="JT261" s="17"/>
      <c r="JU261" s="17"/>
      <c r="JV261" s="17"/>
      <c r="JW261" s="17"/>
      <c r="JX261" s="17"/>
      <c r="JY261" s="17"/>
      <c r="JZ261" s="17"/>
      <c r="KA261" s="17"/>
      <c r="KB261" s="17"/>
      <c r="KC261" s="17"/>
      <c r="KD261" s="17"/>
      <c r="KE261" s="17"/>
      <c r="KF261" s="17"/>
      <c r="KG261" s="17"/>
      <c r="KH261" s="17"/>
      <c r="KI261" s="17"/>
      <c r="KJ261" s="17"/>
      <c r="KK261" s="17"/>
      <c r="KL261" s="17"/>
      <c r="KM261" s="17"/>
      <c r="KN261" s="17"/>
      <c r="KO261" s="17"/>
      <c r="KP261" s="17"/>
      <c r="KQ261" s="17"/>
      <c r="KR261" s="17"/>
      <c r="KS261" s="17"/>
      <c r="KT261" s="17"/>
      <c r="KU261" s="17"/>
      <c r="KV261" s="17"/>
      <c r="KW261" s="17"/>
      <c r="KX261" s="17"/>
      <c r="KY261" s="17"/>
      <c r="KZ261" s="17"/>
      <c r="LA261" s="17"/>
      <c r="LB261" s="17"/>
      <c r="LC261" s="17"/>
      <c r="LD261" s="17"/>
      <c r="LE261" s="17"/>
      <c r="LF261" s="17"/>
      <c r="LG261" s="17"/>
      <c r="LH261" s="17"/>
      <c r="LI261" s="17"/>
      <c r="LJ261" s="17"/>
      <c r="LK261" s="17"/>
      <c r="LL261" s="17"/>
      <c r="LM261" s="17"/>
      <c r="LN261" s="17"/>
      <c r="LO261" s="17"/>
      <c r="LP261" s="17"/>
      <c r="LQ261" s="17"/>
      <c r="LR261" s="17"/>
      <c r="LS261" s="17"/>
      <c r="LT261" s="17"/>
      <c r="LU261" s="17"/>
      <c r="LV261" s="17"/>
      <c r="LW261" s="17"/>
      <c r="LX261" s="17"/>
      <c r="LY261" s="17"/>
      <c r="LZ261" s="17"/>
      <c r="MA261" s="17"/>
      <c r="MB261" s="17"/>
      <c r="MC261" s="17"/>
      <c r="MD261" s="17"/>
      <c r="ME261" s="17"/>
      <c r="MF261" s="17"/>
      <c r="MG261" s="17"/>
      <c r="MH261" s="17"/>
      <c r="MI261" s="17"/>
      <c r="MJ261" s="17"/>
      <c r="MK261" s="17"/>
      <c r="ML261" s="17"/>
      <c r="MM261" s="17"/>
      <c r="MN261" s="17"/>
      <c r="MO261" s="17"/>
      <c r="MP261" s="17"/>
      <c r="MQ261" s="17"/>
      <c r="MR261" s="17"/>
      <c r="MS261" s="17"/>
      <c r="MT261" s="17"/>
      <c r="MU261" s="17"/>
      <c r="MV261" s="17"/>
      <c r="MW261" s="17"/>
      <c r="MX261" s="17"/>
      <c r="MY261" s="17"/>
      <c r="MZ261" s="17"/>
      <c r="NA261" s="17"/>
      <c r="NB261" s="17"/>
      <c r="NC261" s="17"/>
      <c r="ND261" s="17"/>
      <c r="NE261" s="17"/>
      <c r="NF261" s="17"/>
      <c r="NG261" s="17"/>
      <c r="NH261" s="17"/>
      <c r="NI261" s="17"/>
      <c r="NJ261" s="17"/>
      <c r="NK261" s="17"/>
      <c r="NL261" s="17"/>
      <c r="NM261" s="17"/>
      <c r="NN261" s="17"/>
      <c r="NO261" s="17"/>
      <c r="NP261" s="17"/>
      <c r="NQ261" s="17"/>
      <c r="NR261" s="17"/>
      <c r="NS261" s="17"/>
      <c r="NT261" s="17"/>
      <c r="NU261" s="17"/>
      <c r="NV261" s="17"/>
      <c r="NW261" s="17"/>
      <c r="NX261" s="17"/>
      <c r="NY261" s="17"/>
      <c r="NZ261" s="17"/>
      <c r="OA261" s="17"/>
      <c r="OB261" s="17"/>
      <c r="OC261" s="17"/>
      <c r="OD261" s="17"/>
      <c r="OE261" s="17"/>
      <c r="OF261" s="17"/>
      <c r="OG261" s="17"/>
      <c r="OH261" s="17"/>
      <c r="OI261" s="17"/>
      <c r="OJ261" s="17"/>
      <c r="OK261" s="17"/>
      <c r="OL261" s="17"/>
      <c r="OM261" s="17"/>
      <c r="ON261" s="17"/>
      <c r="OO261" s="17"/>
      <c r="OP261" s="17"/>
      <c r="OQ261" s="17"/>
      <c r="OR261" s="17"/>
      <c r="OS261" s="17"/>
      <c r="OT261" s="17"/>
      <c r="OU261" s="17"/>
      <c r="OV261" s="17"/>
      <c r="OW261" s="17"/>
      <c r="OX261" s="17"/>
      <c r="OY261" s="17"/>
      <c r="OZ261" s="17"/>
      <c r="PA261" s="17"/>
      <c r="PB261" s="17"/>
      <c r="PC261" s="17"/>
      <c r="PD261" s="17"/>
      <c r="PE261" s="17"/>
      <c r="PF261" s="17"/>
      <c r="PG261" s="17"/>
      <c r="PH261" s="17"/>
      <c r="PI261" s="17"/>
      <c r="PJ261" s="17"/>
      <c r="PK261" s="17"/>
      <c r="PL261" s="17"/>
      <c r="PM261" s="17"/>
      <c r="PN261" s="17"/>
      <c r="PO261" s="17"/>
      <c r="PP261" s="17"/>
      <c r="PQ261" s="17"/>
      <c r="PR261" s="17"/>
      <c r="PS261" s="17"/>
      <c r="PT261" s="17"/>
      <c r="PU261" s="17"/>
      <c r="PV261" s="17"/>
      <c r="PW261" s="17"/>
      <c r="PX261" s="17"/>
      <c r="PY261" s="17"/>
      <c r="PZ261" s="17"/>
      <c r="QA261" s="17"/>
      <c r="QB261" s="17"/>
      <c r="QC261" s="17"/>
      <c r="QD261" s="17"/>
      <c r="QE261" s="17"/>
      <c r="QF261" s="17"/>
      <c r="QG261" s="17"/>
      <c r="QH261" s="17"/>
      <c r="QI261" s="17"/>
      <c r="QJ261" s="17"/>
      <c r="QK261" s="17"/>
      <c r="QL261" s="17"/>
      <c r="QM261" s="17"/>
      <c r="QN261" s="17"/>
      <c r="QO261" s="17"/>
      <c r="QP261" s="17"/>
      <c r="QQ261" s="17"/>
      <c r="QR261" s="17"/>
      <c r="QS261" s="17"/>
      <c r="QT261" s="17"/>
      <c r="QU261" s="17"/>
      <c r="QV261" s="17"/>
      <c r="QW261" s="17"/>
      <c r="QX261" s="17"/>
      <c r="QY261" s="17"/>
      <c r="QZ261" s="17"/>
      <c r="RA261" s="17"/>
      <c r="RB261" s="17"/>
      <c r="RC261" s="17"/>
      <c r="RD261" s="17"/>
      <c r="RE261" s="17"/>
      <c r="RF261" s="17"/>
      <c r="RG261" s="17"/>
      <c r="RH261" s="17"/>
      <c r="RI261" s="17"/>
      <c r="RJ261" s="17"/>
      <c r="RK261" s="17"/>
      <c r="RL261" s="17"/>
      <c r="RM261" s="17"/>
      <c r="RN261" s="17"/>
      <c r="RO261" s="17"/>
      <c r="RP261" s="17"/>
      <c r="RQ261" s="17"/>
      <c r="RR261" s="17"/>
      <c r="RS261" s="17"/>
      <c r="RT261" s="17"/>
      <c r="RU261" s="17"/>
      <c r="RV261" s="17"/>
      <c r="RW261" s="17"/>
      <c r="RX261" s="17"/>
      <c r="RY261" s="17"/>
      <c r="RZ261" s="17"/>
      <c r="SA261" s="17"/>
      <c r="SB261" s="17"/>
      <c r="SC261" s="17"/>
      <c r="SD261" s="17"/>
      <c r="SE261" s="17"/>
      <c r="SF261" s="17"/>
      <c r="SG261" s="17"/>
      <c r="SH261" s="17"/>
      <c r="SI261" s="17"/>
      <c r="SJ261" s="17"/>
      <c r="SK261" s="17"/>
      <c r="SL261" s="17"/>
      <c r="SM261" s="17"/>
      <c r="SN261" s="17"/>
      <c r="SO261" s="17"/>
      <c r="SP261" s="17"/>
      <c r="SQ261" s="17"/>
      <c r="SR261" s="17"/>
      <c r="SS261" s="17"/>
      <c r="ST261" s="17"/>
      <c r="SU261" s="17"/>
      <c r="SV261" s="17"/>
      <c r="SW261" s="17"/>
      <c r="SX261" s="17"/>
      <c r="SY261" s="17"/>
      <c r="SZ261" s="17"/>
      <c r="TA261" s="17"/>
      <c r="TB261" s="17"/>
      <c r="TC261" s="17"/>
      <c r="TD261" s="17"/>
      <c r="TE261" s="17"/>
      <c r="TF261" s="17"/>
      <c r="TG261" s="17"/>
      <c r="TH261" s="17"/>
      <c r="TI261" s="17"/>
      <c r="TJ261" s="17"/>
      <c r="TK261" s="17"/>
      <c r="TL261" s="17"/>
      <c r="TM261" s="17"/>
      <c r="TN261" s="17"/>
      <c r="TO261" s="17"/>
      <c r="TP261" s="17"/>
      <c r="TQ261" s="17"/>
      <c r="TR261" s="17"/>
      <c r="TS261" s="17"/>
      <c r="TT261" s="17"/>
      <c r="TU261" s="17"/>
      <c r="TV261" s="17"/>
      <c r="TW261" s="17"/>
      <c r="TX261" s="17"/>
      <c r="TY261" s="17"/>
      <c r="TZ261" s="17"/>
      <c r="UA261" s="17"/>
      <c r="UB261" s="17"/>
      <c r="UC261" s="17"/>
      <c r="UD261" s="17"/>
      <c r="UE261" s="17"/>
      <c r="UF261" s="17"/>
      <c r="UG261" s="17"/>
      <c r="UH261" s="17"/>
      <c r="UI261" s="17"/>
      <c r="UJ261" s="17"/>
      <c r="UK261" s="17"/>
      <c r="UL261" s="17"/>
      <c r="UM261" s="17"/>
      <c r="UN261" s="17"/>
      <c r="UO261" s="17"/>
      <c r="UP261" s="17"/>
      <c r="UQ261" s="17"/>
      <c r="UR261" s="17"/>
      <c r="US261" s="17"/>
      <c r="UT261" s="17"/>
      <c r="UU261" s="17"/>
      <c r="UV261" s="17"/>
      <c r="UW261" s="17"/>
      <c r="UX261" s="17"/>
      <c r="UY261" s="17"/>
      <c r="UZ261" s="17"/>
      <c r="VA261" s="17"/>
      <c r="VB261" s="17"/>
      <c r="VC261" s="17"/>
      <c r="VD261" s="17"/>
      <c r="VE261" s="17"/>
      <c r="VF261" s="17"/>
      <c r="VG261" s="17"/>
      <c r="VH261" s="17"/>
      <c r="VI261" s="17"/>
      <c r="VJ261" s="17"/>
      <c r="VK261" s="17"/>
      <c r="VL261" s="17"/>
      <c r="VM261" s="17"/>
      <c r="VN261" s="17"/>
      <c r="VO261" s="17"/>
      <c r="VP261" s="17"/>
      <c r="VQ261" s="17"/>
      <c r="VR261" s="17"/>
      <c r="VS261" s="17"/>
      <c r="VT261" s="17"/>
      <c r="VU261" s="17"/>
      <c r="VV261" s="17"/>
      <c r="VW261" s="17"/>
      <c r="VX261" s="17"/>
      <c r="VY261" s="17"/>
      <c r="VZ261" s="17"/>
      <c r="WA261" s="17"/>
      <c r="WB261" s="17"/>
      <c r="WC261" s="17"/>
      <c r="WD261" s="17"/>
      <c r="WE261" s="17"/>
      <c r="WF261" s="17"/>
      <c r="WG261" s="17"/>
      <c r="WH261" s="17"/>
      <c r="WI261" s="17"/>
      <c r="WJ261" s="17"/>
      <c r="WK261" s="17"/>
      <c r="WL261" s="17"/>
      <c r="WM261" s="17"/>
      <c r="WN261" s="17"/>
      <c r="WO261" s="17"/>
      <c r="WP261" s="17"/>
      <c r="WQ261" s="17"/>
      <c r="WR261" s="17"/>
      <c r="WS261" s="17"/>
      <c r="WT261" s="17"/>
      <c r="WU261" s="17"/>
      <c r="WV261" s="17"/>
      <c r="WW261" s="17"/>
      <c r="WX261" s="17"/>
      <c r="WY261" s="17"/>
      <c r="WZ261" s="17"/>
      <c r="XA261" s="17"/>
      <c r="XB261" s="17"/>
      <c r="XC261" s="17"/>
      <c r="XD261" s="17"/>
      <c r="XE261" s="17"/>
      <c r="XF261" s="17"/>
      <c r="XG261" s="17"/>
      <c r="XH261" s="17"/>
      <c r="XI261" s="17"/>
      <c r="XJ261" s="17"/>
      <c r="XK261" s="17"/>
      <c r="XL261" s="17"/>
      <c r="XM261" s="17"/>
      <c r="XN261" s="17"/>
      <c r="XO261" s="17"/>
      <c r="XP261" s="17"/>
      <c r="XQ261" s="17"/>
      <c r="XR261" s="17"/>
      <c r="XS261" s="17"/>
      <c r="XT261" s="17"/>
      <c r="XU261" s="17"/>
      <c r="XV261" s="17"/>
      <c r="XW261" s="17"/>
      <c r="XX261" s="17"/>
      <c r="XY261" s="17"/>
      <c r="XZ261" s="17"/>
      <c r="YA261" s="17"/>
      <c r="YB261" s="17"/>
      <c r="YC261" s="17"/>
      <c r="YD261" s="17"/>
      <c r="YE261" s="17"/>
      <c r="YF261" s="17"/>
      <c r="YG261" s="17"/>
      <c r="YH261" s="17"/>
      <c r="YI261" s="17"/>
      <c r="YJ261" s="17"/>
      <c r="YK261" s="17"/>
      <c r="YL261" s="17"/>
      <c r="YM261" s="17"/>
      <c r="YN261" s="17"/>
      <c r="YO261" s="17"/>
      <c r="YP261" s="17"/>
      <c r="YQ261" s="17"/>
      <c r="YR261" s="17"/>
      <c r="YS261" s="17"/>
    </row>
    <row r="262" spans="266:669" x14ac:dyDescent="0.25">
      <c r="JF262" s="17"/>
      <c r="JG262" s="17"/>
      <c r="JH262" s="17"/>
      <c r="JI262" s="17"/>
      <c r="JJ262" s="17"/>
      <c r="JK262" s="17"/>
      <c r="JL262" s="17"/>
      <c r="JM262" s="17"/>
      <c r="JN262" s="17"/>
      <c r="JO262" s="17"/>
      <c r="JP262" s="17"/>
      <c r="JQ262" s="17"/>
      <c r="JR262" s="17"/>
      <c r="JS262" s="17"/>
      <c r="JT262" s="17"/>
      <c r="JU262" s="17"/>
      <c r="JV262" s="17"/>
      <c r="JW262" s="17"/>
      <c r="JX262" s="17"/>
      <c r="JY262" s="17"/>
      <c r="JZ262" s="17"/>
      <c r="KA262" s="17"/>
      <c r="KB262" s="17"/>
      <c r="KC262" s="17"/>
      <c r="KD262" s="17"/>
      <c r="KE262" s="17"/>
      <c r="KF262" s="17"/>
      <c r="KG262" s="17"/>
      <c r="KH262" s="17"/>
      <c r="KI262" s="17"/>
      <c r="KJ262" s="17"/>
      <c r="KK262" s="17"/>
      <c r="KL262" s="17"/>
      <c r="KM262" s="17"/>
      <c r="KN262" s="17"/>
      <c r="KO262" s="17"/>
      <c r="KP262" s="17"/>
      <c r="KQ262" s="17"/>
      <c r="KR262" s="17"/>
      <c r="KS262" s="17"/>
      <c r="KT262" s="17"/>
      <c r="KU262" s="17"/>
      <c r="KV262" s="17"/>
      <c r="KW262" s="17"/>
      <c r="KX262" s="17"/>
      <c r="KY262" s="17"/>
      <c r="KZ262" s="17"/>
      <c r="LA262" s="17"/>
      <c r="LB262" s="17"/>
      <c r="LC262" s="17"/>
      <c r="LD262" s="17"/>
      <c r="LE262" s="17"/>
      <c r="LF262" s="17"/>
      <c r="LG262" s="17"/>
      <c r="LH262" s="17"/>
      <c r="LI262" s="17"/>
      <c r="LJ262" s="17"/>
      <c r="LK262" s="17"/>
      <c r="LL262" s="17"/>
      <c r="LM262" s="17"/>
      <c r="LN262" s="17"/>
      <c r="LO262" s="17"/>
      <c r="LP262" s="17"/>
      <c r="LQ262" s="17"/>
      <c r="LR262" s="17"/>
      <c r="LS262" s="17"/>
      <c r="LT262" s="17"/>
      <c r="LU262" s="17"/>
      <c r="LV262" s="17"/>
      <c r="LW262" s="17"/>
      <c r="LX262" s="17"/>
      <c r="LY262" s="17"/>
      <c r="LZ262" s="17"/>
      <c r="MA262" s="17"/>
      <c r="MB262" s="17"/>
      <c r="MC262" s="17"/>
      <c r="MD262" s="17"/>
      <c r="ME262" s="17"/>
      <c r="MF262" s="17"/>
      <c r="MG262" s="17"/>
      <c r="MH262" s="17"/>
      <c r="MI262" s="17"/>
      <c r="MJ262" s="17"/>
      <c r="MK262" s="17"/>
      <c r="ML262" s="17"/>
      <c r="MM262" s="17"/>
      <c r="MN262" s="17"/>
      <c r="MO262" s="17"/>
      <c r="MP262" s="17"/>
      <c r="MQ262" s="17"/>
      <c r="MR262" s="17"/>
      <c r="MS262" s="17"/>
      <c r="MT262" s="17"/>
      <c r="MU262" s="17"/>
      <c r="MV262" s="17"/>
      <c r="MW262" s="17"/>
      <c r="MX262" s="17"/>
      <c r="MY262" s="17"/>
      <c r="MZ262" s="17"/>
      <c r="NA262" s="17"/>
      <c r="NB262" s="17"/>
      <c r="NC262" s="17"/>
      <c r="ND262" s="17"/>
      <c r="NE262" s="17"/>
      <c r="NF262" s="17"/>
      <c r="NG262" s="17"/>
      <c r="NH262" s="17"/>
      <c r="NI262" s="17"/>
      <c r="NJ262" s="17"/>
      <c r="NK262" s="17"/>
      <c r="NL262" s="17"/>
      <c r="NM262" s="17"/>
      <c r="NN262" s="17"/>
      <c r="NO262" s="17"/>
      <c r="NP262" s="17"/>
      <c r="NQ262" s="17"/>
      <c r="NR262" s="17"/>
      <c r="NS262" s="17"/>
      <c r="NT262" s="17"/>
      <c r="NU262" s="17"/>
      <c r="NV262" s="17"/>
      <c r="NW262" s="17"/>
      <c r="NX262" s="17"/>
      <c r="NY262" s="17"/>
      <c r="NZ262" s="17"/>
      <c r="OA262" s="17"/>
      <c r="OB262" s="17"/>
      <c r="OC262" s="17"/>
      <c r="OD262" s="17"/>
      <c r="OE262" s="17"/>
      <c r="OF262" s="17"/>
      <c r="OG262" s="17"/>
      <c r="OH262" s="17"/>
      <c r="OI262" s="17"/>
      <c r="OJ262" s="17"/>
      <c r="OK262" s="17"/>
      <c r="OL262" s="17"/>
      <c r="OM262" s="17"/>
      <c r="ON262" s="17"/>
      <c r="OO262" s="17"/>
      <c r="OP262" s="17"/>
      <c r="OQ262" s="17"/>
      <c r="OR262" s="17"/>
      <c r="OS262" s="17"/>
      <c r="OT262" s="17"/>
      <c r="OU262" s="17"/>
      <c r="OV262" s="17"/>
      <c r="OW262" s="17"/>
      <c r="OX262" s="17"/>
      <c r="OY262" s="17"/>
      <c r="OZ262" s="17"/>
      <c r="PA262" s="17"/>
      <c r="PB262" s="17"/>
      <c r="PC262" s="17"/>
      <c r="PD262" s="17"/>
      <c r="PE262" s="17"/>
      <c r="PF262" s="17"/>
      <c r="PG262" s="17"/>
      <c r="PH262" s="17"/>
      <c r="PI262" s="17"/>
      <c r="PJ262" s="17"/>
      <c r="PK262" s="17"/>
      <c r="PL262" s="17"/>
      <c r="PM262" s="17"/>
      <c r="PN262" s="17"/>
      <c r="PO262" s="17"/>
      <c r="PP262" s="17"/>
      <c r="PQ262" s="17"/>
      <c r="PR262" s="17"/>
      <c r="PS262" s="17"/>
      <c r="PT262" s="17"/>
      <c r="PU262" s="17"/>
      <c r="PV262" s="17"/>
      <c r="PW262" s="17"/>
      <c r="PX262" s="17"/>
      <c r="PY262" s="17"/>
      <c r="PZ262" s="17"/>
      <c r="QA262" s="17"/>
      <c r="QB262" s="17"/>
      <c r="QC262" s="17"/>
      <c r="QD262" s="17"/>
      <c r="QE262" s="17"/>
      <c r="QF262" s="17"/>
      <c r="QG262" s="17"/>
      <c r="QH262" s="17"/>
      <c r="QI262" s="17"/>
      <c r="QJ262" s="17"/>
      <c r="QK262" s="17"/>
      <c r="QL262" s="17"/>
      <c r="QM262" s="17"/>
      <c r="QN262" s="17"/>
      <c r="QO262" s="17"/>
      <c r="QP262" s="17"/>
      <c r="QQ262" s="17"/>
      <c r="QR262" s="17"/>
      <c r="QS262" s="17"/>
      <c r="QT262" s="17"/>
      <c r="QU262" s="17"/>
      <c r="QV262" s="17"/>
      <c r="QW262" s="17"/>
      <c r="QX262" s="17"/>
      <c r="QY262" s="17"/>
      <c r="QZ262" s="17"/>
      <c r="RA262" s="17"/>
      <c r="RB262" s="17"/>
      <c r="RC262" s="17"/>
      <c r="RD262" s="17"/>
      <c r="RE262" s="17"/>
      <c r="RF262" s="17"/>
      <c r="RG262" s="17"/>
      <c r="RH262" s="17"/>
      <c r="RI262" s="17"/>
      <c r="RJ262" s="17"/>
      <c r="RK262" s="17"/>
      <c r="RL262" s="17"/>
      <c r="RM262" s="17"/>
      <c r="RN262" s="17"/>
      <c r="RO262" s="17"/>
      <c r="RP262" s="17"/>
      <c r="RQ262" s="17"/>
      <c r="RR262" s="17"/>
      <c r="RS262" s="17"/>
      <c r="RT262" s="17"/>
      <c r="RU262" s="17"/>
      <c r="RV262" s="17"/>
      <c r="RW262" s="17"/>
      <c r="RX262" s="17"/>
      <c r="RY262" s="17"/>
      <c r="RZ262" s="17"/>
      <c r="SA262" s="17"/>
      <c r="SB262" s="17"/>
      <c r="SC262" s="17"/>
      <c r="SD262" s="17"/>
      <c r="SE262" s="17"/>
      <c r="SF262" s="17"/>
      <c r="SG262" s="17"/>
      <c r="SH262" s="17"/>
      <c r="SI262" s="17"/>
      <c r="SJ262" s="17"/>
      <c r="SK262" s="17"/>
      <c r="SL262" s="17"/>
      <c r="SM262" s="17"/>
      <c r="SN262" s="17"/>
      <c r="SO262" s="17"/>
      <c r="SP262" s="17"/>
      <c r="SQ262" s="17"/>
      <c r="SR262" s="17"/>
      <c r="SS262" s="17"/>
      <c r="ST262" s="17"/>
      <c r="SU262" s="17"/>
      <c r="SV262" s="17"/>
      <c r="SW262" s="17"/>
      <c r="SX262" s="17"/>
      <c r="SY262" s="17"/>
      <c r="SZ262" s="17"/>
      <c r="TA262" s="17"/>
      <c r="TB262" s="17"/>
      <c r="TC262" s="17"/>
      <c r="TD262" s="17"/>
      <c r="TE262" s="17"/>
      <c r="TF262" s="17"/>
      <c r="TG262" s="17"/>
      <c r="TH262" s="17"/>
      <c r="TI262" s="17"/>
      <c r="TJ262" s="17"/>
      <c r="TK262" s="17"/>
      <c r="TL262" s="17"/>
      <c r="TM262" s="17"/>
      <c r="TN262" s="17"/>
      <c r="TO262" s="17"/>
      <c r="TP262" s="17"/>
      <c r="TQ262" s="17"/>
      <c r="TR262" s="17"/>
      <c r="TS262" s="17"/>
      <c r="TT262" s="17"/>
      <c r="TU262" s="17"/>
      <c r="TV262" s="17"/>
      <c r="TW262" s="17"/>
      <c r="TX262" s="17"/>
      <c r="TY262" s="17"/>
      <c r="TZ262" s="17"/>
      <c r="UA262" s="17"/>
      <c r="UB262" s="17"/>
      <c r="UC262" s="17"/>
      <c r="UD262" s="17"/>
      <c r="UE262" s="17"/>
      <c r="UF262" s="17"/>
      <c r="UG262" s="17"/>
      <c r="UH262" s="17"/>
      <c r="UI262" s="17"/>
      <c r="UJ262" s="17"/>
      <c r="UK262" s="17"/>
      <c r="UL262" s="17"/>
      <c r="UM262" s="17"/>
      <c r="UN262" s="17"/>
      <c r="UO262" s="17"/>
      <c r="UP262" s="17"/>
      <c r="UQ262" s="17"/>
      <c r="UR262" s="17"/>
      <c r="US262" s="17"/>
      <c r="UT262" s="17"/>
      <c r="UU262" s="17"/>
      <c r="UV262" s="17"/>
      <c r="UW262" s="17"/>
      <c r="UX262" s="17"/>
      <c r="UY262" s="17"/>
      <c r="UZ262" s="17"/>
      <c r="VA262" s="17"/>
      <c r="VB262" s="17"/>
      <c r="VC262" s="17"/>
      <c r="VD262" s="17"/>
      <c r="VE262" s="17"/>
      <c r="VF262" s="17"/>
      <c r="VG262" s="17"/>
      <c r="VH262" s="17"/>
      <c r="VI262" s="17"/>
      <c r="VJ262" s="17"/>
      <c r="VK262" s="17"/>
      <c r="VL262" s="17"/>
      <c r="VM262" s="17"/>
      <c r="VN262" s="17"/>
      <c r="VO262" s="17"/>
      <c r="VP262" s="17"/>
      <c r="VQ262" s="17"/>
      <c r="VR262" s="17"/>
      <c r="VS262" s="17"/>
      <c r="VT262" s="17"/>
      <c r="VU262" s="17"/>
      <c r="VV262" s="17"/>
      <c r="VW262" s="17"/>
      <c r="VX262" s="17"/>
      <c r="VY262" s="17"/>
      <c r="VZ262" s="17"/>
      <c r="WA262" s="17"/>
      <c r="WB262" s="17"/>
      <c r="WC262" s="17"/>
      <c r="WD262" s="17"/>
      <c r="WE262" s="17"/>
      <c r="WF262" s="17"/>
      <c r="WG262" s="17"/>
      <c r="WH262" s="17"/>
      <c r="WI262" s="17"/>
      <c r="WJ262" s="17"/>
      <c r="WK262" s="17"/>
      <c r="WL262" s="17"/>
      <c r="WM262" s="17"/>
      <c r="WN262" s="17"/>
      <c r="WO262" s="17"/>
      <c r="WP262" s="17"/>
      <c r="WQ262" s="17"/>
      <c r="WR262" s="17"/>
      <c r="WS262" s="17"/>
      <c r="WT262" s="17"/>
      <c r="WU262" s="17"/>
      <c r="WV262" s="17"/>
      <c r="WW262" s="17"/>
      <c r="WX262" s="17"/>
      <c r="WY262" s="17"/>
      <c r="WZ262" s="17"/>
      <c r="XA262" s="17"/>
      <c r="XB262" s="17"/>
      <c r="XC262" s="17"/>
      <c r="XD262" s="17"/>
      <c r="XE262" s="17"/>
      <c r="XF262" s="17"/>
      <c r="XG262" s="17"/>
      <c r="XH262" s="17"/>
      <c r="XI262" s="17"/>
      <c r="XJ262" s="17"/>
      <c r="XK262" s="17"/>
      <c r="XL262" s="17"/>
      <c r="XM262" s="17"/>
      <c r="XN262" s="17"/>
      <c r="XO262" s="17"/>
      <c r="XP262" s="17"/>
      <c r="XQ262" s="17"/>
      <c r="XR262" s="17"/>
      <c r="XS262" s="17"/>
      <c r="XT262" s="17"/>
      <c r="XU262" s="17"/>
      <c r="XV262" s="17"/>
      <c r="XW262" s="17"/>
      <c r="XX262" s="17"/>
      <c r="XY262" s="17"/>
      <c r="XZ262" s="17"/>
      <c r="YA262" s="17"/>
      <c r="YB262" s="17"/>
      <c r="YC262" s="17"/>
      <c r="YD262" s="17"/>
      <c r="YE262" s="17"/>
      <c r="YF262" s="17"/>
      <c r="YG262" s="17"/>
      <c r="YH262" s="17"/>
      <c r="YI262" s="17"/>
      <c r="YJ262" s="17"/>
      <c r="YK262" s="17"/>
      <c r="YL262" s="17"/>
      <c r="YM262" s="17"/>
      <c r="YN262" s="17"/>
      <c r="YO262" s="17"/>
      <c r="YP262" s="17"/>
      <c r="YQ262" s="17"/>
      <c r="YR262" s="17"/>
      <c r="YS262" s="17"/>
    </row>
    <row r="263" spans="266:669" x14ac:dyDescent="0.25">
      <c r="JF263" s="17"/>
      <c r="JG263" s="17"/>
      <c r="JH263" s="17"/>
      <c r="JI263" s="17"/>
      <c r="JJ263" s="17"/>
      <c r="JK263" s="17"/>
      <c r="JL263" s="17"/>
      <c r="JM263" s="17"/>
      <c r="JN263" s="17"/>
      <c r="JO263" s="17"/>
      <c r="JP263" s="17"/>
      <c r="JQ263" s="17"/>
      <c r="JR263" s="17"/>
      <c r="JS263" s="17"/>
      <c r="JT263" s="17"/>
      <c r="JU263" s="17"/>
      <c r="JV263" s="17"/>
      <c r="JW263" s="17"/>
      <c r="JX263" s="17"/>
      <c r="JY263" s="17"/>
      <c r="JZ263" s="17"/>
      <c r="KA263" s="17"/>
      <c r="KB263" s="17"/>
      <c r="KC263" s="17"/>
      <c r="KD263" s="17"/>
      <c r="KE263" s="17"/>
      <c r="KF263" s="17"/>
      <c r="KG263" s="17"/>
      <c r="KH263" s="17"/>
      <c r="KI263" s="17"/>
      <c r="KJ263" s="17"/>
      <c r="KK263" s="17"/>
      <c r="KL263" s="17"/>
      <c r="KM263" s="17"/>
      <c r="KN263" s="17"/>
      <c r="KO263" s="17"/>
      <c r="KP263" s="17"/>
      <c r="KQ263" s="17"/>
      <c r="KR263" s="17"/>
      <c r="KS263" s="17"/>
      <c r="KT263" s="17"/>
      <c r="KU263" s="17"/>
      <c r="KV263" s="17"/>
      <c r="KW263" s="17"/>
      <c r="KX263" s="17"/>
      <c r="KY263" s="17"/>
      <c r="KZ263" s="17"/>
      <c r="LA263" s="17"/>
      <c r="LB263" s="17"/>
      <c r="LC263" s="17"/>
      <c r="LD263" s="17"/>
      <c r="LE263" s="17"/>
      <c r="LF263" s="17"/>
      <c r="LG263" s="17"/>
      <c r="LH263" s="17"/>
      <c r="LI263" s="17"/>
      <c r="LJ263" s="17"/>
      <c r="LK263" s="17"/>
      <c r="LL263" s="17"/>
      <c r="LM263" s="17"/>
      <c r="LN263" s="17"/>
      <c r="LO263" s="17"/>
      <c r="LP263" s="17"/>
      <c r="LQ263" s="17"/>
      <c r="LR263" s="17"/>
      <c r="LS263" s="17"/>
      <c r="LT263" s="17"/>
      <c r="LU263" s="17"/>
      <c r="LV263" s="17"/>
      <c r="LW263" s="17"/>
      <c r="LX263" s="17"/>
      <c r="LY263" s="17"/>
      <c r="LZ263" s="17"/>
      <c r="MA263" s="17"/>
      <c r="MB263" s="17"/>
      <c r="MC263" s="17"/>
      <c r="MD263" s="17"/>
      <c r="ME263" s="17"/>
      <c r="MF263" s="17"/>
      <c r="MG263" s="17"/>
      <c r="MH263" s="17"/>
      <c r="MI263" s="17"/>
      <c r="MJ263" s="17"/>
      <c r="MK263" s="17"/>
      <c r="ML263" s="17"/>
      <c r="MM263" s="17"/>
      <c r="MN263" s="17"/>
      <c r="MO263" s="17"/>
      <c r="MP263" s="17"/>
      <c r="MQ263" s="17"/>
      <c r="MR263" s="17"/>
      <c r="MS263" s="17"/>
      <c r="MT263" s="17"/>
      <c r="MU263" s="17"/>
      <c r="MV263" s="17"/>
      <c r="MW263" s="17"/>
      <c r="MX263" s="17"/>
      <c r="MY263" s="17"/>
      <c r="MZ263" s="17"/>
      <c r="NA263" s="17"/>
      <c r="NB263" s="17"/>
      <c r="NC263" s="17"/>
      <c r="ND263" s="17"/>
      <c r="NE263" s="17"/>
      <c r="NF263" s="17"/>
      <c r="NG263" s="17"/>
      <c r="NH263" s="17"/>
      <c r="NI263" s="17"/>
      <c r="NJ263" s="17"/>
      <c r="NK263" s="17"/>
      <c r="NL263" s="17"/>
      <c r="NM263" s="17"/>
      <c r="NN263" s="17"/>
      <c r="NO263" s="17"/>
      <c r="NP263" s="17"/>
      <c r="NQ263" s="17"/>
      <c r="NR263" s="17"/>
      <c r="NS263" s="17"/>
      <c r="NT263" s="17"/>
      <c r="NU263" s="17"/>
      <c r="NV263" s="17"/>
      <c r="NW263" s="17"/>
      <c r="NX263" s="17"/>
      <c r="NY263" s="17"/>
      <c r="NZ263" s="17"/>
      <c r="OA263" s="17"/>
      <c r="OB263" s="17"/>
      <c r="OC263" s="17"/>
      <c r="OD263" s="17"/>
      <c r="OE263" s="17"/>
      <c r="OF263" s="17"/>
      <c r="OG263" s="17"/>
      <c r="OH263" s="17"/>
      <c r="OI263" s="17"/>
      <c r="OJ263" s="17"/>
      <c r="OK263" s="17"/>
      <c r="OL263" s="17"/>
      <c r="OM263" s="17"/>
      <c r="ON263" s="17"/>
      <c r="OO263" s="17"/>
      <c r="OP263" s="17"/>
      <c r="OQ263" s="17"/>
      <c r="OR263" s="17"/>
      <c r="OS263" s="17"/>
      <c r="OT263" s="17"/>
      <c r="OU263" s="17"/>
      <c r="OV263" s="17"/>
      <c r="OW263" s="17"/>
      <c r="OX263" s="17"/>
      <c r="OY263" s="17"/>
      <c r="OZ263" s="17"/>
      <c r="PA263" s="17"/>
      <c r="PB263" s="17"/>
      <c r="PC263" s="17"/>
      <c r="PD263" s="17"/>
      <c r="PE263" s="17"/>
      <c r="PF263" s="17"/>
      <c r="PG263" s="17"/>
      <c r="PH263" s="17"/>
      <c r="PI263" s="17"/>
      <c r="PJ263" s="17"/>
      <c r="PK263" s="17"/>
      <c r="PL263" s="17"/>
      <c r="PM263" s="17"/>
      <c r="PN263" s="17"/>
      <c r="PO263" s="17"/>
      <c r="PP263" s="17"/>
      <c r="PQ263" s="17"/>
      <c r="PR263" s="17"/>
      <c r="PS263" s="17"/>
      <c r="PT263" s="17"/>
      <c r="PU263" s="17"/>
      <c r="PV263" s="17"/>
      <c r="PW263" s="17"/>
      <c r="PX263" s="17"/>
      <c r="PY263" s="17"/>
      <c r="PZ263" s="17"/>
      <c r="QA263" s="17"/>
      <c r="QB263" s="17"/>
      <c r="QC263" s="17"/>
      <c r="QD263" s="17"/>
      <c r="QE263" s="17"/>
      <c r="QF263" s="17"/>
      <c r="QG263" s="17"/>
      <c r="QH263" s="17"/>
      <c r="QI263" s="17"/>
      <c r="QJ263" s="17"/>
      <c r="QK263" s="17"/>
      <c r="QL263" s="17"/>
      <c r="QM263" s="17"/>
      <c r="QN263" s="17"/>
      <c r="QO263" s="17"/>
      <c r="QP263" s="17"/>
      <c r="QQ263" s="17"/>
      <c r="QR263" s="17"/>
      <c r="QS263" s="17"/>
      <c r="QT263" s="17"/>
      <c r="QU263" s="17"/>
      <c r="QV263" s="17"/>
      <c r="QW263" s="17"/>
      <c r="QX263" s="17"/>
      <c r="QY263" s="17"/>
      <c r="QZ263" s="17"/>
      <c r="RA263" s="17"/>
      <c r="RB263" s="17"/>
      <c r="RC263" s="17"/>
      <c r="RD263" s="17"/>
      <c r="RE263" s="17"/>
      <c r="RF263" s="17"/>
      <c r="RG263" s="17"/>
      <c r="RH263" s="17"/>
      <c r="RI263" s="17"/>
      <c r="RJ263" s="17"/>
      <c r="RK263" s="17"/>
      <c r="RL263" s="17"/>
      <c r="RM263" s="17"/>
      <c r="RN263" s="17"/>
      <c r="RO263" s="17"/>
      <c r="RP263" s="17"/>
      <c r="RQ263" s="17"/>
      <c r="RR263" s="17"/>
      <c r="RS263" s="17"/>
      <c r="RT263" s="17"/>
      <c r="RU263" s="17"/>
      <c r="RV263" s="17"/>
      <c r="RW263" s="17"/>
      <c r="RX263" s="17"/>
      <c r="RY263" s="17"/>
      <c r="RZ263" s="17"/>
      <c r="SA263" s="17"/>
      <c r="SB263" s="17"/>
      <c r="SC263" s="17"/>
      <c r="SD263" s="17"/>
      <c r="SE263" s="17"/>
      <c r="SF263" s="17"/>
      <c r="SG263" s="17"/>
      <c r="SH263" s="17"/>
      <c r="SI263" s="17"/>
      <c r="SJ263" s="17"/>
      <c r="SK263" s="17"/>
      <c r="SL263" s="17"/>
      <c r="SM263" s="17"/>
      <c r="SN263" s="17"/>
      <c r="SO263" s="17"/>
      <c r="SP263" s="17"/>
      <c r="SQ263" s="17"/>
      <c r="SR263" s="17"/>
      <c r="SS263" s="17"/>
      <c r="ST263" s="17"/>
      <c r="SU263" s="17"/>
      <c r="SV263" s="17"/>
      <c r="SW263" s="17"/>
      <c r="SX263" s="17"/>
      <c r="SY263" s="17"/>
      <c r="SZ263" s="17"/>
      <c r="TA263" s="17"/>
      <c r="TB263" s="17"/>
      <c r="TC263" s="17"/>
      <c r="TD263" s="17"/>
      <c r="TE263" s="17"/>
      <c r="TF263" s="17"/>
      <c r="TG263" s="17"/>
      <c r="TH263" s="17"/>
      <c r="TI263" s="17"/>
      <c r="TJ263" s="17"/>
      <c r="TK263" s="17"/>
      <c r="TL263" s="17"/>
      <c r="TM263" s="17"/>
      <c r="TN263" s="17"/>
      <c r="TO263" s="17"/>
      <c r="TP263" s="17"/>
      <c r="TQ263" s="17"/>
      <c r="TR263" s="17"/>
      <c r="TS263" s="17"/>
      <c r="TT263" s="17"/>
      <c r="TU263" s="17"/>
      <c r="TV263" s="17"/>
      <c r="TW263" s="17"/>
      <c r="TX263" s="17"/>
      <c r="TY263" s="17"/>
      <c r="TZ263" s="17"/>
      <c r="UA263" s="17"/>
      <c r="UB263" s="17"/>
      <c r="UC263" s="17"/>
      <c r="UD263" s="17"/>
      <c r="UE263" s="17"/>
      <c r="UF263" s="17"/>
      <c r="UG263" s="17"/>
      <c r="UH263" s="17"/>
      <c r="UI263" s="17"/>
      <c r="UJ263" s="17"/>
      <c r="UK263" s="17"/>
      <c r="UL263" s="17"/>
      <c r="UM263" s="17"/>
      <c r="UN263" s="17"/>
      <c r="UO263" s="17"/>
      <c r="UP263" s="17"/>
      <c r="UQ263" s="17"/>
      <c r="UR263" s="17"/>
      <c r="US263" s="17"/>
      <c r="UT263" s="17"/>
      <c r="UU263" s="17"/>
      <c r="UV263" s="17"/>
      <c r="UW263" s="17"/>
      <c r="UX263" s="17"/>
      <c r="UY263" s="17"/>
      <c r="UZ263" s="17"/>
      <c r="VA263" s="17"/>
      <c r="VB263" s="17"/>
      <c r="VC263" s="17"/>
      <c r="VD263" s="17"/>
      <c r="VE263" s="17"/>
      <c r="VF263" s="17"/>
      <c r="VG263" s="17"/>
      <c r="VH263" s="17"/>
      <c r="VI263" s="17"/>
      <c r="VJ263" s="17"/>
      <c r="VK263" s="17"/>
      <c r="VL263" s="17"/>
      <c r="VM263" s="17"/>
      <c r="VN263" s="17"/>
      <c r="VO263" s="17"/>
      <c r="VP263" s="17"/>
      <c r="VQ263" s="17"/>
      <c r="VR263" s="17"/>
      <c r="VS263" s="17"/>
      <c r="VT263" s="17"/>
      <c r="VU263" s="17"/>
      <c r="VV263" s="17"/>
      <c r="VW263" s="17"/>
      <c r="VX263" s="17"/>
      <c r="VY263" s="17"/>
      <c r="VZ263" s="17"/>
      <c r="WA263" s="17"/>
      <c r="WB263" s="17"/>
      <c r="WC263" s="17"/>
      <c r="WD263" s="17"/>
      <c r="WE263" s="17"/>
      <c r="WF263" s="17"/>
      <c r="WG263" s="17"/>
      <c r="WH263" s="17"/>
      <c r="WI263" s="17"/>
      <c r="WJ263" s="17"/>
      <c r="WK263" s="17"/>
      <c r="WL263" s="17"/>
      <c r="WM263" s="17"/>
      <c r="WN263" s="17"/>
      <c r="WO263" s="17"/>
      <c r="WP263" s="17"/>
      <c r="WQ263" s="17"/>
      <c r="WR263" s="17"/>
      <c r="WS263" s="17"/>
      <c r="WT263" s="17"/>
      <c r="WU263" s="17"/>
      <c r="WV263" s="17"/>
      <c r="WW263" s="17"/>
      <c r="WX263" s="17"/>
      <c r="WY263" s="17"/>
      <c r="WZ263" s="17"/>
      <c r="XA263" s="17"/>
      <c r="XB263" s="17"/>
      <c r="XC263" s="17"/>
      <c r="XD263" s="17"/>
      <c r="XE263" s="17"/>
      <c r="XF263" s="17"/>
      <c r="XG263" s="17"/>
      <c r="XH263" s="17"/>
      <c r="XI263" s="17"/>
      <c r="XJ263" s="17"/>
      <c r="XK263" s="17"/>
      <c r="XL263" s="17"/>
      <c r="XM263" s="17"/>
      <c r="XN263" s="17"/>
      <c r="XO263" s="17"/>
      <c r="XP263" s="17"/>
      <c r="XQ263" s="17"/>
      <c r="XR263" s="17"/>
      <c r="XS263" s="17"/>
      <c r="XT263" s="17"/>
      <c r="XU263" s="17"/>
      <c r="XV263" s="17"/>
      <c r="XW263" s="17"/>
      <c r="XX263" s="17"/>
      <c r="XY263" s="17"/>
      <c r="XZ263" s="17"/>
      <c r="YA263" s="17"/>
      <c r="YB263" s="17"/>
      <c r="YC263" s="17"/>
      <c r="YD263" s="17"/>
      <c r="YE263" s="17"/>
      <c r="YF263" s="17"/>
      <c r="YG263" s="17"/>
      <c r="YH263" s="17"/>
      <c r="YI263" s="17"/>
      <c r="YJ263" s="17"/>
      <c r="YK263" s="17"/>
      <c r="YL263" s="17"/>
      <c r="YM263" s="17"/>
      <c r="YN263" s="17"/>
      <c r="YO263" s="17"/>
      <c r="YP263" s="17"/>
      <c r="YQ263" s="17"/>
      <c r="YR263" s="17"/>
      <c r="YS263" s="17"/>
    </row>
    <row r="264" spans="266:669" x14ac:dyDescent="0.25">
      <c r="JF264" s="17"/>
      <c r="JG264" s="17"/>
      <c r="JH264" s="17"/>
      <c r="JI264" s="17"/>
      <c r="JJ264" s="17"/>
      <c r="JK264" s="17"/>
      <c r="JL264" s="17"/>
      <c r="JM264" s="17"/>
      <c r="JN264" s="17"/>
      <c r="JO264" s="17"/>
      <c r="JP264" s="17"/>
      <c r="JQ264" s="17"/>
      <c r="JR264" s="17"/>
      <c r="JS264" s="17"/>
      <c r="JT264" s="17"/>
      <c r="JU264" s="17"/>
      <c r="JV264" s="17"/>
      <c r="JW264" s="17"/>
      <c r="JX264" s="17"/>
      <c r="JY264" s="17"/>
      <c r="JZ264" s="17"/>
      <c r="KA264" s="17"/>
      <c r="KB264" s="17"/>
      <c r="KC264" s="17"/>
      <c r="KD264" s="17"/>
      <c r="KE264" s="17"/>
      <c r="KF264" s="17"/>
      <c r="KG264" s="17"/>
      <c r="KH264" s="17"/>
      <c r="KI264" s="17"/>
      <c r="KJ264" s="17"/>
      <c r="KK264" s="17"/>
      <c r="KL264" s="17"/>
      <c r="KM264" s="17"/>
      <c r="KN264" s="17"/>
      <c r="KO264" s="17"/>
      <c r="KP264" s="17"/>
      <c r="KQ264" s="17"/>
      <c r="KR264" s="17"/>
      <c r="KS264" s="17"/>
      <c r="KT264" s="17"/>
      <c r="KU264" s="17"/>
      <c r="KV264" s="17"/>
      <c r="KW264" s="17"/>
      <c r="KX264" s="17"/>
      <c r="KY264" s="17"/>
      <c r="KZ264" s="17"/>
      <c r="LA264" s="17"/>
      <c r="LB264" s="17"/>
      <c r="LC264" s="17"/>
      <c r="LD264" s="17"/>
      <c r="LE264" s="17"/>
      <c r="LF264" s="17"/>
      <c r="LG264" s="17"/>
      <c r="LH264" s="17"/>
      <c r="LI264" s="17"/>
      <c r="LJ264" s="17"/>
      <c r="LK264" s="17"/>
      <c r="LL264" s="17"/>
      <c r="LM264" s="17"/>
      <c r="LN264" s="17"/>
      <c r="LO264" s="17"/>
      <c r="LP264" s="17"/>
      <c r="LQ264" s="17"/>
      <c r="LR264" s="17"/>
      <c r="LS264" s="17"/>
      <c r="LT264" s="17"/>
      <c r="LU264" s="17"/>
      <c r="LV264" s="17"/>
      <c r="LW264" s="17"/>
      <c r="LX264" s="17"/>
      <c r="LY264" s="17"/>
      <c r="LZ264" s="17"/>
      <c r="MA264" s="17"/>
      <c r="MB264" s="17"/>
      <c r="MC264" s="17"/>
      <c r="MD264" s="17"/>
      <c r="ME264" s="17"/>
      <c r="MF264" s="17"/>
      <c r="MG264" s="17"/>
      <c r="MH264" s="17"/>
      <c r="MI264" s="17"/>
      <c r="MJ264" s="17"/>
      <c r="MK264" s="17"/>
      <c r="ML264" s="17"/>
      <c r="MM264" s="17"/>
      <c r="MN264" s="17"/>
      <c r="MO264" s="17"/>
      <c r="MP264" s="17"/>
      <c r="MQ264" s="17"/>
      <c r="MR264" s="17"/>
      <c r="MS264" s="17"/>
      <c r="MT264" s="17"/>
      <c r="MU264" s="17"/>
      <c r="MV264" s="17"/>
      <c r="MW264" s="17"/>
      <c r="MX264" s="17"/>
      <c r="MY264" s="17"/>
      <c r="MZ264" s="17"/>
      <c r="NA264" s="17"/>
      <c r="NB264" s="17"/>
      <c r="NC264" s="17"/>
      <c r="ND264" s="17"/>
      <c r="NE264" s="17"/>
      <c r="NF264" s="17"/>
      <c r="NG264" s="17"/>
      <c r="NH264" s="17"/>
      <c r="NI264" s="17"/>
      <c r="NJ264" s="17"/>
      <c r="NK264" s="17"/>
      <c r="NL264" s="17"/>
      <c r="NM264" s="17"/>
      <c r="NN264" s="17"/>
      <c r="NO264" s="17"/>
      <c r="NP264" s="17"/>
      <c r="NQ264" s="17"/>
      <c r="NR264" s="17"/>
      <c r="NS264" s="17"/>
      <c r="NT264" s="17"/>
      <c r="NU264" s="17"/>
      <c r="NV264" s="17"/>
      <c r="NW264" s="17"/>
      <c r="NX264" s="17"/>
      <c r="NY264" s="17"/>
      <c r="NZ264" s="17"/>
      <c r="OA264" s="17"/>
      <c r="OB264" s="17"/>
      <c r="OC264" s="17"/>
      <c r="OD264" s="17"/>
      <c r="OE264" s="17"/>
      <c r="OF264" s="17"/>
      <c r="OG264" s="17"/>
      <c r="OH264" s="17"/>
      <c r="OI264" s="17"/>
      <c r="OJ264" s="17"/>
      <c r="OK264" s="17"/>
      <c r="OL264" s="17"/>
      <c r="OM264" s="17"/>
      <c r="ON264" s="17"/>
      <c r="OO264" s="17"/>
      <c r="OP264" s="17"/>
      <c r="OQ264" s="17"/>
      <c r="OR264" s="17"/>
      <c r="OS264" s="17"/>
      <c r="OT264" s="17"/>
      <c r="OU264" s="17"/>
      <c r="OV264" s="17"/>
      <c r="OW264" s="17"/>
      <c r="OX264" s="17"/>
      <c r="OY264" s="17"/>
      <c r="OZ264" s="17"/>
      <c r="PA264" s="17"/>
      <c r="PB264" s="17"/>
      <c r="PC264" s="17"/>
      <c r="PD264" s="17"/>
      <c r="PE264" s="17"/>
      <c r="PF264" s="17"/>
      <c r="PG264" s="17"/>
      <c r="PH264" s="17"/>
      <c r="PI264" s="17"/>
      <c r="PJ264" s="17"/>
      <c r="PK264" s="17"/>
      <c r="PL264" s="17"/>
      <c r="PM264" s="17"/>
      <c r="PN264" s="17"/>
      <c r="PO264" s="17"/>
      <c r="PP264" s="17"/>
      <c r="PQ264" s="17"/>
      <c r="PR264" s="17"/>
      <c r="PS264" s="17"/>
      <c r="PT264" s="17"/>
      <c r="PU264" s="17"/>
      <c r="PV264" s="17"/>
      <c r="PW264" s="17"/>
      <c r="PX264" s="17"/>
      <c r="PY264" s="17"/>
      <c r="PZ264" s="17"/>
      <c r="QA264" s="17"/>
      <c r="QB264" s="17"/>
      <c r="QC264" s="17"/>
      <c r="QD264" s="17"/>
      <c r="QE264" s="17"/>
      <c r="QF264" s="17"/>
      <c r="QG264" s="17"/>
      <c r="QH264" s="17"/>
      <c r="QI264" s="17"/>
      <c r="QJ264" s="17"/>
      <c r="QK264" s="17"/>
      <c r="QL264" s="17"/>
      <c r="QM264" s="17"/>
      <c r="QN264" s="17"/>
      <c r="QO264" s="17"/>
      <c r="QP264" s="17"/>
      <c r="QQ264" s="17"/>
      <c r="QR264" s="17"/>
      <c r="QS264" s="17"/>
      <c r="QT264" s="17"/>
      <c r="QU264" s="17"/>
      <c r="QV264" s="17"/>
      <c r="QW264" s="17"/>
      <c r="QX264" s="17"/>
      <c r="QY264" s="17"/>
      <c r="QZ264" s="17"/>
      <c r="RA264" s="17"/>
      <c r="RB264" s="17"/>
      <c r="RC264" s="17"/>
      <c r="RD264" s="17"/>
      <c r="RE264" s="17"/>
      <c r="RF264" s="17"/>
      <c r="RG264" s="17"/>
      <c r="RH264" s="17"/>
      <c r="RI264" s="17"/>
      <c r="RJ264" s="17"/>
      <c r="RK264" s="17"/>
      <c r="RL264" s="17"/>
      <c r="RM264" s="17"/>
      <c r="RN264" s="17"/>
      <c r="RO264" s="17"/>
      <c r="RP264" s="17"/>
      <c r="RQ264" s="17"/>
      <c r="RR264" s="17"/>
      <c r="RS264" s="17"/>
      <c r="RT264" s="17"/>
      <c r="RU264" s="17"/>
      <c r="RV264" s="17"/>
      <c r="RW264" s="17"/>
      <c r="RX264" s="17"/>
      <c r="RY264" s="17"/>
      <c r="RZ264" s="17"/>
      <c r="SA264" s="17"/>
      <c r="SB264" s="17"/>
      <c r="SC264" s="17"/>
      <c r="SD264" s="17"/>
      <c r="SE264" s="17"/>
      <c r="SF264" s="17"/>
      <c r="SG264" s="17"/>
      <c r="SH264" s="17"/>
      <c r="SI264" s="17"/>
      <c r="SJ264" s="17"/>
      <c r="SK264" s="17"/>
      <c r="SL264" s="17"/>
      <c r="SM264" s="17"/>
      <c r="SN264" s="17"/>
      <c r="SO264" s="17"/>
      <c r="SP264" s="17"/>
      <c r="SQ264" s="17"/>
      <c r="SR264" s="17"/>
      <c r="SS264" s="17"/>
      <c r="ST264" s="17"/>
      <c r="SU264" s="17"/>
      <c r="SV264" s="17"/>
      <c r="SW264" s="17"/>
      <c r="SX264" s="17"/>
      <c r="SY264" s="17"/>
      <c r="SZ264" s="17"/>
      <c r="TA264" s="17"/>
      <c r="TB264" s="17"/>
      <c r="TC264" s="17"/>
      <c r="TD264" s="17"/>
      <c r="TE264" s="17"/>
      <c r="TF264" s="17"/>
      <c r="TG264" s="17"/>
      <c r="TH264" s="17"/>
      <c r="TI264" s="17"/>
      <c r="TJ264" s="17"/>
      <c r="TK264" s="17"/>
      <c r="TL264" s="17"/>
      <c r="TM264" s="17"/>
      <c r="TN264" s="17"/>
      <c r="TO264" s="17"/>
      <c r="TP264" s="17"/>
      <c r="TQ264" s="17"/>
      <c r="TR264" s="17"/>
      <c r="TS264" s="17"/>
      <c r="TT264" s="17"/>
      <c r="TU264" s="17"/>
      <c r="TV264" s="17"/>
      <c r="TW264" s="17"/>
      <c r="TX264" s="17"/>
      <c r="TY264" s="17"/>
      <c r="TZ264" s="17"/>
      <c r="UA264" s="17"/>
      <c r="UB264" s="17"/>
      <c r="UC264" s="17"/>
      <c r="UD264" s="17"/>
      <c r="UE264" s="17"/>
      <c r="UF264" s="17"/>
      <c r="UG264" s="17"/>
      <c r="UH264" s="17"/>
      <c r="UI264" s="17"/>
      <c r="UJ264" s="17"/>
      <c r="UK264" s="17"/>
      <c r="UL264" s="17"/>
      <c r="UM264" s="17"/>
      <c r="UN264" s="17"/>
      <c r="UO264" s="17"/>
      <c r="UP264" s="17"/>
      <c r="UQ264" s="17"/>
      <c r="UR264" s="17"/>
      <c r="US264" s="17"/>
      <c r="UT264" s="17"/>
      <c r="UU264" s="17"/>
      <c r="UV264" s="17"/>
      <c r="UW264" s="17"/>
      <c r="UX264" s="17"/>
      <c r="UY264" s="17"/>
      <c r="UZ264" s="17"/>
      <c r="VA264" s="17"/>
      <c r="VB264" s="17"/>
      <c r="VC264" s="17"/>
      <c r="VD264" s="17"/>
      <c r="VE264" s="17"/>
      <c r="VF264" s="17"/>
      <c r="VG264" s="17"/>
      <c r="VH264" s="17"/>
      <c r="VI264" s="17"/>
      <c r="VJ264" s="17"/>
      <c r="VK264" s="17"/>
      <c r="VL264" s="17"/>
      <c r="VM264" s="17"/>
      <c r="VN264" s="17"/>
      <c r="VO264" s="17"/>
      <c r="VP264" s="17"/>
      <c r="VQ264" s="17"/>
      <c r="VR264" s="17"/>
      <c r="VS264" s="17"/>
      <c r="VT264" s="17"/>
      <c r="VU264" s="17"/>
      <c r="VV264" s="17"/>
      <c r="VW264" s="17"/>
      <c r="VX264" s="17"/>
      <c r="VY264" s="17"/>
      <c r="VZ264" s="17"/>
      <c r="WA264" s="17"/>
      <c r="WB264" s="17"/>
      <c r="WC264" s="17"/>
      <c r="WD264" s="17"/>
      <c r="WE264" s="17"/>
      <c r="WF264" s="17"/>
      <c r="WG264" s="17"/>
      <c r="WH264" s="17"/>
      <c r="WI264" s="17"/>
      <c r="WJ264" s="17"/>
      <c r="WK264" s="17"/>
      <c r="WL264" s="17"/>
      <c r="WM264" s="17"/>
      <c r="WN264" s="17"/>
      <c r="WO264" s="17"/>
      <c r="WP264" s="17"/>
      <c r="WQ264" s="17"/>
      <c r="WR264" s="17"/>
      <c r="WS264" s="17"/>
      <c r="WT264" s="17"/>
      <c r="WU264" s="17"/>
      <c r="WV264" s="17"/>
      <c r="WW264" s="17"/>
      <c r="WX264" s="17"/>
      <c r="WY264" s="17"/>
      <c r="WZ264" s="17"/>
      <c r="XA264" s="17"/>
      <c r="XB264" s="17"/>
      <c r="XC264" s="17"/>
      <c r="XD264" s="17"/>
      <c r="XE264" s="17"/>
      <c r="XF264" s="17"/>
      <c r="XG264" s="17"/>
      <c r="XH264" s="17"/>
      <c r="XI264" s="17"/>
      <c r="XJ264" s="17"/>
      <c r="XK264" s="17"/>
      <c r="XL264" s="17"/>
      <c r="XM264" s="17"/>
      <c r="XN264" s="17"/>
      <c r="XO264" s="17"/>
      <c r="XP264" s="17"/>
      <c r="XQ264" s="17"/>
      <c r="XR264" s="17"/>
      <c r="XS264" s="17"/>
      <c r="XT264" s="17"/>
      <c r="XU264" s="17"/>
      <c r="XV264" s="17"/>
      <c r="XW264" s="17"/>
      <c r="XX264" s="17"/>
      <c r="XY264" s="17"/>
      <c r="XZ264" s="17"/>
      <c r="YA264" s="17"/>
      <c r="YB264" s="17"/>
      <c r="YC264" s="17"/>
      <c r="YD264" s="17"/>
      <c r="YE264" s="17"/>
      <c r="YF264" s="17"/>
      <c r="YG264" s="17"/>
      <c r="YH264" s="17"/>
      <c r="YI264" s="17"/>
      <c r="YJ264" s="17"/>
      <c r="YK264" s="17"/>
      <c r="YL264" s="17"/>
      <c r="YM264" s="17"/>
      <c r="YN264" s="17"/>
      <c r="YO264" s="17"/>
      <c r="YP264" s="17"/>
      <c r="YQ264" s="17"/>
      <c r="YR264" s="17"/>
      <c r="YS264" s="17"/>
    </row>
    <row r="265" spans="266:669" x14ac:dyDescent="0.25">
      <c r="JF265" s="17"/>
      <c r="JG265" s="17"/>
      <c r="JH265" s="17"/>
      <c r="JI265" s="17"/>
      <c r="JJ265" s="17"/>
      <c r="JK265" s="17"/>
      <c r="JL265" s="17"/>
      <c r="JM265" s="17"/>
      <c r="JN265" s="17"/>
      <c r="JO265" s="17"/>
      <c r="JP265" s="17"/>
      <c r="JQ265" s="17"/>
      <c r="JR265" s="17"/>
      <c r="JS265" s="17"/>
      <c r="JT265" s="17"/>
      <c r="JU265" s="17"/>
      <c r="JV265" s="17"/>
      <c r="JW265" s="17"/>
      <c r="JX265" s="17"/>
      <c r="JY265" s="17"/>
      <c r="JZ265" s="17"/>
      <c r="KA265" s="17"/>
      <c r="KB265" s="17"/>
      <c r="KC265" s="17"/>
      <c r="KD265" s="17"/>
      <c r="KE265" s="17"/>
      <c r="KF265" s="17"/>
      <c r="KG265" s="17"/>
      <c r="KH265" s="17"/>
      <c r="KI265" s="17"/>
      <c r="KJ265" s="17"/>
      <c r="KK265" s="17"/>
      <c r="KL265" s="17"/>
      <c r="KM265" s="17"/>
      <c r="KN265" s="17"/>
      <c r="KO265" s="17"/>
      <c r="KP265" s="17"/>
      <c r="KQ265" s="17"/>
      <c r="KR265" s="17"/>
      <c r="KS265" s="17"/>
      <c r="KT265" s="17"/>
      <c r="KU265" s="17"/>
      <c r="KV265" s="17"/>
      <c r="KW265" s="17"/>
      <c r="KX265" s="17"/>
      <c r="KY265" s="17"/>
      <c r="KZ265" s="17"/>
      <c r="LA265" s="17"/>
      <c r="LB265" s="17"/>
      <c r="LC265" s="17"/>
      <c r="LD265" s="17"/>
      <c r="LE265" s="17"/>
      <c r="LF265" s="17"/>
      <c r="LG265" s="17"/>
      <c r="LH265" s="17"/>
      <c r="LI265" s="17"/>
      <c r="LJ265" s="17"/>
      <c r="LK265" s="17"/>
      <c r="LL265" s="17"/>
      <c r="LM265" s="17"/>
      <c r="LN265" s="17"/>
      <c r="LO265" s="17"/>
      <c r="LP265" s="17"/>
      <c r="LQ265" s="17"/>
      <c r="LR265" s="17"/>
      <c r="LS265" s="17"/>
      <c r="LT265" s="17"/>
      <c r="LU265" s="17"/>
      <c r="LV265" s="17"/>
      <c r="LW265" s="17"/>
      <c r="LX265" s="17"/>
      <c r="LY265" s="17"/>
      <c r="LZ265" s="17"/>
      <c r="MA265" s="17"/>
      <c r="MB265" s="17"/>
      <c r="MC265" s="17"/>
      <c r="MD265" s="17"/>
      <c r="ME265" s="17"/>
      <c r="MF265" s="17"/>
      <c r="MG265" s="17"/>
      <c r="MH265" s="17"/>
      <c r="MI265" s="17"/>
      <c r="MJ265" s="17"/>
      <c r="MK265" s="17"/>
      <c r="ML265" s="17"/>
      <c r="MM265" s="17"/>
      <c r="MN265" s="17"/>
      <c r="MO265" s="17"/>
      <c r="MP265" s="17"/>
      <c r="MQ265" s="17"/>
      <c r="MR265" s="17"/>
      <c r="MS265" s="17"/>
      <c r="MT265" s="17"/>
      <c r="MU265" s="17"/>
      <c r="MV265" s="17"/>
      <c r="MW265" s="17"/>
      <c r="MX265" s="17"/>
      <c r="MY265" s="17"/>
      <c r="MZ265" s="17"/>
      <c r="NA265" s="17"/>
      <c r="NB265" s="17"/>
      <c r="NC265" s="17"/>
      <c r="ND265" s="17"/>
      <c r="NE265" s="17"/>
      <c r="NF265" s="17"/>
      <c r="NG265" s="17"/>
      <c r="NH265" s="17"/>
      <c r="NI265" s="17"/>
      <c r="NJ265" s="17"/>
      <c r="NK265" s="17"/>
      <c r="NL265" s="17"/>
      <c r="NM265" s="17"/>
      <c r="NN265" s="17"/>
      <c r="NO265" s="17"/>
      <c r="NP265" s="17"/>
      <c r="NQ265" s="17"/>
      <c r="NR265" s="17"/>
      <c r="NS265" s="17"/>
      <c r="NT265" s="17"/>
      <c r="NU265" s="17"/>
      <c r="NV265" s="17"/>
      <c r="NW265" s="17"/>
      <c r="NX265" s="17"/>
      <c r="NY265" s="17"/>
      <c r="NZ265" s="17"/>
      <c r="OA265" s="17"/>
      <c r="OB265" s="17"/>
      <c r="OC265" s="17"/>
      <c r="OD265" s="17"/>
      <c r="OE265" s="17"/>
      <c r="OF265" s="17"/>
      <c r="OG265" s="17"/>
      <c r="OH265" s="17"/>
      <c r="OI265" s="17"/>
      <c r="OJ265" s="17"/>
      <c r="OK265" s="17"/>
      <c r="OL265" s="17"/>
      <c r="OM265" s="17"/>
      <c r="ON265" s="17"/>
      <c r="OO265" s="17"/>
      <c r="OP265" s="17"/>
      <c r="OQ265" s="17"/>
      <c r="OR265" s="17"/>
      <c r="OS265" s="17"/>
      <c r="OT265" s="17"/>
      <c r="OU265" s="17"/>
      <c r="OV265" s="17"/>
      <c r="OW265" s="17"/>
      <c r="OX265" s="17"/>
      <c r="OY265" s="17"/>
      <c r="OZ265" s="17"/>
      <c r="PA265" s="17"/>
      <c r="PB265" s="17"/>
      <c r="PC265" s="17"/>
      <c r="PD265" s="17"/>
      <c r="PE265" s="17"/>
      <c r="PF265" s="17"/>
      <c r="PG265" s="17"/>
      <c r="PH265" s="17"/>
      <c r="PI265" s="17"/>
      <c r="PJ265" s="17"/>
      <c r="PK265" s="17"/>
      <c r="PL265" s="17"/>
      <c r="PM265" s="17"/>
      <c r="PN265" s="17"/>
      <c r="PO265" s="17"/>
      <c r="PP265" s="17"/>
      <c r="PQ265" s="17"/>
      <c r="PR265" s="17"/>
      <c r="PS265" s="17"/>
      <c r="PT265" s="17"/>
      <c r="PU265" s="17"/>
      <c r="PV265" s="17"/>
      <c r="PW265" s="17"/>
      <c r="PX265" s="17"/>
      <c r="PY265" s="17"/>
      <c r="PZ265" s="17"/>
      <c r="QA265" s="17"/>
      <c r="QB265" s="17"/>
      <c r="QC265" s="17"/>
      <c r="QD265" s="17"/>
      <c r="QE265" s="17"/>
      <c r="QF265" s="17"/>
      <c r="QG265" s="17"/>
      <c r="QH265" s="17"/>
      <c r="QI265" s="17"/>
      <c r="QJ265" s="17"/>
      <c r="QK265" s="17"/>
      <c r="QL265" s="17"/>
      <c r="QM265" s="17"/>
      <c r="QN265" s="17"/>
      <c r="QO265" s="17"/>
      <c r="QP265" s="17"/>
      <c r="QQ265" s="17"/>
      <c r="QR265" s="17"/>
      <c r="QS265" s="17"/>
      <c r="QT265" s="17"/>
      <c r="QU265" s="17"/>
      <c r="QV265" s="17"/>
      <c r="QW265" s="17"/>
      <c r="QX265" s="17"/>
      <c r="QY265" s="17"/>
      <c r="QZ265" s="17"/>
      <c r="RA265" s="17"/>
      <c r="RB265" s="17"/>
      <c r="RC265" s="17"/>
      <c r="RD265" s="17"/>
      <c r="RE265" s="17"/>
      <c r="RF265" s="17"/>
      <c r="RG265" s="17"/>
      <c r="RH265" s="17"/>
      <c r="RI265" s="17"/>
      <c r="RJ265" s="17"/>
      <c r="RK265" s="17"/>
      <c r="RL265" s="17"/>
      <c r="RM265" s="17"/>
      <c r="RN265" s="17"/>
      <c r="RO265" s="17"/>
      <c r="RP265" s="17"/>
      <c r="RQ265" s="17"/>
      <c r="RR265" s="17"/>
      <c r="RS265" s="17"/>
      <c r="RT265" s="17"/>
      <c r="RU265" s="17"/>
      <c r="RV265" s="17"/>
      <c r="RW265" s="17"/>
      <c r="RX265" s="17"/>
      <c r="RY265" s="17"/>
      <c r="RZ265" s="17"/>
      <c r="SA265" s="17"/>
      <c r="SB265" s="17"/>
      <c r="SC265" s="17"/>
      <c r="SD265" s="17"/>
      <c r="SE265" s="17"/>
      <c r="SF265" s="17"/>
      <c r="SG265" s="17"/>
      <c r="SH265" s="17"/>
      <c r="SI265" s="17"/>
      <c r="SJ265" s="17"/>
      <c r="SK265" s="17"/>
      <c r="SL265" s="17"/>
      <c r="SM265" s="17"/>
      <c r="SN265" s="17"/>
      <c r="SO265" s="17"/>
      <c r="SP265" s="17"/>
      <c r="SQ265" s="17"/>
      <c r="SR265" s="17"/>
      <c r="SS265" s="17"/>
      <c r="ST265" s="17"/>
      <c r="SU265" s="17"/>
      <c r="SV265" s="17"/>
      <c r="SW265" s="17"/>
      <c r="SX265" s="17"/>
      <c r="SY265" s="17"/>
      <c r="SZ265" s="17"/>
      <c r="TA265" s="17"/>
      <c r="TB265" s="17"/>
      <c r="TC265" s="17"/>
      <c r="TD265" s="17"/>
      <c r="TE265" s="17"/>
      <c r="TF265" s="17"/>
      <c r="TG265" s="17"/>
      <c r="TH265" s="17"/>
      <c r="TI265" s="17"/>
      <c r="TJ265" s="17"/>
      <c r="TK265" s="17"/>
      <c r="TL265" s="17"/>
      <c r="TM265" s="17"/>
      <c r="TN265" s="17"/>
      <c r="TO265" s="17"/>
      <c r="TP265" s="17"/>
      <c r="TQ265" s="17"/>
      <c r="TR265" s="17"/>
      <c r="TS265" s="17"/>
      <c r="TT265" s="17"/>
      <c r="TU265" s="17"/>
      <c r="TV265" s="17"/>
      <c r="TW265" s="17"/>
      <c r="TX265" s="17"/>
      <c r="TY265" s="17"/>
      <c r="TZ265" s="17"/>
      <c r="UA265" s="17"/>
      <c r="UB265" s="17"/>
      <c r="UC265" s="17"/>
      <c r="UD265" s="17"/>
      <c r="UE265" s="17"/>
      <c r="UF265" s="17"/>
      <c r="UG265" s="17"/>
      <c r="UH265" s="17"/>
      <c r="UI265" s="17"/>
      <c r="UJ265" s="17"/>
      <c r="UK265" s="17"/>
      <c r="UL265" s="17"/>
      <c r="UM265" s="17"/>
      <c r="UN265" s="17"/>
      <c r="UO265" s="17"/>
      <c r="UP265" s="17"/>
      <c r="UQ265" s="17"/>
      <c r="UR265" s="17"/>
      <c r="US265" s="17"/>
      <c r="UT265" s="17"/>
      <c r="UU265" s="17"/>
      <c r="UV265" s="17"/>
      <c r="UW265" s="17"/>
      <c r="UX265" s="17"/>
      <c r="UY265" s="17"/>
      <c r="UZ265" s="17"/>
      <c r="VA265" s="17"/>
      <c r="VB265" s="17"/>
      <c r="VC265" s="17"/>
      <c r="VD265" s="17"/>
      <c r="VE265" s="17"/>
      <c r="VF265" s="17"/>
      <c r="VG265" s="17"/>
      <c r="VH265" s="17"/>
      <c r="VI265" s="17"/>
      <c r="VJ265" s="17"/>
      <c r="VK265" s="17"/>
      <c r="VL265" s="17"/>
      <c r="VM265" s="17"/>
      <c r="VN265" s="17"/>
      <c r="VO265" s="17"/>
      <c r="VP265" s="17"/>
      <c r="VQ265" s="17"/>
      <c r="VR265" s="17"/>
      <c r="VS265" s="17"/>
      <c r="VT265" s="17"/>
      <c r="VU265" s="17"/>
      <c r="VV265" s="17"/>
      <c r="VW265" s="17"/>
      <c r="VX265" s="17"/>
      <c r="VY265" s="17"/>
      <c r="VZ265" s="17"/>
      <c r="WA265" s="17"/>
      <c r="WB265" s="17"/>
      <c r="WC265" s="17"/>
      <c r="WD265" s="17"/>
      <c r="WE265" s="17"/>
      <c r="WF265" s="17"/>
      <c r="WG265" s="17"/>
      <c r="WH265" s="17"/>
      <c r="WI265" s="17"/>
      <c r="WJ265" s="17"/>
      <c r="WK265" s="17"/>
      <c r="WL265" s="17"/>
      <c r="WM265" s="17"/>
      <c r="WN265" s="17"/>
      <c r="WO265" s="17"/>
      <c r="WP265" s="17"/>
      <c r="WQ265" s="17"/>
      <c r="WR265" s="17"/>
      <c r="WS265" s="17"/>
      <c r="WT265" s="17"/>
      <c r="WU265" s="17"/>
      <c r="WV265" s="17"/>
      <c r="WW265" s="17"/>
      <c r="WX265" s="17"/>
      <c r="WY265" s="17"/>
      <c r="WZ265" s="17"/>
      <c r="XA265" s="17"/>
      <c r="XB265" s="17"/>
      <c r="XC265" s="17"/>
      <c r="XD265" s="17"/>
      <c r="XE265" s="17"/>
      <c r="XF265" s="17"/>
      <c r="XG265" s="17"/>
      <c r="XH265" s="17"/>
      <c r="XI265" s="17"/>
      <c r="XJ265" s="17"/>
      <c r="XK265" s="17"/>
      <c r="XL265" s="17"/>
      <c r="XM265" s="17"/>
      <c r="XN265" s="17"/>
      <c r="XO265" s="17"/>
      <c r="XP265" s="17"/>
      <c r="XQ265" s="17"/>
      <c r="XR265" s="17"/>
      <c r="XS265" s="17"/>
      <c r="XT265" s="17"/>
      <c r="XU265" s="17"/>
      <c r="XV265" s="17"/>
      <c r="XW265" s="17"/>
      <c r="XX265" s="17"/>
      <c r="XY265" s="17"/>
      <c r="XZ265" s="17"/>
      <c r="YA265" s="17"/>
      <c r="YB265" s="17"/>
      <c r="YC265" s="17"/>
      <c r="YD265" s="17"/>
      <c r="YE265" s="17"/>
      <c r="YF265" s="17"/>
      <c r="YG265" s="17"/>
      <c r="YH265" s="17"/>
      <c r="YI265" s="17"/>
      <c r="YJ265" s="17"/>
      <c r="YK265" s="17"/>
      <c r="YL265" s="17"/>
      <c r="YM265" s="17"/>
      <c r="YN265" s="17"/>
      <c r="YO265" s="17"/>
      <c r="YP265" s="17"/>
      <c r="YQ265" s="17"/>
      <c r="YR265" s="17"/>
      <c r="YS265" s="17"/>
    </row>
    <row r="266" spans="266:669" x14ac:dyDescent="0.25">
      <c r="JF266" s="17"/>
      <c r="JG266" s="17"/>
      <c r="JH266" s="17"/>
      <c r="JI266" s="17"/>
      <c r="JJ266" s="17"/>
      <c r="JK266" s="17"/>
      <c r="JL266" s="17"/>
      <c r="JM266" s="17"/>
      <c r="JN266" s="17"/>
      <c r="JO266" s="17"/>
      <c r="JP266" s="17"/>
      <c r="JQ266" s="17"/>
      <c r="JR266" s="17"/>
      <c r="JS266" s="17"/>
      <c r="JT266" s="17"/>
      <c r="JU266" s="17"/>
      <c r="JV266" s="17"/>
      <c r="JW266" s="17"/>
      <c r="JX266" s="17"/>
      <c r="JY266" s="17"/>
      <c r="JZ266" s="17"/>
      <c r="KA266" s="17"/>
      <c r="KB266" s="17"/>
      <c r="KC266" s="17"/>
      <c r="KD266" s="17"/>
      <c r="KE266" s="17"/>
      <c r="KF266" s="17"/>
      <c r="KG266" s="17"/>
      <c r="KH266" s="17"/>
      <c r="KI266" s="17"/>
      <c r="KJ266" s="17"/>
      <c r="KK266" s="17"/>
      <c r="KL266" s="17"/>
      <c r="KM266" s="17"/>
      <c r="KN266" s="17"/>
      <c r="KO266" s="17"/>
      <c r="KP266" s="17"/>
      <c r="KQ266" s="17"/>
      <c r="KR266" s="17"/>
      <c r="KS266" s="17"/>
      <c r="KT266" s="17"/>
      <c r="KU266" s="17"/>
      <c r="KV266" s="17"/>
      <c r="KW266" s="17"/>
      <c r="KX266" s="17"/>
      <c r="KY266" s="17"/>
      <c r="KZ266" s="17"/>
      <c r="LA266" s="17"/>
      <c r="LB266" s="17"/>
      <c r="LC266" s="17"/>
      <c r="LD266" s="17"/>
      <c r="LE266" s="17"/>
      <c r="LF266" s="17"/>
      <c r="LG266" s="17"/>
      <c r="LH266" s="17"/>
      <c r="LI266" s="17"/>
      <c r="LJ266" s="17"/>
      <c r="LK266" s="17"/>
      <c r="LL266" s="17"/>
      <c r="LM266" s="17"/>
      <c r="LN266" s="17"/>
      <c r="LO266" s="17"/>
      <c r="LP266" s="17"/>
      <c r="LQ266" s="17"/>
      <c r="LR266" s="17"/>
      <c r="LS266" s="17"/>
      <c r="LT266" s="17"/>
      <c r="LU266" s="17"/>
      <c r="LV266" s="17"/>
      <c r="LW266" s="17"/>
      <c r="LX266" s="17"/>
      <c r="LY266" s="17"/>
      <c r="LZ266" s="17"/>
      <c r="MA266" s="17"/>
      <c r="MB266" s="17"/>
      <c r="MC266" s="17"/>
      <c r="MD266" s="17"/>
      <c r="ME266" s="17"/>
      <c r="MF266" s="17"/>
      <c r="MG266" s="17"/>
      <c r="MH266" s="17"/>
      <c r="MI266" s="17"/>
      <c r="MJ266" s="17"/>
      <c r="MK266" s="17"/>
      <c r="ML266" s="17"/>
      <c r="MM266" s="17"/>
      <c r="MN266" s="17"/>
      <c r="MO266" s="17"/>
      <c r="MP266" s="17"/>
      <c r="MQ266" s="17"/>
      <c r="MR266" s="17"/>
      <c r="MS266" s="17"/>
      <c r="MT266" s="17"/>
      <c r="MU266" s="17"/>
      <c r="MV266" s="17"/>
      <c r="MW266" s="17"/>
      <c r="MX266" s="17"/>
      <c r="MY266" s="17"/>
      <c r="MZ266" s="17"/>
      <c r="NA266" s="17"/>
      <c r="NB266" s="17"/>
      <c r="NC266" s="17"/>
      <c r="ND266" s="17"/>
      <c r="NE266" s="17"/>
      <c r="NF266" s="17"/>
      <c r="NG266" s="17"/>
      <c r="NH266" s="17"/>
      <c r="NI266" s="17"/>
      <c r="NJ266" s="17"/>
      <c r="NK266" s="17"/>
      <c r="NL266" s="17"/>
      <c r="NM266" s="17"/>
      <c r="NN266" s="17"/>
      <c r="NO266" s="17"/>
      <c r="NP266" s="17"/>
      <c r="NQ266" s="17"/>
      <c r="NR266" s="17"/>
      <c r="NS266" s="17"/>
      <c r="NT266" s="17"/>
      <c r="NU266" s="17"/>
      <c r="NV266" s="17"/>
      <c r="NW266" s="17"/>
      <c r="NX266" s="17"/>
      <c r="NY266" s="17"/>
      <c r="NZ266" s="17"/>
      <c r="OA266" s="17"/>
      <c r="OB266" s="17"/>
      <c r="OC266" s="17"/>
      <c r="OD266" s="17"/>
      <c r="OE266" s="17"/>
      <c r="OF266" s="17"/>
      <c r="OG266" s="17"/>
      <c r="OH266" s="17"/>
      <c r="OI266" s="17"/>
      <c r="OJ266" s="17"/>
      <c r="OK266" s="17"/>
      <c r="OL266" s="17"/>
      <c r="OM266" s="17"/>
      <c r="ON266" s="17"/>
      <c r="OO266" s="17"/>
      <c r="OP266" s="17"/>
      <c r="OQ266" s="17"/>
      <c r="OR266" s="17"/>
      <c r="OS266" s="17"/>
      <c r="OT266" s="17"/>
      <c r="OU266" s="17"/>
      <c r="OV266" s="17"/>
      <c r="OW266" s="17"/>
      <c r="OX266" s="17"/>
      <c r="OY266" s="17"/>
      <c r="OZ266" s="17"/>
      <c r="PA266" s="17"/>
      <c r="PB266" s="17"/>
      <c r="PC266" s="17"/>
      <c r="PD266" s="17"/>
      <c r="PE266" s="17"/>
      <c r="PF266" s="17"/>
      <c r="PG266" s="17"/>
      <c r="PH266" s="17"/>
      <c r="PI266" s="17"/>
      <c r="PJ266" s="17"/>
      <c r="PK266" s="17"/>
      <c r="PL266" s="17"/>
      <c r="PM266" s="17"/>
      <c r="PN266" s="17"/>
      <c r="PO266" s="17"/>
      <c r="PP266" s="17"/>
      <c r="PQ266" s="17"/>
      <c r="PR266" s="17"/>
      <c r="PS266" s="17"/>
      <c r="PT266" s="17"/>
      <c r="PU266" s="17"/>
      <c r="PV266" s="17"/>
      <c r="PW266" s="17"/>
      <c r="PX266" s="17"/>
      <c r="PY266" s="17"/>
      <c r="PZ266" s="17"/>
      <c r="QA266" s="17"/>
      <c r="QB266" s="17"/>
      <c r="QC266" s="17"/>
      <c r="QD266" s="17"/>
      <c r="QE266" s="17"/>
      <c r="QF266" s="17"/>
      <c r="QG266" s="17"/>
      <c r="QH266" s="17"/>
      <c r="QI266" s="17"/>
      <c r="QJ266" s="17"/>
      <c r="QK266" s="17"/>
      <c r="QL266" s="17"/>
      <c r="QM266" s="17"/>
      <c r="QN266" s="17"/>
      <c r="QO266" s="17"/>
      <c r="QP266" s="17"/>
      <c r="QQ266" s="17"/>
      <c r="QR266" s="17"/>
      <c r="QS266" s="17"/>
      <c r="QT266" s="17"/>
      <c r="QU266" s="17"/>
      <c r="QV266" s="17"/>
      <c r="QW266" s="17"/>
      <c r="QX266" s="17"/>
      <c r="QY266" s="17"/>
      <c r="QZ266" s="17"/>
      <c r="RA266" s="17"/>
      <c r="RB266" s="17"/>
      <c r="RC266" s="17"/>
      <c r="RD266" s="17"/>
      <c r="RE266" s="17"/>
      <c r="RF266" s="17"/>
      <c r="RG266" s="17"/>
      <c r="RH266" s="17"/>
      <c r="RI266" s="17"/>
      <c r="RJ266" s="17"/>
      <c r="RK266" s="17"/>
      <c r="RL266" s="17"/>
      <c r="RM266" s="17"/>
      <c r="RN266" s="17"/>
      <c r="RO266" s="17"/>
      <c r="RP266" s="17"/>
      <c r="RQ266" s="17"/>
      <c r="RR266" s="17"/>
      <c r="RS266" s="17"/>
      <c r="RT266" s="17"/>
      <c r="RU266" s="17"/>
      <c r="RV266" s="17"/>
      <c r="RW266" s="17"/>
      <c r="RX266" s="17"/>
      <c r="RY266" s="17"/>
      <c r="RZ266" s="17"/>
      <c r="SA266" s="17"/>
      <c r="SB266" s="17"/>
      <c r="SC266" s="17"/>
      <c r="SD266" s="17"/>
      <c r="SE266" s="17"/>
      <c r="SF266" s="17"/>
      <c r="SG266" s="17"/>
      <c r="SH266" s="17"/>
      <c r="SI266" s="17"/>
      <c r="SJ266" s="17"/>
      <c r="SK266" s="17"/>
      <c r="SL266" s="17"/>
      <c r="SM266" s="17"/>
      <c r="SN266" s="17"/>
      <c r="SO266" s="17"/>
      <c r="SP266" s="17"/>
      <c r="SQ266" s="17"/>
      <c r="SR266" s="17"/>
      <c r="SS266" s="17"/>
      <c r="ST266" s="17"/>
      <c r="SU266" s="17"/>
      <c r="SV266" s="17"/>
      <c r="SW266" s="17"/>
      <c r="SX266" s="17"/>
      <c r="SY266" s="17"/>
      <c r="SZ266" s="17"/>
      <c r="TA266" s="17"/>
      <c r="TB266" s="17"/>
      <c r="TC266" s="17"/>
      <c r="TD266" s="17"/>
      <c r="TE266" s="17"/>
      <c r="TF266" s="17"/>
      <c r="TG266" s="17"/>
      <c r="TH266" s="17"/>
      <c r="TI266" s="17"/>
      <c r="TJ266" s="17"/>
      <c r="TK266" s="17"/>
      <c r="TL266" s="17"/>
      <c r="TM266" s="17"/>
      <c r="TN266" s="17"/>
      <c r="TO266" s="17"/>
      <c r="TP266" s="17"/>
      <c r="TQ266" s="17"/>
      <c r="TR266" s="17"/>
      <c r="TS266" s="17"/>
      <c r="TT266" s="17"/>
      <c r="TU266" s="17"/>
      <c r="TV266" s="17"/>
      <c r="TW266" s="17"/>
      <c r="TX266" s="17"/>
      <c r="TY266" s="17"/>
      <c r="TZ266" s="17"/>
      <c r="UA266" s="17"/>
      <c r="UB266" s="17"/>
      <c r="UC266" s="17"/>
      <c r="UD266" s="17"/>
      <c r="UE266" s="17"/>
      <c r="UF266" s="17"/>
      <c r="UG266" s="17"/>
      <c r="UH266" s="17"/>
      <c r="UI266" s="17"/>
      <c r="UJ266" s="17"/>
      <c r="UK266" s="17"/>
      <c r="UL266" s="17"/>
      <c r="UM266" s="17"/>
      <c r="UN266" s="17"/>
      <c r="UO266" s="17"/>
      <c r="UP266" s="17"/>
      <c r="UQ266" s="17"/>
      <c r="UR266" s="17"/>
      <c r="US266" s="17"/>
      <c r="UT266" s="17"/>
      <c r="UU266" s="17"/>
      <c r="UV266" s="17"/>
      <c r="UW266" s="17"/>
      <c r="UX266" s="17"/>
      <c r="UY266" s="17"/>
      <c r="UZ266" s="17"/>
      <c r="VA266" s="17"/>
      <c r="VB266" s="17"/>
      <c r="VC266" s="17"/>
      <c r="VD266" s="17"/>
      <c r="VE266" s="17"/>
      <c r="VF266" s="17"/>
      <c r="VG266" s="17"/>
      <c r="VH266" s="17"/>
      <c r="VI266" s="17"/>
      <c r="VJ266" s="17"/>
      <c r="VK266" s="17"/>
      <c r="VL266" s="17"/>
      <c r="VM266" s="17"/>
      <c r="VN266" s="17"/>
      <c r="VO266" s="17"/>
      <c r="VP266" s="17"/>
      <c r="VQ266" s="17"/>
      <c r="VR266" s="17"/>
      <c r="VS266" s="17"/>
      <c r="VT266" s="17"/>
      <c r="VU266" s="17"/>
      <c r="VV266" s="17"/>
      <c r="VW266" s="17"/>
      <c r="VX266" s="17"/>
      <c r="VY266" s="17"/>
      <c r="VZ266" s="17"/>
      <c r="WA266" s="17"/>
      <c r="WB266" s="17"/>
      <c r="WC266" s="17"/>
      <c r="WD266" s="17"/>
      <c r="WE266" s="17"/>
      <c r="WF266" s="17"/>
      <c r="WG266" s="17"/>
      <c r="WH266" s="17"/>
      <c r="WI266" s="17"/>
      <c r="WJ266" s="17"/>
      <c r="WK266" s="17"/>
      <c r="WL266" s="17"/>
      <c r="WM266" s="17"/>
      <c r="WN266" s="17"/>
      <c r="WO266" s="17"/>
      <c r="WP266" s="17"/>
      <c r="WQ266" s="17"/>
      <c r="WR266" s="17"/>
      <c r="WS266" s="17"/>
      <c r="WT266" s="17"/>
      <c r="WU266" s="17"/>
      <c r="WV266" s="17"/>
      <c r="WW266" s="17"/>
      <c r="WX266" s="17"/>
      <c r="WY266" s="17"/>
      <c r="WZ266" s="17"/>
      <c r="XA266" s="17"/>
      <c r="XB266" s="17"/>
      <c r="XC266" s="17"/>
      <c r="XD266" s="17"/>
      <c r="XE266" s="17"/>
      <c r="XF266" s="17"/>
      <c r="XG266" s="17"/>
      <c r="XH266" s="17"/>
      <c r="XI266" s="17"/>
      <c r="XJ266" s="17"/>
      <c r="XK266" s="17"/>
      <c r="XL266" s="17"/>
      <c r="XM266" s="17"/>
      <c r="XN266" s="17"/>
      <c r="XO266" s="17"/>
      <c r="XP266" s="17"/>
      <c r="XQ266" s="17"/>
      <c r="XR266" s="17"/>
      <c r="XS266" s="17"/>
      <c r="XT266" s="17"/>
      <c r="XU266" s="17"/>
      <c r="XV266" s="17"/>
      <c r="XW266" s="17"/>
      <c r="XX266" s="17"/>
      <c r="XY266" s="17"/>
      <c r="XZ266" s="17"/>
      <c r="YA266" s="17"/>
      <c r="YB266" s="17"/>
      <c r="YC266" s="17"/>
      <c r="YD266" s="17"/>
      <c r="YE266" s="17"/>
      <c r="YF266" s="17"/>
      <c r="YG266" s="17"/>
      <c r="YH266" s="17"/>
      <c r="YI266" s="17"/>
      <c r="YJ266" s="17"/>
      <c r="YK266" s="17"/>
      <c r="YL266" s="17"/>
      <c r="YM266" s="17"/>
      <c r="YN266" s="17"/>
      <c r="YO266" s="17"/>
      <c r="YP266" s="17"/>
      <c r="YQ266" s="17"/>
      <c r="YR266" s="17"/>
      <c r="YS266" s="17"/>
    </row>
    <row r="267" spans="266:669" x14ac:dyDescent="0.25">
      <c r="JF267" s="17"/>
      <c r="JG267" s="17"/>
      <c r="JH267" s="17"/>
      <c r="JI267" s="17"/>
      <c r="JJ267" s="17"/>
      <c r="JK267" s="17"/>
      <c r="JL267" s="17"/>
      <c r="JM267" s="17"/>
      <c r="JN267" s="17"/>
      <c r="JO267" s="17"/>
      <c r="JP267" s="17"/>
      <c r="JQ267" s="17"/>
      <c r="JR267" s="17"/>
      <c r="JS267" s="17"/>
      <c r="JT267" s="17"/>
      <c r="JU267" s="17"/>
      <c r="JV267" s="17"/>
      <c r="JW267" s="17"/>
      <c r="JX267" s="17"/>
      <c r="JY267" s="17"/>
      <c r="JZ267" s="17"/>
      <c r="KA267" s="17"/>
      <c r="KB267" s="17"/>
      <c r="KC267" s="17"/>
      <c r="KD267" s="17"/>
      <c r="KE267" s="17"/>
      <c r="KF267" s="17"/>
      <c r="KG267" s="17"/>
      <c r="KH267" s="17"/>
      <c r="KI267" s="17"/>
      <c r="KJ267" s="17"/>
      <c r="KK267" s="17"/>
      <c r="KL267" s="17"/>
      <c r="KM267" s="17"/>
      <c r="KN267" s="17"/>
      <c r="KO267" s="17"/>
      <c r="KP267" s="17"/>
      <c r="KQ267" s="17"/>
      <c r="KR267" s="17"/>
      <c r="KS267" s="17"/>
      <c r="KT267" s="17"/>
      <c r="KU267" s="17"/>
      <c r="KV267" s="17"/>
      <c r="KW267" s="17"/>
      <c r="KX267" s="17"/>
      <c r="KY267" s="17"/>
      <c r="KZ267" s="17"/>
      <c r="LA267" s="17"/>
      <c r="LB267" s="17"/>
      <c r="LC267" s="17"/>
      <c r="LD267" s="17"/>
      <c r="LE267" s="17"/>
      <c r="LF267" s="17"/>
      <c r="LG267" s="17"/>
      <c r="LH267" s="17"/>
      <c r="LI267" s="17"/>
      <c r="LJ267" s="17"/>
      <c r="LK267" s="17"/>
      <c r="LL267" s="17"/>
      <c r="LM267" s="17"/>
      <c r="LN267" s="17"/>
      <c r="LO267" s="17"/>
      <c r="LP267" s="17"/>
      <c r="LQ267" s="17"/>
      <c r="LR267" s="17"/>
      <c r="LS267" s="17"/>
      <c r="LT267" s="17"/>
      <c r="LU267" s="17"/>
      <c r="LV267" s="17"/>
      <c r="LW267" s="17"/>
      <c r="LX267" s="17"/>
      <c r="LY267" s="17"/>
      <c r="LZ267" s="17"/>
      <c r="MA267" s="17"/>
      <c r="MB267" s="17"/>
      <c r="MC267" s="17"/>
      <c r="MD267" s="17"/>
      <c r="ME267" s="17"/>
      <c r="MF267" s="17"/>
      <c r="MG267" s="17"/>
      <c r="MH267" s="17"/>
      <c r="MI267" s="17"/>
      <c r="MJ267" s="17"/>
      <c r="MK267" s="17"/>
      <c r="ML267" s="17"/>
      <c r="MM267" s="17"/>
      <c r="MN267" s="17"/>
      <c r="MO267" s="17"/>
      <c r="MP267" s="17"/>
      <c r="MQ267" s="17"/>
      <c r="MR267" s="17"/>
      <c r="MS267" s="17"/>
      <c r="MT267" s="17"/>
      <c r="MU267" s="17"/>
      <c r="MV267" s="17"/>
      <c r="MW267" s="17"/>
      <c r="MX267" s="17"/>
      <c r="MY267" s="17"/>
      <c r="MZ267" s="17"/>
      <c r="NA267" s="17"/>
      <c r="NB267" s="17"/>
      <c r="NC267" s="17"/>
      <c r="ND267" s="17"/>
      <c r="NE267" s="17"/>
      <c r="NF267" s="17"/>
      <c r="NG267" s="17"/>
      <c r="NH267" s="17"/>
      <c r="NI267" s="17"/>
      <c r="NJ267" s="17"/>
      <c r="NK267" s="17"/>
      <c r="NL267" s="17"/>
      <c r="NM267" s="17"/>
      <c r="NN267" s="17"/>
      <c r="NO267" s="17"/>
      <c r="NP267" s="17"/>
      <c r="NQ267" s="17"/>
      <c r="NR267" s="17"/>
      <c r="NS267" s="17"/>
      <c r="NT267" s="17"/>
      <c r="NU267" s="17"/>
      <c r="NV267" s="17"/>
      <c r="NW267" s="17"/>
      <c r="NX267" s="17"/>
      <c r="NY267" s="17"/>
      <c r="NZ267" s="17"/>
      <c r="OA267" s="17"/>
      <c r="OB267" s="17"/>
      <c r="OC267" s="17"/>
      <c r="OD267" s="17"/>
      <c r="OE267" s="17"/>
      <c r="OF267" s="17"/>
      <c r="OG267" s="17"/>
      <c r="OH267" s="17"/>
      <c r="OI267" s="17"/>
      <c r="OJ267" s="17"/>
      <c r="OK267" s="17"/>
      <c r="OL267" s="17"/>
      <c r="OM267" s="17"/>
      <c r="ON267" s="17"/>
      <c r="OO267" s="17"/>
      <c r="OP267" s="17"/>
      <c r="OQ267" s="17"/>
      <c r="OR267" s="17"/>
      <c r="OS267" s="17"/>
      <c r="OT267" s="17"/>
      <c r="OU267" s="17"/>
      <c r="OV267" s="17"/>
      <c r="OW267" s="17"/>
      <c r="OX267" s="17"/>
      <c r="OY267" s="17"/>
      <c r="OZ267" s="17"/>
      <c r="PA267" s="17"/>
      <c r="PB267" s="17"/>
      <c r="PC267" s="17"/>
      <c r="PD267" s="17"/>
      <c r="PE267" s="17"/>
      <c r="PF267" s="17"/>
      <c r="PG267" s="17"/>
      <c r="PH267" s="17"/>
      <c r="PI267" s="17"/>
      <c r="PJ267" s="17"/>
      <c r="PK267" s="17"/>
      <c r="PL267" s="17"/>
      <c r="PM267" s="17"/>
      <c r="PN267" s="17"/>
      <c r="PO267" s="17"/>
      <c r="PP267" s="17"/>
      <c r="PQ267" s="17"/>
      <c r="PR267" s="17"/>
      <c r="PS267" s="17"/>
      <c r="PT267" s="17"/>
      <c r="PU267" s="17"/>
      <c r="PV267" s="17"/>
      <c r="PW267" s="17"/>
      <c r="PX267" s="17"/>
      <c r="PY267" s="17"/>
      <c r="PZ267" s="17"/>
      <c r="QA267" s="17"/>
      <c r="QB267" s="17"/>
      <c r="QC267" s="17"/>
      <c r="QD267" s="17"/>
      <c r="QE267" s="17"/>
      <c r="QF267" s="17"/>
      <c r="QG267" s="17"/>
      <c r="QH267" s="17"/>
      <c r="QI267" s="17"/>
      <c r="QJ267" s="17"/>
      <c r="QK267" s="17"/>
      <c r="QL267" s="17"/>
      <c r="QM267" s="17"/>
      <c r="QN267" s="17"/>
      <c r="QO267" s="17"/>
      <c r="QP267" s="17"/>
      <c r="QQ267" s="17"/>
      <c r="QR267" s="17"/>
      <c r="QS267" s="17"/>
      <c r="QT267" s="17"/>
      <c r="QU267" s="17"/>
      <c r="QV267" s="17"/>
      <c r="QW267" s="17"/>
      <c r="QX267" s="17"/>
      <c r="QY267" s="17"/>
      <c r="QZ267" s="17"/>
      <c r="RA267" s="17"/>
      <c r="RB267" s="17"/>
      <c r="RC267" s="17"/>
      <c r="RD267" s="17"/>
      <c r="RE267" s="17"/>
      <c r="RF267" s="17"/>
      <c r="RG267" s="17"/>
      <c r="RH267" s="17"/>
      <c r="RI267" s="17"/>
      <c r="RJ267" s="17"/>
      <c r="RK267" s="17"/>
      <c r="RL267" s="17"/>
      <c r="RM267" s="17"/>
      <c r="RN267" s="17"/>
      <c r="RO267" s="17"/>
      <c r="RP267" s="17"/>
      <c r="RQ267" s="17"/>
      <c r="RR267" s="17"/>
      <c r="RS267" s="17"/>
      <c r="RT267" s="17"/>
      <c r="RU267" s="17"/>
      <c r="RV267" s="17"/>
      <c r="RW267" s="17"/>
      <c r="RX267" s="17"/>
      <c r="RY267" s="17"/>
      <c r="RZ267" s="17"/>
      <c r="SA267" s="17"/>
      <c r="SB267" s="17"/>
      <c r="SC267" s="17"/>
      <c r="SD267" s="17"/>
      <c r="SE267" s="17"/>
      <c r="SF267" s="17"/>
      <c r="SG267" s="17"/>
      <c r="SH267" s="17"/>
      <c r="SI267" s="17"/>
      <c r="SJ267" s="17"/>
      <c r="SK267" s="17"/>
      <c r="SL267" s="17"/>
      <c r="SM267" s="17"/>
      <c r="SN267" s="17"/>
      <c r="SO267" s="17"/>
      <c r="SP267" s="17"/>
      <c r="SQ267" s="17"/>
      <c r="SR267" s="17"/>
      <c r="SS267" s="17"/>
      <c r="ST267" s="17"/>
      <c r="SU267" s="17"/>
      <c r="SV267" s="17"/>
      <c r="SW267" s="17"/>
      <c r="SX267" s="17"/>
      <c r="SY267" s="17"/>
      <c r="SZ267" s="17"/>
      <c r="TA267" s="17"/>
      <c r="TB267" s="17"/>
      <c r="TC267" s="17"/>
      <c r="TD267" s="17"/>
      <c r="TE267" s="17"/>
      <c r="TF267" s="17"/>
      <c r="TG267" s="17"/>
      <c r="TH267" s="17"/>
      <c r="TI267" s="17"/>
      <c r="TJ267" s="17"/>
      <c r="TK267" s="17"/>
      <c r="TL267" s="17"/>
      <c r="TM267" s="17"/>
      <c r="TN267" s="17"/>
      <c r="TO267" s="17"/>
      <c r="TP267" s="17"/>
      <c r="TQ267" s="17"/>
      <c r="TR267" s="17"/>
      <c r="TS267" s="17"/>
      <c r="TT267" s="17"/>
      <c r="TU267" s="17"/>
      <c r="TV267" s="17"/>
      <c r="TW267" s="17"/>
      <c r="TX267" s="17"/>
      <c r="TY267" s="17"/>
      <c r="TZ267" s="17"/>
      <c r="UA267" s="17"/>
      <c r="UB267" s="17"/>
      <c r="UC267" s="17"/>
      <c r="UD267" s="17"/>
      <c r="UE267" s="17"/>
      <c r="UF267" s="17"/>
      <c r="UG267" s="17"/>
      <c r="UH267" s="17"/>
      <c r="UI267" s="17"/>
      <c r="UJ267" s="17"/>
      <c r="UK267" s="17"/>
      <c r="UL267" s="17"/>
      <c r="UM267" s="17"/>
      <c r="UN267" s="17"/>
      <c r="UO267" s="17"/>
      <c r="UP267" s="17"/>
      <c r="UQ267" s="17"/>
      <c r="UR267" s="17"/>
      <c r="US267" s="17"/>
      <c r="UT267" s="17"/>
      <c r="UU267" s="17"/>
      <c r="UV267" s="17"/>
      <c r="UW267" s="17"/>
      <c r="UX267" s="17"/>
      <c r="UY267" s="17"/>
      <c r="UZ267" s="17"/>
      <c r="VA267" s="17"/>
      <c r="VB267" s="17"/>
      <c r="VC267" s="17"/>
      <c r="VD267" s="17"/>
      <c r="VE267" s="17"/>
      <c r="VF267" s="17"/>
      <c r="VG267" s="17"/>
      <c r="VH267" s="17"/>
      <c r="VI267" s="17"/>
      <c r="VJ267" s="17"/>
      <c r="VK267" s="17"/>
      <c r="VL267" s="17"/>
      <c r="VM267" s="17"/>
      <c r="VN267" s="17"/>
      <c r="VO267" s="17"/>
      <c r="VP267" s="17"/>
      <c r="VQ267" s="17"/>
      <c r="VR267" s="17"/>
      <c r="VS267" s="17"/>
      <c r="VT267" s="17"/>
      <c r="VU267" s="17"/>
      <c r="VV267" s="17"/>
      <c r="VW267" s="17"/>
      <c r="VX267" s="17"/>
      <c r="VY267" s="17"/>
      <c r="VZ267" s="17"/>
      <c r="WA267" s="17"/>
      <c r="WB267" s="17"/>
      <c r="WC267" s="17"/>
      <c r="WD267" s="17"/>
      <c r="WE267" s="17"/>
      <c r="WF267" s="17"/>
      <c r="WG267" s="17"/>
      <c r="WH267" s="17"/>
      <c r="WI267" s="17"/>
      <c r="WJ267" s="17"/>
      <c r="WK267" s="17"/>
      <c r="WL267" s="17"/>
      <c r="WM267" s="17"/>
      <c r="WN267" s="17"/>
      <c r="WO267" s="17"/>
      <c r="WP267" s="17"/>
      <c r="WQ267" s="17"/>
      <c r="WR267" s="17"/>
      <c r="WS267" s="17"/>
      <c r="WT267" s="17"/>
      <c r="WU267" s="17"/>
      <c r="WV267" s="17"/>
      <c r="WW267" s="17"/>
      <c r="WX267" s="17"/>
      <c r="WY267" s="17"/>
      <c r="WZ267" s="17"/>
      <c r="XA267" s="17"/>
      <c r="XB267" s="17"/>
      <c r="XC267" s="17"/>
      <c r="XD267" s="17"/>
      <c r="XE267" s="17"/>
      <c r="XF267" s="17"/>
      <c r="XG267" s="17"/>
      <c r="XH267" s="17"/>
      <c r="XI267" s="17"/>
      <c r="XJ267" s="17"/>
      <c r="XK267" s="17"/>
      <c r="XL267" s="17"/>
      <c r="XM267" s="17"/>
      <c r="XN267" s="17"/>
      <c r="XO267" s="17"/>
      <c r="XP267" s="17"/>
      <c r="XQ267" s="17"/>
      <c r="XR267" s="17"/>
      <c r="XS267" s="17"/>
      <c r="XT267" s="17"/>
      <c r="XU267" s="17"/>
      <c r="XV267" s="17"/>
      <c r="XW267" s="17"/>
      <c r="XX267" s="17"/>
      <c r="XY267" s="17"/>
      <c r="XZ267" s="17"/>
      <c r="YA267" s="17"/>
      <c r="YB267" s="17"/>
      <c r="YC267" s="17"/>
      <c r="YD267" s="17"/>
      <c r="YE267" s="17"/>
      <c r="YF267" s="17"/>
      <c r="YG267" s="17"/>
      <c r="YH267" s="17"/>
      <c r="YI267" s="17"/>
      <c r="YJ267" s="17"/>
      <c r="YK267" s="17"/>
      <c r="YL267" s="17"/>
      <c r="YM267" s="17"/>
      <c r="YN267" s="17"/>
      <c r="YO267" s="17"/>
      <c r="YP267" s="17"/>
      <c r="YQ267" s="17"/>
      <c r="YR267" s="17"/>
      <c r="YS267" s="17"/>
    </row>
  </sheetData>
  <sheetProtection formatCells="0" formatColumns="0" formatRows="0" selectLockedCells="1" sort="0" autoFilter="0" pivotTables="0"/>
  <autoFilter ref="A5:K21">
    <filterColumn colId="9" showButton="0"/>
  </autoFilter>
  <mergeCells count="87">
    <mergeCell ref="J71:J73"/>
    <mergeCell ref="J58:J60"/>
    <mergeCell ref="K61:K65"/>
    <mergeCell ref="J45:J47"/>
    <mergeCell ref="K9:K13"/>
    <mergeCell ref="K14:K18"/>
    <mergeCell ref="K22:K26"/>
    <mergeCell ref="K27:K31"/>
    <mergeCell ref="K35:K39"/>
    <mergeCell ref="J32:J34"/>
    <mergeCell ref="J19:J21"/>
    <mergeCell ref="K79:K83"/>
    <mergeCell ref="K74:K78"/>
    <mergeCell ref="K66:K70"/>
    <mergeCell ref="K40:K44"/>
    <mergeCell ref="K53:K57"/>
    <mergeCell ref="K48:K52"/>
    <mergeCell ref="HX2:IB2"/>
    <mergeCell ref="IC2:IG2"/>
    <mergeCell ref="IH2:IL2"/>
    <mergeCell ref="IM2:IQ2"/>
    <mergeCell ref="EV2:EZ2"/>
    <mergeCell ref="FA2:FE2"/>
    <mergeCell ref="FF2:FJ2"/>
    <mergeCell ref="FK2:FO2"/>
    <mergeCell ref="GJ2:GN2"/>
    <mergeCell ref="GO2:GS2"/>
    <mergeCell ref="K2:K4"/>
    <mergeCell ref="J6:J8"/>
    <mergeCell ref="IR2:IV2"/>
    <mergeCell ref="J5:K5"/>
    <mergeCell ref="GT2:GX2"/>
    <mergeCell ref="GY2:HC2"/>
    <mergeCell ref="HD2:HH2"/>
    <mergeCell ref="HI2:HM2"/>
    <mergeCell ref="HN2:HR2"/>
    <mergeCell ref="HS2:HW2"/>
    <mergeCell ref="FP2:FT2"/>
    <mergeCell ref="FU2:FY2"/>
    <mergeCell ref="FZ2:GD2"/>
    <mergeCell ref="GE2:GI2"/>
    <mergeCell ref="CD2:CH2"/>
    <mergeCell ref="CI2:CM2"/>
    <mergeCell ref="EL2:EP2"/>
    <mergeCell ref="EQ2:EU2"/>
    <mergeCell ref="AZ2:BD2"/>
    <mergeCell ref="BE2:BI2"/>
    <mergeCell ref="V2:Z2"/>
    <mergeCell ref="AA2:AE2"/>
    <mergeCell ref="AF2:AJ2"/>
    <mergeCell ref="AK2:AO2"/>
    <mergeCell ref="AP2:AT2"/>
    <mergeCell ref="AU2:AY2"/>
    <mergeCell ref="DC2:DG2"/>
    <mergeCell ref="EG2:EK2"/>
    <mergeCell ref="CN2:CR2"/>
    <mergeCell ref="CS2:CW2"/>
    <mergeCell ref="CX2:DB2"/>
    <mergeCell ref="I2:I4"/>
    <mergeCell ref="J2:J4"/>
    <mergeCell ref="A2:A4"/>
    <mergeCell ref="C2:C4"/>
    <mergeCell ref="D2:D4"/>
    <mergeCell ref="IW2:JA2"/>
    <mergeCell ref="B2:B4"/>
    <mergeCell ref="B9:B13"/>
    <mergeCell ref="D9:D13"/>
    <mergeCell ref="B14:B18"/>
    <mergeCell ref="D14:D18"/>
    <mergeCell ref="BJ2:BN2"/>
    <mergeCell ref="BO2:BS2"/>
    <mergeCell ref="BT2:BX2"/>
    <mergeCell ref="BY2:CC2"/>
    <mergeCell ref="DH2:DL2"/>
    <mergeCell ref="DM2:DQ2"/>
    <mergeCell ref="DR2:DV2"/>
    <mergeCell ref="DW2:EA2"/>
    <mergeCell ref="EB2:EF2"/>
    <mergeCell ref="I6:I8"/>
    <mergeCell ref="KG22:KI22"/>
    <mergeCell ref="KS22:KU22"/>
    <mergeCell ref="LE22:LG22"/>
    <mergeCell ref="JB2:JF2"/>
    <mergeCell ref="JG2:JK2"/>
    <mergeCell ref="JL2:JP2"/>
    <mergeCell ref="JQ2:JU2"/>
    <mergeCell ref="JV2:JZ2"/>
  </mergeCells>
  <conditionalFormatting sqref="L19:JZ21">
    <cfRule type="cellIs" dxfId="3" priority="2" stopIfTrue="1" operator="equal">
      <formula>"."</formula>
    </cfRule>
    <cfRule type="cellIs" dxfId="2" priority="3" stopIfTrue="1" operator="equal">
      <formula>"X"</formula>
    </cfRule>
    <cfRule type="cellIs" dxfId="1" priority="4" stopIfTrue="1" operator="greaterThan">
      <formula>0</formula>
    </cfRule>
  </conditionalFormatting>
  <conditionalFormatting sqref="V3:JZ4">
    <cfRule type="cellIs" dxfId="0" priority="1" operator="equal">
      <formula>$J$5</formula>
    </cfRule>
  </conditionalFormatting>
  <pageMargins left="0.2" right="0.68" top="0.984251969" bottom="0.984251969" header="0.49212598499999999" footer="0.49212598499999999"/>
  <pageSetup paperSize="9" scale="90" orientation="landscape" horizontalDpi="300" verticalDpi="300" r:id="rId1"/>
  <headerFooter alignWithMargins="0"/>
  <colBreaks count="1" manualBreakCount="1">
    <brk id="46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E7" sqref="E7"/>
    </sheetView>
  </sheetViews>
  <sheetFormatPr defaultRowHeight="15" x14ac:dyDescent="0.25"/>
  <cols>
    <col min="1" max="1" width="10.5703125" bestFit="1" customWidth="1"/>
    <col min="2" max="2" width="16.140625" bestFit="1" customWidth="1"/>
    <col min="3" max="3" width="10.7109375" customWidth="1"/>
    <col min="4" max="4" width="11.140625" customWidth="1"/>
    <col min="5" max="5" width="15" bestFit="1" customWidth="1"/>
    <col min="6" max="7" width="15.7109375" bestFit="1" customWidth="1"/>
  </cols>
  <sheetData>
    <row r="1" spans="1:8" x14ac:dyDescent="0.25">
      <c r="A1" s="5" t="s">
        <v>28</v>
      </c>
      <c r="B1" s="6" t="s">
        <v>23</v>
      </c>
      <c r="C1" s="6" t="s">
        <v>24</v>
      </c>
      <c r="D1" s="6" t="s">
        <v>25</v>
      </c>
      <c r="E1" s="6" t="s">
        <v>26</v>
      </c>
      <c r="F1" s="12" t="s">
        <v>36</v>
      </c>
      <c r="G1" s="7" t="s">
        <v>27</v>
      </c>
      <c r="H1" s="4"/>
    </row>
    <row r="2" spans="1:8" x14ac:dyDescent="0.25">
      <c r="A2" s="10" t="s">
        <v>29</v>
      </c>
      <c r="B2" s="3">
        <v>300</v>
      </c>
      <c r="C2" s="3">
        <v>50</v>
      </c>
      <c r="D2" s="3">
        <v>35</v>
      </c>
      <c r="E2" s="11">
        <f>B2+C2-D2</f>
        <v>315</v>
      </c>
      <c r="F2">
        <f t="shared" ref="F2:F7" si="0">B2+E2/2</f>
        <v>457.5</v>
      </c>
      <c r="G2" s="13">
        <f>B2+E2/2</f>
        <v>457.5</v>
      </c>
      <c r="H2" s="4"/>
    </row>
    <row r="3" spans="1:8" x14ac:dyDescent="0.25">
      <c r="A3" s="10" t="s">
        <v>30</v>
      </c>
      <c r="B3" s="3">
        <v>315</v>
      </c>
      <c r="C3" s="3">
        <v>0</v>
      </c>
      <c r="D3" s="3">
        <v>41</v>
      </c>
      <c r="E3" s="11">
        <f t="shared" ref="E3:E7" si="1">B3+C3-D3</f>
        <v>274</v>
      </c>
      <c r="F3" s="3">
        <f t="shared" si="0"/>
        <v>452</v>
      </c>
      <c r="G3" s="13">
        <f t="shared" ref="G3:G7" si="2">B3+E3/2</f>
        <v>452</v>
      </c>
      <c r="H3" s="4"/>
    </row>
    <row r="4" spans="1:8" x14ac:dyDescent="0.25">
      <c r="A4" s="10" t="s">
        <v>31</v>
      </c>
      <c r="B4" s="3">
        <v>452</v>
      </c>
      <c r="C4" s="3">
        <v>0</v>
      </c>
      <c r="D4" s="3">
        <v>41</v>
      </c>
      <c r="E4" s="11">
        <f t="shared" si="1"/>
        <v>411</v>
      </c>
      <c r="F4" s="3">
        <f t="shared" si="0"/>
        <v>657.5</v>
      </c>
      <c r="G4" s="13">
        <f t="shared" si="2"/>
        <v>657.5</v>
      </c>
      <c r="H4" s="4"/>
    </row>
    <row r="5" spans="1:8" x14ac:dyDescent="0.25">
      <c r="A5" s="10" t="s">
        <v>32</v>
      </c>
      <c r="B5" s="3">
        <f>E4</f>
        <v>411</v>
      </c>
      <c r="C5" s="3">
        <v>85</v>
      </c>
      <c r="D5" s="3">
        <v>38</v>
      </c>
      <c r="E5" s="11">
        <f t="shared" si="1"/>
        <v>458</v>
      </c>
      <c r="F5" s="3">
        <f t="shared" si="0"/>
        <v>640</v>
      </c>
      <c r="G5" s="13">
        <f t="shared" si="2"/>
        <v>640</v>
      </c>
      <c r="H5" s="4"/>
    </row>
    <row r="6" spans="1:8" x14ac:dyDescent="0.25">
      <c r="A6" s="10" t="s">
        <v>33</v>
      </c>
      <c r="B6" s="3">
        <f>E5</f>
        <v>458</v>
      </c>
      <c r="C6" s="3">
        <v>50</v>
      </c>
      <c r="D6" s="3">
        <v>56</v>
      </c>
      <c r="E6" s="11">
        <f t="shared" si="1"/>
        <v>452</v>
      </c>
      <c r="F6" s="3">
        <f t="shared" si="0"/>
        <v>684</v>
      </c>
      <c r="G6" s="13">
        <f t="shared" si="2"/>
        <v>684</v>
      </c>
      <c r="H6" s="4"/>
    </row>
    <row r="7" spans="1:8" x14ac:dyDescent="0.25">
      <c r="A7" s="10" t="s">
        <v>34</v>
      </c>
      <c r="B7" s="3">
        <f>E6</f>
        <v>452</v>
      </c>
      <c r="C7" s="3">
        <v>5</v>
      </c>
      <c r="D7" s="3">
        <v>25</v>
      </c>
      <c r="E7" s="11">
        <f t="shared" si="1"/>
        <v>432</v>
      </c>
      <c r="F7" s="3">
        <f t="shared" si="0"/>
        <v>668</v>
      </c>
      <c r="G7" s="13">
        <f t="shared" si="2"/>
        <v>668</v>
      </c>
      <c r="H7" s="4"/>
    </row>
    <row r="8" spans="1:8" ht="15.75" thickBot="1" x14ac:dyDescent="0.3">
      <c r="A8" s="8" t="s">
        <v>35</v>
      </c>
      <c r="B8" s="9"/>
      <c r="C8" s="9"/>
      <c r="D8" s="9"/>
      <c r="E8" s="14">
        <f t="shared" ref="E8" si="3">SUM(E2:E7)</f>
        <v>2342</v>
      </c>
      <c r="F8" s="9"/>
      <c r="G8" s="14">
        <f>SUM(G2:G7)</f>
        <v>3559</v>
      </c>
      <c r="H8" s="4"/>
    </row>
    <row r="9" spans="1:8" x14ac:dyDescent="0.25">
      <c r="H9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Y39"/>
  <sheetViews>
    <sheetView showGridLines="0" workbookViewId="0">
      <selection activeCell="H3" sqref="H3"/>
    </sheetView>
  </sheetViews>
  <sheetFormatPr defaultRowHeight="15" outlineLevelCol="1" x14ac:dyDescent="0.25"/>
  <cols>
    <col min="1" max="1" width="1" customWidth="1"/>
    <col min="2" max="2" width="10" style="190" customWidth="1"/>
    <col min="3" max="13" width="9.140625" style="190"/>
    <col min="14" max="14" width="11" style="190" customWidth="1"/>
    <col min="15" max="16" width="0.85546875" style="190" customWidth="1"/>
    <col min="17" max="17" width="4" style="190" customWidth="1"/>
    <col min="18" max="18" width="16.7109375" style="190" customWidth="1" outlineLevel="1"/>
    <col min="19" max="19" width="15.140625" style="191" customWidth="1" outlineLevel="1"/>
    <col min="26" max="16384" width="9.140625" style="190"/>
  </cols>
  <sheetData>
    <row r="1" spans="2:19" s="190" customFormat="1" x14ac:dyDescent="0.25">
      <c r="B1" s="304" t="s">
        <v>61</v>
      </c>
      <c r="C1" s="304"/>
      <c r="D1" s="304"/>
      <c r="E1" s="304"/>
      <c r="F1" s="304"/>
      <c r="G1" s="304"/>
      <c r="S1" s="191"/>
    </row>
    <row r="2" spans="2:19" s="190" customFormat="1" x14ac:dyDescent="0.25">
      <c r="B2" s="214" t="s">
        <v>39</v>
      </c>
      <c r="C2" s="213">
        <v>1</v>
      </c>
      <c r="D2" s="213">
        <v>2</v>
      </c>
      <c r="E2" s="213">
        <v>3</v>
      </c>
      <c r="F2" s="213">
        <v>4</v>
      </c>
      <c r="G2" s="213">
        <v>5</v>
      </c>
      <c r="H2" s="213">
        <v>6</v>
      </c>
      <c r="I2" s="213">
        <v>7</v>
      </c>
      <c r="J2" s="213">
        <v>8</v>
      </c>
      <c r="K2" s="213">
        <v>9</v>
      </c>
      <c r="L2" s="213">
        <v>10</v>
      </c>
      <c r="M2" s="213" t="s">
        <v>60</v>
      </c>
      <c r="N2" s="213" t="s">
        <v>59</v>
      </c>
      <c r="R2" s="212" t="s">
        <v>45</v>
      </c>
      <c r="S2" s="211" t="s">
        <v>43</v>
      </c>
    </row>
    <row r="3" spans="2:19" s="190" customFormat="1" x14ac:dyDescent="0.25">
      <c r="B3" s="210" t="s">
        <v>58</v>
      </c>
      <c r="C3" s="209">
        <v>75</v>
      </c>
      <c r="D3" s="209">
        <v>85</v>
      </c>
      <c r="E3" s="209">
        <v>90</v>
      </c>
      <c r="F3" s="209">
        <v>100</v>
      </c>
      <c r="G3" s="209">
        <v>120</v>
      </c>
      <c r="H3" s="209">
        <v>110</v>
      </c>
      <c r="I3" s="209">
        <v>115</v>
      </c>
      <c r="J3" s="209">
        <v>100</v>
      </c>
      <c r="K3" s="209">
        <v>110</v>
      </c>
      <c r="L3" s="209">
        <v>105</v>
      </c>
      <c r="M3" s="208">
        <f>SUM(C3:L3)</f>
        <v>1010</v>
      </c>
      <c r="N3" s="207">
        <f>M3/10</f>
        <v>101</v>
      </c>
      <c r="R3" s="198">
        <v>0.5</v>
      </c>
      <c r="S3" s="194">
        <v>0</v>
      </c>
    </row>
    <row r="4" spans="2:19" s="190" customFormat="1" x14ac:dyDescent="0.25">
      <c r="R4" s="198">
        <v>0.6</v>
      </c>
      <c r="S4" s="194">
        <v>0.254</v>
      </c>
    </row>
    <row r="5" spans="2:19" s="190" customFormat="1" x14ac:dyDescent="0.25">
      <c r="B5" s="305" t="s">
        <v>37</v>
      </c>
      <c r="C5" s="305"/>
      <c r="D5" s="305"/>
      <c r="E5" s="197">
        <f>STDEVPA(C3:L3)</f>
        <v>13.379088160259652</v>
      </c>
      <c r="N5" s="206"/>
      <c r="R5" s="198">
        <v>0.7</v>
      </c>
      <c r="S5" s="194">
        <v>0.52500000000000002</v>
      </c>
    </row>
    <row r="6" spans="2:19" s="190" customFormat="1" x14ac:dyDescent="0.25">
      <c r="B6" s="305" t="s">
        <v>38</v>
      </c>
      <c r="C6" s="305"/>
      <c r="D6" s="305"/>
      <c r="E6" s="205">
        <v>1</v>
      </c>
      <c r="N6" s="193"/>
      <c r="R6" s="198">
        <v>0.8</v>
      </c>
      <c r="S6" s="194">
        <v>0.84199999999999997</v>
      </c>
    </row>
    <row r="7" spans="2:19" s="190" customFormat="1" x14ac:dyDescent="0.25">
      <c r="B7" s="305" t="s">
        <v>39</v>
      </c>
      <c r="C7" s="305"/>
      <c r="D7" s="305"/>
      <c r="E7" s="205">
        <v>1</v>
      </c>
      <c r="N7" s="196">
        <f>E11</f>
        <v>123.00860002362712</v>
      </c>
      <c r="R7" s="198">
        <v>0.85</v>
      </c>
      <c r="S7" s="194">
        <v>1.0369999999999999</v>
      </c>
    </row>
    <row r="8" spans="2:19" s="190" customFormat="1" x14ac:dyDescent="0.25">
      <c r="B8" s="204"/>
      <c r="C8" s="204"/>
      <c r="D8" s="204"/>
      <c r="E8" s="204"/>
      <c r="N8" s="193"/>
      <c r="R8" s="198">
        <v>0.9</v>
      </c>
      <c r="S8" s="194">
        <v>1.282</v>
      </c>
    </row>
    <row r="9" spans="2:19" s="190" customFormat="1" x14ac:dyDescent="0.25">
      <c r="B9" s="298" t="s">
        <v>40</v>
      </c>
      <c r="C9" s="299"/>
      <c r="D9" s="300"/>
      <c r="E9" s="201">
        <f>(E14*E5)*SQRT(E6/E7)</f>
        <v>22.008600023627128</v>
      </c>
      <c r="N9" s="196">
        <f>E10</f>
        <v>123.00860002362712</v>
      </c>
      <c r="R9" s="203">
        <v>0.95</v>
      </c>
      <c r="S9" s="202">
        <v>1.645</v>
      </c>
    </row>
    <row r="10" spans="2:19" s="190" customFormat="1" x14ac:dyDescent="0.25">
      <c r="B10" s="298" t="s">
        <v>41</v>
      </c>
      <c r="C10" s="299"/>
      <c r="D10" s="300"/>
      <c r="E10" s="201">
        <f>(N3*E6)+E9</f>
        <v>123.00860002362712</v>
      </c>
      <c r="N10" s="193"/>
      <c r="R10" s="198">
        <v>0.96</v>
      </c>
      <c r="S10" s="194">
        <v>1.7509999999999999</v>
      </c>
    </row>
    <row r="11" spans="2:19" s="190" customFormat="1" x14ac:dyDescent="0.25">
      <c r="B11" s="298" t="s">
        <v>42</v>
      </c>
      <c r="C11" s="299"/>
      <c r="D11" s="300"/>
      <c r="E11" s="201">
        <f>(E9+N3)*E6</f>
        <v>123.00860002362712</v>
      </c>
      <c r="N11" s="196">
        <f>N3</f>
        <v>101</v>
      </c>
      <c r="R11" s="198">
        <v>0.97</v>
      </c>
      <c r="S11" s="194">
        <v>1.88</v>
      </c>
    </row>
    <row r="12" spans="2:19" s="190" customFormat="1" x14ac:dyDescent="0.25">
      <c r="B12" s="200"/>
      <c r="C12" s="200"/>
      <c r="D12" s="200"/>
      <c r="E12" s="200"/>
      <c r="N12" s="193"/>
      <c r="R12" s="198">
        <v>0.98</v>
      </c>
      <c r="S12" s="194">
        <v>2.0550000000000002</v>
      </c>
    </row>
    <row r="13" spans="2:19" s="190" customFormat="1" x14ac:dyDescent="0.25">
      <c r="B13" s="298" t="s">
        <v>57</v>
      </c>
      <c r="C13" s="299"/>
      <c r="D13" s="300"/>
      <c r="E13" s="199">
        <v>0.95</v>
      </c>
      <c r="N13" s="193"/>
      <c r="R13" s="198">
        <v>0.99</v>
      </c>
      <c r="S13" s="194">
        <v>2.3250000000000002</v>
      </c>
    </row>
    <row r="14" spans="2:19" s="190" customFormat="1" x14ac:dyDescent="0.25">
      <c r="B14" s="301" t="s">
        <v>56</v>
      </c>
      <c r="C14" s="302"/>
      <c r="D14" s="303"/>
      <c r="E14" s="197">
        <f>S9</f>
        <v>1.645</v>
      </c>
      <c r="N14" s="193"/>
      <c r="R14" s="195">
        <v>0.999</v>
      </c>
      <c r="S14" s="194">
        <v>3.1</v>
      </c>
    </row>
    <row r="15" spans="2:19" s="190" customFormat="1" x14ac:dyDescent="0.25">
      <c r="N15" s="196">
        <f>E9</f>
        <v>22.008600023627128</v>
      </c>
      <c r="R15" s="195">
        <v>0.99990000000000001</v>
      </c>
      <c r="S15" s="194">
        <v>3.62</v>
      </c>
    </row>
    <row r="16" spans="2:19" s="190" customFormat="1" x14ac:dyDescent="0.25">
      <c r="N16" s="193"/>
      <c r="S16" s="191"/>
    </row>
    <row r="17" spans="14:14" s="190" customFormat="1" x14ac:dyDescent="0.25">
      <c r="N17" s="193"/>
    </row>
    <row r="18" spans="14:14" s="190" customFormat="1" x14ac:dyDescent="0.25">
      <c r="N18" s="193"/>
    </row>
    <row r="19" spans="14:14" s="190" customFormat="1" x14ac:dyDescent="0.25">
      <c r="N19" s="193"/>
    </row>
    <row r="20" spans="14:14" s="190" customFormat="1" x14ac:dyDescent="0.25">
      <c r="N20" s="192"/>
    </row>
    <row r="39" spans="6:6" s="190" customFormat="1" x14ac:dyDescent="0.25">
      <c r="F39" s="190" t="s">
        <v>55</v>
      </c>
    </row>
  </sheetData>
  <sheetProtection formatCells="0" formatColumns="0" formatRows="0" sort="0" autoFilter="0" pivotTables="0"/>
  <mergeCells count="9">
    <mergeCell ref="B10:D10"/>
    <mergeCell ref="B11:D11"/>
    <mergeCell ref="B13:D13"/>
    <mergeCell ref="B14:D14"/>
    <mergeCell ref="B1:G1"/>
    <mergeCell ref="B5:D5"/>
    <mergeCell ref="B6:D6"/>
    <mergeCell ref="B7:D7"/>
    <mergeCell ref="B9:D9"/>
  </mergeCells>
  <dataValidations count="1">
    <dataValidation type="list" allowBlank="1" sqref="E13">
      <formula1>$R$3:$R$15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Progr1 (3)</vt:lpstr>
      <vt:lpstr>Gestão de Estoque</vt:lpstr>
      <vt:lpstr>EM2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Perfil</dc:creator>
  <cp:lastModifiedBy>Perfil</cp:lastModifiedBy>
  <dcterms:created xsi:type="dcterms:W3CDTF">2014-08-08T16:57:00Z</dcterms:created>
  <dcterms:modified xsi:type="dcterms:W3CDTF">2014-09-19T19:21:46Z</dcterms:modified>
</cp:coreProperties>
</file>