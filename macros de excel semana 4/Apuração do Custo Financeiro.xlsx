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240" yWindow="360" windowWidth="14955" windowHeight="8445" activeTab="1"/>
  </bookViews>
  <sheets>
    <sheet name="Fat" sheetId="1" r:id="rId1"/>
    <sheet name="2700" sheetId="2" r:id="rId2"/>
    <sheet name="1000" sheetId="3" r:id="rId3"/>
    <sheet name="Plan4" sheetId="4" r:id="rId4"/>
  </sheets>
  <calcPr calcId="125725"/>
</workbook>
</file>

<file path=xl/calcChain.xml><?xml version="1.0" encoding="utf-8"?>
<calcChain xmlns="http://schemas.openxmlformats.org/spreadsheetml/2006/main">
  <c r="AA40" i="2"/>
  <c r="P36"/>
  <c r="AA20"/>
  <c r="AD31"/>
  <c r="AD29"/>
  <c r="AD28"/>
  <c r="AE27"/>
  <c r="AE29" s="1"/>
  <c r="AB26"/>
  <c r="AD26" s="1"/>
  <c r="AB25"/>
  <c r="AD25" s="1"/>
  <c r="AB24"/>
  <c r="AD24" s="1"/>
  <c r="AB23"/>
  <c r="AD23" s="1"/>
  <c r="AB22"/>
  <c r="AD22" s="1"/>
  <c r="AB21"/>
  <c r="AD20"/>
  <c r="P21"/>
  <c r="P27" s="1"/>
  <c r="P30" s="1"/>
  <c r="P32" s="1"/>
  <c r="O33" s="1"/>
  <c r="P22"/>
  <c r="P25"/>
  <c r="R25" s="1"/>
  <c r="R20"/>
  <c r="R21"/>
  <c r="R22"/>
  <c r="P23"/>
  <c r="R23"/>
  <c r="P24"/>
  <c r="R24" s="1"/>
  <c r="P26"/>
  <c r="R26" s="1"/>
  <c r="R40"/>
  <c r="R39"/>
  <c r="H5"/>
  <c r="C72" i="4"/>
  <c r="L68"/>
  <c r="K68"/>
  <c r="M68" s="1"/>
  <c r="R28" i="2"/>
  <c r="R29"/>
  <c r="R31"/>
  <c r="J31" i="4"/>
  <c r="J32"/>
  <c r="J33"/>
  <c r="J34"/>
  <c r="J19"/>
  <c r="J20"/>
  <c r="J29" s="1"/>
  <c r="J21"/>
  <c r="J22"/>
  <c r="J23"/>
  <c r="J24"/>
  <c r="J25"/>
  <c r="J26"/>
  <c r="J27"/>
  <c r="J28"/>
  <c r="J5"/>
  <c r="J6"/>
  <c r="J7"/>
  <c r="J8"/>
  <c r="J9"/>
  <c r="J10"/>
  <c r="J11"/>
  <c r="J12"/>
  <c r="J13"/>
  <c r="H12"/>
  <c r="H9"/>
  <c r="H5"/>
  <c r="H69"/>
  <c r="H68"/>
  <c r="H6"/>
  <c r="H13" s="1"/>
  <c r="H7"/>
  <c r="H8"/>
  <c r="H10"/>
  <c r="H11"/>
  <c r="E15"/>
  <c r="H15" s="1"/>
  <c r="H16" s="1"/>
  <c r="H19"/>
  <c r="H20"/>
  <c r="H21"/>
  <c r="H22"/>
  <c r="H23"/>
  <c r="H24"/>
  <c r="H25"/>
  <c r="H26"/>
  <c r="H29" s="1"/>
  <c r="H27"/>
  <c r="H28"/>
  <c r="H31"/>
  <c r="H34" s="1"/>
  <c r="K34" s="1"/>
  <c r="H32"/>
  <c r="H33"/>
  <c r="B67"/>
  <c r="C67" s="1"/>
  <c r="C68"/>
  <c r="C70"/>
  <c r="B73"/>
  <c r="C73" s="1"/>
  <c r="D73" s="1"/>
  <c r="D78" s="1"/>
  <c r="B75"/>
  <c r="C75" s="1"/>
  <c r="B77"/>
  <c r="C77" s="1"/>
  <c r="D71"/>
  <c r="D75"/>
  <c r="D76"/>
  <c r="D77"/>
  <c r="B68"/>
  <c r="B69"/>
  <c r="B78" s="1"/>
  <c r="B70"/>
  <c r="B72"/>
  <c r="E13"/>
  <c r="R22" i="3"/>
  <c r="P23"/>
  <c r="R23"/>
  <c r="P24"/>
  <c r="R24"/>
  <c r="P25"/>
  <c r="R25"/>
  <c r="P26"/>
  <c r="R26"/>
  <c r="R27"/>
  <c r="P28"/>
  <c r="R28" s="1"/>
  <c r="R29" s="1"/>
  <c r="R32" s="1"/>
  <c r="R34" s="1"/>
  <c r="R35" s="1"/>
  <c r="R30"/>
  <c r="R31"/>
  <c r="R33"/>
  <c r="S29"/>
  <c r="S33"/>
  <c r="S31"/>
  <c r="S30"/>
  <c r="O22"/>
  <c r="T18" i="2"/>
  <c r="T19"/>
  <c r="T20" s="1"/>
  <c r="S27"/>
  <c r="S31" s="1"/>
  <c r="S29"/>
  <c r="S28"/>
  <c r="O20"/>
  <c r="H5" i="3"/>
  <c r="H10"/>
  <c r="I13"/>
  <c r="I14"/>
  <c r="E6"/>
  <c r="G5"/>
  <c r="I5" s="1"/>
  <c r="G6"/>
  <c r="I6" s="1"/>
  <c r="E7"/>
  <c r="G7" s="1"/>
  <c r="I7" s="1"/>
  <c r="E8"/>
  <c r="G8"/>
  <c r="I8" s="1"/>
  <c r="G9"/>
  <c r="I9" s="1"/>
  <c r="G5" i="2"/>
  <c r="I5" s="1"/>
  <c r="E6"/>
  <c r="G6" s="1"/>
  <c r="I6" s="1"/>
  <c r="E7"/>
  <c r="G7" s="1"/>
  <c r="I7" s="1"/>
  <c r="E8"/>
  <c r="G8" s="1"/>
  <c r="I8" s="1"/>
  <c r="G9"/>
  <c r="I9" s="1"/>
  <c r="H10"/>
  <c r="G10" i="1"/>
  <c r="A10"/>
  <c r="F9"/>
  <c r="H9" s="1"/>
  <c r="F8"/>
  <c r="H8" s="1"/>
  <c r="F7"/>
  <c r="H7" s="1"/>
  <c r="F6"/>
  <c r="H6" s="1"/>
  <c r="F5"/>
  <c r="H5" s="1"/>
  <c r="H10" s="1"/>
  <c r="J13" s="1"/>
  <c r="AB27" i="2" l="1"/>
  <c r="AB30" s="1"/>
  <c r="AA30" s="1"/>
  <c r="AD21"/>
  <c r="AD27" s="1"/>
  <c r="AD30" s="1"/>
  <c r="AD32" s="1"/>
  <c r="AD33" s="1"/>
  <c r="AE31"/>
  <c r="AE28"/>
  <c r="R27"/>
  <c r="R30" s="1"/>
  <c r="R32" s="1"/>
  <c r="R33" s="1"/>
  <c r="K13" i="4"/>
  <c r="H67"/>
  <c r="H71" s="1"/>
  <c r="I10" i="3"/>
  <c r="I12" s="1"/>
  <c r="I10" i="2"/>
  <c r="I12" s="1"/>
  <c r="C78" i="4"/>
  <c r="H72" s="1"/>
  <c r="K29"/>
  <c r="O30" i="2"/>
  <c r="P29" i="3"/>
  <c r="P32" s="1"/>
  <c r="J15" i="4"/>
  <c r="J16" s="1"/>
  <c r="K16" s="1"/>
  <c r="AB32" i="2" l="1"/>
  <c r="AA33" s="1"/>
  <c r="AA35" s="1"/>
  <c r="AA36" s="1"/>
  <c r="AA38" s="1"/>
  <c r="K67" i="4"/>
  <c r="P34" i="3"/>
  <c r="O35" s="1"/>
  <c r="O32"/>
  <c r="I67" i="4"/>
  <c r="I71" s="1"/>
  <c r="I73" s="1"/>
  <c r="H73"/>
  <c r="I68" s="1"/>
  <c r="J68" s="1"/>
  <c r="N68" s="1"/>
  <c r="N72" l="1"/>
  <c r="N73" s="1"/>
  <c r="I76"/>
  <c r="I74"/>
</calcChain>
</file>

<file path=xl/sharedStrings.xml><?xml version="1.0" encoding="utf-8"?>
<sst xmlns="http://schemas.openxmlformats.org/spreadsheetml/2006/main" count="299" uniqueCount="174">
  <si>
    <t>Prazos de Pagamentos Para Apuração do Custo Financeito</t>
  </si>
  <si>
    <t>Taxa de Troca de Duplicatas (Título)</t>
  </si>
  <si>
    <t>ao mês</t>
  </si>
  <si>
    <t>Conta:</t>
  </si>
  <si>
    <t>Prazo</t>
  </si>
  <si>
    <t>Médio</t>
  </si>
  <si>
    <t xml:space="preserve">Giro de </t>
  </si>
  <si>
    <t>Produção</t>
  </si>
  <si>
    <t>menos Giro</t>
  </si>
  <si>
    <t>Peso</t>
  </si>
  <si>
    <t>Tributo do ICMS</t>
  </si>
  <si>
    <t>Alig</t>
  </si>
  <si>
    <t>Valor</t>
  </si>
  <si>
    <t>Tributos Federais</t>
  </si>
  <si>
    <t>Comissões</t>
  </si>
  <si>
    <t>IR/CSSL</t>
  </si>
  <si>
    <t>Lucro</t>
  </si>
  <si>
    <t>Prazo médio para pagamento de Tributação sobre o Faturamento = 15,25 ÷ 0,3664 =</t>
  </si>
  <si>
    <t>Dias</t>
  </si>
  <si>
    <t>O IR e a CSSL resultado do 3º Trimestre foi marcado para pagamento em 30/12/10 então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</si>
  <si>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</si>
  <si>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</si>
  <si>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</si>
  <si>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</si>
  <si>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</si>
  <si>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</si>
  <si>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</si>
  <si>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</si>
  <si>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</si>
  <si>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</si>
  <si>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</si>
  <si>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</si>
  <si>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Faturados no dia 30 de setembro 91 dias para pagar</t>
  </si>
  <si>
    <t>faturados no dia 1º de Julho 182 dia para pagar</t>
  </si>
  <si>
    <t>Para lucro apresentação do balanço no trimestre até o dia 10 do próximo trimestre</t>
  </si>
  <si>
    <t>Tributação sobre o faturamento</t>
  </si>
  <si>
    <t>Matéria-Prima PVC (Esto / 7 dias)</t>
  </si>
  <si>
    <t>Mão-de-Obra + Estrutura</t>
  </si>
  <si>
    <t>Custo Externo</t>
  </si>
  <si>
    <t>Frete</t>
  </si>
  <si>
    <t>1000 Preço da Ficha 6% de Margem R$ 46,64</t>
  </si>
  <si>
    <t>Prazo para pgto das contas calculadas na ficha de preço de Venda (PVC) 1659,65 ÷ 46,90 =</t>
  </si>
  <si>
    <t>Modelo: 1000</t>
  </si>
  <si>
    <t>Custo  Financeiro</t>
  </si>
  <si>
    <t>% am.</t>
  </si>
  <si>
    <t>Preço de</t>
  </si>
  <si>
    <t>Preço</t>
  </si>
  <si>
    <t>Descrição</t>
  </si>
  <si>
    <t>%Trib.</t>
  </si>
  <si>
    <t>Venda (R$)</t>
  </si>
  <si>
    <t>Àvista (R$)</t>
  </si>
  <si>
    <t xml:space="preserve">Preço De Venda </t>
  </si>
  <si>
    <t>Tributação Icms</t>
  </si>
  <si>
    <t>Tributos Federais (Pis/Cofins)</t>
  </si>
  <si>
    <t>Despesa Administrativa</t>
  </si>
  <si>
    <t>%</t>
  </si>
  <si>
    <t>sobre o</t>
  </si>
  <si>
    <t>custo</t>
  </si>
  <si>
    <t>Custo Primário:</t>
  </si>
  <si>
    <t>Custo Dos Materiais</t>
  </si>
  <si>
    <t>a</t>
  </si>
  <si>
    <t>Custo Externo (Atelier)</t>
  </si>
  <si>
    <t>b</t>
  </si>
  <si>
    <t>Margem De Contribuição</t>
  </si>
  <si>
    <t>c</t>
  </si>
  <si>
    <t>Custo Fixo Por Par</t>
  </si>
  <si>
    <t>d</t>
  </si>
  <si>
    <t>Resultado Por Par (R$)</t>
  </si>
  <si>
    <t>e</t>
  </si>
  <si>
    <t>Resultado/PreçoDeVenda (%)</t>
  </si>
  <si>
    <t>Modelo: 2700</t>
  </si>
  <si>
    <t>Valor ávista proposto 46,9 anterior 56,75</t>
  </si>
  <si>
    <t>JEFEX</t>
  </si>
  <si>
    <t xml:space="preserve"> </t>
  </si>
  <si>
    <t>Linha:</t>
  </si>
  <si>
    <t>Moto</t>
  </si>
  <si>
    <t>Modelo:</t>
  </si>
  <si>
    <t>kit 2700 Tornado</t>
  </si>
  <si>
    <t>L Real</t>
  </si>
  <si>
    <t>Simples</t>
  </si>
  <si>
    <t>NOME DA PEÇA</t>
  </si>
  <si>
    <t>MATERIAL</t>
  </si>
  <si>
    <t>ESPECIFIC.</t>
  </si>
  <si>
    <t>UN</t>
  </si>
  <si>
    <t>CONS.</t>
  </si>
  <si>
    <t>QUE-  BRA</t>
  </si>
  <si>
    <t>PREÇO   UNIT.</t>
  </si>
  <si>
    <t>CUSTO</t>
  </si>
  <si>
    <t xml:space="preserve">Setor Corte </t>
  </si>
  <si>
    <t>PVC  Jaqueta - 1 Corpo e 2  mangas</t>
  </si>
  <si>
    <t>PVC Romplas</t>
  </si>
  <si>
    <t>larg. 1,40</t>
  </si>
  <si>
    <t>ML</t>
  </si>
  <si>
    <t>PVC  Jaqueta - 2 Lapas</t>
  </si>
  <si>
    <t>PVC  Jaqueta - Gola</t>
  </si>
  <si>
    <t>Embalagem individual</t>
  </si>
  <si>
    <t xml:space="preserve">PVC Calça - Calça 2 pç </t>
  </si>
  <si>
    <t>sem bolso</t>
  </si>
  <si>
    <t>Tecido TNT</t>
  </si>
  <si>
    <t>TNT</t>
  </si>
  <si>
    <t>larg. 1,4mt</t>
  </si>
  <si>
    <t>Setor Solda</t>
  </si>
  <si>
    <t>Refletivos 1bolso, 1costas</t>
  </si>
  <si>
    <t>Refletivo cristal</t>
  </si>
  <si>
    <t>5cm</t>
  </si>
  <si>
    <t>ml</t>
  </si>
  <si>
    <t>Setor Costura</t>
  </si>
  <si>
    <t>Velcro do punho</t>
  </si>
  <si>
    <t>Velcro  25mm</t>
  </si>
  <si>
    <t>Velcro da lapa</t>
  </si>
  <si>
    <t>Ziper da lapa</t>
  </si>
  <si>
    <t>ziper 70cm</t>
  </si>
  <si>
    <t>pç</t>
  </si>
  <si>
    <t>Ziper da calça</t>
  </si>
  <si>
    <t>ziper 18cm</t>
  </si>
  <si>
    <t>Elástico cintura da jaqueta</t>
  </si>
  <si>
    <t>elástico 25mm</t>
  </si>
  <si>
    <t>Elástico cintura da calça</t>
  </si>
  <si>
    <t>Etiqueta luxo  jaqueta</t>
  </si>
  <si>
    <t>Etiqueta resinada</t>
  </si>
  <si>
    <t>Etiqueta luxo  calça</t>
  </si>
  <si>
    <t>Linha para costurar jaqueta</t>
  </si>
  <si>
    <t>linha 60</t>
  </si>
  <si>
    <t>kg</t>
  </si>
  <si>
    <t>Linha para costurar calça</t>
  </si>
  <si>
    <t>Setor Expedição</t>
  </si>
  <si>
    <t>Embalagem coletiva</t>
  </si>
  <si>
    <t>Caixa corrugado 1/15</t>
  </si>
  <si>
    <t>640X350X350</t>
  </si>
  <si>
    <t>cx</t>
  </si>
  <si>
    <t>Fita gomada</t>
  </si>
  <si>
    <t>Fita gomada  4,5/15</t>
  </si>
  <si>
    <t>mt</t>
  </si>
  <si>
    <t>Idenfificação corrugado</t>
  </si>
  <si>
    <t>Rôtulo interno 1/15</t>
  </si>
  <si>
    <t>cópias</t>
  </si>
  <si>
    <t>M Ã O  -  D E-  O B R A  INTERNA</t>
  </si>
  <si>
    <t>OPERAÇÃO</t>
  </si>
  <si>
    <t>BASE</t>
  </si>
  <si>
    <t>EFIC.</t>
  </si>
  <si>
    <t>CORR.</t>
  </si>
  <si>
    <t>TOTAL</t>
  </si>
  <si>
    <t>EQUIVALÊNCIA</t>
  </si>
  <si>
    <t>M Ã O - D E - O B R A  T E R C I Á R I A</t>
  </si>
  <si>
    <t>Zipper da Calça</t>
  </si>
  <si>
    <t>Costura da embalagem</t>
  </si>
  <si>
    <t>Serigrafia da embalagem</t>
  </si>
  <si>
    <t>Preço de Tabela</t>
  </si>
  <si>
    <t>Presumido</t>
  </si>
  <si>
    <t>Real</t>
  </si>
  <si>
    <t>Custos Totais</t>
  </si>
  <si>
    <t>ICMS</t>
  </si>
  <si>
    <t>Matérias-Primas</t>
  </si>
  <si>
    <t>Cofins</t>
  </si>
  <si>
    <t>Mão-de-Obra Interna</t>
  </si>
  <si>
    <t>Contribuição Social</t>
  </si>
  <si>
    <t>Mão-de-Obra Terciária</t>
  </si>
  <si>
    <t>PIS</t>
  </si>
  <si>
    <t>Frete Sobre Vendas</t>
  </si>
  <si>
    <t>Custo Total</t>
  </si>
  <si>
    <t>IRPJ</t>
  </si>
  <si>
    <t>Mark Up</t>
  </si>
  <si>
    <t>Bancos Desp. Financeira</t>
  </si>
  <si>
    <t>Preço de Venda</t>
  </si>
  <si>
    <t>Comissão</t>
  </si>
  <si>
    <t>Custo Administrativo</t>
  </si>
  <si>
    <t>Prazo Médio de Vendas</t>
  </si>
  <si>
    <t>Especial</t>
  </si>
  <si>
    <t>Qt de Volumes</t>
  </si>
  <si>
    <t>2700 Preço da Ficha 6% de Margem R$ 28,51</t>
  </si>
  <si>
    <t>Prazo para pgto das contas calculadas na ficha de preço de Venda (PVC) 852,72 ÷ 28,51 =</t>
  </si>
  <si>
    <t>Valor ávista proposto 26,10 anterior 25,35</t>
  </si>
  <si>
    <t>IR</t>
  </si>
  <si>
    <t>INSS</t>
  </si>
</sst>
</file>

<file path=xl/styles.xml><?xml version="1.0" encoding="utf-8"?>
<styleSheet xmlns="http://schemas.openxmlformats.org/spreadsheetml/2006/main">
  <numFmts count="6">
    <numFmt numFmtId="164" formatCode="_(* #,##0.00_);_(* \(#,##0.00\);_(* &quot;-&quot;??_);_(@_)"/>
    <numFmt numFmtId="165" formatCode="0.000"/>
    <numFmt numFmtId="166" formatCode="0.0000"/>
    <numFmt numFmtId="167" formatCode="0.0"/>
    <numFmt numFmtId="168" formatCode="_(* #,##0.000_);_(* \(#,##0.000\);_(* &quot;-&quot;???_);_(@_)"/>
    <numFmt numFmtId="169" formatCode="\'0\'\'00"/>
  </numFmts>
  <fonts count="17">
    <font>
      <sz val="10"/>
      <name val="Arial"/>
    </font>
    <font>
      <sz val="10"/>
      <name val="Arial"/>
    </font>
    <font>
      <sz val="10"/>
      <color indexed="10"/>
      <name val="Arial"/>
    </font>
    <font>
      <sz val="8"/>
      <name val="Arial"/>
    </font>
    <font>
      <sz val="10"/>
      <name val="Comic Sans MS"/>
      <family val="4"/>
    </font>
    <font>
      <sz val="12"/>
      <name val="Comic Sans MS"/>
      <family val="4"/>
    </font>
    <font>
      <sz val="10"/>
      <color indexed="9"/>
      <name val="Comic Sans MS"/>
      <family val="4"/>
    </font>
    <font>
      <sz val="10"/>
      <color indexed="18"/>
      <name val="Comic Sans MS"/>
      <family val="4"/>
    </font>
    <font>
      <sz val="12"/>
      <color indexed="18"/>
      <name val="Comic Sans MS"/>
      <family val="4"/>
    </font>
    <font>
      <sz val="12"/>
      <color indexed="21"/>
      <name val="Comic Sans MS"/>
      <family val="4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9"/>
      <name val="Arial"/>
    </font>
    <font>
      <sz val="8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3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2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/>
    <xf numFmtId="0" fontId="4" fillId="0" borderId="7" xfId="0" applyFont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4" fillId="2" borderId="7" xfId="0" applyNumberFormat="1" applyFont="1" applyFill="1" applyBorder="1" applyAlignment="1">
      <alignment horizontal="center"/>
    </xf>
    <xf numFmtId="167" fontId="4" fillId="0" borderId="0" xfId="0" applyNumberFormat="1" applyFont="1"/>
    <xf numFmtId="167" fontId="4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7" fontId="6" fillId="0" borderId="8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2" fontId="8" fillId="2" borderId="7" xfId="0" applyNumberFormat="1" applyFont="1" applyFill="1" applyBorder="1" applyAlignment="1">
      <alignment horizontal="center"/>
    </xf>
    <xf numFmtId="2" fontId="9" fillId="2" borderId="7" xfId="0" applyNumberFormat="1" applyFont="1" applyFill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0" fontId="13" fillId="0" borderId="9" xfId="0" applyFont="1" applyFill="1" applyBorder="1" applyAlignment="1">
      <alignment horizontal="left" vertical="center"/>
    </xf>
    <xf numFmtId="2" fontId="7" fillId="2" borderId="7" xfId="0" applyNumberFormat="1" applyFont="1" applyFill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0" fontId="0" fillId="0" borderId="0" xfId="0" applyFill="1"/>
    <xf numFmtId="0" fontId="10" fillId="0" borderId="10" xfId="0" applyFont="1" applyFill="1" applyBorder="1"/>
    <xf numFmtId="0" fontId="11" fillId="0" borderId="11" xfId="0" applyFont="1" applyFill="1" applyBorder="1" applyAlignment="1">
      <alignment horizontal="centerContinuous" vertical="center"/>
    </xf>
    <xf numFmtId="0" fontId="12" fillId="0" borderId="11" xfId="0" applyFont="1" applyFill="1" applyBorder="1" applyAlignment="1">
      <alignment horizontal="centerContinuous" vertical="center"/>
    </xf>
    <xf numFmtId="0" fontId="11" fillId="0" borderId="12" xfId="0" applyFont="1" applyFill="1" applyBorder="1" applyAlignment="1">
      <alignment horizontal="right"/>
    </xf>
    <xf numFmtId="0" fontId="11" fillId="0" borderId="9" xfId="0" applyFont="1" applyFill="1" applyBorder="1" applyAlignment="1">
      <alignment horizontal="left" vertical="center"/>
    </xf>
    <xf numFmtId="0" fontId="0" fillId="0" borderId="0" xfId="0" applyFill="1" applyAlignment="1"/>
    <xf numFmtId="0" fontId="14" fillId="0" borderId="13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7" xfId="0" applyFont="1" applyFill="1" applyBorder="1"/>
    <xf numFmtId="0" fontId="12" fillId="0" borderId="18" xfId="0" applyFont="1" applyFill="1" applyBorder="1"/>
    <xf numFmtId="0" fontId="12" fillId="0" borderId="19" xfId="0" applyFont="1" applyFill="1" applyBorder="1" applyAlignment="1">
      <alignment horizontal="center" vertical="center"/>
    </xf>
    <xf numFmtId="164" fontId="12" fillId="0" borderId="19" xfId="2" applyFont="1" applyFill="1" applyBorder="1" applyAlignment="1">
      <alignment vertical="center"/>
    </xf>
    <xf numFmtId="165" fontId="12" fillId="0" borderId="19" xfId="0" applyNumberFormat="1" applyFont="1" applyFill="1" applyBorder="1" applyAlignment="1">
      <alignment horizontal="center"/>
    </xf>
    <xf numFmtId="168" fontId="12" fillId="4" borderId="18" xfId="2" applyNumberFormat="1" applyFont="1" applyFill="1" applyBorder="1" applyAlignment="1">
      <alignment horizontal="center" vertical="center"/>
    </xf>
    <xf numFmtId="164" fontId="14" fillId="4" borderId="20" xfId="2" applyFont="1" applyFill="1" applyBorder="1" applyAlignment="1">
      <alignment vertical="center"/>
    </xf>
    <xf numFmtId="0" fontId="12" fillId="0" borderId="17" xfId="0" applyFont="1" applyFill="1" applyBorder="1"/>
    <xf numFmtId="168" fontId="12" fillId="0" borderId="19" xfId="2" applyNumberFormat="1" applyFont="1" applyFill="1" applyBorder="1" applyAlignment="1">
      <alignment vertical="center"/>
    </xf>
    <xf numFmtId="9" fontId="12" fillId="0" borderId="19" xfId="0" applyNumberFormat="1" applyFont="1" applyFill="1" applyBorder="1" applyAlignment="1">
      <alignment horizontal="center"/>
    </xf>
    <xf numFmtId="165" fontId="12" fillId="4" borderId="18" xfId="2" applyNumberFormat="1" applyFont="1" applyFill="1" applyBorder="1" applyAlignment="1">
      <alignment horizontal="center" vertical="center"/>
    </xf>
    <xf numFmtId="168" fontId="12" fillId="4" borderId="21" xfId="2" applyNumberFormat="1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left"/>
    </xf>
    <xf numFmtId="168" fontId="12" fillId="0" borderId="22" xfId="2" applyNumberFormat="1" applyFont="1" applyFill="1" applyBorder="1" applyAlignment="1">
      <alignment vertical="center"/>
    </xf>
    <xf numFmtId="0" fontId="14" fillId="0" borderId="17" xfId="0" applyFont="1" applyFill="1" applyBorder="1" applyAlignment="1">
      <alignment horizontal="left"/>
    </xf>
    <xf numFmtId="0" fontId="12" fillId="0" borderId="23" xfId="0" applyFont="1" applyFill="1" applyBorder="1"/>
    <xf numFmtId="0" fontId="12" fillId="0" borderId="24" xfId="0" applyFont="1" applyFill="1" applyBorder="1"/>
    <xf numFmtId="0" fontId="12" fillId="0" borderId="25" xfId="0" applyFont="1" applyFill="1" applyBorder="1" applyAlignment="1">
      <alignment horizontal="center" vertical="center"/>
    </xf>
    <xf numFmtId="168" fontId="12" fillId="0" borderId="25" xfId="2" applyNumberFormat="1" applyFont="1" applyFill="1" applyBorder="1" applyAlignment="1">
      <alignment vertical="center"/>
    </xf>
    <xf numFmtId="9" fontId="12" fillId="0" borderId="25" xfId="0" applyNumberFormat="1" applyFont="1" applyFill="1" applyBorder="1" applyAlignment="1">
      <alignment horizontal="center"/>
    </xf>
    <xf numFmtId="165" fontId="12" fillId="4" borderId="24" xfId="0" applyNumberFormat="1" applyFont="1" applyFill="1" applyBorder="1" applyAlignment="1">
      <alignment horizontal="center"/>
    </xf>
    <xf numFmtId="168" fontId="14" fillId="4" borderId="24" xfId="2" applyNumberFormat="1" applyFont="1" applyFill="1" applyBorder="1" applyAlignment="1">
      <alignment vertical="center"/>
    </xf>
    <xf numFmtId="9" fontId="12" fillId="0" borderId="26" xfId="0" applyNumberFormat="1" applyFont="1" applyFill="1" applyBorder="1" applyAlignment="1">
      <alignment horizontal="center"/>
    </xf>
    <xf numFmtId="165" fontId="12" fillId="4" borderId="18" xfId="0" applyNumberFormat="1" applyFont="1" applyFill="1" applyBorder="1" applyAlignment="1">
      <alignment horizontal="center"/>
    </xf>
    <xf numFmtId="168" fontId="12" fillId="4" borderId="18" xfId="2" applyNumberFormat="1" applyFont="1" applyFill="1" applyBorder="1" applyAlignment="1">
      <alignment vertical="center"/>
    </xf>
    <xf numFmtId="0" fontId="0" fillId="3" borderId="0" xfId="0" applyFill="1"/>
    <xf numFmtId="0" fontId="12" fillId="3" borderId="17" xfId="0" applyFont="1" applyFill="1" applyBorder="1"/>
    <xf numFmtId="0" fontId="12" fillId="3" borderId="18" xfId="0" applyFont="1" applyFill="1" applyBorder="1"/>
    <xf numFmtId="0" fontId="12" fillId="3" borderId="22" xfId="0" applyFont="1" applyFill="1" applyBorder="1" applyAlignment="1">
      <alignment horizontal="center" vertical="center"/>
    </xf>
    <xf numFmtId="168" fontId="12" fillId="3" borderId="22" xfId="2" applyNumberFormat="1" applyFont="1" applyFill="1" applyBorder="1" applyAlignment="1">
      <alignment vertical="center"/>
    </xf>
    <xf numFmtId="9" fontId="12" fillId="3" borderId="19" xfId="0" applyNumberFormat="1" applyFont="1" applyFill="1" applyBorder="1" applyAlignment="1">
      <alignment horizontal="center"/>
    </xf>
    <xf numFmtId="168" fontId="12" fillId="4" borderId="21" xfId="2" applyNumberFormat="1" applyFont="1" applyFill="1" applyBorder="1" applyAlignment="1">
      <alignment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7" xfId="0" applyFont="1" applyFill="1" applyBorder="1"/>
    <xf numFmtId="0" fontId="12" fillId="0" borderId="28" xfId="0" applyFont="1" applyFill="1" applyBorder="1"/>
    <xf numFmtId="0" fontId="12" fillId="0" borderId="29" xfId="0" applyFont="1" applyFill="1" applyBorder="1" applyAlignment="1">
      <alignment horizontal="center" vertical="center"/>
    </xf>
    <xf numFmtId="168" fontId="12" fillId="0" borderId="29" xfId="2" applyNumberFormat="1" applyFont="1" applyFill="1" applyBorder="1" applyAlignment="1">
      <alignment vertical="center"/>
    </xf>
    <xf numFmtId="9" fontId="12" fillId="0" borderId="29" xfId="0" applyNumberFormat="1" applyFont="1" applyFill="1" applyBorder="1" applyAlignment="1">
      <alignment horizontal="center"/>
    </xf>
    <xf numFmtId="165" fontId="12" fillId="4" borderId="28" xfId="0" applyNumberFormat="1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 vertical="center"/>
    </xf>
    <xf numFmtId="168" fontId="12" fillId="0" borderId="21" xfId="2" applyNumberFormat="1" applyFont="1" applyFill="1" applyBorder="1" applyAlignment="1">
      <alignment vertical="center"/>
    </xf>
    <xf numFmtId="0" fontId="12" fillId="0" borderId="31" xfId="0" applyFont="1" applyFill="1" applyBorder="1" applyAlignment="1">
      <alignment horizontal="center" vertical="center"/>
    </xf>
    <xf numFmtId="168" fontId="12" fillId="0" borderId="28" xfId="2" applyNumberFormat="1" applyFont="1" applyFill="1" applyBorder="1" applyAlignment="1">
      <alignment vertical="center"/>
    </xf>
    <xf numFmtId="0" fontId="12" fillId="0" borderId="32" xfId="0" applyFont="1" applyFill="1" applyBorder="1" applyAlignment="1">
      <alignment horizontal="center" vertical="center"/>
    </xf>
    <xf numFmtId="168" fontId="12" fillId="0" borderId="18" xfId="2" applyNumberFormat="1" applyFont="1" applyFill="1" applyBorder="1" applyAlignment="1">
      <alignment vertical="center"/>
    </xf>
    <xf numFmtId="0" fontId="12" fillId="0" borderId="33" xfId="0" applyFont="1" applyFill="1" applyBorder="1"/>
    <xf numFmtId="0" fontId="12" fillId="0" borderId="18" xfId="0" applyFont="1" applyFill="1" applyBorder="1" applyAlignment="1">
      <alignment horizontal="center" vertical="center"/>
    </xf>
    <xf numFmtId="4" fontId="12" fillId="4" borderId="18" xfId="0" applyNumberFormat="1" applyFont="1" applyFill="1" applyBorder="1" applyAlignment="1">
      <alignment horizontal="center"/>
    </xf>
    <xf numFmtId="0" fontId="12" fillId="0" borderId="34" xfId="0" applyFont="1" applyFill="1" applyBorder="1"/>
    <xf numFmtId="0" fontId="12" fillId="0" borderId="35" xfId="0" applyFont="1" applyFill="1" applyBorder="1"/>
    <xf numFmtId="0" fontId="12" fillId="0" borderId="21" xfId="0" applyFont="1" applyFill="1" applyBorder="1" applyAlignment="1">
      <alignment horizontal="center" vertical="center"/>
    </xf>
    <xf numFmtId="4" fontId="12" fillId="4" borderId="21" xfId="0" applyNumberFormat="1" applyFont="1" applyFill="1" applyBorder="1" applyAlignment="1">
      <alignment horizontal="center"/>
    </xf>
    <xf numFmtId="0" fontId="14" fillId="0" borderId="36" xfId="0" applyFont="1" applyFill="1" applyBorder="1"/>
    <xf numFmtId="0" fontId="12" fillId="0" borderId="37" xfId="0" applyFont="1" applyFill="1" applyBorder="1"/>
    <xf numFmtId="0" fontId="12" fillId="0" borderId="38" xfId="0" applyFont="1" applyFill="1" applyBorder="1" applyAlignment="1">
      <alignment horizontal="center" vertical="center"/>
    </xf>
    <xf numFmtId="168" fontId="12" fillId="0" borderId="38" xfId="2" applyNumberFormat="1" applyFont="1" applyFill="1" applyBorder="1" applyAlignment="1">
      <alignment vertical="center"/>
    </xf>
    <xf numFmtId="0" fontId="12" fillId="4" borderId="39" xfId="0" applyFont="1" applyFill="1" applyBorder="1" applyAlignment="1">
      <alignment horizontal="center"/>
    </xf>
    <xf numFmtId="0" fontId="12" fillId="0" borderId="21" xfId="0" applyFont="1" applyFill="1" applyBorder="1"/>
    <xf numFmtId="9" fontId="12" fillId="0" borderId="22" xfId="0" applyNumberFormat="1" applyFont="1" applyFill="1" applyBorder="1" applyAlignment="1">
      <alignment horizontal="center"/>
    </xf>
    <xf numFmtId="165" fontId="12" fillId="4" borderId="21" xfId="0" applyNumberFormat="1" applyFont="1" applyFill="1" applyBorder="1" applyAlignment="1">
      <alignment horizontal="center"/>
    </xf>
    <xf numFmtId="0" fontId="12" fillId="0" borderId="40" xfId="0" applyFont="1" applyFill="1" applyBorder="1"/>
    <xf numFmtId="0" fontId="12" fillId="0" borderId="41" xfId="0" applyFont="1" applyFill="1" applyBorder="1"/>
    <xf numFmtId="0" fontId="12" fillId="0" borderId="42" xfId="0" applyFont="1" applyFill="1" applyBorder="1" applyAlignment="1">
      <alignment horizontal="center" vertical="center"/>
    </xf>
    <xf numFmtId="168" fontId="12" fillId="0" borderId="42" xfId="2" applyNumberFormat="1" applyFont="1" applyFill="1" applyBorder="1" applyAlignment="1">
      <alignment vertical="center"/>
    </xf>
    <xf numFmtId="9" fontId="12" fillId="0" borderId="42" xfId="0" applyNumberFormat="1" applyFont="1" applyFill="1" applyBorder="1" applyAlignment="1">
      <alignment horizontal="center"/>
    </xf>
    <xf numFmtId="165" fontId="12" fillId="4" borderId="41" xfId="0" applyNumberFormat="1" applyFont="1" applyFill="1" applyBorder="1" applyAlignment="1">
      <alignment horizontal="center"/>
    </xf>
    <xf numFmtId="0" fontId="12" fillId="0" borderId="43" xfId="0" applyFont="1" applyFill="1" applyBorder="1"/>
    <xf numFmtId="0" fontId="12" fillId="0" borderId="44" xfId="0" applyFont="1" applyFill="1" applyBorder="1"/>
    <xf numFmtId="0" fontId="12" fillId="0" borderId="45" xfId="0" applyFont="1" applyFill="1" applyBorder="1" applyAlignment="1">
      <alignment horizontal="center" vertical="center"/>
    </xf>
    <xf numFmtId="164" fontId="12" fillId="0" borderId="45" xfId="2" applyFont="1" applyFill="1" applyBorder="1" applyAlignment="1">
      <alignment vertical="center"/>
    </xf>
    <xf numFmtId="165" fontId="12" fillId="0" borderId="45" xfId="0" applyNumberFormat="1" applyFont="1" applyFill="1" applyBorder="1" applyAlignment="1">
      <alignment horizontal="center"/>
    </xf>
    <xf numFmtId="165" fontId="12" fillId="4" borderId="44" xfId="0" applyNumberFormat="1" applyFont="1" applyFill="1" applyBorder="1" applyAlignment="1">
      <alignment horizontal="center"/>
    </xf>
    <xf numFmtId="0" fontId="12" fillId="0" borderId="46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47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12" fillId="0" borderId="36" xfId="0" applyFont="1" applyFill="1" applyBorder="1" applyAlignment="1">
      <alignment horizontal="left" vertical="center"/>
    </xf>
    <xf numFmtId="165" fontId="12" fillId="0" borderId="48" xfId="0" applyNumberFormat="1" applyFont="1" applyFill="1" applyBorder="1" applyAlignment="1">
      <alignment horizontal="center" vertical="center"/>
    </xf>
    <xf numFmtId="9" fontId="12" fillId="0" borderId="48" xfId="1" applyFont="1" applyFill="1" applyBorder="1" applyAlignment="1">
      <alignment horizontal="center" vertical="center"/>
    </xf>
    <xf numFmtId="168" fontId="12" fillId="0" borderId="49" xfId="2" applyNumberFormat="1" applyFont="1" applyFill="1" applyBorder="1" applyAlignment="1">
      <alignment horizontal="center"/>
    </xf>
    <xf numFmtId="164" fontId="12" fillId="0" borderId="50" xfId="2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left" vertical="center"/>
    </xf>
    <xf numFmtId="165" fontId="12" fillId="0" borderId="49" xfId="0" applyNumberFormat="1" applyFont="1" applyFill="1" applyBorder="1" applyAlignment="1">
      <alignment horizontal="center" vertical="center"/>
    </xf>
    <xf numFmtId="9" fontId="12" fillId="0" borderId="49" xfId="1" applyFont="1" applyFill="1" applyBorder="1" applyAlignment="1">
      <alignment horizontal="center" vertical="center"/>
    </xf>
    <xf numFmtId="164" fontId="12" fillId="0" borderId="51" xfId="2" applyFont="1" applyFill="1" applyBorder="1" applyAlignment="1">
      <alignment horizontal="center" vertical="center"/>
    </xf>
    <xf numFmtId="165" fontId="12" fillId="0" borderId="52" xfId="0" applyNumberFormat="1" applyFont="1" applyFill="1" applyBorder="1" applyAlignment="1">
      <alignment horizontal="center" vertical="center"/>
    </xf>
    <xf numFmtId="164" fontId="12" fillId="0" borderId="53" xfId="2" applyFont="1" applyFill="1" applyBorder="1" applyAlignment="1">
      <alignment horizontal="center" vertical="center"/>
    </xf>
    <xf numFmtId="9" fontId="12" fillId="0" borderId="52" xfId="1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left" vertical="center"/>
    </xf>
    <xf numFmtId="164" fontId="12" fillId="0" borderId="49" xfId="2" applyFont="1" applyFill="1" applyBorder="1"/>
    <xf numFmtId="164" fontId="12" fillId="0" borderId="52" xfId="2" applyFont="1" applyFill="1" applyBorder="1"/>
    <xf numFmtId="0" fontId="12" fillId="0" borderId="54" xfId="0" applyFont="1" applyFill="1" applyBorder="1" applyAlignment="1">
      <alignment horizontal="left" vertical="center"/>
    </xf>
    <xf numFmtId="165" fontId="12" fillId="0" borderId="55" xfId="0" applyNumberFormat="1" applyFont="1" applyFill="1" applyBorder="1" applyAlignment="1">
      <alignment horizontal="center" vertical="center"/>
    </xf>
    <xf numFmtId="9" fontId="12" fillId="0" borderId="55" xfId="1" applyFont="1" applyFill="1" applyBorder="1" applyAlignment="1">
      <alignment horizontal="center" vertical="center"/>
    </xf>
    <xf numFmtId="164" fontId="12" fillId="0" borderId="55" xfId="2" applyFont="1" applyFill="1" applyBorder="1"/>
    <xf numFmtId="164" fontId="12" fillId="0" borderId="56" xfId="2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left" vertical="center"/>
    </xf>
    <xf numFmtId="165" fontId="12" fillId="0" borderId="0" xfId="0" applyNumberFormat="1" applyFont="1" applyFill="1" applyBorder="1" applyAlignment="1">
      <alignment horizontal="center" vertical="center"/>
    </xf>
    <xf numFmtId="9" fontId="12" fillId="0" borderId="0" xfId="1" applyFont="1" applyFill="1" applyBorder="1" applyAlignment="1">
      <alignment horizontal="center" vertical="center"/>
    </xf>
    <xf numFmtId="164" fontId="12" fillId="0" borderId="0" xfId="2" applyFont="1" applyFill="1" applyBorder="1"/>
    <xf numFmtId="164" fontId="12" fillId="0" borderId="11" xfId="2" applyFont="1" applyFill="1" applyBorder="1" applyAlignment="1">
      <alignment horizontal="center" vertical="center"/>
    </xf>
    <xf numFmtId="164" fontId="12" fillId="0" borderId="0" xfId="2" applyFont="1" applyFill="1" applyBorder="1" applyAlignment="1">
      <alignment horizontal="center" vertical="center"/>
    </xf>
    <xf numFmtId="169" fontId="12" fillId="0" borderId="0" xfId="0" applyNumberFormat="1" applyFont="1" applyFill="1" applyBorder="1" applyAlignment="1">
      <alignment vertical="center"/>
    </xf>
    <xf numFmtId="164" fontId="12" fillId="0" borderId="0" xfId="2" applyFont="1" applyFill="1" applyBorder="1" applyAlignment="1">
      <alignment vertical="center"/>
    </xf>
    <xf numFmtId="0" fontId="12" fillId="0" borderId="58" xfId="0" applyFont="1" applyBorder="1" applyAlignment="1">
      <alignment vertical="center"/>
    </xf>
    <xf numFmtId="0" fontId="3" fillId="0" borderId="59" xfId="0" applyFont="1" applyBorder="1"/>
    <xf numFmtId="0" fontId="3" fillId="0" borderId="1" xfId="0" applyFont="1" applyBorder="1" applyAlignment="1"/>
    <xf numFmtId="0" fontId="12" fillId="0" borderId="60" xfId="0" applyFont="1" applyBorder="1" applyAlignment="1">
      <alignment vertical="center"/>
    </xf>
    <xf numFmtId="0" fontId="3" fillId="0" borderId="33" xfId="0" applyFont="1" applyBorder="1"/>
    <xf numFmtId="0" fontId="3" fillId="0" borderId="18" xfId="0" applyFont="1" applyBorder="1" applyAlignment="1"/>
    <xf numFmtId="0" fontId="0" fillId="0" borderId="5" xfId="0" applyFill="1" applyBorder="1"/>
    <xf numFmtId="0" fontId="0" fillId="0" borderId="61" xfId="0" applyFill="1" applyBorder="1" applyAlignment="1"/>
    <xf numFmtId="0" fontId="0" fillId="0" borderId="6" xfId="0" applyFill="1" applyBorder="1" applyAlignment="1"/>
    <xf numFmtId="0" fontId="0" fillId="0" borderId="62" xfId="0" applyFill="1" applyBorder="1"/>
    <xf numFmtId="0" fontId="12" fillId="3" borderId="34" xfId="0" applyFont="1" applyFill="1" applyBorder="1" applyAlignment="1">
      <alignment vertical="center"/>
    </xf>
    <xf numFmtId="10" fontId="12" fillId="3" borderId="63" xfId="1" applyNumberFormat="1" applyFont="1" applyFill="1" applyBorder="1"/>
    <xf numFmtId="0" fontId="0" fillId="0" borderId="61" xfId="0" applyFill="1" applyBorder="1"/>
    <xf numFmtId="39" fontId="0" fillId="0" borderId="6" xfId="0" applyNumberFormat="1" applyFill="1" applyBorder="1"/>
    <xf numFmtId="164" fontId="0" fillId="0" borderId="6" xfId="0" applyNumberFormat="1" applyFill="1" applyBorder="1"/>
    <xf numFmtId="10" fontId="12" fillId="0" borderId="0" xfId="1" applyNumberFormat="1" applyFont="1" applyFill="1" applyBorder="1"/>
    <xf numFmtId="10" fontId="3" fillId="0" borderId="0" xfId="0" applyNumberFormat="1" applyFont="1"/>
    <xf numFmtId="0" fontId="11" fillId="0" borderId="0" xfId="0" applyFont="1" applyFill="1"/>
    <xf numFmtId="2" fontId="13" fillId="0" borderId="0" xfId="0" applyNumberFormat="1" applyFont="1" applyFill="1"/>
    <xf numFmtId="165" fontId="12" fillId="0" borderId="0" xfId="1" applyNumberFormat="1" applyFont="1" applyFill="1" applyBorder="1"/>
    <xf numFmtId="166" fontId="0" fillId="0" borderId="0" xfId="0" applyNumberFormat="1" applyFill="1"/>
    <xf numFmtId="165" fontId="0" fillId="0" borderId="0" xfId="0" applyNumberFormat="1" applyFill="1"/>
    <xf numFmtId="10" fontId="12" fillId="3" borderId="63" xfId="1" applyNumberFormat="1" applyFont="1" applyFill="1" applyBorder="1" applyAlignment="1">
      <alignment horizontal="right"/>
    </xf>
    <xf numFmtId="164" fontId="0" fillId="0" borderId="0" xfId="0" applyNumberFormat="1" applyFill="1"/>
    <xf numFmtId="0" fontId="12" fillId="3" borderId="27" xfId="0" applyFont="1" applyFill="1" applyBorder="1" applyAlignment="1">
      <alignment horizontal="center" vertical="center"/>
    </xf>
    <xf numFmtId="10" fontId="12" fillId="3" borderId="64" xfId="1" applyNumberFormat="1" applyFont="1" applyFill="1" applyBorder="1" applyAlignment="1">
      <alignment vertical="center"/>
    </xf>
    <xf numFmtId="0" fontId="0" fillId="0" borderId="7" xfId="0" applyBorder="1"/>
    <xf numFmtId="0" fontId="0" fillId="5" borderId="7" xfId="0" applyFill="1" applyBorder="1"/>
    <xf numFmtId="10" fontId="15" fillId="0" borderId="0" xfId="0" applyNumberFormat="1" applyFont="1"/>
    <xf numFmtId="0" fontId="0" fillId="0" borderId="7" xfId="0" applyBorder="1" applyAlignment="1">
      <alignment horizontal="left"/>
    </xf>
    <xf numFmtId="10" fontId="0" fillId="5" borderId="7" xfId="0" applyNumberFormat="1" applyFill="1" applyBorder="1"/>
    <xf numFmtId="0" fontId="0" fillId="0" borderId="7" xfId="0" applyFill="1" applyBorder="1" applyAlignment="1">
      <alignment horizontal="left"/>
    </xf>
    <xf numFmtId="0" fontId="0" fillId="5" borderId="6" xfId="0" applyFill="1" applyBorder="1"/>
    <xf numFmtId="10" fontId="16" fillId="3" borderId="63" xfId="1" applyNumberFormat="1" applyFont="1" applyFill="1" applyBorder="1"/>
    <xf numFmtId="10" fontId="16" fillId="3" borderId="64" xfId="1" applyNumberFormat="1" applyFont="1" applyFill="1" applyBorder="1" applyAlignment="1">
      <alignment vertical="center"/>
    </xf>
    <xf numFmtId="168" fontId="0" fillId="0" borderId="0" xfId="0" applyNumberFormat="1" applyFill="1"/>
    <xf numFmtId="2" fontId="0" fillId="0" borderId="0" xfId="0" applyNumberFormat="1" applyFill="1"/>
    <xf numFmtId="2" fontId="0" fillId="3" borderId="0" xfId="0" applyNumberFormat="1" applyFill="1"/>
    <xf numFmtId="164" fontId="2" fillId="0" borderId="0" xfId="0" applyNumberFormat="1" applyFont="1" applyFill="1"/>
    <xf numFmtId="39" fontId="0" fillId="0" borderId="0" xfId="0" applyNumberFormat="1" applyFill="1"/>
    <xf numFmtId="2" fontId="1" fillId="5" borderId="0" xfId="0" applyNumberFormat="1" applyFont="1" applyFill="1"/>
    <xf numFmtId="164" fontId="0" fillId="5" borderId="0" xfId="0" applyNumberFormat="1" applyFill="1"/>
    <xf numFmtId="2" fontId="2" fillId="0" borderId="0" xfId="0" applyNumberFormat="1" applyFont="1" applyFill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4" fontId="5" fillId="0" borderId="0" xfId="0" applyNumberFormat="1" applyFont="1"/>
    <xf numFmtId="0" fontId="5" fillId="0" borderId="0" xfId="0" applyFont="1"/>
    <xf numFmtId="0" fontId="0" fillId="0" borderId="1" xfId="0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3" borderId="6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1" fillId="0" borderId="65" xfId="0" applyFont="1" applyFill="1" applyBorder="1" applyAlignment="1">
      <alignment horizontal="center" vertical="center"/>
    </xf>
    <xf numFmtId="0" fontId="11" fillId="0" borderId="66" xfId="0" applyFont="1" applyFill="1" applyBorder="1" applyAlignment="1">
      <alignment horizontal="center" vertical="center"/>
    </xf>
    <xf numFmtId="0" fontId="14" fillId="0" borderId="67" xfId="0" applyFont="1" applyFill="1" applyBorder="1" applyAlignment="1">
      <alignment horizontal="center" vertical="center"/>
    </xf>
    <xf numFmtId="0" fontId="14" fillId="0" borderId="68" xfId="0" applyFont="1" applyFill="1" applyBorder="1" applyAlignment="1">
      <alignment horizontal="center" vertical="center"/>
    </xf>
    <xf numFmtId="0" fontId="14" fillId="0" borderId="69" xfId="0" applyFont="1" applyFill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0" borderId="6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3" fillId="0" borderId="9" xfId="0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Separador de milhares" xfId="2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2:K30"/>
  <sheetViews>
    <sheetView showGridLines="0" topLeftCell="A4" workbookViewId="0">
      <selection activeCell="F8" sqref="F8"/>
    </sheetView>
  </sheetViews>
  <sheetFormatPr defaultRowHeight="12.75"/>
  <cols>
    <col min="1" max="1" width="8.5703125" customWidth="1"/>
    <col min="2" max="2" width="30.85546875" customWidth="1"/>
    <col min="3" max="5" width="4.85546875" customWidth="1"/>
    <col min="6" max="6" width="6.28515625" customWidth="1"/>
    <col min="7" max="7" width="7.28515625" customWidth="1"/>
    <col min="9" max="9" width="3" customWidth="1"/>
  </cols>
  <sheetData>
    <row r="2" spans="1:11">
      <c r="B2" t="s">
        <v>0</v>
      </c>
    </row>
    <row r="3" spans="1:11">
      <c r="B3" t="s">
        <v>1</v>
      </c>
      <c r="C3" s="1">
        <v>0.03</v>
      </c>
      <c r="D3" t="s">
        <v>2</v>
      </c>
    </row>
    <row r="4" spans="1:11">
      <c r="A4" s="2" t="s">
        <v>11</v>
      </c>
      <c r="B4" s="2" t="s">
        <v>3</v>
      </c>
      <c r="C4" s="203" t="s">
        <v>4</v>
      </c>
      <c r="D4" s="203"/>
      <c r="E4" s="203"/>
      <c r="F4" s="2" t="s">
        <v>5</v>
      </c>
      <c r="G4" s="2" t="s">
        <v>12</v>
      </c>
      <c r="H4" s="2" t="s">
        <v>9</v>
      </c>
    </row>
    <row r="5" spans="1:11">
      <c r="A5" s="7">
        <v>12</v>
      </c>
      <c r="B5" t="s">
        <v>10</v>
      </c>
      <c r="C5">
        <v>51</v>
      </c>
      <c r="D5">
        <v>21</v>
      </c>
      <c r="F5">
        <f>(C5+D5)/2</f>
        <v>36</v>
      </c>
      <c r="G5" s="8">
        <v>0.12</v>
      </c>
      <c r="H5" s="9">
        <f>F5*G5</f>
        <v>4.32</v>
      </c>
    </row>
    <row r="6" spans="1:11">
      <c r="A6" s="7">
        <v>9.25</v>
      </c>
      <c r="B6" t="s">
        <v>13</v>
      </c>
      <c r="C6">
        <v>45</v>
      </c>
      <c r="D6">
        <v>15</v>
      </c>
      <c r="F6">
        <f>(C6+D6)/2</f>
        <v>30</v>
      </c>
      <c r="G6" s="8">
        <v>9.2499999999999999E-2</v>
      </c>
      <c r="H6" s="9">
        <f>F6*G6</f>
        <v>2.7749999999999999</v>
      </c>
    </row>
    <row r="7" spans="1:11">
      <c r="A7" s="7">
        <v>7.5</v>
      </c>
      <c r="B7" t="s">
        <v>14</v>
      </c>
      <c r="C7">
        <v>45</v>
      </c>
      <c r="D7">
        <v>15</v>
      </c>
      <c r="F7">
        <f>(C7+D7)/2</f>
        <v>30</v>
      </c>
      <c r="G7" s="8">
        <v>7.4999999999999997E-2</v>
      </c>
      <c r="H7" s="9">
        <f>F7*G7</f>
        <v>2.25</v>
      </c>
    </row>
    <row r="8" spans="1:11">
      <c r="A8" s="7">
        <v>1.89</v>
      </c>
      <c r="B8" t="s">
        <v>15</v>
      </c>
      <c r="C8">
        <v>182</v>
      </c>
      <c r="D8">
        <v>91</v>
      </c>
      <c r="F8">
        <f>(C8+D8)/2</f>
        <v>136.5</v>
      </c>
      <c r="G8" s="8">
        <v>1.89E-2</v>
      </c>
      <c r="H8" s="9">
        <f>F8*G8</f>
        <v>2.57985</v>
      </c>
    </row>
    <row r="9" spans="1:11">
      <c r="A9" s="7">
        <v>6</v>
      </c>
      <c r="B9" t="s">
        <v>16</v>
      </c>
      <c r="C9">
        <v>101</v>
      </c>
      <c r="D9">
        <v>10</v>
      </c>
      <c r="F9" s="6">
        <f>(C9+D9)/2</f>
        <v>55.5</v>
      </c>
      <c r="G9" s="8">
        <v>0.06</v>
      </c>
      <c r="H9" s="9">
        <f>F9*G9</f>
        <v>3.33</v>
      </c>
    </row>
    <row r="10" spans="1:11">
      <c r="A10" s="7">
        <f>SUM(A5:A9)</f>
        <v>36.64</v>
      </c>
      <c r="G10" s="8">
        <f>SUM(G5:G9)</f>
        <v>0.3664</v>
      </c>
      <c r="H10" s="9">
        <f>SUM(H5:H9)</f>
        <v>15.254850000000001</v>
      </c>
    </row>
    <row r="13" spans="1:11">
      <c r="B13" t="s">
        <v>17</v>
      </c>
      <c r="J13" s="10">
        <f>H10/G10</f>
        <v>41.634415938864635</v>
      </c>
      <c r="K13" t="s">
        <v>18</v>
      </c>
    </row>
    <row r="16" spans="1:11">
      <c r="B16" t="s">
        <v>19</v>
      </c>
    </row>
    <row r="17" spans="2:5">
      <c r="B17" s="11" t="s">
        <v>20</v>
      </c>
    </row>
    <row r="18" spans="2:5">
      <c r="B18" s="11" t="s">
        <v>21</v>
      </c>
    </row>
    <row r="19" spans="2:5">
      <c r="B19" s="12" t="s">
        <v>22</v>
      </c>
    </row>
    <row r="20" spans="2:5">
      <c r="B20" s="11" t="s">
        <v>23</v>
      </c>
    </row>
    <row r="21" spans="2:5">
      <c r="B21" s="11" t="s">
        <v>24</v>
      </c>
    </row>
    <row r="22" spans="2:5">
      <c r="B22" s="12" t="s">
        <v>25</v>
      </c>
    </row>
    <row r="23" spans="2:5">
      <c r="B23" s="11" t="s">
        <v>26</v>
      </c>
      <c r="C23">
        <v>30</v>
      </c>
      <c r="E23" t="s">
        <v>33</v>
      </c>
    </row>
    <row r="24" spans="2:5">
      <c r="B24" s="11" t="s">
        <v>27</v>
      </c>
      <c r="C24">
        <v>31</v>
      </c>
    </row>
    <row r="25" spans="2:5">
      <c r="B25" s="12" t="s">
        <v>28</v>
      </c>
      <c r="C25">
        <v>30</v>
      </c>
      <c r="E25" t="s">
        <v>32</v>
      </c>
    </row>
    <row r="26" spans="2:5">
      <c r="B26" s="11" t="s">
        <v>29</v>
      </c>
      <c r="C26">
        <v>31</v>
      </c>
    </row>
    <row r="27" spans="2:5">
      <c r="B27" s="11" t="s">
        <v>30</v>
      </c>
      <c r="C27">
        <v>30</v>
      </c>
    </row>
    <row r="28" spans="2:5">
      <c r="B28" s="12" t="s">
        <v>31</v>
      </c>
      <c r="C28">
        <v>30</v>
      </c>
    </row>
    <row r="30" spans="2:5">
      <c r="B30" t="s">
        <v>34</v>
      </c>
    </row>
  </sheetData>
  <mergeCells count="1">
    <mergeCell ref="C4:E4"/>
  </mergeCells>
  <phoneticPr fontId="3" type="noConversion"/>
  <pageMargins left="0.78740157499999996" right="0.78740157499999996" top="0.984251969" bottom="0.984251969" header="0.49212598499999999" footer="0.49212598499999999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:AE40"/>
  <sheetViews>
    <sheetView showGridLines="0" tabSelected="1" topLeftCell="J17" workbookViewId="0">
      <selection activeCell="AA40" sqref="AA40"/>
    </sheetView>
  </sheetViews>
  <sheetFormatPr defaultRowHeight="12.75"/>
  <cols>
    <col min="1" max="1" width="30.85546875" hidden="1" customWidth="1"/>
    <col min="2" max="4" width="4.85546875" hidden="1" customWidth="1"/>
    <col min="5" max="5" width="6.28515625" hidden="1" customWidth="1"/>
    <col min="6" max="6" width="0" hidden="1" customWidth="1"/>
    <col min="7" max="7" width="10.42578125" hidden="1" customWidth="1"/>
    <col min="8" max="8" width="5.85546875" hidden="1" customWidth="1"/>
    <col min="9" max="9" width="0" hidden="1" customWidth="1"/>
    <col min="10" max="10" width="2.140625" customWidth="1"/>
    <col min="11" max="11" width="3.7109375" customWidth="1"/>
    <col min="15" max="15" width="7.42578125" customWidth="1"/>
    <col min="16" max="16" width="9.85546875" customWidth="1"/>
    <col min="17" max="17" width="7.140625" hidden="1" customWidth="1"/>
    <col min="18" max="18" width="9.85546875" hidden="1" customWidth="1"/>
    <col min="19" max="21" width="0" hidden="1" customWidth="1"/>
    <col min="22" max="22" width="1.28515625" customWidth="1"/>
    <col min="23" max="23" width="4.140625" customWidth="1"/>
    <col min="27" max="27" width="7.5703125" customWidth="1"/>
    <col min="28" max="28" width="10.42578125" customWidth="1"/>
    <col min="29" max="31" width="0" hidden="1" customWidth="1"/>
  </cols>
  <sheetData>
    <row r="1" spans="1:10" hidden="1">
      <c r="A1" s="14" t="s">
        <v>169</v>
      </c>
    </row>
    <row r="2" spans="1:10" hidden="1">
      <c r="A2" t="s">
        <v>0</v>
      </c>
    </row>
    <row r="3" spans="1:10" hidden="1">
      <c r="A3" t="s">
        <v>1</v>
      </c>
      <c r="B3" s="1">
        <v>0.03</v>
      </c>
      <c r="C3" t="s">
        <v>2</v>
      </c>
      <c r="F3" s="2" t="s">
        <v>6</v>
      </c>
      <c r="G3" s="3" t="s">
        <v>5</v>
      </c>
    </row>
    <row r="4" spans="1:10" hidden="1">
      <c r="A4" s="2" t="s">
        <v>3</v>
      </c>
      <c r="B4" s="203" t="s">
        <v>4</v>
      </c>
      <c r="C4" s="203"/>
      <c r="D4" s="203"/>
      <c r="E4" s="2" t="s">
        <v>5</v>
      </c>
      <c r="F4" s="4" t="s">
        <v>7</v>
      </c>
      <c r="G4" s="5" t="s">
        <v>8</v>
      </c>
      <c r="H4" s="2" t="s">
        <v>12</v>
      </c>
      <c r="I4" s="2" t="s">
        <v>9</v>
      </c>
    </row>
    <row r="5" spans="1:10" hidden="1">
      <c r="A5" s="6" t="s">
        <v>35</v>
      </c>
      <c r="E5">
        <v>41</v>
      </c>
      <c r="F5">
        <v>0</v>
      </c>
      <c r="G5">
        <f>E5-F5</f>
        <v>41</v>
      </c>
      <c r="H5">
        <f>28.51-(H6+H7+H8+H9)</f>
        <v>10.280000000000005</v>
      </c>
      <c r="I5">
        <f>G5*H5</f>
        <v>421.48000000000019</v>
      </c>
    </row>
    <row r="6" spans="1:10" hidden="1">
      <c r="A6" s="6" t="s">
        <v>36</v>
      </c>
      <c r="E6">
        <f>45-7</f>
        <v>38</v>
      </c>
      <c r="F6">
        <v>6</v>
      </c>
      <c r="G6">
        <f>E6-F6</f>
        <v>32</v>
      </c>
      <c r="H6">
        <v>9.48</v>
      </c>
      <c r="I6">
        <f>G6*H6</f>
        <v>303.36</v>
      </c>
    </row>
    <row r="7" spans="1:10" hidden="1">
      <c r="A7" s="6" t="s">
        <v>37</v>
      </c>
      <c r="B7">
        <v>35</v>
      </c>
      <c r="C7">
        <v>20</v>
      </c>
      <c r="D7">
        <v>5</v>
      </c>
      <c r="E7">
        <f>(B7+C7+D7)/3</f>
        <v>20</v>
      </c>
      <c r="F7">
        <v>6</v>
      </c>
      <c r="G7">
        <f>E7-F7</f>
        <v>14</v>
      </c>
      <c r="H7">
        <v>7.42</v>
      </c>
      <c r="I7">
        <f>G7*H7</f>
        <v>103.88</v>
      </c>
    </row>
    <row r="8" spans="1:10" hidden="1">
      <c r="A8" s="6" t="s">
        <v>38</v>
      </c>
      <c r="B8">
        <v>45</v>
      </c>
      <c r="C8">
        <v>15</v>
      </c>
      <c r="E8">
        <f>(B8+C8)/2</f>
        <v>30</v>
      </c>
      <c r="F8">
        <v>6</v>
      </c>
      <c r="G8">
        <f>E8-F8</f>
        <v>24</v>
      </c>
      <c r="H8">
        <v>0.45</v>
      </c>
      <c r="I8">
        <f>G8*H8</f>
        <v>10.8</v>
      </c>
    </row>
    <row r="9" spans="1:10" hidden="1">
      <c r="A9" s="6" t="s">
        <v>39</v>
      </c>
      <c r="E9" s="6">
        <v>15</v>
      </c>
      <c r="F9">
        <v>0</v>
      </c>
      <c r="G9">
        <f>E9-F9</f>
        <v>15</v>
      </c>
      <c r="H9">
        <v>0.88</v>
      </c>
      <c r="I9">
        <f>G9*H9</f>
        <v>13.2</v>
      </c>
    </row>
    <row r="10" spans="1:10" hidden="1">
      <c r="H10">
        <f>SUM(H5:H9)</f>
        <v>28.510000000000005</v>
      </c>
      <c r="I10">
        <f>SUM(I5:I9)</f>
        <v>852.72000000000014</v>
      </c>
    </row>
    <row r="11" spans="1:10" hidden="1"/>
    <row r="12" spans="1:10" hidden="1">
      <c r="A12" t="s">
        <v>170</v>
      </c>
      <c r="I12" s="13">
        <f>I10/H10</f>
        <v>29.909505436688882</v>
      </c>
      <c r="J12" t="s">
        <v>18</v>
      </c>
    </row>
    <row r="13" spans="1:10" hidden="1"/>
    <row r="14" spans="1:10" hidden="1"/>
    <row r="15" spans="1:10" hidden="1">
      <c r="A15" t="s">
        <v>171</v>
      </c>
    </row>
    <row r="17" spans="11:31" ht="15">
      <c r="K17" s="15"/>
      <c r="L17" s="16" t="s">
        <v>42</v>
      </c>
      <c r="M17" s="16"/>
      <c r="N17" s="16"/>
      <c r="O17" s="16"/>
      <c r="P17" s="17"/>
      <c r="Q17" s="16"/>
      <c r="R17" s="16"/>
      <c r="S17" s="16"/>
      <c r="W17" s="15"/>
      <c r="X17" s="16" t="s">
        <v>70</v>
      </c>
      <c r="Y17" s="16"/>
      <c r="Z17" s="16"/>
      <c r="AA17" s="16"/>
      <c r="AB17" s="17"/>
      <c r="AC17" s="16"/>
      <c r="AD17" s="16"/>
      <c r="AE17" s="16"/>
    </row>
    <row r="18" spans="11:31" ht="15">
      <c r="K18" s="18"/>
      <c r="L18" s="204" t="s">
        <v>43</v>
      </c>
      <c r="M18" s="205"/>
      <c r="N18" s="19">
        <v>3</v>
      </c>
      <c r="O18" s="20" t="s">
        <v>44</v>
      </c>
      <c r="P18" s="21" t="s">
        <v>45</v>
      </c>
      <c r="Q18" s="16"/>
      <c r="R18" s="21" t="s">
        <v>46</v>
      </c>
      <c r="S18" s="16"/>
      <c r="T18">
        <f>0.03/30*45</f>
        <v>4.4999999999999998E-2</v>
      </c>
      <c r="W18" s="18"/>
      <c r="X18" s="204" t="s">
        <v>43</v>
      </c>
      <c r="Y18" s="205"/>
      <c r="Z18" s="19">
        <v>3</v>
      </c>
      <c r="AA18" s="20" t="s">
        <v>44</v>
      </c>
      <c r="AB18" s="21" t="s">
        <v>45</v>
      </c>
      <c r="AC18" s="16"/>
      <c r="AD18" s="21" t="s">
        <v>46</v>
      </c>
      <c r="AE18" s="16"/>
    </row>
    <row r="19" spans="11:31" ht="15">
      <c r="K19" s="15"/>
      <c r="L19" s="204" t="s">
        <v>47</v>
      </c>
      <c r="M19" s="205"/>
      <c r="N19" s="206"/>
      <c r="O19" s="21" t="s">
        <v>48</v>
      </c>
      <c r="P19" s="21" t="s">
        <v>49</v>
      </c>
      <c r="Q19" s="21" t="s">
        <v>4</v>
      </c>
      <c r="R19" s="21" t="s">
        <v>50</v>
      </c>
      <c r="S19" s="16"/>
      <c r="T19">
        <f>1-T18</f>
        <v>0.95499999999999996</v>
      </c>
      <c r="W19" s="15"/>
      <c r="X19" s="204" t="s">
        <v>47</v>
      </c>
      <c r="Y19" s="205"/>
      <c r="Z19" s="206"/>
      <c r="AA19" s="21" t="s">
        <v>48</v>
      </c>
      <c r="AB19" s="21" t="s">
        <v>49</v>
      </c>
      <c r="AC19" s="21" t="s">
        <v>4</v>
      </c>
      <c r="AD19" s="21" t="s">
        <v>50</v>
      </c>
      <c r="AE19" s="16"/>
    </row>
    <row r="20" spans="11:31" ht="19.5">
      <c r="K20" s="22">
        <v>1</v>
      </c>
      <c r="L20" s="204" t="s">
        <v>51</v>
      </c>
      <c r="M20" s="205"/>
      <c r="N20" s="205"/>
      <c r="O20" s="23">
        <f>O21+O22+O23+O24+O25+O26+N18</f>
        <v>26.25</v>
      </c>
      <c r="P20" s="24">
        <v>58.65</v>
      </c>
      <c r="Q20" s="21">
        <v>0</v>
      </c>
      <c r="R20" s="25">
        <f>P20*((100-((N18/30)*Q20))/100)</f>
        <v>58.65</v>
      </c>
      <c r="S20" s="26"/>
      <c r="T20" s="10">
        <f>27.07/T19</f>
        <v>28.345549738219898</v>
      </c>
      <c r="W20" s="22">
        <v>1</v>
      </c>
      <c r="X20" s="204" t="s">
        <v>51</v>
      </c>
      <c r="Y20" s="205"/>
      <c r="Z20" s="205"/>
      <c r="AA20" s="23">
        <f>AA21+AA22+AA23+AA24+AA25+AA26+Z18</f>
        <v>26.25</v>
      </c>
      <c r="AB20" s="24">
        <v>28.23</v>
      </c>
      <c r="AC20" s="21">
        <v>0</v>
      </c>
      <c r="AD20" s="25">
        <f>AB20*((100-((Z18/30)*AC20))/100)</f>
        <v>28.23</v>
      </c>
      <c r="AE20" s="26"/>
    </row>
    <row r="21" spans="11:31" ht="15">
      <c r="K21" s="22">
        <v>2</v>
      </c>
      <c r="L21" s="204" t="s">
        <v>52</v>
      </c>
      <c r="M21" s="205"/>
      <c r="N21" s="206"/>
      <c r="O21" s="23">
        <v>3</v>
      </c>
      <c r="P21" s="25">
        <f>P20*(O21/100)</f>
        <v>1.7594999999999998</v>
      </c>
      <c r="Q21" s="21">
        <v>36</v>
      </c>
      <c r="R21" s="25">
        <f>P21*((100-((N18/30)*Q21))/100)</f>
        <v>1.6961580000000001</v>
      </c>
      <c r="S21" s="26"/>
      <c r="T21" s="10"/>
      <c r="W21" s="22">
        <v>2</v>
      </c>
      <c r="X21" s="204" t="s">
        <v>52</v>
      </c>
      <c r="Y21" s="205"/>
      <c r="Z21" s="206"/>
      <c r="AA21" s="23">
        <v>3</v>
      </c>
      <c r="AB21" s="25">
        <f>AB20*(AA21/100)</f>
        <v>0.84689999999999999</v>
      </c>
      <c r="AC21" s="21">
        <v>36</v>
      </c>
      <c r="AD21" s="25">
        <f>AB21*((100-((Z18/30)*AC21))/100)</f>
        <v>0.81641160000000002</v>
      </c>
      <c r="AE21" s="26"/>
    </row>
    <row r="22" spans="11:31" ht="15">
      <c r="K22" s="22">
        <v>3</v>
      </c>
      <c r="L22" s="204" t="s">
        <v>53</v>
      </c>
      <c r="M22" s="205"/>
      <c r="N22" s="206"/>
      <c r="O22" s="23">
        <v>9.25</v>
      </c>
      <c r="P22" s="25">
        <f>P20*(O22/100)</f>
        <v>5.4251249999999995</v>
      </c>
      <c r="Q22" s="21">
        <v>30</v>
      </c>
      <c r="R22" s="25">
        <f>P22*((100-((N18/30)*Q22))/100)</f>
        <v>5.2623712499999993</v>
      </c>
      <c r="S22" s="26"/>
      <c r="T22" s="10"/>
      <c r="W22" s="22">
        <v>3</v>
      </c>
      <c r="X22" s="204" t="s">
        <v>53</v>
      </c>
      <c r="Y22" s="205"/>
      <c r="Z22" s="206"/>
      <c r="AA22" s="23">
        <v>9.25</v>
      </c>
      <c r="AB22" s="25">
        <f>AB20*(AA22/100)</f>
        <v>2.611275</v>
      </c>
      <c r="AC22" s="21">
        <v>30</v>
      </c>
      <c r="AD22" s="25">
        <f>AB22*((100-((Z18/30)*AC22))/100)</f>
        <v>2.5329367499999997</v>
      </c>
      <c r="AE22" s="26"/>
    </row>
    <row r="23" spans="11:31" ht="15">
      <c r="K23" s="22">
        <v>4</v>
      </c>
      <c r="L23" s="204" t="s">
        <v>54</v>
      </c>
      <c r="M23" s="205"/>
      <c r="N23" s="206"/>
      <c r="O23" s="23"/>
      <c r="P23" s="25">
        <f>P20*(O23/100)</f>
        <v>0</v>
      </c>
      <c r="Q23" s="21">
        <v>0</v>
      </c>
      <c r="R23" s="25">
        <f>P23*((100-((N18/30)*Q23))/100)</f>
        <v>0</v>
      </c>
      <c r="S23" s="26"/>
      <c r="T23" s="10"/>
      <c r="W23" s="22">
        <v>4</v>
      </c>
      <c r="X23" s="204" t="s">
        <v>54</v>
      </c>
      <c r="Y23" s="205"/>
      <c r="Z23" s="206"/>
      <c r="AA23" s="23"/>
      <c r="AB23" s="25">
        <f>AB20*(AA23/100)</f>
        <v>0</v>
      </c>
      <c r="AC23" s="21">
        <v>0</v>
      </c>
      <c r="AD23" s="25">
        <f>AB23*((100-((Z18/30)*AC23))/100)</f>
        <v>0</v>
      </c>
      <c r="AE23" s="26"/>
    </row>
    <row r="24" spans="11:31" ht="15">
      <c r="K24" s="22">
        <v>5</v>
      </c>
      <c r="L24" s="204" t="s">
        <v>14</v>
      </c>
      <c r="M24" s="205"/>
      <c r="N24" s="206"/>
      <c r="O24" s="23">
        <v>7</v>
      </c>
      <c r="P24" s="25">
        <f>P20*(O24/100)</f>
        <v>4.1055000000000001</v>
      </c>
      <c r="Q24" s="21">
        <v>30</v>
      </c>
      <c r="R24" s="25">
        <f>P24*((100-((N18/30)*Q24))/100)</f>
        <v>3.982335</v>
      </c>
      <c r="S24" s="27" t="s">
        <v>55</v>
      </c>
      <c r="T24" s="10"/>
      <c r="W24" s="22">
        <v>5</v>
      </c>
      <c r="X24" s="204" t="s">
        <v>14</v>
      </c>
      <c r="Y24" s="205"/>
      <c r="Z24" s="206"/>
      <c r="AA24" s="23">
        <v>7</v>
      </c>
      <c r="AB24" s="25">
        <f>AB20*(AA24/100)</f>
        <v>1.9761000000000002</v>
      </c>
      <c r="AC24" s="21">
        <v>30</v>
      </c>
      <c r="AD24" s="25">
        <f>AB24*((100-((Z18/30)*AC24))/100)</f>
        <v>1.9168170000000002</v>
      </c>
      <c r="AE24" s="27" t="s">
        <v>55</v>
      </c>
    </row>
    <row r="25" spans="11:31" ht="15">
      <c r="K25" s="22">
        <v>6</v>
      </c>
      <c r="L25" s="204" t="s">
        <v>39</v>
      </c>
      <c r="M25" s="205"/>
      <c r="N25" s="206"/>
      <c r="O25" s="23">
        <v>3</v>
      </c>
      <c r="P25" s="25">
        <f>P20*(O25/100)</f>
        <v>1.7594999999999998</v>
      </c>
      <c r="Q25" s="21">
        <v>15</v>
      </c>
      <c r="R25" s="25">
        <f>P25*((100-((N18/30)*Q25))/100)</f>
        <v>1.7331074999999998</v>
      </c>
      <c r="S25" s="29" t="s">
        <v>56</v>
      </c>
      <c r="T25" s="10"/>
      <c r="W25" s="22">
        <v>6</v>
      </c>
      <c r="X25" s="204" t="s">
        <v>39</v>
      </c>
      <c r="Y25" s="205"/>
      <c r="Z25" s="206"/>
      <c r="AA25" s="23">
        <v>3</v>
      </c>
      <c r="AB25" s="25">
        <f>AB20*(AA25/100)</f>
        <v>0.84689999999999999</v>
      </c>
      <c r="AC25" s="21">
        <v>15</v>
      </c>
      <c r="AD25" s="25">
        <f>AB25*((100-((Z18/30)*AC25))/100)</f>
        <v>0.83419650000000001</v>
      </c>
      <c r="AE25" s="29" t="s">
        <v>56</v>
      </c>
    </row>
    <row r="26" spans="11:31" ht="15">
      <c r="K26" s="22">
        <v>7</v>
      </c>
      <c r="L26" s="204" t="s">
        <v>173</v>
      </c>
      <c r="M26" s="205"/>
      <c r="N26" s="206"/>
      <c r="O26" s="21">
        <v>1</v>
      </c>
      <c r="P26" s="28">
        <f>P20*(O26/100)</f>
        <v>0.58650000000000002</v>
      </c>
      <c r="Q26" s="21"/>
      <c r="R26" s="25">
        <f>P26*((100-((N18/30)*Q26))/100)</f>
        <v>0.58650000000000002</v>
      </c>
      <c r="S26" s="29" t="s">
        <v>57</v>
      </c>
      <c r="T26" s="10"/>
      <c r="W26" s="22">
        <v>7</v>
      </c>
      <c r="X26" s="204" t="s">
        <v>173</v>
      </c>
      <c r="Y26" s="205"/>
      <c r="Z26" s="206"/>
      <c r="AA26" s="21">
        <v>1</v>
      </c>
      <c r="AB26" s="28">
        <f>AB20*(AA26/100)</f>
        <v>0.2823</v>
      </c>
      <c r="AC26" s="21"/>
      <c r="AD26" s="25">
        <f>AB26*((100-((Z18/30)*AC26))/100)</f>
        <v>0.2823</v>
      </c>
      <c r="AE26" s="29" t="s">
        <v>57</v>
      </c>
    </row>
    <row r="27" spans="11:31" ht="15">
      <c r="K27" s="22">
        <v>8</v>
      </c>
      <c r="L27" s="204" t="s">
        <v>58</v>
      </c>
      <c r="M27" s="205"/>
      <c r="N27" s="206"/>
      <c r="O27" s="21"/>
      <c r="P27" s="25">
        <f>P20-(P21+P22+P23+P24+P25+P26)</f>
        <v>45.013874999999999</v>
      </c>
      <c r="Q27" s="21"/>
      <c r="R27" s="25">
        <f>R20-(R21+R22+R23+R24+R25+R26)</f>
        <v>45.389528249999998</v>
      </c>
      <c r="S27" s="30">
        <f>P28+P29+P31</f>
        <v>29.37</v>
      </c>
      <c r="T27" s="10"/>
      <c r="W27" s="22">
        <v>8</v>
      </c>
      <c r="X27" s="204" t="s">
        <v>58</v>
      </c>
      <c r="Y27" s="205"/>
      <c r="Z27" s="206"/>
      <c r="AA27" s="21"/>
      <c r="AB27" s="25">
        <f>AB20-(AB21+AB22+AB23+AB24+AB25+AB26)</f>
        <v>21.666525</v>
      </c>
      <c r="AC27" s="21"/>
      <c r="AD27" s="25">
        <f>AD20-(AD21+AD22+AD23+AD24+AD25+AD26)</f>
        <v>21.847338149999999</v>
      </c>
      <c r="AE27" s="30">
        <f>AB28+AB29+AB31</f>
        <v>16.899999999999999</v>
      </c>
    </row>
    <row r="28" spans="11:31" ht="15">
      <c r="K28" s="22">
        <v>9</v>
      </c>
      <c r="L28" s="204" t="s">
        <v>59</v>
      </c>
      <c r="M28" s="205"/>
      <c r="N28" s="206"/>
      <c r="O28" s="21"/>
      <c r="P28" s="31">
        <v>16.260000000000002</v>
      </c>
      <c r="Q28" s="21">
        <v>32</v>
      </c>
      <c r="R28" s="25">
        <f>P28*((100-((N18/30)*Q28))/100)</f>
        <v>15.739680000000002</v>
      </c>
      <c r="S28" s="32">
        <f>P28/S27*100</f>
        <v>55.362614913176714</v>
      </c>
      <c r="T28" s="10"/>
      <c r="W28" s="22">
        <v>9</v>
      </c>
      <c r="X28" s="204" t="s">
        <v>59</v>
      </c>
      <c r="Y28" s="205"/>
      <c r="Z28" s="206"/>
      <c r="AA28" s="21"/>
      <c r="AB28" s="31">
        <v>12.42</v>
      </c>
      <c r="AC28" s="21">
        <v>32</v>
      </c>
      <c r="AD28" s="25">
        <f>AB28*((100-((Z18/30)*AC28))/100)</f>
        <v>12.02256</v>
      </c>
      <c r="AE28" s="32">
        <f>AB28/AE27*100</f>
        <v>73.491124260355036</v>
      </c>
    </row>
    <row r="29" spans="11:31" ht="15">
      <c r="K29" s="22" t="s">
        <v>60</v>
      </c>
      <c r="L29" s="204" t="s">
        <v>61</v>
      </c>
      <c r="M29" s="205"/>
      <c r="N29" s="206"/>
      <c r="O29" s="21"/>
      <c r="P29" s="23">
        <v>8.8000000000000007</v>
      </c>
      <c r="Q29" s="21">
        <v>24</v>
      </c>
      <c r="R29" s="25">
        <f>P29*((100-((N18/30)*Q29))/100)</f>
        <v>8.5888000000000009</v>
      </c>
      <c r="S29" s="32">
        <f>P29/S27*100</f>
        <v>29.962546816479403</v>
      </c>
      <c r="T29" s="10"/>
      <c r="W29" s="22" t="s">
        <v>60</v>
      </c>
      <c r="X29" s="204" t="s">
        <v>61</v>
      </c>
      <c r="Y29" s="205"/>
      <c r="Z29" s="206"/>
      <c r="AA29" s="21"/>
      <c r="AB29" s="23">
        <v>0.32</v>
      </c>
      <c r="AC29" s="21">
        <v>24</v>
      </c>
      <c r="AD29" s="25">
        <f>AB29*((100-((Z18/30)*AC29))/100)</f>
        <v>0.31231999999999999</v>
      </c>
      <c r="AE29" s="32">
        <f>AB29/AE27*100</f>
        <v>1.8934911242603554</v>
      </c>
    </row>
    <row r="30" spans="11:31" ht="15">
      <c r="K30" s="22" t="s">
        <v>62</v>
      </c>
      <c r="L30" s="204" t="s">
        <v>63</v>
      </c>
      <c r="M30" s="205"/>
      <c r="N30" s="206"/>
      <c r="O30" s="33">
        <f>(P30/P20)*100</f>
        <v>34.021952259164529</v>
      </c>
      <c r="P30" s="25">
        <f>P27-(P28+P29)</f>
        <v>19.953874999999996</v>
      </c>
      <c r="Q30" s="23"/>
      <c r="R30" s="25">
        <f>R27-(R28+R29)</f>
        <v>21.061048249999995</v>
      </c>
      <c r="S30" s="32"/>
      <c r="T30" s="10"/>
      <c r="W30" s="22" t="s">
        <v>62</v>
      </c>
      <c r="X30" s="204" t="s">
        <v>63</v>
      </c>
      <c r="Y30" s="205"/>
      <c r="Z30" s="206"/>
      <c r="AA30" s="33">
        <f>(AB30/AB20)*100</f>
        <v>31.620704923839888</v>
      </c>
      <c r="AB30" s="25">
        <f>AB27-(AB28+AB29)</f>
        <v>8.9265249999999998</v>
      </c>
      <c r="AC30" s="23"/>
      <c r="AD30" s="25">
        <f>AD27-(AD28+AD29)</f>
        <v>9.5124581499999987</v>
      </c>
      <c r="AE30" s="32"/>
    </row>
    <row r="31" spans="11:31" ht="15">
      <c r="K31" s="22" t="s">
        <v>64</v>
      </c>
      <c r="L31" s="204" t="s">
        <v>65</v>
      </c>
      <c r="M31" s="205"/>
      <c r="N31" s="206"/>
      <c r="O31" s="21">
        <v>7.42</v>
      </c>
      <c r="P31" s="23">
        <v>4.3099999999999996</v>
      </c>
      <c r="Q31" s="21">
        <v>14</v>
      </c>
      <c r="R31" s="25">
        <f>P31*((100-((N18/30)*Q31))/100)</f>
        <v>4.2496599999999995</v>
      </c>
      <c r="S31" s="32">
        <f>P31/S27*100</f>
        <v>14.674838270343887</v>
      </c>
      <c r="T31" s="10"/>
      <c r="W31" s="22" t="s">
        <v>64</v>
      </c>
      <c r="X31" s="204" t="s">
        <v>65</v>
      </c>
      <c r="Y31" s="205"/>
      <c r="Z31" s="206"/>
      <c r="AA31" s="21">
        <v>7.42</v>
      </c>
      <c r="AB31" s="23">
        <v>4.16</v>
      </c>
      <c r="AC31" s="21">
        <v>14</v>
      </c>
      <c r="AD31" s="25">
        <f>AB31*((100-((Z18/30)*AC31))/100)</f>
        <v>4.1017600000000005</v>
      </c>
      <c r="AE31" s="32">
        <f>AB31/AE27*100</f>
        <v>24.61538461538462</v>
      </c>
    </row>
    <row r="32" spans="11:31" ht="19.5">
      <c r="K32" s="22" t="s">
        <v>66</v>
      </c>
      <c r="L32" s="207" t="s">
        <v>67</v>
      </c>
      <c r="M32" s="208"/>
      <c r="N32" s="209"/>
      <c r="O32" s="34"/>
      <c r="P32" s="35">
        <f>P30-P31</f>
        <v>15.643874999999998</v>
      </c>
      <c r="Q32" s="34"/>
      <c r="R32" s="36">
        <f>R30-R31</f>
        <v>16.811388249999997</v>
      </c>
      <c r="S32" s="37"/>
      <c r="T32" s="10"/>
      <c r="W32" s="22" t="s">
        <v>66</v>
      </c>
      <c r="X32" s="207" t="s">
        <v>67</v>
      </c>
      <c r="Y32" s="208"/>
      <c r="Z32" s="209"/>
      <c r="AA32" s="34"/>
      <c r="AB32" s="35">
        <f>AB30-AB31</f>
        <v>4.7665249999999997</v>
      </c>
      <c r="AC32" s="34"/>
      <c r="AD32" s="36">
        <f>AD30-AD31</f>
        <v>5.4106981499999982</v>
      </c>
      <c r="AE32" s="37"/>
    </row>
    <row r="33" spans="11:31" ht="15">
      <c r="K33" s="22" t="s">
        <v>68</v>
      </c>
      <c r="L33" s="210" t="s">
        <v>69</v>
      </c>
      <c r="M33" s="211"/>
      <c r="N33" s="212"/>
      <c r="O33" s="39">
        <f>P32/P20*100</f>
        <v>26.673273657288998</v>
      </c>
      <c r="P33" s="40"/>
      <c r="Q33" s="40"/>
      <c r="R33" s="39">
        <f>R32/R20*100</f>
        <v>28.663918584825232</v>
      </c>
      <c r="S33" s="37"/>
      <c r="T33" s="10"/>
      <c r="W33" s="22" t="s">
        <v>68</v>
      </c>
      <c r="X33" s="210" t="s">
        <v>69</v>
      </c>
      <c r="Y33" s="211"/>
      <c r="Z33" s="212"/>
      <c r="AA33" s="39">
        <f>AB32/AB20*100</f>
        <v>16.884608572440666</v>
      </c>
      <c r="AB33" s="40"/>
      <c r="AC33" s="40"/>
      <c r="AD33" s="39">
        <f>AD32/AD20*100</f>
        <v>19.166482996811894</v>
      </c>
      <c r="AE33" s="37"/>
    </row>
    <row r="34" spans="11:31">
      <c r="N34" s="200" t="s">
        <v>9</v>
      </c>
      <c r="O34">
        <v>1</v>
      </c>
      <c r="AA34">
        <v>3</v>
      </c>
    </row>
    <row r="35" spans="11:31">
      <c r="AA35">
        <f>AA33*3</f>
        <v>50.653825717321993</v>
      </c>
    </row>
    <row r="36" spans="11:31">
      <c r="P36">
        <f>850*21</f>
        <v>17850</v>
      </c>
      <c r="AA36">
        <f>(O33+AA35)/4</f>
        <v>19.331774843652749</v>
      </c>
    </row>
    <row r="37" spans="11:31">
      <c r="AA37">
        <v>3</v>
      </c>
      <c r="AB37" t="s">
        <v>172</v>
      </c>
    </row>
    <row r="38" spans="11:31" ht="19.5">
      <c r="AA38" s="202">
        <f>AA36-AA37</f>
        <v>16.331774843652749</v>
      </c>
    </row>
    <row r="39" spans="11:31">
      <c r="R39">
        <f>0.03/30*136</f>
        <v>0.13600000000000001</v>
      </c>
      <c r="AA39">
        <v>4</v>
      </c>
    </row>
    <row r="40" spans="11:31" ht="19.5">
      <c r="R40">
        <f>0.24*(1-R39)</f>
        <v>0.20735999999999999</v>
      </c>
      <c r="AA40" s="201">
        <f>AA38-AA39</f>
        <v>12.331774843652749</v>
      </c>
    </row>
  </sheetData>
  <mergeCells count="33">
    <mergeCell ref="B4:D4"/>
    <mergeCell ref="L18:M18"/>
    <mergeCell ref="L19:N19"/>
    <mergeCell ref="L20:N20"/>
    <mergeCell ref="L33:N33"/>
    <mergeCell ref="L29:N29"/>
    <mergeCell ref="L30:N30"/>
    <mergeCell ref="L31:N31"/>
    <mergeCell ref="L32:N32"/>
    <mergeCell ref="L25:N25"/>
    <mergeCell ref="L26:N26"/>
    <mergeCell ref="L27:N27"/>
    <mergeCell ref="L28:N28"/>
    <mergeCell ref="X23:Z23"/>
    <mergeCell ref="L21:N21"/>
    <mergeCell ref="L22:N22"/>
    <mergeCell ref="L23:N23"/>
    <mergeCell ref="L24:N24"/>
    <mergeCell ref="X18:Y18"/>
    <mergeCell ref="X19:Z19"/>
    <mergeCell ref="X20:Z20"/>
    <mergeCell ref="X21:Z21"/>
    <mergeCell ref="X22:Z22"/>
    <mergeCell ref="X30:Z30"/>
    <mergeCell ref="X31:Z31"/>
    <mergeCell ref="X32:Z32"/>
    <mergeCell ref="X33:Z33"/>
    <mergeCell ref="X24:Z24"/>
    <mergeCell ref="X25:Z25"/>
    <mergeCell ref="X26:Z26"/>
    <mergeCell ref="X27:Z27"/>
    <mergeCell ref="X28:Z28"/>
    <mergeCell ref="X29:Z29"/>
  </mergeCells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/>
  <dimension ref="A1:S36"/>
  <sheetViews>
    <sheetView showGridLines="0" workbookViewId="0">
      <selection activeCell="C18" sqref="C18"/>
    </sheetView>
  </sheetViews>
  <sheetFormatPr defaultRowHeight="12.75"/>
  <cols>
    <col min="1" max="1" width="30.85546875" customWidth="1"/>
    <col min="2" max="4" width="4.85546875" customWidth="1"/>
    <col min="5" max="5" width="6.28515625" customWidth="1"/>
    <col min="7" max="7" width="10.42578125" customWidth="1"/>
    <col min="8" max="8" width="6.42578125" customWidth="1"/>
    <col min="9" max="9" width="7.7109375" customWidth="1"/>
    <col min="10" max="10" width="2.140625" customWidth="1"/>
    <col min="11" max="11" width="5.140625" customWidth="1"/>
    <col min="16" max="16" width="9.85546875" customWidth="1"/>
    <col min="17" max="17" width="6.28515625" customWidth="1"/>
    <col min="18" max="18" width="10" customWidth="1"/>
  </cols>
  <sheetData>
    <row r="1" spans="1:10">
      <c r="A1" s="14" t="s">
        <v>40</v>
      </c>
    </row>
    <row r="2" spans="1:10">
      <c r="A2" t="s">
        <v>0</v>
      </c>
    </row>
    <row r="3" spans="1:10">
      <c r="A3" t="s">
        <v>1</v>
      </c>
      <c r="B3" s="1">
        <v>0.03</v>
      </c>
      <c r="C3" t="s">
        <v>2</v>
      </c>
      <c r="F3" s="2" t="s">
        <v>6</v>
      </c>
      <c r="G3" s="3" t="s">
        <v>5</v>
      </c>
    </row>
    <row r="4" spans="1:10">
      <c r="A4" s="2" t="s">
        <v>3</v>
      </c>
      <c r="B4" s="203" t="s">
        <v>4</v>
      </c>
      <c r="C4" s="203"/>
      <c r="D4" s="203"/>
      <c r="E4" s="2" t="s">
        <v>5</v>
      </c>
      <c r="F4" s="4" t="s">
        <v>7</v>
      </c>
      <c r="G4" s="5" t="s">
        <v>8</v>
      </c>
      <c r="H4" s="3" t="s">
        <v>12</v>
      </c>
      <c r="I4" s="3" t="s">
        <v>9</v>
      </c>
    </row>
    <row r="5" spans="1:10">
      <c r="A5" s="6" t="s">
        <v>35</v>
      </c>
      <c r="E5">
        <v>41</v>
      </c>
      <c r="F5">
        <v>0</v>
      </c>
      <c r="G5">
        <f>E5-F5</f>
        <v>41</v>
      </c>
      <c r="H5" s="199">
        <f>46.9-(H6+H7+H8+H9)</f>
        <v>17.189999999999998</v>
      </c>
      <c r="I5" s="199">
        <f>G5*H5</f>
        <v>704.79</v>
      </c>
    </row>
    <row r="6" spans="1:10">
      <c r="A6" s="6" t="s">
        <v>36</v>
      </c>
      <c r="E6">
        <f>60-7</f>
        <v>53</v>
      </c>
      <c r="F6">
        <v>6</v>
      </c>
      <c r="G6">
        <f>E6-F6</f>
        <v>47</v>
      </c>
      <c r="H6" s="199">
        <v>14.02</v>
      </c>
      <c r="I6" s="199">
        <f>G6*H6</f>
        <v>658.93999999999994</v>
      </c>
    </row>
    <row r="7" spans="1:10">
      <c r="A7" s="6" t="s">
        <v>37</v>
      </c>
      <c r="B7">
        <v>35</v>
      </c>
      <c r="C7">
        <v>20</v>
      </c>
      <c r="D7">
        <v>5</v>
      </c>
      <c r="E7">
        <f>(B7+C7+D7)/3</f>
        <v>20</v>
      </c>
      <c r="F7">
        <v>6</v>
      </c>
      <c r="G7">
        <f>E7-F7</f>
        <v>14</v>
      </c>
      <c r="H7" s="199">
        <v>7.38</v>
      </c>
      <c r="I7" s="199">
        <f>G7*H7</f>
        <v>103.32</v>
      </c>
    </row>
    <row r="8" spans="1:10">
      <c r="A8" s="6" t="s">
        <v>38</v>
      </c>
      <c r="B8">
        <v>45</v>
      </c>
      <c r="C8">
        <v>15</v>
      </c>
      <c r="E8">
        <f>(B8+C8)/2</f>
        <v>30</v>
      </c>
      <c r="F8">
        <v>6</v>
      </c>
      <c r="G8">
        <f>E8-F8</f>
        <v>24</v>
      </c>
      <c r="H8" s="199">
        <v>7.55</v>
      </c>
      <c r="I8" s="199">
        <f>G8*H8</f>
        <v>181.2</v>
      </c>
    </row>
    <row r="9" spans="1:10">
      <c r="A9" s="6" t="s">
        <v>39</v>
      </c>
      <c r="E9" s="6">
        <v>15</v>
      </c>
      <c r="F9">
        <v>0</v>
      </c>
      <c r="G9">
        <f>E9-F9</f>
        <v>15</v>
      </c>
      <c r="H9" s="199">
        <v>0.76</v>
      </c>
      <c r="I9" s="199">
        <f>G9*H9</f>
        <v>11.4</v>
      </c>
    </row>
    <row r="10" spans="1:10">
      <c r="H10" s="199">
        <f>SUM(H5:H9)</f>
        <v>46.899999999999991</v>
      </c>
      <c r="I10" s="199">
        <f>SUM(I5:I9)</f>
        <v>1659.65</v>
      </c>
    </row>
    <row r="12" spans="1:10">
      <c r="A12" t="s">
        <v>41</v>
      </c>
      <c r="I12" s="13">
        <f>I10/H10</f>
        <v>35.386993603411526</v>
      </c>
      <c r="J12" t="s">
        <v>18</v>
      </c>
    </row>
    <row r="13" spans="1:10">
      <c r="I13">
        <f>1-((0.03/30)*35)</f>
        <v>0.96499999999999997</v>
      </c>
    </row>
    <row r="14" spans="1:10">
      <c r="I14">
        <f>H10*I13</f>
        <v>45.258499999999991</v>
      </c>
    </row>
    <row r="15" spans="1:10">
      <c r="A15" t="s">
        <v>71</v>
      </c>
    </row>
    <row r="19" spans="11:19" ht="15">
      <c r="K19" s="15"/>
      <c r="L19" s="16" t="s">
        <v>42</v>
      </c>
      <c r="M19" s="16"/>
      <c r="N19" s="16"/>
      <c r="O19" s="16"/>
      <c r="P19" s="17"/>
      <c r="Q19" s="16"/>
      <c r="R19" s="16"/>
      <c r="S19" s="16"/>
    </row>
    <row r="20" spans="11:19" ht="15">
      <c r="K20" s="18"/>
      <c r="L20" s="204" t="s">
        <v>43</v>
      </c>
      <c r="M20" s="205"/>
      <c r="N20" s="19">
        <v>3</v>
      </c>
      <c r="O20" s="20" t="s">
        <v>44</v>
      </c>
      <c r="P20" s="21" t="s">
        <v>45</v>
      </c>
      <c r="Q20" s="16"/>
      <c r="R20" s="21" t="s">
        <v>46</v>
      </c>
      <c r="S20" s="16"/>
    </row>
    <row r="21" spans="11:19" ht="15">
      <c r="K21" s="15"/>
      <c r="L21" s="204" t="s">
        <v>47</v>
      </c>
      <c r="M21" s="205"/>
      <c r="N21" s="206"/>
      <c r="O21" s="21" t="s">
        <v>48</v>
      </c>
      <c r="P21" s="21" t="s">
        <v>49</v>
      </c>
      <c r="Q21" s="21" t="s">
        <v>4</v>
      </c>
      <c r="R21" s="21" t="s">
        <v>50</v>
      </c>
      <c r="S21" s="16"/>
    </row>
    <row r="22" spans="11:19" ht="19.5">
      <c r="K22" s="22">
        <v>1</v>
      </c>
      <c r="L22" s="204" t="s">
        <v>51</v>
      </c>
      <c r="M22" s="205"/>
      <c r="N22" s="205"/>
      <c r="O22" s="23">
        <f>O23+O24+O25+O26+O27+O28+N20</f>
        <v>31.75</v>
      </c>
      <c r="P22" s="24">
        <v>49.64</v>
      </c>
      <c r="Q22" s="21">
        <v>0</v>
      </c>
      <c r="R22" s="25">
        <f>P22*((100-((N20/30)*Q22))/100)</f>
        <v>49.64</v>
      </c>
      <c r="S22" s="26"/>
    </row>
    <row r="23" spans="11:19" ht="15">
      <c r="K23" s="22">
        <v>2</v>
      </c>
      <c r="L23" s="204" t="s">
        <v>52</v>
      </c>
      <c r="M23" s="205"/>
      <c r="N23" s="206"/>
      <c r="O23" s="23">
        <v>12</v>
      </c>
      <c r="P23" s="25">
        <f>P22*(O23/100)</f>
        <v>5.9567999999999994</v>
      </c>
      <c r="Q23" s="21">
        <v>36</v>
      </c>
      <c r="R23" s="25">
        <f>P23*((100-((N20/30)*Q23))/100)</f>
        <v>5.7423551999999995</v>
      </c>
      <c r="S23" s="26"/>
    </row>
    <row r="24" spans="11:19" ht="15">
      <c r="K24" s="22">
        <v>3</v>
      </c>
      <c r="L24" s="204" t="s">
        <v>53</v>
      </c>
      <c r="M24" s="205"/>
      <c r="N24" s="206"/>
      <c r="O24" s="23">
        <v>9.25</v>
      </c>
      <c r="P24" s="25">
        <f>P22*(O24/100)</f>
        <v>4.5917000000000003</v>
      </c>
      <c r="Q24" s="21">
        <v>30</v>
      </c>
      <c r="R24" s="25">
        <f>P24*((100-((N20/30)*Q24))/100)</f>
        <v>4.4539490000000006</v>
      </c>
      <c r="S24" s="26"/>
    </row>
    <row r="25" spans="11:19" ht="15">
      <c r="K25" s="22">
        <v>4</v>
      </c>
      <c r="L25" s="204" t="s">
        <v>54</v>
      </c>
      <c r="M25" s="205"/>
      <c r="N25" s="206"/>
      <c r="O25" s="23">
        <v>0</v>
      </c>
      <c r="P25" s="25">
        <f>P22*(O25/100)</f>
        <v>0</v>
      </c>
      <c r="Q25" s="21">
        <v>0</v>
      </c>
      <c r="R25" s="25">
        <f>P25*((100-((N20/30)*Q25))/100)</f>
        <v>0</v>
      </c>
      <c r="S25" s="26"/>
    </row>
    <row r="26" spans="11:19" ht="15">
      <c r="K26" s="22">
        <v>5</v>
      </c>
      <c r="L26" s="204" t="s">
        <v>14</v>
      </c>
      <c r="M26" s="205"/>
      <c r="N26" s="206"/>
      <c r="O26" s="23">
        <v>7.5</v>
      </c>
      <c r="P26" s="25">
        <f>P22*(O26/100)</f>
        <v>3.7229999999999999</v>
      </c>
      <c r="Q26" s="21">
        <v>30</v>
      </c>
      <c r="R26" s="25">
        <f>P26*((100-((N20/30)*Q26))/100)</f>
        <v>3.6113099999999996</v>
      </c>
      <c r="S26" s="27" t="s">
        <v>55</v>
      </c>
    </row>
    <row r="27" spans="11:19" ht="15">
      <c r="K27" s="22">
        <v>6</v>
      </c>
      <c r="L27" s="204" t="s">
        <v>39</v>
      </c>
      <c r="M27" s="205"/>
      <c r="N27" s="206"/>
      <c r="O27" s="23"/>
      <c r="P27" s="28">
        <v>0.76</v>
      </c>
      <c r="Q27" s="21">
        <v>15</v>
      </c>
      <c r="R27" s="25">
        <f>P27*((100-((N20/30)*Q27))/100)</f>
        <v>0.74860000000000004</v>
      </c>
      <c r="S27" s="29" t="s">
        <v>56</v>
      </c>
    </row>
    <row r="28" spans="11:19" ht="15">
      <c r="K28" s="22">
        <v>7</v>
      </c>
      <c r="L28" s="204"/>
      <c r="M28" s="205"/>
      <c r="N28" s="206"/>
      <c r="O28" s="21"/>
      <c r="P28" s="28">
        <f>P22*(O28/100)</f>
        <v>0</v>
      </c>
      <c r="Q28" s="21"/>
      <c r="R28" s="25">
        <f>P28*((100-((N20/30)*Q28))/100)</f>
        <v>0</v>
      </c>
      <c r="S28" s="29" t="s">
        <v>57</v>
      </c>
    </row>
    <row r="29" spans="11:19" ht="15">
      <c r="K29" s="22">
        <v>8</v>
      </c>
      <c r="L29" s="204" t="s">
        <v>58</v>
      </c>
      <c r="M29" s="205"/>
      <c r="N29" s="206"/>
      <c r="O29" s="21"/>
      <c r="P29" s="25">
        <f>P22-(P23+P24+P25+P26+P27+P28)</f>
        <v>34.608499999999999</v>
      </c>
      <c r="Q29" s="21"/>
      <c r="R29" s="25">
        <f>R22-(R23+R24+R25+R26+R27+R28)</f>
        <v>35.083785800000001</v>
      </c>
      <c r="S29" s="30">
        <f>P30+P31+P33</f>
        <v>31.521845500224998</v>
      </c>
    </row>
    <row r="30" spans="11:19" ht="15">
      <c r="K30" s="22">
        <v>9</v>
      </c>
      <c r="L30" s="204" t="s">
        <v>59</v>
      </c>
      <c r="M30" s="205"/>
      <c r="N30" s="206"/>
      <c r="O30" s="21"/>
      <c r="P30" s="31">
        <v>14.021845500224998</v>
      </c>
      <c r="Q30" s="21">
        <v>47</v>
      </c>
      <c r="R30" s="25">
        <f>P30*((100-((N20/30)*Q30))/100)</f>
        <v>13.362818761714422</v>
      </c>
      <c r="S30" s="32">
        <f>P30/S29*100</f>
        <v>44.482945962427593</v>
      </c>
    </row>
    <row r="31" spans="11:19" ht="15">
      <c r="K31" s="22" t="s">
        <v>60</v>
      </c>
      <c r="L31" s="204" t="s">
        <v>61</v>
      </c>
      <c r="M31" s="205"/>
      <c r="N31" s="206"/>
      <c r="O31" s="21"/>
      <c r="P31" s="23">
        <v>7.55</v>
      </c>
      <c r="Q31" s="21">
        <v>24</v>
      </c>
      <c r="R31" s="25">
        <f>P31*((100-((N20/30)*Q31))/100)</f>
        <v>7.3687999999999994</v>
      </c>
      <c r="S31" s="32">
        <f>P31/S29*100</f>
        <v>23.951643313352669</v>
      </c>
    </row>
    <row r="32" spans="11:19" ht="15">
      <c r="K32" s="22" t="s">
        <v>62</v>
      </c>
      <c r="L32" s="204" t="s">
        <v>63</v>
      </c>
      <c r="M32" s="205"/>
      <c r="N32" s="206"/>
      <c r="O32" s="33">
        <f>(P32/P22)*100</f>
        <v>26.262398267072928</v>
      </c>
      <c r="P32" s="25">
        <f>P29-(P30+P31)</f>
        <v>13.036654499775</v>
      </c>
      <c r="Q32" s="23"/>
      <c r="R32" s="25">
        <f>R29-(R30+R31)</f>
        <v>14.352167038285579</v>
      </c>
      <c r="S32" s="32"/>
    </row>
    <row r="33" spans="11:19" ht="15">
      <c r="K33" s="22" t="s">
        <v>64</v>
      </c>
      <c r="L33" s="204" t="s">
        <v>65</v>
      </c>
      <c r="M33" s="205"/>
      <c r="N33" s="206"/>
      <c r="O33" s="21"/>
      <c r="P33" s="23">
        <v>9.9499999999999993</v>
      </c>
      <c r="Q33" s="21">
        <v>14</v>
      </c>
      <c r="R33" s="25">
        <f>P33*((100-((N20/30)*Q33))/100)</f>
        <v>9.8106999999999989</v>
      </c>
      <c r="S33" s="32">
        <f>P33/S29*100</f>
        <v>31.565410724219738</v>
      </c>
    </row>
    <row r="34" spans="11:19" ht="19.5">
      <c r="K34" s="22" t="s">
        <v>66</v>
      </c>
      <c r="L34" s="207" t="s">
        <v>67</v>
      </c>
      <c r="M34" s="208"/>
      <c r="N34" s="209"/>
      <c r="O34" s="34"/>
      <c r="P34" s="35">
        <f>P32-P33</f>
        <v>3.0866544997750012</v>
      </c>
      <c r="Q34" s="34"/>
      <c r="R34" s="36">
        <f>R32-R33</f>
        <v>4.54146703828558</v>
      </c>
      <c r="S34" s="37"/>
    </row>
    <row r="35" spans="11:19" ht="15">
      <c r="K35" s="22" t="s">
        <v>68</v>
      </c>
      <c r="L35" s="210" t="s">
        <v>69</v>
      </c>
      <c r="M35" s="211"/>
      <c r="N35" s="212"/>
      <c r="O35" s="39">
        <f>P34/P22*100</f>
        <v>6.2180791695709132</v>
      </c>
      <c r="P35" s="40"/>
      <c r="Q35" s="40"/>
      <c r="R35" s="39">
        <f>R34/R22*100</f>
        <v>9.1488054759983477</v>
      </c>
      <c r="S35" s="37"/>
    </row>
    <row r="36" spans="11:19" ht="15">
      <c r="K36" s="15"/>
      <c r="L36" s="16"/>
      <c r="M36" s="16"/>
      <c r="N36" s="16"/>
      <c r="O36" s="16"/>
      <c r="P36" s="16"/>
      <c r="Q36" s="16"/>
      <c r="R36" s="16"/>
      <c r="S36" s="16"/>
    </row>
  </sheetData>
  <mergeCells count="17">
    <mergeCell ref="L27:N27"/>
    <mergeCell ref="L28:N28"/>
    <mergeCell ref="L29:N29"/>
    <mergeCell ref="L30:N30"/>
    <mergeCell ref="L35:N35"/>
    <mergeCell ref="L31:N31"/>
    <mergeCell ref="L32:N32"/>
    <mergeCell ref="L33:N33"/>
    <mergeCell ref="L34:N34"/>
    <mergeCell ref="L23:N23"/>
    <mergeCell ref="L24:N24"/>
    <mergeCell ref="L25:N25"/>
    <mergeCell ref="L26:N26"/>
    <mergeCell ref="B4:D4"/>
    <mergeCell ref="L20:M20"/>
    <mergeCell ref="L21:N21"/>
    <mergeCell ref="L22:N22"/>
  </mergeCells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Plan4"/>
  <dimension ref="A1:O85"/>
  <sheetViews>
    <sheetView showGridLines="0" topLeftCell="A36" workbookViewId="0">
      <selection activeCell="I74" sqref="I74"/>
    </sheetView>
  </sheetViews>
  <sheetFormatPr defaultRowHeight="12.75"/>
  <cols>
    <col min="1" max="1" width="25" style="41" customWidth="1"/>
    <col min="2" max="2" width="16.140625" style="41" customWidth="1"/>
    <col min="3" max="3" width="11.140625" style="41" customWidth="1"/>
    <col min="4" max="4" width="7.42578125" style="41" customWidth="1"/>
    <col min="5" max="5" width="6.140625" style="41" customWidth="1"/>
    <col min="6" max="6" width="7.42578125" style="41" customWidth="1"/>
    <col min="7" max="7" width="6.5703125" style="41" customWidth="1"/>
    <col min="8" max="8" width="6.7109375" style="41" customWidth="1"/>
    <col min="9" max="9" width="7.5703125" style="41" customWidth="1"/>
    <col min="10" max="10" width="7.140625" style="41" customWidth="1"/>
    <col min="11" max="11" width="6.5703125" style="41" customWidth="1"/>
    <col min="12" max="12" width="6" style="41" customWidth="1"/>
    <col min="13" max="13" width="5.7109375" style="41" customWidth="1"/>
    <col min="14" max="16384" width="9.140625" style="41"/>
  </cols>
  <sheetData>
    <row r="1" spans="1:12" ht="15.75" thickBot="1">
      <c r="A1" s="42" t="s">
        <v>72</v>
      </c>
      <c r="B1" s="43" t="s">
        <v>73</v>
      </c>
      <c r="C1" s="43"/>
      <c r="D1" s="44"/>
      <c r="E1" s="44"/>
      <c r="F1" s="44"/>
      <c r="G1" s="44"/>
      <c r="H1" s="44"/>
    </row>
    <row r="2" spans="1:12" ht="13.5" thickBot="1">
      <c r="A2" s="45" t="s">
        <v>74</v>
      </c>
      <c r="B2" s="38" t="s">
        <v>75</v>
      </c>
      <c r="C2" s="46" t="s">
        <v>76</v>
      </c>
      <c r="D2" s="222" t="s">
        <v>77</v>
      </c>
      <c r="E2" s="222"/>
      <c r="F2" s="222"/>
      <c r="G2" s="213" t="s">
        <v>78</v>
      </c>
      <c r="H2" s="214"/>
      <c r="I2" s="213" t="s">
        <v>78</v>
      </c>
      <c r="J2" s="214"/>
    </row>
    <row r="3" spans="1:12" ht="23.45" customHeight="1" thickBot="1">
      <c r="A3" s="48" t="s">
        <v>80</v>
      </c>
      <c r="B3" s="49" t="s">
        <v>81</v>
      </c>
      <c r="C3" s="50" t="s">
        <v>82</v>
      </c>
      <c r="D3" s="50" t="s">
        <v>83</v>
      </c>
      <c r="E3" s="50" t="s">
        <v>84</v>
      </c>
      <c r="F3" s="51" t="s">
        <v>85</v>
      </c>
      <c r="G3" s="49" t="s">
        <v>86</v>
      </c>
      <c r="H3" s="49" t="s">
        <v>87</v>
      </c>
      <c r="I3" s="49" t="s">
        <v>86</v>
      </c>
      <c r="J3" s="49" t="s">
        <v>87</v>
      </c>
    </row>
    <row r="4" spans="1:12" ht="13.5" thickTop="1">
      <c r="A4" s="52" t="s">
        <v>88</v>
      </c>
      <c r="B4" s="53"/>
      <c r="C4" s="54"/>
      <c r="D4" s="54"/>
      <c r="E4" s="55"/>
      <c r="F4" s="56"/>
      <c r="G4" s="58"/>
      <c r="H4" s="57"/>
      <c r="I4" s="58"/>
      <c r="J4" s="57"/>
      <c r="K4" s="192"/>
    </row>
    <row r="5" spans="1:12">
      <c r="A5" s="59" t="s">
        <v>89</v>
      </c>
      <c r="B5" s="53" t="s">
        <v>90</v>
      </c>
      <c r="C5" s="54" t="s">
        <v>91</v>
      </c>
      <c r="D5" s="54" t="s">
        <v>92</v>
      </c>
      <c r="E5" s="60">
        <v>1.42</v>
      </c>
      <c r="F5" s="61"/>
      <c r="G5" s="62">
        <v>2.4624999999999999</v>
      </c>
      <c r="H5" s="63">
        <f>E5*G5</f>
        <v>3.4967499999999996</v>
      </c>
      <c r="I5" s="62">
        <v>2.6989999999999998</v>
      </c>
      <c r="J5" s="63">
        <f t="shared" ref="J5:J12" si="0">SUM((E5+(E5*F5))*I5)</f>
        <v>3.8325799999999997</v>
      </c>
      <c r="K5" s="192"/>
    </row>
    <row r="6" spans="1:12">
      <c r="A6" s="59" t="s">
        <v>93</v>
      </c>
      <c r="B6" s="53"/>
      <c r="C6" s="54"/>
      <c r="D6" s="54"/>
      <c r="E6" s="60"/>
      <c r="F6" s="61"/>
      <c r="G6" s="62"/>
      <c r="H6" s="63">
        <f>SUM((E6+(E6*F6))*G6)</f>
        <v>0</v>
      </c>
      <c r="I6" s="62"/>
      <c r="J6" s="63">
        <f t="shared" si="0"/>
        <v>0</v>
      </c>
      <c r="K6" s="192"/>
    </row>
    <row r="7" spans="1:12">
      <c r="A7" s="59" t="s">
        <v>94</v>
      </c>
      <c r="B7" s="53"/>
      <c r="C7" s="54"/>
      <c r="D7" s="54"/>
      <c r="E7" s="60"/>
      <c r="F7" s="61"/>
      <c r="G7" s="62"/>
      <c r="H7" s="63">
        <f>SUM((E7+(E7*F7))*G7)</f>
        <v>0</v>
      </c>
      <c r="I7" s="62"/>
      <c r="J7" s="63">
        <f t="shared" si="0"/>
        <v>0</v>
      </c>
      <c r="K7" s="192"/>
    </row>
    <row r="8" spans="1:12">
      <c r="A8" s="64" t="s">
        <v>95</v>
      </c>
      <c r="B8" s="53"/>
      <c r="C8" s="54"/>
      <c r="D8" s="54"/>
      <c r="E8" s="65"/>
      <c r="F8" s="61"/>
      <c r="G8" s="62"/>
      <c r="H8" s="63">
        <f>SUM((E8+(E8*F8))*G8)</f>
        <v>0</v>
      </c>
      <c r="I8" s="62"/>
      <c r="J8" s="63">
        <f t="shared" si="0"/>
        <v>0</v>
      </c>
      <c r="K8" s="192"/>
    </row>
    <row r="9" spans="1:12">
      <c r="A9" s="64" t="s">
        <v>96</v>
      </c>
      <c r="B9" s="53" t="s">
        <v>90</v>
      </c>
      <c r="C9" s="54" t="s">
        <v>91</v>
      </c>
      <c r="D9" s="54" t="s">
        <v>92</v>
      </c>
      <c r="E9" s="60">
        <v>1.38</v>
      </c>
      <c r="F9" s="61"/>
      <c r="G9" s="62">
        <v>2.4624999999999999</v>
      </c>
      <c r="H9" s="63">
        <f>E9*G9</f>
        <v>3.3982499999999995</v>
      </c>
      <c r="I9" s="62">
        <v>2.6989999999999998</v>
      </c>
      <c r="J9" s="63">
        <f t="shared" si="0"/>
        <v>3.7246199999999994</v>
      </c>
      <c r="K9" s="192"/>
    </row>
    <row r="10" spans="1:12">
      <c r="A10" s="66" t="s">
        <v>97</v>
      </c>
      <c r="B10" s="53"/>
      <c r="C10" s="54"/>
      <c r="D10" s="54"/>
      <c r="E10" s="60"/>
      <c r="F10" s="61"/>
      <c r="G10" s="62"/>
      <c r="H10" s="63">
        <f>SUM((E10+(E10*F10))*G10)</f>
        <v>0</v>
      </c>
      <c r="I10" s="62"/>
      <c r="J10" s="63">
        <f t="shared" si="0"/>
        <v>0</v>
      </c>
      <c r="K10" s="192"/>
    </row>
    <row r="11" spans="1:12">
      <c r="A11" s="66"/>
      <c r="B11" s="53"/>
      <c r="C11" s="54"/>
      <c r="D11" s="54"/>
      <c r="E11" s="65"/>
      <c r="F11" s="61"/>
      <c r="G11" s="62"/>
      <c r="H11" s="63">
        <f>SUM((E11+(E11*F11))*G11)</f>
        <v>0</v>
      </c>
      <c r="I11" s="62"/>
      <c r="J11" s="63">
        <f t="shared" si="0"/>
        <v>0</v>
      </c>
      <c r="K11" s="192"/>
    </row>
    <row r="12" spans="1:12" ht="13.5" thickBot="1">
      <c r="A12" s="59" t="s">
        <v>98</v>
      </c>
      <c r="B12" s="53" t="s">
        <v>99</v>
      </c>
      <c r="C12" s="54" t="s">
        <v>100</v>
      </c>
      <c r="D12" s="54" t="s">
        <v>92</v>
      </c>
      <c r="E12" s="65">
        <v>0.21</v>
      </c>
      <c r="F12" s="61">
        <v>0.03</v>
      </c>
      <c r="G12" s="62">
        <v>0.27656249999999999</v>
      </c>
      <c r="H12" s="63">
        <f>E12*G12</f>
        <v>5.8078124999999994E-2</v>
      </c>
      <c r="I12" s="62">
        <v>0.39100000000000001</v>
      </c>
      <c r="J12" s="63">
        <f t="shared" si="0"/>
        <v>8.4573300000000004E-2</v>
      </c>
      <c r="K12" s="192"/>
      <c r="L12" s="191"/>
    </row>
    <row r="13" spans="1:12" ht="14.25" thickTop="1" thickBot="1">
      <c r="A13" s="67"/>
      <c r="B13" s="68"/>
      <c r="C13" s="69"/>
      <c r="D13" s="69"/>
      <c r="E13" s="70">
        <f>E5+E9</f>
        <v>2.8</v>
      </c>
      <c r="F13" s="71"/>
      <c r="G13" s="72"/>
      <c r="H13" s="73">
        <f>SUM(H5:H12)</f>
        <v>6.9530781249999993</v>
      </c>
      <c r="I13" s="72"/>
      <c r="J13" s="73">
        <f>SUM(J5:J12)</f>
        <v>7.6417732999999988</v>
      </c>
      <c r="K13" s="192">
        <f>J13-H13</f>
        <v>0.68869517499999944</v>
      </c>
    </row>
    <row r="14" spans="1:12">
      <c r="A14" s="52" t="s">
        <v>101</v>
      </c>
      <c r="B14" s="53"/>
      <c r="C14" s="54"/>
      <c r="D14" s="54"/>
      <c r="E14" s="60"/>
      <c r="F14" s="74"/>
      <c r="G14" s="75"/>
      <c r="H14" s="76"/>
      <c r="I14" s="75"/>
      <c r="J14" s="76"/>
      <c r="K14" s="192"/>
    </row>
    <row r="15" spans="1:12" s="77" customFormat="1" ht="13.5" thickBot="1">
      <c r="A15" s="78" t="s">
        <v>102</v>
      </c>
      <c r="B15" s="79" t="s">
        <v>103</v>
      </c>
      <c r="C15" s="80" t="s">
        <v>104</v>
      </c>
      <c r="D15" s="80" t="s">
        <v>105</v>
      </c>
      <c r="E15" s="81">
        <f>0.14+0.22</f>
        <v>0.36</v>
      </c>
      <c r="F15" s="82">
        <v>0.01</v>
      </c>
      <c r="G15" s="75">
        <v>0.96027499999999988</v>
      </c>
      <c r="H15" s="63">
        <f>SUM((E15+(E15*F15))*G15)</f>
        <v>0.34915598999999992</v>
      </c>
      <c r="I15" s="75">
        <v>0.96</v>
      </c>
      <c r="J15" s="63">
        <f>SUM((E15+(E15*F15))*I15)</f>
        <v>0.34905599999999998</v>
      </c>
      <c r="K15" s="193"/>
    </row>
    <row r="16" spans="1:12" ht="14.25" thickTop="1" thickBot="1">
      <c r="A16" s="67"/>
      <c r="B16" s="68"/>
      <c r="C16" s="69"/>
      <c r="D16" s="69"/>
      <c r="E16" s="70"/>
      <c r="F16" s="71"/>
      <c r="G16" s="72"/>
      <c r="H16" s="73">
        <f>SUM(H14:H15)</f>
        <v>0.34915598999999992</v>
      </c>
      <c r="I16" s="72"/>
      <c r="J16" s="73">
        <f>SUM(J14:J15)</f>
        <v>0.34905599999999998</v>
      </c>
      <c r="K16" s="192">
        <f>J16-H16</f>
        <v>-9.9989999999938739E-5</v>
      </c>
    </row>
    <row r="17" spans="1:11">
      <c r="A17" s="52" t="s">
        <v>106</v>
      </c>
      <c r="B17" s="53"/>
      <c r="C17" s="54"/>
      <c r="D17" s="54"/>
      <c r="E17" s="60"/>
      <c r="F17" s="74"/>
      <c r="G17" s="75"/>
      <c r="H17" s="76"/>
      <c r="I17" s="75"/>
      <c r="J17" s="76"/>
      <c r="K17" s="192"/>
    </row>
    <row r="18" spans="1:11">
      <c r="A18" s="59"/>
      <c r="B18" s="53"/>
      <c r="C18" s="54"/>
      <c r="D18" s="54"/>
      <c r="E18" s="60"/>
      <c r="F18" s="61"/>
      <c r="G18" s="75"/>
      <c r="H18" s="63"/>
      <c r="I18" s="75"/>
      <c r="J18" s="63"/>
      <c r="K18" s="192"/>
    </row>
    <row r="19" spans="1:11">
      <c r="A19" s="59" t="s">
        <v>107</v>
      </c>
      <c r="B19" s="53" t="s">
        <v>108</v>
      </c>
      <c r="C19" s="84"/>
      <c r="D19" s="84" t="s">
        <v>105</v>
      </c>
      <c r="E19" s="65">
        <v>0.12</v>
      </c>
      <c r="F19" s="61">
        <v>0.02</v>
      </c>
      <c r="G19" s="75">
        <v>0.35399999999999998</v>
      </c>
      <c r="H19" s="63">
        <f t="shared" ref="H19:H28" si="1">SUM((E19+(E19*F19))*G19)</f>
        <v>4.3329599999999996E-2</v>
      </c>
      <c r="I19" s="75">
        <v>0.35399999999999998</v>
      </c>
      <c r="J19" s="63">
        <f t="shared" ref="J19:J28" si="2">SUM((E19+(E19*F19))*I19)</f>
        <v>4.3329599999999996E-2</v>
      </c>
      <c r="K19" s="192"/>
    </row>
    <row r="20" spans="1:11">
      <c r="A20" s="85" t="s">
        <v>109</v>
      </c>
      <c r="B20" s="86" t="s">
        <v>108</v>
      </c>
      <c r="C20" s="87"/>
      <c r="D20" s="87" t="s">
        <v>105</v>
      </c>
      <c r="E20" s="88">
        <v>0.7</v>
      </c>
      <c r="F20" s="89">
        <v>0.02</v>
      </c>
      <c r="G20" s="90">
        <v>0.35399999999999998</v>
      </c>
      <c r="H20" s="63">
        <f t="shared" si="1"/>
        <v>0.25275599999999998</v>
      </c>
      <c r="I20" s="90">
        <v>0.35399999999999998</v>
      </c>
      <c r="J20" s="63">
        <f t="shared" si="2"/>
        <v>0.25275599999999998</v>
      </c>
      <c r="K20" s="192"/>
    </row>
    <row r="21" spans="1:11">
      <c r="A21" s="59" t="s">
        <v>110</v>
      </c>
      <c r="B21" s="53" t="s">
        <v>111</v>
      </c>
      <c r="C21" s="54"/>
      <c r="D21" s="54" t="s">
        <v>112</v>
      </c>
      <c r="E21" s="60">
        <v>1</v>
      </c>
      <c r="F21" s="61">
        <v>0.02</v>
      </c>
      <c r="G21" s="75">
        <v>0.25979625000000001</v>
      </c>
      <c r="H21" s="63">
        <f t="shared" si="1"/>
        <v>0.264992175</v>
      </c>
      <c r="I21" s="75">
        <v>0.26</v>
      </c>
      <c r="J21" s="63">
        <f t="shared" si="2"/>
        <v>0.26519999999999999</v>
      </c>
      <c r="K21" s="192"/>
    </row>
    <row r="22" spans="1:11">
      <c r="A22" s="59" t="s">
        <v>113</v>
      </c>
      <c r="B22" s="53" t="s">
        <v>114</v>
      </c>
      <c r="C22" s="84"/>
      <c r="D22" s="91" t="s">
        <v>112</v>
      </c>
      <c r="E22" s="92">
        <v>2</v>
      </c>
      <c r="F22" s="61">
        <v>0.02</v>
      </c>
      <c r="G22" s="75">
        <v>6.3031249999999997E-2</v>
      </c>
      <c r="H22" s="63">
        <f t="shared" si="1"/>
        <v>0.12858375</v>
      </c>
      <c r="I22" s="75">
        <v>6.3E-2</v>
      </c>
      <c r="J22" s="63">
        <f t="shared" si="2"/>
        <v>0.12852</v>
      </c>
      <c r="K22" s="192"/>
    </row>
    <row r="23" spans="1:11">
      <c r="A23" s="59" t="s">
        <v>115</v>
      </c>
      <c r="B23" s="53" t="s">
        <v>116</v>
      </c>
      <c r="C23" s="54"/>
      <c r="D23" s="54" t="s">
        <v>105</v>
      </c>
      <c r="E23" s="60">
        <v>0.7</v>
      </c>
      <c r="F23" s="61">
        <v>0.02</v>
      </c>
      <c r="G23" s="75">
        <v>0.17887200000000003</v>
      </c>
      <c r="H23" s="63">
        <f t="shared" si="1"/>
        <v>0.12771460800000001</v>
      </c>
      <c r="I23" s="75">
        <v>0.23799999999999999</v>
      </c>
      <c r="J23" s="63">
        <f t="shared" si="2"/>
        <v>0.16993199999999997</v>
      </c>
      <c r="K23" s="192"/>
    </row>
    <row r="24" spans="1:11">
      <c r="A24" s="85" t="s">
        <v>117</v>
      </c>
      <c r="B24" s="86" t="s">
        <v>116</v>
      </c>
      <c r="C24" s="87"/>
      <c r="D24" s="93" t="s">
        <v>105</v>
      </c>
      <c r="E24" s="94">
        <v>0.56000000000000005</v>
      </c>
      <c r="F24" s="89">
        <v>0.02</v>
      </c>
      <c r="G24" s="90">
        <v>0.17887200000000003</v>
      </c>
      <c r="H24" s="63">
        <f t="shared" si="1"/>
        <v>0.10217168640000003</v>
      </c>
      <c r="I24" s="90">
        <v>0.23799999999999999</v>
      </c>
      <c r="J24" s="63">
        <f t="shared" si="2"/>
        <v>0.1359456</v>
      </c>
      <c r="K24" s="192"/>
    </row>
    <row r="25" spans="1:11">
      <c r="A25" s="59" t="s">
        <v>118</v>
      </c>
      <c r="B25" s="53" t="s">
        <v>119</v>
      </c>
      <c r="C25" s="54"/>
      <c r="D25" s="95" t="s">
        <v>112</v>
      </c>
      <c r="E25" s="96">
        <v>1</v>
      </c>
      <c r="F25" s="61">
        <v>0.01</v>
      </c>
      <c r="G25" s="75">
        <v>2.7224999999999996E-2</v>
      </c>
      <c r="H25" s="63">
        <f t="shared" si="1"/>
        <v>2.7497249999999997E-2</v>
      </c>
      <c r="I25" s="75">
        <v>2.7E-2</v>
      </c>
      <c r="J25" s="63">
        <f t="shared" si="2"/>
        <v>2.7269999999999999E-2</v>
      </c>
      <c r="K25" s="192"/>
    </row>
    <row r="26" spans="1:11">
      <c r="A26" s="85" t="s">
        <v>120</v>
      </c>
      <c r="B26" s="86" t="s">
        <v>119</v>
      </c>
      <c r="C26" s="87"/>
      <c r="D26" s="93" t="s">
        <v>112</v>
      </c>
      <c r="E26" s="94">
        <v>1</v>
      </c>
      <c r="F26" s="89">
        <v>0.01</v>
      </c>
      <c r="G26" s="90">
        <v>2.7224999999999996E-2</v>
      </c>
      <c r="H26" s="63">
        <f t="shared" si="1"/>
        <v>2.7497249999999997E-2</v>
      </c>
      <c r="I26" s="90">
        <v>2.7E-2</v>
      </c>
      <c r="J26" s="63">
        <f t="shared" si="2"/>
        <v>2.7269999999999999E-2</v>
      </c>
      <c r="K26" s="192"/>
    </row>
    <row r="27" spans="1:11">
      <c r="A27" s="59" t="s">
        <v>121</v>
      </c>
      <c r="B27" s="97" t="s">
        <v>122</v>
      </c>
      <c r="C27" s="98"/>
      <c r="D27" s="95" t="s">
        <v>123</v>
      </c>
      <c r="E27" s="96">
        <v>4.0000000000000001E-3</v>
      </c>
      <c r="F27" s="61">
        <v>0.01</v>
      </c>
      <c r="G27" s="99">
        <v>39.825000000000003</v>
      </c>
      <c r="H27" s="63">
        <f t="shared" si="1"/>
        <v>0.16089300000000001</v>
      </c>
      <c r="I27" s="99">
        <v>37.270000000000003</v>
      </c>
      <c r="J27" s="63">
        <f t="shared" si="2"/>
        <v>0.15057080000000003</v>
      </c>
      <c r="K27" s="192"/>
    </row>
    <row r="28" spans="1:11" ht="13.5" thickBot="1">
      <c r="A28" s="100" t="s">
        <v>124</v>
      </c>
      <c r="B28" s="101" t="s">
        <v>122</v>
      </c>
      <c r="C28" s="102"/>
      <c r="D28" s="91" t="s">
        <v>123</v>
      </c>
      <c r="E28" s="92">
        <v>2E-3</v>
      </c>
      <c r="F28" s="61">
        <v>0.01</v>
      </c>
      <c r="G28" s="103">
        <v>39.825000000000003</v>
      </c>
      <c r="H28" s="63">
        <f t="shared" si="1"/>
        <v>8.0446500000000004E-2</v>
      </c>
      <c r="I28" s="103">
        <v>37.270000000000003</v>
      </c>
      <c r="J28" s="63">
        <f t="shared" si="2"/>
        <v>7.5285400000000016E-2</v>
      </c>
      <c r="K28" s="192"/>
    </row>
    <row r="29" spans="1:11" ht="14.25" thickTop="1" thickBot="1">
      <c r="A29" s="67"/>
      <c r="B29" s="68"/>
      <c r="C29" s="69"/>
      <c r="D29" s="69"/>
      <c r="E29" s="70"/>
      <c r="F29" s="71"/>
      <c r="G29" s="72"/>
      <c r="H29" s="73">
        <f>SUM(H19:H28)</f>
        <v>1.2158818194000003</v>
      </c>
      <c r="I29" s="72"/>
      <c r="J29" s="73">
        <f>SUM(J19:J28)</f>
        <v>1.2760794</v>
      </c>
      <c r="K29" s="192">
        <f>J29-H29</f>
        <v>6.0197580599999689E-2</v>
      </c>
    </row>
    <row r="30" spans="1:11">
      <c r="A30" s="104" t="s">
        <v>125</v>
      </c>
      <c r="B30" s="105"/>
      <c r="C30" s="106"/>
      <c r="D30" s="106"/>
      <c r="E30" s="107"/>
      <c r="F30" s="74"/>
      <c r="G30" s="108"/>
      <c r="H30" s="83"/>
      <c r="I30" s="108"/>
      <c r="J30" s="83"/>
      <c r="K30" s="192"/>
    </row>
    <row r="31" spans="1:11">
      <c r="A31" s="100" t="s">
        <v>126</v>
      </c>
      <c r="B31" s="109" t="s">
        <v>127</v>
      </c>
      <c r="C31" s="84" t="s">
        <v>128</v>
      </c>
      <c r="D31" s="84" t="s">
        <v>129</v>
      </c>
      <c r="E31" s="65">
        <v>6.6699999999999995E-2</v>
      </c>
      <c r="F31" s="110">
        <v>0.01</v>
      </c>
      <c r="G31" s="111">
        <v>2.8585500000000001</v>
      </c>
      <c r="H31" s="63">
        <f>SUM((E31+(E31*F31))*G31)</f>
        <v>0.19257193784999999</v>
      </c>
      <c r="I31" s="111">
        <v>3.1190000000000002</v>
      </c>
      <c r="J31" s="63">
        <f>SUM((E31+(E31*F31))*I31)</f>
        <v>0.210117673</v>
      </c>
      <c r="K31" s="192"/>
    </row>
    <row r="32" spans="1:11">
      <c r="A32" s="100" t="s">
        <v>130</v>
      </c>
      <c r="B32" s="109" t="s">
        <v>131</v>
      </c>
      <c r="C32" s="84"/>
      <c r="D32" s="84" t="s">
        <v>132</v>
      </c>
      <c r="E32" s="65">
        <v>0.15</v>
      </c>
      <c r="F32" s="110">
        <v>0.01</v>
      </c>
      <c r="G32" s="111">
        <v>3.4662499999999999E-2</v>
      </c>
      <c r="H32" s="63">
        <f>SUM((E32+(E32*F32))*G32)</f>
        <v>5.2513687499999998E-3</v>
      </c>
      <c r="I32" s="111">
        <v>3.5000000000000003E-2</v>
      </c>
      <c r="J32" s="63">
        <f>SUM((E32+(E32*F32))*I32)</f>
        <v>5.3025000000000008E-3</v>
      </c>
      <c r="K32" s="192"/>
    </row>
    <row r="33" spans="1:11" ht="13.5" thickBot="1">
      <c r="A33" s="112" t="s">
        <v>133</v>
      </c>
      <c r="B33" s="113" t="s">
        <v>134</v>
      </c>
      <c r="C33" s="114" t="s">
        <v>135</v>
      </c>
      <c r="D33" s="114" t="s">
        <v>112</v>
      </c>
      <c r="E33" s="115">
        <v>6.6699999999999995E-2</v>
      </c>
      <c r="F33" s="116">
        <v>0.01</v>
      </c>
      <c r="G33" s="117">
        <v>1.3612499999999998E-2</v>
      </c>
      <c r="H33" s="63">
        <f>SUM((E33+(E33*F33))*G33)</f>
        <v>9.1703328749999976E-4</v>
      </c>
      <c r="I33" s="117">
        <v>1.4E-2</v>
      </c>
      <c r="J33" s="63">
        <f>SUM((E33+(E33*F33))*I33)</f>
        <v>9.4313799999999994E-4</v>
      </c>
      <c r="K33" s="192"/>
    </row>
    <row r="34" spans="1:11" ht="14.25" thickTop="1" thickBot="1">
      <c r="A34" s="118"/>
      <c r="B34" s="119"/>
      <c r="C34" s="120"/>
      <c r="D34" s="120"/>
      <c r="E34" s="121"/>
      <c r="F34" s="122"/>
      <c r="G34" s="123"/>
      <c r="H34" s="73">
        <f>SUM(H30:H33)</f>
        <v>0.19874033988750001</v>
      </c>
      <c r="I34" s="123"/>
      <c r="J34" s="73">
        <f>SUM(J30:J33)</f>
        <v>0.216363311</v>
      </c>
      <c r="K34" s="192">
        <f>J34-H34</f>
        <v>1.7622971112499997E-2</v>
      </c>
    </row>
    <row r="35" spans="1:11" ht="13.5" thickBot="1">
      <c r="A35" s="215" t="s">
        <v>136</v>
      </c>
      <c r="B35" s="216"/>
      <c r="C35" s="216"/>
      <c r="D35" s="216"/>
      <c r="E35" s="216"/>
      <c r="F35" s="217"/>
    </row>
    <row r="36" spans="1:11" ht="13.5" thickTop="1">
      <c r="A36" s="124" t="s">
        <v>137</v>
      </c>
      <c r="B36" s="125" t="s">
        <v>138</v>
      </c>
      <c r="C36" s="125" t="s">
        <v>139</v>
      </c>
      <c r="D36" s="125" t="s">
        <v>140</v>
      </c>
      <c r="E36" s="125" t="s">
        <v>87</v>
      </c>
      <c r="F36" s="126" t="s">
        <v>141</v>
      </c>
      <c r="G36" s="127"/>
      <c r="H36" s="6"/>
    </row>
    <row r="37" spans="1:11">
      <c r="A37" s="128" t="s">
        <v>142</v>
      </c>
      <c r="B37" s="129">
        <v>0.88888888888888873</v>
      </c>
      <c r="C37" s="130">
        <v>0.95</v>
      </c>
      <c r="D37" s="129"/>
      <c r="E37" s="131"/>
      <c r="F37" s="132">
        <v>4.7915875547454485</v>
      </c>
      <c r="G37" s="127"/>
      <c r="H37" s="6"/>
    </row>
    <row r="38" spans="1:11">
      <c r="A38" s="133"/>
      <c r="B38" s="134"/>
      <c r="C38" s="135"/>
      <c r="D38" s="134"/>
      <c r="E38" s="131"/>
      <c r="F38" s="136"/>
      <c r="G38" s="127"/>
      <c r="H38" s="6"/>
    </row>
    <row r="39" spans="1:11">
      <c r="A39" s="133"/>
      <c r="B39" s="137"/>
      <c r="C39" s="135"/>
      <c r="D39" s="134"/>
      <c r="E39" s="131"/>
      <c r="F39" s="138"/>
      <c r="G39" s="127"/>
      <c r="H39" s="6"/>
    </row>
    <row r="40" spans="1:11">
      <c r="A40" s="133"/>
      <c r="B40" s="137"/>
      <c r="C40" s="139"/>
      <c r="D40" s="134"/>
      <c r="E40" s="131"/>
      <c r="F40" s="138"/>
      <c r="G40" s="127"/>
      <c r="H40" s="6"/>
    </row>
    <row r="41" spans="1:11" ht="13.5" thickBot="1">
      <c r="A41" s="133"/>
      <c r="B41" s="137"/>
      <c r="C41" s="139"/>
      <c r="D41" s="137"/>
      <c r="E41" s="131"/>
      <c r="F41" s="138"/>
      <c r="G41" s="127"/>
      <c r="H41" s="6"/>
    </row>
    <row r="42" spans="1:11" ht="13.5" thickBot="1">
      <c r="A42" s="215" t="s">
        <v>143</v>
      </c>
      <c r="B42" s="216"/>
      <c r="C42" s="216"/>
      <c r="D42" s="216"/>
      <c r="E42" s="216"/>
      <c r="F42" s="217"/>
      <c r="G42" s="127"/>
      <c r="H42" s="6"/>
    </row>
    <row r="43" spans="1:11" ht="13.5" thickTop="1">
      <c r="A43" s="140" t="s">
        <v>144</v>
      </c>
      <c r="B43" s="134">
        <v>1</v>
      </c>
      <c r="C43" s="135">
        <v>1</v>
      </c>
      <c r="D43" s="134"/>
      <c r="E43" s="141">
        <v>0.3</v>
      </c>
      <c r="F43" s="136">
        <v>0.3</v>
      </c>
      <c r="G43" s="127"/>
      <c r="H43" s="6"/>
    </row>
    <row r="44" spans="1:11">
      <c r="A44" s="133" t="s">
        <v>145</v>
      </c>
      <c r="B44" s="137">
        <v>1</v>
      </c>
      <c r="C44" s="139">
        <v>1</v>
      </c>
      <c r="D44" s="137"/>
      <c r="E44" s="142">
        <v>0.1</v>
      </c>
      <c r="F44" s="138">
        <v>0.1</v>
      </c>
      <c r="G44" s="127"/>
      <c r="H44" s="6"/>
    </row>
    <row r="45" spans="1:11">
      <c r="A45" s="133" t="s">
        <v>146</v>
      </c>
      <c r="B45" s="137">
        <v>1</v>
      </c>
      <c r="C45" s="139">
        <v>1</v>
      </c>
      <c r="D45" s="137"/>
      <c r="E45" s="142">
        <v>0.05</v>
      </c>
      <c r="F45" s="138">
        <v>0.05</v>
      </c>
      <c r="G45" s="127"/>
      <c r="H45" s="6"/>
    </row>
    <row r="46" spans="1:11" ht="13.5" thickBot="1">
      <c r="A46" s="143"/>
      <c r="B46" s="144"/>
      <c r="C46" s="145"/>
      <c r="D46" s="144"/>
      <c r="E46" s="146"/>
      <c r="F46" s="147"/>
      <c r="G46" s="127"/>
      <c r="H46" s="6"/>
    </row>
    <row r="47" spans="1:11" ht="13.5" hidden="1" thickBot="1">
      <c r="A47" s="148"/>
      <c r="B47" s="149"/>
      <c r="C47" s="150"/>
      <c r="D47" s="149"/>
      <c r="E47" s="151"/>
      <c r="F47" s="152"/>
      <c r="G47" s="127"/>
      <c r="H47" s="6"/>
    </row>
    <row r="48" spans="1:11" ht="13.5" hidden="1" thickBot="1">
      <c r="A48" s="148"/>
      <c r="B48" s="149"/>
      <c r="C48" s="150"/>
      <c r="D48" s="149"/>
      <c r="E48" s="151"/>
      <c r="F48" s="153"/>
      <c r="G48" s="127"/>
      <c r="H48" s="6"/>
    </row>
    <row r="49" spans="1:8" ht="13.5" hidden="1" thickBot="1">
      <c r="A49" s="148"/>
      <c r="B49" s="149"/>
      <c r="C49" s="150"/>
      <c r="D49" s="149"/>
      <c r="E49" s="151"/>
      <c r="F49" s="153"/>
      <c r="G49" s="127"/>
      <c r="H49" s="6"/>
    </row>
    <row r="50" spans="1:8" ht="13.5" hidden="1" thickBot="1">
      <c r="A50" s="148"/>
      <c r="B50" s="149"/>
      <c r="C50" s="150"/>
      <c r="D50" s="149"/>
      <c r="E50" s="151"/>
      <c r="F50" s="153"/>
      <c r="G50" s="127"/>
      <c r="H50" s="6"/>
    </row>
    <row r="51" spans="1:8" ht="13.5" hidden="1" thickBot="1">
      <c r="A51" s="148"/>
      <c r="B51" s="154"/>
      <c r="C51" s="150"/>
      <c r="D51" s="154"/>
      <c r="E51" s="151"/>
      <c r="F51" s="155"/>
      <c r="G51" s="127"/>
      <c r="H51" s="6"/>
    </row>
    <row r="52" spans="1:8" ht="13.5" hidden="1" thickBot="1">
      <c r="A52" s="148"/>
      <c r="B52" s="154"/>
      <c r="C52" s="150"/>
      <c r="D52" s="154"/>
      <c r="E52" s="151"/>
      <c r="F52" s="155"/>
      <c r="G52" s="127"/>
      <c r="H52" s="6"/>
    </row>
    <row r="53" spans="1:8" ht="13.5" hidden="1" thickBot="1">
      <c r="A53" s="148"/>
      <c r="B53" s="154"/>
      <c r="C53" s="150"/>
      <c r="D53" s="154"/>
      <c r="E53" s="151"/>
      <c r="F53" s="155"/>
      <c r="G53" s="127"/>
      <c r="H53" s="6"/>
    </row>
    <row r="54" spans="1:8" ht="13.5" hidden="1" thickBot="1">
      <c r="A54" s="148"/>
      <c r="B54" s="154"/>
      <c r="C54" s="150"/>
      <c r="D54" s="154"/>
      <c r="E54" s="151"/>
      <c r="F54" s="155"/>
      <c r="G54" s="127"/>
      <c r="H54" s="6"/>
    </row>
    <row r="55" spans="1:8" ht="13.5" hidden="1" thickBot="1">
      <c r="A55" s="148"/>
      <c r="B55" s="154"/>
      <c r="C55" s="150"/>
      <c r="D55" s="154"/>
      <c r="E55" s="151"/>
      <c r="F55" s="155"/>
      <c r="G55" s="127"/>
      <c r="H55" s="6"/>
    </row>
    <row r="56" spans="1:8" ht="13.5" hidden="1" thickBot="1">
      <c r="A56" s="148"/>
      <c r="B56" s="154"/>
      <c r="C56" s="150"/>
      <c r="D56" s="154"/>
      <c r="E56" s="151"/>
      <c r="F56" s="155"/>
      <c r="G56" s="127"/>
      <c r="H56" s="6"/>
    </row>
    <row r="57" spans="1:8" ht="13.5" hidden="1" thickBot="1">
      <c r="A57" s="148"/>
      <c r="B57" s="154"/>
      <c r="C57" s="150"/>
      <c r="D57" s="154"/>
      <c r="E57" s="151"/>
      <c r="F57" s="155"/>
      <c r="G57" s="127"/>
      <c r="H57" s="6"/>
    </row>
    <row r="58" spans="1:8" ht="13.5" hidden="1" thickBot="1">
      <c r="A58" s="148"/>
      <c r="B58" s="154"/>
      <c r="C58" s="150"/>
      <c r="D58" s="154"/>
      <c r="E58" s="151"/>
      <c r="F58" s="155"/>
      <c r="G58" s="127"/>
      <c r="H58" s="6"/>
    </row>
    <row r="59" spans="1:8" ht="13.5" hidden="1" thickBot="1">
      <c r="A59" s="148"/>
      <c r="B59" s="154"/>
      <c r="C59" s="150"/>
      <c r="D59" s="154"/>
      <c r="E59" s="151"/>
      <c r="F59" s="155"/>
      <c r="G59" s="127"/>
      <c r="H59" s="6"/>
    </row>
    <row r="60" spans="1:8" ht="13.5" hidden="1" thickBot="1">
      <c r="A60" s="148"/>
      <c r="B60" s="154"/>
      <c r="C60" s="150"/>
      <c r="D60" s="154"/>
      <c r="E60" s="151"/>
      <c r="F60" s="155"/>
      <c r="G60" s="127"/>
      <c r="H60" s="6"/>
    </row>
    <row r="61" spans="1:8" ht="13.5" hidden="1" thickBot="1">
      <c r="A61" s="148"/>
      <c r="B61" s="154"/>
      <c r="C61" s="150"/>
      <c r="D61" s="154"/>
      <c r="E61" s="151"/>
      <c r="F61" s="155"/>
      <c r="G61" s="127"/>
      <c r="H61" s="6"/>
    </row>
    <row r="62" spans="1:8" ht="13.5" hidden="1" thickBot="1">
      <c r="A62" s="148"/>
      <c r="B62" s="154"/>
      <c r="C62" s="150"/>
      <c r="D62" s="154"/>
      <c r="E62" s="151"/>
      <c r="F62" s="155"/>
      <c r="G62" s="127"/>
      <c r="H62" s="6"/>
    </row>
    <row r="63" spans="1:8" ht="13.5" hidden="1" thickBot="1">
      <c r="A63" s="148"/>
      <c r="B63" s="154"/>
      <c r="C63" s="150"/>
      <c r="D63" s="154"/>
      <c r="E63" s="151"/>
      <c r="F63" s="155"/>
      <c r="G63" s="127"/>
      <c r="H63" s="6"/>
    </row>
    <row r="64" spans="1:8" ht="13.5" hidden="1" thickBot="1">
      <c r="A64" s="148"/>
      <c r="B64" s="154"/>
      <c r="C64" s="150"/>
      <c r="D64" s="154"/>
      <c r="E64" s="151"/>
      <c r="F64" s="155"/>
      <c r="G64" s="127"/>
      <c r="H64" s="6"/>
    </row>
    <row r="65" spans="1:15">
      <c r="A65" s="218" t="s">
        <v>147</v>
      </c>
      <c r="B65" s="156" t="s">
        <v>16</v>
      </c>
      <c r="C65" s="157" t="s">
        <v>16</v>
      </c>
      <c r="D65" s="158"/>
      <c r="G65" s="47"/>
    </row>
    <row r="66" spans="1:15" ht="13.5" thickBot="1">
      <c r="A66" s="219"/>
      <c r="B66" s="159" t="s">
        <v>148</v>
      </c>
      <c r="C66" s="160" t="s">
        <v>149</v>
      </c>
      <c r="D66" s="161" t="s">
        <v>79</v>
      </c>
      <c r="E66" s="220" t="s">
        <v>150</v>
      </c>
      <c r="F66" s="221"/>
      <c r="G66" s="163"/>
      <c r="H66" s="164" t="s">
        <v>78</v>
      </c>
      <c r="I66" s="165"/>
    </row>
    <row r="67" spans="1:15" ht="13.5" thickTop="1">
      <c r="A67" s="166" t="s">
        <v>151</v>
      </c>
      <c r="B67" s="167">
        <f>(B82*B81)</f>
        <v>0.12</v>
      </c>
      <c r="C67" s="167">
        <f>B67</f>
        <v>0.12</v>
      </c>
      <c r="D67" s="189"/>
      <c r="E67" s="168" t="s">
        <v>152</v>
      </c>
      <c r="F67" s="162"/>
      <c r="G67" s="168"/>
      <c r="H67" s="169">
        <f>H13+H16+H29+H34</f>
        <v>8.7168562742874993</v>
      </c>
      <c r="I67" s="195">
        <f>J13+J16+J29+J34</f>
        <v>9.4832720109999986</v>
      </c>
      <c r="K67" s="196">
        <f>K13+K16+K29+K34</f>
        <v>0.76641573671249918</v>
      </c>
    </row>
    <row r="68" spans="1:15">
      <c r="A68" s="166" t="s">
        <v>153</v>
      </c>
      <c r="B68" s="167">
        <f>3*B81/100</f>
        <v>0.03</v>
      </c>
      <c r="C68" s="167">
        <f>6/100</f>
        <v>0.06</v>
      </c>
      <c r="D68" s="189"/>
      <c r="E68" s="168" t="s">
        <v>154</v>
      </c>
      <c r="F68" s="162"/>
      <c r="G68" s="168"/>
      <c r="H68" s="170">
        <f>SUM(F37:F41)</f>
        <v>4.7915875547454485</v>
      </c>
      <c r="I68" s="192">
        <f>H73*0.074</f>
        <v>1.6548977797400064</v>
      </c>
      <c r="J68" s="194">
        <f>H68+I68</f>
        <v>6.4464853344854554</v>
      </c>
      <c r="K68" s="192">
        <f>6.53*0.6795</f>
        <v>4.4371350000000005</v>
      </c>
      <c r="L68" s="192">
        <f>6.53-K68</f>
        <v>2.0928649999999998</v>
      </c>
      <c r="M68" s="198">
        <f>K68+L68</f>
        <v>6.53</v>
      </c>
      <c r="N68" s="197">
        <f>M68-J68</f>
        <v>8.3514665514544895E-2</v>
      </c>
    </row>
    <row r="69" spans="1:15">
      <c r="A69" s="166" t="s">
        <v>155</v>
      </c>
      <c r="B69" s="167">
        <f>1.08*B81/100</f>
        <v>1.0800000000000001E-2</v>
      </c>
      <c r="C69" s="171"/>
      <c r="D69" s="189"/>
      <c r="E69" s="168" t="s">
        <v>156</v>
      </c>
      <c r="F69" s="162"/>
      <c r="G69" s="168"/>
      <c r="H69" s="170">
        <f>SUM(F43:F46)</f>
        <v>0.45</v>
      </c>
    </row>
    <row r="70" spans="1:15">
      <c r="A70" s="166" t="s">
        <v>157</v>
      </c>
      <c r="B70" s="167">
        <f>0.65*B81/100</f>
        <v>6.5000000000000006E-3</v>
      </c>
      <c r="C70" s="167">
        <f>3.25/100</f>
        <v>3.2500000000000001E-2</v>
      </c>
      <c r="D70" s="189"/>
      <c r="E70" s="168" t="s">
        <v>158</v>
      </c>
      <c r="F70" s="162"/>
      <c r="G70" s="168"/>
      <c r="H70" s="170">
        <v>0.21</v>
      </c>
      <c r="O70" s="41">
        <v>24.49</v>
      </c>
    </row>
    <row r="71" spans="1:15">
      <c r="A71" s="166" t="s">
        <v>79</v>
      </c>
      <c r="B71" s="167"/>
      <c r="C71" s="167"/>
      <c r="D71" s="189">
        <f>8*B81/100</f>
        <v>0.08</v>
      </c>
      <c r="E71" s="168"/>
      <c r="F71" s="162" t="s">
        <v>159</v>
      </c>
      <c r="G71" s="168"/>
      <c r="H71" s="169">
        <f>SUM(H67:H70)</f>
        <v>14.168443829032949</v>
      </c>
      <c r="I71" s="179">
        <f>I67+M68+H69+H70</f>
        <v>16.673272010999998</v>
      </c>
    </row>
    <row r="72" spans="1:15">
      <c r="A72" s="166" t="s">
        <v>160</v>
      </c>
      <c r="B72" s="167">
        <f>1.2*B81/100</f>
        <v>1.2E-2</v>
      </c>
      <c r="C72" s="171">
        <f>((6/0.76)-6)/100</f>
        <v>1.8947368421052629E-2</v>
      </c>
      <c r="D72" s="189"/>
      <c r="F72" t="s">
        <v>161</v>
      </c>
      <c r="G72" s="172"/>
      <c r="H72" s="172">
        <f>C78</f>
        <v>0.36644736842105263</v>
      </c>
      <c r="N72" s="197">
        <f>K67+N68</f>
        <v>0.84993040222704408</v>
      </c>
    </row>
    <row r="73" spans="1:15">
      <c r="A73" s="166" t="s">
        <v>162</v>
      </c>
      <c r="B73" s="167">
        <f>(D80/30*B80)</f>
        <v>0</v>
      </c>
      <c r="C73" s="167">
        <f>B73</f>
        <v>0</v>
      </c>
      <c r="D73" s="189">
        <f>C73</f>
        <v>0</v>
      </c>
      <c r="F73" s="173" t="s">
        <v>163</v>
      </c>
      <c r="H73" s="174">
        <f>H71/((1-C78))</f>
        <v>22.363483510000087</v>
      </c>
      <c r="I73" s="174">
        <f>I71/((1-C78))</f>
        <v>26.317106393271025</v>
      </c>
      <c r="N73" s="41">
        <f>N72/(1-C78)</f>
        <v>1.3415308529440364</v>
      </c>
    </row>
    <row r="74" spans="1:15">
      <c r="A74" s="166"/>
      <c r="B74" s="167"/>
      <c r="C74" s="167"/>
      <c r="D74" s="189"/>
      <c r="H74" s="175"/>
      <c r="I74" s="41">
        <f>I73*0.97</f>
        <v>25.527593201472893</v>
      </c>
    </row>
    <row r="75" spans="1:15">
      <c r="A75" s="166" t="s">
        <v>164</v>
      </c>
      <c r="B75" s="167">
        <f>B83</f>
        <v>7.4999999999999997E-2</v>
      </c>
      <c r="C75" s="167">
        <f>B75</f>
        <v>7.4999999999999997E-2</v>
      </c>
      <c r="D75" s="189">
        <f>B75</f>
        <v>7.4999999999999997E-2</v>
      </c>
      <c r="F75" s="176"/>
      <c r="H75" s="177"/>
    </row>
    <row r="76" spans="1:15">
      <c r="A76" s="166" t="s">
        <v>165</v>
      </c>
      <c r="B76" s="178"/>
      <c r="C76" s="167"/>
      <c r="D76" s="189">
        <f>B76</f>
        <v>0</v>
      </c>
      <c r="H76" s="179"/>
      <c r="I76" s="192">
        <f>I73-25.35</f>
        <v>0.96710639327102399</v>
      </c>
    </row>
    <row r="77" spans="1:15">
      <c r="A77" s="166" t="s">
        <v>16</v>
      </c>
      <c r="B77" s="167">
        <f>B84</f>
        <v>0.06</v>
      </c>
      <c r="C77" s="167">
        <f>B77</f>
        <v>0.06</v>
      </c>
      <c r="D77" s="189">
        <f>B77</f>
        <v>0.06</v>
      </c>
    </row>
    <row r="78" spans="1:15">
      <c r="A78" s="180" t="s">
        <v>141</v>
      </c>
      <c r="B78" s="181">
        <f>SUM(B67:B77)</f>
        <v>0.31430000000000002</v>
      </c>
      <c r="C78" s="181">
        <f>SUM(C67:C77)</f>
        <v>0.36644736842105263</v>
      </c>
      <c r="D78" s="190">
        <f>SUM(D67:D77)</f>
        <v>0.215</v>
      </c>
    </row>
    <row r="79" spans="1:15">
      <c r="A79"/>
      <c r="B79"/>
      <c r="C79"/>
      <c r="D79"/>
    </row>
    <row r="80" spans="1:15">
      <c r="A80" s="182" t="s">
        <v>166</v>
      </c>
      <c r="B80" s="183">
        <v>0</v>
      </c>
      <c r="C80" t="s">
        <v>18</v>
      </c>
      <c r="D80" s="184">
        <v>1.2500000000000001E-2</v>
      </c>
      <c r="G80" s="176"/>
    </row>
    <row r="81" spans="1:4">
      <c r="A81" s="185" t="s">
        <v>167</v>
      </c>
      <c r="B81" s="186">
        <v>1</v>
      </c>
      <c r="C81"/>
      <c r="D81"/>
    </row>
    <row r="82" spans="1:4">
      <c r="A82" s="185" t="s">
        <v>151</v>
      </c>
      <c r="B82" s="186">
        <v>0.12</v>
      </c>
      <c r="C82"/>
      <c r="D82"/>
    </row>
    <row r="83" spans="1:4">
      <c r="A83" s="185" t="s">
        <v>164</v>
      </c>
      <c r="B83" s="186">
        <v>7.4999999999999997E-2</v>
      </c>
      <c r="C83"/>
    </row>
    <row r="84" spans="1:4">
      <c r="A84" s="185" t="s">
        <v>16</v>
      </c>
      <c r="B84" s="186">
        <v>0.06</v>
      </c>
      <c r="C84"/>
    </row>
    <row r="85" spans="1:4">
      <c r="A85" s="187" t="s">
        <v>168</v>
      </c>
      <c r="B85" s="188">
        <v>250</v>
      </c>
    </row>
  </sheetData>
  <mergeCells count="7">
    <mergeCell ref="I2:J2"/>
    <mergeCell ref="A35:F35"/>
    <mergeCell ref="A42:F42"/>
    <mergeCell ref="A65:A66"/>
    <mergeCell ref="E66:F66"/>
    <mergeCell ref="D2:F2"/>
    <mergeCell ref="G2:H2"/>
  </mergeCells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Fat</vt:lpstr>
      <vt:lpstr>2700</vt:lpstr>
      <vt:lpstr>1000</vt:lpstr>
      <vt:lpstr>Plan4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</dc:creator>
  <cp:lastModifiedBy>Gilmar</cp:lastModifiedBy>
  <cp:lastPrinted>2014-08-08T17:55:21Z</cp:lastPrinted>
  <dcterms:created xsi:type="dcterms:W3CDTF">2010-12-23T11:36:59Z</dcterms:created>
  <dcterms:modified xsi:type="dcterms:W3CDTF">2014-08-08T18:00:14Z</dcterms:modified>
</cp:coreProperties>
</file>