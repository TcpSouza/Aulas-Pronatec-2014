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480" yWindow="165" windowWidth="15600" windowHeight="9915" activeTab="4"/>
  </bookViews>
  <sheets>
    <sheet name="Plan2" sheetId="7" r:id="rId1"/>
    <sheet name="Plan1" sheetId="8" r:id="rId2"/>
    <sheet name="Plan3" sheetId="9" r:id="rId3"/>
    <sheet name="Plan4" sheetId="10" r:id="rId4"/>
    <sheet name="Plan5" sheetId="11" r:id="rId5"/>
  </sheets>
  <functionGroups builtInGroupCount="17"/>
  <calcPr calcId="145621" iterate="1"/>
</workbook>
</file>

<file path=xl/calcChain.xml><?xml version="1.0" encoding="utf-8"?>
<calcChain xmlns="http://schemas.openxmlformats.org/spreadsheetml/2006/main">
  <c r="H9" i="10" l="1"/>
  <c r="H23" i="10"/>
  <c r="A25" i="10"/>
  <c r="W14" i="10"/>
  <c r="Q14" i="10"/>
  <c r="B15" i="10"/>
  <c r="H10" i="10"/>
  <c r="H18" i="10"/>
  <c r="G14" i="10"/>
  <c r="B14" i="10"/>
</calcChain>
</file>

<file path=xl/sharedStrings.xml><?xml version="1.0" encoding="utf-8"?>
<sst xmlns="http://schemas.openxmlformats.org/spreadsheetml/2006/main" count="209" uniqueCount="122">
  <si>
    <t>minha vida não é facil</t>
  </si>
  <si>
    <t>i</t>
  </si>
  <si>
    <t>n</t>
  </si>
  <si>
    <t>h</t>
  </si>
  <si>
    <t>a</t>
  </si>
  <si>
    <t xml:space="preserve"> </t>
  </si>
  <si>
    <t>v</t>
  </si>
  <si>
    <t>d</t>
  </si>
  <si>
    <t>ã</t>
  </si>
  <si>
    <t>o</t>
  </si>
  <si>
    <t>é</t>
  </si>
  <si>
    <t>f</t>
  </si>
  <si>
    <t>c</t>
  </si>
  <si>
    <t>l</t>
  </si>
  <si>
    <t>M</t>
  </si>
  <si>
    <t>tenho andado distraido, impaciente e indeciso</t>
  </si>
  <si>
    <t>05/12/1960</t>
  </si>
  <si>
    <t>19/01/1963</t>
  </si>
  <si>
    <t>09/07/1972</t>
  </si>
  <si>
    <t>02/06/1978</t>
  </si>
  <si>
    <t>14/02/1985</t>
  </si>
  <si>
    <t>23/05/1999</t>
  </si>
  <si>
    <t>22/12/1993</t>
  </si>
  <si>
    <t>12/03/1979</t>
  </si>
  <si>
    <t>08/08/1970</t>
  </si>
  <si>
    <t>30/06/1996</t>
  </si>
  <si>
    <t>16/04/1986</t>
  </si>
  <si>
    <t>08/06/1984</t>
  </si>
  <si>
    <t>10/10/2014</t>
  </si>
  <si>
    <t>Ddomingo</t>
  </si>
  <si>
    <t>segunda</t>
  </si>
  <si>
    <t>terça</t>
  </si>
  <si>
    <t>quarta</t>
  </si>
  <si>
    <t>quinta</t>
  </si>
  <si>
    <t>sexta</t>
  </si>
  <si>
    <t>sábado</t>
  </si>
  <si>
    <t>Dim Ano As String, Mes As String, Dia As String, Txt As String</t>
  </si>
  <si>
    <t>Dim L As Integer, C As Integer</t>
  </si>
  <si>
    <t>Dim S As Integer, K As Integer</t>
  </si>
  <si>
    <t>Dim Ok As Boolean</t>
  </si>
  <si>
    <t>Do</t>
  </si>
  <si>
    <t xml:space="preserve"> L = L + 1</t>
  </si>
  <si>
    <t xml:space="preserve"> If LTrim(RTrim(ActiveSheet.Cells(L, 1))) = "" Then Ok = True</t>
  </si>
  <si>
    <t>Loop Until Ok</t>
  </si>
  <si>
    <t>ReDim M(L - 1)</t>
  </si>
  <si>
    <t>For K = 1 To L - 1</t>
  </si>
  <si>
    <t xml:space="preserve"> Txt = LTrim(RTrim(ActiveSheet.Cells(K, 1)))</t>
  </si>
  <si>
    <t>Next K</t>
  </si>
  <si>
    <t>S = 0</t>
  </si>
  <si>
    <t xml:space="preserve"> If M(K) &lt;&gt; 0 Then</t>
  </si>
  <si>
    <t xml:space="preserve">  C = 0</t>
  </si>
  <si>
    <t xml:space="preserve">  Do</t>
  </si>
  <si>
    <t xml:space="preserve">   C = C + 1</t>
  </si>
  <si>
    <t xml:space="preserve">   If (M(C) &lt;&gt; 0 And K &lt;&gt; C) Then</t>
  </si>
  <si>
    <t xml:space="preserve">    ' Ordenar pela menor data</t>
  </si>
  <si>
    <t xml:space="preserve">    If M(K) &gt; M(C) Then K = C</t>
  </si>
  <si>
    <t xml:space="preserve">   End If</t>
  </si>
  <si>
    <t xml:space="preserve">  Loop Until C = L - 1</t>
  </si>
  <si>
    <t xml:space="preserve">  If S &lt;&gt; L - 1 Then</t>
  </si>
  <si>
    <t xml:space="preserve">   S = S + 1</t>
  </si>
  <si>
    <t xml:space="preserve">   'Escrever a menor data classificada</t>
  </si>
  <si>
    <t xml:space="preserve">   ActiveSheet.Cells(S, 4) = ActiveSheet.Cells(K, 1)</t>
  </si>
  <si>
    <t xml:space="preserve">   M(K) = 0</t>
  </si>
  <si>
    <t xml:space="preserve">   K = 0</t>
  </si>
  <si>
    <t xml:space="preserve">  End If</t>
  </si>
  <si>
    <t xml:space="preserve"> End If</t>
  </si>
  <si>
    <t>ReDim M(1) As Double</t>
  </si>
  <si>
    <t xml:space="preserve"> Ano = Mid(Txt, 7, 4): Mes = Mid(Txt, 4, 2): Dia = Mid(Txt, 1, 2)</t>
  </si>
  <si>
    <t xml:space="preserve"> M(K) = Val((Ano &amp; Mês &amp;  Dia))</t>
  </si>
  <si>
    <t>Ok = False:L=0</t>
  </si>
  <si>
    <t>Contar Até a Linha Em Branco Na Coluna "A", Priemira Coluna da Planillha</t>
  </si>
  <si>
    <t>Redimensionar o vetor, determinado em L menos 1</t>
  </si>
  <si>
    <t xml:space="preserve">Determinar Valor, Ano Mês e Dia para o vetor M </t>
  </si>
  <si>
    <t>Iniciar processo de ordenamento, classificação</t>
  </si>
  <si>
    <t xml:space="preserve">  ' Ler a primeira data para comparação M(K)</t>
  </si>
  <si>
    <t xml:space="preserve">     'Ler a próxima data para comparação M[C]</t>
  </si>
  <si>
    <t>Apagar Valor do Vetor M(K)</t>
  </si>
  <si>
    <t>Sexta</t>
  </si>
  <si>
    <t>Antônio</t>
  </si>
  <si>
    <t>Sheila</t>
  </si>
  <si>
    <t>Willi</t>
  </si>
  <si>
    <t>Marcos</t>
  </si>
  <si>
    <t>Rodrigo</t>
  </si>
  <si>
    <t>Amarildo</t>
  </si>
  <si>
    <t>Jean</t>
  </si>
  <si>
    <t>Carlos</t>
  </si>
  <si>
    <t>Andrei</t>
  </si>
  <si>
    <t>Tiago</t>
  </si>
  <si>
    <t>Matheus</t>
  </si>
  <si>
    <t>Gilmar</t>
  </si>
  <si>
    <t>20/07/1979</t>
  </si>
  <si>
    <t>X</t>
  </si>
  <si>
    <t>Prateleira 13</t>
  </si>
  <si>
    <t>*</t>
  </si>
  <si>
    <t>a=</t>
  </si>
  <si>
    <t>b=</t>
  </si>
  <si>
    <t>c=</t>
  </si>
  <si>
    <t>x'</t>
  </si>
  <si>
    <t>x''</t>
  </si>
  <si>
    <t>Meu Ursinho é de Pelúcia</t>
  </si>
  <si>
    <t>Pel</t>
  </si>
  <si>
    <t>A</t>
  </si>
  <si>
    <t>93.209.765/0001-17</t>
  </si>
  <si>
    <t>AMARILDO</t>
  </si>
  <si>
    <t>ANDREI</t>
  </si>
  <si>
    <t>ANTÔNIO</t>
  </si>
  <si>
    <t>CARLOS</t>
  </si>
  <si>
    <t>GILMAR</t>
  </si>
  <si>
    <t>JEAN</t>
  </si>
  <si>
    <t>MARCOS</t>
  </si>
  <si>
    <t>MATHEUS</t>
  </si>
  <si>
    <t>RODRIGO</t>
  </si>
  <si>
    <t>TIAGO</t>
  </si>
  <si>
    <t>WILLI</t>
  </si>
  <si>
    <t>Ti</t>
  </si>
  <si>
    <t>TI</t>
  </si>
  <si>
    <t>Sheilã</t>
  </si>
  <si>
    <t>SHEILÃ</t>
  </si>
  <si>
    <t>Ana Paula</t>
  </si>
  <si>
    <t>Anãlise</t>
  </si>
  <si>
    <t>ANÃLISE</t>
  </si>
  <si>
    <t>ANA PAULA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</si>
</sst>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-* #,##0.00_-;\-* #,##0.00_-;_-* &quot;-&quot;??_-;_-@_-"/>
  </numFmts>
  <fonts count="1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sz val="11"/>
      <color rgb="FFFF0000"/>
      <name val="Comic Sans MS"/>
      <family val="4"/>
    </font>
    <font>
      <sz val="11"/>
      <name val="Calibri"/>
      <family val="2"/>
      <scheme val="minor"/>
    </font>
    <font>
      <sz val="12"/>
      <color theme="1"/>
      <name val="Comic Sans MS"/>
      <family val="4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4" fontId="2" fillId="0" borderId="0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3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Alignment="1">
      <alignment horizontal="center"/>
    </xf>
    <xf numFmtId="14" fontId="0" fillId="0" borderId="0" xfId="0" applyNumberFormat="1"/>
    <xf numFmtId="49" fontId="0" fillId="0" borderId="0" xfId="0" applyNumberFormat="1"/>
    <xf numFmtId="49" fontId="0" fillId="0" borderId="0" xfId="0" applyNumberFormat="1" applyFill="1"/>
    <xf numFmtId="1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6" fillId="0" borderId="0" xfId="0" quotePrefix="1" applyFont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49" fontId="7" fillId="0" borderId="0" xfId="0" applyNumberFormat="1" applyFont="1"/>
    <xf numFmtId="49" fontId="7" fillId="0" borderId="0" xfId="0" applyNumberFormat="1" applyFont="1" applyAlignment="1">
      <alignment horizontal="center"/>
    </xf>
    <xf numFmtId="1" fontId="7" fillId="0" borderId="0" xfId="0" applyNumberFormat="1" applyFont="1" applyAlignment="1">
      <alignment horizontal="center"/>
    </xf>
    <xf numFmtId="0" fontId="7" fillId="0" borderId="0" xfId="0" applyFont="1"/>
    <xf numFmtId="49" fontId="7" fillId="0" borderId="0" xfId="0" applyNumberFormat="1" applyFont="1" applyFill="1"/>
    <xf numFmtId="0" fontId="0" fillId="0" borderId="1" xfId="0" applyBorder="1" applyAlignment="1">
      <alignment horizontal="center"/>
    </xf>
    <xf numFmtId="0" fontId="8" fillId="0" borderId="0" xfId="0" applyFont="1"/>
    <xf numFmtId="0" fontId="0" fillId="2" borderId="1" xfId="0" applyFill="1" applyBorder="1" applyAlignment="1">
      <alignment horizontal="center"/>
    </xf>
    <xf numFmtId="0" fontId="9" fillId="0" borderId="0" xfId="0" applyFont="1" applyFill="1"/>
    <xf numFmtId="0" fontId="0" fillId="0" borderId="2" xfId="0" applyFill="1" applyBorder="1" applyAlignment="1">
      <alignment horizontal="center"/>
    </xf>
    <xf numFmtId="0" fontId="0" fillId="0" borderId="0" xfId="0" applyFont="1"/>
    <xf numFmtId="0" fontId="0" fillId="0" borderId="0" xfId="0" applyAlignment="1">
      <alignment horizontal="center"/>
    </xf>
    <xf numFmtId="0" fontId="0" fillId="2" borderId="0" xfId="0" applyFill="1"/>
    <xf numFmtId="1" fontId="0" fillId="2" borderId="0" xfId="0" applyNumberFormat="1" applyFill="1" applyAlignment="1">
      <alignment horizontal="center"/>
    </xf>
    <xf numFmtId="1" fontId="7" fillId="2" borderId="0" xfId="0" applyNumberFormat="1" applyFont="1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E21"/>
  <sheetViews>
    <sheetView workbookViewId="0">
      <selection activeCell="B1" sqref="B1:B1048576"/>
    </sheetView>
  </sheetViews>
  <sheetFormatPr defaultRowHeight="21" x14ac:dyDescent="0.35"/>
  <cols>
    <col min="1" max="1" width="144.140625" style="10" customWidth="1"/>
    <col min="2" max="2" width="16.140625" style="1" customWidth="1"/>
    <col min="3" max="3" width="9.5703125" style="1" bestFit="1" customWidth="1"/>
    <col min="4" max="4" width="9.5703125" style="2" bestFit="1" customWidth="1"/>
    <col min="5" max="16384" width="9.140625" style="1"/>
  </cols>
  <sheetData>
    <row r="1" spans="1:5" x14ac:dyDescent="0.35">
      <c r="A1" s="9" t="s">
        <v>15</v>
      </c>
      <c r="B1" s="4"/>
      <c r="C1" s="4"/>
      <c r="D1" s="5"/>
      <c r="E1" s="6"/>
    </row>
    <row r="2" spans="1:5" x14ac:dyDescent="0.35">
      <c r="A2" s="11">
        <v>19</v>
      </c>
      <c r="B2" s="7"/>
      <c r="C2" s="7"/>
      <c r="D2" s="7"/>
      <c r="E2" s="6"/>
    </row>
    <row r="3" spans="1:5" x14ac:dyDescent="0.35">
      <c r="A3" s="11"/>
      <c r="B3" s="7"/>
      <c r="C3" s="7"/>
      <c r="D3" s="7"/>
      <c r="E3" s="6"/>
    </row>
    <row r="4" spans="1:5" x14ac:dyDescent="0.35">
      <c r="A4" s="11"/>
      <c r="B4" s="7"/>
      <c r="C4" s="7"/>
      <c r="D4" s="7"/>
      <c r="E4" s="6"/>
    </row>
    <row r="5" spans="1:5" x14ac:dyDescent="0.35">
      <c r="A5" s="11"/>
      <c r="B5" s="7"/>
      <c r="C5" s="7"/>
      <c r="D5" s="7"/>
      <c r="E5" s="6"/>
    </row>
    <row r="6" spans="1:5" x14ac:dyDescent="0.35">
      <c r="A6" s="11"/>
      <c r="B6" s="7"/>
      <c r="C6" s="7"/>
      <c r="D6" s="7"/>
      <c r="E6" s="6"/>
    </row>
    <row r="7" spans="1:5" x14ac:dyDescent="0.35">
      <c r="A7" s="11"/>
      <c r="B7" s="7"/>
      <c r="C7" s="7"/>
      <c r="D7" s="7"/>
      <c r="E7" s="6"/>
    </row>
    <row r="8" spans="1:5" x14ac:dyDescent="0.35">
      <c r="A8" s="11"/>
      <c r="B8" s="7"/>
      <c r="C8" s="7"/>
      <c r="D8" s="7"/>
      <c r="E8" s="6"/>
    </row>
    <row r="9" spans="1:5" x14ac:dyDescent="0.35">
      <c r="A9" s="11"/>
      <c r="B9" s="7"/>
      <c r="C9" s="7"/>
      <c r="D9" s="7"/>
      <c r="E9" s="6"/>
    </row>
    <row r="10" spans="1:5" x14ac:dyDescent="0.35">
      <c r="A10" s="11"/>
      <c r="B10" s="6"/>
      <c r="C10" s="6"/>
      <c r="D10" s="8"/>
      <c r="E10" s="6"/>
    </row>
    <row r="11" spans="1:5" x14ac:dyDescent="0.35">
      <c r="A11" s="11"/>
      <c r="B11" s="6"/>
      <c r="C11" s="6"/>
      <c r="D11" s="8"/>
      <c r="E11" s="6"/>
    </row>
    <row r="12" spans="1:5" x14ac:dyDescent="0.35">
      <c r="A12" s="11"/>
      <c r="B12" s="6"/>
      <c r="C12" s="6"/>
      <c r="D12" s="8"/>
      <c r="E12" s="6"/>
    </row>
    <row r="13" spans="1:5" x14ac:dyDescent="0.35">
      <c r="A13" s="11"/>
      <c r="B13" s="6"/>
      <c r="C13" s="6"/>
      <c r="D13" s="8"/>
      <c r="E13" s="6"/>
    </row>
    <row r="14" spans="1:5" x14ac:dyDescent="0.35">
      <c r="A14" s="12"/>
    </row>
    <row r="15" spans="1:5" x14ac:dyDescent="0.35">
      <c r="A15" s="12"/>
    </row>
    <row r="16" spans="1:5" x14ac:dyDescent="0.35">
      <c r="A16" s="12"/>
    </row>
    <row r="17" spans="1:1" x14ac:dyDescent="0.35">
      <c r="A17" s="12"/>
    </row>
    <row r="18" spans="1:1" x14ac:dyDescent="0.35">
      <c r="A18" s="12"/>
    </row>
    <row r="19" spans="1:1" x14ac:dyDescent="0.35">
      <c r="A19" s="12"/>
    </row>
    <row r="20" spans="1:1" x14ac:dyDescent="0.35">
      <c r="A20" s="12"/>
    </row>
    <row r="21" spans="1:1" x14ac:dyDescent="0.35">
      <c r="A21" s="12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V2"/>
  <sheetViews>
    <sheetView workbookViewId="0">
      <selection activeCell="P10" sqref="P10"/>
    </sheetView>
  </sheetViews>
  <sheetFormatPr defaultColWidth="22.85546875" defaultRowHeight="15" x14ac:dyDescent="0.25"/>
  <cols>
    <col min="1" max="1" width="22.85546875" style="1"/>
    <col min="2" max="22" width="7.7109375" style="1" customWidth="1"/>
    <col min="23" max="23" width="23.85546875" style="1" bestFit="1" customWidth="1"/>
    <col min="24" max="16384" width="22.85546875" style="1"/>
  </cols>
  <sheetData>
    <row r="1" spans="1:22" x14ac:dyDescent="0.25">
      <c r="A1" s="1" t="s">
        <v>0</v>
      </c>
      <c r="B1" s="1">
        <v>12</v>
      </c>
    </row>
    <row r="2" spans="1:22" s="3" customFormat="1" x14ac:dyDescent="0.25">
      <c r="A2" s="3" t="s">
        <v>14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1</v>
      </c>
      <c r="I2" s="3" t="s">
        <v>7</v>
      </c>
      <c r="J2" s="3" t="s">
        <v>4</v>
      </c>
      <c r="K2" s="3" t="s">
        <v>5</v>
      </c>
      <c r="L2" s="3" t="s">
        <v>2</v>
      </c>
      <c r="M2" s="3" t="s">
        <v>8</v>
      </c>
      <c r="N2" s="3" t="s">
        <v>9</v>
      </c>
      <c r="O2" s="3" t="s">
        <v>5</v>
      </c>
      <c r="P2" s="3" t="s">
        <v>10</v>
      </c>
      <c r="Q2" s="3" t="s">
        <v>5</v>
      </c>
      <c r="R2" s="3" t="s">
        <v>11</v>
      </c>
      <c r="S2" s="3" t="s">
        <v>4</v>
      </c>
      <c r="T2" s="3" t="s">
        <v>12</v>
      </c>
      <c r="U2" s="3" t="s">
        <v>1</v>
      </c>
      <c r="V2" s="3" t="s">
        <v>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I75"/>
  <sheetViews>
    <sheetView showGridLines="0" zoomScale="210" zoomScaleNormal="210" workbookViewId="0">
      <selection activeCell="E1" sqref="E1:E14"/>
    </sheetView>
  </sheetViews>
  <sheetFormatPr defaultRowHeight="15" x14ac:dyDescent="0.25"/>
  <cols>
    <col min="1" max="1" width="11.140625" style="14" customWidth="1"/>
    <col min="2" max="2" width="13.7109375" style="18" customWidth="1"/>
    <col min="3" max="4" width="11.85546875" customWidth="1"/>
    <col min="5" max="5" width="15.5703125" style="16" customWidth="1"/>
    <col min="6" max="27" width="3" customWidth="1"/>
  </cols>
  <sheetData>
    <row r="1" spans="1:9" x14ac:dyDescent="0.25">
      <c r="A1" s="15" t="s">
        <v>28</v>
      </c>
      <c r="B1" s="17"/>
      <c r="C1" s="16" t="s">
        <v>103</v>
      </c>
      <c r="D1" t="s">
        <v>16</v>
      </c>
      <c r="E1" s="36" t="s">
        <v>89</v>
      </c>
      <c r="I1" s="13"/>
    </row>
    <row r="2" spans="1:9" x14ac:dyDescent="0.25">
      <c r="A2" s="14" t="s">
        <v>17</v>
      </c>
      <c r="B2" s="17"/>
      <c r="C2" s="16" t="s">
        <v>120</v>
      </c>
      <c r="D2" t="s">
        <v>17</v>
      </c>
      <c r="E2" s="36" t="s">
        <v>78</v>
      </c>
      <c r="I2" s="13"/>
    </row>
    <row r="3" spans="1:9" x14ac:dyDescent="0.25">
      <c r="A3" s="14" t="s">
        <v>18</v>
      </c>
      <c r="B3" s="17"/>
      <c r="C3" s="16" t="s">
        <v>121</v>
      </c>
      <c r="D3" t="s">
        <v>24</v>
      </c>
      <c r="E3" s="36" t="s">
        <v>85</v>
      </c>
      <c r="I3" s="13"/>
    </row>
    <row r="4" spans="1:9" x14ac:dyDescent="0.25">
      <c r="A4" s="14" t="s">
        <v>19</v>
      </c>
      <c r="B4" s="17"/>
      <c r="C4" s="16" t="s">
        <v>104</v>
      </c>
      <c r="D4" t="s">
        <v>18</v>
      </c>
      <c r="E4" s="16" t="s">
        <v>116</v>
      </c>
      <c r="I4" s="13"/>
    </row>
    <row r="5" spans="1:9" x14ac:dyDescent="0.25">
      <c r="A5" s="14" t="s">
        <v>20</v>
      </c>
      <c r="B5" s="17"/>
      <c r="C5" s="16" t="s">
        <v>105</v>
      </c>
      <c r="D5" t="s">
        <v>19</v>
      </c>
      <c r="E5" s="16" t="s">
        <v>80</v>
      </c>
      <c r="I5" s="13"/>
    </row>
    <row r="6" spans="1:9" x14ac:dyDescent="0.25">
      <c r="A6" s="14" t="s">
        <v>21</v>
      </c>
      <c r="B6" s="17"/>
      <c r="C6" s="16" t="s">
        <v>106</v>
      </c>
      <c r="D6" t="s">
        <v>23</v>
      </c>
      <c r="E6" s="36" t="s">
        <v>84</v>
      </c>
      <c r="I6" s="13"/>
    </row>
    <row r="7" spans="1:9" x14ac:dyDescent="0.25">
      <c r="A7" s="15" t="s">
        <v>90</v>
      </c>
      <c r="B7" s="17"/>
      <c r="C7" s="16" t="s">
        <v>107</v>
      </c>
      <c r="D7" t="s">
        <v>90</v>
      </c>
      <c r="E7" s="16" t="s">
        <v>87</v>
      </c>
      <c r="I7" s="13"/>
    </row>
    <row r="8" spans="1:9" x14ac:dyDescent="0.25">
      <c r="A8" s="23" t="s">
        <v>22</v>
      </c>
      <c r="B8" s="24"/>
      <c r="C8" s="25" t="s">
        <v>108</v>
      </c>
      <c r="D8" s="26" t="s">
        <v>27</v>
      </c>
      <c r="E8" s="37" t="s">
        <v>88</v>
      </c>
      <c r="I8" s="13"/>
    </row>
    <row r="9" spans="1:9" x14ac:dyDescent="0.25">
      <c r="A9" s="23" t="s">
        <v>23</v>
      </c>
      <c r="B9" s="24"/>
      <c r="C9" s="25" t="s">
        <v>109</v>
      </c>
      <c r="D9" s="26" t="s">
        <v>20</v>
      </c>
      <c r="E9" s="37" t="s">
        <v>81</v>
      </c>
      <c r="I9" s="13"/>
    </row>
    <row r="10" spans="1:9" x14ac:dyDescent="0.25">
      <c r="A10" s="27" t="s">
        <v>24</v>
      </c>
      <c r="B10" s="24"/>
      <c r="C10" s="25" t="s">
        <v>110</v>
      </c>
      <c r="D10" s="26" t="s">
        <v>26</v>
      </c>
      <c r="E10" s="25" t="s">
        <v>114</v>
      </c>
      <c r="I10" s="13"/>
    </row>
    <row r="11" spans="1:9" x14ac:dyDescent="0.25">
      <c r="A11" s="14" t="s">
        <v>25</v>
      </c>
      <c r="B11" s="17"/>
      <c r="C11" s="16" t="s">
        <v>111</v>
      </c>
      <c r="D11" t="s">
        <v>22</v>
      </c>
      <c r="E11" s="36" t="s">
        <v>83</v>
      </c>
      <c r="I11" s="13"/>
    </row>
    <row r="12" spans="1:9" x14ac:dyDescent="0.25">
      <c r="A12" s="14" t="s">
        <v>26</v>
      </c>
      <c r="B12" s="17"/>
      <c r="C12" s="16" t="s">
        <v>117</v>
      </c>
      <c r="D12" t="s">
        <v>25</v>
      </c>
      <c r="E12" s="36" t="s">
        <v>86</v>
      </c>
      <c r="I12" s="13"/>
    </row>
    <row r="13" spans="1:9" x14ac:dyDescent="0.25">
      <c r="A13" s="14" t="s">
        <v>27</v>
      </c>
      <c r="B13" s="17"/>
      <c r="C13" s="16" t="s">
        <v>115</v>
      </c>
      <c r="D13" t="s">
        <v>21</v>
      </c>
      <c r="E13" s="36" t="s">
        <v>82</v>
      </c>
      <c r="I13" s="13"/>
    </row>
    <row r="14" spans="1:9" x14ac:dyDescent="0.25">
      <c r="A14" s="14" t="s">
        <v>16</v>
      </c>
      <c r="B14" s="17"/>
      <c r="C14" s="16" t="s">
        <v>112</v>
      </c>
      <c r="D14" s="14" t="s">
        <v>28</v>
      </c>
      <c r="E14" s="16" t="s">
        <v>118</v>
      </c>
    </row>
    <row r="15" spans="1:9" x14ac:dyDescent="0.25">
      <c r="C15" t="s">
        <v>113</v>
      </c>
      <c r="E15" s="16" t="s">
        <v>119</v>
      </c>
    </row>
    <row r="17" spans="2:2" x14ac:dyDescent="0.25">
      <c r="B17" s="19" t="s">
        <v>36</v>
      </c>
    </row>
    <row r="18" spans="2:2" x14ac:dyDescent="0.25">
      <c r="B18" s="19" t="s">
        <v>37</v>
      </c>
    </row>
    <row r="19" spans="2:2" x14ac:dyDescent="0.25">
      <c r="B19" s="19" t="s">
        <v>66</v>
      </c>
    </row>
    <row r="20" spans="2:2" x14ac:dyDescent="0.25">
      <c r="B20" s="19" t="s">
        <v>38</v>
      </c>
    </row>
    <row r="21" spans="2:2" x14ac:dyDescent="0.25">
      <c r="B21" s="19" t="s">
        <v>39</v>
      </c>
    </row>
    <row r="22" spans="2:2" ht="16.5" x14ac:dyDescent="0.3">
      <c r="B22" s="20" t="s">
        <v>70</v>
      </c>
    </row>
    <row r="23" spans="2:2" x14ac:dyDescent="0.25">
      <c r="B23" s="19" t="s">
        <v>69</v>
      </c>
    </row>
    <row r="24" spans="2:2" x14ac:dyDescent="0.25">
      <c r="B24" s="19" t="s">
        <v>40</v>
      </c>
    </row>
    <row r="25" spans="2:2" x14ac:dyDescent="0.25">
      <c r="B25" s="19" t="s">
        <v>41</v>
      </c>
    </row>
    <row r="26" spans="2:2" x14ac:dyDescent="0.25">
      <c r="B26" s="19" t="s">
        <v>42</v>
      </c>
    </row>
    <row r="27" spans="2:2" x14ac:dyDescent="0.25">
      <c r="B27" s="19" t="s">
        <v>43</v>
      </c>
    </row>
    <row r="28" spans="2:2" ht="16.5" x14ac:dyDescent="0.3">
      <c r="B28" s="20" t="s">
        <v>71</v>
      </c>
    </row>
    <row r="29" spans="2:2" x14ac:dyDescent="0.25">
      <c r="B29" s="19" t="s">
        <v>44</v>
      </c>
    </row>
    <row r="30" spans="2:2" ht="16.5" x14ac:dyDescent="0.3">
      <c r="B30" s="20" t="s">
        <v>72</v>
      </c>
    </row>
    <row r="31" spans="2:2" x14ac:dyDescent="0.25">
      <c r="B31" s="19" t="s">
        <v>45</v>
      </c>
    </row>
    <row r="32" spans="2:2" x14ac:dyDescent="0.25">
      <c r="B32" s="19" t="s">
        <v>46</v>
      </c>
    </row>
    <row r="33" spans="2:2" x14ac:dyDescent="0.25">
      <c r="B33" s="19" t="s">
        <v>67</v>
      </c>
    </row>
    <row r="34" spans="2:2" x14ac:dyDescent="0.25">
      <c r="B34" s="19" t="s">
        <v>68</v>
      </c>
    </row>
    <row r="35" spans="2:2" x14ac:dyDescent="0.25">
      <c r="B35" s="19" t="s">
        <v>47</v>
      </c>
    </row>
    <row r="36" spans="2:2" ht="16.5" x14ac:dyDescent="0.3">
      <c r="B36" s="20" t="s">
        <v>73</v>
      </c>
    </row>
    <row r="37" spans="2:2" x14ac:dyDescent="0.25">
      <c r="B37" s="19" t="s">
        <v>48</v>
      </c>
    </row>
    <row r="38" spans="2:2" x14ac:dyDescent="0.25">
      <c r="B38" s="19" t="s">
        <v>45</v>
      </c>
    </row>
    <row r="39" spans="2:2" x14ac:dyDescent="0.25">
      <c r="B39" s="19" t="s">
        <v>49</v>
      </c>
    </row>
    <row r="40" spans="2:2" x14ac:dyDescent="0.25">
      <c r="B40" s="21" t="s">
        <v>74</v>
      </c>
    </row>
    <row r="41" spans="2:2" x14ac:dyDescent="0.25">
      <c r="B41" s="19" t="s">
        <v>50</v>
      </c>
    </row>
    <row r="42" spans="2:2" x14ac:dyDescent="0.25">
      <c r="B42" s="19" t="s">
        <v>51</v>
      </c>
    </row>
    <row r="43" spans="2:2" x14ac:dyDescent="0.25">
      <c r="B43" s="19" t="s">
        <v>52</v>
      </c>
    </row>
    <row r="44" spans="2:2" x14ac:dyDescent="0.25">
      <c r="B44" s="19" t="s">
        <v>53</v>
      </c>
    </row>
    <row r="45" spans="2:2" x14ac:dyDescent="0.25">
      <c r="B45" s="21" t="s">
        <v>75</v>
      </c>
    </row>
    <row r="46" spans="2:2" x14ac:dyDescent="0.25">
      <c r="B46" s="21" t="s">
        <v>54</v>
      </c>
    </row>
    <row r="47" spans="2:2" x14ac:dyDescent="0.25">
      <c r="B47" s="19" t="s">
        <v>55</v>
      </c>
    </row>
    <row r="48" spans="2:2" x14ac:dyDescent="0.25">
      <c r="B48" s="19" t="s">
        <v>56</v>
      </c>
    </row>
    <row r="49" spans="2:2" x14ac:dyDescent="0.25">
      <c r="B49" s="19" t="s">
        <v>57</v>
      </c>
    </row>
    <row r="50" spans="2:2" x14ac:dyDescent="0.25">
      <c r="B50" s="19" t="s">
        <v>58</v>
      </c>
    </row>
    <row r="51" spans="2:2" x14ac:dyDescent="0.25">
      <c r="B51" s="19" t="s">
        <v>59</v>
      </c>
    </row>
    <row r="52" spans="2:2" x14ac:dyDescent="0.25">
      <c r="B52" s="21" t="s">
        <v>60</v>
      </c>
    </row>
    <row r="53" spans="2:2" x14ac:dyDescent="0.25">
      <c r="B53" s="19" t="s">
        <v>61</v>
      </c>
    </row>
    <row r="54" spans="2:2" x14ac:dyDescent="0.25">
      <c r="B54" s="22" t="s">
        <v>76</v>
      </c>
    </row>
    <row r="55" spans="2:2" x14ac:dyDescent="0.25">
      <c r="B55" s="19" t="s">
        <v>62</v>
      </c>
    </row>
    <row r="56" spans="2:2" x14ac:dyDescent="0.25">
      <c r="B56" s="19" t="s">
        <v>63</v>
      </c>
    </row>
    <row r="57" spans="2:2" x14ac:dyDescent="0.25">
      <c r="B57" s="19" t="s">
        <v>64</v>
      </c>
    </row>
    <row r="58" spans="2:2" x14ac:dyDescent="0.25">
      <c r="B58" s="19" t="s">
        <v>65</v>
      </c>
    </row>
    <row r="59" spans="2:2" x14ac:dyDescent="0.25">
      <c r="B59" s="19" t="s">
        <v>47</v>
      </c>
    </row>
    <row r="62" spans="2:2" x14ac:dyDescent="0.25">
      <c r="B62" s="16" t="s">
        <v>89</v>
      </c>
    </row>
    <row r="63" spans="2:2" x14ac:dyDescent="0.25">
      <c r="B63" s="16" t="s">
        <v>78</v>
      </c>
    </row>
    <row r="64" spans="2:2" x14ac:dyDescent="0.25">
      <c r="B64" s="16" t="s">
        <v>85</v>
      </c>
    </row>
    <row r="65" spans="2:2" x14ac:dyDescent="0.25">
      <c r="B65" s="16" t="s">
        <v>79</v>
      </c>
    </row>
    <row r="66" spans="2:2" x14ac:dyDescent="0.25">
      <c r="B66" s="16" t="s">
        <v>80</v>
      </c>
    </row>
    <row r="67" spans="2:2" x14ac:dyDescent="0.25">
      <c r="B67" s="16" t="s">
        <v>84</v>
      </c>
    </row>
    <row r="68" spans="2:2" x14ac:dyDescent="0.25">
      <c r="B68" s="16" t="s">
        <v>87</v>
      </c>
    </row>
    <row r="69" spans="2:2" x14ac:dyDescent="0.25">
      <c r="B69" s="25" t="s">
        <v>88</v>
      </c>
    </row>
    <row r="70" spans="2:2" x14ac:dyDescent="0.25">
      <c r="B70" s="25" t="s">
        <v>81</v>
      </c>
    </row>
    <row r="71" spans="2:2" x14ac:dyDescent="0.25">
      <c r="B71" s="25" t="s">
        <v>87</v>
      </c>
    </row>
    <row r="72" spans="2:2" x14ac:dyDescent="0.25">
      <c r="B72" s="16" t="s">
        <v>83</v>
      </c>
    </row>
    <row r="73" spans="2:2" x14ac:dyDescent="0.25">
      <c r="B73" s="16" t="s">
        <v>86</v>
      </c>
    </row>
    <row r="74" spans="2:2" x14ac:dyDescent="0.25">
      <c r="B74" s="16" t="s">
        <v>82</v>
      </c>
    </row>
    <row r="75" spans="2:2" x14ac:dyDescent="0.25">
      <c r="B75" s="16" t="s">
        <v>77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AA25"/>
  <sheetViews>
    <sheetView showGridLines="0" topLeftCell="A10" zoomScale="160" zoomScaleNormal="160" workbookViewId="0">
      <selection activeCell="Q17" sqref="Q17"/>
    </sheetView>
  </sheetViews>
  <sheetFormatPr defaultRowHeight="15" x14ac:dyDescent="0.25"/>
  <cols>
    <col min="1" max="1" width="18.7109375" customWidth="1"/>
    <col min="2" max="2" width="5.7109375" customWidth="1"/>
    <col min="3" max="6" width="3" customWidth="1"/>
    <col min="7" max="7" width="2.5703125" customWidth="1"/>
    <col min="8" max="8" width="2.42578125" customWidth="1"/>
    <col min="9" max="37" width="3" customWidth="1"/>
  </cols>
  <sheetData>
    <row r="1" spans="1:27" x14ac:dyDescent="0.25">
      <c r="A1" s="31" t="s">
        <v>29</v>
      </c>
    </row>
    <row r="2" spans="1:27" x14ac:dyDescent="0.25">
      <c r="A2" s="31" t="s">
        <v>30</v>
      </c>
    </row>
    <row r="3" spans="1:27" x14ac:dyDescent="0.25">
      <c r="A3" s="31" t="s">
        <v>31</v>
      </c>
    </row>
    <row r="4" spans="1:27" x14ac:dyDescent="0.25">
      <c r="A4" s="31" t="s">
        <v>32</v>
      </c>
    </row>
    <row r="5" spans="1:27" x14ac:dyDescent="0.25">
      <c r="A5" s="31" t="s">
        <v>33</v>
      </c>
    </row>
    <row r="6" spans="1:27" x14ac:dyDescent="0.25">
      <c r="A6" s="31" t="s">
        <v>34</v>
      </c>
      <c r="G6" t="s">
        <v>94</v>
      </c>
      <c r="H6">
        <v>6</v>
      </c>
      <c r="J6">
        <v>-4</v>
      </c>
    </row>
    <row r="7" spans="1:27" x14ac:dyDescent="0.25">
      <c r="A7" s="31" t="s">
        <v>35</v>
      </c>
      <c r="G7" t="s">
        <v>95</v>
      </c>
      <c r="H7">
        <v>25</v>
      </c>
      <c r="J7">
        <v>2</v>
      </c>
    </row>
    <row r="8" spans="1:27" x14ac:dyDescent="0.25">
      <c r="G8" t="s">
        <v>96</v>
      </c>
      <c r="H8">
        <v>-1725</v>
      </c>
      <c r="J8">
        <v>2</v>
      </c>
    </row>
    <row r="9" spans="1:27" x14ac:dyDescent="0.25">
      <c r="G9" t="s">
        <v>97</v>
      </c>
      <c r="H9">
        <f>BascaraXisLinha(H6,H7,H8)</f>
        <v>-19.166666030883789</v>
      </c>
      <c r="J9">
        <v>0</v>
      </c>
    </row>
    <row r="10" spans="1:27" x14ac:dyDescent="0.25">
      <c r="G10" t="s">
        <v>98</v>
      </c>
      <c r="H10">
        <f>BascaraXisDuasLinhas(H6,H7,H8)</f>
        <v>15</v>
      </c>
    </row>
    <row r="12" spans="1:27" x14ac:dyDescent="0.25">
      <c r="B12" s="34" t="s">
        <v>101</v>
      </c>
    </row>
    <row r="13" spans="1:27" ht="19.5" x14ac:dyDescent="0.4">
      <c r="A13" s="29" t="s">
        <v>92</v>
      </c>
      <c r="B13" s="30" t="s">
        <v>91</v>
      </c>
      <c r="C13" s="30" t="s">
        <v>101</v>
      </c>
      <c r="D13" s="30" t="s">
        <v>101</v>
      </c>
      <c r="E13" s="30" t="s">
        <v>101</v>
      </c>
      <c r="F13" s="28" t="s">
        <v>93</v>
      </c>
      <c r="G13" s="30" t="s">
        <v>91</v>
      </c>
      <c r="H13" s="30" t="s">
        <v>91</v>
      </c>
      <c r="I13" s="30" t="s">
        <v>91</v>
      </c>
      <c r="J13" s="30" t="s">
        <v>91</v>
      </c>
      <c r="K13" s="30" t="s">
        <v>91</v>
      </c>
      <c r="L13" s="30" t="s">
        <v>91</v>
      </c>
      <c r="M13" s="30" t="s">
        <v>91</v>
      </c>
      <c r="N13" s="30" t="s">
        <v>91</v>
      </c>
      <c r="O13" s="30"/>
      <c r="P13" s="28" t="s">
        <v>93</v>
      </c>
      <c r="Q13" s="30" t="s">
        <v>91</v>
      </c>
      <c r="R13" s="30" t="s">
        <v>91</v>
      </c>
      <c r="S13" s="30" t="s">
        <v>91</v>
      </c>
      <c r="T13" s="30" t="s">
        <v>91</v>
      </c>
      <c r="U13" s="30" t="s">
        <v>91</v>
      </c>
      <c r="V13" s="28" t="s">
        <v>93</v>
      </c>
      <c r="W13" s="30" t="s">
        <v>91</v>
      </c>
      <c r="X13" s="30" t="s">
        <v>91</v>
      </c>
      <c r="Y13" s="30" t="s">
        <v>91</v>
      </c>
      <c r="Z13" s="30" t="s">
        <v>91</v>
      </c>
      <c r="AA13" s="32" t="s">
        <v>93</v>
      </c>
    </row>
    <row r="14" spans="1:27" x14ac:dyDescent="0.25">
      <c r="B14">
        <f ca="1">SomaXis(B13,F13)</f>
        <v>0</v>
      </c>
      <c r="G14" s="33">
        <f ca="1">SomaXis(G13,P13)</f>
        <v>0</v>
      </c>
      <c r="Q14">
        <f ca="1">SomaXis(Q13,V13)</f>
        <v>0</v>
      </c>
      <c r="W14">
        <f ca="1">SomaXis(W13,Z13)</f>
        <v>0</v>
      </c>
    </row>
    <row r="15" spans="1:27" x14ac:dyDescent="0.25">
      <c r="B15" s="35">
        <f ca="1">SomaQualquerCoisa(B13,F13,B12)</f>
        <v>0</v>
      </c>
    </row>
    <row r="16" spans="1:27" x14ac:dyDescent="0.25">
      <c r="B16">
        <v>2</v>
      </c>
    </row>
    <row r="17" spans="1:11" x14ac:dyDescent="0.25">
      <c r="B17">
        <v>3</v>
      </c>
    </row>
    <row r="18" spans="1:11" x14ac:dyDescent="0.25">
      <c r="H18" t="str">
        <f>DeValorPorExtenso(B20)</f>
        <v>ONZE  REAIS  E TRINTA E DOIS  CENTAVOS</v>
      </c>
    </row>
    <row r="20" spans="1:11" x14ac:dyDescent="0.25">
      <c r="B20">
        <v>11.32</v>
      </c>
    </row>
    <row r="21" spans="1:11" x14ac:dyDescent="0.25">
      <c r="A21" s="14"/>
      <c r="H21" t="s">
        <v>99</v>
      </c>
    </row>
    <row r="22" spans="1:11" x14ac:dyDescent="0.25">
      <c r="A22" s="14"/>
      <c r="H22" t="s">
        <v>100</v>
      </c>
    </row>
    <row r="23" spans="1:11" x14ac:dyDescent="0.25">
      <c r="H23" s="38">
        <f>BuscarPosicaoNoTexto(H21,H22)</f>
        <v>18</v>
      </c>
      <c r="I23" s="38"/>
      <c r="J23" s="38"/>
      <c r="K23" s="38"/>
    </row>
    <row r="24" spans="1:11" x14ac:dyDescent="0.25">
      <c r="A24" t="s">
        <v>102</v>
      </c>
    </row>
    <row r="25" spans="1:11" x14ac:dyDescent="0.25">
      <c r="A25" t="str">
        <f>ConfereCGC(A24)</f>
        <v>93.209.765/0001-17</v>
      </c>
    </row>
  </sheetData>
  <mergeCells count="1">
    <mergeCell ref="H23:K2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E1:E28"/>
  <sheetViews>
    <sheetView tabSelected="1" workbookViewId="0">
      <selection activeCell="G8" sqref="G8"/>
    </sheetView>
  </sheetViews>
  <sheetFormatPr defaultRowHeight="15" x14ac:dyDescent="0.25"/>
  <cols>
    <col min="2" max="2" width="5.5703125" customWidth="1"/>
    <col min="3" max="3" width="19.5703125" customWidth="1"/>
    <col min="5" max="5" width="28.140625" customWidth="1"/>
  </cols>
  <sheetData>
    <row r="1" spans="5:5" x14ac:dyDescent="0.25">
      <c r="E1" s="36" t="s">
        <v>89</v>
      </c>
    </row>
    <row r="2" spans="5:5" x14ac:dyDescent="0.25">
      <c r="E2" s="36" t="s">
        <v>78</v>
      </c>
    </row>
    <row r="3" spans="5:5" x14ac:dyDescent="0.25">
      <c r="E3" s="36" t="s">
        <v>85</v>
      </c>
    </row>
    <row r="4" spans="5:5" x14ac:dyDescent="0.25">
      <c r="E4" s="16" t="s">
        <v>116</v>
      </c>
    </row>
    <row r="5" spans="5:5" x14ac:dyDescent="0.25">
      <c r="E5" s="16" t="s">
        <v>80</v>
      </c>
    </row>
    <row r="6" spans="5:5" x14ac:dyDescent="0.25">
      <c r="E6" s="36" t="s">
        <v>84</v>
      </c>
    </row>
    <row r="7" spans="5:5" x14ac:dyDescent="0.25">
      <c r="E7" s="16" t="s">
        <v>87</v>
      </c>
    </row>
    <row r="8" spans="5:5" x14ac:dyDescent="0.25">
      <c r="E8" s="37" t="s">
        <v>88</v>
      </c>
    </row>
    <row r="9" spans="5:5" x14ac:dyDescent="0.25">
      <c r="E9" s="37" t="s">
        <v>81</v>
      </c>
    </row>
    <row r="10" spans="5:5" x14ac:dyDescent="0.25">
      <c r="E10" s="25" t="s">
        <v>114</v>
      </c>
    </row>
    <row r="11" spans="5:5" x14ac:dyDescent="0.25">
      <c r="E11" s="36" t="s">
        <v>83</v>
      </c>
    </row>
    <row r="12" spans="5:5" x14ac:dyDescent="0.25">
      <c r="E12" s="36" t="s">
        <v>86</v>
      </c>
    </row>
    <row r="13" spans="5:5" x14ac:dyDescent="0.25">
      <c r="E13" s="36" t="s">
        <v>82</v>
      </c>
    </row>
    <row r="14" spans="5:5" x14ac:dyDescent="0.25">
      <c r="E14" s="16" t="s">
        <v>118</v>
      </c>
    </row>
    <row r="15" spans="5:5" x14ac:dyDescent="0.25">
      <c r="E15" s="36" t="s">
        <v>89</v>
      </c>
    </row>
    <row r="16" spans="5:5" x14ac:dyDescent="0.25">
      <c r="E16" s="36" t="s">
        <v>78</v>
      </c>
    </row>
    <row r="17" spans="5:5" x14ac:dyDescent="0.25">
      <c r="E17" s="36" t="s">
        <v>85</v>
      </c>
    </row>
    <row r="18" spans="5:5" x14ac:dyDescent="0.25">
      <c r="E18" s="16" t="s">
        <v>116</v>
      </c>
    </row>
    <row r="19" spans="5:5" x14ac:dyDescent="0.25">
      <c r="E19" s="16" t="s">
        <v>80</v>
      </c>
    </row>
    <row r="20" spans="5:5" x14ac:dyDescent="0.25">
      <c r="E20" s="36" t="s">
        <v>84</v>
      </c>
    </row>
    <row r="21" spans="5:5" x14ac:dyDescent="0.25">
      <c r="E21" s="16" t="s">
        <v>87</v>
      </c>
    </row>
    <row r="22" spans="5:5" x14ac:dyDescent="0.25">
      <c r="E22" s="37" t="s">
        <v>88</v>
      </c>
    </row>
    <row r="23" spans="5:5" x14ac:dyDescent="0.25">
      <c r="E23" s="37" t="s">
        <v>81</v>
      </c>
    </row>
    <row r="24" spans="5:5" x14ac:dyDescent="0.25">
      <c r="E24" s="25" t="s">
        <v>114</v>
      </c>
    </row>
    <row r="25" spans="5:5" x14ac:dyDescent="0.25">
      <c r="E25" s="36" t="s">
        <v>83</v>
      </c>
    </row>
    <row r="26" spans="5:5" x14ac:dyDescent="0.25">
      <c r="E26" s="36" t="s">
        <v>86</v>
      </c>
    </row>
    <row r="27" spans="5:5" x14ac:dyDescent="0.25">
      <c r="E27" s="36" t="s">
        <v>82</v>
      </c>
    </row>
    <row r="28" spans="5:5" x14ac:dyDescent="0.25">
      <c r="E28" s="16" t="s">
        <v>118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Plan2</vt:lpstr>
      <vt:lpstr>Plan1</vt:lpstr>
      <vt:lpstr>Plan3</vt:lpstr>
      <vt:lpstr>Plan4</vt:lpstr>
      <vt:lpstr>Plan5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aluno</cp:lastModifiedBy>
  <dcterms:created xsi:type="dcterms:W3CDTF">2014-09-26T11:37:35Z</dcterms:created>
  <dcterms:modified xsi:type="dcterms:W3CDTF">2014-10-27T13:34:29Z</dcterms:modified>
</cp:coreProperties>
</file>