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60" windowWidth="9135" windowHeight="4500" tabRatio="872"/>
  </bookViews>
  <sheets>
    <sheet name="275" sheetId="106" r:id="rId1"/>
  </sheets>
  <calcPr calcId="145621"/>
</workbook>
</file>

<file path=xl/calcChain.xml><?xml version="1.0" encoding="utf-8"?>
<calcChain xmlns="http://schemas.openxmlformats.org/spreadsheetml/2006/main">
  <c r="D17" i="106" l="1"/>
  <c r="C17" i="106"/>
  <c r="K11" i="106"/>
  <c r="J11" i="106"/>
  <c r="I11" i="106"/>
  <c r="H11" i="106"/>
  <c r="G11" i="106"/>
  <c r="F11" i="106"/>
  <c r="E11" i="106"/>
  <c r="D11" i="106"/>
  <c r="C11" i="106"/>
  <c r="K10" i="106"/>
  <c r="J10" i="106"/>
  <c r="I10" i="106"/>
  <c r="H10" i="106"/>
  <c r="G10" i="106"/>
  <c r="F10" i="106"/>
  <c r="E10" i="106"/>
  <c r="D10" i="106"/>
  <c r="C10" i="106"/>
  <c r="K9" i="106"/>
  <c r="J9" i="106"/>
  <c r="I9" i="106"/>
  <c r="H9" i="106"/>
  <c r="G9" i="106"/>
  <c r="F9" i="106"/>
  <c r="E9" i="106"/>
  <c r="D9" i="106"/>
  <c r="C9" i="106"/>
  <c r="K8" i="106"/>
  <c r="J8" i="106"/>
  <c r="I8" i="106"/>
  <c r="H8" i="106"/>
  <c r="G8" i="106"/>
  <c r="F8" i="106"/>
  <c r="E8" i="106"/>
  <c r="D8" i="106"/>
  <c r="C8" i="106"/>
  <c r="K7" i="106"/>
  <c r="J7" i="106"/>
  <c r="I7" i="106"/>
  <c r="H7" i="106"/>
  <c r="G7" i="106"/>
  <c r="F7" i="106"/>
  <c r="E7" i="106"/>
  <c r="D7" i="106"/>
  <c r="C7" i="106"/>
  <c r="K6" i="106"/>
  <c r="J6" i="106"/>
  <c r="I6" i="106"/>
  <c r="H6" i="106"/>
  <c r="G6" i="106"/>
  <c r="F6" i="106"/>
  <c r="E6" i="106"/>
  <c r="D6" i="106"/>
  <c r="C6" i="106"/>
  <c r="K5" i="106"/>
  <c r="J5" i="106"/>
  <c r="I5" i="106"/>
  <c r="H5" i="106"/>
  <c r="G5" i="106"/>
  <c r="F5" i="106"/>
  <c r="E5" i="106"/>
  <c r="D5" i="106"/>
  <c r="C5" i="106"/>
  <c r="K4" i="106"/>
  <c r="J4" i="106"/>
  <c r="F29" i="106" s="1"/>
  <c r="I4" i="106"/>
  <c r="H4" i="106"/>
  <c r="E28" i="106" s="1"/>
  <c r="I28" i="106" s="1"/>
  <c r="G4" i="106"/>
  <c r="F4" i="106"/>
  <c r="E21" i="106" s="1"/>
  <c r="F21" i="106" s="1"/>
  <c r="E4" i="106"/>
  <c r="D4" i="106"/>
  <c r="H32" i="106" s="1"/>
  <c r="I32" i="106" s="1"/>
  <c r="C4" i="106"/>
  <c r="G18" i="106" l="1"/>
  <c r="J18" i="106" s="1"/>
  <c r="I19" i="106"/>
  <c r="J19" i="106" s="1"/>
  <c r="D27" i="106"/>
  <c r="G31" i="106"/>
  <c r="I31" i="106" s="1"/>
  <c r="H30" i="106"/>
  <c r="I30" i="106" s="1"/>
  <c r="F17" i="106"/>
  <c r="F27" i="106"/>
  <c r="H17" i="106"/>
  <c r="J17" i="106" s="1"/>
  <c r="D19" i="106"/>
  <c r="F19" i="106" s="1"/>
  <c r="C20" i="106"/>
  <c r="C29" i="106"/>
  <c r="I29" i="106" s="1"/>
  <c r="D20" i="106"/>
  <c r="I27" i="106" l="1"/>
  <c r="F20" i="106"/>
</calcChain>
</file>

<file path=xl/sharedStrings.xml><?xml version="1.0" encoding="utf-8"?>
<sst xmlns="http://schemas.openxmlformats.org/spreadsheetml/2006/main" count="55" uniqueCount="33">
  <si>
    <t>Sola</t>
  </si>
  <si>
    <t>Forração</t>
  </si>
  <si>
    <t>Marrom</t>
  </si>
  <si>
    <t>Bco</t>
  </si>
  <si>
    <t>05</t>
  </si>
  <si>
    <t>Gáspea</t>
  </si>
  <si>
    <t>Traseiro</t>
  </si>
  <si>
    <t>Avesso</t>
  </si>
  <si>
    <t>Branco</t>
  </si>
  <si>
    <t>Bege</t>
  </si>
  <si>
    <t>Preto</t>
  </si>
  <si>
    <t>Total</t>
  </si>
  <si>
    <t>10</t>
  </si>
  <si>
    <t>Pares:</t>
  </si>
  <si>
    <t>Lateral</t>
  </si>
  <si>
    <t>Reforço</t>
  </si>
  <si>
    <t>Bi-Elástico</t>
  </si>
  <si>
    <t>02</t>
  </si>
  <si>
    <t>03</t>
  </si>
  <si>
    <t>12</t>
  </si>
  <si>
    <t>04</t>
  </si>
  <si>
    <t>06</t>
  </si>
  <si>
    <t>Pto</t>
  </si>
  <si>
    <t>Marr</t>
  </si>
  <si>
    <t>Semicromo    Bege</t>
  </si>
  <si>
    <t>Nobuck</t>
  </si>
  <si>
    <t>14</t>
  </si>
  <si>
    <t>07</t>
  </si>
  <si>
    <t>08</t>
  </si>
  <si>
    <t>09</t>
  </si>
  <si>
    <t>Pta</t>
  </si>
  <si>
    <t>13</t>
  </si>
  <si>
    <t>Camurça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</si>
</sst>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0" x14ac:knownFonts="1">
    <font>
      <sz val="10"/>
      <name val="Arial Narrow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20"/>
      <color theme="1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5" fillId="0" borderId="0"/>
    <xf numFmtId="0" fontId="9" fillId="0" borderId="0"/>
    <xf numFmtId="0" fontId="4" fillId="0" borderId="0"/>
    <xf numFmtId="0" fontId="4" fillId="0" borderId="0"/>
    <xf numFmtId="0" fontId="6" fillId="0" borderId="0"/>
    <xf numFmtId="0" fontId="3" fillId="0" borderId="0"/>
    <xf numFmtId="0" fontId="2" fillId="0" borderId="0"/>
    <xf numFmtId="0" fontId="2" fillId="0" borderId="0"/>
    <xf numFmtId="0" fontId="7" fillId="0" borderId="0"/>
    <xf numFmtId="0" fontId="6" fillId="0" borderId="0"/>
  </cellStyleXfs>
  <cellXfs count="36">
    <xf numFmtId="0" fontId="0" fillId="0" borderId="0" xfId="0"/>
    <xf numFmtId="0" fontId="3" fillId="0" borderId="0" xfId="6"/>
    <xf numFmtId="0" fontId="3" fillId="0" borderId="0" xfId="6" applyAlignment="1">
      <alignment horizontal="center"/>
    </xf>
    <xf numFmtId="0" fontId="3" fillId="0" borderId="3" xfId="6" applyBorder="1" applyAlignment="1">
      <alignment horizontal="center"/>
    </xf>
    <xf numFmtId="0" fontId="3" fillId="0" borderId="10" xfId="6" applyBorder="1" applyAlignment="1">
      <alignment horizontal="center"/>
    </xf>
    <xf numFmtId="0" fontId="3" fillId="0" borderId="1" xfId="6" applyBorder="1" applyAlignment="1">
      <alignment horizontal="center"/>
    </xf>
    <xf numFmtId="164" fontId="3" fillId="0" borderId="10" xfId="6" applyNumberFormat="1" applyBorder="1" applyAlignment="1">
      <alignment horizontal="center"/>
    </xf>
    <xf numFmtId="4" fontId="3" fillId="0" borderId="10" xfId="6" applyNumberFormat="1" applyBorder="1" applyAlignment="1">
      <alignment horizontal="center"/>
    </xf>
    <xf numFmtId="4" fontId="3" fillId="0" borderId="1" xfId="6" applyNumberFormat="1" applyBorder="1" applyAlignment="1">
      <alignment horizontal="center"/>
    </xf>
    <xf numFmtId="0" fontId="3" fillId="0" borderId="6" xfId="6" applyBorder="1" applyAlignment="1">
      <alignment horizontal="center"/>
    </xf>
    <xf numFmtId="0" fontId="3" fillId="0" borderId="4" xfId="6" applyBorder="1" applyAlignment="1">
      <alignment horizontal="center"/>
    </xf>
    <xf numFmtId="49" fontId="3" fillId="0" borderId="10" xfId="6" applyNumberFormat="1" applyBorder="1" applyAlignment="1">
      <alignment horizontal="center"/>
    </xf>
    <xf numFmtId="49" fontId="3" fillId="0" borderId="11" xfId="6" applyNumberFormat="1" applyBorder="1" applyAlignment="1">
      <alignment horizontal="center"/>
    </xf>
    <xf numFmtId="0" fontId="3" fillId="0" borderId="9" xfId="6" applyBorder="1"/>
    <xf numFmtId="0" fontId="3" fillId="0" borderId="0" xfId="6" applyBorder="1" applyAlignment="1">
      <alignment horizontal="center"/>
    </xf>
    <xf numFmtId="0" fontId="3" fillId="0" borderId="8" xfId="6" applyBorder="1" applyAlignment="1">
      <alignment horizontal="center"/>
    </xf>
    <xf numFmtId="49" fontId="3" fillId="0" borderId="12" xfId="6" applyNumberFormat="1" applyBorder="1" applyAlignment="1">
      <alignment horizontal="center"/>
    </xf>
    <xf numFmtId="0" fontId="3" fillId="0" borderId="7" xfId="6" applyBorder="1" applyAlignment="1"/>
    <xf numFmtId="0" fontId="3" fillId="0" borderId="5" xfId="6" applyBorder="1" applyAlignment="1"/>
    <xf numFmtId="49" fontId="3" fillId="0" borderId="13" xfId="6" applyNumberFormat="1" applyBorder="1" applyAlignment="1">
      <alignment horizontal="center"/>
    </xf>
    <xf numFmtId="49" fontId="3" fillId="0" borderId="10" xfId="6" applyNumberFormat="1" applyBorder="1" applyAlignment="1"/>
    <xf numFmtId="49" fontId="3" fillId="0" borderId="13" xfId="6" applyNumberFormat="1" applyBorder="1" applyAlignment="1"/>
    <xf numFmtId="0" fontId="3" fillId="0" borderId="9" xfId="6" applyBorder="1" applyAlignment="1"/>
    <xf numFmtId="0" fontId="3" fillId="0" borderId="0" xfId="6" applyAlignment="1"/>
    <xf numFmtId="0" fontId="3" fillId="0" borderId="2" xfId="6" applyFill="1" applyBorder="1" applyAlignment="1"/>
    <xf numFmtId="0" fontId="3" fillId="0" borderId="2" xfId="6" applyBorder="1" applyAlignment="1"/>
    <xf numFmtId="0" fontId="3" fillId="0" borderId="10" xfId="6" applyBorder="1" applyAlignment="1"/>
    <xf numFmtId="4" fontId="3" fillId="0" borderId="10" xfId="6" applyNumberFormat="1" applyBorder="1" applyAlignment="1"/>
    <xf numFmtId="0" fontId="3" fillId="0" borderId="0" xfId="6" applyBorder="1" applyAlignment="1"/>
    <xf numFmtId="4" fontId="3" fillId="0" borderId="0" xfId="6" applyNumberFormat="1" applyBorder="1" applyAlignment="1">
      <alignment horizontal="center"/>
    </xf>
    <xf numFmtId="0" fontId="3" fillId="0" borderId="6" xfId="6" applyBorder="1" applyAlignment="1"/>
    <xf numFmtId="49" fontId="3" fillId="0" borderId="11" xfId="6" applyNumberFormat="1" applyBorder="1" applyAlignment="1"/>
    <xf numFmtId="49" fontId="3" fillId="0" borderId="0" xfId="6" applyNumberFormat="1" applyAlignment="1"/>
    <xf numFmtId="49" fontId="3" fillId="0" borderId="12" xfId="6" applyNumberFormat="1" applyBorder="1" applyAlignment="1"/>
    <xf numFmtId="0" fontId="8" fillId="0" borderId="0" xfId="6" applyFont="1" applyAlignment="1">
      <alignment horizontal="center"/>
    </xf>
    <xf numFmtId="0" fontId="1" fillId="0" borderId="0" xfId="6" applyFont="1" applyAlignment="1">
      <alignment horizontal="center"/>
    </xf>
  </cellXfs>
  <cellStyles count="11">
    <cellStyle name="Normal" xfId="0" builtinId="0"/>
    <cellStyle name="Normal 2" xfId="1"/>
    <cellStyle name="Normal 2 2" xfId="4"/>
    <cellStyle name="Normal 2 2 2" xfId="8"/>
    <cellStyle name="Normal 2 3" xfId="9"/>
    <cellStyle name="Normal 3" xfId="3"/>
    <cellStyle name="Normal 4" xfId="2"/>
    <cellStyle name="Normal 4 2" xfId="10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9"/>
  <sheetViews>
    <sheetView showGridLines="0" tabSelected="1" workbookViewId="0">
      <selection activeCell="B5" sqref="B5"/>
    </sheetView>
  </sheetViews>
  <sheetFormatPr defaultRowHeight="15" x14ac:dyDescent="0.25"/>
  <cols>
    <col min="1" max="1" width="12.83203125" style="2" customWidth="1"/>
    <col min="2" max="2" width="9.33203125" style="2"/>
    <col min="3" max="11" width="8.83203125" style="2" customWidth="1"/>
    <col min="12" max="256" width="9.33203125" style="1"/>
    <col min="257" max="257" width="12.83203125" style="1" customWidth="1"/>
    <col min="258" max="258" width="9.33203125" style="1"/>
    <col min="259" max="267" width="8.83203125" style="1" customWidth="1"/>
    <col min="268" max="512" width="9.33203125" style="1"/>
    <col min="513" max="513" width="12.83203125" style="1" customWidth="1"/>
    <col min="514" max="514" width="9.33203125" style="1"/>
    <col min="515" max="523" width="8.83203125" style="1" customWidth="1"/>
    <col min="524" max="768" width="9.33203125" style="1"/>
    <col min="769" max="769" width="12.83203125" style="1" customWidth="1"/>
    <col min="770" max="770" width="9.33203125" style="1"/>
    <col min="771" max="779" width="8.83203125" style="1" customWidth="1"/>
    <col min="780" max="1024" width="9.33203125" style="1"/>
    <col min="1025" max="1025" width="12.83203125" style="1" customWidth="1"/>
    <col min="1026" max="1026" width="9.33203125" style="1"/>
    <col min="1027" max="1035" width="8.83203125" style="1" customWidth="1"/>
    <col min="1036" max="1280" width="9.33203125" style="1"/>
    <col min="1281" max="1281" width="12.83203125" style="1" customWidth="1"/>
    <col min="1282" max="1282" width="9.33203125" style="1"/>
    <col min="1283" max="1291" width="8.83203125" style="1" customWidth="1"/>
    <col min="1292" max="1536" width="9.33203125" style="1"/>
    <col min="1537" max="1537" width="12.83203125" style="1" customWidth="1"/>
    <col min="1538" max="1538" width="9.33203125" style="1"/>
    <col min="1539" max="1547" width="8.83203125" style="1" customWidth="1"/>
    <col min="1548" max="1792" width="9.33203125" style="1"/>
    <col min="1793" max="1793" width="12.83203125" style="1" customWidth="1"/>
    <col min="1794" max="1794" width="9.33203125" style="1"/>
    <col min="1795" max="1803" width="8.83203125" style="1" customWidth="1"/>
    <col min="1804" max="2048" width="9.33203125" style="1"/>
    <col min="2049" max="2049" width="12.83203125" style="1" customWidth="1"/>
    <col min="2050" max="2050" width="9.33203125" style="1"/>
    <col min="2051" max="2059" width="8.83203125" style="1" customWidth="1"/>
    <col min="2060" max="2304" width="9.33203125" style="1"/>
    <col min="2305" max="2305" width="12.83203125" style="1" customWidth="1"/>
    <col min="2306" max="2306" width="9.33203125" style="1"/>
    <col min="2307" max="2315" width="8.83203125" style="1" customWidth="1"/>
    <col min="2316" max="2560" width="9.33203125" style="1"/>
    <col min="2561" max="2561" width="12.83203125" style="1" customWidth="1"/>
    <col min="2562" max="2562" width="9.33203125" style="1"/>
    <col min="2563" max="2571" width="8.83203125" style="1" customWidth="1"/>
    <col min="2572" max="2816" width="9.33203125" style="1"/>
    <col min="2817" max="2817" width="12.83203125" style="1" customWidth="1"/>
    <col min="2818" max="2818" width="9.33203125" style="1"/>
    <col min="2819" max="2827" width="8.83203125" style="1" customWidth="1"/>
    <col min="2828" max="3072" width="9.33203125" style="1"/>
    <col min="3073" max="3073" width="12.83203125" style="1" customWidth="1"/>
    <col min="3074" max="3074" width="9.33203125" style="1"/>
    <col min="3075" max="3083" width="8.83203125" style="1" customWidth="1"/>
    <col min="3084" max="3328" width="9.33203125" style="1"/>
    <col min="3329" max="3329" width="12.83203125" style="1" customWidth="1"/>
    <col min="3330" max="3330" width="9.33203125" style="1"/>
    <col min="3331" max="3339" width="8.83203125" style="1" customWidth="1"/>
    <col min="3340" max="3584" width="9.33203125" style="1"/>
    <col min="3585" max="3585" width="12.83203125" style="1" customWidth="1"/>
    <col min="3586" max="3586" width="9.33203125" style="1"/>
    <col min="3587" max="3595" width="8.83203125" style="1" customWidth="1"/>
    <col min="3596" max="3840" width="9.33203125" style="1"/>
    <col min="3841" max="3841" width="12.83203125" style="1" customWidth="1"/>
    <col min="3842" max="3842" width="9.33203125" style="1"/>
    <col min="3843" max="3851" width="8.83203125" style="1" customWidth="1"/>
    <col min="3852" max="4096" width="9.33203125" style="1"/>
    <col min="4097" max="4097" width="12.83203125" style="1" customWidth="1"/>
    <col min="4098" max="4098" width="9.33203125" style="1"/>
    <col min="4099" max="4107" width="8.83203125" style="1" customWidth="1"/>
    <col min="4108" max="4352" width="9.33203125" style="1"/>
    <col min="4353" max="4353" width="12.83203125" style="1" customWidth="1"/>
    <col min="4354" max="4354" width="9.33203125" style="1"/>
    <col min="4355" max="4363" width="8.83203125" style="1" customWidth="1"/>
    <col min="4364" max="4608" width="9.33203125" style="1"/>
    <col min="4609" max="4609" width="12.83203125" style="1" customWidth="1"/>
    <col min="4610" max="4610" width="9.33203125" style="1"/>
    <col min="4611" max="4619" width="8.83203125" style="1" customWidth="1"/>
    <col min="4620" max="4864" width="9.33203125" style="1"/>
    <col min="4865" max="4865" width="12.83203125" style="1" customWidth="1"/>
    <col min="4866" max="4866" width="9.33203125" style="1"/>
    <col min="4867" max="4875" width="8.83203125" style="1" customWidth="1"/>
    <col min="4876" max="5120" width="9.33203125" style="1"/>
    <col min="5121" max="5121" width="12.83203125" style="1" customWidth="1"/>
    <col min="5122" max="5122" width="9.33203125" style="1"/>
    <col min="5123" max="5131" width="8.83203125" style="1" customWidth="1"/>
    <col min="5132" max="5376" width="9.33203125" style="1"/>
    <col min="5377" max="5377" width="12.83203125" style="1" customWidth="1"/>
    <col min="5378" max="5378" width="9.33203125" style="1"/>
    <col min="5379" max="5387" width="8.83203125" style="1" customWidth="1"/>
    <col min="5388" max="5632" width="9.33203125" style="1"/>
    <col min="5633" max="5633" width="12.83203125" style="1" customWidth="1"/>
    <col min="5634" max="5634" width="9.33203125" style="1"/>
    <col min="5635" max="5643" width="8.83203125" style="1" customWidth="1"/>
    <col min="5644" max="5888" width="9.33203125" style="1"/>
    <col min="5889" max="5889" width="12.83203125" style="1" customWidth="1"/>
    <col min="5890" max="5890" width="9.33203125" style="1"/>
    <col min="5891" max="5899" width="8.83203125" style="1" customWidth="1"/>
    <col min="5900" max="6144" width="9.33203125" style="1"/>
    <col min="6145" max="6145" width="12.83203125" style="1" customWidth="1"/>
    <col min="6146" max="6146" width="9.33203125" style="1"/>
    <col min="6147" max="6155" width="8.83203125" style="1" customWidth="1"/>
    <col min="6156" max="6400" width="9.33203125" style="1"/>
    <col min="6401" max="6401" width="12.83203125" style="1" customWidth="1"/>
    <col min="6402" max="6402" width="9.33203125" style="1"/>
    <col min="6403" max="6411" width="8.83203125" style="1" customWidth="1"/>
    <col min="6412" max="6656" width="9.33203125" style="1"/>
    <col min="6657" max="6657" width="12.83203125" style="1" customWidth="1"/>
    <col min="6658" max="6658" width="9.33203125" style="1"/>
    <col min="6659" max="6667" width="8.83203125" style="1" customWidth="1"/>
    <col min="6668" max="6912" width="9.33203125" style="1"/>
    <col min="6913" max="6913" width="12.83203125" style="1" customWidth="1"/>
    <col min="6914" max="6914" width="9.33203125" style="1"/>
    <col min="6915" max="6923" width="8.83203125" style="1" customWidth="1"/>
    <col min="6924" max="7168" width="9.33203125" style="1"/>
    <col min="7169" max="7169" width="12.83203125" style="1" customWidth="1"/>
    <col min="7170" max="7170" width="9.33203125" style="1"/>
    <col min="7171" max="7179" width="8.83203125" style="1" customWidth="1"/>
    <col min="7180" max="7424" width="9.33203125" style="1"/>
    <col min="7425" max="7425" width="12.83203125" style="1" customWidth="1"/>
    <col min="7426" max="7426" width="9.33203125" style="1"/>
    <col min="7427" max="7435" width="8.83203125" style="1" customWidth="1"/>
    <col min="7436" max="7680" width="9.33203125" style="1"/>
    <col min="7681" max="7681" width="12.83203125" style="1" customWidth="1"/>
    <col min="7682" max="7682" width="9.33203125" style="1"/>
    <col min="7683" max="7691" width="8.83203125" style="1" customWidth="1"/>
    <col min="7692" max="7936" width="9.33203125" style="1"/>
    <col min="7937" max="7937" width="12.83203125" style="1" customWidth="1"/>
    <col min="7938" max="7938" width="9.33203125" style="1"/>
    <col min="7939" max="7947" width="8.83203125" style="1" customWidth="1"/>
    <col min="7948" max="8192" width="9.33203125" style="1"/>
    <col min="8193" max="8193" width="12.83203125" style="1" customWidth="1"/>
    <col min="8194" max="8194" width="9.33203125" style="1"/>
    <col min="8195" max="8203" width="8.83203125" style="1" customWidth="1"/>
    <col min="8204" max="8448" width="9.33203125" style="1"/>
    <col min="8449" max="8449" width="12.83203125" style="1" customWidth="1"/>
    <col min="8450" max="8450" width="9.33203125" style="1"/>
    <col min="8451" max="8459" width="8.83203125" style="1" customWidth="1"/>
    <col min="8460" max="8704" width="9.33203125" style="1"/>
    <col min="8705" max="8705" width="12.83203125" style="1" customWidth="1"/>
    <col min="8706" max="8706" width="9.33203125" style="1"/>
    <col min="8707" max="8715" width="8.83203125" style="1" customWidth="1"/>
    <col min="8716" max="8960" width="9.33203125" style="1"/>
    <col min="8961" max="8961" width="12.83203125" style="1" customWidth="1"/>
    <col min="8962" max="8962" width="9.33203125" style="1"/>
    <col min="8963" max="8971" width="8.83203125" style="1" customWidth="1"/>
    <col min="8972" max="9216" width="9.33203125" style="1"/>
    <col min="9217" max="9217" width="12.83203125" style="1" customWidth="1"/>
    <col min="9218" max="9218" width="9.33203125" style="1"/>
    <col min="9219" max="9227" width="8.83203125" style="1" customWidth="1"/>
    <col min="9228" max="9472" width="9.33203125" style="1"/>
    <col min="9473" max="9473" width="12.83203125" style="1" customWidth="1"/>
    <col min="9474" max="9474" width="9.33203125" style="1"/>
    <col min="9475" max="9483" width="8.83203125" style="1" customWidth="1"/>
    <col min="9484" max="9728" width="9.33203125" style="1"/>
    <col min="9729" max="9729" width="12.83203125" style="1" customWidth="1"/>
    <col min="9730" max="9730" width="9.33203125" style="1"/>
    <col min="9731" max="9739" width="8.83203125" style="1" customWidth="1"/>
    <col min="9740" max="9984" width="9.33203125" style="1"/>
    <col min="9985" max="9985" width="12.83203125" style="1" customWidth="1"/>
    <col min="9986" max="9986" width="9.33203125" style="1"/>
    <col min="9987" max="9995" width="8.83203125" style="1" customWidth="1"/>
    <col min="9996" max="10240" width="9.33203125" style="1"/>
    <col min="10241" max="10241" width="12.83203125" style="1" customWidth="1"/>
    <col min="10242" max="10242" width="9.33203125" style="1"/>
    <col min="10243" max="10251" width="8.83203125" style="1" customWidth="1"/>
    <col min="10252" max="10496" width="9.33203125" style="1"/>
    <col min="10497" max="10497" width="12.83203125" style="1" customWidth="1"/>
    <col min="10498" max="10498" width="9.33203125" style="1"/>
    <col min="10499" max="10507" width="8.83203125" style="1" customWidth="1"/>
    <col min="10508" max="10752" width="9.33203125" style="1"/>
    <col min="10753" max="10753" width="12.83203125" style="1" customWidth="1"/>
    <col min="10754" max="10754" width="9.33203125" style="1"/>
    <col min="10755" max="10763" width="8.83203125" style="1" customWidth="1"/>
    <col min="10764" max="11008" width="9.33203125" style="1"/>
    <col min="11009" max="11009" width="12.83203125" style="1" customWidth="1"/>
    <col min="11010" max="11010" width="9.33203125" style="1"/>
    <col min="11011" max="11019" width="8.83203125" style="1" customWidth="1"/>
    <col min="11020" max="11264" width="9.33203125" style="1"/>
    <col min="11265" max="11265" width="12.83203125" style="1" customWidth="1"/>
    <col min="11266" max="11266" width="9.33203125" style="1"/>
    <col min="11267" max="11275" width="8.83203125" style="1" customWidth="1"/>
    <col min="11276" max="11520" width="9.33203125" style="1"/>
    <col min="11521" max="11521" width="12.83203125" style="1" customWidth="1"/>
    <col min="11522" max="11522" width="9.33203125" style="1"/>
    <col min="11523" max="11531" width="8.83203125" style="1" customWidth="1"/>
    <col min="11532" max="11776" width="9.33203125" style="1"/>
    <col min="11777" max="11777" width="12.83203125" style="1" customWidth="1"/>
    <col min="11778" max="11778" width="9.33203125" style="1"/>
    <col min="11779" max="11787" width="8.83203125" style="1" customWidth="1"/>
    <col min="11788" max="12032" width="9.33203125" style="1"/>
    <col min="12033" max="12033" width="12.83203125" style="1" customWidth="1"/>
    <col min="12034" max="12034" width="9.33203125" style="1"/>
    <col min="12035" max="12043" width="8.83203125" style="1" customWidth="1"/>
    <col min="12044" max="12288" width="9.33203125" style="1"/>
    <col min="12289" max="12289" width="12.83203125" style="1" customWidth="1"/>
    <col min="12290" max="12290" width="9.33203125" style="1"/>
    <col min="12291" max="12299" width="8.83203125" style="1" customWidth="1"/>
    <col min="12300" max="12544" width="9.33203125" style="1"/>
    <col min="12545" max="12545" width="12.83203125" style="1" customWidth="1"/>
    <col min="12546" max="12546" width="9.33203125" style="1"/>
    <col min="12547" max="12555" width="8.83203125" style="1" customWidth="1"/>
    <col min="12556" max="12800" width="9.33203125" style="1"/>
    <col min="12801" max="12801" width="12.83203125" style="1" customWidth="1"/>
    <col min="12802" max="12802" width="9.33203125" style="1"/>
    <col min="12803" max="12811" width="8.83203125" style="1" customWidth="1"/>
    <col min="12812" max="13056" width="9.33203125" style="1"/>
    <col min="13057" max="13057" width="12.83203125" style="1" customWidth="1"/>
    <col min="13058" max="13058" width="9.33203125" style="1"/>
    <col min="13059" max="13067" width="8.83203125" style="1" customWidth="1"/>
    <col min="13068" max="13312" width="9.33203125" style="1"/>
    <col min="13313" max="13313" width="12.83203125" style="1" customWidth="1"/>
    <col min="13314" max="13314" width="9.33203125" style="1"/>
    <col min="13315" max="13323" width="8.83203125" style="1" customWidth="1"/>
    <col min="13324" max="13568" width="9.33203125" style="1"/>
    <col min="13569" max="13569" width="12.83203125" style="1" customWidth="1"/>
    <col min="13570" max="13570" width="9.33203125" style="1"/>
    <col min="13571" max="13579" width="8.83203125" style="1" customWidth="1"/>
    <col min="13580" max="13824" width="9.33203125" style="1"/>
    <col min="13825" max="13825" width="12.83203125" style="1" customWidth="1"/>
    <col min="13826" max="13826" width="9.33203125" style="1"/>
    <col min="13827" max="13835" width="8.83203125" style="1" customWidth="1"/>
    <col min="13836" max="14080" width="9.33203125" style="1"/>
    <col min="14081" max="14081" width="12.83203125" style="1" customWidth="1"/>
    <col min="14082" max="14082" width="9.33203125" style="1"/>
    <col min="14083" max="14091" width="8.83203125" style="1" customWidth="1"/>
    <col min="14092" max="14336" width="9.33203125" style="1"/>
    <col min="14337" max="14337" width="12.83203125" style="1" customWidth="1"/>
    <col min="14338" max="14338" width="9.33203125" style="1"/>
    <col min="14339" max="14347" width="8.83203125" style="1" customWidth="1"/>
    <col min="14348" max="14592" width="9.33203125" style="1"/>
    <col min="14593" max="14593" width="12.83203125" style="1" customWidth="1"/>
    <col min="14594" max="14594" width="9.33203125" style="1"/>
    <col min="14595" max="14603" width="8.83203125" style="1" customWidth="1"/>
    <col min="14604" max="14848" width="9.33203125" style="1"/>
    <col min="14849" max="14849" width="12.83203125" style="1" customWidth="1"/>
    <col min="14850" max="14850" width="9.33203125" style="1"/>
    <col min="14851" max="14859" width="8.83203125" style="1" customWidth="1"/>
    <col min="14860" max="15104" width="9.33203125" style="1"/>
    <col min="15105" max="15105" width="12.83203125" style="1" customWidth="1"/>
    <col min="15106" max="15106" width="9.33203125" style="1"/>
    <col min="15107" max="15115" width="8.83203125" style="1" customWidth="1"/>
    <col min="15116" max="15360" width="9.33203125" style="1"/>
    <col min="15361" max="15361" width="12.83203125" style="1" customWidth="1"/>
    <col min="15362" max="15362" width="9.33203125" style="1"/>
    <col min="15363" max="15371" width="8.83203125" style="1" customWidth="1"/>
    <col min="15372" max="15616" width="9.33203125" style="1"/>
    <col min="15617" max="15617" width="12.83203125" style="1" customWidth="1"/>
    <col min="15618" max="15618" width="9.33203125" style="1"/>
    <col min="15619" max="15627" width="8.83203125" style="1" customWidth="1"/>
    <col min="15628" max="15872" width="9.33203125" style="1"/>
    <col min="15873" max="15873" width="12.83203125" style="1" customWidth="1"/>
    <col min="15874" max="15874" width="9.33203125" style="1"/>
    <col min="15875" max="15883" width="8.83203125" style="1" customWidth="1"/>
    <col min="15884" max="16128" width="9.33203125" style="1"/>
    <col min="16129" max="16129" width="12.83203125" style="1" customWidth="1"/>
    <col min="16130" max="16130" width="9.33203125" style="1"/>
    <col min="16131" max="16139" width="8.83203125" style="1" customWidth="1"/>
    <col min="16140" max="16384" width="9.33203125" style="1"/>
  </cols>
  <sheetData>
    <row r="2" spans="1:11" x14ac:dyDescent="0.25">
      <c r="C2" s="35"/>
      <c r="D2" s="35"/>
      <c r="F2" s="35"/>
    </row>
    <row r="3" spans="1:11" x14ac:dyDescent="0.25">
      <c r="A3" s="3"/>
      <c r="B3" s="4" t="s">
        <v>13</v>
      </c>
      <c r="C3" s="4">
        <v>500</v>
      </c>
      <c r="D3" s="4">
        <v>10</v>
      </c>
      <c r="E3" s="4">
        <v>200</v>
      </c>
      <c r="F3" s="4">
        <v>160</v>
      </c>
      <c r="G3" s="4">
        <v>140</v>
      </c>
      <c r="H3" s="4">
        <v>110</v>
      </c>
      <c r="I3" s="4">
        <v>50</v>
      </c>
      <c r="J3" s="4">
        <v>40</v>
      </c>
      <c r="K3" s="5">
        <v>20</v>
      </c>
    </row>
    <row r="4" spans="1:11" x14ac:dyDescent="0.25">
      <c r="A4" s="3" t="s">
        <v>5</v>
      </c>
      <c r="B4" s="6">
        <v>8.1299999999999997E-2</v>
      </c>
      <c r="C4" s="7">
        <f>$B$4*C3</f>
        <v>40.65</v>
      </c>
      <c r="D4" s="7">
        <f t="shared" ref="D4:K4" si="0">$B$4*D3</f>
        <v>0.81299999999999994</v>
      </c>
      <c r="E4" s="7">
        <f t="shared" si="0"/>
        <v>16.259999999999998</v>
      </c>
      <c r="F4" s="7">
        <f t="shared" si="0"/>
        <v>13.007999999999999</v>
      </c>
      <c r="G4" s="7">
        <f t="shared" si="0"/>
        <v>11.382</v>
      </c>
      <c r="H4" s="7">
        <f t="shared" si="0"/>
        <v>8.9429999999999996</v>
      </c>
      <c r="I4" s="7">
        <f t="shared" si="0"/>
        <v>4.0649999999999995</v>
      </c>
      <c r="J4" s="7">
        <f t="shared" si="0"/>
        <v>3.2519999999999998</v>
      </c>
      <c r="K4" s="8">
        <f t="shared" si="0"/>
        <v>1.6259999999999999</v>
      </c>
    </row>
    <row r="5" spans="1:11" x14ac:dyDescent="0.25">
      <c r="A5" s="3" t="s">
        <v>14</v>
      </c>
      <c r="B5" s="6">
        <v>4.87E-2</v>
      </c>
      <c r="C5" s="7">
        <f>$B$5*C3</f>
        <v>24.35</v>
      </c>
      <c r="D5" s="7">
        <f t="shared" ref="D5:K5" si="1">$B$5*D3</f>
        <v>0.48699999999999999</v>
      </c>
      <c r="E5" s="7">
        <f t="shared" si="1"/>
        <v>9.74</v>
      </c>
      <c r="F5" s="7">
        <f t="shared" si="1"/>
        <v>7.7919999999999998</v>
      </c>
      <c r="G5" s="7">
        <f t="shared" si="1"/>
        <v>6.8179999999999996</v>
      </c>
      <c r="H5" s="7">
        <f t="shared" si="1"/>
        <v>5.3570000000000002</v>
      </c>
      <c r="I5" s="7">
        <f t="shared" si="1"/>
        <v>2.4350000000000001</v>
      </c>
      <c r="J5" s="7">
        <f t="shared" si="1"/>
        <v>1.948</v>
      </c>
      <c r="K5" s="8">
        <f t="shared" si="1"/>
        <v>0.97399999999999998</v>
      </c>
    </row>
    <row r="6" spans="1:11" x14ac:dyDescent="0.25">
      <c r="A6" s="3" t="s">
        <v>6</v>
      </c>
      <c r="B6" s="6">
        <v>1.3299999999999999E-2</v>
      </c>
      <c r="C6" s="7">
        <f>$B$6*C3</f>
        <v>6.6499999999999995</v>
      </c>
      <c r="D6" s="7">
        <f t="shared" ref="D6:K6" si="2">$B$6*D3</f>
        <v>0.13300000000000001</v>
      </c>
      <c r="E6" s="7">
        <f t="shared" si="2"/>
        <v>2.6599999999999997</v>
      </c>
      <c r="F6" s="7">
        <f t="shared" si="2"/>
        <v>2.1280000000000001</v>
      </c>
      <c r="G6" s="7">
        <f t="shared" si="2"/>
        <v>1.8619999999999999</v>
      </c>
      <c r="H6" s="7">
        <f t="shared" si="2"/>
        <v>1.4629999999999999</v>
      </c>
      <c r="I6" s="7">
        <f t="shared" si="2"/>
        <v>0.66499999999999992</v>
      </c>
      <c r="J6" s="7">
        <f t="shared" si="2"/>
        <v>0.53200000000000003</v>
      </c>
      <c r="K6" s="8">
        <f t="shared" si="2"/>
        <v>0.26600000000000001</v>
      </c>
    </row>
    <row r="7" spans="1:11" x14ac:dyDescent="0.25">
      <c r="A7" s="3" t="s">
        <v>1</v>
      </c>
      <c r="B7" s="6">
        <v>6.08E-2</v>
      </c>
      <c r="C7" s="7">
        <f>$B$7*C3</f>
        <v>30.4</v>
      </c>
      <c r="D7" s="7">
        <f t="shared" ref="D7:K7" si="3">$B$7*D3</f>
        <v>0.60799999999999998</v>
      </c>
      <c r="E7" s="7">
        <f t="shared" si="3"/>
        <v>12.16</v>
      </c>
      <c r="F7" s="7">
        <f t="shared" si="3"/>
        <v>9.7279999999999998</v>
      </c>
      <c r="G7" s="7">
        <f t="shared" si="3"/>
        <v>8.5120000000000005</v>
      </c>
      <c r="H7" s="7">
        <f t="shared" si="3"/>
        <v>6.6879999999999997</v>
      </c>
      <c r="I7" s="7">
        <f t="shared" si="3"/>
        <v>3.04</v>
      </c>
      <c r="J7" s="7">
        <f t="shared" si="3"/>
        <v>2.4319999999999999</v>
      </c>
      <c r="K7" s="8">
        <f t="shared" si="3"/>
        <v>1.216</v>
      </c>
    </row>
    <row r="8" spans="1:11" x14ac:dyDescent="0.25">
      <c r="A8" s="3" t="s">
        <v>15</v>
      </c>
      <c r="B8" s="6">
        <v>4.7600000000000003E-2</v>
      </c>
      <c r="C8" s="7">
        <f>$B$8*C3</f>
        <v>23.8</v>
      </c>
      <c r="D8" s="7">
        <f t="shared" ref="D8:K8" si="4">$B$8*D3</f>
        <v>0.47600000000000003</v>
      </c>
      <c r="E8" s="7">
        <f t="shared" si="4"/>
        <v>9.5200000000000014</v>
      </c>
      <c r="F8" s="7">
        <f t="shared" si="4"/>
        <v>7.6160000000000005</v>
      </c>
      <c r="G8" s="7">
        <f t="shared" si="4"/>
        <v>6.6640000000000006</v>
      </c>
      <c r="H8" s="7">
        <f t="shared" si="4"/>
        <v>5.2360000000000007</v>
      </c>
      <c r="I8" s="7">
        <f t="shared" si="4"/>
        <v>2.3800000000000003</v>
      </c>
      <c r="J8" s="7">
        <f t="shared" si="4"/>
        <v>1.9040000000000001</v>
      </c>
      <c r="K8" s="8">
        <f t="shared" si="4"/>
        <v>0.95200000000000007</v>
      </c>
    </row>
    <row r="9" spans="1:11" x14ac:dyDescent="0.25">
      <c r="A9" s="3" t="s">
        <v>7</v>
      </c>
      <c r="B9" s="6">
        <v>1.9699999999999999E-2</v>
      </c>
      <c r="C9" s="7">
        <f>$B$9*C3</f>
        <v>9.85</v>
      </c>
      <c r="D9" s="7">
        <f t="shared" ref="D9:K9" si="5">$B$9*D3</f>
        <v>0.19699999999999998</v>
      </c>
      <c r="E9" s="7">
        <f t="shared" si="5"/>
        <v>3.94</v>
      </c>
      <c r="F9" s="7">
        <f t="shared" si="5"/>
        <v>3.1519999999999997</v>
      </c>
      <c r="G9" s="7">
        <f t="shared" si="5"/>
        <v>2.758</v>
      </c>
      <c r="H9" s="7">
        <f t="shared" si="5"/>
        <v>2.1669999999999998</v>
      </c>
      <c r="I9" s="7">
        <f t="shared" si="5"/>
        <v>0.98499999999999999</v>
      </c>
      <c r="J9" s="7">
        <f t="shared" si="5"/>
        <v>0.78799999999999992</v>
      </c>
      <c r="K9" s="8">
        <f t="shared" si="5"/>
        <v>0.39399999999999996</v>
      </c>
    </row>
    <row r="10" spans="1:11" x14ac:dyDescent="0.25">
      <c r="A10" s="3" t="s">
        <v>0</v>
      </c>
      <c r="B10" s="6">
        <v>4.0899999999999999E-2</v>
      </c>
      <c r="C10" s="7">
        <f>$B$10*C3</f>
        <v>20.45</v>
      </c>
      <c r="D10" s="7">
        <f t="shared" ref="D10:K10" si="6">$B$10*D3</f>
        <v>0.40899999999999997</v>
      </c>
      <c r="E10" s="7">
        <f t="shared" si="6"/>
        <v>8.18</v>
      </c>
      <c r="F10" s="7">
        <f t="shared" si="6"/>
        <v>6.5439999999999996</v>
      </c>
      <c r="G10" s="7">
        <f t="shared" si="6"/>
        <v>5.726</v>
      </c>
      <c r="H10" s="7">
        <f t="shared" si="6"/>
        <v>4.4989999999999997</v>
      </c>
      <c r="I10" s="7">
        <f t="shared" si="6"/>
        <v>2.0449999999999999</v>
      </c>
      <c r="J10" s="7">
        <f t="shared" si="6"/>
        <v>1.6359999999999999</v>
      </c>
      <c r="K10" s="8">
        <f t="shared" si="6"/>
        <v>0.81799999999999995</v>
      </c>
    </row>
    <row r="11" spans="1:11" x14ac:dyDescent="0.25">
      <c r="A11" s="3" t="s">
        <v>16</v>
      </c>
      <c r="B11" s="6">
        <v>0.12</v>
      </c>
      <c r="C11" s="7">
        <f>$B$11*C3</f>
        <v>60</v>
      </c>
      <c r="D11" s="7">
        <f t="shared" ref="D11:K11" si="7">$B$11*D3</f>
        <v>1.2</v>
      </c>
      <c r="E11" s="7">
        <f t="shared" si="7"/>
        <v>24</v>
      </c>
      <c r="F11" s="7">
        <f t="shared" si="7"/>
        <v>19.2</v>
      </c>
      <c r="G11" s="7">
        <f t="shared" si="7"/>
        <v>16.8</v>
      </c>
      <c r="H11" s="7">
        <f t="shared" si="7"/>
        <v>13.2</v>
      </c>
      <c r="I11" s="7">
        <f t="shared" si="7"/>
        <v>6</v>
      </c>
      <c r="J11" s="7">
        <f t="shared" si="7"/>
        <v>4.8</v>
      </c>
      <c r="K11" s="8">
        <f t="shared" si="7"/>
        <v>2.4</v>
      </c>
    </row>
    <row r="13" spans="1:11" x14ac:dyDescent="0.25">
      <c r="A13" s="9"/>
      <c r="B13" s="10"/>
      <c r="C13" s="11" t="s">
        <v>17</v>
      </c>
      <c r="D13" s="11" t="s">
        <v>18</v>
      </c>
      <c r="E13" s="11" t="s">
        <v>19</v>
      </c>
      <c r="F13" s="12"/>
      <c r="G13" s="11" t="s">
        <v>20</v>
      </c>
      <c r="H13" s="11" t="s">
        <v>4</v>
      </c>
      <c r="I13" s="11" t="s">
        <v>21</v>
      </c>
      <c r="J13" s="12"/>
      <c r="K13" s="13"/>
    </row>
    <row r="14" spans="1:11" x14ac:dyDescent="0.25">
      <c r="A14" s="14"/>
      <c r="B14" s="15"/>
      <c r="C14" s="11" t="s">
        <v>22</v>
      </c>
      <c r="D14" s="11" t="s">
        <v>22</v>
      </c>
      <c r="E14" s="11" t="s">
        <v>9</v>
      </c>
      <c r="F14" s="16"/>
      <c r="G14" s="11" t="s">
        <v>3</v>
      </c>
      <c r="H14" s="11" t="s">
        <v>9</v>
      </c>
      <c r="I14" s="11" t="s">
        <v>23</v>
      </c>
      <c r="J14" s="16"/>
      <c r="K14" s="13"/>
    </row>
    <row r="15" spans="1:11" x14ac:dyDescent="0.25">
      <c r="A15" s="14"/>
      <c r="B15" s="15"/>
      <c r="C15" s="11" t="s">
        <v>9</v>
      </c>
      <c r="D15" s="11" t="s">
        <v>23</v>
      </c>
      <c r="E15" s="11"/>
      <c r="F15" s="16"/>
      <c r="G15" s="11"/>
      <c r="H15" s="11"/>
      <c r="I15" s="11"/>
      <c r="J15" s="16"/>
      <c r="K15" s="13"/>
    </row>
    <row r="16" spans="1:11" s="23" customFormat="1" x14ac:dyDescent="0.25">
      <c r="A16" s="17"/>
      <c r="B16" s="18"/>
      <c r="C16" s="11"/>
      <c r="D16" s="11" t="s">
        <v>9</v>
      </c>
      <c r="E16" s="11"/>
      <c r="F16" s="19" t="s">
        <v>11</v>
      </c>
      <c r="G16" s="20"/>
      <c r="H16" s="20"/>
      <c r="I16" s="20"/>
      <c r="J16" s="21" t="s">
        <v>11</v>
      </c>
      <c r="K16" s="22"/>
    </row>
    <row r="17" spans="1:11" s="23" customFormat="1" x14ac:dyDescent="0.25">
      <c r="A17" s="24" t="s">
        <v>24</v>
      </c>
      <c r="B17" s="25"/>
      <c r="C17" s="7">
        <f>F5+F6</f>
        <v>9.92</v>
      </c>
      <c r="D17" s="7">
        <f>F6</f>
        <v>2.1280000000000001</v>
      </c>
      <c r="E17" s="4"/>
      <c r="F17" s="7">
        <f>C17+D17</f>
        <v>12.048</v>
      </c>
      <c r="G17" s="26"/>
      <c r="H17" s="27">
        <f>G4+G5+G6</f>
        <v>20.061999999999998</v>
      </c>
      <c r="I17" s="26"/>
      <c r="J17" s="27">
        <f>H17</f>
        <v>20.061999999999998</v>
      </c>
      <c r="K17" s="22"/>
    </row>
    <row r="18" spans="1:11" s="23" customFormat="1" x14ac:dyDescent="0.25">
      <c r="A18" s="25"/>
      <c r="B18" s="25" t="s">
        <v>8</v>
      </c>
      <c r="C18" s="4"/>
      <c r="D18" s="4"/>
      <c r="E18" s="4"/>
      <c r="F18" s="4"/>
      <c r="G18" s="27">
        <f>E4+E5+E6</f>
        <v>28.66</v>
      </c>
      <c r="H18" s="26"/>
      <c r="I18" s="26"/>
      <c r="J18" s="27">
        <f>G18</f>
        <v>28.66</v>
      </c>
      <c r="K18" s="22"/>
    </row>
    <row r="19" spans="1:11" s="23" customFormat="1" x14ac:dyDescent="0.25">
      <c r="A19" s="25"/>
      <c r="B19" s="25" t="s">
        <v>2</v>
      </c>
      <c r="C19" s="4"/>
      <c r="D19" s="7">
        <f>F5</f>
        <v>7.7919999999999998</v>
      </c>
      <c r="E19" s="4"/>
      <c r="F19" s="7">
        <f>D19</f>
        <v>7.7919999999999998</v>
      </c>
      <c r="G19" s="26"/>
      <c r="H19" s="26"/>
      <c r="I19" s="27">
        <f>G4+G5+G6</f>
        <v>20.061999999999998</v>
      </c>
      <c r="J19" s="27">
        <f>I19</f>
        <v>20.061999999999998</v>
      </c>
      <c r="K19" s="22"/>
    </row>
    <row r="20" spans="1:11" s="23" customFormat="1" x14ac:dyDescent="0.25">
      <c r="A20" s="25"/>
      <c r="B20" s="25" t="s">
        <v>10</v>
      </c>
      <c r="C20" s="7">
        <f>F4</f>
        <v>13.007999999999999</v>
      </c>
      <c r="D20" s="7">
        <f>F4</f>
        <v>13.007999999999999</v>
      </c>
      <c r="E20" s="4"/>
      <c r="F20" s="7">
        <f>C20+D20</f>
        <v>26.015999999999998</v>
      </c>
      <c r="G20" s="26"/>
      <c r="H20" s="26"/>
      <c r="I20" s="26"/>
      <c r="J20" s="26"/>
      <c r="K20" s="22"/>
    </row>
    <row r="21" spans="1:11" s="23" customFormat="1" x14ac:dyDescent="0.25">
      <c r="A21" s="25" t="s">
        <v>25</v>
      </c>
      <c r="B21" s="25" t="s">
        <v>9</v>
      </c>
      <c r="C21" s="4"/>
      <c r="D21" s="4"/>
      <c r="E21" s="7">
        <f>F4+F5+F6</f>
        <v>22.927999999999997</v>
      </c>
      <c r="F21" s="7">
        <f>E21</f>
        <v>22.927999999999997</v>
      </c>
      <c r="G21" s="26"/>
      <c r="H21" s="26"/>
      <c r="I21" s="26"/>
      <c r="J21" s="26"/>
      <c r="K21" s="22"/>
    </row>
    <row r="22" spans="1:11" s="23" customFormat="1" x14ac:dyDescent="0.25">
      <c r="A22" s="28"/>
      <c r="B22" s="28"/>
      <c r="C22" s="14"/>
      <c r="D22" s="14"/>
      <c r="E22" s="29"/>
      <c r="F22" s="29"/>
      <c r="G22" s="28"/>
      <c r="H22" s="28"/>
      <c r="I22" s="28"/>
      <c r="J22" s="28"/>
      <c r="K22" s="28"/>
    </row>
    <row r="23" spans="1:11" s="23" customFormat="1" x14ac:dyDescent="0.25">
      <c r="A23" s="28"/>
      <c r="B23" s="28"/>
      <c r="C23" s="14"/>
      <c r="D23" s="14"/>
      <c r="E23" s="29"/>
      <c r="F23" s="29"/>
      <c r="G23" s="28"/>
      <c r="H23" s="28"/>
      <c r="I23" s="28"/>
      <c r="J23" s="28"/>
      <c r="K23" s="28"/>
    </row>
    <row r="24" spans="1:11" s="23" customFormat="1" x14ac:dyDescent="0.25">
      <c r="A24" s="30"/>
      <c r="B24" s="30"/>
      <c r="C24" s="31"/>
      <c r="D24" s="31"/>
      <c r="E24" s="31"/>
      <c r="F24" s="31" t="s">
        <v>12</v>
      </c>
      <c r="G24" s="31"/>
      <c r="H24" s="31" t="s">
        <v>26</v>
      </c>
      <c r="I24" s="31"/>
      <c r="J24" s="32"/>
      <c r="K24" s="32"/>
    </row>
    <row r="25" spans="1:11" s="23" customFormat="1" x14ac:dyDescent="0.25">
      <c r="C25" s="33" t="s">
        <v>27</v>
      </c>
      <c r="D25" s="33" t="s">
        <v>28</v>
      </c>
      <c r="E25" s="33" t="s">
        <v>29</v>
      </c>
      <c r="F25" s="33" t="s">
        <v>30</v>
      </c>
      <c r="G25" s="33" t="s">
        <v>31</v>
      </c>
      <c r="H25" s="33" t="s">
        <v>22</v>
      </c>
      <c r="I25" s="33"/>
      <c r="J25" s="32"/>
      <c r="K25" s="32"/>
    </row>
    <row r="26" spans="1:11" s="23" customFormat="1" x14ac:dyDescent="0.25">
      <c r="C26" s="21" t="s">
        <v>30</v>
      </c>
      <c r="D26" s="21" t="s">
        <v>9</v>
      </c>
      <c r="E26" s="21" t="s">
        <v>23</v>
      </c>
      <c r="F26" s="21" t="s">
        <v>9</v>
      </c>
      <c r="G26" s="21" t="s">
        <v>23</v>
      </c>
      <c r="H26" s="21" t="s">
        <v>9</v>
      </c>
      <c r="I26" s="21" t="s">
        <v>11</v>
      </c>
      <c r="J26" s="32"/>
      <c r="K26" s="32"/>
    </row>
    <row r="27" spans="1:11" s="23" customFormat="1" x14ac:dyDescent="0.25">
      <c r="A27" s="25" t="s">
        <v>32</v>
      </c>
      <c r="B27" s="25" t="s">
        <v>9</v>
      </c>
      <c r="C27" s="4"/>
      <c r="D27" s="7">
        <f>I4+I5+I6</f>
        <v>7.165</v>
      </c>
      <c r="E27" s="4"/>
      <c r="F27" s="7">
        <f>J5+J6</f>
        <v>2.48</v>
      </c>
      <c r="G27" s="26"/>
      <c r="H27" s="26"/>
      <c r="I27" s="27">
        <f>D27+F27</f>
        <v>9.6449999999999996</v>
      </c>
      <c r="J27" s="22"/>
      <c r="K27" s="28"/>
    </row>
    <row r="28" spans="1:11" s="23" customFormat="1" x14ac:dyDescent="0.25">
      <c r="A28" s="25"/>
      <c r="B28" s="25" t="s">
        <v>2</v>
      </c>
      <c r="C28" s="4"/>
      <c r="D28" s="4"/>
      <c r="E28" s="7">
        <f>H4+H5+H6</f>
        <v>15.763</v>
      </c>
      <c r="F28" s="4"/>
      <c r="G28" s="26"/>
      <c r="H28" s="26"/>
      <c r="I28" s="27">
        <f>E28</f>
        <v>15.763</v>
      </c>
      <c r="J28" s="22"/>
      <c r="K28" s="28"/>
    </row>
    <row r="29" spans="1:11" s="23" customFormat="1" x14ac:dyDescent="0.25">
      <c r="A29" s="25"/>
      <c r="B29" s="25" t="s">
        <v>10</v>
      </c>
      <c r="C29" s="7">
        <f>I4+I5+I6</f>
        <v>7.165</v>
      </c>
      <c r="D29" s="4"/>
      <c r="E29" s="4"/>
      <c r="F29" s="7">
        <f>J4</f>
        <v>3.2519999999999998</v>
      </c>
      <c r="G29" s="26"/>
      <c r="H29" s="26"/>
      <c r="I29" s="27">
        <f>C29+F29</f>
        <v>10.417</v>
      </c>
      <c r="J29" s="22"/>
      <c r="K29" s="28"/>
    </row>
    <row r="30" spans="1:11" s="23" customFormat="1" x14ac:dyDescent="0.25">
      <c r="A30" s="25" t="s">
        <v>25</v>
      </c>
      <c r="B30" s="25" t="s">
        <v>9</v>
      </c>
      <c r="C30" s="4"/>
      <c r="D30" s="4"/>
      <c r="E30" s="7"/>
      <c r="F30" s="7"/>
      <c r="G30" s="26"/>
      <c r="H30" s="27">
        <f>D5+D6</f>
        <v>0.62</v>
      </c>
      <c r="I30" s="27">
        <f>H30</f>
        <v>0.62</v>
      </c>
      <c r="J30" s="22"/>
      <c r="K30" s="28"/>
    </row>
    <row r="31" spans="1:11" s="23" customFormat="1" x14ac:dyDescent="0.25">
      <c r="A31" s="25"/>
      <c r="B31" s="25" t="s">
        <v>2</v>
      </c>
      <c r="C31" s="4"/>
      <c r="D31" s="4"/>
      <c r="E31" s="4"/>
      <c r="F31" s="4"/>
      <c r="G31" s="27">
        <f>K4+K5+K6</f>
        <v>2.8659999999999997</v>
      </c>
      <c r="H31" s="26"/>
      <c r="I31" s="27">
        <f>G31</f>
        <v>2.8659999999999997</v>
      </c>
      <c r="J31" s="22"/>
      <c r="K31" s="28"/>
    </row>
    <row r="32" spans="1:11" s="23" customFormat="1" x14ac:dyDescent="0.25">
      <c r="A32" s="25"/>
      <c r="B32" s="25" t="s">
        <v>10</v>
      </c>
      <c r="C32" s="4"/>
      <c r="D32" s="4"/>
      <c r="E32" s="4"/>
      <c r="F32" s="4"/>
      <c r="G32" s="26"/>
      <c r="H32" s="27">
        <f>D4</f>
        <v>0.81299999999999994</v>
      </c>
      <c r="I32" s="27">
        <f>H32</f>
        <v>0.81299999999999994</v>
      </c>
      <c r="J32" s="22"/>
      <c r="K32" s="28"/>
    </row>
    <row r="33" spans="1:13" s="23" customFormat="1" x14ac:dyDescent="0.25"/>
    <row r="34" spans="1:13" s="23" customFormat="1" x14ac:dyDescent="0.25"/>
    <row r="35" spans="1:13" s="23" customFormat="1" x14ac:dyDescent="0.25"/>
    <row r="36" spans="1:13" s="23" customFormat="1" x14ac:dyDescent="0.25"/>
    <row r="37" spans="1:13" s="23" customFormat="1" x14ac:dyDescent="0.25"/>
    <row r="38" spans="1:13" s="23" customFormat="1" x14ac:dyDescent="0.25"/>
    <row r="39" spans="1:13" s="23" customFormat="1" x14ac:dyDescent="0.25"/>
    <row r="40" spans="1:13" s="23" customFormat="1" x14ac:dyDescent="0.25"/>
    <row r="41" spans="1:13" s="23" customFormat="1" x14ac:dyDescent="0.25"/>
    <row r="42" spans="1:13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3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4">
        <v>275</v>
      </c>
      <c r="M48" s="23"/>
    </row>
    <row r="49" spans="12:12" x14ac:dyDescent="0.25">
      <c r="L49" s="34"/>
    </row>
  </sheetData>
  <mergeCells count="1">
    <mergeCell ref="L48:L49"/>
  </mergeCells>
  <pageMargins left="0.39370078740157483" right="0.19685039370078741" top="0.78740157480314965" bottom="0.19685039370078741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275</vt:lpstr>
    </vt:vector>
  </TitlesOfParts>
  <Company>Witch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Witch</dc:creator>
  <cp:lastModifiedBy>aluno</cp:lastModifiedBy>
  <cp:lastPrinted>2013-12-05T16:41:48Z</cp:lastPrinted>
  <dcterms:created xsi:type="dcterms:W3CDTF">2005-06-11T20:25:27Z</dcterms:created>
  <dcterms:modified xsi:type="dcterms:W3CDTF">2014-10-17T11:38:16Z</dcterms:modified>
</cp:coreProperties>
</file>