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EstaPasta_de_trabalho"/>
  <bookViews>
    <workbookView xWindow="240" yWindow="225" windowWidth="14805" windowHeight="7890" activeTab="8"/>
  </bookViews>
  <sheets>
    <sheet name="relogio" sheetId="1" r:id="rId1"/>
    <sheet name="estacionamento" sheetId="2" r:id="rId2"/>
    <sheet name="banheiro" sheetId="4" r:id="rId3"/>
    <sheet name="testes" sheetId="6" r:id="rId4"/>
    <sheet name="café" sheetId="5" r:id="rId5"/>
    <sheet name="raiz" sheetId="7" r:id="rId6"/>
    <sheet name="tudo bem" sheetId="8" r:id="rId7"/>
    <sheet name="8 ou 12" sheetId="9" r:id="rId8"/>
    <sheet name="bala" sheetId="10" r:id="rId9"/>
  </sheets>
  <calcPr calcId="145621"/>
</workbook>
</file>

<file path=xl/calcChain.xml><?xml version="1.0" encoding="utf-8"?>
<calcChain xmlns="http://schemas.openxmlformats.org/spreadsheetml/2006/main">
  <c r="A2" i="9" l="1"/>
  <c r="A2" i="8" l="1"/>
  <c r="D5" i="7" l="1"/>
  <c r="A2" i="6" l="1"/>
  <c r="E2" i="6"/>
  <c r="I2" i="6"/>
  <c r="K2" i="6"/>
  <c r="M3" i="6"/>
  <c r="A4" i="6"/>
  <c r="C9" i="6"/>
  <c r="D9" i="6" s="1"/>
  <c r="C10" i="6"/>
  <c r="C11" i="6"/>
  <c r="C12" i="6"/>
  <c r="C13" i="6"/>
</calcChain>
</file>

<file path=xl/sharedStrings.xml><?xml version="1.0" encoding="utf-8"?>
<sst xmlns="http://schemas.openxmlformats.org/spreadsheetml/2006/main" count="39" uniqueCount="33">
  <si>
    <t xml:space="preserve">      SIM</t>
  </si>
  <si>
    <t xml:space="preserve">       NÃO</t>
  </si>
  <si>
    <t>SIM</t>
  </si>
  <si>
    <t>NÃO</t>
  </si>
  <si>
    <t>Zeus</t>
  </si>
  <si>
    <t>Poseidon</t>
  </si>
  <si>
    <t>Perseu</t>
  </si>
  <si>
    <t>Perséfone</t>
  </si>
  <si>
    <t>Pégasus</t>
  </si>
  <si>
    <t>Medusa</t>
  </si>
  <si>
    <t>Ícaro</t>
  </si>
  <si>
    <t>Hércules</t>
  </si>
  <si>
    <t>Hera</t>
  </si>
  <si>
    <t>Hefesto</t>
  </si>
  <si>
    <t>u</t>
  </si>
  <si>
    <t>Hades</t>
  </si>
  <si>
    <t>o</t>
  </si>
  <si>
    <t>Cronos</t>
  </si>
  <si>
    <t>i</t>
  </si>
  <si>
    <t>Átila</t>
  </si>
  <si>
    <t>e</t>
  </si>
  <si>
    <t>Aquiles</t>
  </si>
  <si>
    <t>a</t>
  </si>
  <si>
    <t>Afrodite</t>
  </si>
  <si>
    <t>Total</t>
  </si>
  <si>
    <t>Qntd</t>
  </si>
  <si>
    <t>Letra</t>
  </si>
  <si>
    <t>NOME</t>
  </si>
  <si>
    <t xml:space="preserve">         Tiago</t>
  </si>
  <si>
    <t>a raiz quadrada é:</t>
  </si>
  <si>
    <t>digite o número:</t>
  </si>
  <si>
    <t>Tiago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</si>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</sst>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 applyBorder="1"/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/>
    <xf numFmtId="0" fontId="0" fillId="7" borderId="0" xfId="0" applyFill="1" applyAlignment="1">
      <alignment horizontal="center"/>
    </xf>
    <xf numFmtId="0" fontId="0" fillId="3" borderId="0" xfId="0" applyFill="1"/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/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5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List" dx="16" fmlaLink="$G$1" fmlaRange="$A$9:$A$23" sel="6" val="0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38100</xdr:rowOff>
    </xdr:from>
    <xdr:to>
      <xdr:col>3</xdr:col>
      <xdr:colOff>419100</xdr:colOff>
      <xdr:row>2</xdr:row>
      <xdr:rowOff>149352</xdr:rowOff>
    </xdr:to>
    <xdr:sp macro="" textlink="">
      <xdr:nvSpPr>
        <xdr:cNvPr id="2" name="Fluxograma: Terminação 1"/>
        <xdr:cNvSpPr/>
      </xdr:nvSpPr>
      <xdr:spPr>
        <a:xfrm>
          <a:off x="1333500" y="228600"/>
          <a:ext cx="914400" cy="301752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</xdr:col>
      <xdr:colOff>381000</xdr:colOff>
      <xdr:row>5</xdr:row>
      <xdr:rowOff>0</xdr:rowOff>
    </xdr:from>
    <xdr:to>
      <xdr:col>4</xdr:col>
      <xdr:colOff>228600</xdr:colOff>
      <xdr:row>8</xdr:row>
      <xdr:rowOff>41148</xdr:rowOff>
    </xdr:to>
    <xdr:sp macro="" textlink="">
      <xdr:nvSpPr>
        <xdr:cNvPr id="3" name="Fluxograma: Processo 2"/>
        <xdr:cNvSpPr/>
      </xdr:nvSpPr>
      <xdr:spPr>
        <a:xfrm>
          <a:off x="990600" y="952500"/>
          <a:ext cx="1676400" cy="612648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h=0</a:t>
          </a:r>
        </a:p>
        <a:p>
          <a:pPr algn="l"/>
          <a:r>
            <a:rPr lang="pt-BR" sz="1100"/>
            <a:t>m=0</a:t>
          </a:r>
        </a:p>
      </xdr:txBody>
    </xdr:sp>
    <xdr:clientData/>
  </xdr:twoCellAnchor>
  <xdr:twoCellAnchor>
    <xdr:from>
      <xdr:col>1</xdr:col>
      <xdr:colOff>561975</xdr:colOff>
      <xdr:row>23</xdr:row>
      <xdr:rowOff>104774</xdr:rowOff>
    </xdr:from>
    <xdr:to>
      <xdr:col>3</xdr:col>
      <xdr:colOff>466725</xdr:colOff>
      <xdr:row>28</xdr:row>
      <xdr:rowOff>190499</xdr:rowOff>
    </xdr:to>
    <xdr:sp macro="" textlink="">
      <xdr:nvSpPr>
        <xdr:cNvPr id="4" name="Fluxograma: Decisão 3"/>
        <xdr:cNvSpPr/>
      </xdr:nvSpPr>
      <xdr:spPr>
        <a:xfrm>
          <a:off x="1171575" y="4486274"/>
          <a:ext cx="1123950" cy="1038225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s=60?</a:t>
          </a:r>
        </a:p>
      </xdr:txBody>
    </xdr:sp>
    <xdr:clientData/>
  </xdr:twoCellAnchor>
  <xdr:twoCellAnchor>
    <xdr:from>
      <xdr:col>5</xdr:col>
      <xdr:colOff>114300</xdr:colOff>
      <xdr:row>25</xdr:row>
      <xdr:rowOff>57150</xdr:rowOff>
    </xdr:from>
    <xdr:to>
      <xdr:col>5</xdr:col>
      <xdr:colOff>571500</xdr:colOff>
      <xdr:row>27</xdr:row>
      <xdr:rowOff>133350</xdr:rowOff>
    </xdr:to>
    <xdr:sp macro="" textlink="">
      <xdr:nvSpPr>
        <xdr:cNvPr id="5" name="Fluxograma: Conector 4"/>
        <xdr:cNvSpPr/>
      </xdr:nvSpPr>
      <xdr:spPr>
        <a:xfrm>
          <a:off x="3162300" y="481965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95250</xdr:colOff>
      <xdr:row>14</xdr:row>
      <xdr:rowOff>180975</xdr:rowOff>
    </xdr:from>
    <xdr:to>
      <xdr:col>0</xdr:col>
      <xdr:colOff>552450</xdr:colOff>
      <xdr:row>17</xdr:row>
      <xdr:rowOff>66675</xdr:rowOff>
    </xdr:to>
    <xdr:sp macro="" textlink="">
      <xdr:nvSpPr>
        <xdr:cNvPr id="6" name="Fluxograma: Conector 5"/>
        <xdr:cNvSpPr/>
      </xdr:nvSpPr>
      <xdr:spPr>
        <a:xfrm>
          <a:off x="95250" y="284797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342900</xdr:colOff>
      <xdr:row>18</xdr:row>
      <xdr:rowOff>19050</xdr:rowOff>
    </xdr:from>
    <xdr:to>
      <xdr:col>4</xdr:col>
      <xdr:colOff>200025</xdr:colOff>
      <xdr:row>21</xdr:row>
      <xdr:rowOff>60198</xdr:rowOff>
    </xdr:to>
    <xdr:sp macro="" textlink="">
      <xdr:nvSpPr>
        <xdr:cNvPr id="7" name="Fluxograma: Processo 6"/>
        <xdr:cNvSpPr/>
      </xdr:nvSpPr>
      <xdr:spPr>
        <a:xfrm>
          <a:off x="952500" y="3448050"/>
          <a:ext cx="1685925" cy="612648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s=s+1</a:t>
          </a:r>
        </a:p>
      </xdr:txBody>
    </xdr:sp>
    <xdr:clientData/>
  </xdr:twoCellAnchor>
  <xdr:twoCellAnchor>
    <xdr:from>
      <xdr:col>1</xdr:col>
      <xdr:colOff>581025</xdr:colOff>
      <xdr:row>39</xdr:row>
      <xdr:rowOff>76199</xdr:rowOff>
    </xdr:from>
    <xdr:to>
      <xdr:col>3</xdr:col>
      <xdr:colOff>390525</xdr:colOff>
      <xdr:row>45</xdr:row>
      <xdr:rowOff>171450</xdr:rowOff>
    </xdr:to>
    <xdr:sp macro="" textlink="">
      <xdr:nvSpPr>
        <xdr:cNvPr id="8" name="Fluxograma: Decisão 7"/>
        <xdr:cNvSpPr/>
      </xdr:nvSpPr>
      <xdr:spPr>
        <a:xfrm>
          <a:off x="1190625" y="7505699"/>
          <a:ext cx="1028700" cy="1238251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m=60?</a:t>
          </a:r>
          <a:endParaRPr lang="pt-BR" sz="1100" b="1"/>
        </a:p>
      </xdr:txBody>
    </xdr:sp>
    <xdr:clientData/>
  </xdr:twoCellAnchor>
  <xdr:twoCellAnchor>
    <xdr:from>
      <xdr:col>1</xdr:col>
      <xdr:colOff>390526</xdr:colOff>
      <xdr:row>11</xdr:row>
      <xdr:rowOff>28575</xdr:rowOff>
    </xdr:from>
    <xdr:to>
      <xdr:col>4</xdr:col>
      <xdr:colOff>266700</xdr:colOff>
      <xdr:row>14</xdr:row>
      <xdr:rowOff>69723</xdr:rowOff>
    </xdr:to>
    <xdr:sp macro="" textlink="">
      <xdr:nvSpPr>
        <xdr:cNvPr id="10" name="Fluxograma: Processo 9"/>
        <xdr:cNvSpPr/>
      </xdr:nvSpPr>
      <xdr:spPr>
        <a:xfrm>
          <a:off x="1000126" y="2124075"/>
          <a:ext cx="1704974" cy="612648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s=0</a:t>
          </a:r>
        </a:p>
      </xdr:txBody>
    </xdr:sp>
    <xdr:clientData/>
  </xdr:twoCellAnchor>
  <xdr:twoCellAnchor>
    <xdr:from>
      <xdr:col>5</xdr:col>
      <xdr:colOff>247650</xdr:colOff>
      <xdr:row>41</xdr:row>
      <xdr:rowOff>76200</xdr:rowOff>
    </xdr:from>
    <xdr:to>
      <xdr:col>6</xdr:col>
      <xdr:colOff>95250</xdr:colOff>
      <xdr:row>43</xdr:row>
      <xdr:rowOff>152400</xdr:rowOff>
    </xdr:to>
    <xdr:sp macro="" textlink="">
      <xdr:nvSpPr>
        <xdr:cNvPr id="11" name="Fluxograma: Conector 10"/>
        <xdr:cNvSpPr/>
      </xdr:nvSpPr>
      <xdr:spPr>
        <a:xfrm>
          <a:off x="3295650" y="788670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114300</xdr:colOff>
      <xdr:row>8</xdr:row>
      <xdr:rowOff>57150</xdr:rowOff>
    </xdr:from>
    <xdr:to>
      <xdr:col>0</xdr:col>
      <xdr:colOff>571500</xdr:colOff>
      <xdr:row>10</xdr:row>
      <xdr:rowOff>133350</xdr:rowOff>
    </xdr:to>
    <xdr:sp macro="" textlink="">
      <xdr:nvSpPr>
        <xdr:cNvPr id="12" name="Fluxograma: Conector 11"/>
        <xdr:cNvSpPr/>
      </xdr:nvSpPr>
      <xdr:spPr>
        <a:xfrm>
          <a:off x="114300" y="158115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209551</xdr:colOff>
      <xdr:row>31</xdr:row>
      <xdr:rowOff>76199</xdr:rowOff>
    </xdr:from>
    <xdr:to>
      <xdr:col>4</xdr:col>
      <xdr:colOff>228601</xdr:colOff>
      <xdr:row>34</xdr:row>
      <xdr:rowOff>133350</xdr:rowOff>
    </xdr:to>
    <xdr:sp macro="" textlink="">
      <xdr:nvSpPr>
        <xdr:cNvPr id="13" name="Fluxograma: Processo 12"/>
        <xdr:cNvSpPr/>
      </xdr:nvSpPr>
      <xdr:spPr>
        <a:xfrm>
          <a:off x="819151" y="5981699"/>
          <a:ext cx="1847850" cy="628651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m=m+1</a:t>
          </a:r>
        </a:p>
      </xdr:txBody>
    </xdr:sp>
    <xdr:clientData/>
  </xdr:twoCellAnchor>
  <xdr:twoCellAnchor>
    <xdr:from>
      <xdr:col>6</xdr:col>
      <xdr:colOff>600076</xdr:colOff>
      <xdr:row>17</xdr:row>
      <xdr:rowOff>66675</xdr:rowOff>
    </xdr:from>
    <xdr:to>
      <xdr:col>9</xdr:col>
      <xdr:colOff>400050</xdr:colOff>
      <xdr:row>21</xdr:row>
      <xdr:rowOff>66675</xdr:rowOff>
    </xdr:to>
    <xdr:sp macro="" textlink="">
      <xdr:nvSpPr>
        <xdr:cNvPr id="15" name="Fluxograma: Processo 14"/>
        <xdr:cNvSpPr/>
      </xdr:nvSpPr>
      <xdr:spPr>
        <a:xfrm>
          <a:off x="4257676" y="9782175"/>
          <a:ext cx="1628774" cy="76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h=h+1</a:t>
          </a:r>
        </a:p>
      </xdr:txBody>
    </xdr:sp>
    <xdr:clientData/>
  </xdr:twoCellAnchor>
  <xdr:twoCellAnchor>
    <xdr:from>
      <xdr:col>7</xdr:col>
      <xdr:colOff>152399</xdr:colOff>
      <xdr:row>25</xdr:row>
      <xdr:rowOff>123825</xdr:rowOff>
    </xdr:from>
    <xdr:to>
      <xdr:col>9</xdr:col>
      <xdr:colOff>66674</xdr:colOff>
      <xdr:row>31</xdr:row>
      <xdr:rowOff>66675</xdr:rowOff>
    </xdr:to>
    <xdr:sp macro="" textlink="">
      <xdr:nvSpPr>
        <xdr:cNvPr id="17" name="Fluxograma: Decisão 16"/>
        <xdr:cNvSpPr/>
      </xdr:nvSpPr>
      <xdr:spPr>
        <a:xfrm>
          <a:off x="4419599" y="11363325"/>
          <a:ext cx="1133475" cy="108585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h=24?</a:t>
          </a:r>
        </a:p>
      </xdr:txBody>
    </xdr:sp>
    <xdr:clientData/>
  </xdr:twoCellAnchor>
  <xdr:twoCellAnchor>
    <xdr:from>
      <xdr:col>2</xdr:col>
      <xdr:colOff>266700</xdr:colOff>
      <xdr:row>50</xdr:row>
      <xdr:rowOff>133350</xdr:rowOff>
    </xdr:from>
    <xdr:to>
      <xdr:col>3</xdr:col>
      <xdr:colOff>114300</xdr:colOff>
      <xdr:row>53</xdr:row>
      <xdr:rowOff>19050</xdr:rowOff>
    </xdr:to>
    <xdr:sp macro="" textlink="">
      <xdr:nvSpPr>
        <xdr:cNvPr id="19" name="Fluxograma: Conector 18"/>
        <xdr:cNvSpPr/>
      </xdr:nvSpPr>
      <xdr:spPr>
        <a:xfrm>
          <a:off x="1485900" y="965835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4</xdr:col>
      <xdr:colOff>123824</xdr:colOff>
      <xdr:row>41</xdr:row>
      <xdr:rowOff>180975</xdr:rowOff>
    </xdr:from>
    <xdr:to>
      <xdr:col>5</xdr:col>
      <xdr:colOff>38100</xdr:colOff>
      <xdr:row>43</xdr:row>
      <xdr:rowOff>28575</xdr:rowOff>
    </xdr:to>
    <xdr:sp macro="" textlink="">
      <xdr:nvSpPr>
        <xdr:cNvPr id="21" name="Seta para a direita 20"/>
        <xdr:cNvSpPr/>
      </xdr:nvSpPr>
      <xdr:spPr>
        <a:xfrm flipV="1">
          <a:off x="2562224" y="7991475"/>
          <a:ext cx="523876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104775</xdr:colOff>
      <xdr:row>25</xdr:row>
      <xdr:rowOff>161925</xdr:rowOff>
    </xdr:from>
    <xdr:to>
      <xdr:col>4</xdr:col>
      <xdr:colOff>533400</xdr:colOff>
      <xdr:row>26</xdr:row>
      <xdr:rowOff>133351</xdr:rowOff>
    </xdr:to>
    <xdr:sp macro="" textlink="">
      <xdr:nvSpPr>
        <xdr:cNvPr id="22" name="Seta para a direita 21"/>
        <xdr:cNvSpPr/>
      </xdr:nvSpPr>
      <xdr:spPr>
        <a:xfrm>
          <a:off x="2543175" y="4924425"/>
          <a:ext cx="428625" cy="16192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237363</xdr:colOff>
      <xdr:row>47</xdr:row>
      <xdr:rowOff>47625</xdr:rowOff>
    </xdr:from>
    <xdr:to>
      <xdr:col>3</xdr:col>
      <xdr:colOff>112395</xdr:colOff>
      <xdr:row>49</xdr:row>
      <xdr:rowOff>160020</xdr:rowOff>
    </xdr:to>
    <xdr:sp macro="" textlink="">
      <xdr:nvSpPr>
        <xdr:cNvPr id="23" name="Seta para a direita 22"/>
        <xdr:cNvSpPr/>
      </xdr:nvSpPr>
      <xdr:spPr>
        <a:xfrm rot="5400000">
          <a:off x="1452181" y="9005507"/>
          <a:ext cx="49339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361949</xdr:colOff>
      <xdr:row>29</xdr:row>
      <xdr:rowOff>114305</xdr:rowOff>
    </xdr:from>
    <xdr:to>
      <xdr:col>3</xdr:col>
      <xdr:colOff>74294</xdr:colOff>
      <xdr:row>31</xdr:row>
      <xdr:rowOff>28579</xdr:rowOff>
    </xdr:to>
    <xdr:sp macro="" textlink="">
      <xdr:nvSpPr>
        <xdr:cNvPr id="24" name="Seta para a direita 23"/>
        <xdr:cNvSpPr/>
      </xdr:nvSpPr>
      <xdr:spPr>
        <a:xfrm rot="5400000">
          <a:off x="1594485" y="5625469"/>
          <a:ext cx="295274" cy="3219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542621</xdr:colOff>
      <xdr:row>15</xdr:row>
      <xdr:rowOff>6465</xdr:rowOff>
    </xdr:from>
    <xdr:to>
      <xdr:col>3</xdr:col>
      <xdr:colOff>96454</xdr:colOff>
      <xdr:row>17</xdr:row>
      <xdr:rowOff>118241</xdr:rowOff>
    </xdr:to>
    <xdr:sp macro="" textlink="">
      <xdr:nvSpPr>
        <xdr:cNvPr id="25" name="Seta para a direita 24"/>
        <xdr:cNvSpPr/>
      </xdr:nvSpPr>
      <xdr:spPr>
        <a:xfrm rot="5400000" flipV="1">
          <a:off x="1597150" y="3028636"/>
          <a:ext cx="492776" cy="163433"/>
        </a:xfrm>
        <a:prstGeom prst="rightArrow">
          <a:avLst>
            <a:gd name="adj1" fmla="val 88493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47625</xdr:colOff>
      <xdr:row>15</xdr:row>
      <xdr:rowOff>142875</xdr:rowOff>
    </xdr:from>
    <xdr:to>
      <xdr:col>2</xdr:col>
      <xdr:colOff>149733</xdr:colOff>
      <xdr:row>16</xdr:row>
      <xdr:rowOff>114300</xdr:rowOff>
    </xdr:to>
    <xdr:sp macro="" textlink="">
      <xdr:nvSpPr>
        <xdr:cNvPr id="26" name="Seta para a direita 25"/>
        <xdr:cNvSpPr/>
      </xdr:nvSpPr>
      <xdr:spPr>
        <a:xfrm>
          <a:off x="657225" y="3000375"/>
          <a:ext cx="711708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523874</xdr:colOff>
      <xdr:row>8</xdr:row>
      <xdr:rowOff>96014</xdr:rowOff>
    </xdr:from>
    <xdr:to>
      <xdr:col>3</xdr:col>
      <xdr:colOff>83819</xdr:colOff>
      <xdr:row>10</xdr:row>
      <xdr:rowOff>133352</xdr:rowOff>
    </xdr:to>
    <xdr:sp macro="" textlink="">
      <xdr:nvSpPr>
        <xdr:cNvPr id="27" name="Seta para a direita 26"/>
        <xdr:cNvSpPr/>
      </xdr:nvSpPr>
      <xdr:spPr>
        <a:xfrm rot="5400000">
          <a:off x="1618678" y="1744410"/>
          <a:ext cx="418338" cy="169545"/>
        </a:xfrm>
        <a:prstGeom prst="rightArrow">
          <a:avLst>
            <a:gd name="adj1" fmla="val 50000"/>
            <a:gd name="adj2" fmla="val 4544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304799</xdr:colOff>
      <xdr:row>22</xdr:row>
      <xdr:rowOff>3</xdr:rowOff>
    </xdr:from>
    <xdr:to>
      <xdr:col>3</xdr:col>
      <xdr:colOff>131445</xdr:colOff>
      <xdr:row>22</xdr:row>
      <xdr:rowOff>171453</xdr:rowOff>
    </xdr:to>
    <xdr:sp macro="" textlink="">
      <xdr:nvSpPr>
        <xdr:cNvPr id="28" name="Seta para a direita 27"/>
        <xdr:cNvSpPr/>
      </xdr:nvSpPr>
      <xdr:spPr>
        <a:xfrm rot="5400000">
          <a:off x="1656397" y="4058605"/>
          <a:ext cx="171450" cy="43624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275463</xdr:colOff>
      <xdr:row>35</xdr:row>
      <xdr:rowOff>180975</xdr:rowOff>
    </xdr:from>
    <xdr:to>
      <xdr:col>3</xdr:col>
      <xdr:colOff>150495</xdr:colOff>
      <xdr:row>37</xdr:row>
      <xdr:rowOff>140970</xdr:rowOff>
    </xdr:to>
    <xdr:sp macro="" textlink="">
      <xdr:nvSpPr>
        <xdr:cNvPr id="29" name="Seta para a direita 28"/>
        <xdr:cNvSpPr/>
      </xdr:nvSpPr>
      <xdr:spPr>
        <a:xfrm rot="5400000">
          <a:off x="1566481" y="6776657"/>
          <a:ext cx="34099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57150</xdr:colOff>
      <xdr:row>9</xdr:row>
      <xdr:rowOff>28575</xdr:rowOff>
    </xdr:from>
    <xdr:to>
      <xdr:col>2</xdr:col>
      <xdr:colOff>102108</xdr:colOff>
      <xdr:row>10</xdr:row>
      <xdr:rowOff>9525</xdr:rowOff>
    </xdr:to>
    <xdr:sp macro="" textlink="">
      <xdr:nvSpPr>
        <xdr:cNvPr id="30" name="Seta para a direita 29"/>
        <xdr:cNvSpPr/>
      </xdr:nvSpPr>
      <xdr:spPr>
        <a:xfrm>
          <a:off x="666750" y="1743075"/>
          <a:ext cx="654558" cy="1714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590549</xdr:colOff>
      <xdr:row>22</xdr:row>
      <xdr:rowOff>104781</xdr:rowOff>
    </xdr:from>
    <xdr:to>
      <xdr:col>8</xdr:col>
      <xdr:colOff>245744</xdr:colOff>
      <xdr:row>24</xdr:row>
      <xdr:rowOff>121923</xdr:rowOff>
    </xdr:to>
    <xdr:sp macro="" textlink="">
      <xdr:nvSpPr>
        <xdr:cNvPr id="31" name="Seta para a direita 30"/>
        <xdr:cNvSpPr/>
      </xdr:nvSpPr>
      <xdr:spPr>
        <a:xfrm rot="5400000">
          <a:off x="4791076" y="10839454"/>
          <a:ext cx="398142" cy="26479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304799</xdr:colOff>
      <xdr:row>27</xdr:row>
      <xdr:rowOff>171450</xdr:rowOff>
    </xdr:from>
    <xdr:to>
      <xdr:col>10</xdr:col>
      <xdr:colOff>378332</xdr:colOff>
      <xdr:row>28</xdr:row>
      <xdr:rowOff>180976</xdr:rowOff>
    </xdr:to>
    <xdr:sp macro="" textlink="">
      <xdr:nvSpPr>
        <xdr:cNvPr id="32" name="Seta para a direita 31"/>
        <xdr:cNvSpPr/>
      </xdr:nvSpPr>
      <xdr:spPr>
        <a:xfrm>
          <a:off x="5791199" y="11791950"/>
          <a:ext cx="683133" cy="20002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485774</xdr:colOff>
      <xdr:row>4</xdr:row>
      <xdr:rowOff>95250</xdr:rowOff>
    </xdr:from>
    <xdr:to>
      <xdr:col>8</xdr:col>
      <xdr:colOff>274319</xdr:colOff>
      <xdr:row>7</xdr:row>
      <xdr:rowOff>17145</xdr:rowOff>
    </xdr:to>
    <xdr:sp macro="" textlink="">
      <xdr:nvSpPr>
        <xdr:cNvPr id="33" name="Seta para a direita 32"/>
        <xdr:cNvSpPr/>
      </xdr:nvSpPr>
      <xdr:spPr>
        <a:xfrm rot="5400000">
          <a:off x="4705349" y="7381875"/>
          <a:ext cx="493395" cy="3981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485775</xdr:colOff>
      <xdr:row>35</xdr:row>
      <xdr:rowOff>19050</xdr:rowOff>
    </xdr:from>
    <xdr:to>
      <xdr:col>8</xdr:col>
      <xdr:colOff>333375</xdr:colOff>
      <xdr:row>37</xdr:row>
      <xdr:rowOff>95250</xdr:rowOff>
    </xdr:to>
    <xdr:sp macro="" textlink="">
      <xdr:nvSpPr>
        <xdr:cNvPr id="34" name="Fluxograma: Conector 33"/>
        <xdr:cNvSpPr/>
      </xdr:nvSpPr>
      <xdr:spPr>
        <a:xfrm>
          <a:off x="4752975" y="1316355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4</a:t>
          </a:r>
        </a:p>
      </xdr:txBody>
    </xdr:sp>
    <xdr:clientData/>
  </xdr:twoCellAnchor>
  <xdr:twoCellAnchor>
    <xdr:from>
      <xdr:col>0</xdr:col>
      <xdr:colOff>95250</xdr:colOff>
      <xdr:row>2</xdr:row>
      <xdr:rowOff>57150</xdr:rowOff>
    </xdr:from>
    <xdr:to>
      <xdr:col>0</xdr:col>
      <xdr:colOff>552450</xdr:colOff>
      <xdr:row>4</xdr:row>
      <xdr:rowOff>133350</xdr:rowOff>
    </xdr:to>
    <xdr:sp macro="" textlink="">
      <xdr:nvSpPr>
        <xdr:cNvPr id="35" name="Fluxograma: Conector 34"/>
        <xdr:cNvSpPr/>
      </xdr:nvSpPr>
      <xdr:spPr>
        <a:xfrm>
          <a:off x="95250" y="43815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4</a:t>
          </a:r>
        </a:p>
      </xdr:txBody>
    </xdr:sp>
    <xdr:clientData/>
  </xdr:twoCellAnchor>
  <xdr:twoCellAnchor>
    <xdr:from>
      <xdr:col>1</xdr:col>
      <xdr:colOff>133349</xdr:colOff>
      <xdr:row>2</xdr:row>
      <xdr:rowOff>180975</xdr:rowOff>
    </xdr:from>
    <xdr:to>
      <xdr:col>2</xdr:col>
      <xdr:colOff>111632</xdr:colOff>
      <xdr:row>4</xdr:row>
      <xdr:rowOff>0</xdr:rowOff>
    </xdr:to>
    <xdr:sp macro="" textlink="">
      <xdr:nvSpPr>
        <xdr:cNvPr id="36" name="Seta para a direita 35"/>
        <xdr:cNvSpPr/>
      </xdr:nvSpPr>
      <xdr:spPr>
        <a:xfrm>
          <a:off x="742949" y="561975"/>
          <a:ext cx="587883" cy="2000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333375</xdr:colOff>
      <xdr:row>3</xdr:row>
      <xdr:rowOff>76201</xdr:rowOff>
    </xdr:from>
    <xdr:to>
      <xdr:col>3</xdr:col>
      <xdr:colOff>208407</xdr:colOff>
      <xdr:row>4</xdr:row>
      <xdr:rowOff>114301</xdr:rowOff>
    </xdr:to>
    <xdr:sp macro="" textlink="">
      <xdr:nvSpPr>
        <xdr:cNvPr id="38" name="Seta para baixo 37"/>
        <xdr:cNvSpPr/>
      </xdr:nvSpPr>
      <xdr:spPr>
        <a:xfrm>
          <a:off x="1552575" y="647701"/>
          <a:ext cx="484632" cy="2286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465963</xdr:colOff>
      <xdr:row>32</xdr:row>
      <xdr:rowOff>38100</xdr:rowOff>
    </xdr:from>
    <xdr:to>
      <xdr:col>8</xdr:col>
      <xdr:colOff>340995</xdr:colOff>
      <xdr:row>34</xdr:row>
      <xdr:rowOff>36195</xdr:rowOff>
    </xdr:to>
    <xdr:sp macro="" textlink="">
      <xdr:nvSpPr>
        <xdr:cNvPr id="40" name="Seta para a direita 39"/>
        <xdr:cNvSpPr/>
      </xdr:nvSpPr>
      <xdr:spPr>
        <a:xfrm rot="5400000">
          <a:off x="4785931" y="12558332"/>
          <a:ext cx="37909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504063</xdr:colOff>
      <xdr:row>12</xdr:row>
      <xdr:rowOff>57150</xdr:rowOff>
    </xdr:from>
    <xdr:to>
      <xdr:col>8</xdr:col>
      <xdr:colOff>379095</xdr:colOff>
      <xdr:row>15</xdr:row>
      <xdr:rowOff>102870</xdr:rowOff>
    </xdr:to>
    <xdr:sp macro="" textlink="">
      <xdr:nvSpPr>
        <xdr:cNvPr id="52" name="Seta para a direita 51"/>
        <xdr:cNvSpPr/>
      </xdr:nvSpPr>
      <xdr:spPr>
        <a:xfrm rot="5400000">
          <a:off x="4704969" y="8886444"/>
          <a:ext cx="61722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600075</xdr:colOff>
      <xdr:row>26</xdr:row>
      <xdr:rowOff>171450</xdr:rowOff>
    </xdr:from>
    <xdr:to>
      <xdr:col>11</xdr:col>
      <xdr:colOff>447675</xdr:colOff>
      <xdr:row>29</xdr:row>
      <xdr:rowOff>57150</xdr:rowOff>
    </xdr:to>
    <xdr:sp macro="" textlink="">
      <xdr:nvSpPr>
        <xdr:cNvPr id="56" name="Fluxograma: Conector 55"/>
        <xdr:cNvSpPr/>
      </xdr:nvSpPr>
      <xdr:spPr>
        <a:xfrm>
          <a:off x="6696075" y="1160145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7</xdr:col>
      <xdr:colOff>457200</xdr:colOff>
      <xdr:row>1</xdr:row>
      <xdr:rowOff>66675</xdr:rowOff>
    </xdr:from>
    <xdr:to>
      <xdr:col>8</xdr:col>
      <xdr:colOff>304800</xdr:colOff>
      <xdr:row>3</xdr:row>
      <xdr:rowOff>142875</xdr:rowOff>
    </xdr:to>
    <xdr:sp macro="" textlink="">
      <xdr:nvSpPr>
        <xdr:cNvPr id="58" name="Fluxograma: Conector 57"/>
        <xdr:cNvSpPr/>
      </xdr:nvSpPr>
      <xdr:spPr>
        <a:xfrm>
          <a:off x="4724400" y="673417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7</xdr:col>
      <xdr:colOff>323850</xdr:colOff>
      <xdr:row>8</xdr:row>
      <xdr:rowOff>0</xdr:rowOff>
    </xdr:from>
    <xdr:to>
      <xdr:col>9</xdr:col>
      <xdr:colOff>19050</xdr:colOff>
      <xdr:row>11</xdr:row>
      <xdr:rowOff>41148</xdr:rowOff>
    </xdr:to>
    <xdr:sp macro="" textlink="">
      <xdr:nvSpPr>
        <xdr:cNvPr id="68" name="Fluxograma: Processo 67"/>
        <xdr:cNvSpPr/>
      </xdr:nvSpPr>
      <xdr:spPr>
        <a:xfrm>
          <a:off x="4591050" y="8001000"/>
          <a:ext cx="914400" cy="612648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m=0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28575</xdr:rowOff>
    </xdr:from>
    <xdr:to>
      <xdr:col>4</xdr:col>
      <xdr:colOff>276225</xdr:colOff>
      <xdr:row>3</xdr:row>
      <xdr:rowOff>139827</xdr:rowOff>
    </xdr:to>
    <xdr:sp macro="" textlink="">
      <xdr:nvSpPr>
        <xdr:cNvPr id="2" name="Fluxograma: Terminação 1"/>
        <xdr:cNvSpPr/>
      </xdr:nvSpPr>
      <xdr:spPr>
        <a:xfrm>
          <a:off x="1352550" y="219075"/>
          <a:ext cx="1362075" cy="492252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298449</xdr:colOff>
      <xdr:row>25</xdr:row>
      <xdr:rowOff>31110</xdr:rowOff>
    </xdr:from>
    <xdr:to>
      <xdr:col>3</xdr:col>
      <xdr:colOff>173481</xdr:colOff>
      <xdr:row>41</xdr:row>
      <xdr:rowOff>107034</xdr:rowOff>
    </xdr:to>
    <xdr:sp macro="" textlink="">
      <xdr:nvSpPr>
        <xdr:cNvPr id="3" name="Seta para a direita 2"/>
        <xdr:cNvSpPr/>
      </xdr:nvSpPr>
      <xdr:spPr>
        <a:xfrm rot="5400000">
          <a:off x="182128" y="6116431"/>
          <a:ext cx="3123924" cy="4782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298449</xdr:colOff>
      <xdr:row>52</xdr:row>
      <xdr:rowOff>185203</xdr:rowOff>
    </xdr:from>
    <xdr:to>
      <xdr:col>3</xdr:col>
      <xdr:colOff>173481</xdr:colOff>
      <xdr:row>56</xdr:row>
      <xdr:rowOff>0</xdr:rowOff>
    </xdr:to>
    <xdr:sp macro="" textlink="">
      <xdr:nvSpPr>
        <xdr:cNvPr id="4" name="Seta para a direita 3"/>
        <xdr:cNvSpPr/>
      </xdr:nvSpPr>
      <xdr:spPr>
        <a:xfrm rot="5400000">
          <a:off x="1455691" y="10140461"/>
          <a:ext cx="576797" cy="4782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0</xdr:colOff>
      <xdr:row>18</xdr:row>
      <xdr:rowOff>117604</xdr:rowOff>
    </xdr:from>
    <xdr:to>
      <xdr:col>14</xdr:col>
      <xdr:colOff>368808</xdr:colOff>
      <xdr:row>21</xdr:row>
      <xdr:rowOff>30736</xdr:rowOff>
    </xdr:to>
    <xdr:sp macro="" textlink="">
      <xdr:nvSpPr>
        <xdr:cNvPr id="5" name="Seta para a direita 4"/>
        <xdr:cNvSpPr/>
      </xdr:nvSpPr>
      <xdr:spPr>
        <a:xfrm>
          <a:off x="7842250" y="3546604"/>
          <a:ext cx="97205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581024</xdr:colOff>
      <xdr:row>19</xdr:row>
      <xdr:rowOff>0</xdr:rowOff>
    </xdr:from>
    <xdr:to>
      <xdr:col>6</xdr:col>
      <xdr:colOff>83059</xdr:colOff>
      <xdr:row>20</xdr:row>
      <xdr:rowOff>113157</xdr:rowOff>
    </xdr:to>
    <xdr:sp macro="" textlink="">
      <xdr:nvSpPr>
        <xdr:cNvPr id="6" name="Seta para a direita 5"/>
        <xdr:cNvSpPr/>
      </xdr:nvSpPr>
      <xdr:spPr>
        <a:xfrm>
          <a:off x="3019424" y="3619500"/>
          <a:ext cx="721235" cy="30365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114301</xdr:colOff>
      <xdr:row>47</xdr:row>
      <xdr:rowOff>74527</xdr:rowOff>
    </xdr:from>
    <xdr:to>
      <xdr:col>5</xdr:col>
      <xdr:colOff>149734</xdr:colOff>
      <xdr:row>49</xdr:row>
      <xdr:rowOff>16615</xdr:rowOff>
    </xdr:to>
    <xdr:sp macro="" textlink="">
      <xdr:nvSpPr>
        <xdr:cNvPr id="7" name="Seta para a direita 6"/>
        <xdr:cNvSpPr/>
      </xdr:nvSpPr>
      <xdr:spPr>
        <a:xfrm>
          <a:off x="2527301" y="9028027"/>
          <a:ext cx="638683" cy="32308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31</xdr:row>
      <xdr:rowOff>19050</xdr:rowOff>
    </xdr:from>
    <xdr:to>
      <xdr:col>10</xdr:col>
      <xdr:colOff>265558</xdr:colOff>
      <xdr:row>32</xdr:row>
      <xdr:rowOff>47625</xdr:rowOff>
    </xdr:to>
    <xdr:sp macro="" textlink="">
      <xdr:nvSpPr>
        <xdr:cNvPr id="8" name="Seta para a direita 7"/>
        <xdr:cNvSpPr/>
      </xdr:nvSpPr>
      <xdr:spPr>
        <a:xfrm>
          <a:off x="5486400" y="5924550"/>
          <a:ext cx="875158" cy="219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244983</xdr:colOff>
      <xdr:row>18</xdr:row>
      <xdr:rowOff>97537</xdr:rowOff>
    </xdr:from>
    <xdr:to>
      <xdr:col>10</xdr:col>
      <xdr:colOff>4191</xdr:colOff>
      <xdr:row>21</xdr:row>
      <xdr:rowOff>10669</xdr:rowOff>
    </xdr:to>
    <xdr:sp macro="" textlink="">
      <xdr:nvSpPr>
        <xdr:cNvPr id="9" name="Seta para a direita 8"/>
        <xdr:cNvSpPr/>
      </xdr:nvSpPr>
      <xdr:spPr>
        <a:xfrm>
          <a:off x="5731383" y="3526537"/>
          <a:ext cx="3688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14</xdr:row>
      <xdr:rowOff>0</xdr:rowOff>
    </xdr:from>
    <xdr:to>
      <xdr:col>1</xdr:col>
      <xdr:colOff>413766</xdr:colOff>
      <xdr:row>16</xdr:row>
      <xdr:rowOff>103632</xdr:rowOff>
    </xdr:to>
    <xdr:sp macro="" textlink="">
      <xdr:nvSpPr>
        <xdr:cNvPr id="10" name="Seta para a direita 9"/>
        <xdr:cNvSpPr/>
      </xdr:nvSpPr>
      <xdr:spPr>
        <a:xfrm>
          <a:off x="638175" y="2667000"/>
          <a:ext cx="385191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190500</xdr:colOff>
      <xdr:row>24</xdr:row>
      <xdr:rowOff>88013</xdr:rowOff>
    </xdr:from>
    <xdr:to>
      <xdr:col>8</xdr:col>
      <xdr:colOff>65532</xdr:colOff>
      <xdr:row>26</xdr:row>
      <xdr:rowOff>3</xdr:rowOff>
    </xdr:to>
    <xdr:sp macro="" textlink="">
      <xdr:nvSpPr>
        <xdr:cNvPr id="11" name="Seta para a direita 10"/>
        <xdr:cNvSpPr/>
      </xdr:nvSpPr>
      <xdr:spPr>
        <a:xfrm rot="5400000">
          <a:off x="4553521" y="4564192"/>
          <a:ext cx="29299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544068</xdr:colOff>
      <xdr:row>13</xdr:row>
      <xdr:rowOff>18288</xdr:rowOff>
    </xdr:from>
    <xdr:to>
      <xdr:col>3</xdr:col>
      <xdr:colOff>419100</xdr:colOff>
      <xdr:row>15</xdr:row>
      <xdr:rowOff>36576</xdr:rowOff>
    </xdr:to>
    <xdr:sp macro="" textlink="">
      <xdr:nvSpPr>
        <xdr:cNvPr id="12" name="Seta para a direita 11"/>
        <xdr:cNvSpPr/>
      </xdr:nvSpPr>
      <xdr:spPr>
        <a:xfrm rot="5400000">
          <a:off x="1805940" y="2452116"/>
          <a:ext cx="39928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544068</xdr:colOff>
      <xdr:row>4</xdr:row>
      <xdr:rowOff>125730</xdr:rowOff>
    </xdr:from>
    <xdr:to>
      <xdr:col>3</xdr:col>
      <xdr:colOff>419100</xdr:colOff>
      <xdr:row>7</xdr:row>
      <xdr:rowOff>9525</xdr:rowOff>
    </xdr:to>
    <xdr:sp macro="" textlink="">
      <xdr:nvSpPr>
        <xdr:cNvPr id="13" name="Seta para a direita 12"/>
        <xdr:cNvSpPr/>
      </xdr:nvSpPr>
      <xdr:spPr>
        <a:xfrm rot="5400000">
          <a:off x="1777936" y="873062"/>
          <a:ext cx="45529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</xdr:colOff>
      <xdr:row>8</xdr:row>
      <xdr:rowOff>0</xdr:rowOff>
    </xdr:from>
    <xdr:to>
      <xdr:col>4</xdr:col>
      <xdr:colOff>276225</xdr:colOff>
      <xdr:row>12</xdr:row>
      <xdr:rowOff>0</xdr:rowOff>
    </xdr:to>
    <xdr:sp macro="" textlink="">
      <xdr:nvSpPr>
        <xdr:cNvPr id="14" name="Fluxograma: Processo 13"/>
        <xdr:cNvSpPr/>
      </xdr:nvSpPr>
      <xdr:spPr>
        <a:xfrm>
          <a:off x="1219201" y="1524000"/>
          <a:ext cx="1495424" cy="762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abertura</a:t>
          </a:r>
          <a:r>
            <a:rPr lang="pt-BR" sz="1100" baseline="0"/>
            <a:t> do portão estacionamento</a:t>
          </a:r>
        </a:p>
        <a:p>
          <a:pPr algn="l"/>
          <a:r>
            <a:rPr lang="pt-BR" sz="1100" baseline="0"/>
            <a:t>c=0</a:t>
          </a:r>
          <a:endParaRPr lang="pt-BR" sz="1100"/>
        </a:p>
      </xdr:txBody>
    </xdr:sp>
    <xdr:clientData/>
  </xdr:twoCellAnchor>
  <xdr:twoCellAnchor>
    <xdr:from>
      <xdr:col>0</xdr:col>
      <xdr:colOff>55625</xdr:colOff>
      <xdr:row>14</xdr:row>
      <xdr:rowOff>0</xdr:rowOff>
    </xdr:from>
    <xdr:to>
      <xdr:col>0</xdr:col>
      <xdr:colOff>512825</xdr:colOff>
      <xdr:row>16</xdr:row>
      <xdr:rowOff>76200</xdr:rowOff>
    </xdr:to>
    <xdr:sp macro="" textlink="">
      <xdr:nvSpPr>
        <xdr:cNvPr id="17" name="Fluxograma: Conector 16"/>
        <xdr:cNvSpPr/>
      </xdr:nvSpPr>
      <xdr:spPr>
        <a:xfrm>
          <a:off x="55625" y="266700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13</xdr:col>
      <xdr:colOff>200532</xdr:colOff>
      <xdr:row>9</xdr:row>
      <xdr:rowOff>101872</xdr:rowOff>
    </xdr:from>
    <xdr:to>
      <xdr:col>14</xdr:col>
      <xdr:colOff>368808</xdr:colOff>
      <xdr:row>13</xdr:row>
      <xdr:rowOff>18287</xdr:rowOff>
    </xdr:to>
    <xdr:sp macro="" textlink="">
      <xdr:nvSpPr>
        <xdr:cNvPr id="18" name="Fluxograma: Conector 17"/>
        <xdr:cNvSpPr/>
      </xdr:nvSpPr>
      <xdr:spPr>
        <a:xfrm rot="10800000" flipV="1">
          <a:off x="8160711" y="1816372"/>
          <a:ext cx="780597" cy="67841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2</a:t>
          </a:r>
        </a:p>
        <a:p>
          <a:pPr algn="l"/>
          <a:endParaRPr lang="pt-BR" sz="1100"/>
        </a:p>
      </xdr:txBody>
    </xdr:sp>
    <xdr:clientData/>
  </xdr:twoCellAnchor>
  <xdr:twoCellAnchor>
    <xdr:from>
      <xdr:col>10</xdr:col>
      <xdr:colOff>111125</xdr:colOff>
      <xdr:row>17</xdr:row>
      <xdr:rowOff>0</xdr:rowOff>
    </xdr:from>
    <xdr:to>
      <xdr:col>12</xdr:col>
      <xdr:colOff>436502</xdr:colOff>
      <xdr:row>23</xdr:row>
      <xdr:rowOff>0</xdr:rowOff>
    </xdr:to>
    <xdr:sp macro="" textlink="">
      <xdr:nvSpPr>
        <xdr:cNvPr id="19" name="Fluxograma: Processo 18"/>
        <xdr:cNvSpPr/>
      </xdr:nvSpPr>
      <xdr:spPr>
        <a:xfrm>
          <a:off x="6143625" y="3238500"/>
          <a:ext cx="1531877" cy="11430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corrente no</a:t>
          </a:r>
          <a:r>
            <a:rPr lang="pt-BR" sz="1100" baseline="0"/>
            <a:t> portão</a:t>
          </a:r>
          <a:endParaRPr lang="pt-BR" sz="1100"/>
        </a:p>
      </xdr:txBody>
    </xdr:sp>
    <xdr:clientData/>
  </xdr:twoCellAnchor>
  <xdr:twoCellAnchor>
    <xdr:from>
      <xdr:col>18</xdr:col>
      <xdr:colOff>304800</xdr:colOff>
      <xdr:row>34</xdr:row>
      <xdr:rowOff>180975</xdr:rowOff>
    </xdr:from>
    <xdr:to>
      <xdr:col>20</xdr:col>
      <xdr:colOff>0</xdr:colOff>
      <xdr:row>39</xdr:row>
      <xdr:rowOff>142875</xdr:rowOff>
    </xdr:to>
    <xdr:sp macro="" textlink="">
      <xdr:nvSpPr>
        <xdr:cNvPr id="20" name="Retângulo 19"/>
        <xdr:cNvSpPr/>
      </xdr:nvSpPr>
      <xdr:spPr>
        <a:xfrm>
          <a:off x="11277600" y="6657975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187833</xdr:colOff>
      <xdr:row>35</xdr:row>
      <xdr:rowOff>62449</xdr:rowOff>
    </xdr:from>
    <xdr:to>
      <xdr:col>20</xdr:col>
      <xdr:colOff>492633</xdr:colOff>
      <xdr:row>40</xdr:row>
      <xdr:rowOff>24349</xdr:rowOff>
    </xdr:to>
    <xdr:sp macro="" textlink="">
      <xdr:nvSpPr>
        <xdr:cNvPr id="21" name="Retângulo 20"/>
        <xdr:cNvSpPr/>
      </xdr:nvSpPr>
      <xdr:spPr>
        <a:xfrm>
          <a:off x="11770233" y="6729949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fechamento do portão</a:t>
          </a:r>
        </a:p>
      </xdr:txBody>
    </xdr:sp>
    <xdr:clientData/>
  </xdr:twoCellAnchor>
  <xdr:twoCellAnchor>
    <xdr:from>
      <xdr:col>19</xdr:col>
      <xdr:colOff>55623</xdr:colOff>
      <xdr:row>35</xdr:row>
      <xdr:rowOff>0</xdr:rowOff>
    </xdr:from>
    <xdr:to>
      <xdr:col>20</xdr:col>
      <xdr:colOff>559308</xdr:colOff>
      <xdr:row>39</xdr:row>
      <xdr:rowOff>29718</xdr:rowOff>
    </xdr:to>
    <xdr:sp macro="" textlink="">
      <xdr:nvSpPr>
        <xdr:cNvPr id="22" name="Retângulo 21"/>
        <xdr:cNvSpPr/>
      </xdr:nvSpPr>
      <xdr:spPr>
        <a:xfrm>
          <a:off x="11638023" y="6667500"/>
          <a:ext cx="1113285" cy="7917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15875</xdr:colOff>
      <xdr:row>18</xdr:row>
      <xdr:rowOff>127000</xdr:rowOff>
    </xdr:from>
    <xdr:to>
      <xdr:col>16</xdr:col>
      <xdr:colOff>320675</xdr:colOff>
      <xdr:row>21</xdr:row>
      <xdr:rowOff>168148</xdr:rowOff>
    </xdr:to>
    <xdr:sp macro="" textlink="">
      <xdr:nvSpPr>
        <xdr:cNvPr id="23" name="Fluxograma: Processo 22"/>
        <xdr:cNvSpPr/>
      </xdr:nvSpPr>
      <xdr:spPr>
        <a:xfrm>
          <a:off x="9064625" y="3556000"/>
          <a:ext cx="908050" cy="612648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c=c+1</a:t>
          </a:r>
        </a:p>
      </xdr:txBody>
    </xdr:sp>
    <xdr:clientData/>
  </xdr:twoCellAnchor>
  <xdr:twoCellAnchor>
    <xdr:from>
      <xdr:col>10</xdr:col>
      <xdr:colOff>314323</xdr:colOff>
      <xdr:row>30</xdr:row>
      <xdr:rowOff>103632</xdr:rowOff>
    </xdr:from>
    <xdr:to>
      <xdr:col>11</xdr:col>
      <xdr:colOff>161923</xdr:colOff>
      <xdr:row>32</xdr:row>
      <xdr:rowOff>179832</xdr:rowOff>
    </xdr:to>
    <xdr:sp macro="" textlink="">
      <xdr:nvSpPr>
        <xdr:cNvPr id="24" name="Fluxograma: Conector 23"/>
        <xdr:cNvSpPr/>
      </xdr:nvSpPr>
      <xdr:spPr>
        <a:xfrm>
          <a:off x="6410323" y="5818632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413766</xdr:colOff>
      <xdr:row>44</xdr:row>
      <xdr:rowOff>16615</xdr:rowOff>
    </xdr:from>
    <xdr:to>
      <xdr:col>3</xdr:col>
      <xdr:colOff>585217</xdr:colOff>
      <xdr:row>52</xdr:row>
      <xdr:rowOff>16615</xdr:rowOff>
    </xdr:to>
    <xdr:sp macro="" textlink="">
      <xdr:nvSpPr>
        <xdr:cNvPr id="25" name="Fluxograma: Decisão 24"/>
        <xdr:cNvSpPr/>
      </xdr:nvSpPr>
      <xdr:spPr>
        <a:xfrm>
          <a:off x="1017016" y="8398615"/>
          <a:ext cx="1377951" cy="15240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saida de carro</a:t>
          </a:r>
        </a:p>
        <a:p>
          <a:pPr algn="l"/>
          <a:r>
            <a:rPr lang="pt-BR" sz="1100"/>
            <a:t>c=-1</a:t>
          </a:r>
        </a:p>
      </xdr:txBody>
    </xdr:sp>
    <xdr:clientData/>
  </xdr:twoCellAnchor>
  <xdr:twoCellAnchor>
    <xdr:from>
      <xdr:col>6</xdr:col>
      <xdr:colOff>228600</xdr:colOff>
      <xdr:row>16</xdr:row>
      <xdr:rowOff>48769</xdr:rowOff>
    </xdr:from>
    <xdr:to>
      <xdr:col>9</xdr:col>
      <xdr:colOff>76200</xdr:colOff>
      <xdr:row>23</xdr:row>
      <xdr:rowOff>73917</xdr:rowOff>
    </xdr:to>
    <xdr:sp macro="" textlink="">
      <xdr:nvSpPr>
        <xdr:cNvPr id="26" name="Fluxograma: Decisão 25"/>
        <xdr:cNvSpPr/>
      </xdr:nvSpPr>
      <xdr:spPr>
        <a:xfrm>
          <a:off x="3886200" y="3096769"/>
          <a:ext cx="1676400" cy="1358648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c=09?</a:t>
          </a:r>
        </a:p>
      </xdr:txBody>
    </xdr:sp>
    <xdr:clientData/>
  </xdr:twoCellAnchor>
  <xdr:twoCellAnchor>
    <xdr:from>
      <xdr:col>1</xdr:col>
      <xdr:colOff>276225</xdr:colOff>
      <xdr:row>56</xdr:row>
      <xdr:rowOff>180974</xdr:rowOff>
    </xdr:from>
    <xdr:to>
      <xdr:col>4</xdr:col>
      <xdr:colOff>276225</xdr:colOff>
      <xdr:row>65</xdr:row>
      <xdr:rowOff>0</xdr:rowOff>
    </xdr:to>
    <xdr:sp macro="" textlink="">
      <xdr:nvSpPr>
        <xdr:cNvPr id="27" name="Fluxograma: Decisão 26"/>
        <xdr:cNvSpPr/>
      </xdr:nvSpPr>
      <xdr:spPr>
        <a:xfrm>
          <a:off x="879475" y="10848974"/>
          <a:ext cx="1809750" cy="1533526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6</a:t>
          </a:r>
          <a:r>
            <a:rPr lang="pt-BR" sz="1100" baseline="0"/>
            <a:t> horas?</a:t>
          </a:r>
          <a:endParaRPr lang="pt-BR" sz="1100"/>
        </a:p>
      </xdr:txBody>
    </xdr:sp>
    <xdr:clientData/>
  </xdr:twoCellAnchor>
  <xdr:twoCellAnchor>
    <xdr:from>
      <xdr:col>0</xdr:col>
      <xdr:colOff>146050</xdr:colOff>
      <xdr:row>52</xdr:row>
      <xdr:rowOff>114300</xdr:rowOff>
    </xdr:from>
    <xdr:to>
      <xdr:col>1</xdr:col>
      <xdr:colOff>0</xdr:colOff>
      <xdr:row>55</xdr:row>
      <xdr:rowOff>0</xdr:rowOff>
    </xdr:to>
    <xdr:sp macro="" textlink="">
      <xdr:nvSpPr>
        <xdr:cNvPr id="28" name="Fluxograma: Conector 27"/>
        <xdr:cNvSpPr/>
      </xdr:nvSpPr>
      <xdr:spPr>
        <a:xfrm>
          <a:off x="146050" y="1002030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19049</xdr:colOff>
      <xdr:row>15</xdr:row>
      <xdr:rowOff>161926</xdr:rowOff>
    </xdr:from>
    <xdr:to>
      <xdr:col>4</xdr:col>
      <xdr:colOff>304801</xdr:colOff>
      <xdr:row>23</xdr:row>
      <xdr:rowOff>73917</xdr:rowOff>
    </xdr:to>
    <xdr:sp macro="" textlink="">
      <xdr:nvSpPr>
        <xdr:cNvPr id="29" name="Fluxograma: Decisão 28"/>
        <xdr:cNvSpPr/>
      </xdr:nvSpPr>
      <xdr:spPr>
        <a:xfrm>
          <a:off x="1238249" y="3019426"/>
          <a:ext cx="1504952" cy="1435991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entrada de carro</a:t>
          </a:r>
          <a:endParaRPr lang="pt-BR">
            <a:effectLst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c=+1</a:t>
          </a:r>
          <a:endParaRPr lang="pt-BR" b="1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6</xdr:col>
      <xdr:colOff>228600</xdr:colOff>
      <xdr:row>27</xdr:row>
      <xdr:rowOff>76200</xdr:rowOff>
    </xdr:from>
    <xdr:to>
      <xdr:col>8</xdr:col>
      <xdr:colOff>512826</xdr:colOff>
      <xdr:row>36</xdr:row>
      <xdr:rowOff>81151</xdr:rowOff>
    </xdr:to>
    <xdr:sp macro="" textlink="">
      <xdr:nvSpPr>
        <xdr:cNvPr id="30" name="Fluxograma: Decisão 29"/>
        <xdr:cNvSpPr/>
      </xdr:nvSpPr>
      <xdr:spPr>
        <a:xfrm>
          <a:off x="3886200" y="5219700"/>
          <a:ext cx="1503426" cy="1719451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c=10?</a:t>
          </a:r>
        </a:p>
      </xdr:txBody>
    </xdr:sp>
    <xdr:clientData/>
  </xdr:twoCellAnchor>
  <xdr:twoCellAnchor>
    <xdr:from>
      <xdr:col>13</xdr:col>
      <xdr:colOff>388039</xdr:colOff>
      <xdr:row>14</xdr:row>
      <xdr:rowOff>67443</xdr:rowOff>
    </xdr:from>
    <xdr:to>
      <xdr:col>14</xdr:col>
      <xdr:colOff>263072</xdr:colOff>
      <xdr:row>17</xdr:row>
      <xdr:rowOff>172217</xdr:rowOff>
    </xdr:to>
    <xdr:sp macro="" textlink="">
      <xdr:nvSpPr>
        <xdr:cNvPr id="31" name="Seta para baixo 30"/>
        <xdr:cNvSpPr/>
      </xdr:nvSpPr>
      <xdr:spPr>
        <a:xfrm>
          <a:off x="8348218" y="2734443"/>
          <a:ext cx="487354" cy="67627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0</xdr:colOff>
      <xdr:row>18</xdr:row>
      <xdr:rowOff>142875</xdr:rowOff>
    </xdr:from>
    <xdr:to>
      <xdr:col>18</xdr:col>
      <xdr:colOff>0</xdr:colOff>
      <xdr:row>20</xdr:row>
      <xdr:rowOff>142875</xdr:rowOff>
    </xdr:to>
    <xdr:sp macro="" textlink="">
      <xdr:nvSpPr>
        <xdr:cNvPr id="32" name="Seta para a direita 31"/>
        <xdr:cNvSpPr/>
      </xdr:nvSpPr>
      <xdr:spPr>
        <a:xfrm>
          <a:off x="10255250" y="3571875"/>
          <a:ext cx="603250" cy="381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112775</xdr:colOff>
      <xdr:row>53</xdr:row>
      <xdr:rowOff>81151</xdr:rowOff>
    </xdr:from>
    <xdr:to>
      <xdr:col>2</xdr:col>
      <xdr:colOff>133350</xdr:colOff>
      <xdr:row>55</xdr:row>
      <xdr:rowOff>0</xdr:rowOff>
    </xdr:to>
    <xdr:sp macro="" textlink="">
      <xdr:nvSpPr>
        <xdr:cNvPr id="33" name="Seta para a direita 32"/>
        <xdr:cNvSpPr/>
      </xdr:nvSpPr>
      <xdr:spPr>
        <a:xfrm>
          <a:off x="716025" y="10177651"/>
          <a:ext cx="623825" cy="29984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201673</xdr:colOff>
      <xdr:row>18</xdr:row>
      <xdr:rowOff>124969</xdr:rowOff>
    </xdr:from>
    <xdr:to>
      <xdr:col>19</xdr:col>
      <xdr:colOff>55623</xdr:colOff>
      <xdr:row>21</xdr:row>
      <xdr:rowOff>10669</xdr:rowOff>
    </xdr:to>
    <xdr:sp macro="" textlink="">
      <xdr:nvSpPr>
        <xdr:cNvPr id="34" name="Fluxograma: Conector 33"/>
        <xdr:cNvSpPr/>
      </xdr:nvSpPr>
      <xdr:spPr>
        <a:xfrm>
          <a:off x="11060173" y="3553969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7</xdr:col>
      <xdr:colOff>124968</xdr:colOff>
      <xdr:row>37</xdr:row>
      <xdr:rowOff>77344</xdr:rowOff>
    </xdr:from>
    <xdr:to>
      <xdr:col>8</xdr:col>
      <xdr:colOff>0</xdr:colOff>
      <xdr:row>39</xdr:row>
      <xdr:rowOff>0</xdr:rowOff>
    </xdr:to>
    <xdr:sp macro="" textlink="">
      <xdr:nvSpPr>
        <xdr:cNvPr id="35" name="Seta para baixo 34"/>
        <xdr:cNvSpPr/>
      </xdr:nvSpPr>
      <xdr:spPr>
        <a:xfrm>
          <a:off x="4347718" y="7125844"/>
          <a:ext cx="478282" cy="30365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105832</xdr:colOff>
      <xdr:row>88</xdr:row>
      <xdr:rowOff>149679</xdr:rowOff>
    </xdr:from>
    <xdr:to>
      <xdr:col>7</xdr:col>
      <xdr:colOff>163286</xdr:colOff>
      <xdr:row>91</xdr:row>
      <xdr:rowOff>149679</xdr:rowOff>
    </xdr:to>
    <xdr:sp macro="" textlink="">
      <xdr:nvSpPr>
        <xdr:cNvPr id="37" name="Elipse 36"/>
        <xdr:cNvSpPr/>
      </xdr:nvSpPr>
      <xdr:spPr>
        <a:xfrm>
          <a:off x="3779761" y="16913679"/>
          <a:ext cx="669775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7</xdr:col>
      <xdr:colOff>75195</xdr:colOff>
      <xdr:row>40</xdr:row>
      <xdr:rowOff>16602</xdr:rowOff>
    </xdr:from>
    <xdr:to>
      <xdr:col>8</xdr:col>
      <xdr:colOff>65532</xdr:colOff>
      <xdr:row>42</xdr:row>
      <xdr:rowOff>55314</xdr:rowOff>
    </xdr:to>
    <xdr:sp macro="" textlink="">
      <xdr:nvSpPr>
        <xdr:cNvPr id="38" name="Elipse 37"/>
        <xdr:cNvSpPr/>
      </xdr:nvSpPr>
      <xdr:spPr>
        <a:xfrm>
          <a:off x="4297945" y="7636602"/>
          <a:ext cx="593587" cy="419712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oneCellAnchor>
    <xdr:from>
      <xdr:col>27</xdr:col>
      <xdr:colOff>281608</xdr:colOff>
      <xdr:row>14</xdr:row>
      <xdr:rowOff>74543</xdr:rowOff>
    </xdr:from>
    <xdr:ext cx="231913" cy="264560"/>
    <xdr:sp macro="" textlink="">
      <xdr:nvSpPr>
        <xdr:cNvPr id="49" name="CaixaDeTexto 48"/>
        <xdr:cNvSpPr txBox="1"/>
      </xdr:nvSpPr>
      <xdr:spPr>
        <a:xfrm>
          <a:off x="8816008" y="1979543"/>
          <a:ext cx="2319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27</xdr:col>
      <xdr:colOff>157370</xdr:colOff>
      <xdr:row>21</xdr:row>
      <xdr:rowOff>82826</xdr:rowOff>
    </xdr:from>
    <xdr:ext cx="231913" cy="264560"/>
    <xdr:sp macro="" textlink="">
      <xdr:nvSpPr>
        <xdr:cNvPr id="50" name="CaixaDeTexto 49"/>
        <xdr:cNvSpPr txBox="1"/>
      </xdr:nvSpPr>
      <xdr:spPr>
        <a:xfrm>
          <a:off x="8691770" y="3321326"/>
          <a:ext cx="2319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26</xdr:col>
      <xdr:colOff>405848</xdr:colOff>
      <xdr:row>25</xdr:row>
      <xdr:rowOff>33131</xdr:rowOff>
    </xdr:from>
    <xdr:ext cx="184731" cy="264560"/>
    <xdr:sp macro="" textlink="">
      <xdr:nvSpPr>
        <xdr:cNvPr id="51" name="CaixaDeTexto 50"/>
        <xdr:cNvSpPr txBox="1"/>
      </xdr:nvSpPr>
      <xdr:spPr>
        <a:xfrm>
          <a:off x="16326205" y="47956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26</xdr:col>
      <xdr:colOff>397565</xdr:colOff>
      <xdr:row>18</xdr:row>
      <xdr:rowOff>132522</xdr:rowOff>
    </xdr:from>
    <xdr:ext cx="281608" cy="264560"/>
    <xdr:sp macro="" textlink="">
      <xdr:nvSpPr>
        <xdr:cNvPr id="52" name="CaixaDeTexto 51"/>
        <xdr:cNvSpPr txBox="1"/>
      </xdr:nvSpPr>
      <xdr:spPr>
        <a:xfrm>
          <a:off x="8322365" y="2799522"/>
          <a:ext cx="2816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27</xdr:col>
      <xdr:colOff>331305</xdr:colOff>
      <xdr:row>28</xdr:row>
      <xdr:rowOff>49696</xdr:rowOff>
    </xdr:from>
    <xdr:ext cx="231913" cy="264560"/>
    <xdr:sp macro="" textlink="">
      <xdr:nvSpPr>
        <xdr:cNvPr id="56" name="CaixaDeTexto 55"/>
        <xdr:cNvSpPr txBox="1"/>
      </xdr:nvSpPr>
      <xdr:spPr>
        <a:xfrm>
          <a:off x="8865705" y="4621696"/>
          <a:ext cx="2319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26</xdr:col>
      <xdr:colOff>447261</xdr:colOff>
      <xdr:row>33</xdr:row>
      <xdr:rowOff>33130</xdr:rowOff>
    </xdr:from>
    <xdr:ext cx="184731" cy="264560"/>
    <xdr:sp macro="" textlink="">
      <xdr:nvSpPr>
        <xdr:cNvPr id="57" name="CaixaDeTexto 56"/>
        <xdr:cNvSpPr txBox="1"/>
      </xdr:nvSpPr>
      <xdr:spPr>
        <a:xfrm>
          <a:off x="16367618" y="63196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30</xdr:col>
      <xdr:colOff>91109</xdr:colOff>
      <xdr:row>13</xdr:row>
      <xdr:rowOff>140805</xdr:rowOff>
    </xdr:from>
    <xdr:ext cx="231913" cy="264560"/>
    <xdr:sp macro="" textlink="">
      <xdr:nvSpPr>
        <xdr:cNvPr id="61" name="CaixaDeTexto 60"/>
        <xdr:cNvSpPr txBox="1"/>
      </xdr:nvSpPr>
      <xdr:spPr>
        <a:xfrm>
          <a:off x="10454309" y="1855305"/>
          <a:ext cx="2319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29</xdr:col>
      <xdr:colOff>256761</xdr:colOff>
      <xdr:row>18</xdr:row>
      <xdr:rowOff>0</xdr:rowOff>
    </xdr:from>
    <xdr:ext cx="281608" cy="264560"/>
    <xdr:sp macro="" textlink="">
      <xdr:nvSpPr>
        <xdr:cNvPr id="62" name="CaixaDeTexto 61"/>
        <xdr:cNvSpPr txBox="1"/>
      </xdr:nvSpPr>
      <xdr:spPr>
        <a:xfrm>
          <a:off x="10010361" y="2667000"/>
          <a:ext cx="2816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5</xdr:col>
      <xdr:colOff>412058</xdr:colOff>
      <xdr:row>45</xdr:row>
      <xdr:rowOff>24365</xdr:rowOff>
    </xdr:from>
    <xdr:to>
      <xdr:col>7</xdr:col>
      <xdr:colOff>591516</xdr:colOff>
      <xdr:row>51</xdr:row>
      <xdr:rowOff>134269</xdr:rowOff>
    </xdr:to>
    <xdr:sp macro="" textlink="">
      <xdr:nvSpPr>
        <xdr:cNvPr id="69" name="Fluxograma: Decisão 68"/>
        <xdr:cNvSpPr/>
      </xdr:nvSpPr>
      <xdr:spPr>
        <a:xfrm>
          <a:off x="3428308" y="8596865"/>
          <a:ext cx="1385958" cy="1252904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</a:t>
          </a:r>
          <a:r>
            <a:rPr lang="pt-BR" sz="1100" baseline="0"/>
            <a:t> = 9</a:t>
          </a:r>
          <a:r>
            <a:rPr lang="pt-BR" sz="1100"/>
            <a:t>?</a:t>
          </a:r>
        </a:p>
      </xdr:txBody>
    </xdr:sp>
    <xdr:clientData/>
  </xdr:twoCellAnchor>
  <xdr:twoCellAnchor>
    <xdr:from>
      <xdr:col>6</xdr:col>
      <xdr:colOff>329233</xdr:colOff>
      <xdr:row>51</xdr:row>
      <xdr:rowOff>134269</xdr:rowOff>
    </xdr:from>
    <xdr:to>
      <xdr:col>6</xdr:col>
      <xdr:colOff>501787</xdr:colOff>
      <xdr:row>52</xdr:row>
      <xdr:rowOff>4506</xdr:rowOff>
    </xdr:to>
    <xdr:cxnSp macro="">
      <xdr:nvCxnSpPr>
        <xdr:cNvPr id="70" name="Conector de seta reta 69"/>
        <xdr:cNvCxnSpPr>
          <a:stCxn id="69" idx="2"/>
        </xdr:cNvCxnSpPr>
      </xdr:nvCxnSpPr>
      <xdr:spPr>
        <a:xfrm flipH="1">
          <a:off x="3948733" y="9849769"/>
          <a:ext cx="172554" cy="607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8283</xdr:colOff>
      <xdr:row>25</xdr:row>
      <xdr:rowOff>24848</xdr:rowOff>
    </xdr:from>
    <xdr:ext cx="240195" cy="264560"/>
    <xdr:sp macro="" textlink="">
      <xdr:nvSpPr>
        <xdr:cNvPr id="71" name="CaixaDeTexto 70"/>
        <xdr:cNvSpPr txBox="1"/>
      </xdr:nvSpPr>
      <xdr:spPr>
        <a:xfrm>
          <a:off x="9761883" y="4025348"/>
          <a:ext cx="2401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7</xdr:col>
      <xdr:colOff>591516</xdr:colOff>
      <xdr:row>48</xdr:row>
      <xdr:rowOff>79317</xdr:rowOff>
    </xdr:from>
    <xdr:to>
      <xdr:col>7</xdr:col>
      <xdr:colOff>592896</xdr:colOff>
      <xdr:row>49</xdr:row>
      <xdr:rowOff>365</xdr:rowOff>
    </xdr:to>
    <xdr:cxnSp macro="">
      <xdr:nvCxnSpPr>
        <xdr:cNvPr id="72" name="Conector de seta reta 71"/>
        <xdr:cNvCxnSpPr>
          <a:stCxn id="69" idx="3"/>
        </xdr:cNvCxnSpPr>
      </xdr:nvCxnSpPr>
      <xdr:spPr>
        <a:xfrm>
          <a:off x="4814266" y="9223317"/>
          <a:ext cx="1380" cy="11154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273327</xdr:colOff>
      <xdr:row>22</xdr:row>
      <xdr:rowOff>24847</xdr:rowOff>
    </xdr:from>
    <xdr:ext cx="231913" cy="264560"/>
    <xdr:sp macro="" textlink="">
      <xdr:nvSpPr>
        <xdr:cNvPr id="73" name="CaixaDeTexto 72"/>
        <xdr:cNvSpPr txBox="1"/>
      </xdr:nvSpPr>
      <xdr:spPr>
        <a:xfrm>
          <a:off x="9417327" y="3453847"/>
          <a:ext cx="2319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10</xdr:col>
      <xdr:colOff>133902</xdr:colOff>
      <xdr:row>45</xdr:row>
      <xdr:rowOff>190499</xdr:rowOff>
    </xdr:from>
    <xdr:to>
      <xdr:col>12</xdr:col>
      <xdr:colOff>436501</xdr:colOff>
      <xdr:row>50</xdr:row>
      <xdr:rowOff>126518</xdr:rowOff>
    </xdr:to>
    <xdr:sp macro="" textlink="">
      <xdr:nvSpPr>
        <xdr:cNvPr id="74" name="Retângulo 73"/>
        <xdr:cNvSpPr/>
      </xdr:nvSpPr>
      <xdr:spPr>
        <a:xfrm>
          <a:off x="6166402" y="8762999"/>
          <a:ext cx="1509099" cy="8885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tira corrente</a:t>
          </a:r>
          <a:endParaRPr lang="pt-BR" sz="1100"/>
        </a:p>
      </xdr:txBody>
    </xdr:sp>
    <xdr:clientData/>
  </xdr:twoCellAnchor>
  <xdr:twoCellAnchor>
    <xdr:from>
      <xdr:col>11</xdr:col>
      <xdr:colOff>571501</xdr:colOff>
      <xdr:row>48</xdr:row>
      <xdr:rowOff>55269</xdr:rowOff>
    </xdr:from>
    <xdr:to>
      <xdr:col>12</xdr:col>
      <xdr:colOff>436501</xdr:colOff>
      <xdr:row>48</xdr:row>
      <xdr:rowOff>63259</xdr:rowOff>
    </xdr:to>
    <xdr:cxnSp macro="">
      <xdr:nvCxnSpPr>
        <xdr:cNvPr id="75" name="Conector de seta reta 74"/>
        <xdr:cNvCxnSpPr>
          <a:stCxn id="74" idx="3"/>
        </xdr:cNvCxnSpPr>
      </xdr:nvCxnSpPr>
      <xdr:spPr>
        <a:xfrm flipH="1" flipV="1">
          <a:off x="7207251" y="9199269"/>
          <a:ext cx="468250" cy="79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368808</xdr:colOff>
      <xdr:row>46</xdr:row>
      <xdr:rowOff>72532</xdr:rowOff>
    </xdr:from>
    <xdr:to>
      <xdr:col>16</xdr:col>
      <xdr:colOff>196252</xdr:colOff>
      <xdr:row>51</xdr:row>
      <xdr:rowOff>0</xdr:rowOff>
    </xdr:to>
    <xdr:sp macro="" textlink="">
      <xdr:nvSpPr>
        <xdr:cNvPr id="76" name="Retângulo 75"/>
        <xdr:cNvSpPr/>
      </xdr:nvSpPr>
      <xdr:spPr>
        <a:xfrm>
          <a:off x="8941308" y="8835532"/>
          <a:ext cx="1052087" cy="8799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c=c-1</a:t>
          </a:r>
        </a:p>
      </xdr:txBody>
    </xdr:sp>
    <xdr:clientData/>
  </xdr:twoCellAnchor>
  <xdr:twoCellAnchor>
    <xdr:from>
      <xdr:col>14</xdr:col>
      <xdr:colOff>148631</xdr:colOff>
      <xdr:row>59</xdr:row>
      <xdr:rowOff>0</xdr:rowOff>
    </xdr:from>
    <xdr:to>
      <xdr:col>15</xdr:col>
      <xdr:colOff>0</xdr:colOff>
      <xdr:row>61</xdr:row>
      <xdr:rowOff>146822</xdr:rowOff>
    </xdr:to>
    <xdr:sp macro="" textlink="">
      <xdr:nvSpPr>
        <xdr:cNvPr id="78" name="Elipse 77"/>
        <xdr:cNvSpPr/>
      </xdr:nvSpPr>
      <xdr:spPr>
        <a:xfrm>
          <a:off x="8721131" y="11239500"/>
          <a:ext cx="463690" cy="527822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2</xdr:col>
      <xdr:colOff>220790</xdr:colOff>
      <xdr:row>69</xdr:row>
      <xdr:rowOff>0</xdr:rowOff>
    </xdr:from>
    <xdr:to>
      <xdr:col>3</xdr:col>
      <xdr:colOff>98189</xdr:colOff>
      <xdr:row>71</xdr:row>
      <xdr:rowOff>109904</xdr:rowOff>
    </xdr:to>
    <xdr:sp macro="" textlink="">
      <xdr:nvSpPr>
        <xdr:cNvPr id="80" name="Elipse 79"/>
        <xdr:cNvSpPr/>
      </xdr:nvSpPr>
      <xdr:spPr>
        <a:xfrm>
          <a:off x="1445433" y="13144500"/>
          <a:ext cx="489720" cy="4909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5</xdr:col>
      <xdr:colOff>245323</xdr:colOff>
      <xdr:row>57</xdr:row>
      <xdr:rowOff>99391</xdr:rowOff>
    </xdr:from>
    <xdr:to>
      <xdr:col>8</xdr:col>
      <xdr:colOff>0</xdr:colOff>
      <xdr:row>64</xdr:row>
      <xdr:rowOff>0</xdr:rowOff>
    </xdr:to>
    <xdr:sp macro="" textlink="">
      <xdr:nvSpPr>
        <xdr:cNvPr id="83" name="Fluxograma: Decisão 82"/>
        <xdr:cNvSpPr/>
      </xdr:nvSpPr>
      <xdr:spPr>
        <a:xfrm>
          <a:off x="3306930" y="10957891"/>
          <a:ext cx="1591641" cy="1234109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</a:t>
          </a:r>
          <a:r>
            <a:rPr lang="pt-BR" sz="1100" baseline="0"/>
            <a:t> = 0</a:t>
          </a:r>
          <a:r>
            <a:rPr lang="pt-BR" sz="1100"/>
            <a:t>?</a:t>
          </a:r>
        </a:p>
      </xdr:txBody>
    </xdr:sp>
    <xdr:clientData/>
  </xdr:twoCellAnchor>
  <xdr:twoCellAnchor>
    <xdr:from>
      <xdr:col>7</xdr:col>
      <xdr:colOff>444107</xdr:colOff>
      <xdr:row>59</xdr:row>
      <xdr:rowOff>132522</xdr:rowOff>
    </xdr:from>
    <xdr:to>
      <xdr:col>8</xdr:col>
      <xdr:colOff>0</xdr:colOff>
      <xdr:row>60</xdr:row>
      <xdr:rowOff>144946</xdr:rowOff>
    </xdr:to>
    <xdr:cxnSp macro="">
      <xdr:nvCxnSpPr>
        <xdr:cNvPr id="84" name="Conector de seta reta 83"/>
        <xdr:cNvCxnSpPr>
          <a:stCxn id="83" idx="3"/>
        </xdr:cNvCxnSpPr>
      </xdr:nvCxnSpPr>
      <xdr:spPr>
        <a:xfrm flipH="1" flipV="1">
          <a:off x="4730357" y="11372022"/>
          <a:ext cx="168214" cy="2029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496957</xdr:colOff>
      <xdr:row>28</xdr:row>
      <xdr:rowOff>91108</xdr:rowOff>
    </xdr:from>
    <xdr:ext cx="231913" cy="264560"/>
    <xdr:sp macro="" textlink="">
      <xdr:nvSpPr>
        <xdr:cNvPr id="85" name="CaixaDeTexto 84"/>
        <xdr:cNvSpPr txBox="1"/>
      </xdr:nvSpPr>
      <xdr:spPr>
        <a:xfrm>
          <a:off x="10250557" y="4663108"/>
          <a:ext cx="2319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6</xdr:col>
      <xdr:colOff>154214</xdr:colOff>
      <xdr:row>63</xdr:row>
      <xdr:rowOff>99392</xdr:rowOff>
    </xdr:from>
    <xdr:to>
      <xdr:col>6</xdr:col>
      <xdr:colOff>428822</xdr:colOff>
      <xdr:row>64</xdr:row>
      <xdr:rowOff>0</xdr:rowOff>
    </xdr:to>
    <xdr:cxnSp macro="">
      <xdr:nvCxnSpPr>
        <xdr:cNvPr id="86" name="Conector de seta reta 85"/>
        <xdr:cNvCxnSpPr>
          <a:stCxn id="83" idx="2"/>
        </xdr:cNvCxnSpPr>
      </xdr:nvCxnSpPr>
      <xdr:spPr>
        <a:xfrm flipH="1" flipV="1">
          <a:off x="3828143" y="12100892"/>
          <a:ext cx="274608" cy="911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99391</xdr:colOff>
      <xdr:row>32</xdr:row>
      <xdr:rowOff>41413</xdr:rowOff>
    </xdr:from>
    <xdr:ext cx="240195" cy="264560"/>
    <xdr:sp macro="" textlink="">
      <xdr:nvSpPr>
        <xdr:cNvPr id="87" name="CaixaDeTexto 86"/>
        <xdr:cNvSpPr txBox="1"/>
      </xdr:nvSpPr>
      <xdr:spPr>
        <a:xfrm>
          <a:off x="9852991" y="5375413"/>
          <a:ext cx="2401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9</xdr:col>
      <xdr:colOff>469152</xdr:colOff>
      <xdr:row>58</xdr:row>
      <xdr:rowOff>59261</xdr:rowOff>
    </xdr:from>
    <xdr:to>
      <xdr:col>11</xdr:col>
      <xdr:colOff>544287</xdr:colOff>
      <xdr:row>62</xdr:row>
      <xdr:rowOff>59261</xdr:rowOff>
    </xdr:to>
    <xdr:sp macro="" textlink="">
      <xdr:nvSpPr>
        <xdr:cNvPr id="88" name="Retângulo 87"/>
        <xdr:cNvSpPr/>
      </xdr:nvSpPr>
      <xdr:spPr>
        <a:xfrm>
          <a:off x="5980045" y="11108261"/>
          <a:ext cx="1299778" cy="762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fecha portão</a:t>
          </a:r>
          <a:endParaRPr lang="pt-BR" sz="1100"/>
        </a:p>
      </xdr:txBody>
    </xdr:sp>
    <xdr:clientData/>
  </xdr:twoCellAnchor>
  <xdr:twoCellAnchor>
    <xdr:from>
      <xdr:col>18</xdr:col>
      <xdr:colOff>255944</xdr:colOff>
      <xdr:row>47</xdr:row>
      <xdr:rowOff>171162</xdr:rowOff>
    </xdr:from>
    <xdr:to>
      <xdr:col>19</xdr:col>
      <xdr:colOff>0</xdr:colOff>
      <xdr:row>49</xdr:row>
      <xdr:rowOff>90566</xdr:rowOff>
    </xdr:to>
    <xdr:sp macro="" textlink="">
      <xdr:nvSpPr>
        <xdr:cNvPr id="97" name="Elipse 96"/>
        <xdr:cNvSpPr/>
      </xdr:nvSpPr>
      <xdr:spPr>
        <a:xfrm>
          <a:off x="11277730" y="9124662"/>
          <a:ext cx="356377" cy="30040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196252</xdr:colOff>
      <xdr:row>48</xdr:row>
      <xdr:rowOff>131516</xdr:rowOff>
    </xdr:from>
    <xdr:to>
      <xdr:col>16</xdr:col>
      <xdr:colOff>196253</xdr:colOff>
      <xdr:row>49</xdr:row>
      <xdr:rowOff>22594</xdr:rowOff>
    </xdr:to>
    <xdr:cxnSp macro="">
      <xdr:nvCxnSpPr>
        <xdr:cNvPr id="99" name="Conector de seta reta 98"/>
        <xdr:cNvCxnSpPr>
          <a:stCxn id="76" idx="3"/>
        </xdr:cNvCxnSpPr>
      </xdr:nvCxnSpPr>
      <xdr:spPr>
        <a:xfrm>
          <a:off x="9993395" y="9275516"/>
          <a:ext cx="1" cy="8157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224282</xdr:colOff>
      <xdr:row>47</xdr:row>
      <xdr:rowOff>38702</xdr:rowOff>
    </xdr:from>
    <xdr:to>
      <xdr:col>9</xdr:col>
      <xdr:colOff>599440</xdr:colOff>
      <xdr:row>49</xdr:row>
      <xdr:rowOff>142334</xdr:rowOff>
    </xdr:to>
    <xdr:sp macro="" textlink="">
      <xdr:nvSpPr>
        <xdr:cNvPr id="109" name="Seta para a direita 108"/>
        <xdr:cNvSpPr/>
      </xdr:nvSpPr>
      <xdr:spPr>
        <a:xfrm>
          <a:off x="5050282" y="8992202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107442</xdr:colOff>
      <xdr:row>47</xdr:row>
      <xdr:rowOff>17649</xdr:rowOff>
    </xdr:from>
    <xdr:to>
      <xdr:col>13</xdr:col>
      <xdr:colOff>476250</xdr:colOff>
      <xdr:row>49</xdr:row>
      <xdr:rowOff>121281</xdr:rowOff>
    </xdr:to>
    <xdr:sp macro="" textlink="">
      <xdr:nvSpPr>
        <xdr:cNvPr id="116" name="Seta para a direita 115"/>
        <xdr:cNvSpPr/>
      </xdr:nvSpPr>
      <xdr:spPr>
        <a:xfrm>
          <a:off x="8067621" y="8971149"/>
          <a:ext cx="3688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503463</xdr:colOff>
      <xdr:row>47</xdr:row>
      <xdr:rowOff>86868</xdr:rowOff>
    </xdr:from>
    <xdr:to>
      <xdr:col>17</xdr:col>
      <xdr:colOff>541852</xdr:colOff>
      <xdr:row>50</xdr:row>
      <xdr:rowOff>0</xdr:rowOff>
    </xdr:to>
    <xdr:sp macro="" textlink="">
      <xdr:nvSpPr>
        <xdr:cNvPr id="117" name="Seta para a direita 116"/>
        <xdr:cNvSpPr/>
      </xdr:nvSpPr>
      <xdr:spPr>
        <a:xfrm>
          <a:off x="10300606" y="9040368"/>
          <a:ext cx="65071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239485</xdr:colOff>
      <xdr:row>65</xdr:row>
      <xdr:rowOff>176893</xdr:rowOff>
    </xdr:from>
    <xdr:to>
      <xdr:col>3</xdr:col>
      <xdr:colOff>111796</xdr:colOff>
      <xdr:row>67</xdr:row>
      <xdr:rowOff>176893</xdr:rowOff>
    </xdr:to>
    <xdr:sp macro="" textlink="">
      <xdr:nvSpPr>
        <xdr:cNvPr id="118" name="Seta para baixo 117"/>
        <xdr:cNvSpPr/>
      </xdr:nvSpPr>
      <xdr:spPr>
        <a:xfrm>
          <a:off x="1464128" y="12559393"/>
          <a:ext cx="484632" cy="381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475966</xdr:colOff>
      <xdr:row>59</xdr:row>
      <xdr:rowOff>132522</xdr:rowOff>
    </xdr:from>
    <xdr:to>
      <xdr:col>5</xdr:col>
      <xdr:colOff>108968</xdr:colOff>
      <xdr:row>62</xdr:row>
      <xdr:rowOff>45654</xdr:rowOff>
    </xdr:to>
    <xdr:sp macro="" textlink="">
      <xdr:nvSpPr>
        <xdr:cNvPr id="123" name="Seta para a direita 122"/>
        <xdr:cNvSpPr/>
      </xdr:nvSpPr>
      <xdr:spPr>
        <a:xfrm>
          <a:off x="2925252" y="11372022"/>
          <a:ext cx="245323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227946</xdr:colOff>
      <xdr:row>52</xdr:row>
      <xdr:rowOff>118773</xdr:rowOff>
    </xdr:from>
    <xdr:to>
      <xdr:col>7</xdr:col>
      <xdr:colOff>100257</xdr:colOff>
      <xdr:row>56</xdr:row>
      <xdr:rowOff>68036</xdr:rowOff>
    </xdr:to>
    <xdr:sp macro="" textlink="">
      <xdr:nvSpPr>
        <xdr:cNvPr id="124" name="Seta para baixo 123"/>
        <xdr:cNvSpPr/>
      </xdr:nvSpPr>
      <xdr:spPr>
        <a:xfrm>
          <a:off x="3901875" y="10024773"/>
          <a:ext cx="484632" cy="71126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332554</xdr:colOff>
      <xdr:row>59</xdr:row>
      <xdr:rowOff>146129</xdr:rowOff>
    </xdr:from>
    <xdr:to>
      <xdr:col>9</xdr:col>
      <xdr:colOff>353255</xdr:colOff>
      <xdr:row>62</xdr:row>
      <xdr:rowOff>59261</xdr:rowOff>
    </xdr:to>
    <xdr:sp macro="" textlink="">
      <xdr:nvSpPr>
        <xdr:cNvPr id="125" name="Seta para a direita 124"/>
        <xdr:cNvSpPr/>
      </xdr:nvSpPr>
      <xdr:spPr>
        <a:xfrm>
          <a:off x="5231125" y="11385629"/>
          <a:ext cx="633023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110164</xdr:colOff>
      <xdr:row>59</xdr:row>
      <xdr:rowOff>0</xdr:rowOff>
    </xdr:from>
    <xdr:to>
      <xdr:col>13</xdr:col>
      <xdr:colOff>476250</xdr:colOff>
      <xdr:row>61</xdr:row>
      <xdr:rowOff>103632</xdr:rowOff>
    </xdr:to>
    <xdr:sp macro="" textlink="">
      <xdr:nvSpPr>
        <xdr:cNvPr id="126" name="Seta para a direita 125"/>
        <xdr:cNvSpPr/>
      </xdr:nvSpPr>
      <xdr:spPr>
        <a:xfrm>
          <a:off x="7458021" y="11239500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69</xdr:row>
      <xdr:rowOff>38100</xdr:rowOff>
    </xdr:from>
    <xdr:to>
      <xdr:col>7</xdr:col>
      <xdr:colOff>302079</xdr:colOff>
      <xdr:row>74</xdr:row>
      <xdr:rowOff>0</xdr:rowOff>
    </xdr:to>
    <xdr:sp macro="" textlink="">
      <xdr:nvSpPr>
        <xdr:cNvPr id="127" name="Retângulo 126"/>
        <xdr:cNvSpPr/>
      </xdr:nvSpPr>
      <xdr:spPr>
        <a:xfrm>
          <a:off x="3673929" y="13182600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bota corrente</a:t>
          </a:r>
        </a:p>
      </xdr:txBody>
    </xdr:sp>
    <xdr:clientData/>
  </xdr:twoCellAnchor>
  <xdr:twoCellAnchor>
    <xdr:from>
      <xdr:col>5</xdr:col>
      <xdr:colOff>605716</xdr:colOff>
      <xdr:row>79</xdr:row>
      <xdr:rowOff>38100</xdr:rowOff>
    </xdr:from>
    <xdr:to>
      <xdr:col>7</xdr:col>
      <xdr:colOff>295473</xdr:colOff>
      <xdr:row>84</xdr:row>
      <xdr:rowOff>0</xdr:rowOff>
    </xdr:to>
    <xdr:sp macro="" textlink="">
      <xdr:nvSpPr>
        <xdr:cNvPr id="128" name="Retângulo 127"/>
        <xdr:cNvSpPr/>
      </xdr:nvSpPr>
      <xdr:spPr>
        <a:xfrm>
          <a:off x="3667323" y="15087600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pt-BR" sz="1100"/>
            <a:t>não entra mais carro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2</xdr:row>
      <xdr:rowOff>19050</xdr:rowOff>
    </xdr:from>
    <xdr:to>
      <xdr:col>9</xdr:col>
      <xdr:colOff>152400</xdr:colOff>
      <xdr:row>4</xdr:row>
      <xdr:rowOff>28575</xdr:rowOff>
    </xdr:to>
    <xdr:sp macro="" textlink="">
      <xdr:nvSpPr>
        <xdr:cNvPr id="2" name="Elipse 1"/>
        <xdr:cNvSpPr/>
      </xdr:nvSpPr>
      <xdr:spPr>
        <a:xfrm>
          <a:off x="4191000" y="400050"/>
          <a:ext cx="1447800" cy="3905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tx1"/>
              </a:solidFill>
            </a:rPr>
            <a:t>INICIO</a:t>
          </a:r>
        </a:p>
      </xdr:txBody>
    </xdr:sp>
    <xdr:clientData/>
  </xdr:twoCellAnchor>
  <xdr:twoCellAnchor>
    <xdr:from>
      <xdr:col>8</xdr:col>
      <xdr:colOff>38100</xdr:colOff>
      <xdr:row>4</xdr:row>
      <xdr:rowOff>28575</xdr:rowOff>
    </xdr:from>
    <xdr:to>
      <xdr:col>8</xdr:col>
      <xdr:colOff>47625</xdr:colOff>
      <xdr:row>6</xdr:row>
      <xdr:rowOff>171450</xdr:rowOff>
    </xdr:to>
    <xdr:cxnSp macro="">
      <xdr:nvCxnSpPr>
        <xdr:cNvPr id="3" name="Conector de seta reta 2"/>
        <xdr:cNvCxnSpPr>
          <a:stCxn id="2" idx="4"/>
        </xdr:cNvCxnSpPr>
      </xdr:nvCxnSpPr>
      <xdr:spPr>
        <a:xfrm>
          <a:off x="4914900" y="790575"/>
          <a:ext cx="9525" cy="523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7</xdr:row>
      <xdr:rowOff>9525</xdr:rowOff>
    </xdr:from>
    <xdr:to>
      <xdr:col>9</xdr:col>
      <xdr:colOff>171450</xdr:colOff>
      <xdr:row>10</xdr:row>
      <xdr:rowOff>133350</xdr:rowOff>
    </xdr:to>
    <xdr:sp macro="" textlink="">
      <xdr:nvSpPr>
        <xdr:cNvPr id="4" name="Retângulo 3"/>
        <xdr:cNvSpPr/>
      </xdr:nvSpPr>
      <xdr:spPr>
        <a:xfrm>
          <a:off x="4229100" y="1343025"/>
          <a:ext cx="1428750" cy="6953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  <a:p>
          <a:pPr algn="ctr"/>
          <a:r>
            <a:rPr lang="pt-BR" sz="1100"/>
            <a:t>ACORDAR</a:t>
          </a:r>
        </a:p>
      </xdr:txBody>
    </xdr:sp>
    <xdr:clientData/>
  </xdr:twoCellAnchor>
  <xdr:twoCellAnchor>
    <xdr:from>
      <xdr:col>7</xdr:col>
      <xdr:colOff>219075</xdr:colOff>
      <xdr:row>13</xdr:row>
      <xdr:rowOff>28575</xdr:rowOff>
    </xdr:from>
    <xdr:to>
      <xdr:col>8</xdr:col>
      <xdr:colOff>523875</xdr:colOff>
      <xdr:row>17</xdr:row>
      <xdr:rowOff>180975</xdr:rowOff>
    </xdr:to>
    <xdr:sp macro="" textlink="">
      <xdr:nvSpPr>
        <xdr:cNvPr id="5" name="Retângulo 4"/>
        <xdr:cNvSpPr/>
      </xdr:nvSpPr>
      <xdr:spPr>
        <a:xfrm>
          <a:off x="4486275" y="2505075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  <a:p>
          <a:pPr algn="ctr"/>
          <a:r>
            <a:rPr lang="pt-BR" sz="1100"/>
            <a:t>ABRIR OS OLHOS</a:t>
          </a:r>
        </a:p>
      </xdr:txBody>
    </xdr:sp>
    <xdr:clientData/>
  </xdr:twoCellAnchor>
  <xdr:twoCellAnchor>
    <xdr:from>
      <xdr:col>8</xdr:col>
      <xdr:colOff>66675</xdr:colOff>
      <xdr:row>10</xdr:row>
      <xdr:rowOff>133350</xdr:rowOff>
    </xdr:from>
    <xdr:to>
      <xdr:col>8</xdr:col>
      <xdr:colOff>66675</xdr:colOff>
      <xdr:row>13</xdr:row>
      <xdr:rowOff>28575</xdr:rowOff>
    </xdr:to>
    <xdr:cxnSp macro="">
      <xdr:nvCxnSpPr>
        <xdr:cNvPr id="6" name="Conector de seta reta 5"/>
        <xdr:cNvCxnSpPr>
          <a:stCxn id="4" idx="2"/>
          <a:endCxn id="5" idx="0"/>
        </xdr:cNvCxnSpPr>
      </xdr:nvCxnSpPr>
      <xdr:spPr>
        <a:xfrm>
          <a:off x="4943475" y="2038350"/>
          <a:ext cx="0" cy="4667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180975</xdr:colOff>
      <xdr:row>29</xdr:row>
      <xdr:rowOff>28575</xdr:rowOff>
    </xdr:from>
    <xdr:to>
      <xdr:col>8</xdr:col>
      <xdr:colOff>514350</xdr:colOff>
      <xdr:row>34</xdr:row>
      <xdr:rowOff>57150</xdr:rowOff>
    </xdr:to>
    <xdr:sp macro="" textlink="">
      <xdr:nvSpPr>
        <xdr:cNvPr id="7" name="Retângulo 6"/>
        <xdr:cNvSpPr/>
      </xdr:nvSpPr>
      <xdr:spPr>
        <a:xfrm>
          <a:off x="4448175" y="5553075"/>
          <a:ext cx="942975" cy="981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  <a:p>
          <a:pPr algn="l"/>
          <a:endParaRPr lang="pt-BR" sz="1100"/>
        </a:p>
        <a:p>
          <a:pPr algn="ctr"/>
          <a:r>
            <a:rPr lang="pt-BR" sz="1100"/>
            <a:t>LEVANTAR</a:t>
          </a:r>
        </a:p>
      </xdr:txBody>
    </xdr:sp>
    <xdr:clientData/>
  </xdr:twoCellAnchor>
  <xdr:twoCellAnchor>
    <xdr:from>
      <xdr:col>7</xdr:col>
      <xdr:colOff>209550</xdr:colOff>
      <xdr:row>19</xdr:row>
      <xdr:rowOff>85725</xdr:rowOff>
    </xdr:from>
    <xdr:to>
      <xdr:col>8</xdr:col>
      <xdr:colOff>514350</xdr:colOff>
      <xdr:row>24</xdr:row>
      <xdr:rowOff>47625</xdr:rowOff>
    </xdr:to>
    <xdr:sp macro="" textlink="">
      <xdr:nvSpPr>
        <xdr:cNvPr id="8" name="Losango 7"/>
        <xdr:cNvSpPr/>
      </xdr:nvSpPr>
      <xdr:spPr>
        <a:xfrm>
          <a:off x="4476750" y="3705225"/>
          <a:ext cx="914400" cy="914400"/>
        </a:xfrm>
        <a:prstGeom prst="diamond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 </a:t>
          </a:r>
          <a:r>
            <a:rPr lang="pt-BR" sz="1100"/>
            <a:t>OK?</a:t>
          </a:r>
        </a:p>
      </xdr:txBody>
    </xdr:sp>
    <xdr:clientData/>
  </xdr:twoCellAnchor>
  <xdr:twoCellAnchor>
    <xdr:from>
      <xdr:col>8</xdr:col>
      <xdr:colOff>57150</xdr:colOff>
      <xdr:row>17</xdr:row>
      <xdr:rowOff>180975</xdr:rowOff>
    </xdr:from>
    <xdr:to>
      <xdr:col>8</xdr:col>
      <xdr:colOff>66675</xdr:colOff>
      <xdr:row>19</xdr:row>
      <xdr:rowOff>85725</xdr:rowOff>
    </xdr:to>
    <xdr:cxnSp macro="">
      <xdr:nvCxnSpPr>
        <xdr:cNvPr id="9" name="Conector de seta reta 8"/>
        <xdr:cNvCxnSpPr>
          <a:stCxn id="5" idx="2"/>
          <a:endCxn id="8" idx="0"/>
        </xdr:cNvCxnSpPr>
      </xdr:nvCxnSpPr>
      <xdr:spPr>
        <a:xfrm flipH="1">
          <a:off x="4933950" y="3419475"/>
          <a:ext cx="9525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21</xdr:row>
      <xdr:rowOff>161925</xdr:rowOff>
    </xdr:from>
    <xdr:to>
      <xdr:col>10</xdr:col>
      <xdr:colOff>438150</xdr:colOff>
      <xdr:row>21</xdr:row>
      <xdr:rowOff>171450</xdr:rowOff>
    </xdr:to>
    <xdr:cxnSp macro="">
      <xdr:nvCxnSpPr>
        <xdr:cNvPr id="10" name="Conector de seta reta 9"/>
        <xdr:cNvCxnSpPr>
          <a:stCxn id="8" idx="3"/>
        </xdr:cNvCxnSpPr>
      </xdr:nvCxnSpPr>
      <xdr:spPr>
        <a:xfrm>
          <a:off x="5391150" y="4162425"/>
          <a:ext cx="11430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20</xdr:row>
      <xdr:rowOff>123825</xdr:rowOff>
    </xdr:from>
    <xdr:to>
      <xdr:col>11</xdr:col>
      <xdr:colOff>304800</xdr:colOff>
      <xdr:row>23</xdr:row>
      <xdr:rowOff>9525</xdr:rowOff>
    </xdr:to>
    <xdr:sp macro="" textlink="">
      <xdr:nvSpPr>
        <xdr:cNvPr id="11" name="Fluxograma: Conector 10"/>
        <xdr:cNvSpPr/>
      </xdr:nvSpPr>
      <xdr:spPr>
        <a:xfrm>
          <a:off x="6553200" y="393382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1</a:t>
          </a:r>
        </a:p>
      </xdr:txBody>
    </xdr:sp>
    <xdr:clientData/>
  </xdr:twoCellAnchor>
  <xdr:twoCellAnchor>
    <xdr:from>
      <xdr:col>4</xdr:col>
      <xdr:colOff>542925</xdr:colOff>
      <xdr:row>14</xdr:row>
      <xdr:rowOff>76200</xdr:rowOff>
    </xdr:from>
    <xdr:to>
      <xdr:col>5</xdr:col>
      <xdr:colOff>390525</xdr:colOff>
      <xdr:row>16</xdr:row>
      <xdr:rowOff>152400</xdr:rowOff>
    </xdr:to>
    <xdr:sp macro="" textlink="">
      <xdr:nvSpPr>
        <xdr:cNvPr id="12" name="Fluxograma: Conector 11"/>
        <xdr:cNvSpPr/>
      </xdr:nvSpPr>
      <xdr:spPr>
        <a:xfrm>
          <a:off x="2981325" y="274320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1</a:t>
          </a:r>
        </a:p>
      </xdr:txBody>
    </xdr:sp>
    <xdr:clientData/>
  </xdr:twoCellAnchor>
  <xdr:twoCellAnchor>
    <xdr:from>
      <xdr:col>5</xdr:col>
      <xdr:colOff>390525</xdr:colOff>
      <xdr:row>15</xdr:row>
      <xdr:rowOff>104775</xdr:rowOff>
    </xdr:from>
    <xdr:to>
      <xdr:col>7</xdr:col>
      <xdr:colOff>209550</xdr:colOff>
      <xdr:row>15</xdr:row>
      <xdr:rowOff>114300</xdr:rowOff>
    </xdr:to>
    <xdr:cxnSp macro="">
      <xdr:nvCxnSpPr>
        <xdr:cNvPr id="13" name="Conector de seta reta 12"/>
        <xdr:cNvCxnSpPr>
          <a:stCxn id="12" idx="6"/>
        </xdr:cNvCxnSpPr>
      </xdr:nvCxnSpPr>
      <xdr:spPr>
        <a:xfrm flipV="1">
          <a:off x="3438525" y="2962275"/>
          <a:ext cx="10382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24</xdr:row>
      <xdr:rowOff>47625</xdr:rowOff>
    </xdr:from>
    <xdr:to>
      <xdr:col>8</xdr:col>
      <xdr:colOff>66675</xdr:colOff>
      <xdr:row>29</xdr:row>
      <xdr:rowOff>28575</xdr:rowOff>
    </xdr:to>
    <xdr:cxnSp macro="">
      <xdr:nvCxnSpPr>
        <xdr:cNvPr id="14" name="Conector de seta reta 13"/>
        <xdr:cNvCxnSpPr>
          <a:stCxn id="8" idx="2"/>
        </xdr:cNvCxnSpPr>
      </xdr:nvCxnSpPr>
      <xdr:spPr>
        <a:xfrm>
          <a:off x="4933950" y="4619625"/>
          <a:ext cx="9525" cy="933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37</xdr:row>
      <xdr:rowOff>28575</xdr:rowOff>
    </xdr:from>
    <xdr:to>
      <xdr:col>8</xdr:col>
      <xdr:colOff>561975</xdr:colOff>
      <xdr:row>42</xdr:row>
      <xdr:rowOff>76200</xdr:rowOff>
    </xdr:to>
    <xdr:sp macro="" textlink="">
      <xdr:nvSpPr>
        <xdr:cNvPr id="15" name="Retângulo 14"/>
        <xdr:cNvSpPr/>
      </xdr:nvSpPr>
      <xdr:spPr>
        <a:xfrm>
          <a:off x="4438650" y="7077075"/>
          <a:ext cx="1000125" cy="1000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  <a:p>
          <a:pPr algn="ctr"/>
          <a:endParaRPr lang="pt-BR" sz="1100"/>
        </a:p>
        <a:p>
          <a:pPr algn="ctr"/>
          <a:r>
            <a:rPr lang="pt-BR" sz="1100"/>
            <a:t>VESTIR-SE</a:t>
          </a:r>
        </a:p>
      </xdr:txBody>
    </xdr:sp>
    <xdr:clientData/>
  </xdr:twoCellAnchor>
  <xdr:twoCellAnchor>
    <xdr:from>
      <xdr:col>8</xdr:col>
      <xdr:colOff>42863</xdr:colOff>
      <xdr:row>34</xdr:row>
      <xdr:rowOff>57150</xdr:rowOff>
    </xdr:from>
    <xdr:to>
      <xdr:col>8</xdr:col>
      <xdr:colOff>61913</xdr:colOff>
      <xdr:row>37</xdr:row>
      <xdr:rowOff>28575</xdr:rowOff>
    </xdr:to>
    <xdr:cxnSp macro="">
      <xdr:nvCxnSpPr>
        <xdr:cNvPr id="16" name="Conector de seta reta 15"/>
        <xdr:cNvCxnSpPr>
          <a:stCxn id="7" idx="2"/>
          <a:endCxn id="15" idx="0"/>
        </xdr:cNvCxnSpPr>
      </xdr:nvCxnSpPr>
      <xdr:spPr>
        <a:xfrm>
          <a:off x="4919663" y="6534150"/>
          <a:ext cx="19050" cy="542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45</xdr:row>
      <xdr:rowOff>47625</xdr:rowOff>
    </xdr:from>
    <xdr:to>
      <xdr:col>8</xdr:col>
      <xdr:colOff>247650</xdr:colOff>
      <xdr:row>47</xdr:row>
      <xdr:rowOff>123825</xdr:rowOff>
    </xdr:to>
    <xdr:sp macro="" textlink="">
      <xdr:nvSpPr>
        <xdr:cNvPr id="17" name="Fluxograma: Conector 16"/>
        <xdr:cNvSpPr/>
      </xdr:nvSpPr>
      <xdr:spPr>
        <a:xfrm>
          <a:off x="4667250" y="862012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2</a:t>
          </a:r>
        </a:p>
      </xdr:txBody>
    </xdr:sp>
    <xdr:clientData/>
  </xdr:twoCellAnchor>
  <xdr:twoCellAnchor>
    <xdr:from>
      <xdr:col>8</xdr:col>
      <xdr:colOff>19050</xdr:colOff>
      <xdr:row>42</xdr:row>
      <xdr:rowOff>76200</xdr:rowOff>
    </xdr:from>
    <xdr:to>
      <xdr:col>8</xdr:col>
      <xdr:colOff>61913</xdr:colOff>
      <xdr:row>45</xdr:row>
      <xdr:rowOff>47625</xdr:rowOff>
    </xdr:to>
    <xdr:cxnSp macro="">
      <xdr:nvCxnSpPr>
        <xdr:cNvPr id="18" name="Conector de seta reta 17"/>
        <xdr:cNvCxnSpPr>
          <a:stCxn id="15" idx="2"/>
          <a:endCxn id="17" idx="0"/>
        </xdr:cNvCxnSpPr>
      </xdr:nvCxnSpPr>
      <xdr:spPr>
        <a:xfrm flipH="1">
          <a:off x="4895850" y="8077200"/>
          <a:ext cx="42863" cy="542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533400</xdr:colOff>
      <xdr:row>3</xdr:row>
      <xdr:rowOff>19050</xdr:rowOff>
    </xdr:from>
    <xdr:to>
      <xdr:col>15</xdr:col>
      <xdr:colOff>523875</xdr:colOff>
      <xdr:row>6</xdr:row>
      <xdr:rowOff>19050</xdr:rowOff>
    </xdr:to>
    <xdr:sp macro="" textlink="">
      <xdr:nvSpPr>
        <xdr:cNvPr id="19" name="Fluxograma: Conector 18"/>
        <xdr:cNvSpPr/>
      </xdr:nvSpPr>
      <xdr:spPr>
        <a:xfrm>
          <a:off x="9067800" y="590550"/>
          <a:ext cx="600075" cy="5715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   </a:t>
          </a:r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295275</xdr:colOff>
      <xdr:row>8</xdr:row>
      <xdr:rowOff>104775</xdr:rowOff>
    </xdr:from>
    <xdr:to>
      <xdr:col>16</xdr:col>
      <xdr:colOff>342900</xdr:colOff>
      <xdr:row>12</xdr:row>
      <xdr:rowOff>152400</xdr:rowOff>
    </xdr:to>
    <xdr:sp macro="" textlink="">
      <xdr:nvSpPr>
        <xdr:cNvPr id="20" name="Retângulo 19"/>
        <xdr:cNvSpPr/>
      </xdr:nvSpPr>
      <xdr:spPr>
        <a:xfrm>
          <a:off x="8829675" y="1628775"/>
          <a:ext cx="1266825" cy="809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</a:t>
          </a:r>
        </a:p>
        <a:p>
          <a:pPr algn="l"/>
          <a:r>
            <a:rPr lang="pt-BR" sz="1100"/>
            <a:t>  IR AO BANHEIRO</a:t>
          </a:r>
        </a:p>
      </xdr:txBody>
    </xdr:sp>
    <xdr:clientData/>
  </xdr:twoCellAnchor>
  <xdr:twoCellAnchor>
    <xdr:from>
      <xdr:col>14</xdr:col>
      <xdr:colOff>323850</xdr:colOff>
      <xdr:row>16</xdr:row>
      <xdr:rowOff>19050</xdr:rowOff>
    </xdr:from>
    <xdr:to>
      <xdr:col>16</xdr:col>
      <xdr:colOff>333375</xdr:colOff>
      <xdr:row>20</xdr:row>
      <xdr:rowOff>47625</xdr:rowOff>
    </xdr:to>
    <xdr:sp macro="" textlink="">
      <xdr:nvSpPr>
        <xdr:cNvPr id="21" name="Elipse 20"/>
        <xdr:cNvSpPr/>
      </xdr:nvSpPr>
      <xdr:spPr>
        <a:xfrm>
          <a:off x="8858250" y="3067050"/>
          <a:ext cx="1228725" cy="7905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       </a:t>
          </a:r>
        </a:p>
        <a:p>
          <a:pPr algn="l"/>
          <a:r>
            <a:rPr lang="pt-BR" sz="1100"/>
            <a:t>        FIM</a:t>
          </a:r>
        </a:p>
      </xdr:txBody>
    </xdr:sp>
    <xdr:clientData/>
  </xdr:twoCellAnchor>
  <xdr:twoCellAnchor>
    <xdr:from>
      <xdr:col>15</xdr:col>
      <xdr:colOff>223838</xdr:colOff>
      <xdr:row>6</xdr:row>
      <xdr:rowOff>19050</xdr:rowOff>
    </xdr:from>
    <xdr:to>
      <xdr:col>15</xdr:col>
      <xdr:colOff>319088</xdr:colOff>
      <xdr:row>8</xdr:row>
      <xdr:rowOff>104775</xdr:rowOff>
    </xdr:to>
    <xdr:cxnSp macro="">
      <xdr:nvCxnSpPr>
        <xdr:cNvPr id="22" name="Conector de seta reta 21"/>
        <xdr:cNvCxnSpPr>
          <a:stCxn id="19" idx="4"/>
          <a:endCxn id="20" idx="0"/>
        </xdr:cNvCxnSpPr>
      </xdr:nvCxnSpPr>
      <xdr:spPr>
        <a:xfrm>
          <a:off x="9367838" y="1162050"/>
          <a:ext cx="95250" cy="4667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319088</xdr:colOff>
      <xdr:row>12</xdr:row>
      <xdr:rowOff>152400</xdr:rowOff>
    </xdr:from>
    <xdr:to>
      <xdr:col>15</xdr:col>
      <xdr:colOff>328613</xdr:colOff>
      <xdr:row>16</xdr:row>
      <xdr:rowOff>19050</xdr:rowOff>
    </xdr:to>
    <xdr:cxnSp macro="">
      <xdr:nvCxnSpPr>
        <xdr:cNvPr id="23" name="Conector de seta reta 22"/>
        <xdr:cNvCxnSpPr>
          <a:stCxn id="20" idx="2"/>
          <a:endCxn id="21" idx="0"/>
        </xdr:cNvCxnSpPr>
      </xdr:nvCxnSpPr>
      <xdr:spPr>
        <a:xfrm>
          <a:off x="9463088" y="2438400"/>
          <a:ext cx="9525" cy="628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</xdr:row>
          <xdr:rowOff>266700</xdr:rowOff>
        </xdr:from>
        <xdr:to>
          <xdr:col>7</xdr:col>
          <xdr:colOff>219075</xdr:colOff>
          <xdr:row>14</xdr:row>
          <xdr:rowOff>76200</xdr:rowOff>
        </xdr:to>
        <xdr:sp macro="" textlink="">
          <xdr:nvSpPr>
            <xdr:cNvPr id="6145" name="List Box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14</xdr:row>
          <xdr:rowOff>9525</xdr:rowOff>
        </xdr:from>
        <xdr:to>
          <xdr:col>4</xdr:col>
          <xdr:colOff>171450</xdr:colOff>
          <xdr:row>20</xdr:row>
          <xdr:rowOff>123825</xdr:rowOff>
        </xdr:to>
        <xdr:sp macro="" textlink="">
          <xdr:nvSpPr>
            <xdr:cNvPr id="6146" name="Group Box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SELEÇÃO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15</xdr:row>
          <xdr:rowOff>38100</xdr:rowOff>
        </xdr:from>
        <xdr:to>
          <xdr:col>3</xdr:col>
          <xdr:colOff>123825</xdr:colOff>
          <xdr:row>16</xdr:row>
          <xdr:rowOff>57150</xdr:rowOff>
        </xdr:to>
        <xdr:sp macro="" textlink="">
          <xdr:nvSpPr>
            <xdr:cNvPr id="6147" name="Option Button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Masculino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16</xdr:row>
          <xdr:rowOff>133350</xdr:rowOff>
        </xdr:from>
        <xdr:to>
          <xdr:col>3</xdr:col>
          <xdr:colOff>123825</xdr:colOff>
          <xdr:row>17</xdr:row>
          <xdr:rowOff>152400</xdr:rowOff>
        </xdr:to>
        <xdr:sp macro="" textlink="">
          <xdr:nvSpPr>
            <xdr:cNvPr id="6148" name="Option Button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Feminino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18</xdr:row>
          <xdr:rowOff>47625</xdr:rowOff>
        </xdr:from>
        <xdr:to>
          <xdr:col>3</xdr:col>
          <xdr:colOff>133350</xdr:colOff>
          <xdr:row>19</xdr:row>
          <xdr:rowOff>66675</xdr:rowOff>
        </xdr:to>
        <xdr:sp macro="" textlink="">
          <xdr:nvSpPr>
            <xdr:cNvPr id="6149" name="Option Button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GLS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57150</xdr:rowOff>
    </xdr:from>
    <xdr:to>
      <xdr:col>3</xdr:col>
      <xdr:colOff>438150</xdr:colOff>
      <xdr:row>1</xdr:row>
      <xdr:rowOff>168402</xdr:rowOff>
    </xdr:to>
    <xdr:sp macro="" textlink="">
      <xdr:nvSpPr>
        <xdr:cNvPr id="2" name="Fluxograma: Terminação 1"/>
        <xdr:cNvSpPr/>
      </xdr:nvSpPr>
      <xdr:spPr>
        <a:xfrm>
          <a:off x="1352550" y="57150"/>
          <a:ext cx="914400" cy="301752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INICIO</a:t>
          </a:r>
        </a:p>
      </xdr:txBody>
    </xdr:sp>
    <xdr:clientData/>
  </xdr:twoCellAnchor>
  <xdr:twoCellAnchor>
    <xdr:from>
      <xdr:col>2</xdr:col>
      <xdr:colOff>0</xdr:colOff>
      <xdr:row>5</xdr:row>
      <xdr:rowOff>19050</xdr:rowOff>
    </xdr:from>
    <xdr:to>
      <xdr:col>3</xdr:col>
      <xdr:colOff>600075</xdr:colOff>
      <xdr:row>8</xdr:row>
      <xdr:rowOff>9525</xdr:rowOff>
    </xdr:to>
    <xdr:sp macro="" textlink="">
      <xdr:nvSpPr>
        <xdr:cNvPr id="3" name="Fluxograma: Processo 2"/>
        <xdr:cNvSpPr/>
      </xdr:nvSpPr>
      <xdr:spPr>
        <a:xfrm>
          <a:off x="1219200" y="971550"/>
          <a:ext cx="1209675" cy="561975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8467</xdr:colOff>
      <xdr:row>23</xdr:row>
      <xdr:rowOff>29633</xdr:rowOff>
    </xdr:from>
    <xdr:to>
      <xdr:col>3</xdr:col>
      <xdr:colOff>579967</xdr:colOff>
      <xdr:row>26</xdr:row>
      <xdr:rowOff>10583</xdr:rowOff>
    </xdr:to>
    <xdr:sp macro="" textlink="">
      <xdr:nvSpPr>
        <xdr:cNvPr id="4" name="Fluxograma: Processo 3"/>
        <xdr:cNvSpPr/>
      </xdr:nvSpPr>
      <xdr:spPr>
        <a:xfrm>
          <a:off x="1227667" y="4411133"/>
          <a:ext cx="1181100" cy="5524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</a:p>
        <a:p>
          <a:pPr algn="ctr"/>
          <a:r>
            <a:rPr lang="pt-BR" sz="1100"/>
            <a:t> ÁGUA</a:t>
          </a:r>
        </a:p>
      </xdr:txBody>
    </xdr:sp>
    <xdr:clientData/>
  </xdr:twoCellAnchor>
  <xdr:twoCellAnchor>
    <xdr:from>
      <xdr:col>2</xdr:col>
      <xdr:colOff>352425</xdr:colOff>
      <xdr:row>2</xdr:row>
      <xdr:rowOff>28575</xdr:rowOff>
    </xdr:from>
    <xdr:to>
      <xdr:col>3</xdr:col>
      <xdr:colOff>227457</xdr:colOff>
      <xdr:row>4</xdr:row>
      <xdr:rowOff>152400</xdr:rowOff>
    </xdr:to>
    <xdr:sp macro="" textlink="">
      <xdr:nvSpPr>
        <xdr:cNvPr id="5" name="Seta para baixo 4"/>
        <xdr:cNvSpPr/>
      </xdr:nvSpPr>
      <xdr:spPr>
        <a:xfrm>
          <a:off x="1571625" y="409575"/>
          <a:ext cx="484632" cy="5048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352425</xdr:colOff>
      <xdr:row>8</xdr:row>
      <xdr:rowOff>47625</xdr:rowOff>
    </xdr:from>
    <xdr:to>
      <xdr:col>3</xdr:col>
      <xdr:colOff>227457</xdr:colOff>
      <xdr:row>10</xdr:row>
      <xdr:rowOff>152400</xdr:rowOff>
    </xdr:to>
    <xdr:sp macro="" textlink="">
      <xdr:nvSpPr>
        <xdr:cNvPr id="6" name="Seta para baixo 5"/>
        <xdr:cNvSpPr/>
      </xdr:nvSpPr>
      <xdr:spPr>
        <a:xfrm>
          <a:off x="1571625" y="1571625"/>
          <a:ext cx="484632" cy="4857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208491</xdr:colOff>
      <xdr:row>30</xdr:row>
      <xdr:rowOff>12700</xdr:rowOff>
    </xdr:from>
    <xdr:to>
      <xdr:col>6</xdr:col>
      <xdr:colOff>56091</xdr:colOff>
      <xdr:row>32</xdr:row>
      <xdr:rowOff>88900</xdr:rowOff>
    </xdr:to>
    <xdr:sp macro="" textlink="">
      <xdr:nvSpPr>
        <xdr:cNvPr id="7" name="Fluxograma: Conector 6"/>
        <xdr:cNvSpPr/>
      </xdr:nvSpPr>
      <xdr:spPr>
        <a:xfrm>
          <a:off x="3256491" y="572770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1</a:t>
          </a:r>
        </a:p>
      </xdr:txBody>
    </xdr:sp>
    <xdr:clientData/>
  </xdr:twoCellAnchor>
  <xdr:twoCellAnchor>
    <xdr:from>
      <xdr:col>0</xdr:col>
      <xdr:colOff>66675</xdr:colOff>
      <xdr:row>23</xdr:row>
      <xdr:rowOff>23283</xdr:rowOff>
    </xdr:from>
    <xdr:to>
      <xdr:col>0</xdr:col>
      <xdr:colOff>523875</xdr:colOff>
      <xdr:row>25</xdr:row>
      <xdr:rowOff>99483</xdr:rowOff>
    </xdr:to>
    <xdr:sp macro="" textlink="">
      <xdr:nvSpPr>
        <xdr:cNvPr id="8" name="Fluxograma: Conector 7"/>
        <xdr:cNvSpPr/>
      </xdr:nvSpPr>
      <xdr:spPr>
        <a:xfrm>
          <a:off x="66675" y="4404783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1</a:t>
          </a:r>
        </a:p>
      </xdr:txBody>
    </xdr:sp>
    <xdr:clientData/>
  </xdr:twoCellAnchor>
  <xdr:twoCellAnchor>
    <xdr:from>
      <xdr:col>3</xdr:col>
      <xdr:colOff>585258</xdr:colOff>
      <xdr:row>29</xdr:row>
      <xdr:rowOff>174625</xdr:rowOff>
    </xdr:from>
    <xdr:to>
      <xdr:col>5</xdr:col>
      <xdr:colOff>123825</xdr:colOff>
      <xdr:row>32</xdr:row>
      <xdr:rowOff>87757</xdr:rowOff>
    </xdr:to>
    <xdr:sp macro="" textlink="">
      <xdr:nvSpPr>
        <xdr:cNvPr id="9" name="Seta para a direita 8"/>
        <xdr:cNvSpPr/>
      </xdr:nvSpPr>
      <xdr:spPr>
        <a:xfrm>
          <a:off x="2414058" y="5699125"/>
          <a:ext cx="757767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56091</xdr:colOff>
      <xdr:row>23</xdr:row>
      <xdr:rowOff>46566</xdr:rowOff>
    </xdr:from>
    <xdr:to>
      <xdr:col>1</xdr:col>
      <xdr:colOff>560916</xdr:colOff>
      <xdr:row>25</xdr:row>
      <xdr:rowOff>150198</xdr:rowOff>
    </xdr:to>
    <xdr:sp macro="" textlink="">
      <xdr:nvSpPr>
        <xdr:cNvPr id="10" name="Seta para a direita 9"/>
        <xdr:cNvSpPr/>
      </xdr:nvSpPr>
      <xdr:spPr>
        <a:xfrm>
          <a:off x="665691" y="4428066"/>
          <a:ext cx="5048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152400</xdr:colOff>
      <xdr:row>29</xdr:row>
      <xdr:rowOff>63500</xdr:rowOff>
    </xdr:from>
    <xdr:to>
      <xdr:col>3</xdr:col>
      <xdr:colOff>466725</xdr:colOff>
      <xdr:row>33</xdr:row>
      <xdr:rowOff>25400</xdr:rowOff>
    </xdr:to>
    <xdr:sp macro="" textlink="">
      <xdr:nvSpPr>
        <xdr:cNvPr id="11" name="Fluxograma: Decisão 10"/>
        <xdr:cNvSpPr/>
      </xdr:nvSpPr>
      <xdr:spPr>
        <a:xfrm>
          <a:off x="1371600" y="5588000"/>
          <a:ext cx="923925" cy="723900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</xdr:col>
      <xdr:colOff>361950</xdr:colOff>
      <xdr:row>26</xdr:row>
      <xdr:rowOff>116416</xdr:rowOff>
    </xdr:from>
    <xdr:to>
      <xdr:col>3</xdr:col>
      <xdr:colOff>236982</xdr:colOff>
      <xdr:row>28</xdr:row>
      <xdr:rowOff>173566</xdr:rowOff>
    </xdr:to>
    <xdr:sp macro="" textlink="">
      <xdr:nvSpPr>
        <xdr:cNvPr id="12" name="Seta para baixo 11"/>
        <xdr:cNvSpPr/>
      </xdr:nvSpPr>
      <xdr:spPr>
        <a:xfrm>
          <a:off x="1581150" y="5069416"/>
          <a:ext cx="484632" cy="4381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352425</xdr:colOff>
      <xdr:row>33</xdr:row>
      <xdr:rowOff>74084</xdr:rowOff>
    </xdr:from>
    <xdr:to>
      <xdr:col>3</xdr:col>
      <xdr:colOff>276225</xdr:colOff>
      <xdr:row>38</xdr:row>
      <xdr:rowOff>64559</xdr:rowOff>
    </xdr:to>
    <xdr:sp macro="" textlink="">
      <xdr:nvSpPr>
        <xdr:cNvPr id="13" name="Seta para baixo 12"/>
        <xdr:cNvSpPr/>
      </xdr:nvSpPr>
      <xdr:spPr>
        <a:xfrm>
          <a:off x="1571625" y="6360584"/>
          <a:ext cx="533400" cy="942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7409</xdr:colOff>
      <xdr:row>38</xdr:row>
      <xdr:rowOff>156633</xdr:rowOff>
    </xdr:from>
    <xdr:to>
      <xdr:col>4</xdr:col>
      <xdr:colOff>7409</xdr:colOff>
      <xdr:row>42</xdr:row>
      <xdr:rowOff>128058</xdr:rowOff>
    </xdr:to>
    <xdr:sp macro="" textlink="">
      <xdr:nvSpPr>
        <xdr:cNvPr id="14" name="Fluxograma: Processo 13"/>
        <xdr:cNvSpPr/>
      </xdr:nvSpPr>
      <xdr:spPr>
        <a:xfrm>
          <a:off x="1226609" y="7395633"/>
          <a:ext cx="1219200" cy="733425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A TORNEIRA</a:t>
          </a:r>
          <a:endParaRPr lang="pt-BR" sz="1100"/>
        </a:p>
      </xdr:txBody>
    </xdr:sp>
    <xdr:clientData/>
  </xdr:twoCellAnchor>
  <xdr:twoCellAnchor>
    <xdr:from>
      <xdr:col>2</xdr:col>
      <xdr:colOff>19051</xdr:colOff>
      <xdr:row>46</xdr:row>
      <xdr:rowOff>166158</xdr:rowOff>
    </xdr:from>
    <xdr:to>
      <xdr:col>4</xdr:col>
      <xdr:colOff>1</xdr:colOff>
      <xdr:row>50</xdr:row>
      <xdr:rowOff>99483</xdr:rowOff>
    </xdr:to>
    <xdr:sp macro="" textlink="">
      <xdr:nvSpPr>
        <xdr:cNvPr id="15" name="Fluxograma: Processo 14"/>
        <xdr:cNvSpPr/>
      </xdr:nvSpPr>
      <xdr:spPr>
        <a:xfrm>
          <a:off x="1238251" y="8929158"/>
          <a:ext cx="1200150" cy="695325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LIGAR </a:t>
          </a:r>
          <a:endParaRPr lang="pt-BR">
            <a:effectLst/>
          </a:endParaRPr>
        </a:p>
        <a:p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</a:t>
          </a:r>
          <a:endParaRPr lang="pt-BR">
            <a:effectLst/>
          </a:endParaRPr>
        </a:p>
        <a:p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FOGÃO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392641</xdr:colOff>
      <xdr:row>43</xdr:row>
      <xdr:rowOff>20108</xdr:rowOff>
    </xdr:from>
    <xdr:to>
      <xdr:col>3</xdr:col>
      <xdr:colOff>267673</xdr:colOff>
      <xdr:row>46</xdr:row>
      <xdr:rowOff>48683</xdr:rowOff>
    </xdr:to>
    <xdr:sp macro="" textlink="">
      <xdr:nvSpPr>
        <xdr:cNvPr id="16" name="Seta para baixo 15"/>
        <xdr:cNvSpPr/>
      </xdr:nvSpPr>
      <xdr:spPr>
        <a:xfrm>
          <a:off x="1611841" y="8211608"/>
          <a:ext cx="484632" cy="600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</xdr:colOff>
      <xdr:row>7</xdr:row>
      <xdr:rowOff>154516</xdr:rowOff>
    </xdr:from>
    <xdr:to>
      <xdr:col>11</xdr:col>
      <xdr:colOff>600075</xdr:colOff>
      <xdr:row>11</xdr:row>
      <xdr:rowOff>5164</xdr:rowOff>
    </xdr:to>
    <xdr:sp macro="" textlink="">
      <xdr:nvSpPr>
        <xdr:cNvPr id="17" name="Fluxograma: Processo 16"/>
        <xdr:cNvSpPr/>
      </xdr:nvSpPr>
      <xdr:spPr>
        <a:xfrm>
          <a:off x="6096001" y="1488016"/>
          <a:ext cx="1209674" cy="612648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A ÁGUA</a:t>
          </a:r>
        </a:p>
      </xdr:txBody>
    </xdr:sp>
    <xdr:clientData/>
  </xdr:twoCellAnchor>
  <xdr:twoCellAnchor>
    <xdr:from>
      <xdr:col>10</xdr:col>
      <xdr:colOff>40409</xdr:colOff>
      <xdr:row>23</xdr:row>
      <xdr:rowOff>47145</xdr:rowOff>
    </xdr:from>
    <xdr:to>
      <xdr:col>12</xdr:col>
      <xdr:colOff>15394</xdr:colOff>
      <xdr:row>26</xdr:row>
      <xdr:rowOff>21169</xdr:rowOff>
    </xdr:to>
    <xdr:sp macro="" textlink="">
      <xdr:nvSpPr>
        <xdr:cNvPr id="18" name="Fluxograma: Processo 17"/>
        <xdr:cNvSpPr/>
      </xdr:nvSpPr>
      <xdr:spPr>
        <a:xfrm>
          <a:off x="6136409" y="4428645"/>
          <a:ext cx="1194185" cy="545524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 O FOGÃO C=0</a:t>
          </a:r>
        </a:p>
      </xdr:txBody>
    </xdr:sp>
    <xdr:clientData/>
  </xdr:twoCellAnchor>
  <xdr:twoCellAnchor>
    <xdr:from>
      <xdr:col>10</xdr:col>
      <xdr:colOff>107757</xdr:colOff>
      <xdr:row>14</xdr:row>
      <xdr:rowOff>113529</xdr:rowOff>
    </xdr:from>
    <xdr:to>
      <xdr:col>11</xdr:col>
      <xdr:colOff>549371</xdr:colOff>
      <xdr:row>19</xdr:row>
      <xdr:rowOff>9620</xdr:rowOff>
    </xdr:to>
    <xdr:sp macro="" textlink="">
      <xdr:nvSpPr>
        <xdr:cNvPr id="19" name="Fluxograma: Decisão 18"/>
        <xdr:cNvSpPr/>
      </xdr:nvSpPr>
      <xdr:spPr>
        <a:xfrm>
          <a:off x="6203757" y="2780529"/>
          <a:ext cx="1051214" cy="848591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13</xdr:col>
      <xdr:colOff>393506</xdr:colOff>
      <xdr:row>15</xdr:row>
      <xdr:rowOff>78895</xdr:rowOff>
    </xdr:from>
    <xdr:to>
      <xdr:col>14</xdr:col>
      <xdr:colOff>244570</xdr:colOff>
      <xdr:row>17</xdr:row>
      <xdr:rowOff>155095</xdr:rowOff>
    </xdr:to>
    <xdr:sp macro="" textlink="">
      <xdr:nvSpPr>
        <xdr:cNvPr id="20" name="Fluxograma: Conector 19"/>
        <xdr:cNvSpPr/>
      </xdr:nvSpPr>
      <xdr:spPr>
        <a:xfrm>
          <a:off x="8318306" y="2936395"/>
          <a:ext cx="460664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2</a:t>
          </a:r>
        </a:p>
      </xdr:txBody>
    </xdr:sp>
    <xdr:clientData/>
  </xdr:twoCellAnchor>
  <xdr:twoCellAnchor>
    <xdr:from>
      <xdr:col>10</xdr:col>
      <xdr:colOff>393507</xdr:colOff>
      <xdr:row>1</xdr:row>
      <xdr:rowOff>61576</xdr:rowOff>
    </xdr:from>
    <xdr:to>
      <xdr:col>11</xdr:col>
      <xdr:colOff>236874</xdr:colOff>
      <xdr:row>3</xdr:row>
      <xdr:rowOff>137776</xdr:rowOff>
    </xdr:to>
    <xdr:sp macro="" textlink="">
      <xdr:nvSpPr>
        <xdr:cNvPr id="21" name="Fluxograma: Conector 20"/>
        <xdr:cNvSpPr/>
      </xdr:nvSpPr>
      <xdr:spPr>
        <a:xfrm>
          <a:off x="6489507" y="252076"/>
          <a:ext cx="452967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2</a:t>
          </a:r>
        </a:p>
      </xdr:txBody>
    </xdr:sp>
    <xdr:clientData/>
  </xdr:twoCellAnchor>
  <xdr:twoCellAnchor>
    <xdr:from>
      <xdr:col>12</xdr:col>
      <xdr:colOff>52917</xdr:colOff>
      <xdr:row>15</xdr:row>
      <xdr:rowOff>62537</xdr:rowOff>
    </xdr:from>
    <xdr:to>
      <xdr:col>13</xdr:col>
      <xdr:colOff>312690</xdr:colOff>
      <xdr:row>17</xdr:row>
      <xdr:rowOff>166169</xdr:rowOff>
    </xdr:to>
    <xdr:sp macro="" textlink="">
      <xdr:nvSpPr>
        <xdr:cNvPr id="22" name="Seta para a direita 21"/>
        <xdr:cNvSpPr/>
      </xdr:nvSpPr>
      <xdr:spPr>
        <a:xfrm>
          <a:off x="7368117" y="2920037"/>
          <a:ext cx="869373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369558</xdr:colOff>
      <xdr:row>4</xdr:row>
      <xdr:rowOff>94184</xdr:rowOff>
    </xdr:from>
    <xdr:to>
      <xdr:col>11</xdr:col>
      <xdr:colOff>240357</xdr:colOff>
      <xdr:row>7</xdr:row>
      <xdr:rowOff>24842</xdr:rowOff>
    </xdr:to>
    <xdr:sp macro="" textlink="">
      <xdr:nvSpPr>
        <xdr:cNvPr id="23" name="Seta para a direita 22"/>
        <xdr:cNvSpPr/>
      </xdr:nvSpPr>
      <xdr:spPr>
        <a:xfrm rot="5400000">
          <a:off x="6454679" y="867063"/>
          <a:ext cx="502158" cy="4803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406014</xdr:colOff>
      <xdr:row>11</xdr:row>
      <xdr:rowOff>124114</xdr:rowOff>
    </xdr:from>
    <xdr:to>
      <xdr:col>11</xdr:col>
      <xdr:colOff>284510</xdr:colOff>
      <xdr:row>14</xdr:row>
      <xdr:rowOff>37523</xdr:rowOff>
    </xdr:to>
    <xdr:sp macro="" textlink="">
      <xdr:nvSpPr>
        <xdr:cNvPr id="24" name="Seta para baixo 23"/>
        <xdr:cNvSpPr/>
      </xdr:nvSpPr>
      <xdr:spPr>
        <a:xfrm>
          <a:off x="6502014" y="2219614"/>
          <a:ext cx="488096" cy="4849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380999</xdr:colOff>
      <xdr:row>19</xdr:row>
      <xdr:rowOff>99099</xdr:rowOff>
    </xdr:from>
    <xdr:to>
      <xdr:col>11</xdr:col>
      <xdr:colOff>259495</xdr:colOff>
      <xdr:row>22</xdr:row>
      <xdr:rowOff>116348</xdr:rowOff>
    </xdr:to>
    <xdr:sp macro="" textlink="">
      <xdr:nvSpPr>
        <xdr:cNvPr id="25" name="Seta para baixo 24"/>
        <xdr:cNvSpPr/>
      </xdr:nvSpPr>
      <xdr:spPr>
        <a:xfrm>
          <a:off x="6476999" y="3718599"/>
          <a:ext cx="488096" cy="5887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376189</xdr:colOff>
      <xdr:row>50</xdr:row>
      <xdr:rowOff>189537</xdr:rowOff>
    </xdr:from>
    <xdr:to>
      <xdr:col>3</xdr:col>
      <xdr:colOff>254685</xdr:colOff>
      <xdr:row>53</xdr:row>
      <xdr:rowOff>172219</xdr:rowOff>
    </xdr:to>
    <xdr:sp macro="" textlink="">
      <xdr:nvSpPr>
        <xdr:cNvPr id="26" name="Seta para baixo 25"/>
        <xdr:cNvSpPr/>
      </xdr:nvSpPr>
      <xdr:spPr>
        <a:xfrm>
          <a:off x="1595389" y="9714537"/>
          <a:ext cx="488096" cy="5541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29825</xdr:colOff>
      <xdr:row>30</xdr:row>
      <xdr:rowOff>16820</xdr:rowOff>
    </xdr:from>
    <xdr:to>
      <xdr:col>11</xdr:col>
      <xdr:colOff>592666</xdr:colOff>
      <xdr:row>33</xdr:row>
      <xdr:rowOff>183766</xdr:rowOff>
    </xdr:to>
    <xdr:sp macro="" textlink="">
      <xdr:nvSpPr>
        <xdr:cNvPr id="27" name="Fluxograma: Processo 26"/>
        <xdr:cNvSpPr/>
      </xdr:nvSpPr>
      <xdr:spPr>
        <a:xfrm>
          <a:off x="6125825" y="5731820"/>
          <a:ext cx="1172441" cy="738446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</a:t>
          </a:r>
        </a:p>
        <a:p>
          <a:pPr algn="ctr"/>
          <a:r>
            <a:rPr lang="pt-BR" sz="1100"/>
            <a:t>O</a:t>
          </a:r>
        </a:p>
        <a:p>
          <a:pPr algn="ctr"/>
          <a:r>
            <a:rPr lang="pt-BR" sz="1100"/>
            <a:t> PÓ C=C+1</a:t>
          </a:r>
          <a:endParaRPr lang="pt-BR" sz="1100" b="0"/>
        </a:p>
      </xdr:txBody>
    </xdr:sp>
    <xdr:clientData/>
  </xdr:twoCellAnchor>
  <xdr:twoCellAnchor>
    <xdr:from>
      <xdr:col>10</xdr:col>
      <xdr:colOff>399280</xdr:colOff>
      <xdr:row>26</xdr:row>
      <xdr:rowOff>119304</xdr:rowOff>
    </xdr:from>
    <xdr:to>
      <xdr:col>11</xdr:col>
      <xdr:colOff>277776</xdr:colOff>
      <xdr:row>29</xdr:row>
      <xdr:rowOff>119304</xdr:rowOff>
    </xdr:to>
    <xdr:sp macro="" textlink="">
      <xdr:nvSpPr>
        <xdr:cNvPr id="28" name="Seta para baixo 27"/>
        <xdr:cNvSpPr/>
      </xdr:nvSpPr>
      <xdr:spPr>
        <a:xfrm>
          <a:off x="6495280" y="5072304"/>
          <a:ext cx="488096" cy="571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166446</xdr:colOff>
      <xdr:row>37</xdr:row>
      <xdr:rowOff>139508</xdr:rowOff>
    </xdr:from>
    <xdr:to>
      <xdr:col>11</xdr:col>
      <xdr:colOff>486833</xdr:colOff>
      <xdr:row>42</xdr:row>
      <xdr:rowOff>139508</xdr:rowOff>
    </xdr:to>
    <xdr:sp macro="" textlink="">
      <xdr:nvSpPr>
        <xdr:cNvPr id="29" name="Fluxograma: Decisão 28"/>
        <xdr:cNvSpPr/>
      </xdr:nvSpPr>
      <xdr:spPr>
        <a:xfrm>
          <a:off x="6262446" y="7188008"/>
          <a:ext cx="929987" cy="952500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C=3?</a:t>
          </a:r>
        </a:p>
      </xdr:txBody>
    </xdr:sp>
    <xdr:clientData/>
  </xdr:twoCellAnchor>
  <xdr:twoCellAnchor>
    <xdr:from>
      <xdr:col>13</xdr:col>
      <xdr:colOff>173181</xdr:colOff>
      <xdr:row>39</xdr:row>
      <xdr:rowOff>111606</xdr:rowOff>
    </xdr:from>
    <xdr:to>
      <xdr:col>14</xdr:col>
      <xdr:colOff>24245</xdr:colOff>
      <xdr:row>41</xdr:row>
      <xdr:rowOff>187806</xdr:rowOff>
    </xdr:to>
    <xdr:sp macro="" textlink="">
      <xdr:nvSpPr>
        <xdr:cNvPr id="30" name="Fluxograma: Conector 29"/>
        <xdr:cNvSpPr/>
      </xdr:nvSpPr>
      <xdr:spPr>
        <a:xfrm>
          <a:off x="8097981" y="7541106"/>
          <a:ext cx="460664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3</a:t>
          </a:r>
        </a:p>
      </xdr:txBody>
    </xdr:sp>
    <xdr:clientData/>
  </xdr:twoCellAnchor>
  <xdr:twoCellAnchor>
    <xdr:from>
      <xdr:col>8</xdr:col>
      <xdr:colOff>25015</xdr:colOff>
      <xdr:row>30</xdr:row>
      <xdr:rowOff>171258</xdr:rowOff>
    </xdr:from>
    <xdr:to>
      <xdr:col>8</xdr:col>
      <xdr:colOff>482215</xdr:colOff>
      <xdr:row>33</xdr:row>
      <xdr:rowOff>56958</xdr:rowOff>
    </xdr:to>
    <xdr:sp macro="" textlink="">
      <xdr:nvSpPr>
        <xdr:cNvPr id="31" name="Fluxograma: Conector 30"/>
        <xdr:cNvSpPr/>
      </xdr:nvSpPr>
      <xdr:spPr>
        <a:xfrm>
          <a:off x="4901815" y="5886258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3</a:t>
          </a:r>
        </a:p>
      </xdr:txBody>
    </xdr:sp>
    <xdr:clientData/>
  </xdr:twoCellAnchor>
  <xdr:twoCellAnchor>
    <xdr:from>
      <xdr:col>10</xdr:col>
      <xdr:colOff>380999</xdr:colOff>
      <xdr:row>34</xdr:row>
      <xdr:rowOff>58689</xdr:rowOff>
    </xdr:from>
    <xdr:to>
      <xdr:col>11</xdr:col>
      <xdr:colOff>259495</xdr:colOff>
      <xdr:row>36</xdr:row>
      <xdr:rowOff>188576</xdr:rowOff>
    </xdr:to>
    <xdr:sp macro="" textlink="">
      <xdr:nvSpPr>
        <xdr:cNvPr id="32" name="Seta para baixo 31"/>
        <xdr:cNvSpPr/>
      </xdr:nvSpPr>
      <xdr:spPr>
        <a:xfrm>
          <a:off x="6476999" y="6535689"/>
          <a:ext cx="488096" cy="51088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9622</xdr:colOff>
      <xdr:row>39</xdr:row>
      <xdr:rowOff>92363</xdr:rowOff>
    </xdr:from>
    <xdr:to>
      <xdr:col>13</xdr:col>
      <xdr:colOff>61507</xdr:colOff>
      <xdr:row>42</xdr:row>
      <xdr:rowOff>5495</xdr:rowOff>
    </xdr:to>
    <xdr:sp macro="" textlink="">
      <xdr:nvSpPr>
        <xdr:cNvPr id="33" name="Seta para a direita 32"/>
        <xdr:cNvSpPr/>
      </xdr:nvSpPr>
      <xdr:spPr>
        <a:xfrm>
          <a:off x="7324822" y="7521863"/>
          <a:ext cx="66148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19242</xdr:colOff>
      <xdr:row>30</xdr:row>
      <xdr:rowOff>143356</xdr:rowOff>
    </xdr:from>
    <xdr:to>
      <xdr:col>9</xdr:col>
      <xdr:colOff>564765</xdr:colOff>
      <xdr:row>33</xdr:row>
      <xdr:rowOff>56488</xdr:rowOff>
    </xdr:to>
    <xdr:sp macro="" textlink="">
      <xdr:nvSpPr>
        <xdr:cNvPr id="34" name="Seta para a direita 33"/>
        <xdr:cNvSpPr/>
      </xdr:nvSpPr>
      <xdr:spPr>
        <a:xfrm>
          <a:off x="5505642" y="5858356"/>
          <a:ext cx="545523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10583</xdr:colOff>
      <xdr:row>6</xdr:row>
      <xdr:rowOff>137583</xdr:rowOff>
    </xdr:from>
    <xdr:to>
      <xdr:col>18</xdr:col>
      <xdr:colOff>10583</xdr:colOff>
      <xdr:row>10</xdr:row>
      <xdr:rowOff>66162</xdr:rowOff>
    </xdr:to>
    <xdr:sp macro="" textlink="">
      <xdr:nvSpPr>
        <xdr:cNvPr id="35" name="Fluxograma: Processo 34"/>
        <xdr:cNvSpPr/>
      </xdr:nvSpPr>
      <xdr:spPr>
        <a:xfrm>
          <a:off x="9764183" y="1280583"/>
          <a:ext cx="1219200" cy="690579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</a:t>
          </a:r>
        </a:p>
        <a:p>
          <a:pPr algn="ctr"/>
          <a:r>
            <a:rPr lang="pt-BR" sz="1100"/>
            <a:t>O </a:t>
          </a:r>
        </a:p>
        <a:p>
          <a:pPr algn="ctr"/>
          <a:r>
            <a:rPr lang="pt-BR" sz="1100"/>
            <a:t>CAFÉ</a:t>
          </a:r>
          <a:endParaRPr lang="pt-BR" sz="1100" i="0"/>
        </a:p>
      </xdr:txBody>
    </xdr:sp>
    <xdr:clientData/>
  </xdr:twoCellAnchor>
  <xdr:twoCellAnchor>
    <xdr:from>
      <xdr:col>10</xdr:col>
      <xdr:colOff>402166</xdr:colOff>
      <xdr:row>43</xdr:row>
      <xdr:rowOff>17318</xdr:rowOff>
    </xdr:from>
    <xdr:to>
      <xdr:col>11</xdr:col>
      <xdr:colOff>246303</xdr:colOff>
      <xdr:row>45</xdr:row>
      <xdr:rowOff>69273</xdr:rowOff>
    </xdr:to>
    <xdr:sp macro="" textlink="">
      <xdr:nvSpPr>
        <xdr:cNvPr id="36" name="Seta para baixo 35"/>
        <xdr:cNvSpPr/>
      </xdr:nvSpPr>
      <xdr:spPr>
        <a:xfrm>
          <a:off x="6498166" y="8208818"/>
          <a:ext cx="453737" cy="43295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168371</xdr:colOff>
      <xdr:row>14</xdr:row>
      <xdr:rowOff>108719</xdr:rowOff>
    </xdr:from>
    <xdr:to>
      <xdr:col>17</xdr:col>
      <xdr:colOff>480099</xdr:colOff>
      <xdr:row>19</xdr:row>
      <xdr:rowOff>126038</xdr:rowOff>
    </xdr:to>
    <xdr:sp macro="" textlink="">
      <xdr:nvSpPr>
        <xdr:cNvPr id="37" name="Fluxograma: Decisão 36"/>
        <xdr:cNvSpPr/>
      </xdr:nvSpPr>
      <xdr:spPr>
        <a:xfrm>
          <a:off x="9921971" y="2775719"/>
          <a:ext cx="921328" cy="969819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19</xdr:col>
      <xdr:colOff>297295</xdr:colOff>
      <xdr:row>16</xdr:row>
      <xdr:rowOff>43296</xdr:rowOff>
    </xdr:from>
    <xdr:to>
      <xdr:col>20</xdr:col>
      <xdr:colOff>140662</xdr:colOff>
      <xdr:row>18</xdr:row>
      <xdr:rowOff>119496</xdr:rowOff>
    </xdr:to>
    <xdr:sp macro="" textlink="">
      <xdr:nvSpPr>
        <xdr:cNvPr id="38" name="Fluxograma: Conector 37"/>
        <xdr:cNvSpPr/>
      </xdr:nvSpPr>
      <xdr:spPr>
        <a:xfrm>
          <a:off x="11879695" y="3091296"/>
          <a:ext cx="452967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381962</xdr:colOff>
      <xdr:row>0</xdr:row>
      <xdr:rowOff>133735</xdr:rowOff>
    </xdr:from>
    <xdr:to>
      <xdr:col>17</xdr:col>
      <xdr:colOff>225328</xdr:colOff>
      <xdr:row>3</xdr:row>
      <xdr:rowOff>19435</xdr:rowOff>
    </xdr:to>
    <xdr:sp macro="" textlink="">
      <xdr:nvSpPr>
        <xdr:cNvPr id="39" name="Fluxograma: Conector 38"/>
        <xdr:cNvSpPr/>
      </xdr:nvSpPr>
      <xdr:spPr>
        <a:xfrm>
          <a:off x="10135562" y="133735"/>
          <a:ext cx="452966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393508</xdr:colOff>
      <xdr:row>10</xdr:row>
      <xdr:rowOff>167409</xdr:rowOff>
    </xdr:from>
    <xdr:to>
      <xdr:col>17</xdr:col>
      <xdr:colOff>272004</xdr:colOff>
      <xdr:row>14</xdr:row>
      <xdr:rowOff>20205</xdr:rowOff>
    </xdr:to>
    <xdr:sp macro="" textlink="">
      <xdr:nvSpPr>
        <xdr:cNvPr id="40" name="Seta para baixo 39"/>
        <xdr:cNvSpPr/>
      </xdr:nvSpPr>
      <xdr:spPr>
        <a:xfrm>
          <a:off x="10147108" y="2072409"/>
          <a:ext cx="488096" cy="61479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31750</xdr:colOff>
      <xdr:row>16</xdr:row>
      <xdr:rowOff>16356</xdr:rowOff>
    </xdr:from>
    <xdr:to>
      <xdr:col>19</xdr:col>
      <xdr:colOff>134696</xdr:colOff>
      <xdr:row>18</xdr:row>
      <xdr:rowOff>119988</xdr:rowOff>
    </xdr:to>
    <xdr:sp macro="" textlink="">
      <xdr:nvSpPr>
        <xdr:cNvPr id="41" name="Seta para a direita 40"/>
        <xdr:cNvSpPr/>
      </xdr:nvSpPr>
      <xdr:spPr>
        <a:xfrm>
          <a:off x="11004550" y="3064356"/>
          <a:ext cx="712546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420106</xdr:colOff>
      <xdr:row>3</xdr:row>
      <xdr:rowOff>152357</xdr:rowOff>
    </xdr:from>
    <xdr:to>
      <xdr:col>17</xdr:col>
      <xdr:colOff>290904</xdr:colOff>
      <xdr:row>6</xdr:row>
      <xdr:rowOff>39789</xdr:rowOff>
    </xdr:to>
    <xdr:sp macro="" textlink="">
      <xdr:nvSpPr>
        <xdr:cNvPr id="42" name="Seta para a direita 41"/>
        <xdr:cNvSpPr/>
      </xdr:nvSpPr>
      <xdr:spPr>
        <a:xfrm rot="5400000">
          <a:off x="10184439" y="713124"/>
          <a:ext cx="458932" cy="48039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363682</xdr:colOff>
      <xdr:row>20</xdr:row>
      <xdr:rowOff>20205</xdr:rowOff>
    </xdr:from>
    <xdr:to>
      <xdr:col>17</xdr:col>
      <xdr:colOff>242178</xdr:colOff>
      <xdr:row>22</xdr:row>
      <xdr:rowOff>2886</xdr:rowOff>
    </xdr:to>
    <xdr:sp macro="" textlink="">
      <xdr:nvSpPr>
        <xdr:cNvPr id="43" name="Seta para baixo 42"/>
        <xdr:cNvSpPr/>
      </xdr:nvSpPr>
      <xdr:spPr>
        <a:xfrm>
          <a:off x="10117282" y="3830205"/>
          <a:ext cx="488096" cy="36368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12</xdr:row>
      <xdr:rowOff>52917</xdr:rowOff>
    </xdr:from>
    <xdr:to>
      <xdr:col>4</xdr:col>
      <xdr:colOff>0</xdr:colOff>
      <xdr:row>16</xdr:row>
      <xdr:rowOff>127000</xdr:rowOff>
    </xdr:to>
    <xdr:sp macro="" textlink="">
      <xdr:nvSpPr>
        <xdr:cNvPr id="44" name="Fluxograma: Processo 43"/>
        <xdr:cNvSpPr/>
      </xdr:nvSpPr>
      <xdr:spPr>
        <a:xfrm>
          <a:off x="1219200" y="2338917"/>
          <a:ext cx="1219200" cy="836083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</a:t>
          </a:r>
          <a:r>
            <a:rPr lang="pt-BR" sz="1100" baseline="0"/>
            <a:t> </a:t>
          </a:r>
        </a:p>
        <a:p>
          <a:pPr algn="ctr"/>
          <a:r>
            <a:rPr lang="pt-BR" sz="1100" baseline="0"/>
            <a:t>A</a:t>
          </a:r>
        </a:p>
        <a:p>
          <a:pPr algn="ctr"/>
          <a:r>
            <a:rPr lang="pt-BR" sz="1100" baseline="0"/>
            <a:t> TORNEIRA</a:t>
          </a:r>
          <a:endParaRPr lang="pt-BR" sz="1100"/>
        </a:p>
      </xdr:txBody>
    </xdr:sp>
    <xdr:clientData/>
  </xdr:twoCellAnchor>
  <xdr:twoCellAnchor>
    <xdr:from>
      <xdr:col>2</xdr:col>
      <xdr:colOff>370417</xdr:colOff>
      <xdr:row>17</xdr:row>
      <xdr:rowOff>105834</xdr:rowOff>
    </xdr:from>
    <xdr:to>
      <xdr:col>3</xdr:col>
      <xdr:colOff>241216</xdr:colOff>
      <xdr:row>22</xdr:row>
      <xdr:rowOff>131742</xdr:rowOff>
    </xdr:to>
    <xdr:sp macro="" textlink="">
      <xdr:nvSpPr>
        <xdr:cNvPr id="45" name="Seta para baixo 44"/>
        <xdr:cNvSpPr/>
      </xdr:nvSpPr>
      <xdr:spPr>
        <a:xfrm>
          <a:off x="1589617" y="3344334"/>
          <a:ext cx="480399" cy="97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508000</xdr:colOff>
      <xdr:row>23</xdr:row>
      <xdr:rowOff>21166</xdr:rowOff>
    </xdr:from>
    <xdr:to>
      <xdr:col>18</xdr:col>
      <xdr:colOff>31750</xdr:colOff>
      <xdr:row>24</xdr:row>
      <xdr:rowOff>132418</xdr:rowOff>
    </xdr:to>
    <xdr:sp macro="" textlink="">
      <xdr:nvSpPr>
        <xdr:cNvPr id="46" name="Fluxograma: Terminação 45"/>
        <xdr:cNvSpPr/>
      </xdr:nvSpPr>
      <xdr:spPr>
        <a:xfrm>
          <a:off x="9652000" y="4402666"/>
          <a:ext cx="1352550" cy="301752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ENCERRAR</a:t>
          </a:r>
        </a:p>
      </xdr:txBody>
    </xdr:sp>
    <xdr:clientData/>
  </xdr:twoCellAnchor>
  <xdr:twoCellAnchor>
    <xdr:from>
      <xdr:col>2</xdr:col>
      <xdr:colOff>402166</xdr:colOff>
      <xdr:row>55</xdr:row>
      <xdr:rowOff>21166</xdr:rowOff>
    </xdr:from>
    <xdr:to>
      <xdr:col>3</xdr:col>
      <xdr:colOff>245533</xdr:colOff>
      <xdr:row>57</xdr:row>
      <xdr:rowOff>97366</xdr:rowOff>
    </xdr:to>
    <xdr:sp macro="" textlink="">
      <xdr:nvSpPr>
        <xdr:cNvPr id="47" name="Fluxograma: Conector 46"/>
        <xdr:cNvSpPr/>
      </xdr:nvSpPr>
      <xdr:spPr>
        <a:xfrm>
          <a:off x="1621366" y="10498666"/>
          <a:ext cx="452967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370417</xdr:colOff>
      <xdr:row>47</xdr:row>
      <xdr:rowOff>0</xdr:rowOff>
    </xdr:from>
    <xdr:to>
      <xdr:col>11</xdr:col>
      <xdr:colOff>213784</xdr:colOff>
      <xdr:row>49</xdr:row>
      <xdr:rowOff>76200</xdr:rowOff>
    </xdr:to>
    <xdr:sp macro="" textlink="">
      <xdr:nvSpPr>
        <xdr:cNvPr id="48" name="Fluxograma: Conector 47"/>
        <xdr:cNvSpPr/>
      </xdr:nvSpPr>
      <xdr:spPr>
        <a:xfrm>
          <a:off x="6466417" y="8953500"/>
          <a:ext cx="452967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0</xdr:row>
      <xdr:rowOff>114300</xdr:rowOff>
    </xdr:from>
    <xdr:to>
      <xdr:col>3</xdr:col>
      <xdr:colOff>295275</xdr:colOff>
      <xdr:row>2</xdr:row>
      <xdr:rowOff>35052</xdr:rowOff>
    </xdr:to>
    <xdr:sp macro="" textlink="">
      <xdr:nvSpPr>
        <xdr:cNvPr id="2" name="Fluxograma: Terminação 1"/>
        <xdr:cNvSpPr/>
      </xdr:nvSpPr>
      <xdr:spPr>
        <a:xfrm>
          <a:off x="1209675" y="114300"/>
          <a:ext cx="914400" cy="301752"/>
        </a:xfrm>
        <a:prstGeom prst="flowChartTermina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342900</xdr:colOff>
      <xdr:row>2</xdr:row>
      <xdr:rowOff>104775</xdr:rowOff>
    </xdr:from>
    <xdr:to>
      <xdr:col>2</xdr:col>
      <xdr:colOff>600075</xdr:colOff>
      <xdr:row>4</xdr:row>
      <xdr:rowOff>47625</xdr:rowOff>
    </xdr:to>
    <xdr:sp macro="" textlink="">
      <xdr:nvSpPr>
        <xdr:cNvPr id="3" name="Seta para baixo 2"/>
        <xdr:cNvSpPr/>
      </xdr:nvSpPr>
      <xdr:spPr>
        <a:xfrm>
          <a:off x="1562100" y="485775"/>
          <a:ext cx="257175" cy="3238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4</xdr:row>
      <xdr:rowOff>152399</xdr:rowOff>
    </xdr:from>
    <xdr:to>
      <xdr:col>3</xdr:col>
      <xdr:colOff>304800</xdr:colOff>
      <xdr:row>6</xdr:row>
      <xdr:rowOff>88772</xdr:rowOff>
    </xdr:to>
    <xdr:sp macro="" textlink="">
      <xdr:nvSpPr>
        <xdr:cNvPr id="4" name="Fluxograma: Processo 3"/>
        <xdr:cNvSpPr/>
      </xdr:nvSpPr>
      <xdr:spPr>
        <a:xfrm>
          <a:off x="1219200" y="914399"/>
          <a:ext cx="914400" cy="317373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</a:t>
          </a:r>
          <a:r>
            <a:rPr lang="pt-BR" sz="1100" baseline="0"/>
            <a:t> a bala</a:t>
          </a:r>
          <a:endParaRPr lang="pt-BR" sz="1100"/>
        </a:p>
      </xdr:txBody>
    </xdr:sp>
    <xdr:clientData/>
  </xdr:twoCellAnchor>
  <xdr:twoCellAnchor>
    <xdr:from>
      <xdr:col>2</xdr:col>
      <xdr:colOff>342900</xdr:colOff>
      <xdr:row>6</xdr:row>
      <xdr:rowOff>171450</xdr:rowOff>
    </xdr:from>
    <xdr:to>
      <xdr:col>3</xdr:col>
      <xdr:colOff>9525</xdr:colOff>
      <xdr:row>8</xdr:row>
      <xdr:rowOff>38100</xdr:rowOff>
    </xdr:to>
    <xdr:sp macro="" textlink="">
      <xdr:nvSpPr>
        <xdr:cNvPr id="5" name="Seta para baixo 4"/>
        <xdr:cNvSpPr/>
      </xdr:nvSpPr>
      <xdr:spPr>
        <a:xfrm>
          <a:off x="1562100" y="1314450"/>
          <a:ext cx="276225" cy="2476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228600</xdr:colOff>
      <xdr:row>8</xdr:row>
      <xdr:rowOff>180975</xdr:rowOff>
    </xdr:from>
    <xdr:to>
      <xdr:col>4</xdr:col>
      <xdr:colOff>142875</xdr:colOff>
      <xdr:row>15</xdr:row>
      <xdr:rowOff>47625</xdr:rowOff>
    </xdr:to>
    <xdr:sp macro="" textlink="">
      <xdr:nvSpPr>
        <xdr:cNvPr id="6" name="Fluxograma: Decisão 5"/>
        <xdr:cNvSpPr/>
      </xdr:nvSpPr>
      <xdr:spPr>
        <a:xfrm>
          <a:off x="838200" y="1704975"/>
          <a:ext cx="1743075" cy="1200150"/>
        </a:xfrm>
        <a:prstGeom prst="flowChartDecision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retirar a embalagem</a:t>
          </a:r>
        </a:p>
      </xdr:txBody>
    </xdr:sp>
    <xdr:clientData/>
  </xdr:twoCellAnchor>
  <xdr:twoCellAnchor>
    <xdr:from>
      <xdr:col>4</xdr:col>
      <xdr:colOff>295275</xdr:colOff>
      <xdr:row>11</xdr:row>
      <xdr:rowOff>85724</xdr:rowOff>
    </xdr:from>
    <xdr:to>
      <xdr:col>5</xdr:col>
      <xdr:colOff>323850</xdr:colOff>
      <xdr:row>12</xdr:row>
      <xdr:rowOff>160781</xdr:rowOff>
    </xdr:to>
    <xdr:sp macro="" textlink="">
      <xdr:nvSpPr>
        <xdr:cNvPr id="7" name="Seta para a direita 6"/>
        <xdr:cNvSpPr/>
      </xdr:nvSpPr>
      <xdr:spPr>
        <a:xfrm>
          <a:off x="2733675" y="2181224"/>
          <a:ext cx="638175" cy="26555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266700</xdr:colOff>
      <xdr:row>15</xdr:row>
      <xdr:rowOff>133350</xdr:rowOff>
    </xdr:from>
    <xdr:to>
      <xdr:col>3</xdr:col>
      <xdr:colOff>141732</xdr:colOff>
      <xdr:row>17</xdr:row>
      <xdr:rowOff>133350</xdr:rowOff>
    </xdr:to>
    <xdr:sp macro="" textlink="">
      <xdr:nvSpPr>
        <xdr:cNvPr id="8" name="Seta para baixo 7"/>
        <xdr:cNvSpPr/>
      </xdr:nvSpPr>
      <xdr:spPr>
        <a:xfrm>
          <a:off x="1485900" y="2990850"/>
          <a:ext cx="484632" cy="3810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514350</xdr:colOff>
      <xdr:row>18</xdr:row>
      <xdr:rowOff>19050</xdr:rowOff>
    </xdr:from>
    <xdr:to>
      <xdr:col>3</xdr:col>
      <xdr:colOff>457200</xdr:colOff>
      <xdr:row>21</xdr:row>
      <xdr:rowOff>152400</xdr:rowOff>
    </xdr:to>
    <xdr:sp macro="" textlink="">
      <xdr:nvSpPr>
        <xdr:cNvPr id="9" name="Retângulo 8"/>
        <xdr:cNvSpPr/>
      </xdr:nvSpPr>
      <xdr:spPr>
        <a:xfrm>
          <a:off x="1123950" y="3448050"/>
          <a:ext cx="1162050" cy="7048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a embalagem no lixo</a:t>
          </a:r>
        </a:p>
      </xdr:txBody>
    </xdr:sp>
    <xdr:clientData/>
  </xdr:twoCellAnchor>
  <xdr:twoCellAnchor>
    <xdr:from>
      <xdr:col>5</xdr:col>
      <xdr:colOff>447675</xdr:colOff>
      <xdr:row>11</xdr:row>
      <xdr:rowOff>0</xdr:rowOff>
    </xdr:from>
    <xdr:to>
      <xdr:col>6</xdr:col>
      <xdr:colOff>295275</xdr:colOff>
      <xdr:row>13</xdr:row>
      <xdr:rowOff>76200</xdr:rowOff>
    </xdr:to>
    <xdr:sp macro="" textlink="">
      <xdr:nvSpPr>
        <xdr:cNvPr id="10" name="Fluxograma: Conector 9"/>
        <xdr:cNvSpPr/>
      </xdr:nvSpPr>
      <xdr:spPr>
        <a:xfrm>
          <a:off x="3495675" y="2095500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171450</xdr:colOff>
      <xdr:row>7</xdr:row>
      <xdr:rowOff>76200</xdr:rowOff>
    </xdr:from>
    <xdr:to>
      <xdr:col>1</xdr:col>
      <xdr:colOff>19050</xdr:colOff>
      <xdr:row>9</xdr:row>
      <xdr:rowOff>152400</xdr:rowOff>
    </xdr:to>
    <xdr:sp macro="" textlink="">
      <xdr:nvSpPr>
        <xdr:cNvPr id="11" name="Fluxograma: Conector 10"/>
        <xdr:cNvSpPr/>
      </xdr:nvSpPr>
      <xdr:spPr>
        <a:xfrm>
          <a:off x="171450" y="1409700"/>
          <a:ext cx="457200" cy="457200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  <a:p>
          <a:pPr algn="l"/>
          <a:endParaRPr lang="pt-BR" sz="1100"/>
        </a:p>
      </xdr:txBody>
    </xdr:sp>
    <xdr:clientData/>
  </xdr:twoCellAnchor>
  <xdr:twoCellAnchor>
    <xdr:from>
      <xdr:col>1</xdr:col>
      <xdr:colOff>142876</xdr:colOff>
      <xdr:row>7</xdr:row>
      <xdr:rowOff>161925</xdr:rowOff>
    </xdr:from>
    <xdr:to>
      <xdr:col>2</xdr:col>
      <xdr:colOff>66676</xdr:colOff>
      <xdr:row>9</xdr:row>
      <xdr:rowOff>28575</xdr:rowOff>
    </xdr:to>
    <xdr:sp macro="" textlink="">
      <xdr:nvSpPr>
        <xdr:cNvPr id="12" name="Seta para a direita 11"/>
        <xdr:cNvSpPr/>
      </xdr:nvSpPr>
      <xdr:spPr>
        <a:xfrm>
          <a:off x="752476" y="1495425"/>
          <a:ext cx="533400" cy="2476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342899</xdr:colOff>
      <xdr:row>22</xdr:row>
      <xdr:rowOff>38100</xdr:rowOff>
    </xdr:from>
    <xdr:to>
      <xdr:col>3</xdr:col>
      <xdr:colOff>85724</xdr:colOff>
      <xdr:row>23</xdr:row>
      <xdr:rowOff>180976</xdr:rowOff>
    </xdr:to>
    <xdr:sp macro="" textlink="">
      <xdr:nvSpPr>
        <xdr:cNvPr id="13" name="Seta para baixo 12"/>
        <xdr:cNvSpPr/>
      </xdr:nvSpPr>
      <xdr:spPr>
        <a:xfrm>
          <a:off x="1562099" y="4229100"/>
          <a:ext cx="352425" cy="333376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504825</xdr:colOff>
      <xdr:row>24</xdr:row>
      <xdr:rowOff>57150</xdr:rowOff>
    </xdr:from>
    <xdr:to>
      <xdr:col>3</xdr:col>
      <xdr:colOff>466724</xdr:colOff>
      <xdr:row>27</xdr:row>
      <xdr:rowOff>98298</xdr:rowOff>
    </xdr:to>
    <xdr:sp macro="" textlink="">
      <xdr:nvSpPr>
        <xdr:cNvPr id="14" name="Fluxograma: Processo 13"/>
        <xdr:cNvSpPr/>
      </xdr:nvSpPr>
      <xdr:spPr>
        <a:xfrm>
          <a:off x="1114425" y="4629150"/>
          <a:ext cx="1181099" cy="612648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a bala na boca</a:t>
          </a:r>
        </a:p>
      </xdr:txBody>
    </xdr:sp>
    <xdr:clientData/>
  </xdr:twoCellAnchor>
  <xdr:twoCellAnchor>
    <xdr:from>
      <xdr:col>2</xdr:col>
      <xdr:colOff>371475</xdr:colOff>
      <xdr:row>27</xdr:row>
      <xdr:rowOff>180975</xdr:rowOff>
    </xdr:from>
    <xdr:to>
      <xdr:col>3</xdr:col>
      <xdr:colOff>38100</xdr:colOff>
      <xdr:row>29</xdr:row>
      <xdr:rowOff>152400</xdr:rowOff>
    </xdr:to>
    <xdr:sp macro="" textlink="">
      <xdr:nvSpPr>
        <xdr:cNvPr id="15" name="Seta para baixo 14"/>
        <xdr:cNvSpPr/>
      </xdr:nvSpPr>
      <xdr:spPr>
        <a:xfrm>
          <a:off x="1590675" y="5324475"/>
          <a:ext cx="276225" cy="35242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504825</xdr:colOff>
      <xdr:row>30</xdr:row>
      <xdr:rowOff>47625</xdr:rowOff>
    </xdr:from>
    <xdr:to>
      <xdr:col>3</xdr:col>
      <xdr:colOff>504825</xdr:colOff>
      <xdr:row>33</xdr:row>
      <xdr:rowOff>88773</xdr:rowOff>
    </xdr:to>
    <xdr:sp macro="" textlink="">
      <xdr:nvSpPr>
        <xdr:cNvPr id="16" name="Fluxograma: Processo 15"/>
        <xdr:cNvSpPr/>
      </xdr:nvSpPr>
      <xdr:spPr>
        <a:xfrm>
          <a:off x="1114425" y="5762625"/>
          <a:ext cx="1219200" cy="612648"/>
        </a:xfrm>
        <a:prstGeom prst="flowChartProces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chupar a bala</a:t>
          </a:r>
        </a:p>
      </xdr:txBody>
    </xdr:sp>
    <xdr:clientData/>
  </xdr:twoCellAnchor>
  <xdr:twoCellAnchor>
    <xdr:from>
      <xdr:col>2</xdr:col>
      <xdr:colOff>400050</xdr:colOff>
      <xdr:row>33</xdr:row>
      <xdr:rowOff>171450</xdr:rowOff>
    </xdr:from>
    <xdr:to>
      <xdr:col>3</xdr:col>
      <xdr:colOff>57150</xdr:colOff>
      <xdr:row>35</xdr:row>
      <xdr:rowOff>104775</xdr:rowOff>
    </xdr:to>
    <xdr:sp macro="" textlink="">
      <xdr:nvSpPr>
        <xdr:cNvPr id="17" name="Seta para baixo 16"/>
        <xdr:cNvSpPr/>
      </xdr:nvSpPr>
      <xdr:spPr>
        <a:xfrm>
          <a:off x="1619250" y="6457950"/>
          <a:ext cx="266700" cy="31432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47625</xdr:colOff>
      <xdr:row>36</xdr:row>
      <xdr:rowOff>19050</xdr:rowOff>
    </xdr:from>
    <xdr:to>
      <xdr:col>3</xdr:col>
      <xdr:colOff>352425</xdr:colOff>
      <xdr:row>37</xdr:row>
      <xdr:rowOff>130302</xdr:rowOff>
    </xdr:to>
    <xdr:sp macro="" textlink="">
      <xdr:nvSpPr>
        <xdr:cNvPr id="18" name="Fluxograma: Terminação 17"/>
        <xdr:cNvSpPr/>
      </xdr:nvSpPr>
      <xdr:spPr>
        <a:xfrm>
          <a:off x="1266825" y="6877050"/>
          <a:ext cx="914400" cy="301752"/>
        </a:xfrm>
        <a:prstGeom prst="flowChartTermina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"/>
  <sheetViews>
    <sheetView topLeftCell="A25" zoomScaleNormal="100" workbookViewId="0">
      <selection activeCell="H43" sqref="H43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"/>
  <sheetViews>
    <sheetView topLeftCell="A14" zoomScale="70" zoomScaleNormal="70" workbookViewId="0">
      <selection activeCell="AB46" sqref="AB4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H21:J27"/>
  <sheetViews>
    <sheetView workbookViewId="0">
      <selection activeCell="T22" sqref="T22"/>
    </sheetView>
  </sheetViews>
  <sheetFormatPr defaultRowHeight="15" x14ac:dyDescent="0.25"/>
  <sheetData>
    <row r="21" spans="8:10" x14ac:dyDescent="0.25">
      <c r="J21" t="s">
        <v>1</v>
      </c>
    </row>
    <row r="27" spans="8:10" x14ac:dyDescent="0.25">
      <c r="H27" t="s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M23"/>
  <sheetViews>
    <sheetView workbookViewId="0">
      <selection activeCell="I2" sqref="I2"/>
    </sheetView>
  </sheetViews>
  <sheetFormatPr defaultRowHeight="15" x14ac:dyDescent="0.25"/>
  <cols>
    <col min="1" max="1" width="49" customWidth="1"/>
    <col min="9" max="9" width="18.42578125" customWidth="1"/>
    <col min="11" max="11" width="11.85546875" customWidth="1"/>
    <col min="13" max="13" width="15.85546875" customWidth="1"/>
  </cols>
  <sheetData>
    <row r="1" spans="1:13" ht="21" customHeight="1" x14ac:dyDescent="0.25">
      <c r="A1" s="9">
        <v>100</v>
      </c>
      <c r="E1" s="17">
        <v>10</v>
      </c>
      <c r="G1" s="2">
        <v>6</v>
      </c>
      <c r="I1" s="10" t="s">
        <v>28</v>
      </c>
      <c r="K1" s="16">
        <v>0</v>
      </c>
      <c r="M1" s="15">
        <v>10</v>
      </c>
    </row>
    <row r="2" spans="1:13" ht="24.75" customHeight="1" x14ac:dyDescent="0.25">
      <c r="A2" s="14" t="str">
        <f>IF(A1=100,"dentro do orçamento",IF(A1&lt;100,"fora do orçamento",IF(A1&gt;100,"excesso de material")))</f>
        <v>dentro do orçamento</v>
      </c>
      <c r="E2" s="2" t="str">
        <f>IF(E1=10,"ok",IF(E1=2,"ok",IF(E1&gt;10,IF(E1&lt;2,"ok","not ok"),"not ok")))</f>
        <v>ok</v>
      </c>
      <c r="I2" s="10" t="str">
        <f>IF(TRIM(I1)&lt;&gt;(I1),TRIM(I1),I1)</f>
        <v>Tiago</v>
      </c>
      <c r="K2" s="13" t="str">
        <f>IF(TRIM(K1)="","VAZIO","TEM DADOS")</f>
        <v>TEM DADOS</v>
      </c>
      <c r="M2" s="12"/>
    </row>
    <row r="3" spans="1:13" ht="23.25" customHeight="1" x14ac:dyDescent="0.25">
      <c r="A3" s="11">
        <v>101</v>
      </c>
      <c r="M3" s="10" t="str">
        <f>IF(TRIM(M2)="","Divisão por zero",M1/M2)</f>
        <v>Divisão por zero</v>
      </c>
    </row>
    <row r="4" spans="1:13" ht="22.5" customHeight="1" x14ac:dyDescent="0.25">
      <c r="A4" s="9" t="str">
        <f>IF(A1&lt;A3,"estoque acima",IF(A1&gt;A3,"estoque abaixo"))</f>
        <v>estoque acima</v>
      </c>
    </row>
    <row r="6" spans="1:13" x14ac:dyDescent="0.25">
      <c r="I6" s="8"/>
    </row>
    <row r="8" spans="1:13" x14ac:dyDescent="0.25">
      <c r="A8" s="7" t="s">
        <v>27</v>
      </c>
      <c r="B8" s="2" t="s">
        <v>26</v>
      </c>
      <c r="C8" s="2" t="s">
        <v>25</v>
      </c>
      <c r="D8" s="2" t="s">
        <v>24</v>
      </c>
    </row>
    <row r="9" spans="1:13" x14ac:dyDescent="0.25">
      <c r="A9" s="4" t="s">
        <v>23</v>
      </c>
      <c r="B9" s="6" t="s">
        <v>22</v>
      </c>
      <c r="C9" s="5">
        <f>COUNTIF(A9:A22,"*a*")</f>
        <v>8</v>
      </c>
      <c r="D9" s="5">
        <f>C9+C10+C11+C12+C13</f>
        <v>33</v>
      </c>
    </row>
    <row r="10" spans="1:13" x14ac:dyDescent="0.25">
      <c r="A10" s="4" t="s">
        <v>21</v>
      </c>
      <c r="B10" s="6" t="s">
        <v>20</v>
      </c>
      <c r="C10" s="5">
        <f>COUNTIF(A9:A22,"*e*")</f>
        <v>10</v>
      </c>
    </row>
    <row r="11" spans="1:13" x14ac:dyDescent="0.25">
      <c r="A11" s="4" t="s">
        <v>19</v>
      </c>
      <c r="B11" s="6" t="s">
        <v>18</v>
      </c>
      <c r="C11" s="5">
        <f>COUNTIF(A9:A22,"*i*")</f>
        <v>4</v>
      </c>
    </row>
    <row r="12" spans="1:13" x14ac:dyDescent="0.25">
      <c r="A12" s="4" t="s">
        <v>17</v>
      </c>
      <c r="B12" s="6" t="s">
        <v>16</v>
      </c>
      <c r="C12" s="5">
        <f>COUNTIF(A9:A22,"*o*")</f>
        <v>6</v>
      </c>
    </row>
    <row r="13" spans="1:13" x14ac:dyDescent="0.25">
      <c r="A13" s="4" t="s">
        <v>15</v>
      </c>
      <c r="B13" s="6" t="s">
        <v>14</v>
      </c>
      <c r="C13" s="5">
        <f>COUNTIF(A9:A22,"*u*")</f>
        <v>5</v>
      </c>
    </row>
    <row r="14" spans="1:13" x14ac:dyDescent="0.25">
      <c r="A14" s="4" t="s">
        <v>13</v>
      </c>
    </row>
    <row r="15" spans="1:13" x14ac:dyDescent="0.25">
      <c r="A15" s="4" t="s">
        <v>12</v>
      </c>
    </row>
    <row r="16" spans="1:13" x14ac:dyDescent="0.25">
      <c r="A16" s="4" t="s">
        <v>11</v>
      </c>
    </row>
    <row r="17" spans="1:6" x14ac:dyDescent="0.25">
      <c r="A17" s="4" t="s">
        <v>10</v>
      </c>
    </row>
    <row r="18" spans="1:6" x14ac:dyDescent="0.25">
      <c r="A18" s="4" t="s">
        <v>9</v>
      </c>
    </row>
    <row r="19" spans="1:6" x14ac:dyDescent="0.25">
      <c r="A19" s="4" t="s">
        <v>8</v>
      </c>
    </row>
    <row r="20" spans="1:6" x14ac:dyDescent="0.25">
      <c r="A20" s="4" t="s">
        <v>7</v>
      </c>
    </row>
    <row r="21" spans="1:6" x14ac:dyDescent="0.25">
      <c r="A21" s="4" t="s">
        <v>6</v>
      </c>
    </row>
    <row r="22" spans="1:6" x14ac:dyDescent="0.25">
      <c r="A22" s="4" t="s">
        <v>5</v>
      </c>
    </row>
    <row r="23" spans="1:6" x14ac:dyDescent="0.25">
      <c r="A23" s="4" t="s">
        <v>4</v>
      </c>
      <c r="F23" s="3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List Box 1">
              <controlPr defaultSize="0" autoLine="0" autoPict="0">
                <anchor moveWithCells="1">
                  <from>
                    <xdr:col>5</xdr:col>
                    <xdr:colOff>323850</xdr:colOff>
                    <xdr:row>1</xdr:row>
                    <xdr:rowOff>266700</xdr:rowOff>
                  </from>
                  <to>
                    <xdr:col>7</xdr:col>
                    <xdr:colOff>219075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Group Box 2">
              <controlPr defaultSize="0" autoFill="0" autoPict="0">
                <anchor moveWithCells="1">
                  <from>
                    <xdr:col>1</xdr:col>
                    <xdr:colOff>200025</xdr:colOff>
                    <xdr:row>14</xdr:row>
                    <xdr:rowOff>9525</xdr:rowOff>
                  </from>
                  <to>
                    <xdr:col>4</xdr:col>
                    <xdr:colOff>171450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Option Button 3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38100</xdr:rowOff>
                  </from>
                  <to>
                    <xdr:col>3</xdr:col>
                    <xdr:colOff>123825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Option Button 4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133350</xdr:rowOff>
                  </from>
                  <to>
                    <xdr:col>3</xdr:col>
                    <xdr:colOff>123825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Option Button 5">
              <controlPr defaultSize="0" autoFill="0" autoLine="0" autoPict="0">
                <anchor moveWithCells="1">
                  <from>
                    <xdr:col>1</xdr:col>
                    <xdr:colOff>276225</xdr:colOff>
                    <xdr:row>18</xdr:row>
                    <xdr:rowOff>47625</xdr:rowOff>
                  </from>
                  <to>
                    <xdr:col>3</xdr:col>
                    <xdr:colOff>133350</xdr:colOff>
                    <xdr:row>19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C15:S44"/>
  <sheetViews>
    <sheetView zoomScale="90" zoomScaleNormal="90" workbookViewId="0">
      <selection activeCell="K44" sqref="K44"/>
    </sheetView>
  </sheetViews>
  <sheetFormatPr defaultRowHeight="15" x14ac:dyDescent="0.25"/>
  <sheetData>
    <row r="15" spans="13:19" x14ac:dyDescent="0.25">
      <c r="M15" s="2" t="s">
        <v>3</v>
      </c>
    </row>
    <row r="16" spans="13:19" x14ac:dyDescent="0.25">
      <c r="S16" s="1" t="s">
        <v>3</v>
      </c>
    </row>
    <row r="21" spans="5:17" x14ac:dyDescent="0.25">
      <c r="K21" s="1" t="s">
        <v>2</v>
      </c>
      <c r="Q21" s="1" t="s">
        <v>2</v>
      </c>
    </row>
    <row r="30" spans="5:17" x14ac:dyDescent="0.25">
      <c r="E30" s="2" t="s">
        <v>3</v>
      </c>
    </row>
    <row r="36" spans="3:13" x14ac:dyDescent="0.25">
      <c r="C36" s="1" t="s">
        <v>2</v>
      </c>
    </row>
    <row r="39" spans="3:13" x14ac:dyDescent="0.25">
      <c r="M39" s="2" t="s">
        <v>3</v>
      </c>
    </row>
    <row r="44" spans="3:13" x14ac:dyDescent="0.25">
      <c r="K44" s="1" t="s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B3:D5"/>
  <sheetViews>
    <sheetView workbookViewId="0">
      <selection activeCell="K32" sqref="K32"/>
    </sheetView>
  </sheetViews>
  <sheetFormatPr defaultRowHeight="15" x14ac:dyDescent="0.25"/>
  <sheetData>
    <row r="3" spans="2:4" x14ac:dyDescent="0.25">
      <c r="B3" s="20" t="s">
        <v>30</v>
      </c>
      <c r="C3" s="20"/>
      <c r="D3" s="19">
        <v>9</v>
      </c>
    </row>
    <row r="5" spans="2:4" x14ac:dyDescent="0.25">
      <c r="B5" s="20" t="s">
        <v>29</v>
      </c>
      <c r="C5" s="20"/>
      <c r="D5" s="18">
        <f>D3^(1/2)</f>
        <v>3</v>
      </c>
    </row>
  </sheetData>
  <mergeCells count="2">
    <mergeCell ref="B3:C3"/>
    <mergeCell ref="B5:C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A2"/>
  <sheetViews>
    <sheetView workbookViewId="0">
      <selection activeCell="J27" sqref="J27"/>
    </sheetView>
  </sheetViews>
  <sheetFormatPr defaultRowHeight="15" x14ac:dyDescent="0.25"/>
  <cols>
    <col min="1" max="1" width="22.42578125" customWidth="1"/>
  </cols>
  <sheetData>
    <row r="1" spans="1:1" x14ac:dyDescent="0.25">
      <c r="A1" t="s">
        <v>31</v>
      </c>
    </row>
    <row r="2" spans="1:1" x14ac:dyDescent="0.25">
      <c r="A2" t="str">
        <f>IF(A1="Tiago","oi "&amp;A1&amp;",tudo bem!","desculpa!"&amp;A1&amp;" não te conheço")</f>
        <v>oi Tiago,tudo bem!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A2"/>
  <sheetViews>
    <sheetView workbookViewId="0">
      <selection activeCell="K24" sqref="K24"/>
    </sheetView>
  </sheetViews>
  <sheetFormatPr defaultRowHeight="15" x14ac:dyDescent="0.25"/>
  <cols>
    <col min="1" max="1" width="31.7109375" customWidth="1"/>
  </cols>
  <sheetData>
    <row r="1" spans="1:1" x14ac:dyDescent="0.25">
      <c r="A1">
        <v>8</v>
      </c>
    </row>
    <row r="2" spans="1:1" x14ac:dyDescent="0.25">
      <c r="A2" t="str">
        <f>IF(A1=8,"ok",IF(A1=12,"ok",IF(A1&gt;8,IF(A1&lt;12,"ok","not ok"),"not ok")))</f>
        <v>ok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1:E13"/>
  <sheetViews>
    <sheetView tabSelected="1" topLeftCell="A10" workbookViewId="0">
      <selection activeCell="F25" sqref="F25"/>
    </sheetView>
  </sheetViews>
  <sheetFormatPr defaultRowHeight="15" x14ac:dyDescent="0.25"/>
  <sheetData>
    <row r="11" spans="5:5" x14ac:dyDescent="0.25">
      <c r="E11" s="22" t="s">
        <v>32</v>
      </c>
    </row>
    <row r="13" spans="5:5" x14ac:dyDescent="0.25">
      <c r="E13" s="2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relogio</vt:lpstr>
      <vt:lpstr>estacionamento</vt:lpstr>
      <vt:lpstr>banheiro</vt:lpstr>
      <vt:lpstr>testes</vt:lpstr>
      <vt:lpstr>café</vt:lpstr>
      <vt:lpstr>raiz</vt:lpstr>
      <vt:lpstr>tudo bem</vt:lpstr>
      <vt:lpstr>8 ou 12</vt:lpstr>
      <vt:lpstr>bala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2014-09-22T13:16:12Z</dcterms:modified>
</cp:coreProperties>
</file>