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7520" windowHeight="7935" activeTab="2"/>
  </bookViews>
  <sheets>
    <sheet name="PAINEL" sheetId="8" r:id="rId1"/>
    <sheet name="ÁREAS" sheetId="5" r:id="rId2"/>
    <sheet name="METAS DE VIDA" sheetId="6" r:id="rId3"/>
    <sheet name="ACOMPANHAMENTO" sheetId="7" r:id="rId4"/>
  </sheets>
  <definedNames>
    <definedName name="_xlnm.Print_Area" localSheetId="3">ACOMPANHAMENTO!$B$2:$T$14</definedName>
    <definedName name="_xlnm.Print_Area" localSheetId="1">ÁREAS!$B$2:$R$14</definedName>
    <definedName name="_xlnm.Print_Area" localSheetId="2">'METAS DE VIDA'!$B$2:$M$14</definedName>
    <definedName name="_xlnm.Print_Area" localSheetId="0">PAINEL!$A$1:$AD$21</definedName>
    <definedName name="CURTO_PRAZO">'METAS DE VIDA'!$K$5:$K$14</definedName>
    <definedName name="LONGO_PRAZO">'METAS DE VIDA'!$E$5:$E$14</definedName>
    <definedName name="MEDIO_PRAZO">'METAS DE VIDA'!$H$5:$H$14</definedName>
    <definedName name="META_DE_VIDA">'METAS DE VIDA'!$D$5:$D$14</definedName>
  </definedNames>
  <calcPr calcId="145621"/>
</workbook>
</file>

<file path=xl/calcChain.xml><?xml version="1.0" encoding="utf-8"?>
<calcChain xmlns="http://schemas.openxmlformats.org/spreadsheetml/2006/main">
  <c r="B2" i="7" l="1"/>
  <c r="B2" i="6"/>
  <c r="B2" i="5"/>
  <c r="D4" i="7" l="1"/>
  <c r="M5" i="6" l="1"/>
  <c r="M6" i="6"/>
  <c r="M7" i="6"/>
  <c r="M8" i="6"/>
  <c r="M9" i="6"/>
  <c r="M10" i="6"/>
  <c r="M11" i="6"/>
  <c r="M12" i="6"/>
  <c r="M13" i="6"/>
  <c r="M14" i="6"/>
  <c r="J5" i="6"/>
  <c r="G5" i="6"/>
  <c r="G8" i="6"/>
  <c r="G9" i="6"/>
  <c r="G10" i="6"/>
  <c r="G11" i="6"/>
  <c r="G12" i="6"/>
  <c r="G13" i="6"/>
  <c r="G14" i="6"/>
  <c r="G7" i="6"/>
  <c r="G6" i="6" l="1"/>
  <c r="J6" i="6"/>
  <c r="C4" i="7"/>
  <c r="C4" i="6"/>
  <c r="L10" i="5"/>
  <c r="L8" i="5"/>
  <c r="L6" i="5"/>
  <c r="L7" i="5"/>
  <c r="L5" i="5"/>
  <c r="L9" i="5"/>
  <c r="L11" i="5"/>
  <c r="L12" i="5"/>
  <c r="L13" i="5"/>
  <c r="L14" i="5"/>
  <c r="K5" i="5"/>
  <c r="K6" i="5"/>
  <c r="K7" i="5"/>
  <c r="K8" i="5"/>
  <c r="K9" i="5"/>
  <c r="K10" i="5"/>
  <c r="K11" i="5"/>
  <c r="K12" i="5"/>
  <c r="K13" i="5"/>
  <c r="K14" i="5"/>
  <c r="J5" i="5"/>
  <c r="J6" i="5"/>
  <c r="J7" i="5"/>
  <c r="J8" i="5"/>
  <c r="J9" i="5"/>
  <c r="J10" i="5"/>
  <c r="J11" i="5"/>
  <c r="J12" i="5"/>
  <c r="J13" i="5"/>
  <c r="J14" i="5"/>
  <c r="I5" i="5"/>
  <c r="C5" i="7" s="1"/>
  <c r="I6" i="5"/>
  <c r="I7" i="5"/>
  <c r="I8" i="5"/>
  <c r="C8" i="7" s="1"/>
  <c r="I9" i="5"/>
  <c r="C9" i="7" s="1"/>
  <c r="I10" i="5"/>
  <c r="I11" i="5"/>
  <c r="C11" i="6" s="1"/>
  <c r="I12" i="5"/>
  <c r="C12" i="7" s="1"/>
  <c r="I13" i="5"/>
  <c r="C13" i="7" s="1"/>
  <c r="I14" i="5"/>
  <c r="J7" i="6" l="1"/>
  <c r="C7" i="6"/>
  <c r="C6" i="6"/>
  <c r="C10" i="6"/>
  <c r="C8" i="6"/>
  <c r="C14" i="6"/>
  <c r="C12" i="6"/>
  <c r="D11" i="7"/>
  <c r="C13" i="6"/>
  <c r="C9" i="6"/>
  <c r="C5" i="6"/>
  <c r="C11" i="7"/>
  <c r="C7" i="7"/>
  <c r="C14" i="7"/>
  <c r="C10" i="7"/>
  <c r="C6" i="7"/>
  <c r="L3" i="6"/>
  <c r="C3" i="7"/>
  <c r="S3" i="7"/>
  <c r="O8" i="7" l="1"/>
  <c r="D8" i="7"/>
  <c r="D14" i="7"/>
  <c r="D7" i="7"/>
  <c r="D6" i="7"/>
  <c r="D12" i="7"/>
  <c r="D10" i="7"/>
  <c r="D5" i="7"/>
  <c r="D13" i="7"/>
  <c r="D9" i="7"/>
  <c r="M5" i="7"/>
  <c r="L5" i="7" s="1"/>
  <c r="M6" i="7"/>
  <c r="L6" i="7" s="1"/>
  <c r="M7" i="7"/>
  <c r="M8" i="7"/>
  <c r="M9" i="7"/>
  <c r="M10" i="7"/>
  <c r="M11" i="7"/>
  <c r="P11" i="7" s="1"/>
  <c r="M12" i="7"/>
  <c r="M13" i="7"/>
  <c r="P13" i="7" s="1"/>
  <c r="M14" i="7"/>
  <c r="P14" i="7" s="1"/>
  <c r="N5" i="7"/>
  <c r="N6" i="7"/>
  <c r="N7" i="7"/>
  <c r="O5" i="7"/>
  <c r="O6" i="7"/>
  <c r="O7" i="7"/>
  <c r="L9" i="7" l="1"/>
  <c r="P9" i="7"/>
  <c r="L12" i="7"/>
  <c r="P12" i="7"/>
  <c r="L10" i="7"/>
  <c r="P10" i="7"/>
  <c r="L8" i="7"/>
  <c r="P8" i="7"/>
  <c r="J8" i="6"/>
  <c r="N8" i="7" s="1"/>
  <c r="O9" i="7"/>
  <c r="K5" i="7"/>
  <c r="L13" i="7"/>
  <c r="K13" i="7"/>
  <c r="L11" i="7"/>
  <c r="K11" i="7"/>
  <c r="L7" i="7"/>
  <c r="K7" i="7"/>
  <c r="K14" i="7"/>
  <c r="L14" i="7"/>
  <c r="K6" i="7"/>
  <c r="K8" i="7"/>
  <c r="K9" i="7"/>
  <c r="K10" i="7"/>
  <c r="K12" i="7"/>
  <c r="J9" i="6" l="1"/>
  <c r="N9" i="7" s="1"/>
  <c r="O10" i="7"/>
  <c r="J10" i="6" l="1"/>
  <c r="N10" i="7" s="1"/>
  <c r="O11" i="7"/>
  <c r="J11" i="6" l="1"/>
  <c r="N11" i="7" s="1"/>
  <c r="O12" i="7"/>
  <c r="J12" i="6" l="1"/>
  <c r="N12" i="7" s="1"/>
  <c r="O13" i="7"/>
  <c r="J13" i="6" l="1"/>
  <c r="N13" i="7" s="1"/>
  <c r="O14" i="7"/>
  <c r="P6" i="7" l="1"/>
  <c r="P7" i="7"/>
  <c r="P5" i="7"/>
  <c r="J14" i="6"/>
  <c r="N14" i="7" s="1"/>
</calcChain>
</file>

<file path=xl/sharedStrings.xml><?xml version="1.0" encoding="utf-8"?>
<sst xmlns="http://schemas.openxmlformats.org/spreadsheetml/2006/main" count="77" uniqueCount="60">
  <si>
    <t>CARREIRA</t>
  </si>
  <si>
    <t>FINANÇAS</t>
  </si>
  <si>
    <t>COMO VOCÊ GOSTARIA DE SER?</t>
  </si>
  <si>
    <t>COMO VOCÊ SE AVALIA HOJE?</t>
  </si>
  <si>
    <t>NOTA
GERAL
(1-10)</t>
  </si>
  <si>
    <t>SAÚDE</t>
  </si>
  <si>
    <t>DISTRIBUIÇÃO GRÁFICA DA AVALIAÇÃO</t>
  </si>
  <si>
    <t>ÁREAS MAIS IMPORTANTES</t>
  </si>
  <si>
    <t>PASSO 1 - AVALIAÇÃO DAS ÁREAS MAIS IMPORTANTES DE SUA VIDA</t>
  </si>
  <si>
    <t>META DE VIDA</t>
  </si>
  <si>
    <t>META DE LONGO PRAZO</t>
  </si>
  <si>
    <t>META DE MÉDIO PRAZO</t>
  </si>
  <si>
    <t>INÍCIO</t>
  </si>
  <si>
    <t>DATA</t>
  </si>
  <si>
    <t>PASSO 2 - DEFINIÇÃO DE METAS DE LONGO E MÉDIO PRAZO PARA CADA ÁREA</t>
  </si>
  <si>
    <t>PASSO 3 - ACOMPANHAMENTO PERIÓDICO E REVISÃO DAS METAS</t>
  </si>
  <si>
    <t>HOJE</t>
  </si>
  <si>
    <t>GRAU DE PRIORI-
DADE</t>
  </si>
  <si>
    <t xml:space="preserve"> </t>
  </si>
  <si>
    <t>Ultrapassar marca dos R$ 25 mil em opções de investimento conservadoras e de alta liquidez (poupança, CDB etc.)</t>
  </si>
  <si>
    <t>Poupar pelo menos R$ 12 mil em opções de investimento conservadoras e de alta liquidez (poupança, CDB etc.)</t>
  </si>
  <si>
    <t>Iniciar pós-graduação cujo plano de curso contemple as principais competências requeridas para assumir cargo de gestão na Área de Recursos Humanos.</t>
  </si>
  <si>
    <t>Participar de pelo menos duas corridas oficiais de 10km.</t>
  </si>
  <si>
    <t>Participar de pelo menos duas corridas oficiais de 5km.</t>
  </si>
  <si>
    <t>PLANEJAMENTO DE CARREIRA E METAS PESSOAIS DE VIDA</t>
  </si>
  <si>
    <t>META DE CURTO PRAZO</t>
  </si>
  <si>
    <t>METAS DE CURTO PRAZO (CP)</t>
  </si>
  <si>
    <t>Navegue pela planilha através das seções abaixo:</t>
  </si>
  <si>
    <t>PAINEL INICIAL</t>
  </si>
  <si>
    <t>PRAZO EM ANOS
(4 OU +)</t>
  </si>
  <si>
    <t>PRAZO EM ANOS
(2 OU +)</t>
  </si>
  <si>
    <t>PRAZO EM MESES
(10 OU +)</t>
  </si>
  <si>
    <t>Hoje eu estou bem fisicamente, um pouco abaixo de peso mas me sinto bem. Não vou ao médico com frequência, somente quando estou com mal estar ou acontece algum acidente. Minha alimentação é péssima, me alimento bastante mas muitas vezes não coisas saudáveis.</t>
  </si>
  <si>
    <t>Gostaria que não fosse tão magro, ir mais ao médico, não só quando tem algum problema, mas frequêntemente. Queria me alimentar melhor, com coisas saudáveis e não comer coisas que eu sei que me faz mal.</t>
  </si>
  <si>
    <t>Não sou muito bom no que faço hoje, tenho muita dificuldade,com certeza não vou seguir nessa área que é designer mas em quanto estou no curso faço tudo com muito empenho e vontade.</t>
  </si>
  <si>
    <t>Gostaria mesmo é ser o que todo garoto queria na infância, mas é poucos que conseguem isso. Quero estar dentro de uma empresa e ser reconhecido, ser um icone para aquela empresa, realmente fazer a diferença.</t>
  </si>
  <si>
    <t>Minha renda mensal é péssima, até aumentou um pouco mas não da nem para me manter, dependo dos meus pais para tudo, ainda não tenho um emprego, tenhos uns ganhos de guri que é fazendo uns bico por ai, mas nada fixo.</t>
  </si>
  <si>
    <t>Gostaria de ter muito dinheiro, poder fazer o que me desse vontade sem se preocupar com isso, poder ajudar quem não tem, mas não é assim que é as coisas, tem que lutar para conseguir e num futuro quem sabe não posso ter mesmo isso.</t>
  </si>
  <si>
    <t>FAMÍLIA</t>
  </si>
  <si>
    <t xml:space="preserve">Tenho uma família muito unída, que sempre está junto, sempre se ajudando. Não tem discordâncias nem briga entre minha família, é tudo na paz. </t>
  </si>
  <si>
    <t>Apenas que permaneça assim, do que jeito que é.</t>
  </si>
  <si>
    <t>VIDA SOCIAL</t>
  </si>
  <si>
    <t>Hoje em dia tenho uma vida social bem ativa, não vou muito para festas, mas sempre que posso estou perto de pessoas.</t>
  </si>
  <si>
    <t>Pra falar bem a verdade, é bem assim que eu queria, não mudaria nada porque em relação a vida social está perfeito.</t>
  </si>
  <si>
    <t>ESPIRITUALIDADE</t>
  </si>
  <si>
    <t>Tenho muita fé em Deus, desde que nasci, fui criado com os ensinamentos de Deus, sempre fui a igreja, hoje estou um pouco afastado, não vou muito.</t>
  </si>
  <si>
    <t>Gostaria de voltar a ir na igreja como antes, sinto falta, sinto necessidade de ir, mas ainda vou voltar tenho certeza.</t>
  </si>
  <si>
    <t>Minha meta de vida em relação a espiritualidade, é estar bem com Deus, fazer as coisas certas como manda a biblia, claro que tenho que mudar muito, mas espero um dia poder fazer coisas certas.</t>
  </si>
  <si>
    <t>Quero estar bem de saúde, me alimentar melhor e ter um bom preparo físico para quando for mais velho poder fazer muitas coisas por muito tempo.</t>
  </si>
  <si>
    <t>Estar em um grande cargo, ter sucesso no meu futuro emprego e ter uma boa renda, ser importante dentro da empresa que trabalha.</t>
  </si>
  <si>
    <t>Manter minhas amizades, sempre crescendo com eles e fazer novos amigos sempre que puder.</t>
  </si>
  <si>
    <t>Ter muito dinheiro, sem passar por cima de ninguém, conquistar tudo que quero, ter um bom emprego ai sim ter muito dinheiro.</t>
  </si>
  <si>
    <t>Manter a família sempre unida, sempre junto sempre sem brigas e todos se ajudando. Construir uma nova familia.</t>
  </si>
  <si>
    <t>Estar de volta dentro da igreja, estar de bem com Deus e se puder ajudar uma instituição de caridade.</t>
  </si>
  <si>
    <t>Estar bem fisicamente como se fosse hoje.</t>
  </si>
  <si>
    <t>Casar-me e ter filhos.</t>
  </si>
  <si>
    <t>Fazer novos amigos.</t>
  </si>
  <si>
    <t>Ter um bom dinheiro guardado para ter minha própria casa e minha família.</t>
  </si>
  <si>
    <t>Ter uma empresa em meu nome e ser bem sucedida.</t>
  </si>
  <si>
    <t>Voltar a igreja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</si>
</sst>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mmm/yy&quot; (hoje)&quot;"/>
    <numFmt numFmtId="165" formatCode="mmm/yy&quot; (término)&quot;"/>
    <numFmt numFmtId="166" formatCode="mmm/yy&quot; (LP)&quot;"/>
    <numFmt numFmtId="167" formatCode="mmm/yy&quot; (MP)&quot;"/>
    <numFmt numFmtId="168" formatCode="mmm/yy&quot; (CP)&quot;"/>
  </numFmts>
  <fonts count="22" x14ac:knownFonts="1">
    <font>
      <sz val="11"/>
      <color theme="1"/>
      <name val="Calibri"/>
      <family val="2"/>
      <scheme val="minor"/>
    </font>
    <font>
      <sz val="16"/>
      <color theme="1"/>
      <name val="Calibri"/>
      <family val="2"/>
      <scheme val="minor"/>
    </font>
    <font>
      <sz val="24"/>
      <color theme="1"/>
      <name val="Calibri"/>
      <family val="2"/>
      <scheme val="minor"/>
    </font>
    <font>
      <b/>
      <sz val="24"/>
      <color theme="1"/>
      <name val="Calibri"/>
      <family val="2"/>
      <scheme val="minor"/>
    </font>
    <font>
      <b/>
      <sz val="36"/>
      <color theme="1"/>
      <name val="Calibri"/>
      <family val="2"/>
      <scheme val="minor"/>
    </font>
    <font>
      <sz val="48"/>
      <color theme="1"/>
      <name val="Calibri"/>
      <family val="2"/>
      <scheme val="minor"/>
    </font>
    <font>
      <sz val="16"/>
      <name val="Calibri"/>
      <family val="2"/>
      <scheme val="minor"/>
    </font>
    <font>
      <sz val="24"/>
      <name val="Calibri"/>
      <family val="2"/>
      <scheme val="minor"/>
    </font>
    <font>
      <sz val="20"/>
      <name val="Calibri"/>
      <family val="2"/>
      <scheme val="minor"/>
    </font>
    <font>
      <sz val="18"/>
      <color theme="3"/>
      <name val="Calibri"/>
      <family val="2"/>
      <scheme val="minor"/>
    </font>
    <font>
      <b/>
      <sz val="20"/>
      <color theme="3" tint="-0.249977111117893"/>
      <name val="Calibri"/>
      <family val="2"/>
      <scheme val="minor"/>
    </font>
    <font>
      <b/>
      <sz val="28"/>
      <color theme="3" tint="-0.249977111117893"/>
      <name val="Calibri"/>
      <family val="2"/>
      <scheme val="minor"/>
    </font>
    <font>
      <sz val="11"/>
      <color theme="0"/>
      <name val="Calibri"/>
      <family val="2"/>
      <scheme val="minor"/>
    </font>
    <font>
      <sz val="24"/>
      <color theme="0"/>
      <name val="Calibri"/>
      <family val="2"/>
      <scheme val="minor"/>
    </font>
    <font>
      <sz val="20"/>
      <color theme="1"/>
      <name val="Calibri"/>
      <family val="2"/>
      <scheme val="minor"/>
    </font>
    <font>
      <b/>
      <sz val="16"/>
      <color theme="3" tint="-0.249977111117893"/>
      <name val="Calibri"/>
      <family val="2"/>
      <scheme val="minor"/>
    </font>
    <font>
      <b/>
      <sz val="12"/>
      <color theme="3" tint="-0.249977111117893"/>
      <name val="Calibri"/>
      <family val="2"/>
      <scheme val="minor"/>
    </font>
    <font>
      <i/>
      <sz val="14"/>
      <color theme="3"/>
      <name val="Calibri"/>
      <family val="2"/>
      <scheme val="minor"/>
    </font>
    <font>
      <sz val="12"/>
      <color theme="3"/>
      <name val="Calibri"/>
      <family val="2"/>
      <scheme val="minor"/>
    </font>
    <font>
      <b/>
      <sz val="18"/>
      <color theme="1"/>
      <name val="Calibri"/>
      <family val="2"/>
      <scheme val="minor"/>
    </font>
    <font>
      <sz val="18"/>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EAEAEA"/>
        <bgColor indexed="64"/>
      </patternFill>
    </fill>
    <fill>
      <patternFill patternType="solid">
        <fgColor theme="0"/>
        <bgColor indexed="64"/>
      </patternFill>
    </fill>
    <fill>
      <patternFill patternType="solid">
        <fgColor theme="4"/>
        <bgColor indexed="64"/>
      </patternFill>
    </fill>
  </fills>
  <borders count="23">
    <border>
      <left/>
      <right/>
      <top/>
      <bottom/>
      <diagonal/>
    </border>
    <border>
      <left/>
      <right/>
      <top/>
      <bottom style="thick">
        <color theme="3"/>
      </bottom>
      <diagonal/>
    </border>
    <border>
      <left/>
      <right/>
      <top style="thick">
        <color theme="3"/>
      </top>
      <bottom style="thin">
        <color theme="3"/>
      </bottom>
      <diagonal/>
    </border>
    <border>
      <left/>
      <right style="thin">
        <color theme="3"/>
      </right>
      <top style="thick">
        <color theme="3"/>
      </top>
      <bottom style="thin">
        <color theme="3"/>
      </bottom>
      <diagonal/>
    </border>
    <border>
      <left style="thin">
        <color theme="3"/>
      </left>
      <right style="thin">
        <color theme="3"/>
      </right>
      <top style="thick">
        <color theme="3"/>
      </top>
      <bottom style="thin">
        <color theme="3"/>
      </bottom>
      <diagonal/>
    </border>
    <border>
      <left style="thin">
        <color theme="3"/>
      </left>
      <right/>
      <top style="thick">
        <color theme="3"/>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style="thin">
        <color theme="3"/>
      </left>
      <right/>
      <top/>
      <bottom style="thin">
        <color theme="3"/>
      </bottom>
      <diagonal/>
    </border>
    <border>
      <left/>
      <right/>
      <top/>
      <bottom style="thin">
        <color theme="3"/>
      </bottom>
      <diagonal/>
    </border>
    <border>
      <left/>
      <right style="thin">
        <color theme="3"/>
      </right>
      <top style="thick">
        <color theme="3"/>
      </top>
      <bottom/>
      <diagonal/>
    </border>
    <border>
      <left/>
      <right style="thin">
        <color theme="3"/>
      </right>
      <top/>
      <bottom/>
      <diagonal/>
    </border>
    <border>
      <left/>
      <right style="thin">
        <color theme="3"/>
      </right>
      <top/>
      <bottom style="thin">
        <color theme="3"/>
      </bottom>
      <diagonal/>
    </border>
    <border>
      <left/>
      <right/>
      <top style="thin">
        <color theme="3"/>
      </top>
      <bottom style="thin">
        <color theme="3"/>
      </bottom>
      <diagonal/>
    </border>
    <border>
      <left style="dotted">
        <color theme="0" tint="-0.24994659260841701"/>
      </left>
      <right/>
      <top style="thick">
        <color theme="3"/>
      </top>
      <bottom style="thin">
        <color theme="3"/>
      </bottom>
      <diagonal/>
    </border>
    <border>
      <left style="dotted">
        <color theme="0" tint="-0.24994659260841701"/>
      </left>
      <right/>
      <top style="thin">
        <color theme="3"/>
      </top>
      <bottom style="thin">
        <color theme="3"/>
      </bottom>
      <diagonal/>
    </border>
    <border>
      <left style="thin">
        <color theme="3"/>
      </left>
      <right/>
      <top style="thick">
        <color theme="3"/>
      </top>
      <bottom/>
      <diagonal/>
    </border>
    <border>
      <left/>
      <right/>
      <top style="thick">
        <color theme="3"/>
      </top>
      <bottom/>
      <diagonal/>
    </border>
    <border>
      <left/>
      <right/>
      <top/>
      <bottom style="thin">
        <color theme="1" tint="0.499984740745262"/>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1">
    <xf numFmtId="0" fontId="0" fillId="0" borderId="0"/>
  </cellStyleXfs>
  <cellXfs count="96">
    <xf numFmtId="0" fontId="0" fillId="0" borderId="0" xfId="0"/>
    <xf numFmtId="14" fontId="11" fillId="2" borderId="0" xfId="0" applyNumberFormat="1" applyFont="1" applyFill="1" applyAlignment="1" applyProtection="1">
      <alignment horizontal="left" vertical="center" wrapText="1"/>
      <protection locked="0"/>
    </xf>
    <xf numFmtId="0" fontId="1" fillId="2" borderId="4" xfId="0" applyFont="1" applyFill="1" applyBorder="1" applyAlignment="1" applyProtection="1">
      <alignment horizontal="left" vertical="center" wrapText="1" indent="1"/>
      <protection locked="0"/>
    </xf>
    <xf numFmtId="0" fontId="1" fillId="4" borderId="2" xfId="0" applyFont="1" applyFill="1" applyBorder="1" applyAlignment="1" applyProtection="1">
      <alignment horizontal="left" vertical="center" wrapText="1" indent="1"/>
      <protection locked="0"/>
    </xf>
    <xf numFmtId="0" fontId="2" fillId="4" borderId="15" xfId="0" applyFont="1" applyFill="1" applyBorder="1" applyAlignment="1" applyProtection="1">
      <alignment horizontal="center" vertical="center" wrapText="1"/>
      <protection locked="0"/>
    </xf>
    <xf numFmtId="0" fontId="1" fillId="2" borderId="7" xfId="0" applyFont="1" applyFill="1" applyBorder="1" applyAlignment="1" applyProtection="1">
      <alignment horizontal="left" vertical="center" wrapText="1" indent="1"/>
      <protection locked="0"/>
    </xf>
    <xf numFmtId="0" fontId="1" fillId="0" borderId="14" xfId="0" applyFont="1" applyBorder="1" applyAlignment="1" applyProtection="1">
      <alignment horizontal="left" vertical="center" wrapText="1" indent="1"/>
      <protection locked="0"/>
    </xf>
    <xf numFmtId="0" fontId="2" fillId="4" borderId="16" xfId="0" applyFont="1" applyFill="1" applyBorder="1" applyAlignment="1" applyProtection="1">
      <alignment horizontal="center" vertical="center" wrapText="1"/>
      <protection locked="0"/>
    </xf>
    <xf numFmtId="0" fontId="1" fillId="0" borderId="8" xfId="0" applyFont="1" applyBorder="1" applyAlignment="1" applyProtection="1">
      <alignment horizontal="left" vertical="center" wrapText="1" indent="1"/>
      <protection locked="0"/>
    </xf>
    <xf numFmtId="0" fontId="8" fillId="0" borderId="3" xfId="0" applyFont="1" applyBorder="1" applyAlignment="1" applyProtection="1">
      <alignment horizontal="left" vertical="center" wrapText="1" indent="1"/>
      <protection locked="0"/>
    </xf>
    <xf numFmtId="0" fontId="1" fillId="0" borderId="5" xfId="0" applyFont="1" applyBorder="1" applyAlignment="1" applyProtection="1">
      <alignment horizontal="left" vertical="center" wrapText="1" indent="1"/>
      <protection locked="0"/>
    </xf>
    <xf numFmtId="0" fontId="8" fillId="0" borderId="6" xfId="0" applyFont="1" applyBorder="1" applyAlignment="1" applyProtection="1">
      <alignment horizontal="left" vertical="center" wrapText="1" indent="1"/>
      <protection locked="0"/>
    </xf>
    <xf numFmtId="0" fontId="2" fillId="2" borderId="3" xfId="0" applyFont="1" applyFill="1" applyBorder="1" applyAlignment="1" applyProtection="1">
      <alignment horizontal="center" vertical="center" wrapText="1"/>
      <protection locked="0"/>
    </xf>
    <xf numFmtId="0" fontId="2" fillId="2" borderId="6" xfId="0" applyFont="1" applyFill="1" applyBorder="1" applyAlignment="1" applyProtection="1">
      <alignment horizontal="center" vertical="center" wrapText="1"/>
      <protection locked="0"/>
    </xf>
    <xf numFmtId="0" fontId="0" fillId="0" borderId="0" xfId="0" applyProtection="1">
      <protection hidden="1"/>
    </xf>
    <xf numFmtId="0" fontId="0" fillId="0" borderId="0" xfId="0" applyAlignment="1" applyProtection="1">
      <alignment horizontal="left" wrapText="1"/>
      <protection hidden="1"/>
    </xf>
    <xf numFmtId="0" fontId="0" fillId="0" borderId="0" xfId="0" applyAlignment="1" applyProtection="1">
      <alignment horizontal="center" wrapText="1"/>
      <protection hidden="1"/>
    </xf>
    <xf numFmtId="0" fontId="5" fillId="0" borderId="0" xfId="0" applyFont="1" applyProtection="1">
      <protection hidden="1"/>
    </xf>
    <xf numFmtId="0" fontId="4" fillId="0" borderId="0" xfId="0" applyFont="1" applyAlignment="1" applyProtection="1">
      <protection hidden="1"/>
    </xf>
    <xf numFmtId="0" fontId="4" fillId="0" borderId="0" xfId="0" applyFont="1" applyAlignment="1" applyProtection="1">
      <alignment horizontal="left" vertical="top" wrapText="1"/>
      <protection hidden="1"/>
    </xf>
    <xf numFmtId="0" fontId="4" fillId="0" borderId="0" xfId="0" applyFont="1" applyAlignment="1" applyProtection="1">
      <alignment vertical="top"/>
      <protection hidden="1"/>
    </xf>
    <xf numFmtId="0" fontId="3" fillId="0" borderId="0" xfId="0" applyFont="1" applyAlignment="1" applyProtection="1">
      <alignment horizontal="right"/>
      <protection hidden="1"/>
    </xf>
    <xf numFmtId="0" fontId="0" fillId="0" borderId="0" xfId="0" applyAlignment="1" applyProtection="1">
      <alignment vertical="center"/>
      <protection hidden="1"/>
    </xf>
    <xf numFmtId="0" fontId="10" fillId="2" borderId="0" xfId="0" applyFont="1" applyFill="1" applyAlignment="1" applyProtection="1">
      <alignment horizontal="center" vertical="center"/>
      <protection hidden="1"/>
    </xf>
    <xf numFmtId="14" fontId="11" fillId="2" borderId="0" xfId="0" applyNumberFormat="1" applyFont="1" applyFill="1" applyAlignment="1" applyProtection="1">
      <alignment horizontal="left" vertical="center" wrapText="1"/>
      <protection hidden="1"/>
    </xf>
    <xf numFmtId="0" fontId="0" fillId="2" borderId="0" xfId="0" applyFill="1" applyAlignment="1" applyProtection="1">
      <alignment vertical="center"/>
      <protection hidden="1"/>
    </xf>
    <xf numFmtId="0" fontId="0" fillId="2" borderId="0" xfId="0" applyFill="1" applyProtection="1">
      <protection hidden="1"/>
    </xf>
    <xf numFmtId="0" fontId="10" fillId="2" borderId="0" xfId="0" applyFont="1" applyFill="1" applyAlignment="1" applyProtection="1">
      <alignment horizontal="right" vertical="center" indent="1"/>
      <protection hidden="1"/>
    </xf>
    <xf numFmtId="14" fontId="11" fillId="2" borderId="0" xfId="0" applyNumberFormat="1" applyFont="1" applyFill="1" applyAlignment="1" applyProtection="1">
      <alignment vertical="center" wrapText="1"/>
      <protection hidden="1"/>
    </xf>
    <xf numFmtId="0" fontId="0" fillId="0" borderId="0" xfId="0" applyAlignment="1" applyProtection="1">
      <alignment wrapText="1"/>
      <protection hidden="1"/>
    </xf>
    <xf numFmtId="0" fontId="7" fillId="0" borderId="1" xfId="0" applyFont="1" applyBorder="1" applyAlignment="1" applyProtection="1">
      <alignment horizontal="center" wrapText="1"/>
      <protection hidden="1"/>
    </xf>
    <xf numFmtId="0" fontId="2" fillId="0" borderId="1" xfId="0" applyFont="1" applyBorder="1" applyAlignment="1" applyProtection="1">
      <alignment horizontal="center" wrapText="1"/>
      <protection hidden="1"/>
    </xf>
    <xf numFmtId="0" fontId="9" fillId="0" borderId="1" xfId="0" applyFont="1" applyBorder="1" applyAlignment="1" applyProtection="1">
      <alignment horizontal="center" wrapText="1"/>
      <protection hidden="1"/>
    </xf>
    <xf numFmtId="0" fontId="0" fillId="0" borderId="11" xfId="0" applyBorder="1" applyAlignment="1" applyProtection="1">
      <alignment vertical="center"/>
      <protection hidden="1"/>
    </xf>
    <xf numFmtId="0" fontId="0" fillId="0" borderId="12" xfId="0" applyBorder="1" applyAlignment="1" applyProtection="1">
      <alignment vertical="center"/>
      <protection hidden="1"/>
    </xf>
    <xf numFmtId="0" fontId="0" fillId="0" borderId="9" xfId="0" applyBorder="1" applyAlignment="1" applyProtection="1">
      <alignment vertical="center"/>
      <protection hidden="1"/>
    </xf>
    <xf numFmtId="0" fontId="0" fillId="0" borderId="10" xfId="0" applyBorder="1" applyAlignment="1" applyProtection="1">
      <alignment vertical="center"/>
      <protection hidden="1"/>
    </xf>
    <xf numFmtId="0" fontId="0" fillId="0" borderId="13" xfId="0" applyBorder="1" applyAlignment="1" applyProtection="1">
      <alignment vertical="center"/>
      <protection hidden="1"/>
    </xf>
    <xf numFmtId="0" fontId="6" fillId="0" borderId="2" xfId="0" applyFont="1" applyBorder="1" applyAlignment="1" applyProtection="1">
      <alignment horizontal="left" vertical="center" wrapText="1" indent="1"/>
      <protection hidden="1"/>
    </xf>
    <xf numFmtId="17" fontId="2" fillId="3" borderId="2" xfId="0" applyNumberFormat="1" applyFont="1" applyFill="1" applyBorder="1" applyAlignment="1" applyProtection="1">
      <alignment horizontal="center" vertical="center" wrapText="1"/>
      <protection hidden="1"/>
    </xf>
    <xf numFmtId="17" fontId="2" fillId="3" borderId="3" xfId="0" applyNumberFormat="1" applyFont="1" applyFill="1" applyBorder="1" applyAlignment="1" applyProtection="1">
      <alignment horizontal="center" vertical="center" wrapText="1"/>
      <protection hidden="1"/>
    </xf>
    <xf numFmtId="0" fontId="6" fillId="0" borderId="14" xfId="0" applyFont="1" applyBorder="1" applyAlignment="1" applyProtection="1">
      <alignment horizontal="left" vertical="center" wrapText="1" indent="1"/>
      <protection hidden="1"/>
    </xf>
    <xf numFmtId="17" fontId="2" fillId="3" borderId="14" xfId="0" applyNumberFormat="1" applyFont="1" applyFill="1" applyBorder="1" applyAlignment="1" applyProtection="1">
      <alignment horizontal="center" vertical="center" wrapText="1"/>
      <protection hidden="1"/>
    </xf>
    <xf numFmtId="17" fontId="2" fillId="3" borderId="6" xfId="0" applyNumberFormat="1" applyFont="1" applyFill="1" applyBorder="1" applyAlignment="1" applyProtection="1">
      <alignment horizontal="center" vertical="center" wrapText="1"/>
      <protection hidden="1"/>
    </xf>
    <xf numFmtId="0" fontId="8" fillId="0" borderId="2" xfId="0" applyFont="1" applyBorder="1" applyAlignment="1" applyProtection="1">
      <alignment horizontal="left" vertical="center" wrapText="1" indent="1"/>
      <protection hidden="1"/>
    </xf>
    <xf numFmtId="0" fontId="12" fillId="4" borderId="17" xfId="0" applyFont="1" applyFill="1" applyBorder="1" applyAlignment="1" applyProtection="1">
      <alignment vertical="center"/>
      <protection hidden="1"/>
    </xf>
    <xf numFmtId="0" fontId="12" fillId="4" borderId="18" xfId="0" applyFont="1" applyFill="1" applyBorder="1" applyAlignment="1" applyProtection="1">
      <alignment vertical="center"/>
      <protection hidden="1"/>
    </xf>
    <xf numFmtId="14" fontId="12" fillId="4" borderId="18" xfId="0" applyNumberFormat="1" applyFont="1" applyFill="1" applyBorder="1" applyAlignment="1" applyProtection="1">
      <alignment vertical="center"/>
      <protection hidden="1"/>
    </xf>
    <xf numFmtId="164" fontId="12" fillId="4" borderId="18" xfId="0" applyNumberFormat="1" applyFont="1" applyFill="1" applyBorder="1" applyAlignment="1" applyProtection="1">
      <alignment vertical="center"/>
      <protection hidden="1"/>
    </xf>
    <xf numFmtId="17" fontId="12" fillId="4" borderId="18" xfId="0" applyNumberFormat="1" applyFont="1" applyFill="1" applyBorder="1" applyAlignment="1" applyProtection="1">
      <alignment vertical="center"/>
      <protection hidden="1"/>
    </xf>
    <xf numFmtId="168" fontId="12" fillId="4" borderId="18" xfId="0" applyNumberFormat="1" applyFont="1" applyFill="1" applyBorder="1" applyAlignment="1" applyProtection="1">
      <alignment vertical="center"/>
      <protection hidden="1"/>
    </xf>
    <xf numFmtId="167" fontId="12" fillId="4" borderId="18" xfId="0" applyNumberFormat="1" applyFont="1" applyFill="1" applyBorder="1" applyAlignment="1" applyProtection="1">
      <alignment vertical="center"/>
      <protection hidden="1"/>
    </xf>
    <xf numFmtId="166" fontId="12" fillId="4" borderId="18" xfId="0" applyNumberFormat="1" applyFont="1" applyFill="1" applyBorder="1" applyAlignment="1" applyProtection="1">
      <alignment vertical="center"/>
      <protection hidden="1"/>
    </xf>
    <xf numFmtId="165" fontId="12" fillId="4" borderId="18" xfId="0" applyNumberFormat="1" applyFont="1" applyFill="1" applyBorder="1" applyAlignment="1" applyProtection="1">
      <alignment vertical="center"/>
      <protection hidden="1"/>
    </xf>
    <xf numFmtId="0" fontId="12" fillId="4" borderId="11" xfId="0" applyFont="1" applyFill="1" applyBorder="1" applyAlignment="1" applyProtection="1">
      <alignment vertical="center"/>
      <protection hidden="1"/>
    </xf>
    <xf numFmtId="0" fontId="8" fillId="0" borderId="14" xfId="0" applyFont="1" applyBorder="1" applyAlignment="1" applyProtection="1">
      <alignment horizontal="left" vertical="center" wrapText="1" indent="1"/>
      <protection hidden="1"/>
    </xf>
    <xf numFmtId="0" fontId="12" fillId="4" borderId="8" xfId="0" applyFont="1" applyFill="1" applyBorder="1" applyAlignment="1" applyProtection="1">
      <alignment vertical="center"/>
      <protection hidden="1"/>
    </xf>
    <xf numFmtId="0" fontId="12" fillId="4" borderId="14" xfId="0" applyFont="1" applyFill="1" applyBorder="1" applyAlignment="1" applyProtection="1">
      <alignment vertical="center"/>
      <protection hidden="1"/>
    </xf>
    <xf numFmtId="14" fontId="12" fillId="4" borderId="14" xfId="0" applyNumberFormat="1" applyFont="1" applyFill="1" applyBorder="1" applyAlignment="1" applyProtection="1">
      <alignment vertical="center"/>
      <protection hidden="1"/>
    </xf>
    <xf numFmtId="164" fontId="12" fillId="4" borderId="14" xfId="0" applyNumberFormat="1" applyFont="1" applyFill="1" applyBorder="1" applyAlignment="1" applyProtection="1">
      <alignment vertical="center"/>
      <protection hidden="1"/>
    </xf>
    <xf numFmtId="17" fontId="12" fillId="4" borderId="14" xfId="0" applyNumberFormat="1" applyFont="1" applyFill="1" applyBorder="1" applyAlignment="1" applyProtection="1">
      <alignment vertical="center"/>
      <protection hidden="1"/>
    </xf>
    <xf numFmtId="168" fontId="12" fillId="4" borderId="14" xfId="0" applyNumberFormat="1" applyFont="1" applyFill="1" applyBorder="1" applyAlignment="1" applyProtection="1">
      <alignment vertical="center"/>
      <protection hidden="1"/>
    </xf>
    <xf numFmtId="167" fontId="12" fillId="4" borderId="14" xfId="0" applyNumberFormat="1" applyFont="1" applyFill="1" applyBorder="1" applyAlignment="1" applyProtection="1">
      <alignment vertical="center"/>
      <protection hidden="1"/>
    </xf>
    <xf numFmtId="166" fontId="12" fillId="4" borderId="14" xfId="0" applyNumberFormat="1" applyFont="1" applyFill="1" applyBorder="1" applyAlignment="1" applyProtection="1">
      <alignment vertical="center"/>
      <protection hidden="1"/>
    </xf>
    <xf numFmtId="165" fontId="12" fillId="4" borderId="14" xfId="0" applyNumberFormat="1" applyFont="1" applyFill="1" applyBorder="1" applyAlignment="1" applyProtection="1">
      <alignment vertical="center"/>
      <protection hidden="1"/>
    </xf>
    <xf numFmtId="0" fontId="12" fillId="4" borderId="6" xfId="0" applyFont="1" applyFill="1" applyBorder="1" applyAlignment="1" applyProtection="1">
      <alignment vertical="center"/>
      <protection hidden="1"/>
    </xf>
    <xf numFmtId="0" fontId="12" fillId="0" borderId="0" xfId="0" applyFont="1" applyAlignment="1" applyProtection="1">
      <alignment vertical="center"/>
      <protection hidden="1"/>
    </xf>
    <xf numFmtId="0" fontId="12" fillId="0" borderId="10" xfId="0" applyFont="1" applyBorder="1" applyAlignment="1" applyProtection="1">
      <alignment vertical="center"/>
      <protection hidden="1"/>
    </xf>
    <xf numFmtId="0" fontId="13" fillId="5" borderId="5" xfId="0" applyFont="1" applyFill="1" applyBorder="1" applyAlignment="1" applyProtection="1">
      <alignment horizontal="center" vertical="center" wrapText="1"/>
      <protection hidden="1"/>
    </xf>
    <xf numFmtId="0" fontId="13" fillId="5" borderId="8" xfId="0" applyFont="1" applyFill="1" applyBorder="1" applyAlignment="1" applyProtection="1">
      <alignment horizontal="center" vertical="center" wrapText="1"/>
      <protection hidden="1"/>
    </xf>
    <xf numFmtId="0" fontId="12" fillId="0" borderId="0" xfId="0" applyFont="1" applyProtection="1">
      <protection hidden="1"/>
    </xf>
    <xf numFmtId="0" fontId="13" fillId="5" borderId="5"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left" vertical="center" wrapText="1" indent="1"/>
      <protection hidden="1"/>
    </xf>
    <xf numFmtId="0" fontId="1" fillId="2" borderId="7" xfId="0" applyFont="1" applyFill="1" applyBorder="1" applyAlignment="1" applyProtection="1">
      <alignment horizontal="left" vertical="center" wrapText="1" indent="1"/>
      <protection hidden="1"/>
    </xf>
    <xf numFmtId="0" fontId="14" fillId="0" borderId="0" xfId="0" applyFont="1"/>
    <xf numFmtId="0" fontId="15" fillId="2" borderId="0" xfId="0" applyFont="1" applyFill="1" applyAlignment="1" applyProtection="1">
      <alignment horizontal="center" vertical="center"/>
      <protection hidden="1"/>
    </xf>
    <xf numFmtId="14" fontId="15" fillId="2" borderId="0" xfId="0" applyNumberFormat="1" applyFont="1" applyFill="1" applyAlignment="1" applyProtection="1">
      <alignment horizontal="left" vertical="center" wrapText="1"/>
      <protection locked="0"/>
    </xf>
    <xf numFmtId="0" fontId="1" fillId="2" borderId="0" xfId="0" applyFont="1" applyFill="1" applyAlignment="1" applyProtection="1">
      <alignment vertical="center"/>
      <protection hidden="1"/>
    </xf>
    <xf numFmtId="0" fontId="16" fillId="2" borderId="0" xfId="0" applyFont="1" applyFill="1" applyAlignment="1" applyProtection="1">
      <alignment horizontal="right" vertical="center" indent="1"/>
      <protection hidden="1"/>
    </xf>
    <xf numFmtId="0" fontId="0" fillId="0" borderId="19" xfId="0" applyBorder="1"/>
    <xf numFmtId="0" fontId="0" fillId="0" borderId="0" xfId="0" applyAlignment="1">
      <alignment vertical="center"/>
    </xf>
    <xf numFmtId="0" fontId="19" fillId="0" borderId="0" xfId="0" applyFont="1" applyAlignment="1" applyProtection="1">
      <protection hidden="1"/>
    </xf>
    <xf numFmtId="0" fontId="19" fillId="0" borderId="0" xfId="0" applyFont="1" applyAlignment="1" applyProtection="1">
      <alignment horizontal="left" vertical="top" wrapText="1"/>
      <protection hidden="1"/>
    </xf>
    <xf numFmtId="0" fontId="19" fillId="0" borderId="0" xfId="0" applyFont="1" applyAlignment="1" applyProtection="1">
      <alignment vertical="top"/>
      <protection hidden="1"/>
    </xf>
    <xf numFmtId="0" fontId="19" fillId="0" borderId="0" xfId="0" applyFont="1" applyAlignment="1" applyProtection="1">
      <alignment horizontal="right"/>
      <protection hidden="1"/>
    </xf>
    <xf numFmtId="0" fontId="20" fillId="0" borderId="0" xfId="0" applyFont="1"/>
    <xf numFmtId="0" fontId="21" fillId="0" borderId="0" xfId="0" applyFont="1" applyAlignment="1" applyProtection="1">
      <alignment horizontal="right"/>
      <protection hidden="1"/>
    </xf>
    <xf numFmtId="14" fontId="15" fillId="2" borderId="0" xfId="0" applyNumberFormat="1" applyFont="1" applyFill="1" applyAlignment="1" applyProtection="1">
      <alignment horizontal="right" vertical="center" wrapText="1"/>
      <protection hidden="1"/>
    </xf>
    <xf numFmtId="14" fontId="15" fillId="2" borderId="0" xfId="0" applyNumberFormat="1" applyFont="1" applyFill="1" applyAlignment="1" applyProtection="1">
      <alignment horizontal="left" vertical="center" wrapText="1"/>
      <protection hidden="1"/>
    </xf>
    <xf numFmtId="0" fontId="17" fillId="2" borderId="20" xfId="0" applyFont="1" applyFill="1" applyBorder="1" applyAlignment="1" applyProtection="1">
      <alignment horizontal="center" vertical="center" wrapText="1"/>
      <protection locked="0"/>
    </xf>
    <xf numFmtId="0" fontId="17" fillId="2" borderId="21" xfId="0" applyFont="1" applyFill="1" applyBorder="1" applyAlignment="1" applyProtection="1">
      <alignment horizontal="center" vertical="center" wrapText="1"/>
      <protection locked="0"/>
    </xf>
    <xf numFmtId="0" fontId="17" fillId="2" borderId="22" xfId="0" applyFont="1" applyFill="1" applyBorder="1" applyAlignment="1" applyProtection="1">
      <alignment horizontal="center" vertical="center" wrapText="1"/>
      <protection locked="0"/>
    </xf>
    <xf numFmtId="0" fontId="18" fillId="0" borderId="0" xfId="0" applyFont="1" applyAlignment="1">
      <alignment horizontal="center" vertical="center" wrapText="1"/>
    </xf>
    <xf numFmtId="0" fontId="2" fillId="0" borderId="1" xfId="0" applyFont="1" applyBorder="1" applyAlignment="1" applyProtection="1">
      <alignment horizontal="center" wrapText="1"/>
      <protection hidden="1"/>
    </xf>
    <xf numFmtId="14" fontId="11" fillId="2" borderId="0" xfId="0" applyNumberFormat="1" applyFont="1" applyFill="1" applyAlignment="1" applyProtection="1">
      <alignment horizontal="left" vertical="center" wrapText="1"/>
      <protection hidden="1"/>
    </xf>
  </cellXfs>
  <cellStyles count="1">
    <cellStyle name="Normal" xfId="0" builtinId="0"/>
  </cellStyles>
  <dxfs count="0"/>
  <tableStyles count="0" defaultTableStyle="TableStyleMedium9" defaultPivotStyle="PivotStyleLight16"/>
  <colors>
    <mruColors>
      <color rgb="FFEAEA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3000109268414"/>
          <c:y val="0.1142827870657632"/>
          <c:w val="0.51462916753077936"/>
          <c:h val="0.69622811159645082"/>
        </c:manualLayout>
      </c:layout>
      <c:radarChart>
        <c:radarStyle val="marker"/>
        <c:varyColors val="0"/>
        <c:ser>
          <c:idx val="0"/>
          <c:order val="0"/>
          <c:tx>
            <c:strRef>
              <c:f>ÁREAS!$D$4</c:f>
              <c:strCache>
                <c:ptCount val="1"/>
                <c:pt idx="0">
                  <c:v>COMO VOCÊ SE AVALIA HOJE?</c:v>
                </c:pt>
              </c:strCache>
            </c:strRef>
          </c:tx>
          <c:spPr>
            <a:ln w="3175" cap="rnd">
              <a:noFill/>
              <a:prstDash val="solid"/>
            </a:ln>
            <a:effectLst>
              <a:outerShdw blurRad="12700" dist="12700" dir="2700000" algn="tl" rotWithShape="0">
                <a:prstClr val="black">
                  <a:alpha val="40000"/>
                </a:prstClr>
              </a:outerShdw>
            </a:effectLst>
          </c:spPr>
          <c:marker>
            <c:symbol val="circle"/>
            <c:size val="15"/>
            <c:spPr>
              <a:solidFill>
                <a:schemeClr val="accent1"/>
              </a:solidFill>
              <a:ln>
                <a:noFill/>
                <a:prstDash val="solid"/>
              </a:ln>
              <a:effectLst>
                <a:outerShdw blurRad="12700" dist="12700" dir="2700000" algn="tl" rotWithShape="0">
                  <a:prstClr val="black">
                    <a:alpha val="40000"/>
                  </a:prstClr>
                </a:outerShdw>
              </a:effectLst>
              <a:scene3d>
                <a:camera prst="orthographicFront"/>
                <a:lightRig rig="threePt" dir="t"/>
              </a:scene3d>
              <a:sp3d>
                <a:bevelT/>
              </a:sp3d>
            </c:spPr>
          </c:marker>
          <c:cat>
            <c:strRef>
              <c:f>ÁREAS!$I$5:$I$14</c:f>
              <c:strCache>
                <c:ptCount val="6"/>
                <c:pt idx="0">
                  <c:v>ESPIRITUALIDADE</c:v>
                </c:pt>
                <c:pt idx="1">
                  <c:v>SAÚDE</c:v>
                </c:pt>
                <c:pt idx="2">
                  <c:v>FAMÍLIA</c:v>
                </c:pt>
                <c:pt idx="3">
                  <c:v>CARREIRA</c:v>
                </c:pt>
                <c:pt idx="4">
                  <c:v>VIDA SOCIAL</c:v>
                </c:pt>
                <c:pt idx="5">
                  <c:v>FINANÇAS</c:v>
                </c:pt>
              </c:strCache>
            </c:strRef>
          </c:cat>
          <c:val>
            <c:numRef>
              <c:f>ÁREAS!$J$5:$J$14</c:f>
              <c:numCache>
                <c:formatCode>General</c:formatCode>
                <c:ptCount val="10"/>
                <c:pt idx="0">
                  <c:v>8</c:v>
                </c:pt>
                <c:pt idx="1">
                  <c:v>8</c:v>
                </c:pt>
                <c:pt idx="2">
                  <c:v>10</c:v>
                </c:pt>
                <c:pt idx="3">
                  <c:v>6</c:v>
                </c:pt>
                <c:pt idx="4">
                  <c:v>8</c:v>
                </c:pt>
                <c:pt idx="5">
                  <c:v>5</c:v>
                </c:pt>
                <c:pt idx="6">
                  <c:v>0</c:v>
                </c:pt>
                <c:pt idx="7">
                  <c:v>0</c:v>
                </c:pt>
                <c:pt idx="8">
                  <c:v>0</c:v>
                </c:pt>
                <c:pt idx="9">
                  <c:v>0</c:v>
                </c:pt>
              </c:numCache>
            </c:numRef>
          </c:val>
        </c:ser>
        <c:ser>
          <c:idx val="1"/>
          <c:order val="1"/>
          <c:tx>
            <c:strRef>
              <c:f>ÁREAS!$F$4</c:f>
              <c:strCache>
                <c:ptCount val="1"/>
                <c:pt idx="0">
                  <c:v>COMO VOCÊ GOSTARIA DE SER?</c:v>
                </c:pt>
              </c:strCache>
            </c:strRef>
          </c:tx>
          <c:spPr>
            <a:ln w="3175" cap="rnd">
              <a:noFill/>
              <a:prstDash val="solid"/>
              <a:round/>
              <a:headEnd type="none"/>
              <a:tailEnd type="none"/>
            </a:ln>
            <a:effectLst>
              <a:outerShdw blurRad="12700" dist="12700" dir="2700000" algn="tl" rotWithShape="0">
                <a:prstClr val="black">
                  <a:alpha val="40000"/>
                </a:prstClr>
              </a:outerShdw>
            </a:effectLst>
          </c:spPr>
          <c:marker>
            <c:symbol val="circle"/>
            <c:size val="15"/>
            <c:spPr>
              <a:solidFill>
                <a:srgbClr val="C00000"/>
              </a:solidFill>
              <a:ln w="12700" cap="rnd" cmpd="sng">
                <a:noFill/>
                <a:prstDash val="solid"/>
                <a:round/>
              </a:ln>
              <a:effectLst>
                <a:outerShdw blurRad="12700" dist="12700" dir="2700000" algn="tl" rotWithShape="0">
                  <a:prstClr val="black">
                    <a:alpha val="40000"/>
                  </a:prstClr>
                </a:outerShdw>
              </a:effectLst>
              <a:scene3d>
                <a:camera prst="orthographicFront"/>
                <a:lightRig rig="threePt" dir="t"/>
              </a:scene3d>
              <a:sp3d>
                <a:bevelT/>
              </a:sp3d>
            </c:spPr>
          </c:marker>
          <c:cat>
            <c:strRef>
              <c:f>ÁREAS!$I$5:$I$14</c:f>
              <c:strCache>
                <c:ptCount val="6"/>
                <c:pt idx="0">
                  <c:v>ESPIRITUALIDADE</c:v>
                </c:pt>
                <c:pt idx="1">
                  <c:v>SAÚDE</c:v>
                </c:pt>
                <c:pt idx="2">
                  <c:v>FAMÍLIA</c:v>
                </c:pt>
                <c:pt idx="3">
                  <c:v>CARREIRA</c:v>
                </c:pt>
                <c:pt idx="4">
                  <c:v>VIDA SOCIAL</c:v>
                </c:pt>
                <c:pt idx="5">
                  <c:v>FINANÇAS</c:v>
                </c:pt>
              </c:strCache>
            </c:strRef>
          </c:cat>
          <c:val>
            <c:numRef>
              <c:f>ÁREAS!$K$5:$K$14</c:f>
              <c:numCache>
                <c:formatCode>General</c:formatCode>
                <c:ptCount val="10"/>
                <c:pt idx="0">
                  <c:v>10</c:v>
                </c:pt>
                <c:pt idx="1">
                  <c:v>10</c:v>
                </c:pt>
                <c:pt idx="2">
                  <c:v>10</c:v>
                </c:pt>
                <c:pt idx="3">
                  <c:v>10</c:v>
                </c:pt>
                <c:pt idx="4">
                  <c:v>10</c:v>
                </c:pt>
                <c:pt idx="5">
                  <c:v>10</c:v>
                </c:pt>
                <c:pt idx="6">
                  <c:v>0</c:v>
                </c:pt>
                <c:pt idx="7">
                  <c:v>0</c:v>
                </c:pt>
                <c:pt idx="8">
                  <c:v>0</c:v>
                </c:pt>
                <c:pt idx="9">
                  <c:v>0</c:v>
                </c:pt>
              </c:numCache>
            </c:numRef>
          </c:val>
        </c:ser>
        <c:dLbls>
          <c:showLegendKey val="0"/>
          <c:showVal val="0"/>
          <c:showCatName val="0"/>
          <c:showSerName val="0"/>
          <c:showPercent val="0"/>
          <c:showBubbleSize val="0"/>
        </c:dLbls>
        <c:axId val="30316032"/>
        <c:axId val="30317952"/>
      </c:radarChart>
      <c:catAx>
        <c:axId val="30316032"/>
        <c:scaling>
          <c:orientation val="minMax"/>
        </c:scaling>
        <c:delete val="0"/>
        <c:axPos val="b"/>
        <c:majorGridlines/>
        <c:majorTickMark val="out"/>
        <c:minorTickMark val="none"/>
        <c:tickLblPos val="nextTo"/>
        <c:txPr>
          <a:bodyPr/>
          <a:lstStyle/>
          <a:p>
            <a:pPr>
              <a:defRPr sz="1600"/>
            </a:pPr>
            <a:endParaRPr lang="pt-BR"/>
          </a:p>
        </c:txPr>
        <c:crossAx val="30317952"/>
        <c:crosses val="autoZero"/>
        <c:auto val="1"/>
        <c:lblAlgn val="ctr"/>
        <c:lblOffset val="100"/>
        <c:noMultiLvlLbl val="0"/>
      </c:catAx>
      <c:valAx>
        <c:axId val="30317952"/>
        <c:scaling>
          <c:orientation val="minMax"/>
          <c:min val="0"/>
        </c:scaling>
        <c:delete val="0"/>
        <c:axPos val="l"/>
        <c:majorGridlines>
          <c:spPr>
            <a:ln>
              <a:noFill/>
            </a:ln>
          </c:spPr>
        </c:majorGridlines>
        <c:numFmt formatCode="General" sourceLinked="1"/>
        <c:majorTickMark val="none"/>
        <c:minorTickMark val="none"/>
        <c:tickLblPos val="nextTo"/>
        <c:spPr>
          <a:ln w="28575">
            <a:solidFill>
              <a:schemeClr val="bg1">
                <a:lumMod val="75000"/>
              </a:schemeClr>
            </a:solidFill>
            <a:prstDash val="solid"/>
          </a:ln>
        </c:spPr>
        <c:crossAx val="30316032"/>
        <c:crosses val="autoZero"/>
        <c:crossBetween val="between"/>
        <c:minorUnit val="1"/>
      </c:valAx>
      <c:spPr>
        <a:noFill/>
      </c:spPr>
    </c:plotArea>
    <c:plotVisOnly val="1"/>
    <c:dispBlanksAs val="gap"/>
    <c:showDLblsOverMax val="0"/>
  </c:chart>
  <c:spPr>
    <a:noFill/>
    <a:ln>
      <a:noFill/>
    </a:ln>
  </c:spPr>
  <c:txPr>
    <a:bodyPr/>
    <a:lstStyle/>
    <a:p>
      <a:pPr>
        <a:defRPr sz="2000"/>
      </a:pPr>
      <a:endParaRPr lang="pt-BR"/>
    </a:p>
  </c:txPr>
  <c:printSettings>
    <c:headerFooter/>
    <c:pageMargins b="0.78740157499999996" l="0.511811024" r="0.511811024" t="0.78740157499999996" header="0.31496062000000186" footer="0.31496062000000186"/>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0"/>
    <c:plotArea>
      <c:layout>
        <c:manualLayout>
          <c:layoutTarget val="inner"/>
          <c:xMode val="edge"/>
          <c:yMode val="edge"/>
          <c:x val="0"/>
          <c:y val="0"/>
          <c:w val="0.99179544223638816"/>
          <c:h val="1"/>
        </c:manualLayout>
      </c:layout>
      <c:barChart>
        <c:barDir val="bar"/>
        <c:grouping val="clustered"/>
        <c:varyColors val="0"/>
        <c:ser>
          <c:idx val="2"/>
          <c:order val="0"/>
          <c:tx>
            <c:v>MÁXIMO</c:v>
          </c:tx>
          <c:spPr>
            <a:solidFill>
              <a:schemeClr val="bg1">
                <a:lumMod val="85000"/>
              </a:schemeClr>
            </a:solidFill>
          </c:spPr>
          <c:invertIfNegative val="0"/>
          <c:cat>
            <c:strRef>
              <c:f>ÁREAS!$I$5:$I$14</c:f>
              <c:strCache>
                <c:ptCount val="6"/>
                <c:pt idx="0">
                  <c:v>ESPIRITUALIDADE</c:v>
                </c:pt>
                <c:pt idx="1">
                  <c:v>SAÚDE</c:v>
                </c:pt>
                <c:pt idx="2">
                  <c:v>FAMÍLIA</c:v>
                </c:pt>
                <c:pt idx="3">
                  <c:v>CARREIRA</c:v>
                </c:pt>
                <c:pt idx="4">
                  <c:v>VIDA SOCIAL</c:v>
                </c:pt>
                <c:pt idx="5">
                  <c:v>FINANÇAS</c:v>
                </c:pt>
              </c:strCache>
            </c:strRef>
          </c:cat>
          <c:val>
            <c:numLit>
              <c:formatCode>General</c:formatCode>
              <c:ptCount val="10"/>
              <c:pt idx="0">
                <c:v>10</c:v>
              </c:pt>
              <c:pt idx="1">
                <c:v>10</c:v>
              </c:pt>
              <c:pt idx="2">
                <c:v>10</c:v>
              </c:pt>
              <c:pt idx="3">
                <c:v>10</c:v>
              </c:pt>
              <c:pt idx="4">
                <c:v>10</c:v>
              </c:pt>
              <c:pt idx="5">
                <c:v>10</c:v>
              </c:pt>
              <c:pt idx="6">
                <c:v>10</c:v>
              </c:pt>
              <c:pt idx="7">
                <c:v>10</c:v>
              </c:pt>
              <c:pt idx="8">
                <c:v>10</c:v>
              </c:pt>
              <c:pt idx="9">
                <c:v>10</c:v>
              </c:pt>
            </c:numLit>
          </c:val>
        </c:ser>
        <c:ser>
          <c:idx val="1"/>
          <c:order val="1"/>
          <c:tx>
            <c:strRef>
              <c:f>ÁREAS!$F$4</c:f>
              <c:strCache>
                <c:ptCount val="1"/>
                <c:pt idx="0">
                  <c:v>COMO VOCÊ GOSTARIA DE SER?</c:v>
                </c:pt>
              </c:strCache>
            </c:strRef>
          </c:tx>
          <c:invertIfNegative val="0"/>
          <c:cat>
            <c:strRef>
              <c:f>ÁREAS!$I$5:$I$14</c:f>
              <c:strCache>
                <c:ptCount val="6"/>
                <c:pt idx="0">
                  <c:v>ESPIRITUALIDADE</c:v>
                </c:pt>
                <c:pt idx="1">
                  <c:v>SAÚDE</c:v>
                </c:pt>
                <c:pt idx="2">
                  <c:v>FAMÍLIA</c:v>
                </c:pt>
                <c:pt idx="3">
                  <c:v>CARREIRA</c:v>
                </c:pt>
                <c:pt idx="4">
                  <c:v>VIDA SOCIAL</c:v>
                </c:pt>
                <c:pt idx="5">
                  <c:v>FINANÇAS</c:v>
                </c:pt>
              </c:strCache>
            </c:strRef>
          </c:cat>
          <c:val>
            <c:numRef>
              <c:f>ÁREAS!$K$5:$K$14</c:f>
              <c:numCache>
                <c:formatCode>General</c:formatCode>
                <c:ptCount val="10"/>
                <c:pt idx="0">
                  <c:v>10</c:v>
                </c:pt>
                <c:pt idx="1">
                  <c:v>10</c:v>
                </c:pt>
                <c:pt idx="2">
                  <c:v>10</c:v>
                </c:pt>
                <c:pt idx="3">
                  <c:v>10</c:v>
                </c:pt>
                <c:pt idx="4">
                  <c:v>10</c:v>
                </c:pt>
                <c:pt idx="5">
                  <c:v>10</c:v>
                </c:pt>
                <c:pt idx="6">
                  <c:v>0</c:v>
                </c:pt>
                <c:pt idx="7">
                  <c:v>0</c:v>
                </c:pt>
                <c:pt idx="8">
                  <c:v>0</c:v>
                </c:pt>
                <c:pt idx="9">
                  <c:v>0</c:v>
                </c:pt>
              </c:numCache>
            </c:numRef>
          </c:val>
        </c:ser>
        <c:ser>
          <c:idx val="0"/>
          <c:order val="2"/>
          <c:tx>
            <c:strRef>
              <c:f>ÁREAS!$D$4</c:f>
              <c:strCache>
                <c:ptCount val="1"/>
                <c:pt idx="0">
                  <c:v>COMO VOCÊ SE AVALIA HOJE?</c:v>
                </c:pt>
              </c:strCache>
            </c:strRef>
          </c:tx>
          <c:invertIfNegative val="0"/>
          <c:cat>
            <c:strRef>
              <c:f>ÁREAS!$I$5:$I$14</c:f>
              <c:strCache>
                <c:ptCount val="6"/>
                <c:pt idx="0">
                  <c:v>ESPIRITUALIDADE</c:v>
                </c:pt>
                <c:pt idx="1">
                  <c:v>SAÚDE</c:v>
                </c:pt>
                <c:pt idx="2">
                  <c:v>FAMÍLIA</c:v>
                </c:pt>
                <c:pt idx="3">
                  <c:v>CARREIRA</c:v>
                </c:pt>
                <c:pt idx="4">
                  <c:v>VIDA SOCIAL</c:v>
                </c:pt>
                <c:pt idx="5">
                  <c:v>FINANÇAS</c:v>
                </c:pt>
              </c:strCache>
            </c:strRef>
          </c:cat>
          <c:val>
            <c:numRef>
              <c:f>ÁREAS!$J$5:$J$14</c:f>
              <c:numCache>
                <c:formatCode>General</c:formatCode>
                <c:ptCount val="10"/>
                <c:pt idx="0">
                  <c:v>8</c:v>
                </c:pt>
                <c:pt idx="1">
                  <c:v>8</c:v>
                </c:pt>
                <c:pt idx="2">
                  <c:v>10</c:v>
                </c:pt>
                <c:pt idx="3">
                  <c:v>6</c:v>
                </c:pt>
                <c:pt idx="4">
                  <c:v>8</c:v>
                </c:pt>
                <c:pt idx="5">
                  <c:v>5</c:v>
                </c:pt>
                <c:pt idx="6">
                  <c:v>0</c:v>
                </c:pt>
                <c:pt idx="7">
                  <c:v>0</c:v>
                </c:pt>
                <c:pt idx="8">
                  <c:v>0</c:v>
                </c:pt>
                <c:pt idx="9">
                  <c:v>0</c:v>
                </c:pt>
              </c:numCache>
            </c:numRef>
          </c:val>
        </c:ser>
        <c:dLbls>
          <c:showLegendKey val="0"/>
          <c:showVal val="0"/>
          <c:showCatName val="0"/>
          <c:showSerName val="0"/>
          <c:showPercent val="0"/>
          <c:showBubbleSize val="0"/>
        </c:dLbls>
        <c:gapWidth val="50"/>
        <c:overlap val="100"/>
        <c:axId val="34300288"/>
        <c:axId val="34301824"/>
      </c:barChart>
      <c:catAx>
        <c:axId val="34300288"/>
        <c:scaling>
          <c:orientation val="maxMin"/>
        </c:scaling>
        <c:delete val="0"/>
        <c:axPos val="l"/>
        <c:majorTickMark val="none"/>
        <c:minorTickMark val="none"/>
        <c:tickLblPos val="low"/>
        <c:txPr>
          <a:bodyPr rot="0" vert="horz"/>
          <a:lstStyle/>
          <a:p>
            <a:pPr>
              <a:defRPr/>
            </a:pPr>
            <a:endParaRPr lang="pt-BR"/>
          </a:p>
        </c:txPr>
        <c:crossAx val="34301824"/>
        <c:crosses val="autoZero"/>
        <c:auto val="1"/>
        <c:lblAlgn val="ctr"/>
        <c:lblOffset val="100"/>
        <c:noMultiLvlLbl val="0"/>
      </c:catAx>
      <c:valAx>
        <c:axId val="34301824"/>
        <c:scaling>
          <c:orientation val="minMax"/>
          <c:max val="10"/>
          <c:min val="0"/>
        </c:scaling>
        <c:delete val="1"/>
        <c:axPos val="t"/>
        <c:numFmt formatCode="General" sourceLinked="1"/>
        <c:majorTickMark val="none"/>
        <c:minorTickMark val="none"/>
        <c:tickLblPos val="none"/>
        <c:crossAx val="34300288"/>
        <c:crosses val="autoZero"/>
        <c:crossBetween val="between"/>
      </c:valAx>
    </c:plotArea>
    <c:plotVisOnly val="1"/>
    <c:dispBlanksAs val="gap"/>
    <c:showDLblsOverMax val="0"/>
  </c:chart>
  <c:spPr>
    <a:noFill/>
    <a:ln>
      <a:noFill/>
    </a:ln>
  </c:spPr>
  <c:txPr>
    <a:bodyPr/>
    <a:lstStyle/>
    <a:p>
      <a:pPr>
        <a:defRPr sz="1800"/>
      </a:pPr>
      <a:endParaRPr lang="pt-BR"/>
    </a:p>
  </c:txPr>
  <c:printSettings>
    <c:headerFooter/>
    <c:pageMargins b="0.78740157499999996" l="0.511811024" r="0.511811024" t="0.78740157499999996" header="0.31496062000000197" footer="0.31496062000000197"/>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numRef>
              <c:f>ACOMPANHAMENTO!$K$5:$P$5</c:f>
              <c:numCache>
                <c:formatCode>mmm\-yy</c:formatCode>
                <c:ptCount val="6"/>
                <c:pt idx="0" formatCode="mmm/yy&quot; (hoje)&quot;">
                  <c:v>41900</c:v>
                </c:pt>
                <c:pt idx="1">
                  <c:v>42005</c:v>
                </c:pt>
                <c:pt idx="2" formatCode="mmm/yy&quot; (CP)&quot;">
                  <c:v>42308</c:v>
                </c:pt>
                <c:pt idx="3" formatCode="mmm/yy&quot; (MP)&quot;">
                  <c:v>42735</c:v>
                </c:pt>
                <c:pt idx="4" formatCode="mmm/yy&quot; (LP)&quot;">
                  <c:v>43465</c:v>
                </c:pt>
                <c:pt idx="5" formatCode="mmm/yy&quot; (término)&quot;">
                  <c:v>47483</c:v>
                </c:pt>
              </c:numCache>
            </c:num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3548544"/>
        <c:axId val="53550080"/>
      </c:lineChart>
      <c:dateAx>
        <c:axId val="53548544"/>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3550080"/>
        <c:crosses val="autoZero"/>
        <c:auto val="1"/>
        <c:lblOffset val="100"/>
        <c:baseTimeUnit val="months"/>
      </c:dateAx>
      <c:valAx>
        <c:axId val="53550080"/>
        <c:scaling>
          <c:orientation val="minMax"/>
          <c:max val="0"/>
        </c:scaling>
        <c:delete val="1"/>
        <c:axPos val="l"/>
        <c:numFmt formatCode="General" sourceLinked="1"/>
        <c:majorTickMark val="none"/>
        <c:minorTickMark val="none"/>
        <c:tickLblPos val="none"/>
        <c:crossAx val="53548544"/>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numRef>
              <c:f>ACOMPANHAMENTO!$K$6:$P$6</c:f>
              <c:numCache>
                <c:formatCode>mmm\-yy</c:formatCode>
                <c:ptCount val="6"/>
                <c:pt idx="0" formatCode="mmm/yy&quot; (hoje)&quot;">
                  <c:v>41900</c:v>
                </c:pt>
                <c:pt idx="1">
                  <c:v>42005</c:v>
                </c:pt>
                <c:pt idx="2" formatCode="mmm/yy&quot; (CP)&quot;">
                  <c:v>42369</c:v>
                </c:pt>
                <c:pt idx="3" formatCode="mmm/yy&quot; (MP)&quot;">
                  <c:v>42735</c:v>
                </c:pt>
                <c:pt idx="4" formatCode="mmm/yy&quot; (LP)&quot;">
                  <c:v>47483</c:v>
                </c:pt>
                <c:pt idx="5" formatCode="mmm/yy&quot; (término)&quot;">
                  <c:v>47483</c:v>
                </c:pt>
              </c:numCache>
            </c:num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3582848"/>
        <c:axId val="53596928"/>
      </c:lineChart>
      <c:dateAx>
        <c:axId val="53582848"/>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3596928"/>
        <c:crosses val="autoZero"/>
        <c:auto val="1"/>
        <c:lblOffset val="100"/>
        <c:baseTimeUnit val="months"/>
      </c:dateAx>
      <c:valAx>
        <c:axId val="53596928"/>
        <c:scaling>
          <c:orientation val="minMax"/>
          <c:max val="0"/>
        </c:scaling>
        <c:delete val="1"/>
        <c:axPos val="l"/>
        <c:numFmt formatCode="General" sourceLinked="1"/>
        <c:majorTickMark val="none"/>
        <c:minorTickMark val="none"/>
        <c:tickLblPos val="none"/>
        <c:crossAx val="53582848"/>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numRef>
              <c:f>ACOMPANHAMENTO!$K$7:$P$7</c:f>
              <c:numCache>
                <c:formatCode>mmm\-yy</c:formatCode>
                <c:ptCount val="6"/>
                <c:pt idx="0" formatCode="mmm/yy&quot; (hoje)&quot;">
                  <c:v>41900</c:v>
                </c:pt>
                <c:pt idx="1">
                  <c:v>42005</c:v>
                </c:pt>
                <c:pt idx="2" formatCode="mmm/yy&quot; (CP)&quot;">
                  <c:v>42369</c:v>
                </c:pt>
                <c:pt idx="3" formatCode="mmm/yy&quot; (MP)&quot;">
                  <c:v>42735</c:v>
                </c:pt>
                <c:pt idx="4" formatCode="mmm/yy&quot; (LP)&quot;">
                  <c:v>46387</c:v>
                </c:pt>
                <c:pt idx="5" formatCode="mmm/yy&quot; (término)&quot;">
                  <c:v>47483</c:v>
                </c:pt>
              </c:numCache>
            </c:num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3623040"/>
        <c:axId val="53649408"/>
      </c:lineChart>
      <c:dateAx>
        <c:axId val="53623040"/>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3649408"/>
        <c:crosses val="autoZero"/>
        <c:auto val="1"/>
        <c:lblOffset val="100"/>
        <c:baseTimeUnit val="months"/>
      </c:dateAx>
      <c:valAx>
        <c:axId val="53649408"/>
        <c:scaling>
          <c:orientation val="minMax"/>
          <c:max val="0"/>
        </c:scaling>
        <c:delete val="1"/>
        <c:axPos val="l"/>
        <c:numFmt formatCode="General" sourceLinked="1"/>
        <c:majorTickMark val="none"/>
        <c:minorTickMark val="none"/>
        <c:tickLblPos val="none"/>
        <c:crossAx val="53623040"/>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strRef>
              <c:f>ACOMPANHAMENTO!$K$8:$P$8</c:f>
              <c:strCache>
                <c:ptCount val="5"/>
                <c:pt idx="4">
                  <c:v>dez/24 (LP)</c:v>
                </c:pt>
              </c:strCache>
            </c:str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3661696"/>
        <c:axId val="53663232"/>
      </c:lineChart>
      <c:catAx>
        <c:axId val="53661696"/>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3663232"/>
        <c:crosses val="autoZero"/>
        <c:auto val="1"/>
        <c:lblAlgn val="ctr"/>
        <c:lblOffset val="100"/>
        <c:noMultiLvlLbl val="0"/>
      </c:catAx>
      <c:valAx>
        <c:axId val="53663232"/>
        <c:scaling>
          <c:orientation val="minMax"/>
          <c:max val="0"/>
        </c:scaling>
        <c:delete val="1"/>
        <c:axPos val="l"/>
        <c:numFmt formatCode="General" sourceLinked="1"/>
        <c:majorTickMark val="none"/>
        <c:minorTickMark val="none"/>
        <c:tickLblPos val="none"/>
        <c:crossAx val="53661696"/>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strRef>
              <c:f>ACOMPANHAMENTO!$K$9:$P$9</c:f>
              <c:strCache>
                <c:ptCount val="5"/>
                <c:pt idx="4">
                  <c:v>dez/18 (LP)</c:v>
                </c:pt>
              </c:strCache>
            </c:str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3896704"/>
        <c:axId val="53898240"/>
      </c:lineChart>
      <c:catAx>
        <c:axId val="53896704"/>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3898240"/>
        <c:crosses val="autoZero"/>
        <c:auto val="1"/>
        <c:lblAlgn val="ctr"/>
        <c:lblOffset val="100"/>
        <c:noMultiLvlLbl val="0"/>
      </c:catAx>
      <c:valAx>
        <c:axId val="53898240"/>
        <c:scaling>
          <c:orientation val="minMax"/>
          <c:max val="0"/>
        </c:scaling>
        <c:delete val="1"/>
        <c:axPos val="l"/>
        <c:numFmt formatCode="General" sourceLinked="1"/>
        <c:majorTickMark val="none"/>
        <c:minorTickMark val="none"/>
        <c:tickLblPos val="none"/>
        <c:crossAx val="53896704"/>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strRef>
              <c:f>ACOMPANHAMENTO!$K$10:$P$10</c:f>
              <c:strCache>
                <c:ptCount val="5"/>
                <c:pt idx="4">
                  <c:v>dez/26 (LP)</c:v>
                </c:pt>
              </c:strCache>
            </c:str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3924992"/>
        <c:axId val="53926528"/>
      </c:lineChart>
      <c:catAx>
        <c:axId val="53924992"/>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3926528"/>
        <c:crosses val="autoZero"/>
        <c:auto val="1"/>
        <c:lblAlgn val="ctr"/>
        <c:lblOffset val="100"/>
        <c:noMultiLvlLbl val="0"/>
      </c:catAx>
      <c:valAx>
        <c:axId val="53926528"/>
        <c:scaling>
          <c:orientation val="minMax"/>
          <c:max val="0"/>
        </c:scaling>
        <c:delete val="1"/>
        <c:axPos val="l"/>
        <c:numFmt formatCode="General" sourceLinked="1"/>
        <c:majorTickMark val="none"/>
        <c:minorTickMark val="none"/>
        <c:tickLblPos val="none"/>
        <c:crossAx val="53924992"/>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multiLvlStrRef>
              <c:f>ACOMPANHAMENTO!$K$11:$P$11</c:f>
            </c:multiLvlStr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4106752"/>
        <c:axId val="54108544"/>
      </c:lineChart>
      <c:catAx>
        <c:axId val="54106752"/>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4108544"/>
        <c:crosses val="autoZero"/>
        <c:auto val="1"/>
        <c:lblAlgn val="ctr"/>
        <c:lblOffset val="100"/>
        <c:noMultiLvlLbl val="0"/>
      </c:catAx>
      <c:valAx>
        <c:axId val="54108544"/>
        <c:scaling>
          <c:orientation val="minMax"/>
          <c:max val="0"/>
        </c:scaling>
        <c:delete val="1"/>
        <c:axPos val="l"/>
        <c:numFmt formatCode="General" sourceLinked="1"/>
        <c:majorTickMark val="none"/>
        <c:minorTickMark val="none"/>
        <c:tickLblPos val="none"/>
        <c:crossAx val="54106752"/>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multiLvlStrRef>
              <c:f>ACOMPANHAMENTO!$K$12:$P$12</c:f>
            </c:multiLvlStr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4129024"/>
        <c:axId val="54130560"/>
      </c:lineChart>
      <c:catAx>
        <c:axId val="54129024"/>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4130560"/>
        <c:crosses val="autoZero"/>
        <c:auto val="1"/>
        <c:lblAlgn val="ctr"/>
        <c:lblOffset val="100"/>
        <c:noMultiLvlLbl val="0"/>
      </c:catAx>
      <c:valAx>
        <c:axId val="54130560"/>
        <c:scaling>
          <c:orientation val="minMax"/>
          <c:max val="0"/>
        </c:scaling>
        <c:delete val="1"/>
        <c:axPos val="l"/>
        <c:numFmt formatCode="General" sourceLinked="1"/>
        <c:majorTickMark val="none"/>
        <c:minorTickMark val="none"/>
        <c:tickLblPos val="none"/>
        <c:crossAx val="54129024"/>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multiLvlStrRef>
              <c:f>ACOMPANHAMENTO!$K$13:$P$13</c:f>
            </c:multiLvlStr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6719232"/>
        <c:axId val="56720768"/>
      </c:lineChart>
      <c:catAx>
        <c:axId val="56719232"/>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6720768"/>
        <c:crosses val="autoZero"/>
        <c:auto val="1"/>
        <c:lblAlgn val="ctr"/>
        <c:lblOffset val="100"/>
        <c:noMultiLvlLbl val="0"/>
      </c:catAx>
      <c:valAx>
        <c:axId val="56720768"/>
        <c:scaling>
          <c:orientation val="minMax"/>
          <c:max val="0"/>
        </c:scaling>
        <c:delete val="1"/>
        <c:axPos val="l"/>
        <c:numFmt formatCode="General" sourceLinked="1"/>
        <c:majorTickMark val="none"/>
        <c:minorTickMark val="none"/>
        <c:tickLblPos val="none"/>
        <c:crossAx val="56719232"/>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3484848484848491E-2"/>
          <c:y val="0.5411874377771746"/>
          <c:w val="0.87303030303030338"/>
          <c:h val="0.45881256222282607"/>
        </c:manualLayout>
      </c:layout>
      <c:lineChart>
        <c:grouping val="standard"/>
        <c:varyColors val="0"/>
        <c:ser>
          <c:idx val="0"/>
          <c:order val="0"/>
          <c:spPr>
            <a:ln w="38100">
              <a:tailEnd type="none"/>
            </a:ln>
          </c:spPr>
          <c:marker>
            <c:symbol val="diamond"/>
            <c:size val="16"/>
            <c:spPr>
              <a:solidFill>
                <a:schemeClr val="accent1"/>
              </a:solidFill>
              <a:ln w="76200">
                <a:noFill/>
              </a:ln>
              <a:scene3d>
                <a:camera prst="orthographicFront"/>
                <a:lightRig rig="threePt" dir="t"/>
              </a:scene3d>
              <a:sp3d>
                <a:bevelT/>
              </a:sp3d>
            </c:spPr>
          </c:marker>
          <c:dPt>
            <c:idx val="5"/>
            <c:marker>
              <c:spPr>
                <a:noFill/>
                <a:ln w="76200">
                  <a:noFill/>
                </a:ln>
                <a:scene3d>
                  <a:camera prst="orthographicFront"/>
                  <a:lightRig rig="threePt" dir="t"/>
                </a:scene3d>
                <a:sp3d>
                  <a:bevelT/>
                </a:sp3d>
              </c:spPr>
            </c:marker>
            <c:bubble3D val="0"/>
          </c:dPt>
          <c:dLbls>
            <c:dLbl>
              <c:idx val="1"/>
              <c:dLblPos val="b"/>
              <c:showLegendKey val="0"/>
              <c:showVal val="0"/>
              <c:showCatName val="1"/>
              <c:showSerName val="0"/>
              <c:showPercent val="0"/>
              <c:showBubbleSize val="0"/>
            </c:dLbl>
            <c:dLbl>
              <c:idx val="3"/>
              <c:dLblPos val="b"/>
              <c:showLegendKey val="0"/>
              <c:showVal val="0"/>
              <c:showCatName val="1"/>
              <c:showSerName val="0"/>
              <c:showPercent val="0"/>
              <c:showBubbleSize val="0"/>
            </c:dLbl>
            <c:dLbl>
              <c:idx val="5"/>
              <c:delete val="1"/>
            </c:dLbl>
            <c:numFmt formatCode="mmm/yy" sourceLinked="0"/>
            <c:txPr>
              <a:bodyPr rot="0" vert="horz"/>
              <a:lstStyle/>
              <a:p>
                <a:pPr>
                  <a:defRPr sz="2000"/>
                </a:pPr>
                <a:endParaRPr lang="pt-BR"/>
              </a:p>
            </c:txPr>
            <c:dLblPos val="t"/>
            <c:showLegendKey val="0"/>
            <c:showVal val="0"/>
            <c:showCatName val="1"/>
            <c:showSerName val="0"/>
            <c:showPercent val="0"/>
            <c:showBubbleSize val="0"/>
            <c:showLeaderLines val="0"/>
          </c:dLbls>
          <c:cat>
            <c:multiLvlStrRef>
              <c:f>ACOMPANHAMENTO!$K$14:$P$14</c:f>
            </c:multiLvlStrRef>
          </c:cat>
          <c:val>
            <c:numLit>
              <c:formatCode>General</c:formatCode>
              <c:ptCount val="6"/>
              <c:pt idx="0">
                <c:v>0</c:v>
              </c:pt>
              <c:pt idx="1">
                <c:v>0</c:v>
              </c:pt>
              <c:pt idx="2">
                <c:v>0</c:v>
              </c:pt>
              <c:pt idx="3">
                <c:v>0</c:v>
              </c:pt>
              <c:pt idx="4">
                <c:v>0</c:v>
              </c:pt>
              <c:pt idx="5">
                <c:v>0</c:v>
              </c:pt>
            </c:numLit>
          </c:val>
          <c:smooth val="0"/>
        </c:ser>
        <c:dLbls>
          <c:showLegendKey val="0"/>
          <c:showVal val="0"/>
          <c:showCatName val="0"/>
          <c:showSerName val="0"/>
          <c:showPercent val="0"/>
          <c:showBubbleSize val="0"/>
        </c:dLbls>
        <c:marker val="1"/>
        <c:smooth val="0"/>
        <c:axId val="56741248"/>
        <c:axId val="57042048"/>
      </c:lineChart>
      <c:catAx>
        <c:axId val="56741248"/>
        <c:scaling>
          <c:orientation val="minMax"/>
        </c:scaling>
        <c:delete val="0"/>
        <c:axPos val="b"/>
        <c:numFmt formatCode="mmm/yy&quot; (hoje)&quot;" sourceLinked="1"/>
        <c:majorTickMark val="cross"/>
        <c:minorTickMark val="none"/>
        <c:tickLblPos val="none"/>
        <c:spPr>
          <a:ln w="25400">
            <a:solidFill>
              <a:srgbClr val="4F81BD">
                <a:shade val="95000"/>
                <a:satMod val="105000"/>
              </a:srgbClr>
            </a:solidFill>
          </a:ln>
        </c:spPr>
        <c:crossAx val="57042048"/>
        <c:crosses val="autoZero"/>
        <c:auto val="1"/>
        <c:lblAlgn val="ctr"/>
        <c:lblOffset val="100"/>
        <c:noMultiLvlLbl val="0"/>
      </c:catAx>
      <c:valAx>
        <c:axId val="57042048"/>
        <c:scaling>
          <c:orientation val="minMax"/>
          <c:max val="0"/>
        </c:scaling>
        <c:delete val="1"/>
        <c:axPos val="l"/>
        <c:numFmt formatCode="General" sourceLinked="1"/>
        <c:majorTickMark val="none"/>
        <c:minorTickMark val="none"/>
        <c:tickLblPos val="none"/>
        <c:crossAx val="56741248"/>
        <c:crosses val="autoZero"/>
        <c:crossBetween val="midCat"/>
      </c:valAx>
      <c:spPr>
        <a:noFill/>
      </c:spPr>
    </c:plotArea>
    <c:plotVisOnly val="1"/>
    <c:dispBlanksAs val="gap"/>
    <c:showDLblsOverMax val="0"/>
  </c:chart>
  <c:spPr>
    <a:noFill/>
    <a:ln>
      <a:noFill/>
    </a:ln>
  </c:spPr>
  <c:printSettings>
    <c:headerFooter/>
    <c:pageMargins b="0.78740157499999996" l="0.511811024" r="0.511811024" t="0.78740157499999996" header="0.31496062000000047" footer="0.31496062000000047"/>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6.png"/><Relationship Id="rId3" Type="http://schemas.openxmlformats.org/officeDocument/2006/relationships/hyperlink" Target="#&#193;REAS!B5"/><Relationship Id="rId7" Type="http://schemas.openxmlformats.org/officeDocument/2006/relationships/image" Target="../media/image2.png"/><Relationship Id="rId12" Type="http://schemas.openxmlformats.org/officeDocument/2006/relationships/hyperlink" Target="http://reidasplanilhas.com.br/termos-de-uso/?cod=RDP0029" TargetMode="External"/><Relationship Id="rId2" Type="http://schemas.openxmlformats.org/officeDocument/2006/relationships/hyperlink" Target="#ACOMPANHAMENTO!C5"/><Relationship Id="rId1" Type="http://schemas.openxmlformats.org/officeDocument/2006/relationships/hyperlink" Target="#'METAS DE VIDA'!C5"/><Relationship Id="rId6" Type="http://schemas.openxmlformats.org/officeDocument/2006/relationships/hyperlink" Target="http://reidasplanilhas.com.br/compartilhe/?cod=RDP0029" TargetMode="External"/><Relationship Id="rId11" Type="http://schemas.openxmlformats.org/officeDocument/2006/relationships/image" Target="../media/image5.png"/><Relationship Id="rId5" Type="http://schemas.openxmlformats.org/officeDocument/2006/relationships/image" Target="../media/image1.png"/><Relationship Id="rId15" Type="http://schemas.openxmlformats.org/officeDocument/2006/relationships/image" Target="../media/image7.png"/><Relationship Id="rId10" Type="http://schemas.openxmlformats.org/officeDocument/2006/relationships/hyperlink" Target="http://reidasplanilhas.com.br/ajuda-online/?cod=RDP0029" TargetMode="External"/><Relationship Id="rId4" Type="http://schemas.openxmlformats.org/officeDocument/2006/relationships/hyperlink" Target="http://reidasplanilhas.com.br/" TargetMode="External"/><Relationship Id="rId9" Type="http://schemas.openxmlformats.org/officeDocument/2006/relationships/image" Target="../media/image4.png"/><Relationship Id="rId14" Type="http://schemas.openxmlformats.org/officeDocument/2006/relationships/hyperlink" Target="http://reidasplanilhas.com.br/doacoes/?cod=RDP0029"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PAINEL!A1"/><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hyperlink" Target="#PAINEL!A1"/></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hyperlink" Target="#PAINEL!A1"/><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8</xdr:col>
      <xdr:colOff>297656</xdr:colOff>
      <xdr:row>8</xdr:row>
      <xdr:rowOff>0</xdr:rowOff>
    </xdr:from>
    <xdr:to>
      <xdr:col>13</xdr:col>
      <xdr:colOff>285565</xdr:colOff>
      <xdr:row>13</xdr:row>
      <xdr:rowOff>133350</xdr:rowOff>
    </xdr:to>
    <xdr:sp macro="" textlink="">
      <xdr:nvSpPr>
        <xdr:cNvPr id="21" name="Retângulo de cantos arredondados 20">
          <a:hlinkClick xmlns:r="http://schemas.openxmlformats.org/officeDocument/2006/relationships" r:id="rId1"/>
        </xdr:cNvPr>
        <xdr:cNvSpPr/>
      </xdr:nvSpPr>
      <xdr:spPr>
        <a:xfrm>
          <a:off x="3512344" y="2214563"/>
          <a:ext cx="3024000" cy="10858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pt-BR" sz="2400" b="1" baseline="0">
              <a:solidFill>
                <a:schemeClr val="bg1"/>
              </a:solidFill>
            </a:rPr>
            <a:t>METAS DE VIDA,</a:t>
          </a:r>
          <a:r>
            <a:rPr lang="pt-BR" sz="2800" baseline="0">
              <a:solidFill>
                <a:schemeClr val="bg1"/>
              </a:solidFill>
            </a:rPr>
            <a:t/>
          </a:r>
          <a:br>
            <a:rPr lang="pt-BR" sz="2800" baseline="0">
              <a:solidFill>
                <a:schemeClr val="bg1"/>
              </a:solidFill>
            </a:rPr>
          </a:br>
          <a:r>
            <a:rPr lang="pt-BR" sz="1800" i="1">
              <a:solidFill>
                <a:srgbClr val="002060"/>
              </a:solidFill>
              <a:effectLst/>
              <a:latin typeface="+mn-lt"/>
              <a:ea typeface="+mn-ea"/>
              <a:cs typeface="+mn-cs"/>
            </a:rPr>
            <a:t>DE LONGO E CURTO PRAZO</a:t>
          </a:r>
          <a:r>
            <a:rPr lang="pt-BR" sz="1800" i="1" baseline="0">
              <a:solidFill>
                <a:srgbClr val="002060"/>
              </a:solidFill>
              <a:effectLst/>
              <a:latin typeface="+mn-lt"/>
              <a:ea typeface="+mn-ea"/>
              <a:cs typeface="+mn-cs"/>
            </a:rPr>
            <a:t> </a:t>
          </a:r>
          <a:endParaRPr lang="pt-BR" sz="2800">
            <a:solidFill>
              <a:srgbClr val="002060"/>
            </a:solidFill>
          </a:endParaRPr>
        </a:p>
      </xdr:txBody>
    </xdr:sp>
    <xdr:clientData/>
  </xdr:twoCellAnchor>
  <xdr:twoCellAnchor editAs="oneCell">
    <xdr:from>
      <xdr:col>15</xdr:col>
      <xdr:colOff>0</xdr:colOff>
      <xdr:row>8</xdr:row>
      <xdr:rowOff>0</xdr:rowOff>
    </xdr:from>
    <xdr:to>
      <xdr:col>19</xdr:col>
      <xdr:colOff>595126</xdr:colOff>
      <xdr:row>13</xdr:row>
      <xdr:rowOff>133350</xdr:rowOff>
    </xdr:to>
    <xdr:sp macro="" textlink="">
      <xdr:nvSpPr>
        <xdr:cNvPr id="22" name="Retângulo de cantos arredondados 21">
          <a:hlinkClick xmlns:r="http://schemas.openxmlformats.org/officeDocument/2006/relationships" r:id="rId2"/>
        </xdr:cNvPr>
        <xdr:cNvSpPr/>
      </xdr:nvSpPr>
      <xdr:spPr>
        <a:xfrm>
          <a:off x="6858000" y="2214563"/>
          <a:ext cx="3024000" cy="10858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pt-BR" sz="2400" b="1" i="0" baseline="0">
              <a:solidFill>
                <a:schemeClr val="bg1"/>
              </a:solidFill>
            </a:rPr>
            <a:t>ACOMPANHAMENTO</a:t>
          </a:r>
          <a:r>
            <a:rPr lang="pt-BR" sz="2800" baseline="0">
              <a:solidFill>
                <a:schemeClr val="bg1"/>
              </a:solidFill>
            </a:rPr>
            <a:t/>
          </a:r>
          <a:br>
            <a:rPr lang="pt-BR" sz="2800" baseline="0">
              <a:solidFill>
                <a:schemeClr val="bg1"/>
              </a:solidFill>
            </a:rPr>
          </a:br>
          <a:r>
            <a:rPr lang="pt-BR" sz="1800" i="1">
              <a:solidFill>
                <a:srgbClr val="002060"/>
              </a:solidFill>
              <a:effectLst/>
              <a:latin typeface="+mn-lt"/>
              <a:ea typeface="+mn-ea"/>
              <a:cs typeface="+mn-cs"/>
            </a:rPr>
            <a:t>E REVISÃO PERIÓDICOS</a:t>
          </a:r>
          <a:endParaRPr lang="pt-BR" sz="2800">
            <a:solidFill>
              <a:srgbClr val="002060"/>
            </a:solidFill>
          </a:endParaRPr>
        </a:p>
      </xdr:txBody>
    </xdr:sp>
    <xdr:clientData/>
  </xdr:twoCellAnchor>
  <xdr:twoCellAnchor editAs="oneCell">
    <xdr:from>
      <xdr:col>2</xdr:col>
      <xdr:colOff>0</xdr:colOff>
      <xdr:row>8</xdr:row>
      <xdr:rowOff>0</xdr:rowOff>
    </xdr:from>
    <xdr:to>
      <xdr:col>6</xdr:col>
      <xdr:colOff>595125</xdr:colOff>
      <xdr:row>13</xdr:row>
      <xdr:rowOff>127500</xdr:rowOff>
    </xdr:to>
    <xdr:sp macro="" textlink="">
      <xdr:nvSpPr>
        <xdr:cNvPr id="23" name="Retângulo de cantos arredondados 22">
          <a:hlinkClick xmlns:r="http://schemas.openxmlformats.org/officeDocument/2006/relationships" r:id="rId3"/>
        </xdr:cNvPr>
        <xdr:cNvSpPr/>
      </xdr:nvSpPr>
      <xdr:spPr>
        <a:xfrm>
          <a:off x="178594" y="2214563"/>
          <a:ext cx="3024000" cy="108000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pt-BR" sz="1800" i="1">
              <a:solidFill>
                <a:srgbClr val="002060"/>
              </a:solidFill>
            </a:rPr>
            <a:t>ÁREAS</a:t>
          </a:r>
          <a:r>
            <a:rPr lang="pt-BR" sz="1800" i="1" baseline="0">
              <a:solidFill>
                <a:srgbClr val="002060"/>
              </a:solidFill>
            </a:rPr>
            <a:t> MAIS </a:t>
          </a:r>
          <a:r>
            <a:rPr lang="pt-BR" sz="2400" b="1" baseline="0">
              <a:solidFill>
                <a:schemeClr val="bg1"/>
              </a:solidFill>
            </a:rPr>
            <a:t>IMPORTANTES</a:t>
          </a:r>
          <a:endParaRPr lang="pt-BR" sz="2800" b="1">
            <a:solidFill>
              <a:schemeClr val="bg1"/>
            </a:solidFill>
          </a:endParaRPr>
        </a:p>
      </xdr:txBody>
    </xdr:sp>
    <xdr:clientData/>
  </xdr:twoCellAnchor>
  <xdr:twoCellAnchor>
    <xdr:from>
      <xdr:col>2</xdr:col>
      <xdr:colOff>0</xdr:colOff>
      <xdr:row>14</xdr:row>
      <xdr:rowOff>0</xdr:rowOff>
    </xdr:from>
    <xdr:to>
      <xdr:col>6</xdr:col>
      <xdr:colOff>595312</xdr:colOff>
      <xdr:row>19</xdr:row>
      <xdr:rowOff>119062</xdr:rowOff>
    </xdr:to>
    <xdr:sp macro="" textlink="">
      <xdr:nvSpPr>
        <xdr:cNvPr id="24" name="CaixaDeTexto 23"/>
        <xdr:cNvSpPr txBox="1"/>
      </xdr:nvSpPr>
      <xdr:spPr>
        <a:xfrm>
          <a:off x="178594" y="3357563"/>
          <a:ext cx="3024187" cy="1071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200">
              <a:solidFill>
                <a:schemeClr val="tx2"/>
              </a:solidFill>
            </a:rPr>
            <a:t>Defina</a:t>
          </a:r>
          <a:r>
            <a:rPr lang="pt-BR" sz="1200" baseline="0">
              <a:solidFill>
                <a:schemeClr val="tx2"/>
              </a:solidFill>
            </a:rPr>
            <a:t> as áreas mais importantes de sua vida.  Em seguida, avalie como você  se percebe em relação a cada uma delas e como gostaria de ser. Observe os gráficos gerados e reflita sobre o que é preciso chegar lá.</a:t>
          </a:r>
          <a:endParaRPr lang="pt-BR" sz="1200">
            <a:solidFill>
              <a:schemeClr val="tx2"/>
            </a:solidFill>
          </a:endParaRPr>
        </a:p>
      </xdr:txBody>
    </xdr:sp>
    <xdr:clientData/>
  </xdr:twoCellAnchor>
  <xdr:twoCellAnchor>
    <xdr:from>
      <xdr:col>8</xdr:col>
      <xdr:colOff>297656</xdr:colOff>
      <xdr:row>14</xdr:row>
      <xdr:rowOff>0</xdr:rowOff>
    </xdr:from>
    <xdr:to>
      <xdr:col>13</xdr:col>
      <xdr:colOff>285750</xdr:colOff>
      <xdr:row>19</xdr:row>
      <xdr:rowOff>0</xdr:rowOff>
    </xdr:to>
    <xdr:sp macro="" textlink="">
      <xdr:nvSpPr>
        <xdr:cNvPr id="25" name="CaixaDeTexto 24"/>
        <xdr:cNvSpPr txBox="1"/>
      </xdr:nvSpPr>
      <xdr:spPr>
        <a:xfrm>
          <a:off x="3512344" y="3357563"/>
          <a:ext cx="3024187"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200">
              <a:solidFill>
                <a:schemeClr val="tx2"/>
              </a:solidFill>
            </a:rPr>
            <a:t>Especifique uma meta de vida p</a:t>
          </a:r>
          <a:r>
            <a:rPr lang="pt-BR" sz="1100">
              <a:solidFill>
                <a:schemeClr val="tx2"/>
              </a:solidFill>
              <a:effectLst/>
              <a:latin typeface="+mn-lt"/>
              <a:ea typeface="+mn-ea"/>
              <a:cs typeface="+mn-cs"/>
            </a:rPr>
            <a:t>ara cada área definida e avaliada no passo anterior.</a:t>
          </a:r>
          <a:r>
            <a:rPr lang="pt-BR" sz="1100" baseline="0">
              <a:solidFill>
                <a:schemeClr val="tx2"/>
              </a:solidFill>
              <a:effectLst/>
              <a:latin typeface="+mn-lt"/>
              <a:ea typeface="+mn-ea"/>
              <a:cs typeface="+mn-cs"/>
            </a:rPr>
            <a:t> Essa será a direção que norteará as metas de longo, médio e curto prazo que você também estabelecerá.</a:t>
          </a:r>
          <a:endParaRPr lang="pt-BR" sz="1200">
            <a:solidFill>
              <a:schemeClr val="tx2"/>
            </a:solidFill>
          </a:endParaRPr>
        </a:p>
      </xdr:txBody>
    </xdr:sp>
    <xdr:clientData/>
  </xdr:twoCellAnchor>
  <xdr:twoCellAnchor>
    <xdr:from>
      <xdr:col>15</xdr:col>
      <xdr:colOff>0</xdr:colOff>
      <xdr:row>14</xdr:row>
      <xdr:rowOff>1</xdr:rowOff>
    </xdr:from>
    <xdr:to>
      <xdr:col>20</xdr:col>
      <xdr:colOff>595312</xdr:colOff>
      <xdr:row>17</xdr:row>
      <xdr:rowOff>107157</xdr:rowOff>
    </xdr:to>
    <xdr:sp macro="" textlink="">
      <xdr:nvSpPr>
        <xdr:cNvPr id="26" name="CaixaDeTexto 25"/>
        <xdr:cNvSpPr txBox="1"/>
      </xdr:nvSpPr>
      <xdr:spPr>
        <a:xfrm>
          <a:off x="6858000" y="3357564"/>
          <a:ext cx="3024187" cy="67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200">
              <a:solidFill>
                <a:schemeClr val="tx2"/>
              </a:solidFill>
            </a:rPr>
            <a:t>Acompanhe</a:t>
          </a:r>
          <a:r>
            <a:rPr lang="pt-BR" sz="1200" baseline="0">
              <a:solidFill>
                <a:schemeClr val="tx2"/>
              </a:solidFill>
            </a:rPr>
            <a:t> cada meta periodicamente e revise o que for necessário. Escolha abaixo o texto que aparecerá ao lado do gráfico:</a:t>
          </a:r>
          <a:endParaRPr lang="pt-BR" sz="1200">
            <a:solidFill>
              <a:schemeClr val="tx2"/>
            </a:solidFill>
          </a:endParaRPr>
        </a:p>
      </xdr:txBody>
    </xdr:sp>
    <xdr:clientData/>
  </xdr:twoCellAnchor>
  <xdr:twoCellAnchor editAs="oneCell">
    <xdr:from>
      <xdr:col>0</xdr:col>
      <xdr:colOff>0</xdr:colOff>
      <xdr:row>0</xdr:row>
      <xdr:rowOff>0</xdr:rowOff>
    </xdr:from>
    <xdr:to>
      <xdr:col>21</xdr:col>
      <xdr:colOff>137583</xdr:colOff>
      <xdr:row>0</xdr:row>
      <xdr:rowOff>1044000</xdr:rowOff>
    </xdr:to>
    <xdr:sp macro="" textlink="">
      <xdr:nvSpPr>
        <xdr:cNvPr id="27" name="Retângulo 26"/>
        <xdr:cNvSpPr/>
      </xdr:nvSpPr>
      <xdr:spPr>
        <a:xfrm>
          <a:off x="0" y="0"/>
          <a:ext cx="12001500" cy="10440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0</xdr:col>
      <xdr:colOff>0</xdr:colOff>
      <xdr:row>0</xdr:row>
      <xdr:rowOff>0</xdr:rowOff>
    </xdr:from>
    <xdr:to>
      <xdr:col>7</xdr:col>
      <xdr:colOff>156635</xdr:colOff>
      <xdr:row>0</xdr:row>
      <xdr:rowOff>952500</xdr:rowOff>
    </xdr:to>
    <xdr:pic>
      <xdr:nvPicPr>
        <xdr:cNvPr id="28" name="Imagem 4" descr="logo.gif">
          <a:hlinkClick xmlns:r="http://schemas.openxmlformats.org/officeDocument/2006/relationships" r:id="rId4" tooltip="Clique para retornar ao nosso blog!"/>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0" y="0"/>
          <a:ext cx="3723218"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17</xdr:col>
      <xdr:colOff>375463</xdr:colOff>
      <xdr:row>0</xdr:row>
      <xdr:rowOff>0</xdr:rowOff>
    </xdr:from>
    <xdr:to>
      <xdr:col>21</xdr:col>
      <xdr:colOff>9323</xdr:colOff>
      <xdr:row>0</xdr:row>
      <xdr:rowOff>1008000</xdr:rowOff>
    </xdr:to>
    <xdr:grpSp>
      <xdr:nvGrpSpPr>
        <xdr:cNvPr id="29" name="Grupo 9">
          <a:hlinkClick xmlns:r="http://schemas.openxmlformats.org/officeDocument/2006/relationships" r:id="rId6" tooltip="Clique para indicar esta planilha para seus amigos!"/>
        </xdr:cNvPr>
        <xdr:cNvGrpSpPr>
          <a:grpSpLocks/>
        </xdr:cNvGrpSpPr>
      </xdr:nvGrpSpPr>
      <xdr:grpSpPr bwMode="auto">
        <a:xfrm>
          <a:off x="10080380" y="0"/>
          <a:ext cx="1792860" cy="1008000"/>
          <a:chOff x="14464244" y="0"/>
          <a:chExt cx="1775025" cy="1008000"/>
        </a:xfrm>
      </xdr:grpSpPr>
      <xdr:sp macro="" textlink="">
        <xdr:nvSpPr>
          <xdr:cNvPr id="30" name="Retângulo de cantos arredondados 29"/>
          <xdr:cNvSpPr/>
        </xdr:nvSpPr>
        <xdr:spPr>
          <a:xfrm>
            <a:off x="14464247" y="0"/>
            <a:ext cx="1775022" cy="1008000"/>
          </a:xfrm>
          <a:prstGeom prst="roundRect">
            <a:avLst>
              <a:gd name="adj" fmla="val 1282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pic>
        <xdr:nvPicPr>
          <xdr:cNvPr id="31" name="Imagem 11" descr="f_logo.pn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671263" y="50799"/>
            <a:ext cx="568006" cy="5760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pic>
        <xdr:nvPicPr>
          <xdr:cNvPr id="32" name="Imagem 12" descr="gplus-64.png"/>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4464244" y="50800"/>
            <a:ext cx="568006" cy="5760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pic>
        <xdr:nvPicPr>
          <xdr:cNvPr id="33" name="Imagem 13" descr="twitter-bird-white-on-blue.pn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5067755" y="63500"/>
            <a:ext cx="568006" cy="5760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34" name="Retângulo de cantos arredondados 33"/>
          <xdr:cNvSpPr/>
        </xdr:nvSpPr>
        <xdr:spPr>
          <a:xfrm>
            <a:off x="14730868" y="581025"/>
            <a:ext cx="1349016" cy="342900"/>
          </a:xfrm>
          <a:prstGeom prst="roundRect">
            <a:avLst>
              <a:gd name="adj" fmla="val 7576"/>
            </a:avLst>
          </a:prstGeom>
          <a:solidFill>
            <a:srgbClr val="7030A0"/>
          </a:solidFill>
          <a:ln>
            <a:noFill/>
          </a:ln>
        </xdr:spPr>
        <xdr:style>
          <a:lnRef idx="0">
            <a:schemeClr val="accent6"/>
          </a:lnRef>
          <a:fillRef idx="3">
            <a:schemeClr val="accent6"/>
          </a:fillRef>
          <a:effectRef idx="3">
            <a:schemeClr val="accent6"/>
          </a:effectRef>
          <a:fontRef idx="minor">
            <a:schemeClr val="lt1"/>
          </a:fontRef>
        </xdr:style>
        <xdr:txBody>
          <a:bodyPr vertOverflow="clip" rtlCol="0" anchor="ctr"/>
          <a:lstStyle/>
          <a:p>
            <a:pPr algn="ctr"/>
            <a:r>
              <a:rPr lang="pt-BR" sz="1100"/>
              <a:t>INDIQUE AQUI!</a:t>
            </a:r>
          </a:p>
        </xdr:txBody>
      </xdr:sp>
    </xdr:grpSp>
    <xdr:clientData/>
  </xdr:twoCellAnchor>
  <xdr:twoCellAnchor editAs="absolute">
    <xdr:from>
      <xdr:col>11</xdr:col>
      <xdr:colOff>129400</xdr:colOff>
      <xdr:row>0</xdr:row>
      <xdr:rowOff>0</xdr:rowOff>
    </xdr:from>
    <xdr:to>
      <xdr:col>14</xdr:col>
      <xdr:colOff>80757</xdr:colOff>
      <xdr:row>0</xdr:row>
      <xdr:rowOff>1008000</xdr:rowOff>
    </xdr:to>
    <xdr:grpSp>
      <xdr:nvGrpSpPr>
        <xdr:cNvPr id="35" name="Grupo 19">
          <a:hlinkClick xmlns:r="http://schemas.openxmlformats.org/officeDocument/2006/relationships" r:id="rId10" tooltip="Clique para abrir a Ajuda Online em nosso blog!"/>
        </xdr:cNvPr>
        <xdr:cNvGrpSpPr>
          <a:grpSpLocks/>
        </xdr:cNvGrpSpPr>
      </xdr:nvGrpSpPr>
      <xdr:grpSpPr bwMode="auto">
        <a:xfrm>
          <a:off x="6151317" y="0"/>
          <a:ext cx="1792857" cy="1008000"/>
          <a:chOff x="12103100" y="127000"/>
          <a:chExt cx="1790543" cy="1004860"/>
        </a:xfrm>
      </xdr:grpSpPr>
      <xdr:sp macro="" textlink="">
        <xdr:nvSpPr>
          <xdr:cNvPr id="36" name="Retângulo de cantos arredondados 35"/>
          <xdr:cNvSpPr/>
        </xdr:nvSpPr>
        <xdr:spPr>
          <a:xfrm>
            <a:off x="12103100" y="127000"/>
            <a:ext cx="1790543" cy="100486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pic>
        <xdr:nvPicPr>
          <xdr:cNvPr id="37" name="Imagem 2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bwMode="auto">
          <a:xfrm>
            <a:off x="12132890" y="127000"/>
            <a:ext cx="898070" cy="9000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38" name="Retângulo de cantos arredondados 37"/>
          <xdr:cNvSpPr/>
        </xdr:nvSpPr>
        <xdr:spPr>
          <a:xfrm>
            <a:off x="12513665" y="715710"/>
            <a:ext cx="1360813" cy="341832"/>
          </a:xfrm>
          <a:prstGeom prst="roundRect">
            <a:avLst>
              <a:gd name="adj" fmla="val 7576"/>
            </a:avLst>
          </a:prstGeom>
          <a:ln>
            <a:noFill/>
          </a:ln>
        </xdr:spPr>
        <xdr:style>
          <a:lnRef idx="0">
            <a:schemeClr val="accent6"/>
          </a:lnRef>
          <a:fillRef idx="3">
            <a:schemeClr val="accent6"/>
          </a:fillRef>
          <a:effectRef idx="3">
            <a:schemeClr val="accent6"/>
          </a:effectRef>
          <a:fontRef idx="minor">
            <a:schemeClr val="lt1"/>
          </a:fontRef>
        </xdr:style>
        <xdr:txBody>
          <a:bodyPr vertOverflow="clip" rtlCol="0" anchor="ctr"/>
          <a:lstStyle/>
          <a:p>
            <a:pPr algn="ctr"/>
            <a:r>
              <a:rPr lang="pt-BR" sz="1100"/>
              <a:t>AJUDA</a:t>
            </a:r>
            <a:r>
              <a:rPr lang="pt-BR" sz="1100" baseline="0"/>
              <a:t> ONLINE</a:t>
            </a:r>
            <a:endParaRPr lang="pt-BR" sz="1100"/>
          </a:p>
        </xdr:txBody>
      </xdr:sp>
    </xdr:grpSp>
    <xdr:clientData/>
  </xdr:twoCellAnchor>
  <xdr:twoCellAnchor editAs="absolute">
    <xdr:from>
      <xdr:col>7</xdr:col>
      <xdr:colOff>584485</xdr:colOff>
      <xdr:row>0</xdr:row>
      <xdr:rowOff>0</xdr:rowOff>
    </xdr:from>
    <xdr:to>
      <xdr:col>10</xdr:col>
      <xdr:colOff>535841</xdr:colOff>
      <xdr:row>0</xdr:row>
      <xdr:rowOff>1008000</xdr:rowOff>
    </xdr:to>
    <xdr:grpSp>
      <xdr:nvGrpSpPr>
        <xdr:cNvPr id="39" name="Grupo 27">
          <a:hlinkClick xmlns:r="http://schemas.openxmlformats.org/officeDocument/2006/relationships" r:id="rId12" tooltip="Clique para conferir os Termos de Uso desta planilha!"/>
        </xdr:cNvPr>
        <xdr:cNvGrpSpPr>
          <a:grpSpLocks/>
        </xdr:cNvGrpSpPr>
      </xdr:nvGrpSpPr>
      <xdr:grpSpPr bwMode="auto">
        <a:xfrm>
          <a:off x="4151068" y="0"/>
          <a:ext cx="1792856" cy="1008000"/>
          <a:chOff x="7670800" y="0"/>
          <a:chExt cx="1814260" cy="1004860"/>
        </a:xfrm>
      </xdr:grpSpPr>
      <xdr:sp macro="" textlink="">
        <xdr:nvSpPr>
          <xdr:cNvPr id="40" name="Retângulo de cantos arredondados 39"/>
          <xdr:cNvSpPr/>
        </xdr:nvSpPr>
        <xdr:spPr>
          <a:xfrm>
            <a:off x="7670800" y="0"/>
            <a:ext cx="1814260" cy="100486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pic>
        <xdr:nvPicPr>
          <xdr:cNvPr id="41" name="Imagem 29"/>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670801" y="747"/>
            <a:ext cx="990599" cy="989108"/>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42" name="Retângulo de cantos arredondados 41"/>
          <xdr:cNvSpPr/>
        </xdr:nvSpPr>
        <xdr:spPr>
          <a:xfrm>
            <a:off x="8100064" y="588710"/>
            <a:ext cx="1378838" cy="341832"/>
          </a:xfrm>
          <a:prstGeom prst="roundRect">
            <a:avLst>
              <a:gd name="adj" fmla="val 7576"/>
            </a:avLst>
          </a:prstGeom>
          <a:solidFill>
            <a:schemeClr val="tx2"/>
          </a:solidFill>
          <a:ln>
            <a:noFill/>
          </a:ln>
        </xdr:spPr>
        <xdr:style>
          <a:lnRef idx="0">
            <a:schemeClr val="accent6"/>
          </a:lnRef>
          <a:fillRef idx="3">
            <a:schemeClr val="accent6"/>
          </a:fillRef>
          <a:effectRef idx="3">
            <a:schemeClr val="accent6"/>
          </a:effectRef>
          <a:fontRef idx="minor">
            <a:schemeClr val="lt1"/>
          </a:fontRef>
        </xdr:style>
        <xdr:txBody>
          <a:bodyPr vertOverflow="clip" rtlCol="0" anchor="ctr"/>
          <a:lstStyle/>
          <a:p>
            <a:pPr algn="ctr"/>
            <a:r>
              <a:rPr lang="pt-BR" sz="1100" baseline="0"/>
              <a:t>TERMOS DE USO</a:t>
            </a:r>
            <a:endParaRPr lang="pt-BR" sz="1100"/>
          </a:p>
        </xdr:txBody>
      </xdr:sp>
    </xdr:grpSp>
    <xdr:clientData/>
  </xdr:twoCellAnchor>
  <xdr:twoCellAnchor editAs="oneCell">
    <xdr:from>
      <xdr:col>14</xdr:col>
      <xdr:colOff>242910</xdr:colOff>
      <xdr:row>0</xdr:row>
      <xdr:rowOff>0</xdr:rowOff>
    </xdr:from>
    <xdr:to>
      <xdr:col>17</xdr:col>
      <xdr:colOff>194266</xdr:colOff>
      <xdr:row>0</xdr:row>
      <xdr:rowOff>1008000</xdr:rowOff>
    </xdr:to>
    <xdr:grpSp>
      <xdr:nvGrpSpPr>
        <xdr:cNvPr id="43" name="Grupo 42">
          <a:hlinkClick xmlns:r="http://schemas.openxmlformats.org/officeDocument/2006/relationships" r:id="rId14" tooltip="Ajude-nos com qualquer valor para continuarmos com este trabalho!"/>
        </xdr:cNvPr>
        <xdr:cNvGrpSpPr/>
      </xdr:nvGrpSpPr>
      <xdr:grpSpPr>
        <a:xfrm>
          <a:off x="8106327" y="0"/>
          <a:ext cx="1792856" cy="1008000"/>
          <a:chOff x="10972800" y="0"/>
          <a:chExt cx="1800000" cy="1008000"/>
        </a:xfrm>
      </xdr:grpSpPr>
      <xdr:sp macro="" textlink="">
        <xdr:nvSpPr>
          <xdr:cNvPr id="44" name="Retângulo de cantos arredondados 43"/>
          <xdr:cNvSpPr/>
        </xdr:nvSpPr>
        <xdr:spPr bwMode="auto">
          <a:xfrm>
            <a:off x="10972800" y="0"/>
            <a:ext cx="1800000" cy="1008000"/>
          </a:xfrm>
          <a:prstGeom prst="roundRect">
            <a:avLst>
              <a:gd name="adj" fmla="val 1282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pt-BR" sz="1100"/>
          </a:p>
        </xdr:txBody>
      </xdr:sp>
      <xdr:pic>
        <xdr:nvPicPr>
          <xdr:cNvPr id="45" name="Imagem 44"/>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001376" y="0"/>
            <a:ext cx="890016" cy="890016"/>
          </a:xfrm>
          <a:prstGeom prst="rect">
            <a:avLst/>
          </a:prstGeom>
          <a:ln>
            <a:noFill/>
          </a:ln>
        </xdr:spPr>
      </xdr:pic>
      <xdr:sp macro="" textlink="">
        <xdr:nvSpPr>
          <xdr:cNvPr id="46" name="Retângulo de cantos arredondados 45"/>
          <xdr:cNvSpPr/>
        </xdr:nvSpPr>
        <xdr:spPr bwMode="auto">
          <a:xfrm>
            <a:off x="11319378" y="581025"/>
            <a:ext cx="1368000" cy="342900"/>
          </a:xfrm>
          <a:prstGeom prst="roundRect">
            <a:avLst>
              <a:gd name="adj" fmla="val 7576"/>
            </a:avLst>
          </a:prstGeom>
          <a:solidFill>
            <a:schemeClr val="accent2">
              <a:lumMod val="75000"/>
            </a:schemeClr>
          </a:solidFill>
          <a:ln>
            <a:noFill/>
          </a:ln>
        </xdr:spPr>
        <xdr:style>
          <a:lnRef idx="0">
            <a:schemeClr val="accent6"/>
          </a:lnRef>
          <a:fillRef idx="3">
            <a:schemeClr val="accent6"/>
          </a:fillRef>
          <a:effectRef idx="3">
            <a:schemeClr val="accent6"/>
          </a:effectRef>
          <a:fontRef idx="minor">
            <a:schemeClr val="lt1"/>
          </a:fontRef>
        </xdr:style>
        <xdr:txBody>
          <a:bodyPr vertOverflow="clip" rtlCol="0" anchor="ctr"/>
          <a:lstStyle/>
          <a:p>
            <a:pPr algn="ctr"/>
            <a:r>
              <a:rPr lang="pt-BR" sz="1100"/>
              <a:t>FAÇA</a:t>
            </a:r>
            <a:r>
              <a:rPr lang="pt-BR" sz="1100" baseline="0"/>
              <a:t> UMA DOAÇÃO</a:t>
            </a:r>
            <a:endParaRPr lang="pt-BR"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xdr:colOff>
      <xdr:row>9</xdr:row>
      <xdr:rowOff>-1</xdr:rowOff>
    </xdr:from>
    <xdr:to>
      <xdr:col>19</xdr:col>
      <xdr:colOff>438150</xdr:colOff>
      <xdr:row>14</xdr:row>
      <xdr:rowOff>0</xdr:rowOff>
    </xdr:to>
    <xdr:graphicFrame macro="">
      <xdr:nvGraphicFramePr>
        <xdr:cNvPr id="7" name="Gráfico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xdr:row>
      <xdr:rowOff>247650</xdr:rowOff>
    </xdr:from>
    <xdr:to>
      <xdr:col>17</xdr:col>
      <xdr:colOff>0</xdr:colOff>
      <xdr:row>8</xdr:row>
      <xdr:rowOff>1428750</xdr:rowOff>
    </xdr:to>
    <xdr:graphicFrame macro="">
      <xdr:nvGraphicFramePr>
        <xdr:cNvPr id="8" name="Gráfico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0</xdr:row>
      <xdr:rowOff>114300</xdr:rowOff>
    </xdr:from>
    <xdr:to>
      <xdr:col>2</xdr:col>
      <xdr:colOff>2266950</xdr:colOff>
      <xdr:row>0</xdr:row>
      <xdr:rowOff>704850</xdr:rowOff>
    </xdr:to>
    <xdr:grpSp>
      <xdr:nvGrpSpPr>
        <xdr:cNvPr id="12" name="Grupo 11">
          <a:hlinkClick xmlns:r="http://schemas.openxmlformats.org/officeDocument/2006/relationships" r:id="rId3"/>
        </xdr:cNvPr>
        <xdr:cNvGrpSpPr/>
      </xdr:nvGrpSpPr>
      <xdr:grpSpPr>
        <a:xfrm>
          <a:off x="114300" y="114300"/>
          <a:ext cx="3200400" cy="590550"/>
          <a:chOff x="152400" y="152400"/>
          <a:chExt cx="3200400" cy="590550"/>
        </a:xfrm>
      </xdr:grpSpPr>
      <xdr:sp macro="" textlink="">
        <xdr:nvSpPr>
          <xdr:cNvPr id="13" name="Retângulo 12"/>
          <xdr:cNvSpPr/>
        </xdr:nvSpPr>
        <xdr:spPr>
          <a:xfrm>
            <a:off x="152400" y="152400"/>
            <a:ext cx="3200400" cy="5905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4" name="Seta para a esquerda 13">
            <a:hlinkClick xmlns:r="http://schemas.openxmlformats.org/officeDocument/2006/relationships" r:id="rId3"/>
          </xdr:cNvPr>
          <xdr:cNvSpPr/>
        </xdr:nvSpPr>
        <xdr:spPr>
          <a:xfrm>
            <a:off x="247650" y="205154"/>
            <a:ext cx="978408" cy="448408"/>
          </a:xfrm>
          <a:prstGeom prst="leftArrow">
            <a:avLst>
              <a:gd name="adj1" fmla="val 50000"/>
              <a:gd name="adj2" fmla="val 73530"/>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pt-BR" sz="1100"/>
          </a:p>
        </xdr:txBody>
      </xdr:sp>
      <xdr:sp macro="" textlink="">
        <xdr:nvSpPr>
          <xdr:cNvPr id="15" name="CaixaDeTexto 14"/>
          <xdr:cNvSpPr txBox="1"/>
        </xdr:nvSpPr>
        <xdr:spPr>
          <a:xfrm>
            <a:off x="1276350" y="304800"/>
            <a:ext cx="19290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400" i="1">
                <a:solidFill>
                  <a:schemeClr val="tx2"/>
                </a:solidFill>
              </a:rPr>
              <a:t>VOLTAR PARA O PAINEL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114300</xdr:rowOff>
    </xdr:from>
    <xdr:to>
      <xdr:col>2</xdr:col>
      <xdr:colOff>2266950</xdr:colOff>
      <xdr:row>0</xdr:row>
      <xdr:rowOff>704850</xdr:rowOff>
    </xdr:to>
    <xdr:grpSp>
      <xdr:nvGrpSpPr>
        <xdr:cNvPr id="5" name="Grupo 4">
          <a:hlinkClick xmlns:r="http://schemas.openxmlformats.org/officeDocument/2006/relationships" r:id="rId1"/>
        </xdr:cNvPr>
        <xdr:cNvGrpSpPr/>
      </xdr:nvGrpSpPr>
      <xdr:grpSpPr>
        <a:xfrm>
          <a:off x="114300" y="114300"/>
          <a:ext cx="3200400" cy="590550"/>
          <a:chOff x="152400" y="152400"/>
          <a:chExt cx="3200400" cy="590550"/>
        </a:xfrm>
      </xdr:grpSpPr>
      <xdr:sp macro="" textlink="">
        <xdr:nvSpPr>
          <xdr:cNvPr id="6" name="Retângulo 5"/>
          <xdr:cNvSpPr/>
        </xdr:nvSpPr>
        <xdr:spPr>
          <a:xfrm>
            <a:off x="152400" y="152400"/>
            <a:ext cx="3200400" cy="5905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7" name="Seta para a esquerda 6">
            <a:hlinkClick xmlns:r="http://schemas.openxmlformats.org/officeDocument/2006/relationships" r:id="rId1"/>
          </xdr:cNvPr>
          <xdr:cNvSpPr/>
        </xdr:nvSpPr>
        <xdr:spPr>
          <a:xfrm>
            <a:off x="247650" y="205154"/>
            <a:ext cx="978408" cy="448408"/>
          </a:xfrm>
          <a:prstGeom prst="leftArrow">
            <a:avLst>
              <a:gd name="adj1" fmla="val 50000"/>
              <a:gd name="adj2" fmla="val 73530"/>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pt-BR" sz="1100"/>
          </a:p>
        </xdr:txBody>
      </xdr:sp>
      <xdr:sp macro="" textlink="">
        <xdr:nvSpPr>
          <xdr:cNvPr id="8" name="CaixaDeTexto 7"/>
          <xdr:cNvSpPr txBox="1"/>
        </xdr:nvSpPr>
        <xdr:spPr>
          <a:xfrm>
            <a:off x="1276350" y="304800"/>
            <a:ext cx="19290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400" i="1">
                <a:solidFill>
                  <a:schemeClr val="tx2"/>
                </a:solidFill>
              </a:rPr>
              <a:t>VOLTAR PARA O PAINEL</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4</xdr:row>
      <xdr:rowOff>0</xdr:rowOff>
    </xdr:from>
    <xdr:to>
      <xdr:col>20</xdr:col>
      <xdr:colOff>0</xdr:colOff>
      <xdr:row>5</xdr:row>
      <xdr:rowOff>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xdr:row>
      <xdr:rowOff>0</xdr:rowOff>
    </xdr:from>
    <xdr:to>
      <xdr:col>20</xdr:col>
      <xdr:colOff>0</xdr:colOff>
      <xdr:row>6</xdr:row>
      <xdr:rowOff>0</xdr:rowOff>
    </xdr:to>
    <xdr:graphicFrame macro="">
      <xdr:nvGraphicFramePr>
        <xdr:cNvPr id="15" name="Gráfico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6</xdr:row>
      <xdr:rowOff>0</xdr:rowOff>
    </xdr:from>
    <xdr:to>
      <xdr:col>20</xdr:col>
      <xdr:colOff>0</xdr:colOff>
      <xdr:row>7</xdr:row>
      <xdr:rowOff>0</xdr:rowOff>
    </xdr:to>
    <xdr:graphicFrame macro="">
      <xdr:nvGraphicFramePr>
        <xdr:cNvPr id="16" name="Gráfico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7</xdr:row>
      <xdr:rowOff>0</xdr:rowOff>
    </xdr:from>
    <xdr:to>
      <xdr:col>20</xdr:col>
      <xdr:colOff>0</xdr:colOff>
      <xdr:row>8</xdr:row>
      <xdr:rowOff>0</xdr:rowOff>
    </xdr:to>
    <xdr:graphicFrame macro="">
      <xdr:nvGraphicFramePr>
        <xdr:cNvPr id="17" name="Gráfico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8</xdr:row>
      <xdr:rowOff>0</xdr:rowOff>
    </xdr:from>
    <xdr:to>
      <xdr:col>20</xdr:col>
      <xdr:colOff>0</xdr:colOff>
      <xdr:row>9</xdr:row>
      <xdr:rowOff>0</xdr:rowOff>
    </xdr:to>
    <xdr:graphicFrame macro="">
      <xdr:nvGraphicFramePr>
        <xdr:cNvPr id="18" name="Gráfico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9</xdr:row>
      <xdr:rowOff>0</xdr:rowOff>
    </xdr:from>
    <xdr:to>
      <xdr:col>20</xdr:col>
      <xdr:colOff>0</xdr:colOff>
      <xdr:row>10</xdr:row>
      <xdr:rowOff>0</xdr:rowOff>
    </xdr:to>
    <xdr:graphicFrame macro="">
      <xdr:nvGraphicFramePr>
        <xdr:cNvPr id="19" name="Gráfico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10</xdr:row>
      <xdr:rowOff>0</xdr:rowOff>
    </xdr:from>
    <xdr:to>
      <xdr:col>20</xdr:col>
      <xdr:colOff>0</xdr:colOff>
      <xdr:row>11</xdr:row>
      <xdr:rowOff>0</xdr:rowOff>
    </xdr:to>
    <xdr:graphicFrame macro="">
      <xdr:nvGraphicFramePr>
        <xdr:cNvPr id="20" name="Gráfico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11</xdr:row>
      <xdr:rowOff>0</xdr:rowOff>
    </xdr:from>
    <xdr:to>
      <xdr:col>20</xdr:col>
      <xdr:colOff>0</xdr:colOff>
      <xdr:row>12</xdr:row>
      <xdr:rowOff>0</xdr:rowOff>
    </xdr:to>
    <xdr:graphicFrame macro="">
      <xdr:nvGraphicFramePr>
        <xdr:cNvPr id="21" name="Gráfico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12</xdr:row>
      <xdr:rowOff>0</xdr:rowOff>
    </xdr:from>
    <xdr:to>
      <xdr:col>20</xdr:col>
      <xdr:colOff>0</xdr:colOff>
      <xdr:row>13</xdr:row>
      <xdr:rowOff>0</xdr:rowOff>
    </xdr:to>
    <xdr:graphicFrame macro="">
      <xdr:nvGraphicFramePr>
        <xdr:cNvPr id="22" name="Gráfico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0</xdr:colOff>
      <xdr:row>13</xdr:row>
      <xdr:rowOff>0</xdr:rowOff>
    </xdr:from>
    <xdr:to>
      <xdr:col>20</xdr:col>
      <xdr:colOff>0</xdr:colOff>
      <xdr:row>14</xdr:row>
      <xdr:rowOff>0</xdr:rowOff>
    </xdr:to>
    <xdr:graphicFrame macro="">
      <xdr:nvGraphicFramePr>
        <xdr:cNvPr id="23" name="Gráfico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114300</xdr:colOff>
      <xdr:row>0</xdr:row>
      <xdr:rowOff>114300</xdr:rowOff>
    </xdr:from>
    <xdr:to>
      <xdr:col>2</xdr:col>
      <xdr:colOff>2266950</xdr:colOff>
      <xdr:row>0</xdr:row>
      <xdr:rowOff>704850</xdr:rowOff>
    </xdr:to>
    <xdr:grpSp>
      <xdr:nvGrpSpPr>
        <xdr:cNvPr id="27" name="Grupo 26">
          <a:hlinkClick xmlns:r="http://schemas.openxmlformats.org/officeDocument/2006/relationships" r:id="rId11"/>
        </xdr:cNvPr>
        <xdr:cNvGrpSpPr/>
      </xdr:nvGrpSpPr>
      <xdr:grpSpPr>
        <a:xfrm>
          <a:off x="114300" y="114300"/>
          <a:ext cx="3200400" cy="590550"/>
          <a:chOff x="152400" y="152400"/>
          <a:chExt cx="3200400" cy="590550"/>
        </a:xfrm>
      </xdr:grpSpPr>
      <xdr:sp macro="" textlink="">
        <xdr:nvSpPr>
          <xdr:cNvPr id="28" name="Retângulo 27"/>
          <xdr:cNvSpPr/>
        </xdr:nvSpPr>
        <xdr:spPr>
          <a:xfrm>
            <a:off x="152400" y="152400"/>
            <a:ext cx="3200400" cy="5905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9" name="Seta para a esquerda 28">
            <a:hlinkClick xmlns:r="http://schemas.openxmlformats.org/officeDocument/2006/relationships" r:id="rId11"/>
          </xdr:cNvPr>
          <xdr:cNvSpPr/>
        </xdr:nvSpPr>
        <xdr:spPr>
          <a:xfrm>
            <a:off x="247650" y="205154"/>
            <a:ext cx="978408" cy="448408"/>
          </a:xfrm>
          <a:prstGeom prst="leftArrow">
            <a:avLst>
              <a:gd name="adj1" fmla="val 50000"/>
              <a:gd name="adj2" fmla="val 73530"/>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pt-BR" sz="1100"/>
          </a:p>
        </xdr:txBody>
      </xdr:sp>
      <xdr:sp macro="" textlink="">
        <xdr:nvSpPr>
          <xdr:cNvPr id="30" name="CaixaDeTexto 29"/>
          <xdr:cNvSpPr txBox="1"/>
        </xdr:nvSpPr>
        <xdr:spPr>
          <a:xfrm>
            <a:off x="1276350" y="304800"/>
            <a:ext cx="19290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400" i="1">
                <a:solidFill>
                  <a:schemeClr val="tx2"/>
                </a:solidFill>
              </a:rPr>
              <a:t>VOLTAR PARA O PAINEL</a:t>
            </a:r>
          </a:p>
        </xdr:txBody>
      </xdr:sp>
    </xdr:grpSp>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V22"/>
  <sheetViews>
    <sheetView showGridLines="0" showRowColHeaders="0" zoomScale="90" zoomScaleNormal="90" workbookViewId="0">
      <selection activeCell="P19" sqref="P19:T19"/>
    </sheetView>
  </sheetViews>
  <sheetFormatPr defaultColWidth="0" defaultRowHeight="15" zeroHeight="1" x14ac:dyDescent="0.25"/>
  <cols>
    <col min="1" max="1" width="2.7109375" customWidth="1"/>
    <col min="2" max="2" width="4.7109375" customWidth="1"/>
    <col min="3" max="20" width="9.140625" customWidth="1"/>
    <col min="21" max="21" width="4.7109375" customWidth="1"/>
    <col min="22" max="22" width="2.7109375" customWidth="1"/>
    <col min="23" max="16384" width="9.140625" hidden="1"/>
  </cols>
  <sheetData>
    <row r="1" spans="1:22" ht="82.5" customHeight="1" x14ac:dyDescent="0.25">
      <c r="A1" s="80"/>
      <c r="B1" s="80"/>
      <c r="C1" s="80"/>
      <c r="D1" s="80"/>
      <c r="E1" s="80"/>
      <c r="F1" s="80"/>
      <c r="G1" s="80"/>
      <c r="H1" s="80"/>
      <c r="I1" s="80"/>
      <c r="J1" s="80"/>
      <c r="K1" s="80"/>
      <c r="L1" s="80"/>
      <c r="M1" s="80"/>
      <c r="N1" s="80"/>
      <c r="O1" s="80"/>
      <c r="P1" s="80"/>
      <c r="Q1" s="80"/>
      <c r="R1" s="80"/>
      <c r="S1" s="80"/>
      <c r="T1" s="80"/>
      <c r="U1" s="80"/>
      <c r="V1" s="80"/>
    </row>
    <row r="2" spans="1:22" x14ac:dyDescent="0.25"/>
    <row r="3" spans="1:22" s="75" customFormat="1" ht="26.25" x14ac:dyDescent="0.4">
      <c r="B3" s="82" t="s">
        <v>24</v>
      </c>
      <c r="C3" s="83"/>
      <c r="D3" s="83"/>
      <c r="E3" s="84"/>
      <c r="F3" s="84"/>
      <c r="G3" s="84"/>
      <c r="H3" s="84"/>
      <c r="I3" s="84"/>
      <c r="J3" s="84"/>
      <c r="K3" s="84"/>
      <c r="L3" s="85"/>
      <c r="M3" s="85"/>
      <c r="N3" s="86"/>
      <c r="O3" s="86"/>
      <c r="P3" s="86"/>
      <c r="Q3" s="86"/>
      <c r="R3" s="86"/>
      <c r="S3" s="86"/>
      <c r="T3" s="86"/>
      <c r="U3" s="87" t="s">
        <v>28</v>
      </c>
    </row>
    <row r="4" spans="1:22" ht="15" customHeight="1" x14ac:dyDescent="0.25">
      <c r="B4" s="79"/>
      <c r="C4" s="79"/>
      <c r="D4" s="89"/>
      <c r="E4" s="89"/>
      <c r="F4" s="89"/>
      <c r="G4" s="78"/>
      <c r="H4" s="78"/>
      <c r="I4" s="78"/>
      <c r="J4" s="78"/>
      <c r="K4" s="78"/>
      <c r="L4" s="78"/>
      <c r="M4" s="78"/>
      <c r="N4" s="78"/>
      <c r="O4" s="78"/>
      <c r="P4" s="78"/>
      <c r="Q4" s="78"/>
      <c r="R4" s="78"/>
      <c r="S4" s="88"/>
      <c r="T4" s="88"/>
      <c r="U4" s="88"/>
    </row>
    <row r="5" spans="1:22" x14ac:dyDescent="0.25"/>
    <row r="6" spans="1:22" x14ac:dyDescent="0.25">
      <c r="B6" s="93" t="s">
        <v>27</v>
      </c>
      <c r="C6" s="93"/>
      <c r="D6" s="93"/>
      <c r="E6" s="93"/>
      <c r="F6" s="93"/>
      <c r="G6" s="93"/>
      <c r="H6" s="93"/>
      <c r="I6" s="93"/>
      <c r="J6" s="93"/>
      <c r="K6" s="93"/>
      <c r="L6" s="93"/>
      <c r="M6" s="93"/>
      <c r="N6" s="93"/>
      <c r="O6" s="93"/>
      <c r="P6" s="93"/>
      <c r="Q6" s="93"/>
      <c r="R6" s="93"/>
      <c r="S6" s="93"/>
      <c r="T6" s="93"/>
      <c r="U6" s="93"/>
    </row>
    <row r="7" spans="1:22" x14ac:dyDescent="0.25">
      <c r="B7" s="93"/>
      <c r="C7" s="93"/>
      <c r="D7" s="93"/>
      <c r="E7" s="93"/>
      <c r="F7" s="93"/>
      <c r="G7" s="93"/>
      <c r="H7" s="93"/>
      <c r="I7" s="93"/>
      <c r="J7" s="93"/>
      <c r="K7" s="93"/>
      <c r="L7" s="93"/>
      <c r="M7" s="93"/>
      <c r="N7" s="93"/>
      <c r="O7" s="93"/>
      <c r="P7" s="93"/>
      <c r="Q7" s="93"/>
      <c r="R7" s="93"/>
      <c r="S7" s="93"/>
      <c r="T7" s="93"/>
      <c r="U7" s="93"/>
    </row>
    <row r="8" spans="1:22" x14ac:dyDescent="0.25"/>
    <row r="9" spans="1:22" x14ac:dyDescent="0.25"/>
    <row r="10" spans="1:22" x14ac:dyDescent="0.25"/>
    <row r="11" spans="1:22" x14ac:dyDescent="0.25"/>
    <row r="12" spans="1:22" x14ac:dyDescent="0.25"/>
    <row r="13" spans="1:22" x14ac:dyDescent="0.25"/>
    <row r="14" spans="1:22" x14ac:dyDescent="0.25"/>
    <row r="15" spans="1:22" x14ac:dyDescent="0.25"/>
    <row r="16" spans="1:22" x14ac:dyDescent="0.25"/>
    <row r="17" spans="2:21" x14ac:dyDescent="0.25"/>
    <row r="18" spans="2:21" x14ac:dyDescent="0.25"/>
    <row r="19" spans="2:21" s="81" customFormat="1" ht="30" customHeight="1" x14ac:dyDescent="0.25">
      <c r="P19" s="90" t="s">
        <v>26</v>
      </c>
      <c r="Q19" s="91"/>
      <c r="R19" s="91"/>
      <c r="S19" s="91"/>
      <c r="T19" s="92"/>
      <c r="U19"/>
    </row>
    <row r="20" spans="2:21" x14ac:dyDescent="0.25"/>
    <row r="21" spans="2:21" ht="15" customHeight="1" x14ac:dyDescent="0.25">
      <c r="B21" s="76"/>
      <c r="C21" s="76"/>
      <c r="D21" s="77"/>
      <c r="E21" s="78"/>
      <c r="F21" s="78"/>
      <c r="G21" s="78"/>
      <c r="H21" s="78"/>
      <c r="I21" s="78"/>
      <c r="J21" s="78"/>
      <c r="K21" s="78"/>
      <c r="L21" s="78"/>
      <c r="M21" s="78"/>
      <c r="N21" s="78"/>
      <c r="O21" s="78"/>
      <c r="P21" s="78"/>
      <c r="Q21" s="78"/>
      <c r="R21" s="79"/>
      <c r="S21" s="89"/>
      <c r="T21" s="89"/>
      <c r="U21" s="89"/>
    </row>
    <row r="22" spans="2:21" x14ac:dyDescent="0.25"/>
  </sheetData>
  <sheetProtection sheet="1" objects="1" scenarios="1"/>
  <mergeCells count="5">
    <mergeCell ref="S4:U4"/>
    <mergeCell ref="S21:U21"/>
    <mergeCell ref="P19:T19"/>
    <mergeCell ref="B6:U7"/>
    <mergeCell ref="D4:F4"/>
  </mergeCells>
  <dataValidations count="1">
    <dataValidation type="list" allowBlank="1" showInputMessage="1" showErrorMessage="1" sqref="P19">
      <formula1>"METAS DE VIDA,METAS DE CURTO PRAZO (CP),METAS DE MÉDIO PRAZO (MP),METAS DE LONGO PRAZO (LP)"</formula1>
    </dataValidation>
  </dataValidations>
  <pageMargins left="0.51181102362204722" right="0.51181102362204722" top="0.78740157480314965" bottom="0.78740157480314965" header="0.31496062992125984" footer="0.31496062992125984"/>
  <pageSetup paperSize="9" scale="75"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R14"/>
  <sheetViews>
    <sheetView showGridLines="0" showRowColHeaders="0" zoomScale="50" zoomScaleNormal="50" zoomScaleSheetLayoutView="50" workbookViewId="0">
      <selection activeCell="C3" sqref="C3"/>
    </sheetView>
  </sheetViews>
  <sheetFormatPr defaultColWidth="9.140625" defaultRowHeight="15" x14ac:dyDescent="0.25"/>
  <cols>
    <col min="1" max="1" width="2.7109375" style="14" customWidth="1"/>
    <col min="2" max="2" width="12.7109375" style="14" customWidth="1"/>
    <col min="3" max="3" width="36.7109375" style="15" customWidth="1"/>
    <col min="4" max="4" width="80.7109375" style="16" customWidth="1"/>
    <col min="5" max="5" width="12.7109375" style="16" customWidth="1"/>
    <col min="6" max="6" width="80.7109375" style="16" customWidth="1"/>
    <col min="7" max="7" width="12.7109375" style="16" customWidth="1"/>
    <col min="8" max="8" width="4.7109375" style="14" customWidth="1"/>
    <col min="9" max="17" width="15.7109375" style="14" customWidth="1"/>
    <col min="18" max="18" width="4.7109375" style="14" customWidth="1"/>
    <col min="19" max="20" width="12.7109375" style="14" customWidth="1"/>
    <col min="21" max="16384" width="9.140625" style="14"/>
  </cols>
  <sheetData>
    <row r="1" spans="1:18" ht="60" customHeight="1" x14ac:dyDescent="0.25">
      <c r="A1" s="70"/>
    </row>
    <row r="2" spans="1:18" s="17" customFormat="1" ht="80.099999999999994" customHeight="1" x14ac:dyDescent="0.9">
      <c r="B2" s="18" t="str">
        <f>PAINEL!B3</f>
        <v>PLANEJAMENTO DE CARREIRA E METAS PESSOAIS DE VIDA</v>
      </c>
      <c r="C2" s="19"/>
      <c r="D2" s="20"/>
      <c r="E2" s="20"/>
      <c r="F2" s="20"/>
      <c r="G2" s="21"/>
      <c r="H2" s="20"/>
      <c r="I2" s="20"/>
      <c r="J2" s="21"/>
      <c r="K2" s="20"/>
      <c r="L2" s="20"/>
      <c r="M2" s="21"/>
      <c r="N2" s="20"/>
      <c r="O2" s="20"/>
      <c r="P2" s="20"/>
      <c r="Q2" s="20"/>
      <c r="R2" s="21" t="s">
        <v>8</v>
      </c>
    </row>
    <row r="3" spans="1:18" ht="39.950000000000003" customHeight="1" x14ac:dyDescent="0.25">
      <c r="A3" s="22"/>
      <c r="B3" s="23" t="s">
        <v>13</v>
      </c>
      <c r="C3" s="1">
        <v>41900</v>
      </c>
      <c r="D3" s="25"/>
      <c r="E3" s="26"/>
      <c r="F3" s="26"/>
      <c r="G3" s="26"/>
      <c r="H3" s="26"/>
      <c r="I3" s="26"/>
      <c r="J3" s="26"/>
      <c r="K3" s="26"/>
      <c r="L3" s="26"/>
      <c r="M3" s="26"/>
      <c r="N3" s="26"/>
      <c r="O3" s="27"/>
      <c r="P3" s="28"/>
      <c r="Q3" s="28"/>
      <c r="R3" s="28"/>
    </row>
    <row r="4" spans="1:18" s="29" customFormat="1" ht="120" customHeight="1" thickBot="1" x14ac:dyDescent="0.55000000000000004">
      <c r="B4" s="32" t="s">
        <v>17</v>
      </c>
      <c r="C4" s="30" t="s">
        <v>7</v>
      </c>
      <c r="D4" s="31" t="s">
        <v>3</v>
      </c>
      <c r="E4" s="32" t="s">
        <v>4</v>
      </c>
      <c r="F4" s="31" t="s">
        <v>2</v>
      </c>
      <c r="G4" s="32" t="s">
        <v>4</v>
      </c>
      <c r="H4" s="31"/>
      <c r="I4" s="94" t="s">
        <v>6</v>
      </c>
      <c r="J4" s="94"/>
      <c r="K4" s="94"/>
      <c r="L4" s="94"/>
      <c r="M4" s="94"/>
      <c r="N4" s="94"/>
      <c r="O4" s="94"/>
      <c r="P4" s="94"/>
      <c r="Q4" s="94"/>
      <c r="R4" s="31"/>
    </row>
    <row r="5" spans="1:18" s="22" customFormat="1" ht="129.94999999999999" customHeight="1" thickTop="1" x14ac:dyDescent="0.25">
      <c r="B5" s="71">
        <v>2</v>
      </c>
      <c r="C5" s="9" t="s">
        <v>5</v>
      </c>
      <c r="D5" s="10" t="s">
        <v>32</v>
      </c>
      <c r="E5" s="12">
        <v>8</v>
      </c>
      <c r="F5" s="10" t="s">
        <v>33</v>
      </c>
      <c r="G5" s="12">
        <v>10</v>
      </c>
      <c r="I5" s="66" t="str">
        <f t="shared" ref="I5:I14" si="0">IFERROR(VLOOKUP(ROW()-ROW($B$4),$B$5:$G$14,2,FALSE),"")</f>
        <v>ESPIRITUALIDADE</v>
      </c>
      <c r="J5" s="66">
        <f t="shared" ref="J5:J14" si="1">IFERROR(VLOOKUP(ROW()-ROW($B$4),$B$5:$G$14,4,FALSE),"")</f>
        <v>8</v>
      </c>
      <c r="K5" s="66">
        <f t="shared" ref="K5" si="2">IFERROR(VLOOKUP(ROW()-ROW($B$4),$B$5:$G$14,6,FALSE),"")</f>
        <v>10</v>
      </c>
      <c r="L5" s="66" t="str">
        <f t="shared" ref="L5:L14" si="3">IFERROR(TRIM(VLOOKUP(ROW()-ROW($B$4),$B$5:$G$14,5,FALSE)),"")</f>
        <v>Gostaria de voltar a ir na igreja como antes, sinto falta, sinto necessidade de ir, mas ainda vou voltar tenho certeza.</v>
      </c>
      <c r="N5" s="22" t="s">
        <v>18</v>
      </c>
      <c r="R5" s="33"/>
    </row>
    <row r="6" spans="1:18" s="22" customFormat="1" ht="129.94999999999999" customHeight="1" x14ac:dyDescent="0.25">
      <c r="B6" s="72">
        <v>4</v>
      </c>
      <c r="C6" s="11" t="s">
        <v>0</v>
      </c>
      <c r="D6" s="8" t="s">
        <v>34</v>
      </c>
      <c r="E6" s="13">
        <v>6</v>
      </c>
      <c r="F6" s="8" t="s">
        <v>35</v>
      </c>
      <c r="G6" s="13">
        <v>10</v>
      </c>
      <c r="I6" s="66" t="str">
        <f t="shared" si="0"/>
        <v>SAÚDE</v>
      </c>
      <c r="J6" s="66">
        <f t="shared" si="1"/>
        <v>8</v>
      </c>
      <c r="K6" s="66">
        <f t="shared" ref="K6:K14" si="4">IFERROR(VLOOKUP(ROW()-ROW($B$4),$B$5:$G$14,6,FALSE),"")</f>
        <v>10</v>
      </c>
      <c r="L6" s="66" t="str">
        <f t="shared" si="3"/>
        <v>Gostaria que não fosse tão magro, ir mais ao médico, não só quando tem algum problema, mas frequêntemente. Queria me alimentar melhor, com coisas saudáveis e não comer coisas que eu sei que me faz mal.</v>
      </c>
      <c r="N6" s="22" t="s">
        <v>18</v>
      </c>
      <c r="R6" s="34"/>
    </row>
    <row r="7" spans="1:18" s="22" customFormat="1" ht="129.94999999999999" customHeight="1" x14ac:dyDescent="0.25">
      <c r="B7" s="72">
        <v>6</v>
      </c>
      <c r="C7" s="11" t="s">
        <v>1</v>
      </c>
      <c r="D7" s="8" t="s">
        <v>36</v>
      </c>
      <c r="E7" s="13">
        <v>5</v>
      </c>
      <c r="F7" s="8" t="s">
        <v>37</v>
      </c>
      <c r="G7" s="13">
        <v>10</v>
      </c>
      <c r="I7" s="66" t="str">
        <f t="shared" si="0"/>
        <v>FAMÍLIA</v>
      </c>
      <c r="J7" s="66">
        <f t="shared" si="1"/>
        <v>10</v>
      </c>
      <c r="K7" s="66">
        <f t="shared" si="4"/>
        <v>10</v>
      </c>
      <c r="L7" s="66" t="str">
        <f t="shared" si="3"/>
        <v>Apenas que permaneça assim, do que jeito que é.</v>
      </c>
      <c r="N7" s="22" t="s">
        <v>18</v>
      </c>
      <c r="R7" s="34"/>
    </row>
    <row r="8" spans="1:18" s="22" customFormat="1" ht="129.94999999999999" customHeight="1" x14ac:dyDescent="0.25">
      <c r="B8" s="72">
        <v>3</v>
      </c>
      <c r="C8" s="11" t="s">
        <v>38</v>
      </c>
      <c r="D8" s="8" t="s">
        <v>39</v>
      </c>
      <c r="E8" s="13">
        <v>10</v>
      </c>
      <c r="F8" s="8" t="s">
        <v>40</v>
      </c>
      <c r="G8" s="13">
        <v>10</v>
      </c>
      <c r="I8" s="66" t="str">
        <f t="shared" si="0"/>
        <v>CARREIRA</v>
      </c>
      <c r="J8" s="66">
        <f t="shared" si="1"/>
        <v>6</v>
      </c>
      <c r="K8" s="66">
        <f t="shared" si="4"/>
        <v>10</v>
      </c>
      <c r="L8" s="66" t="str">
        <f t="shared" si="3"/>
        <v>Gostaria mesmo é ser o que todo garoto queria na infância, mas é poucos que conseguem isso. Quero estar dentro de uma empresa e ser reconhecido, ser um icone para aquela empresa, realmente fazer a diferença.</v>
      </c>
      <c r="N8" s="22" t="s">
        <v>18</v>
      </c>
      <c r="R8" s="34"/>
    </row>
    <row r="9" spans="1:18" s="22" customFormat="1" ht="129.94999999999999" customHeight="1" x14ac:dyDescent="0.25">
      <c r="B9" s="72">
        <v>5</v>
      </c>
      <c r="C9" s="11" t="s">
        <v>41</v>
      </c>
      <c r="D9" s="8" t="s">
        <v>42</v>
      </c>
      <c r="E9" s="13">
        <v>8</v>
      </c>
      <c r="F9" s="8" t="s">
        <v>43</v>
      </c>
      <c r="G9" s="13">
        <v>10</v>
      </c>
      <c r="H9" s="35"/>
      <c r="I9" s="67" t="str">
        <f t="shared" si="0"/>
        <v>VIDA SOCIAL</v>
      </c>
      <c r="J9" s="67">
        <f t="shared" si="1"/>
        <v>8</v>
      </c>
      <c r="K9" s="67">
        <f t="shared" si="4"/>
        <v>10</v>
      </c>
      <c r="L9" s="67" t="str">
        <f t="shared" si="3"/>
        <v>Pra falar bem a verdade, é bem assim que eu queria, não mudaria nada porque em relação a vida social está perfeito.</v>
      </c>
      <c r="M9" s="36"/>
      <c r="N9" s="36" t="s">
        <v>18</v>
      </c>
      <c r="O9" s="36"/>
      <c r="P9" s="36"/>
      <c r="Q9" s="36"/>
      <c r="R9" s="37"/>
    </row>
    <row r="10" spans="1:18" s="22" customFormat="1" ht="129.94999999999999" customHeight="1" x14ac:dyDescent="0.25">
      <c r="B10" s="72">
        <v>1</v>
      </c>
      <c r="C10" s="11" t="s">
        <v>44</v>
      </c>
      <c r="D10" s="8" t="s">
        <v>45</v>
      </c>
      <c r="E10" s="13">
        <v>8</v>
      </c>
      <c r="F10" s="8" t="s">
        <v>46</v>
      </c>
      <c r="G10" s="13">
        <v>10</v>
      </c>
      <c r="I10" s="66" t="str">
        <f t="shared" si="0"/>
        <v>FINANÇAS</v>
      </c>
      <c r="J10" s="66">
        <f t="shared" si="1"/>
        <v>5</v>
      </c>
      <c r="K10" s="66">
        <f t="shared" si="4"/>
        <v>10</v>
      </c>
      <c r="L10" s="66" t="str">
        <f t="shared" si="3"/>
        <v>Gostaria de ter muito dinheiro, poder fazer o que me desse vontade sem se preocupar com isso, poder ajudar quem não tem, mas não é assim que é as coisas, tem que lutar para conseguir e num futuro quem sabe não posso ter mesmo isso.</v>
      </c>
      <c r="N10" s="22" t="s">
        <v>18</v>
      </c>
      <c r="R10" s="34"/>
    </row>
    <row r="11" spans="1:18" s="22" customFormat="1" ht="129.94999999999999" customHeight="1" x14ac:dyDescent="0.25">
      <c r="B11" s="72"/>
      <c r="C11" s="11"/>
      <c r="D11" s="8"/>
      <c r="E11" s="13"/>
      <c r="F11" s="8"/>
      <c r="G11" s="13"/>
      <c r="I11" s="66" t="str">
        <f t="shared" si="0"/>
        <v/>
      </c>
      <c r="J11" s="66" t="str">
        <f t="shared" si="1"/>
        <v/>
      </c>
      <c r="K11" s="66" t="str">
        <f t="shared" si="4"/>
        <v/>
      </c>
      <c r="L11" s="66" t="str">
        <f t="shared" si="3"/>
        <v/>
      </c>
      <c r="N11" s="22" t="s">
        <v>18</v>
      </c>
      <c r="R11" s="34"/>
    </row>
    <row r="12" spans="1:18" s="22" customFormat="1" ht="129.94999999999999" customHeight="1" x14ac:dyDescent="0.25">
      <c r="B12" s="72"/>
      <c r="C12" s="11"/>
      <c r="D12" s="8"/>
      <c r="E12" s="13"/>
      <c r="F12" s="8"/>
      <c r="G12" s="13"/>
      <c r="I12" s="66" t="str">
        <f t="shared" si="0"/>
        <v/>
      </c>
      <c r="J12" s="66" t="str">
        <f t="shared" si="1"/>
        <v/>
      </c>
      <c r="K12" s="66" t="str">
        <f t="shared" si="4"/>
        <v/>
      </c>
      <c r="L12" s="66" t="str">
        <f t="shared" si="3"/>
        <v/>
      </c>
      <c r="N12" s="22" t="s">
        <v>18</v>
      </c>
      <c r="R12" s="34"/>
    </row>
    <row r="13" spans="1:18" s="22" customFormat="1" ht="129.94999999999999" customHeight="1" x14ac:dyDescent="0.25">
      <c r="B13" s="72"/>
      <c r="C13" s="11"/>
      <c r="D13" s="8"/>
      <c r="E13" s="13"/>
      <c r="F13" s="8"/>
      <c r="G13" s="13"/>
      <c r="I13" s="66" t="str">
        <f t="shared" si="0"/>
        <v/>
      </c>
      <c r="J13" s="66" t="str">
        <f t="shared" si="1"/>
        <v/>
      </c>
      <c r="K13" s="66" t="str">
        <f t="shared" si="4"/>
        <v/>
      </c>
      <c r="L13" s="66" t="str">
        <f t="shared" si="3"/>
        <v/>
      </c>
      <c r="N13" s="22" t="s">
        <v>18</v>
      </c>
      <c r="R13" s="34"/>
    </row>
    <row r="14" spans="1:18" s="22" customFormat="1" ht="129.94999999999999" customHeight="1" x14ac:dyDescent="0.25">
      <c r="B14" s="72"/>
      <c r="C14" s="11"/>
      <c r="D14" s="8"/>
      <c r="E14" s="13"/>
      <c r="F14" s="8"/>
      <c r="G14" s="13"/>
      <c r="H14" s="35"/>
      <c r="I14" s="67" t="str">
        <f t="shared" si="0"/>
        <v/>
      </c>
      <c r="J14" s="67" t="str">
        <f t="shared" si="1"/>
        <v/>
      </c>
      <c r="K14" s="67" t="str">
        <f t="shared" si="4"/>
        <v/>
      </c>
      <c r="L14" s="67" t="str">
        <f t="shared" si="3"/>
        <v/>
      </c>
      <c r="M14" s="36"/>
      <c r="N14" s="36" t="s">
        <v>18</v>
      </c>
      <c r="O14" s="36"/>
      <c r="P14" s="36"/>
      <c r="Q14" s="36"/>
      <c r="R14" s="37"/>
    </row>
  </sheetData>
  <sheetProtection sheet="1" objects="1" scenarios="1"/>
  <mergeCells count="1">
    <mergeCell ref="I4:Q4"/>
  </mergeCells>
  <printOptions horizontalCentered="1"/>
  <pageMargins left="0.51181102362204722" right="0.51181102362204722" top="0.59055118110236227" bottom="0.39370078740157483" header="0.31496062992125984" footer="0.31496062992125984"/>
  <pageSetup paperSize="9" scale="3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P14"/>
  <sheetViews>
    <sheetView showGridLines="0" showRowColHeaders="0" tabSelected="1" topLeftCell="A4" zoomScale="50" zoomScaleNormal="50" zoomScaleSheetLayoutView="50" workbookViewId="0">
      <selection activeCell="I5" sqref="I5"/>
    </sheetView>
  </sheetViews>
  <sheetFormatPr defaultColWidth="0" defaultRowHeight="15" x14ac:dyDescent="0.25"/>
  <cols>
    <col min="1" max="1" width="2.7109375" style="14" customWidth="1"/>
    <col min="2" max="2" width="12.7109375" style="14" customWidth="1"/>
    <col min="3" max="3" width="72.7109375" style="15" customWidth="1"/>
    <col min="4" max="4" width="60.7109375" style="16" customWidth="1"/>
    <col min="5" max="5" width="48.7109375" style="16" customWidth="1"/>
    <col min="6" max="7" width="15.7109375" style="16" customWidth="1"/>
    <col min="8" max="8" width="48.7109375" style="16" customWidth="1"/>
    <col min="9" max="10" width="15.7109375" style="16" customWidth="1"/>
    <col min="11" max="11" width="48.7109375" style="16" customWidth="1"/>
    <col min="12" max="13" width="15.7109375" style="16" customWidth="1"/>
    <col min="14" max="14" width="4.7109375" style="14" customWidth="1"/>
    <col min="15" max="16" width="12.7109375" style="14" hidden="1" customWidth="1"/>
    <col min="17" max="16384" width="9.140625" style="14" hidden="1"/>
  </cols>
  <sheetData>
    <row r="1" spans="2:14" ht="60" customHeight="1" x14ac:dyDescent="0.25">
      <c r="D1" s="14"/>
      <c r="E1" s="14"/>
      <c r="F1" s="14"/>
      <c r="G1" s="14"/>
      <c r="H1" s="14"/>
      <c r="I1" s="14"/>
      <c r="J1" s="14"/>
      <c r="K1" s="14"/>
      <c r="L1" s="14"/>
      <c r="M1" s="14"/>
    </row>
    <row r="2" spans="2:14" s="17" customFormat="1" ht="80.099999999999994" customHeight="1" x14ac:dyDescent="0.9">
      <c r="B2" s="18" t="str">
        <f>PAINEL!B3</f>
        <v>PLANEJAMENTO DE CARREIRA E METAS PESSOAIS DE VIDA</v>
      </c>
      <c r="C2" s="19"/>
      <c r="D2" s="20"/>
      <c r="E2" s="20"/>
      <c r="F2" s="20"/>
      <c r="G2" s="20"/>
      <c r="H2" s="20"/>
      <c r="I2" s="20"/>
      <c r="J2" s="20"/>
      <c r="K2" s="20"/>
      <c r="L2" s="21"/>
      <c r="M2" s="21" t="s">
        <v>14</v>
      </c>
      <c r="N2" s="14"/>
    </row>
    <row r="3" spans="2:14" s="22" customFormat="1" ht="39.950000000000003" customHeight="1" x14ac:dyDescent="0.25">
      <c r="B3" s="23" t="s">
        <v>12</v>
      </c>
      <c r="C3" s="1">
        <v>42005</v>
      </c>
      <c r="D3" s="25"/>
      <c r="E3" s="25"/>
      <c r="F3" s="25"/>
      <c r="G3" s="25"/>
      <c r="H3" s="25"/>
      <c r="I3" s="25"/>
      <c r="J3" s="25"/>
      <c r="K3" s="27" t="s">
        <v>16</v>
      </c>
      <c r="L3" s="95">
        <f ca="1">TODAY()</f>
        <v>41900</v>
      </c>
      <c r="M3" s="95"/>
    </row>
    <row r="4" spans="2:14" s="29" customFormat="1" ht="120" customHeight="1" thickBot="1" x14ac:dyDescent="0.55000000000000004">
      <c r="B4" s="32" t="s">
        <v>17</v>
      </c>
      <c r="C4" s="30" t="str">
        <f>ÁREAS!F4</f>
        <v>COMO VOCÊ GOSTARIA DE SER?</v>
      </c>
      <c r="D4" s="31" t="s">
        <v>9</v>
      </c>
      <c r="E4" s="31" t="s">
        <v>10</v>
      </c>
      <c r="F4" s="32" t="s">
        <v>29</v>
      </c>
      <c r="G4" s="32" t="s">
        <v>13</v>
      </c>
      <c r="H4" s="31" t="s">
        <v>11</v>
      </c>
      <c r="I4" s="32" t="s">
        <v>30</v>
      </c>
      <c r="J4" s="32" t="s">
        <v>13</v>
      </c>
      <c r="K4" s="31" t="s">
        <v>25</v>
      </c>
      <c r="L4" s="32" t="s">
        <v>31</v>
      </c>
      <c r="M4" s="32" t="s">
        <v>13</v>
      </c>
      <c r="N4" s="14"/>
    </row>
    <row r="5" spans="2:14" s="22" customFormat="1" ht="129.94999999999999" customHeight="1" thickTop="1" x14ac:dyDescent="0.25">
      <c r="B5" s="68">
        <v>1</v>
      </c>
      <c r="C5" s="38" t="str">
        <f>IF(ÁREAS!I5&lt;&gt;"","EM RELAÇÃO A "&amp;TRIM(ÁREAS!I5)&amp;": "&amp;IF(LEN(ÁREAS!I5&amp;ÁREAS!L5)&gt;200,LEFT(TRIM(ÁREAS!L5),200-LEN(ÁREAS!I5))&amp;"...",ÁREAS!L5),"")</f>
        <v>EM RELAÇÃO A ESPIRITUALIDADE: Gostaria de voltar a ir na igreja como antes, sinto falta, sinto necessidade de ir, mas ainda vou voltar tenho certeza.</v>
      </c>
      <c r="D5" s="2" t="s">
        <v>47</v>
      </c>
      <c r="E5" s="3" t="s">
        <v>53</v>
      </c>
      <c r="F5" s="4">
        <v>4</v>
      </c>
      <c r="G5" s="39">
        <f t="shared" ref="G5:G14" si="0">IF(ISNUMBER(F5),DATE(YEAR($C$3)+INT(F5),MONTH($C$3)+12*MOD(F5,1),DAY($C$3)-1),"")</f>
        <v>43465</v>
      </c>
      <c r="H5" s="8" t="s">
        <v>59</v>
      </c>
      <c r="I5" s="4">
        <v>2</v>
      </c>
      <c r="J5" s="40">
        <f t="shared" ref="J5:J14" si="1">IF(ISNUMBER(I5),DATE(YEAR($C$3)+INT(I5),MONTH($C$3)+12*MOD(I5,1),DAY($C$3)-1),"")</f>
        <v>42735</v>
      </c>
      <c r="K5" s="3" t="s">
        <v>21</v>
      </c>
      <c r="L5" s="4">
        <v>10</v>
      </c>
      <c r="M5" s="40">
        <f t="shared" ref="M5:M14" si="2">IF(ISNUMBER(L5),DATE(YEAR($C$3),MONTH($C$3)+INT(L5),DAY($C$3)-1)+MOD(L5,1)*30,"")</f>
        <v>42308</v>
      </c>
      <c r="N5" s="14"/>
    </row>
    <row r="6" spans="2:14" s="22" customFormat="1" ht="129.94999999999999" customHeight="1" x14ac:dyDescent="0.25">
      <c r="B6" s="69">
        <v>2</v>
      </c>
      <c r="C6" s="41" t="str">
        <f>IF(ÁREAS!I6&lt;&gt;"","EM RELAÇÃO A "&amp;TRIM(ÁREAS!I6)&amp;": "&amp;IF(LEN(ÁREAS!I6&amp;ÁREAS!L6)&gt;200,LEFT(TRIM(ÁREAS!L6),200-LEN(ÁREAS!I6))&amp;"...",ÁREAS!L6),"")</f>
        <v>EM RELAÇÃO A SAÚDE: Gostaria que não fosse tão magro, ir mais ao médico, não só quando tem algum problema, mas frequêntemente. Queria me alimentar melhor, com coisas saudáveis e não comer coisas que eu sei que me fa...</v>
      </c>
      <c r="D6" s="5" t="s">
        <v>48</v>
      </c>
      <c r="E6" s="6" t="s">
        <v>54</v>
      </c>
      <c r="F6" s="7">
        <v>15</v>
      </c>
      <c r="G6" s="42">
        <f t="shared" si="0"/>
        <v>47483</v>
      </c>
      <c r="H6" s="8" t="s">
        <v>22</v>
      </c>
      <c r="I6" s="7">
        <v>2</v>
      </c>
      <c r="J6" s="43">
        <f t="shared" si="1"/>
        <v>42735</v>
      </c>
      <c r="K6" s="6" t="s">
        <v>23</v>
      </c>
      <c r="L6" s="7">
        <v>12</v>
      </c>
      <c r="M6" s="43">
        <f t="shared" si="2"/>
        <v>42369</v>
      </c>
      <c r="N6" s="14"/>
    </row>
    <row r="7" spans="2:14" s="22" customFormat="1" ht="129.94999999999999" customHeight="1" x14ac:dyDescent="0.25">
      <c r="B7" s="69">
        <v>3</v>
      </c>
      <c r="C7" s="41" t="str">
        <f>IF(ÁREAS!I7&lt;&gt;"","EM RELAÇÃO A "&amp;TRIM(ÁREAS!I7)&amp;": "&amp;IF(LEN(ÁREAS!I7&amp;ÁREAS!L7)&gt;200,LEFT(TRIM(ÁREAS!L7),200-LEN(ÁREAS!I7))&amp;"...",ÁREAS!L7),"")</f>
        <v>EM RELAÇÃO A FAMÍLIA: Apenas que permaneça assim, do que jeito que é.</v>
      </c>
      <c r="D7" s="5" t="s">
        <v>52</v>
      </c>
      <c r="E7" s="6" t="s">
        <v>55</v>
      </c>
      <c r="F7" s="7">
        <v>12</v>
      </c>
      <c r="G7" s="42">
        <f t="shared" si="0"/>
        <v>46387</v>
      </c>
      <c r="H7" s="8" t="s">
        <v>19</v>
      </c>
      <c r="I7" s="7">
        <v>2</v>
      </c>
      <c r="J7" s="43">
        <f t="shared" si="1"/>
        <v>42735</v>
      </c>
      <c r="K7" s="6" t="s">
        <v>20</v>
      </c>
      <c r="L7" s="7">
        <v>12</v>
      </c>
      <c r="M7" s="43">
        <f t="shared" si="2"/>
        <v>42369</v>
      </c>
      <c r="N7" s="14"/>
    </row>
    <row r="8" spans="2:14" s="22" customFormat="1" ht="129.94999999999999" customHeight="1" x14ac:dyDescent="0.25">
      <c r="B8" s="69">
        <v>4</v>
      </c>
      <c r="C8" s="41" t="str">
        <f>IF(ÁREAS!I8&lt;&gt;"","EM RELAÇÃO A "&amp;TRIM(ÁREAS!I8)&amp;": "&amp;IF(LEN(ÁREAS!I8&amp;ÁREAS!L8)&gt;200,LEFT(TRIM(ÁREAS!L8),200-LEN(ÁREAS!I8))&amp;"...",ÁREAS!L8),"")</f>
        <v>EM RELAÇÃO A CARREIRA: Gostaria mesmo é ser o que todo garoto queria na infância, mas é poucos que conseguem isso. Quero estar dentro de uma empresa e ser reconhecido, ser um icone para aquela empresa, realmente faz...</v>
      </c>
      <c r="D8" s="5" t="s">
        <v>49</v>
      </c>
      <c r="E8" s="6" t="s">
        <v>58</v>
      </c>
      <c r="F8" s="7">
        <v>10</v>
      </c>
      <c r="G8" s="42">
        <f t="shared" si="0"/>
        <v>45657</v>
      </c>
      <c r="H8" s="8"/>
      <c r="I8" s="7"/>
      <c r="J8" s="43" t="str">
        <f t="shared" si="1"/>
        <v/>
      </c>
      <c r="K8" s="6"/>
      <c r="L8" s="7"/>
      <c r="M8" s="43" t="str">
        <f t="shared" si="2"/>
        <v/>
      </c>
      <c r="N8" s="14"/>
    </row>
    <row r="9" spans="2:14" s="22" customFormat="1" ht="129.94999999999999" customHeight="1" x14ac:dyDescent="0.25">
      <c r="B9" s="69">
        <v>5</v>
      </c>
      <c r="C9" s="41" t="str">
        <f>IF(ÁREAS!I9&lt;&gt;"","EM RELAÇÃO A "&amp;TRIM(ÁREAS!I9)&amp;": "&amp;IF(LEN(ÁREAS!I9&amp;ÁREAS!L9)&gt;200,LEFT(TRIM(ÁREAS!L9),200-LEN(ÁREAS!I9))&amp;"...",ÁREAS!L9),"")</f>
        <v>EM RELAÇÃO A VIDA SOCIAL: Pra falar bem a verdade, é bem assim que eu queria, não mudaria nada porque em relação a vida social está perfeito.</v>
      </c>
      <c r="D9" s="5" t="s">
        <v>50</v>
      </c>
      <c r="E9" s="6" t="s">
        <v>56</v>
      </c>
      <c r="F9" s="7">
        <v>4</v>
      </c>
      <c r="G9" s="42">
        <f t="shared" si="0"/>
        <v>43465</v>
      </c>
      <c r="H9" s="8"/>
      <c r="I9" s="7"/>
      <c r="J9" s="43" t="str">
        <f t="shared" si="1"/>
        <v/>
      </c>
      <c r="K9" s="6"/>
      <c r="L9" s="7"/>
      <c r="M9" s="43" t="str">
        <f t="shared" si="2"/>
        <v/>
      </c>
      <c r="N9" s="14"/>
    </row>
    <row r="10" spans="2:14" s="22" customFormat="1" ht="129.94999999999999" customHeight="1" x14ac:dyDescent="0.25">
      <c r="B10" s="69">
        <v>6</v>
      </c>
      <c r="C10" s="41" t="str">
        <f>IF(ÁREAS!I10&lt;&gt;"","EM RELAÇÃO A "&amp;TRIM(ÁREAS!I10)&amp;": "&amp;IF(LEN(ÁREAS!I10&amp;ÁREAS!L10)&gt;200,LEFT(TRIM(ÁREAS!L10),200-LEN(ÁREAS!I10))&amp;"...",ÁREAS!L10),"")</f>
        <v>EM RELAÇÃO A FINANÇAS: Gostaria de ter muito dinheiro, poder fazer o que me desse vontade sem se preocupar com isso, poder ajudar quem não tem, mas não é assim que é as coisas, tem que lutar para conseguir e num fut...</v>
      </c>
      <c r="D10" s="5" t="s">
        <v>51</v>
      </c>
      <c r="E10" s="6" t="s">
        <v>57</v>
      </c>
      <c r="F10" s="7">
        <v>12</v>
      </c>
      <c r="G10" s="42">
        <f t="shared" si="0"/>
        <v>46387</v>
      </c>
      <c r="H10" s="8"/>
      <c r="I10" s="7"/>
      <c r="J10" s="43" t="str">
        <f t="shared" si="1"/>
        <v/>
      </c>
      <c r="K10" s="6"/>
      <c r="L10" s="7"/>
      <c r="M10" s="43" t="str">
        <f t="shared" si="2"/>
        <v/>
      </c>
      <c r="N10" s="14"/>
    </row>
    <row r="11" spans="2:14" s="22" customFormat="1" ht="129.94999999999999" customHeight="1" x14ac:dyDescent="0.25">
      <c r="B11" s="69">
        <v>7</v>
      </c>
      <c r="C11" s="41" t="str">
        <f>IF(ÁREAS!I11&lt;&gt;"","EM RELAÇÃO A "&amp;TRIM(ÁREAS!I11)&amp;": "&amp;IF(LEN(ÁREAS!I11&amp;ÁREAS!L11)&gt;200,LEFT(TRIM(ÁREAS!L11),200-LEN(ÁREAS!I11))&amp;"...",ÁREAS!L11),"")</f>
        <v/>
      </c>
      <c r="D11" s="5"/>
      <c r="E11" s="6"/>
      <c r="F11" s="7"/>
      <c r="G11" s="42" t="str">
        <f t="shared" si="0"/>
        <v/>
      </c>
      <c r="H11" s="8"/>
      <c r="I11" s="7"/>
      <c r="J11" s="43" t="str">
        <f t="shared" si="1"/>
        <v/>
      </c>
      <c r="K11" s="6"/>
      <c r="L11" s="7"/>
      <c r="M11" s="43" t="str">
        <f t="shared" si="2"/>
        <v/>
      </c>
      <c r="N11" s="14"/>
    </row>
    <row r="12" spans="2:14" s="22" customFormat="1" ht="129.94999999999999" customHeight="1" x14ac:dyDescent="0.25">
      <c r="B12" s="69">
        <v>8</v>
      </c>
      <c r="C12" s="41" t="str">
        <f>IF(ÁREAS!I12&lt;&gt;"","EM RELAÇÃO A "&amp;TRIM(ÁREAS!I12)&amp;": "&amp;IF(LEN(ÁREAS!I12&amp;ÁREAS!L12)&gt;200,LEFT(TRIM(ÁREAS!L12),200-LEN(ÁREAS!I12))&amp;"...",ÁREAS!L12),"")</f>
        <v/>
      </c>
      <c r="D12" s="5"/>
      <c r="E12" s="6"/>
      <c r="F12" s="7"/>
      <c r="G12" s="42" t="str">
        <f t="shared" si="0"/>
        <v/>
      </c>
      <c r="H12" s="8"/>
      <c r="I12" s="7"/>
      <c r="J12" s="43" t="str">
        <f t="shared" si="1"/>
        <v/>
      </c>
      <c r="K12" s="6"/>
      <c r="L12" s="7"/>
      <c r="M12" s="43" t="str">
        <f t="shared" si="2"/>
        <v/>
      </c>
      <c r="N12" s="14"/>
    </row>
    <row r="13" spans="2:14" s="22" customFormat="1" ht="129.94999999999999" customHeight="1" x14ac:dyDescent="0.25">
      <c r="B13" s="69">
        <v>9</v>
      </c>
      <c r="C13" s="41" t="str">
        <f>IF(ÁREAS!I13&lt;&gt;"","EM RELAÇÃO A "&amp;TRIM(ÁREAS!I13)&amp;": "&amp;IF(LEN(ÁREAS!I13&amp;ÁREAS!L13)&gt;200,LEFT(TRIM(ÁREAS!L13),200-LEN(ÁREAS!I13))&amp;"...",ÁREAS!L13),"")</f>
        <v/>
      </c>
      <c r="D13" s="5"/>
      <c r="E13" s="6"/>
      <c r="F13" s="7"/>
      <c r="G13" s="42" t="str">
        <f t="shared" si="0"/>
        <v/>
      </c>
      <c r="H13" s="8"/>
      <c r="I13" s="7"/>
      <c r="J13" s="43" t="str">
        <f t="shared" si="1"/>
        <v/>
      </c>
      <c r="K13" s="6"/>
      <c r="L13" s="7"/>
      <c r="M13" s="43" t="str">
        <f t="shared" si="2"/>
        <v/>
      </c>
      <c r="N13" s="14"/>
    </row>
    <row r="14" spans="2:14" s="22" customFormat="1" ht="129.94999999999999" customHeight="1" x14ac:dyDescent="0.25">
      <c r="B14" s="69">
        <v>10</v>
      </c>
      <c r="C14" s="41" t="str">
        <f>IF(ÁREAS!I14&lt;&gt;"","EM RELAÇÃO A "&amp;TRIM(ÁREAS!I14)&amp;": "&amp;IF(LEN(ÁREAS!I14&amp;ÁREAS!L14)&gt;200,LEFT(TRIM(ÁREAS!L14),200-LEN(ÁREAS!I14))&amp;"...",ÁREAS!L14),"")</f>
        <v/>
      </c>
      <c r="D14" s="5"/>
      <c r="E14" s="6"/>
      <c r="F14" s="7"/>
      <c r="G14" s="42" t="str">
        <f t="shared" si="0"/>
        <v/>
      </c>
      <c r="H14" s="8"/>
      <c r="I14" s="7"/>
      <c r="J14" s="43" t="str">
        <f t="shared" si="1"/>
        <v/>
      </c>
      <c r="K14" s="6"/>
      <c r="L14" s="7"/>
      <c r="M14" s="43" t="str">
        <f t="shared" si="2"/>
        <v/>
      </c>
      <c r="N14" s="14"/>
    </row>
  </sheetData>
  <sheetProtection sheet="1" objects="1" scenarios="1"/>
  <mergeCells count="1">
    <mergeCell ref="L3:M3"/>
  </mergeCells>
  <printOptions horizontalCentered="1"/>
  <pageMargins left="0.51181102362204722" right="0.51181102362204722" top="0.59055118110236227" bottom="0.39370078740157483" header="0.31496062992125984" footer="0.31496062992125984"/>
  <pageSetup paperSize="9" scale="3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U15"/>
  <sheetViews>
    <sheetView showGridLines="0" showRowColHeaders="0" zoomScale="50" zoomScaleNormal="50" zoomScaleSheetLayoutView="50" workbookViewId="0">
      <selection activeCell="C3" sqref="C3"/>
    </sheetView>
  </sheetViews>
  <sheetFormatPr defaultColWidth="0" defaultRowHeight="15" x14ac:dyDescent="0.25"/>
  <cols>
    <col min="1" max="1" width="2.7109375" style="14" customWidth="1"/>
    <col min="2" max="2" width="12.7109375" style="14" customWidth="1"/>
    <col min="3" max="3" width="36.7109375" style="15" customWidth="1"/>
    <col min="4" max="4" width="86.7109375" style="16" customWidth="1"/>
    <col min="5" max="20" width="15.7109375" style="16" customWidth="1"/>
    <col min="21" max="21" width="4.7109375" style="14" customWidth="1"/>
    <col min="22" max="16384" width="9.140625" style="14" hidden="1"/>
  </cols>
  <sheetData>
    <row r="1" spans="2:20" ht="60" customHeight="1" x14ac:dyDescent="0.25">
      <c r="D1" s="14"/>
      <c r="E1" s="14"/>
      <c r="F1" s="14"/>
      <c r="G1" s="14"/>
      <c r="H1" s="14"/>
      <c r="I1" s="14"/>
      <c r="J1" s="14"/>
      <c r="K1" s="14"/>
      <c r="L1" s="14"/>
      <c r="M1" s="14"/>
      <c r="N1" s="14"/>
      <c r="O1" s="14"/>
      <c r="P1" s="14"/>
      <c r="Q1" s="14"/>
      <c r="R1" s="14"/>
      <c r="S1" s="14"/>
      <c r="T1" s="14"/>
    </row>
    <row r="2" spans="2:20" s="17" customFormat="1" ht="80.099999999999994" customHeight="1" x14ac:dyDescent="0.9">
      <c r="B2" s="18" t="str">
        <f>PAINEL!B3</f>
        <v>PLANEJAMENTO DE CARREIRA E METAS PESSOAIS DE VIDA</v>
      </c>
      <c r="C2" s="19"/>
      <c r="D2" s="20"/>
      <c r="E2" s="20"/>
      <c r="F2" s="20"/>
      <c r="G2" s="20"/>
      <c r="H2" s="20"/>
      <c r="I2" s="20"/>
      <c r="J2" s="20"/>
      <c r="K2" s="20"/>
      <c r="L2" s="20"/>
      <c r="M2" s="20"/>
      <c r="N2" s="20"/>
      <c r="O2" s="20"/>
      <c r="P2" s="20"/>
      <c r="Q2" s="20"/>
      <c r="R2" s="20"/>
      <c r="S2" s="21"/>
      <c r="T2" s="21" t="s">
        <v>15</v>
      </c>
    </row>
    <row r="3" spans="2:20" s="22" customFormat="1" ht="39.950000000000003" customHeight="1" x14ac:dyDescent="0.25">
      <c r="B3" s="23" t="s">
        <v>12</v>
      </c>
      <c r="C3" s="24">
        <f>'METAS DE VIDA'!C3</f>
        <v>42005</v>
      </c>
      <c r="D3" s="25"/>
      <c r="E3" s="25"/>
      <c r="F3" s="25"/>
      <c r="G3" s="25"/>
      <c r="H3" s="25"/>
      <c r="I3" s="25"/>
      <c r="J3" s="25"/>
      <c r="K3" s="25"/>
      <c r="L3" s="25"/>
      <c r="M3" s="25"/>
      <c r="N3" s="25"/>
      <c r="O3" s="25"/>
      <c r="P3" s="25"/>
      <c r="Q3" s="25"/>
      <c r="R3" s="27" t="s">
        <v>16</v>
      </c>
      <c r="S3" s="95">
        <f ca="1">TODAY()</f>
        <v>41900</v>
      </c>
      <c r="T3" s="95"/>
    </row>
    <row r="4" spans="2:20" s="29" customFormat="1" ht="120" customHeight="1" thickBot="1" x14ac:dyDescent="0.55000000000000004">
      <c r="B4" s="32" t="s">
        <v>17</v>
      </c>
      <c r="C4" s="30" t="str">
        <f>ÁREAS!C4</f>
        <v>ÁREAS MAIS IMPORTANTES</v>
      </c>
      <c r="D4" s="30" t="str">
        <f>TRIM(PAINEL!P19)</f>
        <v>METAS DE CURTO PRAZO (CP)</v>
      </c>
      <c r="E4" s="94"/>
      <c r="F4" s="94"/>
      <c r="G4" s="94"/>
      <c r="H4" s="94"/>
      <c r="I4" s="94"/>
      <c r="J4" s="94"/>
      <c r="K4" s="94"/>
      <c r="L4" s="94"/>
      <c r="M4" s="94"/>
      <c r="N4" s="94"/>
      <c r="O4" s="94"/>
      <c r="P4" s="94"/>
      <c r="Q4" s="94"/>
      <c r="R4" s="94"/>
      <c r="S4" s="94"/>
      <c r="T4" s="94"/>
    </row>
    <row r="5" spans="2:20" s="22" customFormat="1" ht="129.94999999999999" customHeight="1" thickTop="1" x14ac:dyDescent="0.25">
      <c r="B5" s="68">
        <v>1</v>
      </c>
      <c r="C5" s="44" t="str">
        <f>IF(ÁREAS!I5&lt;&gt;"",TRIM(ÁREAS!I5),"")</f>
        <v>ESPIRITUALIDADE</v>
      </c>
      <c r="D5" s="73" t="str">
        <f ca="1">IF(RIGHT(PAINEL!$P$19,4)="(CP)",TRIM(OFFSET(CURTO_PRAZO,B5-1,0,1)),IF(RIGHT(PAINEL!$P$19,4)="(MP)",TRIM(OFFSET(MEDIO_PRAZO,B5-1,0,1)),IF(RIGHT(PAINEL!$P$19,4)="(LP)",TRIM(OFFSET(LONGO_PRAZO,B5-1,0,1)),TRIM(OFFSET(META_DE_VIDA,B5-1,0,1)))))</f>
        <v>Iniciar pós-graduação cujo plano de curso contemple as principais competências requeridas para assumir cargo de gestão na Área de Recursos Humanos.</v>
      </c>
      <c r="E5" s="45"/>
      <c r="F5" s="46"/>
      <c r="G5" s="47"/>
      <c r="H5" s="47"/>
      <c r="I5" s="47"/>
      <c r="J5" s="47"/>
      <c r="K5" s="48">
        <f t="shared" ref="K5:K14" ca="1" si="0">IF(ISNUMBER(M5),TODAY(),"")</f>
        <v>41900</v>
      </c>
      <c r="L5" s="49">
        <f>IF(ISNUMBER(M5),'METAS DE VIDA'!$C$3,"")</f>
        <v>42005</v>
      </c>
      <c r="M5" s="50">
        <f>'METAS DE VIDA'!M5</f>
        <v>42308</v>
      </c>
      <c r="N5" s="51">
        <f>'METAS DE VIDA'!J5</f>
        <v>42735</v>
      </c>
      <c r="O5" s="52">
        <f>'METAS DE VIDA'!G5</f>
        <v>43465</v>
      </c>
      <c r="P5" s="53">
        <f t="shared" ref="P5:P7" si="1">IF(ISNUMBER(M5),MAX(O$5:O$14),"")</f>
        <v>47483</v>
      </c>
      <c r="Q5" s="46"/>
      <c r="R5" s="46"/>
      <c r="S5" s="46"/>
      <c r="T5" s="54"/>
    </row>
    <row r="6" spans="2:20" s="22" customFormat="1" ht="129.94999999999999" customHeight="1" x14ac:dyDescent="0.25">
      <c r="B6" s="69">
        <v>2</v>
      </c>
      <c r="C6" s="55" t="str">
        <f>IF(ÁREAS!I6&lt;&gt;"",TRIM(ÁREAS!I6),"")</f>
        <v>SAÚDE</v>
      </c>
      <c r="D6" s="74" t="str">
        <f ca="1">IF(RIGHT(PAINEL!$P$19,4)="(CP)",TRIM(OFFSET(CURTO_PRAZO,B6-1,0,1)),IF(RIGHT(PAINEL!$P$19,4)="(MP)",TRIM(OFFSET(MEDIO_PRAZO,B6-1,0,1)),IF(RIGHT(PAINEL!$P$19,4)="(LP)",TRIM(OFFSET(LONGO_PRAZO,B6-1,0,1)),TRIM(OFFSET(META_DE_VIDA,B6-1,0,1)))))</f>
        <v>Participar de pelo menos duas corridas oficiais de 5km.</v>
      </c>
      <c r="E6" s="56"/>
      <c r="F6" s="57"/>
      <c r="G6" s="58"/>
      <c r="H6" s="58"/>
      <c r="I6" s="58"/>
      <c r="J6" s="58"/>
      <c r="K6" s="59">
        <f t="shared" ca="1" si="0"/>
        <v>41900</v>
      </c>
      <c r="L6" s="60">
        <f>IF(ISNUMBER(M6),'METAS DE VIDA'!$C$3,"")</f>
        <v>42005</v>
      </c>
      <c r="M6" s="61">
        <f>'METAS DE VIDA'!M6</f>
        <v>42369</v>
      </c>
      <c r="N6" s="62">
        <f>'METAS DE VIDA'!J6</f>
        <v>42735</v>
      </c>
      <c r="O6" s="63">
        <f>'METAS DE VIDA'!G6</f>
        <v>47483</v>
      </c>
      <c r="P6" s="64">
        <f t="shared" si="1"/>
        <v>47483</v>
      </c>
      <c r="Q6" s="57"/>
      <c r="R6" s="57"/>
      <c r="S6" s="57"/>
      <c r="T6" s="65"/>
    </row>
    <row r="7" spans="2:20" s="22" customFormat="1" ht="129.94999999999999" customHeight="1" x14ac:dyDescent="0.25">
      <c r="B7" s="69">
        <v>3</v>
      </c>
      <c r="C7" s="55" t="str">
        <f>IF(ÁREAS!I7&lt;&gt;"",TRIM(ÁREAS!I7),"")</f>
        <v>FAMÍLIA</v>
      </c>
      <c r="D7" s="74" t="str">
        <f ca="1">IF(RIGHT(PAINEL!$P$19,4)="(CP)",TRIM(OFFSET(CURTO_PRAZO,B7-1,0,1)),IF(RIGHT(PAINEL!$P$19,4)="(MP)",TRIM(OFFSET(MEDIO_PRAZO,B7-1,0,1)),IF(RIGHT(PAINEL!$P$19,4)="(LP)",TRIM(OFFSET(LONGO_PRAZO,B7-1,0,1)),TRIM(OFFSET(META_DE_VIDA,B7-1,0,1)))))</f>
        <v>Poupar pelo menos R$ 12 mil em opções de investimento conservadoras e de alta liquidez (poupança, CDB etc.)</v>
      </c>
      <c r="E7" s="56"/>
      <c r="F7" s="57"/>
      <c r="G7" s="58"/>
      <c r="H7" s="58"/>
      <c r="I7" s="58"/>
      <c r="J7" s="58"/>
      <c r="K7" s="59">
        <f t="shared" ca="1" si="0"/>
        <v>41900</v>
      </c>
      <c r="L7" s="60">
        <f>IF(ISNUMBER(M7),'METAS DE VIDA'!$C$3,"")</f>
        <v>42005</v>
      </c>
      <c r="M7" s="61">
        <f>'METAS DE VIDA'!M7</f>
        <v>42369</v>
      </c>
      <c r="N7" s="62">
        <f>'METAS DE VIDA'!J7</f>
        <v>42735</v>
      </c>
      <c r="O7" s="63">
        <f>'METAS DE VIDA'!G7</f>
        <v>46387</v>
      </c>
      <c r="P7" s="64">
        <f t="shared" si="1"/>
        <v>47483</v>
      </c>
      <c r="Q7" s="57"/>
      <c r="R7" s="57"/>
      <c r="S7" s="57"/>
      <c r="T7" s="65"/>
    </row>
    <row r="8" spans="2:20" s="22" customFormat="1" ht="129.94999999999999" customHeight="1" x14ac:dyDescent="0.25">
      <c r="B8" s="69">
        <v>4</v>
      </c>
      <c r="C8" s="55" t="str">
        <f>IF(ÁREAS!I8&lt;&gt;"",TRIM(ÁREAS!I8),"")</f>
        <v>CARREIRA</v>
      </c>
      <c r="D8" s="74" t="str">
        <f ca="1">IF(RIGHT(PAINEL!$P$19,4)="(CP)",TRIM(OFFSET(CURTO_PRAZO,B8-1,0,1)),IF(RIGHT(PAINEL!$P$19,4)="(MP)",TRIM(OFFSET(MEDIO_PRAZO,B8-1,0,1)),IF(RIGHT(PAINEL!$P$19,4)="(LP)",TRIM(OFFSET(LONGO_PRAZO,B8-1,0,1)),TRIM(OFFSET(META_DE_VIDA,B8-1,0,1)))))</f>
        <v/>
      </c>
      <c r="E8" s="56"/>
      <c r="F8" s="57"/>
      <c r="G8" s="58"/>
      <c r="H8" s="58"/>
      <c r="I8" s="58"/>
      <c r="J8" s="58"/>
      <c r="K8" s="59" t="str">
        <f t="shared" ca="1" si="0"/>
        <v/>
      </c>
      <c r="L8" s="60" t="str">
        <f>IF(ISNUMBER(M8),'METAS DE VIDA'!$C$3,"")</f>
        <v/>
      </c>
      <c r="M8" s="61" t="str">
        <f>'METAS DE VIDA'!M8</f>
        <v/>
      </c>
      <c r="N8" s="62" t="str">
        <f>'METAS DE VIDA'!J8</f>
        <v/>
      </c>
      <c r="O8" s="63">
        <f>'METAS DE VIDA'!G8</f>
        <v>45657</v>
      </c>
      <c r="P8" s="64" t="str">
        <f t="shared" ref="P8:P14" si="2">IF(ISNUMBER(M8),MAX(O$5:O$14),"")</f>
        <v/>
      </c>
      <c r="Q8" s="57"/>
      <c r="R8" s="57"/>
      <c r="S8" s="57"/>
      <c r="T8" s="65"/>
    </row>
    <row r="9" spans="2:20" s="22" customFormat="1" ht="129.94999999999999" customHeight="1" x14ac:dyDescent="0.25">
      <c r="B9" s="69">
        <v>5</v>
      </c>
      <c r="C9" s="55" t="str">
        <f>IF(ÁREAS!I9&lt;&gt;"",TRIM(ÁREAS!I9),"")</f>
        <v>VIDA SOCIAL</v>
      </c>
      <c r="D9" s="74" t="str">
        <f ca="1">IF(RIGHT(PAINEL!$P$19,4)="(CP)",TRIM(OFFSET(CURTO_PRAZO,B9-1,0,1)),IF(RIGHT(PAINEL!$P$19,4)="(MP)",TRIM(OFFSET(MEDIO_PRAZO,B9-1,0,1)),IF(RIGHT(PAINEL!$P$19,4)="(LP)",TRIM(OFFSET(LONGO_PRAZO,B9-1,0,1)),TRIM(OFFSET(META_DE_VIDA,B9-1,0,1)))))</f>
        <v/>
      </c>
      <c r="E9" s="56"/>
      <c r="F9" s="57"/>
      <c r="G9" s="58"/>
      <c r="H9" s="58"/>
      <c r="I9" s="58"/>
      <c r="J9" s="58"/>
      <c r="K9" s="59" t="str">
        <f t="shared" ca="1" si="0"/>
        <v/>
      </c>
      <c r="L9" s="60" t="str">
        <f>IF(ISNUMBER(M9),'METAS DE VIDA'!$C$3,"")</f>
        <v/>
      </c>
      <c r="M9" s="61" t="str">
        <f>'METAS DE VIDA'!M9</f>
        <v/>
      </c>
      <c r="N9" s="62" t="str">
        <f>'METAS DE VIDA'!J9</f>
        <v/>
      </c>
      <c r="O9" s="63">
        <f>'METAS DE VIDA'!G9</f>
        <v>43465</v>
      </c>
      <c r="P9" s="64" t="str">
        <f t="shared" si="2"/>
        <v/>
      </c>
      <c r="Q9" s="57"/>
      <c r="R9" s="57"/>
      <c r="S9" s="57"/>
      <c r="T9" s="65"/>
    </row>
    <row r="10" spans="2:20" s="22" customFormat="1" ht="129.94999999999999" customHeight="1" x14ac:dyDescent="0.25">
      <c r="B10" s="69">
        <v>6</v>
      </c>
      <c r="C10" s="55" t="str">
        <f>IF(ÁREAS!I10&lt;&gt;"",TRIM(ÁREAS!I10),"")</f>
        <v>FINANÇAS</v>
      </c>
      <c r="D10" s="74" t="str">
        <f ca="1">IF(RIGHT(PAINEL!$P$19,4)="(CP)",TRIM(OFFSET(CURTO_PRAZO,B10-1,0,1)),IF(RIGHT(PAINEL!$P$19,4)="(MP)",TRIM(OFFSET(MEDIO_PRAZO,B10-1,0,1)),IF(RIGHT(PAINEL!$P$19,4)="(LP)",TRIM(OFFSET(LONGO_PRAZO,B10-1,0,1)),TRIM(OFFSET(META_DE_VIDA,B10-1,0,1)))))</f>
        <v/>
      </c>
      <c r="E10" s="56"/>
      <c r="F10" s="57"/>
      <c r="G10" s="58"/>
      <c r="H10" s="58"/>
      <c r="I10" s="58"/>
      <c r="J10" s="58"/>
      <c r="K10" s="59" t="str">
        <f t="shared" ca="1" si="0"/>
        <v/>
      </c>
      <c r="L10" s="60" t="str">
        <f>IF(ISNUMBER(M10),'METAS DE VIDA'!$C$3,"")</f>
        <v/>
      </c>
      <c r="M10" s="61" t="str">
        <f>'METAS DE VIDA'!M10</f>
        <v/>
      </c>
      <c r="N10" s="62" t="str">
        <f>'METAS DE VIDA'!J10</f>
        <v/>
      </c>
      <c r="O10" s="63">
        <f>'METAS DE VIDA'!G10</f>
        <v>46387</v>
      </c>
      <c r="P10" s="64" t="str">
        <f t="shared" si="2"/>
        <v/>
      </c>
      <c r="Q10" s="57"/>
      <c r="R10" s="57"/>
      <c r="S10" s="57"/>
      <c r="T10" s="65"/>
    </row>
    <row r="11" spans="2:20" s="22" customFormat="1" ht="129.94999999999999" customHeight="1" x14ac:dyDescent="0.25">
      <c r="B11" s="69">
        <v>7</v>
      </c>
      <c r="C11" s="55" t="str">
        <f>IF(ÁREAS!I11&lt;&gt;"",TRIM(ÁREAS!I11),"")</f>
        <v/>
      </c>
      <c r="D11" s="74" t="str">
        <f ca="1">IF(RIGHT(PAINEL!$P$19,4)="(CP)",TRIM(OFFSET(CURTO_PRAZO,B11-1,0,1)),IF(RIGHT(PAINEL!$P$19,4)="(MP)",TRIM(OFFSET(MEDIO_PRAZO,B11-1,0,1)),IF(RIGHT(PAINEL!$P$19,4)="(LP)",TRIM(OFFSET(LONGO_PRAZO,B11-1,0,1)),TRIM(OFFSET(META_DE_VIDA,B11-1,0,1)))))</f>
        <v/>
      </c>
      <c r="E11" s="56"/>
      <c r="F11" s="57"/>
      <c r="G11" s="58"/>
      <c r="H11" s="58"/>
      <c r="I11" s="58"/>
      <c r="J11" s="58"/>
      <c r="K11" s="59" t="str">
        <f t="shared" ca="1" si="0"/>
        <v/>
      </c>
      <c r="L11" s="60" t="str">
        <f>IF(ISNUMBER(M11),'METAS DE VIDA'!$C$3,"")</f>
        <v/>
      </c>
      <c r="M11" s="61" t="str">
        <f>'METAS DE VIDA'!M11</f>
        <v/>
      </c>
      <c r="N11" s="62" t="str">
        <f>'METAS DE VIDA'!J11</f>
        <v/>
      </c>
      <c r="O11" s="63" t="str">
        <f>'METAS DE VIDA'!G11</f>
        <v/>
      </c>
      <c r="P11" s="64" t="str">
        <f t="shared" si="2"/>
        <v/>
      </c>
      <c r="Q11" s="57"/>
      <c r="R11" s="57"/>
      <c r="S11" s="57"/>
      <c r="T11" s="65"/>
    </row>
    <row r="12" spans="2:20" s="22" customFormat="1" ht="129.94999999999999" customHeight="1" x14ac:dyDescent="0.25">
      <c r="B12" s="69">
        <v>8</v>
      </c>
      <c r="C12" s="55" t="str">
        <f>IF(ÁREAS!I12&lt;&gt;"",TRIM(ÁREAS!I12),"")</f>
        <v/>
      </c>
      <c r="D12" s="74" t="str">
        <f ca="1">IF(RIGHT(PAINEL!$P$19,4)="(CP)",TRIM(OFFSET(CURTO_PRAZO,B12-1,0,1)),IF(RIGHT(PAINEL!$P$19,4)="(MP)",TRIM(OFFSET(MEDIO_PRAZO,B12-1,0,1)),IF(RIGHT(PAINEL!$P$19,4)="(LP)",TRIM(OFFSET(LONGO_PRAZO,B12-1,0,1)),TRIM(OFFSET(META_DE_VIDA,B12-1,0,1)))))</f>
        <v/>
      </c>
      <c r="E12" s="56"/>
      <c r="F12" s="57"/>
      <c r="G12" s="58"/>
      <c r="H12" s="58"/>
      <c r="I12" s="58"/>
      <c r="J12" s="58"/>
      <c r="K12" s="59" t="str">
        <f t="shared" ca="1" si="0"/>
        <v/>
      </c>
      <c r="L12" s="60" t="str">
        <f>IF(ISNUMBER(M12),'METAS DE VIDA'!$C$3,"")</f>
        <v/>
      </c>
      <c r="M12" s="61" t="str">
        <f>'METAS DE VIDA'!M12</f>
        <v/>
      </c>
      <c r="N12" s="62" t="str">
        <f>'METAS DE VIDA'!J12</f>
        <v/>
      </c>
      <c r="O12" s="63" t="str">
        <f>'METAS DE VIDA'!G12</f>
        <v/>
      </c>
      <c r="P12" s="64" t="str">
        <f t="shared" si="2"/>
        <v/>
      </c>
      <c r="Q12" s="57"/>
      <c r="R12" s="57"/>
      <c r="S12" s="57"/>
      <c r="T12" s="65"/>
    </row>
    <row r="13" spans="2:20" s="22" customFormat="1" ht="129.94999999999999" customHeight="1" x14ac:dyDescent="0.25">
      <c r="B13" s="69">
        <v>9</v>
      </c>
      <c r="C13" s="55" t="str">
        <f>IF(ÁREAS!I13&lt;&gt;"",TRIM(ÁREAS!I13),"")</f>
        <v/>
      </c>
      <c r="D13" s="74" t="str">
        <f ca="1">IF(RIGHT(PAINEL!$P$19,4)="(CP)",TRIM(OFFSET(CURTO_PRAZO,B13-1,0,1)),IF(RIGHT(PAINEL!$P$19,4)="(MP)",TRIM(OFFSET(MEDIO_PRAZO,B13-1,0,1)),IF(RIGHT(PAINEL!$P$19,4)="(LP)",TRIM(OFFSET(LONGO_PRAZO,B13-1,0,1)),TRIM(OFFSET(META_DE_VIDA,B13-1,0,1)))))</f>
        <v/>
      </c>
      <c r="E13" s="56"/>
      <c r="F13" s="57"/>
      <c r="G13" s="58"/>
      <c r="H13" s="58"/>
      <c r="I13" s="58"/>
      <c r="J13" s="58"/>
      <c r="K13" s="59" t="str">
        <f t="shared" ca="1" si="0"/>
        <v/>
      </c>
      <c r="L13" s="60" t="str">
        <f>IF(ISNUMBER(M13),'METAS DE VIDA'!$C$3,"")</f>
        <v/>
      </c>
      <c r="M13" s="61" t="str">
        <f>'METAS DE VIDA'!M13</f>
        <v/>
      </c>
      <c r="N13" s="62" t="str">
        <f>'METAS DE VIDA'!J13</f>
        <v/>
      </c>
      <c r="O13" s="63" t="str">
        <f>'METAS DE VIDA'!G13</f>
        <v/>
      </c>
      <c r="P13" s="64" t="str">
        <f t="shared" si="2"/>
        <v/>
      </c>
      <c r="Q13" s="57"/>
      <c r="R13" s="57"/>
      <c r="S13" s="57"/>
      <c r="T13" s="65"/>
    </row>
    <row r="14" spans="2:20" s="22" customFormat="1" ht="129.94999999999999" customHeight="1" x14ac:dyDescent="0.25">
      <c r="B14" s="69">
        <v>10</v>
      </c>
      <c r="C14" s="55" t="str">
        <f>IF(ÁREAS!I14&lt;&gt;"",TRIM(ÁREAS!I14),"")</f>
        <v/>
      </c>
      <c r="D14" s="74" t="str">
        <f ca="1">IF(RIGHT(PAINEL!$P$19,4)="(CP)",TRIM(OFFSET(CURTO_PRAZO,B14-1,0,1)),IF(RIGHT(PAINEL!$P$19,4)="(MP)",TRIM(OFFSET(MEDIO_PRAZO,B14-1,0,1)),IF(RIGHT(PAINEL!$P$19,4)="(LP)",TRIM(OFFSET(LONGO_PRAZO,B14-1,0,1)),TRIM(OFFSET(META_DE_VIDA,B14-1,0,1)))))</f>
        <v/>
      </c>
      <c r="E14" s="56"/>
      <c r="F14" s="57"/>
      <c r="G14" s="58"/>
      <c r="H14" s="58"/>
      <c r="I14" s="58"/>
      <c r="J14" s="58"/>
      <c r="K14" s="59" t="str">
        <f t="shared" ca="1" si="0"/>
        <v/>
      </c>
      <c r="L14" s="60" t="str">
        <f>IF(ISNUMBER(M14),'METAS DE VIDA'!$C$3,"")</f>
        <v/>
      </c>
      <c r="M14" s="61" t="str">
        <f>'METAS DE VIDA'!M14</f>
        <v/>
      </c>
      <c r="N14" s="62" t="str">
        <f>'METAS DE VIDA'!J14</f>
        <v/>
      </c>
      <c r="O14" s="63" t="str">
        <f>'METAS DE VIDA'!G14</f>
        <v/>
      </c>
      <c r="P14" s="64" t="str">
        <f t="shared" si="2"/>
        <v/>
      </c>
      <c r="Q14" s="57"/>
      <c r="R14" s="57"/>
      <c r="S14" s="57"/>
      <c r="T14" s="65"/>
    </row>
    <row r="15" spans="2:20" x14ac:dyDescent="0.25">
      <c r="E15" s="14"/>
      <c r="F15" s="14"/>
      <c r="G15" s="14"/>
      <c r="H15" s="14"/>
      <c r="I15" s="14"/>
      <c r="J15" s="14"/>
      <c r="K15" s="14"/>
      <c r="L15" s="14"/>
      <c r="M15" s="14"/>
      <c r="N15" s="14"/>
      <c r="O15" s="14"/>
      <c r="P15" s="14"/>
      <c r="Q15" s="14"/>
      <c r="R15" s="14"/>
      <c r="S15" s="14"/>
      <c r="T15" s="14"/>
    </row>
  </sheetData>
  <sheetProtection sheet="1" objects="1" scenarios="1"/>
  <mergeCells count="2">
    <mergeCell ref="E4:T4"/>
    <mergeCell ref="S3:T3"/>
  </mergeCells>
  <printOptions horizontalCentered="1"/>
  <pageMargins left="0.51181102362204722" right="0.51181102362204722" top="0.59055118110236227" bottom="0.39370078740157483" header="0.31496062992125984" footer="0.31496062992125984"/>
  <pageSetup paperSize="9" scale="3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8</vt:i4>
      </vt:variant>
    </vt:vector>
  </HeadingPairs>
  <TitlesOfParts>
    <vt:vector size="12" baseType="lpstr">
      <vt:lpstr>PAINEL</vt:lpstr>
      <vt:lpstr>ÁREAS</vt:lpstr>
      <vt:lpstr>METAS DE VIDA</vt:lpstr>
      <vt:lpstr>ACOMPANHAMENTO</vt:lpstr>
      <vt:lpstr>ACOMPANHAMENTO!Area_de_impressao</vt:lpstr>
      <vt:lpstr>ÁREAS!Area_de_impressao</vt:lpstr>
      <vt:lpstr>'METAS DE VIDA'!Area_de_impressao</vt:lpstr>
      <vt:lpstr>PAINEL!Area_de_impressao</vt:lpstr>
      <vt:lpstr>CURTO_PRAZO</vt:lpstr>
      <vt:lpstr>LONGO_PRAZO</vt:lpstr>
      <vt:lpstr>MEDIO_PRAZO</vt:lpstr>
      <vt:lpstr>META_DE_VIDA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PLANEJAMENTO DE CARREIRA E METAS PESSOAIS DE VIDA</dc:title>
  <dc:creator/>
  <cp:keywords>planejamento de carreira, planejamento pessoal, metas de vida</cp:keywords>
  <cp:lastModifiedBy/>
  <dcterms:created xsi:type="dcterms:W3CDTF">2012-12-22T01:50:34Z</dcterms:created>
  <dcterms:modified xsi:type="dcterms:W3CDTF">2014-09-18T20:08:13Z</dcterms:modified>
</cp:coreProperties>
</file>