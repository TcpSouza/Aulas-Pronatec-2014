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995"/>
  </bookViews>
  <sheets>
    <sheet name="2700" sheetId="1" r:id="rId1"/>
  </sheets>
  <calcPr calcId="125725"/>
</workbook>
</file>

<file path=xl/calcChain.xml><?xml version="1.0" encoding="utf-8"?>
<calcChain xmlns="http://schemas.openxmlformats.org/spreadsheetml/2006/main">
  <c r="W18" i="1"/>
  <c r="K18"/>
  <c r="W16"/>
  <c r="K16"/>
  <c r="W15"/>
  <c r="K15"/>
  <c r="W6"/>
  <c r="K6"/>
  <c r="W14"/>
  <c r="K14"/>
  <c r="U16"/>
  <c r="I16"/>
  <c r="U14"/>
  <c r="I14"/>
  <c r="U13"/>
  <c r="I13"/>
  <c r="V12"/>
  <c r="V16" s="1"/>
  <c r="J12"/>
  <c r="J16" s="1"/>
  <c r="S11"/>
  <c r="U11" s="1"/>
  <c r="G11"/>
  <c r="I11" s="1"/>
  <c r="S10"/>
  <c r="U10" s="1"/>
  <c r="G10"/>
  <c r="I10" s="1"/>
  <c r="S9"/>
  <c r="U9" s="1"/>
  <c r="G9"/>
  <c r="I9" s="1"/>
  <c r="S8"/>
  <c r="U8" s="1"/>
  <c r="G8"/>
  <c r="I8" s="1"/>
  <c r="S7"/>
  <c r="U7" s="1"/>
  <c r="G7"/>
  <c r="I7" s="1"/>
  <c r="S6"/>
  <c r="S12" s="1"/>
  <c r="S15" s="1"/>
  <c r="G6"/>
  <c r="I6" s="1"/>
  <c r="U5"/>
  <c r="R5"/>
  <c r="I5"/>
  <c r="I12" s="1"/>
  <c r="I15" s="1"/>
  <c r="F5"/>
  <c r="I17" l="1"/>
  <c r="I18" s="1"/>
  <c r="R15"/>
  <c r="S17"/>
  <c r="R18" s="1"/>
  <c r="R19" s="1"/>
  <c r="G12"/>
  <c r="G15" s="1"/>
  <c r="U6"/>
  <c r="U12" s="1"/>
  <c r="U15" s="1"/>
  <c r="U17" s="1"/>
  <c r="U18" s="1"/>
  <c r="J13"/>
  <c r="V13"/>
  <c r="J14"/>
  <c r="V14"/>
  <c r="G17" l="1"/>
  <c r="F18" s="1"/>
  <c r="F19" s="1"/>
  <c r="F20" s="1"/>
  <c r="F15"/>
</calcChain>
</file>

<file path=xl/sharedStrings.xml><?xml version="1.0" encoding="utf-8"?>
<sst xmlns="http://schemas.openxmlformats.org/spreadsheetml/2006/main" count="64" uniqueCount="33">
  <si>
    <t>Prazo</t>
  </si>
  <si>
    <t>Frete</t>
  </si>
  <si>
    <t>Modelo: 1000</t>
  </si>
  <si>
    <t>Modelo: 2700</t>
  </si>
  <si>
    <t>Custo  Financeiro</t>
  </si>
  <si>
    <t>% am.</t>
  </si>
  <si>
    <t>Preço de</t>
  </si>
  <si>
    <t>Preço</t>
  </si>
  <si>
    <t>Descrição</t>
  </si>
  <si>
    <t>%Trib.</t>
  </si>
  <si>
    <t>Venda (R$)</t>
  </si>
  <si>
    <t>Àvista (R$)</t>
  </si>
  <si>
    <t xml:space="preserve">Preço De Venda </t>
  </si>
  <si>
    <t>Tributação Icms</t>
  </si>
  <si>
    <t>Tributos Federais (Pis/Cofins)</t>
  </si>
  <si>
    <t>Despesa Administrativa</t>
  </si>
  <si>
    <t>Comissões</t>
  </si>
  <si>
    <t>%</t>
  </si>
  <si>
    <t>sobre o</t>
  </si>
  <si>
    <t>INSS</t>
  </si>
  <si>
    <t>custo</t>
  </si>
  <si>
    <t>Custo Primário:</t>
  </si>
  <si>
    <t>Custo Dos Materiais</t>
  </si>
  <si>
    <t>a</t>
  </si>
  <si>
    <t>Custo Externo (Atelier)</t>
  </si>
  <si>
    <t>b</t>
  </si>
  <si>
    <t>Margem De Contribuição</t>
  </si>
  <si>
    <t>c</t>
  </si>
  <si>
    <t>Custo Fixo Por Par</t>
  </si>
  <si>
    <t>d</t>
  </si>
  <si>
    <t>Resultado Por Par (R$)</t>
  </si>
  <si>
    <t>e</t>
  </si>
  <si>
    <t>Resultado/PreçoDeVenda (%)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</si>
</sst>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0"/>
      <name val="Arial"/>
    </font>
    <font>
      <sz val="10"/>
      <name val="Comic Sans MS"/>
      <family val="4"/>
    </font>
    <font>
      <sz val="12"/>
      <name val="Comic Sans MS"/>
      <family val="4"/>
    </font>
    <font>
      <sz val="10"/>
      <color indexed="9"/>
      <name val="Comic Sans MS"/>
      <family val="4"/>
    </font>
    <font>
      <sz val="10"/>
      <color indexed="18"/>
      <name val="Comic Sans MS"/>
      <family val="4"/>
    </font>
    <font>
      <sz val="12"/>
      <color indexed="18"/>
      <name val="Comic Sans MS"/>
      <family val="4"/>
    </font>
    <font>
      <sz val="12"/>
      <color indexed="21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/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164" fontId="1" fillId="0" borderId="0" xfId="0" applyNumberFormat="1" applyFont="1"/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4" fontId="1" fillId="2" borderId="7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2" fontId="5" fillId="2" borderId="8" xfId="0" applyNumberFormat="1" applyFont="1" applyFill="1" applyBorder="1" applyAlignment="1">
      <alignment horizontal="center"/>
    </xf>
    <xf numFmtId="2" fontId="6" fillId="2" borderId="8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2" borderId="8" xfId="0" applyNumberFormat="1" applyFont="1" applyFill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X20"/>
  <sheetViews>
    <sheetView showGridLines="0" tabSelected="1" workbookViewId="0">
      <selection activeCell="W14" sqref="W14"/>
    </sheetView>
  </sheetViews>
  <sheetFormatPr defaultRowHeight="12.75"/>
  <cols>
    <col min="1" max="1" width="2.140625" customWidth="1"/>
    <col min="2" max="2" width="3.7109375" customWidth="1"/>
    <col min="6" max="6" width="7.42578125" customWidth="1"/>
    <col min="7" max="7" width="9.85546875" customWidth="1"/>
    <col min="8" max="8" width="7.140625" hidden="1" customWidth="1"/>
    <col min="9" max="9" width="9.85546875" hidden="1" customWidth="1"/>
    <col min="10" max="10" width="9.140625" hidden="1" customWidth="1"/>
    <col min="11" max="11" width="9.140625" customWidth="1"/>
    <col min="12" max="12" width="9.140625" hidden="1" customWidth="1"/>
    <col min="13" max="13" width="1.28515625" customWidth="1"/>
    <col min="14" max="14" width="4.140625" customWidth="1"/>
    <col min="18" max="18" width="7.5703125" customWidth="1"/>
    <col min="19" max="19" width="10.42578125" customWidth="1"/>
    <col min="20" max="22" width="9.140625" hidden="1" customWidth="1"/>
    <col min="23" max="23" width="9.140625" style="38"/>
  </cols>
  <sheetData>
    <row r="2" spans="2:24" ht="15">
      <c r="B2" s="1"/>
      <c r="C2" s="2" t="s">
        <v>2</v>
      </c>
      <c r="D2" s="2"/>
      <c r="E2" s="2"/>
      <c r="F2" s="2"/>
      <c r="G2" s="3"/>
      <c r="H2" s="2"/>
      <c r="I2" s="2"/>
      <c r="J2" s="2"/>
      <c r="N2" s="1"/>
      <c r="O2" s="2" t="s">
        <v>3</v>
      </c>
      <c r="P2" s="2"/>
      <c r="Q2" s="2"/>
      <c r="R2" s="2"/>
      <c r="S2" s="3"/>
      <c r="T2" s="2"/>
      <c r="U2" s="2"/>
      <c r="V2" s="2"/>
    </row>
    <row r="3" spans="2:24" ht="15">
      <c r="B3" s="4"/>
      <c r="C3" s="5" t="s">
        <v>4</v>
      </c>
      <c r="D3" s="6"/>
      <c r="E3" s="7">
        <v>3</v>
      </c>
      <c r="F3" s="8" t="s">
        <v>5</v>
      </c>
      <c r="G3" s="9" t="s">
        <v>6</v>
      </c>
      <c r="H3" s="2"/>
      <c r="I3" s="9" t="s">
        <v>7</v>
      </c>
      <c r="J3" s="2"/>
      <c r="N3" s="4"/>
      <c r="O3" s="5" t="s">
        <v>4</v>
      </c>
      <c r="P3" s="6"/>
      <c r="Q3" s="7">
        <v>3</v>
      </c>
      <c r="R3" s="8" t="s">
        <v>5</v>
      </c>
      <c r="S3" s="9" t="s">
        <v>6</v>
      </c>
      <c r="T3" s="2"/>
      <c r="U3" s="9" t="s">
        <v>7</v>
      </c>
      <c r="V3" s="2"/>
    </row>
    <row r="4" spans="2:24" ht="15">
      <c r="B4" s="1"/>
      <c r="C4" s="5" t="s">
        <v>8</v>
      </c>
      <c r="D4" s="6"/>
      <c r="E4" s="10"/>
      <c r="F4" s="9" t="s">
        <v>9</v>
      </c>
      <c r="G4" s="9" t="s">
        <v>10</v>
      </c>
      <c r="H4" s="9" t="s">
        <v>0</v>
      </c>
      <c r="I4" s="9" t="s">
        <v>11</v>
      </c>
      <c r="J4" s="2"/>
      <c r="N4" s="1"/>
      <c r="O4" s="5" t="s">
        <v>8</v>
      </c>
      <c r="P4" s="6"/>
      <c r="Q4" s="10"/>
      <c r="R4" s="9" t="s">
        <v>9</v>
      </c>
      <c r="S4" s="9" t="s">
        <v>10</v>
      </c>
      <c r="T4" s="9" t="s">
        <v>0</v>
      </c>
      <c r="U4" s="9" t="s">
        <v>11</v>
      </c>
      <c r="V4" s="2"/>
    </row>
    <row r="5" spans="2:24" ht="19.5">
      <c r="B5" s="11">
        <v>1</v>
      </c>
      <c r="C5" s="5" t="s">
        <v>12</v>
      </c>
      <c r="D5" s="6"/>
      <c r="E5" s="6"/>
      <c r="F5" s="12">
        <f>F6+F7+F8+F9+F10+F11+E3</f>
        <v>26.25</v>
      </c>
      <c r="G5" s="13">
        <v>58.65</v>
      </c>
      <c r="H5" s="9">
        <v>0</v>
      </c>
      <c r="I5" s="14">
        <f>G5*((100-((E3/30)*H5))/100)</f>
        <v>58.65</v>
      </c>
      <c r="J5" s="15"/>
      <c r="K5" s="36"/>
      <c r="N5" s="11">
        <v>1</v>
      </c>
      <c r="O5" s="5" t="s">
        <v>12</v>
      </c>
      <c r="P5" s="6"/>
      <c r="Q5" s="6"/>
      <c r="R5" s="12">
        <f>R6+R7+R8+R9+R10+R11+Q3</f>
        <v>26.25</v>
      </c>
      <c r="S5" s="13">
        <v>28.23</v>
      </c>
      <c r="T5" s="9">
        <v>0</v>
      </c>
      <c r="U5" s="14">
        <f>S5*((100-((Q3/30)*T5))/100)</f>
        <v>28.23</v>
      </c>
      <c r="V5" s="15"/>
      <c r="W5" s="36"/>
    </row>
    <row r="6" spans="2:24" ht="15">
      <c r="B6" s="11">
        <v>2</v>
      </c>
      <c r="C6" s="5" t="s">
        <v>13</v>
      </c>
      <c r="D6" s="6"/>
      <c r="E6" s="10"/>
      <c r="F6" s="12">
        <v>3</v>
      </c>
      <c r="G6" s="14">
        <f>G5*(F6/100)</f>
        <v>1.7594999999999998</v>
      </c>
      <c r="H6" s="9">
        <v>36</v>
      </c>
      <c r="I6" s="14">
        <f>G6*((100-((E3/30)*H6))/100)</f>
        <v>1.6961580000000001</v>
      </c>
      <c r="J6" s="15"/>
      <c r="K6" s="37">
        <f>G5/100*12</f>
        <v>7.0380000000000003</v>
      </c>
      <c r="N6" s="11">
        <v>2</v>
      </c>
      <c r="O6" s="5" t="s">
        <v>13</v>
      </c>
      <c r="P6" s="6"/>
      <c r="Q6" s="10"/>
      <c r="R6" s="12">
        <v>3</v>
      </c>
      <c r="S6" s="14">
        <f>S5*(R6/100)</f>
        <v>0.84689999999999999</v>
      </c>
      <c r="T6" s="9">
        <v>36</v>
      </c>
      <c r="U6" s="14">
        <f>S6*((100-((Q3/30)*T6))/100)</f>
        <v>0.81641160000000002</v>
      </c>
      <c r="V6" s="15"/>
      <c r="W6" s="37">
        <f>S5/100*12</f>
        <v>3.3875999999999999</v>
      </c>
    </row>
    <row r="7" spans="2:24" ht="15">
      <c r="B7" s="11">
        <v>3</v>
      </c>
      <c r="C7" s="5" t="s">
        <v>14</v>
      </c>
      <c r="D7" s="6"/>
      <c r="E7" s="10"/>
      <c r="F7" s="12">
        <v>9.25</v>
      </c>
      <c r="G7" s="14">
        <f>G5*(F7/100)</f>
        <v>5.4251249999999995</v>
      </c>
      <c r="H7" s="9">
        <v>30</v>
      </c>
      <c r="I7" s="14">
        <f>G7*((100-((E3/30)*H7))/100)</f>
        <v>5.2623712499999993</v>
      </c>
      <c r="J7" s="15"/>
      <c r="K7" s="37"/>
      <c r="N7" s="11">
        <v>3</v>
      </c>
      <c r="O7" s="5" t="s">
        <v>14</v>
      </c>
      <c r="P7" s="6"/>
      <c r="Q7" s="10"/>
      <c r="R7" s="12">
        <v>9.25</v>
      </c>
      <c r="S7" s="14">
        <f>S5*(R7/100)</f>
        <v>2.611275</v>
      </c>
      <c r="T7" s="9">
        <v>30</v>
      </c>
      <c r="U7" s="14">
        <f>S7*((100-((Q3/30)*T7))/100)</f>
        <v>2.5329367499999997</v>
      </c>
      <c r="V7" s="15"/>
      <c r="W7" s="37"/>
    </row>
    <row r="8" spans="2:24" ht="15">
      <c r="B8" s="11">
        <v>4</v>
      </c>
      <c r="C8" s="5" t="s">
        <v>15</v>
      </c>
      <c r="D8" s="6"/>
      <c r="E8" s="10"/>
      <c r="F8" s="12"/>
      <c r="G8" s="14">
        <f>G5*(F8/100)</f>
        <v>0</v>
      </c>
      <c r="H8" s="9">
        <v>0</v>
      </c>
      <c r="I8" s="14">
        <f>G8*((100-((E3/30)*H8))/100)</f>
        <v>0</v>
      </c>
      <c r="J8" s="15"/>
      <c r="K8" s="37"/>
      <c r="N8" s="11">
        <v>4</v>
      </c>
      <c r="O8" s="5" t="s">
        <v>15</v>
      </c>
      <c r="P8" s="6"/>
      <c r="Q8" s="10"/>
      <c r="R8" s="12"/>
      <c r="S8" s="14">
        <f>S5*(R8/100)</f>
        <v>0</v>
      </c>
      <c r="T8" s="9">
        <v>0</v>
      </c>
      <c r="U8" s="14">
        <f>S8*((100-((Q3/30)*T8))/100)</f>
        <v>0</v>
      </c>
      <c r="V8" s="15"/>
      <c r="W8" s="37"/>
    </row>
    <row r="9" spans="2:24" ht="15">
      <c r="B9" s="11">
        <v>5</v>
      </c>
      <c r="C9" s="5" t="s">
        <v>16</v>
      </c>
      <c r="D9" s="6"/>
      <c r="E9" s="10"/>
      <c r="F9" s="12">
        <v>7</v>
      </c>
      <c r="G9" s="14">
        <f>G5*(F9/100)</f>
        <v>4.1055000000000001</v>
      </c>
      <c r="H9" s="9">
        <v>30</v>
      </c>
      <c r="I9" s="14">
        <f>G9*((100-((E3/30)*H9))/100)</f>
        <v>3.982335</v>
      </c>
      <c r="J9" s="16" t="s">
        <v>17</v>
      </c>
      <c r="K9" s="37"/>
      <c r="N9" s="11">
        <v>5</v>
      </c>
      <c r="O9" s="5" t="s">
        <v>16</v>
      </c>
      <c r="P9" s="6"/>
      <c r="Q9" s="10"/>
      <c r="R9" s="12">
        <v>7</v>
      </c>
      <c r="S9" s="14">
        <f>S5*(R9/100)</f>
        <v>1.9761000000000002</v>
      </c>
      <c r="T9" s="9">
        <v>30</v>
      </c>
      <c r="U9" s="14">
        <f>S9*((100-((Q3/30)*T9))/100)</f>
        <v>1.9168170000000002</v>
      </c>
      <c r="V9" s="16" t="s">
        <v>17</v>
      </c>
      <c r="W9" s="37"/>
    </row>
    <row r="10" spans="2:24" ht="15">
      <c r="B10" s="11">
        <v>6</v>
      </c>
      <c r="C10" s="5" t="s">
        <v>1</v>
      </c>
      <c r="D10" s="6"/>
      <c r="E10" s="10"/>
      <c r="F10" s="12">
        <v>3</v>
      </c>
      <c r="G10" s="14">
        <f>G5*(F10/100)</f>
        <v>1.7594999999999998</v>
      </c>
      <c r="H10" s="9">
        <v>15</v>
      </c>
      <c r="I10" s="14">
        <f>G10*((100-((E3/30)*H10))/100)</f>
        <v>1.7331074999999998</v>
      </c>
      <c r="J10" s="17" t="s">
        <v>18</v>
      </c>
      <c r="K10" s="37"/>
      <c r="N10" s="11">
        <v>6</v>
      </c>
      <c r="O10" s="5" t="s">
        <v>1</v>
      </c>
      <c r="P10" s="6"/>
      <c r="Q10" s="10"/>
      <c r="R10" s="12">
        <v>3</v>
      </c>
      <c r="S10" s="14">
        <f>S5*(R10/100)</f>
        <v>0.84689999999999999</v>
      </c>
      <c r="T10" s="9">
        <v>15</v>
      </c>
      <c r="U10" s="14">
        <f>S10*((100-((Q3/30)*T10))/100)</f>
        <v>0.83419650000000001</v>
      </c>
      <c r="V10" s="17" t="s">
        <v>18</v>
      </c>
      <c r="W10" s="37"/>
    </row>
    <row r="11" spans="2:24" ht="15">
      <c r="B11" s="11">
        <v>7</v>
      </c>
      <c r="C11" s="5" t="s">
        <v>19</v>
      </c>
      <c r="D11" s="6"/>
      <c r="E11" s="10"/>
      <c r="F11" s="9">
        <v>1</v>
      </c>
      <c r="G11" s="18">
        <f>G5*(F11/100)</f>
        <v>0.58650000000000002</v>
      </c>
      <c r="H11" s="9"/>
      <c r="I11" s="14">
        <f>G11*((100-((E3/30)*H11))/100)</f>
        <v>0.58650000000000002</v>
      </c>
      <c r="J11" s="17" t="s">
        <v>20</v>
      </c>
      <c r="K11" s="37"/>
      <c r="N11" s="11">
        <v>7</v>
      </c>
      <c r="O11" s="5" t="s">
        <v>19</v>
      </c>
      <c r="P11" s="6"/>
      <c r="Q11" s="10"/>
      <c r="R11" s="9">
        <v>1</v>
      </c>
      <c r="S11" s="18">
        <f>S5*(R11/100)</f>
        <v>0.2823</v>
      </c>
      <c r="T11" s="9"/>
      <c r="U11" s="14">
        <f>S11*((100-((Q3/30)*T11))/100)</f>
        <v>0.2823</v>
      </c>
      <c r="V11" s="17" t="s">
        <v>20</v>
      </c>
      <c r="W11" s="37"/>
    </row>
    <row r="12" spans="2:24" ht="15">
      <c r="B12" s="11">
        <v>8</v>
      </c>
      <c r="C12" s="5" t="s">
        <v>21</v>
      </c>
      <c r="D12" s="6"/>
      <c r="E12" s="10"/>
      <c r="F12" s="9"/>
      <c r="G12" s="14">
        <f>G5-(G6+G7+G8+G9+G10+G11)</f>
        <v>45.013874999999999</v>
      </c>
      <c r="H12" s="9"/>
      <c r="I12" s="14">
        <f>I5-(I6+I7+I8+I9+I10+I11)</f>
        <v>45.389528249999998</v>
      </c>
      <c r="J12" s="19">
        <f>G13+G14+G16</f>
        <v>30.400000000000002</v>
      </c>
      <c r="K12" s="37">
        <v>16.260000000000002</v>
      </c>
      <c r="N12" s="11">
        <v>8</v>
      </c>
      <c r="O12" s="5" t="s">
        <v>21</v>
      </c>
      <c r="P12" s="6"/>
      <c r="Q12" s="10"/>
      <c r="R12" s="9"/>
      <c r="S12" s="14">
        <f>S5-(S6+S7+S8+S9+S10+S11)</f>
        <v>21.666525</v>
      </c>
      <c r="T12" s="9"/>
      <c r="U12" s="14">
        <f>U5-(U6+U7+U8+U9+U10+U11)</f>
        <v>21.847338149999999</v>
      </c>
      <c r="V12" s="19">
        <f>S13+S14+S16</f>
        <v>17.28</v>
      </c>
      <c r="W12" s="37">
        <v>12.42</v>
      </c>
      <c r="X12" s="35"/>
    </row>
    <row r="13" spans="2:24" ht="15">
      <c r="B13" s="11">
        <v>9</v>
      </c>
      <c r="C13" s="5" t="s">
        <v>22</v>
      </c>
      <c r="D13" s="6"/>
      <c r="E13" s="10"/>
      <c r="F13" s="9"/>
      <c r="G13" s="20">
        <v>16.260000000000002</v>
      </c>
      <c r="H13" s="9">
        <v>32</v>
      </c>
      <c r="I13" s="14">
        <f>G13*((100-((E3/30)*H13))/100)</f>
        <v>15.739680000000002</v>
      </c>
      <c r="J13" s="21">
        <f>G13/J12*100</f>
        <v>53.486842105263158</v>
      </c>
      <c r="K13" s="37">
        <v>15.4</v>
      </c>
      <c r="N13" s="11">
        <v>9</v>
      </c>
      <c r="O13" s="5" t="s">
        <v>22</v>
      </c>
      <c r="P13" s="6"/>
      <c r="Q13" s="10"/>
      <c r="R13" s="9"/>
      <c r="S13" s="20">
        <v>12.42</v>
      </c>
      <c r="T13" s="9">
        <v>32</v>
      </c>
      <c r="U13" s="14">
        <f>S13*((100-((Q3/30)*T13))/100)</f>
        <v>12.02256</v>
      </c>
      <c r="V13" s="21">
        <f>S13/V12*100</f>
        <v>71.875</v>
      </c>
      <c r="W13" s="37">
        <v>10.82</v>
      </c>
      <c r="X13" s="39"/>
    </row>
    <row r="14" spans="2:24" ht="15">
      <c r="B14" s="11" t="s">
        <v>23</v>
      </c>
      <c r="C14" s="5" t="s">
        <v>24</v>
      </c>
      <c r="D14" s="6"/>
      <c r="E14" s="10"/>
      <c r="F14" s="9"/>
      <c r="G14" s="12">
        <v>8.8000000000000007</v>
      </c>
      <c r="H14" s="9">
        <v>24</v>
      </c>
      <c r="I14" s="14">
        <f>G14*((100-((E3/30)*H14))/100)</f>
        <v>8.5888000000000009</v>
      </c>
      <c r="J14" s="21">
        <f>G14/J12*100</f>
        <v>28.947368421052634</v>
      </c>
      <c r="K14" s="37">
        <f>K12-K13</f>
        <v>0.86000000000000121</v>
      </c>
      <c r="N14" s="11" t="s">
        <v>23</v>
      </c>
      <c r="O14" s="5" t="s">
        <v>24</v>
      </c>
      <c r="P14" s="6"/>
      <c r="Q14" s="10"/>
      <c r="R14" s="9"/>
      <c r="S14" s="12">
        <v>0.32</v>
      </c>
      <c r="T14" s="9">
        <v>24</v>
      </c>
      <c r="U14" s="14">
        <f>S14*((100-((Q3/30)*T14))/100)</f>
        <v>0.31231999999999999</v>
      </c>
      <c r="V14" s="21">
        <f>S14/V12*100</f>
        <v>1.8518518518518516</v>
      </c>
      <c r="W14" s="37">
        <f>W12-W13</f>
        <v>1.5999999999999996</v>
      </c>
      <c r="X14" s="35"/>
    </row>
    <row r="15" spans="2:24" ht="15">
      <c r="B15" s="11" t="s">
        <v>25</v>
      </c>
      <c r="C15" s="5" t="s">
        <v>26</v>
      </c>
      <c r="D15" s="6"/>
      <c r="E15" s="10"/>
      <c r="F15" s="22">
        <f>(G15/G5)*100</f>
        <v>34.021952259164529</v>
      </c>
      <c r="G15" s="14">
        <f>G12-(G13+G14)</f>
        <v>19.953874999999996</v>
      </c>
      <c r="H15" s="12"/>
      <c r="I15" s="14">
        <f>I12-(I13+I14)</f>
        <v>21.061048249999995</v>
      </c>
      <c r="J15" s="21"/>
      <c r="K15" s="37">
        <f>G6+K14</f>
        <v>2.6195000000000013</v>
      </c>
      <c r="N15" s="11" t="s">
        <v>25</v>
      </c>
      <c r="O15" s="5" t="s">
        <v>26</v>
      </c>
      <c r="P15" s="6"/>
      <c r="Q15" s="10"/>
      <c r="R15" s="22">
        <f>(S15/S5)*100</f>
        <v>31.620704923839888</v>
      </c>
      <c r="S15" s="14">
        <f>S12-(S13+S14)</f>
        <v>8.9265249999999998</v>
      </c>
      <c r="T15" s="12"/>
      <c r="U15" s="14">
        <f>U12-(U13+U14)</f>
        <v>9.5124581499999987</v>
      </c>
      <c r="V15" s="21"/>
      <c r="W15" s="37">
        <f>S6+W14</f>
        <v>2.4468999999999994</v>
      </c>
    </row>
    <row r="16" spans="2:24" ht="15">
      <c r="B16" s="11" t="s">
        <v>27</v>
      </c>
      <c r="C16" s="5" t="s">
        <v>28</v>
      </c>
      <c r="D16" s="6"/>
      <c r="E16" s="10"/>
      <c r="F16" s="9">
        <v>7.42</v>
      </c>
      <c r="G16" s="12">
        <v>5.34</v>
      </c>
      <c r="H16" s="9">
        <v>14</v>
      </c>
      <c r="I16" s="14">
        <f>G16*((100-((E3/30)*H16))/100)</f>
        <v>5.2652399999999995</v>
      </c>
      <c r="J16" s="21">
        <f>G16/J12*100</f>
        <v>17.565789473684209</v>
      </c>
      <c r="K16" s="37">
        <f>K6-K15</f>
        <v>4.418499999999999</v>
      </c>
      <c r="N16" s="11" t="s">
        <v>27</v>
      </c>
      <c r="O16" s="5" t="s">
        <v>28</v>
      </c>
      <c r="P16" s="6"/>
      <c r="Q16" s="10"/>
      <c r="R16" s="9">
        <v>7.42</v>
      </c>
      <c r="S16" s="12">
        <v>4.54</v>
      </c>
      <c r="T16" s="9">
        <v>14</v>
      </c>
      <c r="U16" s="14">
        <f>S16*((100-((Q3/30)*T16))/100)</f>
        <v>4.4764400000000002</v>
      </c>
      <c r="V16" s="21">
        <f>S16/V12*100</f>
        <v>26.273148148148145</v>
      </c>
      <c r="W16" s="37">
        <f>W6-W15</f>
        <v>0.94070000000000054</v>
      </c>
    </row>
    <row r="17" spans="2:23" ht="19.5">
      <c r="B17" s="11" t="s">
        <v>29</v>
      </c>
      <c r="C17" s="23" t="s">
        <v>30</v>
      </c>
      <c r="D17" s="24"/>
      <c r="E17" s="25"/>
      <c r="F17" s="26"/>
      <c r="G17" s="27">
        <f>G15-G16</f>
        <v>14.613874999999997</v>
      </c>
      <c r="H17" s="26"/>
      <c r="I17" s="28">
        <f>I15-I16</f>
        <v>15.795808249999997</v>
      </c>
      <c r="J17" s="29"/>
      <c r="K17" s="37"/>
      <c r="N17" s="11" t="s">
        <v>29</v>
      </c>
      <c r="O17" s="23" t="s">
        <v>30</v>
      </c>
      <c r="P17" s="24"/>
      <c r="Q17" s="25"/>
      <c r="R17" s="26"/>
      <c r="S17" s="27">
        <f>S15-S16</f>
        <v>4.3865249999999998</v>
      </c>
      <c r="T17" s="26"/>
      <c r="U17" s="28">
        <f>U15-U16</f>
        <v>5.0360181499999985</v>
      </c>
      <c r="V17" s="29"/>
      <c r="W17" s="37"/>
    </row>
    <row r="18" spans="2:23" ht="15">
      <c r="B18" s="11" t="s">
        <v>31</v>
      </c>
      <c r="C18" s="30" t="s">
        <v>32</v>
      </c>
      <c r="D18" s="31"/>
      <c r="E18" s="32"/>
      <c r="F18" s="33">
        <f>G17/G5*100</f>
        <v>24.917092924126166</v>
      </c>
      <c r="G18" s="34"/>
      <c r="H18" s="34"/>
      <c r="I18" s="33">
        <f>I17/I5*100</f>
        <v>26.93232438192668</v>
      </c>
      <c r="J18" s="29"/>
      <c r="K18" s="37">
        <f>K16/G5*100</f>
        <v>7.5336743393009362</v>
      </c>
      <c r="N18" s="11" t="s">
        <v>31</v>
      </c>
      <c r="O18" s="30" t="s">
        <v>32</v>
      </c>
      <c r="P18" s="31"/>
      <c r="Q18" s="32"/>
      <c r="R18" s="33">
        <f>S17/S5*100</f>
        <v>15.538522848034006</v>
      </c>
      <c r="S18" s="34"/>
      <c r="T18" s="34"/>
      <c r="U18" s="33">
        <f>U17/U5*100</f>
        <v>17.839242472546932</v>
      </c>
      <c r="V18" s="29"/>
      <c r="W18" s="37">
        <f>W16/S5*100</f>
        <v>3.3322706340772243</v>
      </c>
    </row>
    <row r="19" spans="2:23">
      <c r="F19" s="39">
        <f>F18*0.76</f>
        <v>18.936990622335887</v>
      </c>
      <c r="R19" s="39">
        <f>R18*0.76</f>
        <v>11.809277364505844</v>
      </c>
    </row>
    <row r="20" spans="2:23">
      <c r="F20">
        <f>F19*0.4+R19*0.6</f>
        <v>14.660362667637862</v>
      </c>
    </row>
  </sheetData>
  <mergeCells count="32">
    <mergeCell ref="C18:E18"/>
    <mergeCell ref="O18:Q18"/>
    <mergeCell ref="C15:E15"/>
    <mergeCell ref="O15:Q15"/>
    <mergeCell ref="C16:E16"/>
    <mergeCell ref="O16:Q16"/>
    <mergeCell ref="C17:E17"/>
    <mergeCell ref="O17:Q17"/>
    <mergeCell ref="C12:E12"/>
    <mergeCell ref="O12:Q12"/>
    <mergeCell ref="C13:E13"/>
    <mergeCell ref="O13:Q13"/>
    <mergeCell ref="C14:E14"/>
    <mergeCell ref="O14:Q14"/>
    <mergeCell ref="C9:E9"/>
    <mergeCell ref="O9:Q9"/>
    <mergeCell ref="C10:E10"/>
    <mergeCell ref="O10:Q10"/>
    <mergeCell ref="C11:E11"/>
    <mergeCell ref="O11:Q11"/>
    <mergeCell ref="C6:E6"/>
    <mergeCell ref="O6:Q6"/>
    <mergeCell ref="C7:E7"/>
    <mergeCell ref="O7:Q7"/>
    <mergeCell ref="C8:E8"/>
    <mergeCell ref="O8:Q8"/>
    <mergeCell ref="C3:D3"/>
    <mergeCell ref="O3:P3"/>
    <mergeCell ref="C4:E4"/>
    <mergeCell ref="O4:Q4"/>
    <mergeCell ref="C5:E5"/>
    <mergeCell ref="O5:Q5"/>
  </mergeCells>
  <pageMargins left="0.78740157480314965" right="0.78740157480314965" top="0.98425196850393704" bottom="0.98425196850393704" header="0.51181102362204722" footer="0.51181102362204722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2700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Sophia</cp:lastModifiedBy>
  <dcterms:created xsi:type="dcterms:W3CDTF">2014-08-09T14:58:44Z</dcterms:created>
  <dcterms:modified xsi:type="dcterms:W3CDTF">2014-08-09T15:48:55Z</dcterms:modified>
</cp:coreProperties>
</file>