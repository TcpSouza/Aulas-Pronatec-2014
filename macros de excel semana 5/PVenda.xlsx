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EstaPasta_de_trabalho" defaultThemeVersion="124226"/>
  <bookViews>
    <workbookView xWindow="240" yWindow="360" windowWidth="14955" windowHeight="8445" firstSheet="1" activeTab="1"/>
  </bookViews>
  <sheets>
    <sheet name="2700" sheetId="2" state="hidden" r:id="rId1"/>
    <sheet name="PVenda" sheetId="4" r:id="rId2"/>
  </sheets>
  <calcPr calcId="145621"/>
</workbook>
</file>

<file path=xl/calcChain.xml><?xml version="1.0" encoding="utf-8"?>
<calcChain xmlns="http://schemas.openxmlformats.org/spreadsheetml/2006/main">
  <c r="C78" i="4" l="1"/>
  <c r="X31" i="2"/>
  <c r="X29" i="2"/>
  <c r="X28" i="2"/>
  <c r="Y27" i="2"/>
  <c r="Y29" i="2" s="1"/>
  <c r="X26" i="2"/>
  <c r="X25" i="2"/>
  <c r="X24" i="2"/>
  <c r="X23" i="2"/>
  <c r="X22" i="2"/>
  <c r="X20" i="2"/>
  <c r="P21" i="2"/>
  <c r="P22" i="2"/>
  <c r="P25" i="2"/>
  <c r="R25" i="2" s="1"/>
  <c r="R20" i="2"/>
  <c r="R21" i="2"/>
  <c r="R22" i="2"/>
  <c r="P23" i="2"/>
  <c r="R23" i="2" s="1"/>
  <c r="P24" i="2"/>
  <c r="R24" i="2" s="1"/>
  <c r="P26" i="2"/>
  <c r="R26" i="2" s="1"/>
  <c r="R40" i="2"/>
  <c r="R39" i="2"/>
  <c r="H5" i="2"/>
  <c r="R28" i="2"/>
  <c r="R29" i="2"/>
  <c r="R31" i="2"/>
  <c r="H12" i="4"/>
  <c r="H9" i="4"/>
  <c r="H5" i="4"/>
  <c r="H69" i="4"/>
  <c r="H68" i="4"/>
  <c r="H6" i="4"/>
  <c r="H7" i="4"/>
  <c r="H8" i="4"/>
  <c r="H10" i="4"/>
  <c r="H11" i="4"/>
  <c r="H15" i="4"/>
  <c r="H16" i="4" s="1"/>
  <c r="H19" i="4"/>
  <c r="H20" i="4"/>
  <c r="H21" i="4"/>
  <c r="H22" i="4"/>
  <c r="H23" i="4"/>
  <c r="H24" i="4"/>
  <c r="H25" i="4"/>
  <c r="H26" i="4"/>
  <c r="H27" i="4"/>
  <c r="H28" i="4"/>
  <c r="H31" i="4"/>
  <c r="H32" i="4"/>
  <c r="H33" i="4"/>
  <c r="D73" i="4"/>
  <c r="D71" i="4"/>
  <c r="D76" i="4"/>
  <c r="E13" i="4"/>
  <c r="T18" i="2"/>
  <c r="T19" i="2" s="1"/>
  <c r="T20" i="2" s="1"/>
  <c r="S27" i="2"/>
  <c r="S31" i="2" s="1"/>
  <c r="O20" i="2"/>
  <c r="G5" i="2"/>
  <c r="I5" i="2" s="1"/>
  <c r="E6" i="2"/>
  <c r="G6" i="2" s="1"/>
  <c r="I6" i="2" s="1"/>
  <c r="E7" i="2"/>
  <c r="G7" i="2" s="1"/>
  <c r="I7" i="2" s="1"/>
  <c r="E8" i="2"/>
  <c r="G8" i="2" s="1"/>
  <c r="I8" i="2" s="1"/>
  <c r="G9" i="2"/>
  <c r="I9" i="2" s="1"/>
  <c r="H10" i="2"/>
  <c r="S28" i="2" l="1"/>
  <c r="D77" i="4"/>
  <c r="S29" i="2"/>
  <c r="D75" i="4"/>
  <c r="D78" i="4"/>
  <c r="H34" i="4"/>
  <c r="H13" i="4"/>
  <c r="H29" i="4"/>
  <c r="P27" i="2"/>
  <c r="P30" i="2" s="1"/>
  <c r="P32" i="2" s="1"/>
  <c r="O33" i="2" s="1"/>
  <c r="X21" i="2"/>
  <c r="X27" i="2" s="1"/>
  <c r="X30" i="2" s="1"/>
  <c r="X32" i="2" s="1"/>
  <c r="X33" i="2" s="1"/>
  <c r="Y31" i="2"/>
  <c r="Y28" i="2"/>
  <c r="R27" i="2"/>
  <c r="R30" i="2" s="1"/>
  <c r="R32" i="2" s="1"/>
  <c r="R33" i="2" s="1"/>
  <c r="I10" i="2"/>
  <c r="I12" i="2" s="1"/>
  <c r="H72" i="4"/>
  <c r="O30" i="2" l="1"/>
  <c r="H67" i="4"/>
  <c r="H71" i="4" s="1"/>
  <c r="H73" i="4" s="1"/>
</calcChain>
</file>

<file path=xl/sharedStrings.xml><?xml version="1.0" encoding="utf-8"?>
<sst xmlns="http://schemas.openxmlformats.org/spreadsheetml/2006/main" count="110" uniqueCount="96">
  <si>
    <t>Prazos de Pagamentos Para Apuração do Custo Financeito</t>
  </si>
  <si>
    <t>Taxa de Troca de Duplicatas (Título)</t>
  </si>
  <si>
    <t>ao mês</t>
  </si>
  <si>
    <t>Conta:</t>
  </si>
  <si>
    <t>Prazo</t>
  </si>
  <si>
    <t>Médio</t>
  </si>
  <si>
    <t xml:space="preserve">Giro de </t>
  </si>
  <si>
    <t>Produção</t>
  </si>
  <si>
    <t>menos Giro</t>
  </si>
  <si>
    <t>Peso</t>
  </si>
  <si>
    <t>Valor</t>
  </si>
  <si>
    <t>Comissões</t>
  </si>
  <si>
    <t>Lucro</t>
  </si>
  <si>
    <t>Dias</t>
  </si>
  <si>
    <t>Tributação sobre o faturamento</t>
  </si>
  <si>
    <t>Matéria-Prima PVC (Esto / 7 dias)</t>
  </si>
  <si>
    <t>Mão-de-Obra + Estrutura</t>
  </si>
  <si>
    <t>Custo Externo</t>
  </si>
  <si>
    <t>Frete</t>
  </si>
  <si>
    <t>Custo  Financeiro</t>
  </si>
  <si>
    <t>% am.</t>
  </si>
  <si>
    <t>Preço de</t>
  </si>
  <si>
    <t>Preço</t>
  </si>
  <si>
    <t>Descrição</t>
  </si>
  <si>
    <t>%Trib.</t>
  </si>
  <si>
    <t>Venda (R$)</t>
  </si>
  <si>
    <t>Àvista (R$)</t>
  </si>
  <si>
    <t xml:space="preserve">Preço De Venda </t>
  </si>
  <si>
    <t>Tributação Icms</t>
  </si>
  <si>
    <t>Tributos Federais (Pis/Cofins)</t>
  </si>
  <si>
    <t>Despesa Administrativa</t>
  </si>
  <si>
    <t>%</t>
  </si>
  <si>
    <t>sobre o</t>
  </si>
  <si>
    <t>custo</t>
  </si>
  <si>
    <t>Custo Primário:</t>
  </si>
  <si>
    <t>Custo Dos Materiais</t>
  </si>
  <si>
    <t>a</t>
  </si>
  <si>
    <t>Custo Externo (Atelier)</t>
  </si>
  <si>
    <t>b</t>
  </si>
  <si>
    <t>Margem De Contribuição</t>
  </si>
  <si>
    <t>c</t>
  </si>
  <si>
    <t>Custo Fixo Por Par</t>
  </si>
  <si>
    <t>d</t>
  </si>
  <si>
    <t>Resultado Por Par (R$)</t>
  </si>
  <si>
    <t>e</t>
  </si>
  <si>
    <t>Resultado/PreçoDeVenda (%)</t>
  </si>
  <si>
    <t xml:space="preserve"> </t>
  </si>
  <si>
    <t>Linha:</t>
  </si>
  <si>
    <t>Modelo:</t>
  </si>
  <si>
    <t>Simples</t>
  </si>
  <si>
    <t>NOME DA PEÇA</t>
  </si>
  <si>
    <t>MATERIAL</t>
  </si>
  <si>
    <t>ESPECIFIC.</t>
  </si>
  <si>
    <t>UN</t>
  </si>
  <si>
    <t>CONS.</t>
  </si>
  <si>
    <t>QUE-  BRA</t>
  </si>
  <si>
    <t>PREÇO   UNIT.</t>
  </si>
  <si>
    <t>CUSTO</t>
  </si>
  <si>
    <t xml:space="preserve">Setor Corte </t>
  </si>
  <si>
    <t>Setor Solda</t>
  </si>
  <si>
    <t>Setor Costura</t>
  </si>
  <si>
    <t>Setor Expedição</t>
  </si>
  <si>
    <t>M Ã O  -  D E-  O B R A  INTERNA</t>
  </si>
  <si>
    <t>OPERAÇÃO</t>
  </si>
  <si>
    <t>BASE</t>
  </si>
  <si>
    <t>EFIC.</t>
  </si>
  <si>
    <t>CORR.</t>
  </si>
  <si>
    <t>TOTAL</t>
  </si>
  <si>
    <t>M Ã O - D E - O B R A  T E R C I Á R I A</t>
  </si>
  <si>
    <t>Preço de Tabela</t>
  </si>
  <si>
    <t>Presumido</t>
  </si>
  <si>
    <t>Custos Totais</t>
  </si>
  <si>
    <t>ICMS</t>
  </si>
  <si>
    <t>Matérias-Primas</t>
  </si>
  <si>
    <t>Cofins</t>
  </si>
  <si>
    <t>Mão-de-Obra Interna</t>
  </si>
  <si>
    <t>Contribuição Social</t>
  </si>
  <si>
    <t>Mão-de-Obra Terciária</t>
  </si>
  <si>
    <t>PIS</t>
  </si>
  <si>
    <t>Frete Sobre Vendas</t>
  </si>
  <si>
    <t>Custo Total</t>
  </si>
  <si>
    <t>IRPJ</t>
  </si>
  <si>
    <t>Mark Up</t>
  </si>
  <si>
    <t>Bancos Desp. Financeira</t>
  </si>
  <si>
    <t>Preço de Venda</t>
  </si>
  <si>
    <t>Comissão</t>
  </si>
  <si>
    <t>Custo Administrativo</t>
  </si>
  <si>
    <t>2700 Preço da Ficha 6% de Margem R$ 28,51</t>
  </si>
  <si>
    <t>Prazo para pgto das contas calculadas na ficha de preço de Venda (PVC) 852,72 ÷ 28,51 =</t>
  </si>
  <si>
    <t>Valor ávista proposto 26,10 anterior 25,35</t>
  </si>
  <si>
    <t>INSS</t>
  </si>
  <si>
    <t>Tributação</t>
  </si>
  <si>
    <t>Sobre Faturamento</t>
  </si>
  <si>
    <t>Fábrica:</t>
  </si>
  <si>
    <t>Mão de Obra</t>
  </si>
  <si>
    <t xml:space="preserve">Modelo: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</si>
</sst>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* #,##0.00_);_(* \(#,##0.00\);_(* &quot;-&quot;??_);_(@_)"/>
    <numFmt numFmtId="165" formatCode="0.000"/>
    <numFmt numFmtId="166" formatCode="0.0000"/>
    <numFmt numFmtId="167" formatCode="0.0"/>
    <numFmt numFmtId="168" formatCode="_(* #,##0.000_);_(* \(#,##0.000\);_(* &quot;-&quot;???_);_(@_)"/>
    <numFmt numFmtId="169" formatCode="\'0\'\'00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sz val="10"/>
      <name val="Comic Sans MS"/>
      <family val="4"/>
    </font>
    <font>
      <sz val="12"/>
      <name val="Comic Sans MS"/>
      <family val="4"/>
    </font>
    <font>
      <sz val="10"/>
      <color indexed="9"/>
      <name val="Comic Sans MS"/>
      <family val="4"/>
    </font>
    <font>
      <sz val="10"/>
      <color indexed="18"/>
      <name val="Comic Sans MS"/>
      <family val="4"/>
    </font>
    <font>
      <sz val="12"/>
      <color indexed="18"/>
      <name val="Comic Sans MS"/>
      <family val="4"/>
    </font>
    <font>
      <sz val="12"/>
      <color indexed="21"/>
      <name val="Comic Sans MS"/>
      <family val="4"/>
    </font>
    <font>
      <b/>
      <sz val="1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color indexed="9"/>
      <name val="Arial"/>
      <family val="2"/>
    </font>
    <font>
      <sz val="8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01">
    <xf numFmtId="0" fontId="0" fillId="0" borderId="0" xfId="0"/>
    <xf numFmtId="9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0" xfId="0" applyFill="1" applyBorder="1"/>
    <xf numFmtId="167" fontId="0" fillId="0" borderId="0" xfId="0" applyNumberFormat="1"/>
    <xf numFmtId="1" fontId="0" fillId="0" borderId="0" xfId="0" applyNumberFormat="1"/>
    <xf numFmtId="0" fontId="2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/>
    <xf numFmtId="0" fontId="4" fillId="0" borderId="7" xfId="0" applyFont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2" fontId="4" fillId="0" borderId="7" xfId="0" applyNumberFormat="1" applyFont="1" applyBorder="1" applyAlignment="1">
      <alignment horizontal="center"/>
    </xf>
    <xf numFmtId="2" fontId="5" fillId="0" borderId="7" xfId="0" applyNumberFormat="1" applyFont="1" applyBorder="1" applyAlignment="1">
      <alignment horizontal="center"/>
    </xf>
    <xf numFmtId="2" fontId="4" fillId="2" borderId="7" xfId="0" applyNumberFormat="1" applyFont="1" applyFill="1" applyBorder="1" applyAlignment="1">
      <alignment horizontal="center"/>
    </xf>
    <xf numFmtId="167" fontId="4" fillId="0" borderId="0" xfId="0" applyNumberFormat="1" applyFont="1"/>
    <xf numFmtId="167" fontId="4" fillId="0" borderId="1" xfId="0" applyNumberFormat="1" applyFont="1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167" fontId="4" fillId="0" borderId="2" xfId="0" applyNumberFormat="1" applyFont="1" applyBorder="1" applyAlignment="1">
      <alignment horizontal="center"/>
    </xf>
    <xf numFmtId="167" fontId="6" fillId="0" borderId="8" xfId="0" applyNumberFormat="1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167" fontId="4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2" fontId="8" fillId="2" borderId="7" xfId="0" applyNumberFormat="1" applyFont="1" applyFill="1" applyBorder="1" applyAlignment="1">
      <alignment horizontal="center"/>
    </xf>
    <xf numFmtId="2" fontId="9" fillId="2" borderId="7" xfId="0" applyNumberFormat="1" applyFont="1" applyFill="1" applyBorder="1" applyAlignment="1">
      <alignment horizontal="center"/>
    </xf>
    <xf numFmtId="167" fontId="4" fillId="0" borderId="0" xfId="0" applyNumberFormat="1" applyFont="1" applyAlignment="1">
      <alignment horizontal="center"/>
    </xf>
    <xf numFmtId="0" fontId="13" fillId="0" borderId="9" xfId="0" applyFont="1" applyFill="1" applyBorder="1" applyAlignment="1">
      <alignment horizontal="left" vertical="center"/>
    </xf>
    <xf numFmtId="2" fontId="7" fillId="2" borderId="7" xfId="0" applyNumberFormat="1" applyFont="1" applyFill="1" applyBorder="1" applyAlignment="1">
      <alignment horizontal="center"/>
    </xf>
    <xf numFmtId="2" fontId="7" fillId="0" borderId="7" xfId="0" applyNumberFormat="1" applyFont="1" applyBorder="1" applyAlignment="1">
      <alignment horizontal="center"/>
    </xf>
    <xf numFmtId="0" fontId="0" fillId="0" borderId="0" xfId="0" applyFill="1"/>
    <xf numFmtId="0" fontId="10" fillId="0" borderId="10" xfId="0" applyFont="1" applyFill="1" applyBorder="1"/>
    <xf numFmtId="0" fontId="11" fillId="0" borderId="11" xfId="0" applyFont="1" applyFill="1" applyBorder="1" applyAlignment="1">
      <alignment horizontal="centerContinuous" vertical="center"/>
    </xf>
    <xf numFmtId="0" fontId="12" fillId="0" borderId="11" xfId="0" applyFont="1" applyFill="1" applyBorder="1" applyAlignment="1">
      <alignment horizontal="centerContinuous" vertical="center"/>
    </xf>
    <xf numFmtId="0" fontId="11" fillId="0" borderId="12" xfId="0" applyFont="1" applyFill="1" applyBorder="1" applyAlignment="1">
      <alignment horizontal="right"/>
    </xf>
    <xf numFmtId="0" fontId="11" fillId="0" borderId="9" xfId="0" applyFont="1" applyFill="1" applyBorder="1" applyAlignment="1">
      <alignment horizontal="left" vertical="center"/>
    </xf>
    <xf numFmtId="0" fontId="0" fillId="0" borderId="0" xfId="0" applyFill="1" applyAlignment="1"/>
    <xf numFmtId="0" fontId="14" fillId="0" borderId="13" xfId="0" applyFont="1" applyFill="1" applyBorder="1" applyAlignment="1">
      <alignment horizontal="center" vertical="center" wrapText="1"/>
    </xf>
    <xf numFmtId="0" fontId="14" fillId="0" borderId="14" xfId="0" applyFont="1" applyFill="1" applyBorder="1" applyAlignment="1">
      <alignment horizontal="center" vertical="center" wrapText="1"/>
    </xf>
    <xf numFmtId="0" fontId="14" fillId="0" borderId="15" xfId="0" applyFont="1" applyFill="1" applyBorder="1" applyAlignment="1">
      <alignment horizontal="center" vertical="center" wrapText="1"/>
    </xf>
    <xf numFmtId="0" fontId="14" fillId="0" borderId="16" xfId="0" applyFont="1" applyFill="1" applyBorder="1" applyAlignment="1">
      <alignment horizontal="center" vertical="center" wrapText="1"/>
    </xf>
    <xf numFmtId="0" fontId="14" fillId="0" borderId="17" xfId="0" applyFont="1" applyFill="1" applyBorder="1"/>
    <xf numFmtId="0" fontId="12" fillId="0" borderId="18" xfId="0" applyFont="1" applyFill="1" applyBorder="1"/>
    <xf numFmtId="0" fontId="12" fillId="0" borderId="19" xfId="0" applyFont="1" applyFill="1" applyBorder="1" applyAlignment="1">
      <alignment horizontal="center" vertical="center"/>
    </xf>
    <xf numFmtId="164" fontId="12" fillId="0" borderId="19" xfId="2" applyFont="1" applyFill="1" applyBorder="1" applyAlignment="1">
      <alignment vertical="center"/>
    </xf>
    <xf numFmtId="165" fontId="12" fillId="0" borderId="19" xfId="0" applyNumberFormat="1" applyFont="1" applyFill="1" applyBorder="1" applyAlignment="1">
      <alignment horizontal="center"/>
    </xf>
    <xf numFmtId="168" fontId="12" fillId="4" borderId="18" xfId="2" applyNumberFormat="1" applyFont="1" applyFill="1" applyBorder="1" applyAlignment="1">
      <alignment horizontal="center" vertical="center"/>
    </xf>
    <xf numFmtId="164" fontId="14" fillId="4" borderId="20" xfId="2" applyFont="1" applyFill="1" applyBorder="1" applyAlignment="1">
      <alignment vertical="center"/>
    </xf>
    <xf numFmtId="0" fontId="12" fillId="0" borderId="17" xfId="0" applyFont="1" applyFill="1" applyBorder="1"/>
    <xf numFmtId="168" fontId="12" fillId="0" borderId="19" xfId="2" applyNumberFormat="1" applyFont="1" applyFill="1" applyBorder="1" applyAlignment="1">
      <alignment vertical="center"/>
    </xf>
    <xf numFmtId="9" fontId="12" fillId="0" borderId="19" xfId="0" applyNumberFormat="1" applyFont="1" applyFill="1" applyBorder="1" applyAlignment="1">
      <alignment horizontal="center"/>
    </xf>
    <xf numFmtId="165" fontId="12" fillId="4" borderId="18" xfId="2" applyNumberFormat="1" applyFont="1" applyFill="1" applyBorder="1" applyAlignment="1">
      <alignment horizontal="center" vertical="center"/>
    </xf>
    <xf numFmtId="168" fontId="12" fillId="4" borderId="21" xfId="2" applyNumberFormat="1" applyFont="1" applyFill="1" applyBorder="1" applyAlignment="1">
      <alignment horizontal="center" vertical="center"/>
    </xf>
    <xf numFmtId="0" fontId="12" fillId="0" borderId="17" xfId="0" applyFont="1" applyFill="1" applyBorder="1" applyAlignment="1">
      <alignment horizontal="left"/>
    </xf>
    <xf numFmtId="168" fontId="12" fillId="0" borderId="22" xfId="2" applyNumberFormat="1" applyFont="1" applyFill="1" applyBorder="1" applyAlignment="1">
      <alignment vertical="center"/>
    </xf>
    <xf numFmtId="0" fontId="14" fillId="0" borderId="17" xfId="0" applyFont="1" applyFill="1" applyBorder="1" applyAlignment="1">
      <alignment horizontal="left"/>
    </xf>
    <xf numFmtId="0" fontId="12" fillId="0" borderId="23" xfId="0" applyFont="1" applyFill="1" applyBorder="1"/>
    <xf numFmtId="0" fontId="12" fillId="0" borderId="24" xfId="0" applyFont="1" applyFill="1" applyBorder="1"/>
    <xf numFmtId="0" fontId="12" fillId="0" borderId="25" xfId="0" applyFont="1" applyFill="1" applyBorder="1" applyAlignment="1">
      <alignment horizontal="center" vertical="center"/>
    </xf>
    <xf numFmtId="168" fontId="12" fillId="0" borderId="25" xfId="2" applyNumberFormat="1" applyFont="1" applyFill="1" applyBorder="1" applyAlignment="1">
      <alignment vertical="center"/>
    </xf>
    <xf numFmtId="9" fontId="12" fillId="0" borderId="25" xfId="0" applyNumberFormat="1" applyFont="1" applyFill="1" applyBorder="1" applyAlignment="1">
      <alignment horizontal="center"/>
    </xf>
    <xf numFmtId="165" fontId="12" fillId="4" borderId="24" xfId="0" applyNumberFormat="1" applyFont="1" applyFill="1" applyBorder="1" applyAlignment="1">
      <alignment horizontal="center"/>
    </xf>
    <xf numFmtId="168" fontId="14" fillId="4" borderId="24" xfId="2" applyNumberFormat="1" applyFont="1" applyFill="1" applyBorder="1" applyAlignment="1">
      <alignment vertical="center"/>
    </xf>
    <xf numFmtId="9" fontId="12" fillId="0" borderId="26" xfId="0" applyNumberFormat="1" applyFont="1" applyFill="1" applyBorder="1" applyAlignment="1">
      <alignment horizontal="center"/>
    </xf>
    <xf numFmtId="165" fontId="12" fillId="4" borderId="18" xfId="0" applyNumberFormat="1" applyFont="1" applyFill="1" applyBorder="1" applyAlignment="1">
      <alignment horizontal="center"/>
    </xf>
    <xf numFmtId="168" fontId="12" fillId="4" borderId="18" xfId="2" applyNumberFormat="1" applyFont="1" applyFill="1" applyBorder="1" applyAlignment="1">
      <alignment vertical="center"/>
    </xf>
    <xf numFmtId="0" fontId="0" fillId="3" borderId="0" xfId="0" applyFill="1"/>
    <xf numFmtId="0" fontId="12" fillId="3" borderId="17" xfId="0" applyFont="1" applyFill="1" applyBorder="1"/>
    <xf numFmtId="0" fontId="12" fillId="3" borderId="18" xfId="0" applyFont="1" applyFill="1" applyBorder="1"/>
    <xf numFmtId="0" fontId="12" fillId="3" borderId="22" xfId="0" applyFont="1" applyFill="1" applyBorder="1" applyAlignment="1">
      <alignment horizontal="center" vertical="center"/>
    </xf>
    <xf numFmtId="168" fontId="12" fillId="3" borderId="22" xfId="2" applyNumberFormat="1" applyFont="1" applyFill="1" applyBorder="1" applyAlignment="1">
      <alignment vertical="center"/>
    </xf>
    <xf numFmtId="9" fontId="12" fillId="3" borderId="19" xfId="0" applyNumberFormat="1" applyFont="1" applyFill="1" applyBorder="1" applyAlignment="1">
      <alignment horizontal="center"/>
    </xf>
    <xf numFmtId="168" fontId="12" fillId="4" borderId="21" xfId="2" applyNumberFormat="1" applyFont="1" applyFill="1" applyBorder="1" applyAlignment="1">
      <alignment vertical="center"/>
    </xf>
    <xf numFmtId="0" fontId="12" fillId="0" borderId="22" xfId="0" applyFont="1" applyFill="1" applyBorder="1" applyAlignment="1">
      <alignment horizontal="center" vertical="center"/>
    </xf>
    <xf numFmtId="0" fontId="12" fillId="0" borderId="27" xfId="0" applyFont="1" applyFill="1" applyBorder="1"/>
    <xf numFmtId="0" fontId="12" fillId="0" borderId="28" xfId="0" applyFont="1" applyFill="1" applyBorder="1"/>
    <xf numFmtId="0" fontId="12" fillId="0" borderId="29" xfId="0" applyFont="1" applyFill="1" applyBorder="1" applyAlignment="1">
      <alignment horizontal="center" vertical="center"/>
    </xf>
    <xf numFmtId="168" fontId="12" fillId="0" borderId="29" xfId="2" applyNumberFormat="1" applyFont="1" applyFill="1" applyBorder="1" applyAlignment="1">
      <alignment vertical="center"/>
    </xf>
    <xf numFmtId="9" fontId="12" fillId="0" borderId="29" xfId="0" applyNumberFormat="1" applyFont="1" applyFill="1" applyBorder="1" applyAlignment="1">
      <alignment horizontal="center"/>
    </xf>
    <xf numFmtId="165" fontId="12" fillId="4" borderId="28" xfId="0" applyNumberFormat="1" applyFont="1" applyFill="1" applyBorder="1" applyAlignment="1">
      <alignment horizontal="center"/>
    </xf>
    <xf numFmtId="0" fontId="12" fillId="0" borderId="30" xfId="0" applyFont="1" applyFill="1" applyBorder="1" applyAlignment="1">
      <alignment horizontal="center" vertical="center"/>
    </xf>
    <xf numFmtId="168" fontId="12" fillId="0" borderId="21" xfId="2" applyNumberFormat="1" applyFont="1" applyFill="1" applyBorder="1" applyAlignment="1">
      <alignment vertical="center"/>
    </xf>
    <xf numFmtId="0" fontId="12" fillId="0" borderId="31" xfId="0" applyFont="1" applyFill="1" applyBorder="1" applyAlignment="1">
      <alignment horizontal="center" vertical="center"/>
    </xf>
    <xf numFmtId="168" fontId="12" fillId="0" borderId="28" xfId="2" applyNumberFormat="1" applyFont="1" applyFill="1" applyBorder="1" applyAlignment="1">
      <alignment vertical="center"/>
    </xf>
    <xf numFmtId="0" fontId="12" fillId="0" borderId="32" xfId="0" applyFont="1" applyFill="1" applyBorder="1" applyAlignment="1">
      <alignment horizontal="center" vertical="center"/>
    </xf>
    <xf numFmtId="168" fontId="12" fillId="0" borderId="18" xfId="2" applyNumberFormat="1" applyFont="1" applyFill="1" applyBorder="1" applyAlignment="1">
      <alignment vertical="center"/>
    </xf>
    <xf numFmtId="0" fontId="12" fillId="0" borderId="33" xfId="0" applyFont="1" applyFill="1" applyBorder="1"/>
    <xf numFmtId="0" fontId="12" fillId="0" borderId="18" xfId="0" applyFont="1" applyFill="1" applyBorder="1" applyAlignment="1">
      <alignment horizontal="center" vertical="center"/>
    </xf>
    <xf numFmtId="4" fontId="12" fillId="4" borderId="18" xfId="0" applyNumberFormat="1" applyFont="1" applyFill="1" applyBorder="1" applyAlignment="1">
      <alignment horizontal="center"/>
    </xf>
    <xf numFmtId="0" fontId="12" fillId="0" borderId="34" xfId="0" applyFont="1" applyFill="1" applyBorder="1"/>
    <xf numFmtId="0" fontId="12" fillId="0" borderId="35" xfId="0" applyFont="1" applyFill="1" applyBorder="1"/>
    <xf numFmtId="0" fontId="12" fillId="0" borderId="21" xfId="0" applyFont="1" applyFill="1" applyBorder="1" applyAlignment="1">
      <alignment horizontal="center" vertical="center"/>
    </xf>
    <xf numFmtId="4" fontId="12" fillId="4" borderId="21" xfId="0" applyNumberFormat="1" applyFont="1" applyFill="1" applyBorder="1" applyAlignment="1">
      <alignment horizontal="center"/>
    </xf>
    <xf numFmtId="0" fontId="14" fillId="0" borderId="36" xfId="0" applyFont="1" applyFill="1" applyBorder="1"/>
    <xf numFmtId="0" fontId="12" fillId="0" borderId="37" xfId="0" applyFont="1" applyFill="1" applyBorder="1"/>
    <xf numFmtId="0" fontId="12" fillId="0" borderId="38" xfId="0" applyFont="1" applyFill="1" applyBorder="1" applyAlignment="1">
      <alignment horizontal="center" vertical="center"/>
    </xf>
    <xf numFmtId="168" fontId="12" fillId="0" borderId="38" xfId="2" applyNumberFormat="1" applyFont="1" applyFill="1" applyBorder="1" applyAlignment="1">
      <alignment vertical="center"/>
    </xf>
    <xf numFmtId="0" fontId="12" fillId="4" borderId="39" xfId="0" applyFont="1" applyFill="1" applyBorder="1" applyAlignment="1">
      <alignment horizontal="center"/>
    </xf>
    <xf numFmtId="0" fontId="12" fillId="0" borderId="21" xfId="0" applyFont="1" applyFill="1" applyBorder="1"/>
    <xf numFmtId="9" fontId="12" fillId="0" borderId="22" xfId="0" applyNumberFormat="1" applyFont="1" applyFill="1" applyBorder="1" applyAlignment="1">
      <alignment horizontal="center"/>
    </xf>
    <xf numFmtId="165" fontId="12" fillId="4" borderId="21" xfId="0" applyNumberFormat="1" applyFont="1" applyFill="1" applyBorder="1" applyAlignment="1">
      <alignment horizontal="center"/>
    </xf>
    <xf numFmtId="0" fontId="12" fillId="0" borderId="40" xfId="0" applyFont="1" applyFill="1" applyBorder="1"/>
    <xf numFmtId="0" fontId="12" fillId="0" borderId="41" xfId="0" applyFont="1" applyFill="1" applyBorder="1"/>
    <xf numFmtId="0" fontId="12" fillId="0" borderId="42" xfId="0" applyFont="1" applyFill="1" applyBorder="1" applyAlignment="1">
      <alignment horizontal="center" vertical="center"/>
    </xf>
    <xf numFmtId="168" fontId="12" fillId="0" borderId="42" xfId="2" applyNumberFormat="1" applyFont="1" applyFill="1" applyBorder="1" applyAlignment="1">
      <alignment vertical="center"/>
    </xf>
    <xf numFmtId="9" fontId="12" fillId="0" borderId="42" xfId="0" applyNumberFormat="1" applyFont="1" applyFill="1" applyBorder="1" applyAlignment="1">
      <alignment horizontal="center"/>
    </xf>
    <xf numFmtId="165" fontId="12" fillId="4" borderId="41" xfId="0" applyNumberFormat="1" applyFont="1" applyFill="1" applyBorder="1" applyAlignment="1">
      <alignment horizontal="center"/>
    </xf>
    <xf numFmtId="0" fontId="12" fillId="0" borderId="43" xfId="0" applyFont="1" applyFill="1" applyBorder="1"/>
    <xf numFmtId="0" fontId="12" fillId="0" borderId="44" xfId="0" applyFont="1" applyFill="1" applyBorder="1"/>
    <xf numFmtId="0" fontId="12" fillId="0" borderId="45" xfId="0" applyFont="1" applyFill="1" applyBorder="1" applyAlignment="1">
      <alignment horizontal="center" vertical="center"/>
    </xf>
    <xf numFmtId="164" fontId="12" fillId="0" borderId="45" xfId="2" applyFont="1" applyFill="1" applyBorder="1" applyAlignment="1">
      <alignment vertical="center"/>
    </xf>
    <xf numFmtId="165" fontId="12" fillId="0" borderId="45" xfId="0" applyNumberFormat="1" applyFont="1" applyFill="1" applyBorder="1" applyAlignment="1">
      <alignment horizontal="center"/>
    </xf>
    <xf numFmtId="165" fontId="12" fillId="4" borderId="44" xfId="0" applyNumberFormat="1" applyFont="1" applyFill="1" applyBorder="1" applyAlignment="1">
      <alignment horizontal="center"/>
    </xf>
    <xf numFmtId="0" fontId="12" fillId="0" borderId="46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0" fontId="12" fillId="0" borderId="47" xfId="0" applyFont="1" applyFill="1" applyBorder="1" applyAlignment="1">
      <alignment horizontal="center" vertical="center"/>
    </xf>
    <xf numFmtId="0" fontId="0" fillId="0" borderId="0" xfId="0" applyFill="1" applyBorder="1" applyAlignment="1"/>
    <xf numFmtId="165" fontId="12" fillId="0" borderId="48" xfId="0" applyNumberFormat="1" applyFont="1" applyFill="1" applyBorder="1" applyAlignment="1">
      <alignment horizontal="center" vertical="center"/>
    </xf>
    <xf numFmtId="9" fontId="12" fillId="0" borderId="48" xfId="1" applyFont="1" applyFill="1" applyBorder="1" applyAlignment="1">
      <alignment horizontal="center" vertical="center"/>
    </xf>
    <xf numFmtId="168" fontId="12" fillId="0" borderId="49" xfId="2" applyNumberFormat="1" applyFont="1" applyFill="1" applyBorder="1" applyAlignment="1">
      <alignment horizontal="center"/>
    </xf>
    <xf numFmtId="164" fontId="12" fillId="0" borderId="50" xfId="2" applyFont="1" applyFill="1" applyBorder="1" applyAlignment="1">
      <alignment horizontal="center" vertical="center"/>
    </xf>
    <xf numFmtId="0" fontId="12" fillId="0" borderId="34" xfId="0" applyFont="1" applyFill="1" applyBorder="1" applyAlignment="1">
      <alignment horizontal="left" vertical="center"/>
    </xf>
    <xf numFmtId="165" fontId="12" fillId="0" borderId="49" xfId="0" applyNumberFormat="1" applyFont="1" applyFill="1" applyBorder="1" applyAlignment="1">
      <alignment horizontal="center" vertical="center"/>
    </xf>
    <xf numFmtId="9" fontId="12" fillId="0" borderId="49" xfId="1" applyFont="1" applyFill="1" applyBorder="1" applyAlignment="1">
      <alignment horizontal="center" vertical="center"/>
    </xf>
    <xf numFmtId="164" fontId="12" fillId="0" borderId="51" xfId="2" applyFont="1" applyFill="1" applyBorder="1" applyAlignment="1">
      <alignment horizontal="center" vertical="center"/>
    </xf>
    <xf numFmtId="165" fontId="12" fillId="0" borderId="52" xfId="0" applyNumberFormat="1" applyFont="1" applyFill="1" applyBorder="1" applyAlignment="1">
      <alignment horizontal="center" vertical="center"/>
    </xf>
    <xf numFmtId="164" fontId="12" fillId="0" borderId="53" xfId="2" applyFont="1" applyFill="1" applyBorder="1" applyAlignment="1">
      <alignment horizontal="center" vertical="center"/>
    </xf>
    <xf numFmtId="9" fontId="12" fillId="0" borderId="52" xfId="1" applyFont="1" applyFill="1" applyBorder="1" applyAlignment="1">
      <alignment horizontal="center" vertical="center"/>
    </xf>
    <xf numFmtId="0" fontId="12" fillId="0" borderId="17" xfId="0" applyFont="1" applyFill="1" applyBorder="1" applyAlignment="1">
      <alignment horizontal="left" vertical="center"/>
    </xf>
    <xf numFmtId="164" fontId="12" fillId="0" borderId="49" xfId="2" applyFont="1" applyFill="1" applyBorder="1"/>
    <xf numFmtId="164" fontId="12" fillId="0" borderId="52" xfId="2" applyFont="1" applyFill="1" applyBorder="1"/>
    <xf numFmtId="0" fontId="12" fillId="0" borderId="54" xfId="0" applyFont="1" applyFill="1" applyBorder="1" applyAlignment="1">
      <alignment horizontal="left" vertical="center"/>
    </xf>
    <xf numFmtId="165" fontId="12" fillId="0" borderId="55" xfId="0" applyNumberFormat="1" applyFont="1" applyFill="1" applyBorder="1" applyAlignment="1">
      <alignment horizontal="center" vertical="center"/>
    </xf>
    <xf numFmtId="9" fontId="12" fillId="0" borderId="55" xfId="1" applyFont="1" applyFill="1" applyBorder="1" applyAlignment="1">
      <alignment horizontal="center" vertical="center"/>
    </xf>
    <xf numFmtId="164" fontId="12" fillId="0" borderId="55" xfId="2" applyFont="1" applyFill="1" applyBorder="1"/>
    <xf numFmtId="164" fontId="12" fillId="0" borderId="56" xfId="2" applyFont="1" applyFill="1" applyBorder="1" applyAlignment="1">
      <alignment horizontal="center" vertical="center"/>
    </xf>
    <xf numFmtId="0" fontId="12" fillId="0" borderId="57" xfId="0" applyFont="1" applyFill="1" applyBorder="1" applyAlignment="1">
      <alignment horizontal="left" vertical="center"/>
    </xf>
    <xf numFmtId="165" fontId="12" fillId="0" borderId="0" xfId="0" applyNumberFormat="1" applyFont="1" applyFill="1" applyBorder="1" applyAlignment="1">
      <alignment horizontal="center" vertical="center"/>
    </xf>
    <xf numFmtId="9" fontId="12" fillId="0" borderId="0" xfId="1" applyFont="1" applyFill="1" applyBorder="1" applyAlignment="1">
      <alignment horizontal="center" vertical="center"/>
    </xf>
    <xf numFmtId="164" fontId="12" fillId="0" borderId="0" xfId="2" applyFont="1" applyFill="1" applyBorder="1"/>
    <xf numFmtId="164" fontId="12" fillId="0" borderId="11" xfId="2" applyFont="1" applyFill="1" applyBorder="1" applyAlignment="1">
      <alignment horizontal="center" vertical="center"/>
    </xf>
    <xf numFmtId="164" fontId="12" fillId="0" borderId="0" xfId="2" applyFont="1" applyFill="1" applyBorder="1" applyAlignment="1">
      <alignment horizontal="center" vertical="center"/>
    </xf>
    <xf numFmtId="169" fontId="12" fillId="0" borderId="0" xfId="0" applyNumberFormat="1" applyFont="1" applyFill="1" applyBorder="1" applyAlignment="1">
      <alignment vertical="center"/>
    </xf>
    <xf numFmtId="164" fontId="12" fillId="0" borderId="0" xfId="2" applyFont="1" applyFill="1" applyBorder="1" applyAlignment="1">
      <alignment vertical="center"/>
    </xf>
    <xf numFmtId="0" fontId="12" fillId="0" borderId="58" xfId="0" applyFont="1" applyBorder="1" applyAlignment="1">
      <alignment vertical="center"/>
    </xf>
    <xf numFmtId="0" fontId="3" fillId="0" borderId="59" xfId="0" applyFont="1" applyBorder="1"/>
    <xf numFmtId="0" fontId="3" fillId="0" borderId="1" xfId="0" applyFont="1" applyBorder="1" applyAlignment="1"/>
    <xf numFmtId="0" fontId="12" fillId="0" borderId="60" xfId="0" applyFont="1" applyBorder="1" applyAlignment="1">
      <alignment vertical="center"/>
    </xf>
    <xf numFmtId="0" fontId="3" fillId="0" borderId="33" xfId="0" applyFont="1" applyBorder="1"/>
    <xf numFmtId="0" fontId="3" fillId="0" borderId="18" xfId="0" applyFont="1" applyBorder="1" applyAlignment="1"/>
    <xf numFmtId="0" fontId="0" fillId="0" borderId="5" xfId="0" applyFill="1" applyBorder="1"/>
    <xf numFmtId="0" fontId="0" fillId="0" borderId="61" xfId="0" applyFill="1" applyBorder="1" applyAlignment="1"/>
    <xf numFmtId="0" fontId="12" fillId="3" borderId="34" xfId="0" applyFont="1" applyFill="1" applyBorder="1" applyAlignment="1">
      <alignment vertical="center"/>
    </xf>
    <xf numFmtId="10" fontId="12" fillId="3" borderId="62" xfId="1" applyNumberFormat="1" applyFont="1" applyFill="1" applyBorder="1"/>
    <xf numFmtId="0" fontId="0" fillId="0" borderId="61" xfId="0" applyFill="1" applyBorder="1"/>
    <xf numFmtId="39" fontId="0" fillId="0" borderId="6" xfId="0" applyNumberFormat="1" applyFill="1" applyBorder="1"/>
    <xf numFmtId="164" fontId="0" fillId="0" borderId="6" xfId="0" applyNumberFormat="1" applyFill="1" applyBorder="1"/>
    <xf numFmtId="10" fontId="12" fillId="0" borderId="0" xfId="1" applyNumberFormat="1" applyFont="1" applyFill="1" applyBorder="1"/>
    <xf numFmtId="10" fontId="3" fillId="0" borderId="0" xfId="0" applyNumberFormat="1" applyFont="1"/>
    <xf numFmtId="0" fontId="11" fillId="0" borderId="0" xfId="0" applyFont="1" applyFill="1"/>
    <xf numFmtId="2" fontId="13" fillId="0" borderId="0" xfId="0" applyNumberFormat="1" applyFont="1" applyFill="1"/>
    <xf numFmtId="165" fontId="12" fillId="0" borderId="0" xfId="1" applyNumberFormat="1" applyFont="1" applyFill="1" applyBorder="1"/>
    <xf numFmtId="166" fontId="0" fillId="0" borderId="0" xfId="0" applyNumberFormat="1" applyFill="1"/>
    <xf numFmtId="165" fontId="0" fillId="0" borderId="0" xfId="0" applyNumberFormat="1" applyFill="1"/>
    <xf numFmtId="164" fontId="0" fillId="0" borderId="0" xfId="0" applyNumberFormat="1" applyFill="1"/>
    <xf numFmtId="0" fontId="12" fillId="3" borderId="27" xfId="0" applyFont="1" applyFill="1" applyBorder="1" applyAlignment="1">
      <alignment horizontal="center" vertical="center"/>
    </xf>
    <xf numFmtId="10" fontId="12" fillId="3" borderId="63" xfId="1" applyNumberFormat="1" applyFont="1" applyFill="1" applyBorder="1" applyAlignment="1">
      <alignment vertical="center"/>
    </xf>
    <xf numFmtId="10" fontId="15" fillId="3" borderId="62" xfId="1" applyNumberFormat="1" applyFont="1" applyFill="1" applyBorder="1"/>
    <xf numFmtId="10" fontId="15" fillId="3" borderId="63" xfId="1" applyNumberFormat="1" applyFont="1" applyFill="1" applyBorder="1" applyAlignment="1">
      <alignment vertical="center"/>
    </xf>
    <xf numFmtId="0" fontId="1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4" fillId="0" borderId="6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7" fillId="0" borderId="61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3" borderId="61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11" fillId="0" borderId="65" xfId="0" applyFont="1" applyFill="1" applyBorder="1" applyAlignment="1">
      <alignment horizontal="center" vertical="center"/>
    </xf>
    <xf numFmtId="0" fontId="14" fillId="0" borderId="66" xfId="0" applyFont="1" applyFill="1" applyBorder="1" applyAlignment="1">
      <alignment horizontal="center" vertical="center"/>
    </xf>
    <xf numFmtId="0" fontId="14" fillId="0" borderId="67" xfId="0" applyFont="1" applyFill="1" applyBorder="1" applyAlignment="1">
      <alignment horizontal="center" vertical="center"/>
    </xf>
    <xf numFmtId="0" fontId="14" fillId="0" borderId="68" xfId="0" applyFont="1" applyFill="1" applyBorder="1" applyAlignment="1">
      <alignment horizontal="center" vertical="center"/>
    </xf>
    <xf numFmtId="0" fontId="14" fillId="0" borderId="69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0" fillId="0" borderId="61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13" fillId="0" borderId="9" xfId="0" applyFont="1" applyFill="1" applyBorder="1" applyAlignment="1">
      <alignment horizontal="left" vertical="center"/>
    </xf>
    <xf numFmtId="10" fontId="16" fillId="5" borderId="62" xfId="1" applyNumberFormat="1" applyFont="1" applyFill="1" applyBorder="1"/>
    <xf numFmtId="10" fontId="16" fillId="5" borderId="62" xfId="1" applyNumberFormat="1" applyFont="1" applyFill="1" applyBorder="1" applyAlignment="1">
      <alignment horizontal="right"/>
    </xf>
    <xf numFmtId="10" fontId="16" fillId="5" borderId="63" xfId="1" applyNumberFormat="1" applyFont="1" applyFill="1" applyBorder="1" applyAlignment="1">
      <alignment vertical="center"/>
    </xf>
    <xf numFmtId="0" fontId="1" fillId="0" borderId="6" xfId="0" applyFont="1" applyFill="1" applyBorder="1" applyAlignment="1"/>
    <xf numFmtId="0" fontId="3" fillId="0" borderId="36" xfId="0" applyFont="1" applyFill="1" applyBorder="1" applyAlignment="1">
      <alignment horizontal="left" vertical="center"/>
    </xf>
    <xf numFmtId="0" fontId="1" fillId="0" borderId="64" xfId="0" applyFont="1" applyFill="1" applyBorder="1" applyAlignment="1">
      <alignment horizontal="center" vertical="center"/>
    </xf>
  </cellXfs>
  <cellStyles count="3">
    <cellStyle name="Normal" xfId="0" builtinId="0"/>
    <cellStyle name="Porcentagem" xfId="1" builtinId="5"/>
    <cellStyle name="Vírgula" xfId="2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Y40"/>
  <sheetViews>
    <sheetView showGridLines="0" topLeftCell="J17" workbookViewId="0">
      <selection activeCell="P35" sqref="P35"/>
    </sheetView>
  </sheetViews>
  <sheetFormatPr defaultRowHeight="12.75" x14ac:dyDescent="0.2"/>
  <cols>
    <col min="1" max="1" width="30.85546875" hidden="1" customWidth="1"/>
    <col min="2" max="4" width="4.85546875" hidden="1" customWidth="1"/>
    <col min="5" max="5" width="6.28515625" hidden="1" customWidth="1"/>
    <col min="6" max="6" width="0" hidden="1" customWidth="1"/>
    <col min="7" max="7" width="10.42578125" hidden="1" customWidth="1"/>
    <col min="8" max="8" width="5.85546875" hidden="1" customWidth="1"/>
    <col min="9" max="9" width="0" hidden="1" customWidth="1"/>
    <col min="10" max="10" width="2.140625" customWidth="1"/>
    <col min="11" max="11" width="3.7109375" customWidth="1"/>
    <col min="15" max="15" width="7.42578125" customWidth="1"/>
    <col min="16" max="16" width="9.85546875" customWidth="1"/>
    <col min="17" max="17" width="7.140625" hidden="1" customWidth="1"/>
    <col min="18" max="18" width="9.85546875" hidden="1" customWidth="1"/>
    <col min="19" max="21" width="0" hidden="1" customWidth="1"/>
    <col min="22" max="22" width="1.28515625" customWidth="1"/>
    <col min="23" max="25" width="0" hidden="1" customWidth="1"/>
  </cols>
  <sheetData>
    <row r="1" spans="1:10" hidden="1" x14ac:dyDescent="0.2">
      <c r="A1" s="9" t="s">
        <v>87</v>
      </c>
    </row>
    <row r="2" spans="1:10" hidden="1" x14ac:dyDescent="0.2">
      <c r="A2" t="s">
        <v>0</v>
      </c>
    </row>
    <row r="3" spans="1:10" hidden="1" x14ac:dyDescent="0.2">
      <c r="A3" t="s">
        <v>1</v>
      </c>
      <c r="B3" s="1">
        <v>0.03</v>
      </c>
      <c r="C3" t="s">
        <v>2</v>
      </c>
      <c r="F3" s="2" t="s">
        <v>6</v>
      </c>
      <c r="G3" s="3" t="s">
        <v>5</v>
      </c>
    </row>
    <row r="4" spans="1:10" hidden="1" x14ac:dyDescent="0.2">
      <c r="A4" s="2" t="s">
        <v>3</v>
      </c>
      <c r="B4" s="176" t="s">
        <v>4</v>
      </c>
      <c r="C4" s="176"/>
      <c r="D4" s="176"/>
      <c r="E4" s="2" t="s">
        <v>5</v>
      </c>
      <c r="F4" s="4" t="s">
        <v>7</v>
      </c>
      <c r="G4" s="5" t="s">
        <v>8</v>
      </c>
      <c r="H4" s="2" t="s">
        <v>10</v>
      </c>
      <c r="I4" s="2" t="s">
        <v>9</v>
      </c>
    </row>
    <row r="5" spans="1:10" hidden="1" x14ac:dyDescent="0.2">
      <c r="A5" s="6" t="s">
        <v>14</v>
      </c>
      <c r="E5">
        <v>41</v>
      </c>
      <c r="F5">
        <v>0</v>
      </c>
      <c r="G5">
        <f>E5-F5</f>
        <v>41</v>
      </c>
      <c r="H5">
        <f>28.51-(H6+H7+H8+H9)</f>
        <v>10.280000000000005</v>
      </c>
      <c r="I5">
        <f>G5*H5</f>
        <v>421.48000000000019</v>
      </c>
    </row>
    <row r="6" spans="1:10" hidden="1" x14ac:dyDescent="0.2">
      <c r="A6" s="6" t="s">
        <v>15</v>
      </c>
      <c r="E6">
        <f>45-7</f>
        <v>38</v>
      </c>
      <c r="F6">
        <v>6</v>
      </c>
      <c r="G6">
        <f>E6-F6</f>
        <v>32</v>
      </c>
      <c r="H6">
        <v>9.48</v>
      </c>
      <c r="I6">
        <f>G6*H6</f>
        <v>303.36</v>
      </c>
    </row>
    <row r="7" spans="1:10" hidden="1" x14ac:dyDescent="0.2">
      <c r="A7" s="6" t="s">
        <v>16</v>
      </c>
      <c r="B7">
        <v>35</v>
      </c>
      <c r="C7">
        <v>20</v>
      </c>
      <c r="D7">
        <v>5</v>
      </c>
      <c r="E7">
        <f>(B7+C7+D7)/3</f>
        <v>20</v>
      </c>
      <c r="F7">
        <v>6</v>
      </c>
      <c r="G7">
        <f>E7-F7</f>
        <v>14</v>
      </c>
      <c r="H7">
        <v>7.42</v>
      </c>
      <c r="I7">
        <f>G7*H7</f>
        <v>103.88</v>
      </c>
    </row>
    <row r="8" spans="1:10" hidden="1" x14ac:dyDescent="0.2">
      <c r="A8" s="6" t="s">
        <v>17</v>
      </c>
      <c r="B8">
        <v>45</v>
      </c>
      <c r="C8">
        <v>15</v>
      </c>
      <c r="E8">
        <f>(B8+C8)/2</f>
        <v>30</v>
      </c>
      <c r="F8">
        <v>6</v>
      </c>
      <c r="G8">
        <f>E8-F8</f>
        <v>24</v>
      </c>
      <c r="H8">
        <v>0.45</v>
      </c>
      <c r="I8">
        <f>G8*H8</f>
        <v>10.8</v>
      </c>
    </row>
    <row r="9" spans="1:10" hidden="1" x14ac:dyDescent="0.2">
      <c r="A9" s="6" t="s">
        <v>18</v>
      </c>
      <c r="E9" s="6">
        <v>15</v>
      </c>
      <c r="F9">
        <v>0</v>
      </c>
      <c r="G9">
        <f>E9-F9</f>
        <v>15</v>
      </c>
      <c r="H9">
        <v>0.88</v>
      </c>
      <c r="I9">
        <f>G9*H9</f>
        <v>13.2</v>
      </c>
    </row>
    <row r="10" spans="1:10" hidden="1" x14ac:dyDescent="0.2">
      <c r="H10">
        <f>SUM(H5:H9)</f>
        <v>28.510000000000005</v>
      </c>
      <c r="I10">
        <f>SUM(I5:I9)</f>
        <v>852.72000000000014</v>
      </c>
    </row>
    <row r="11" spans="1:10" hidden="1" x14ac:dyDescent="0.2"/>
    <row r="12" spans="1:10" hidden="1" x14ac:dyDescent="0.2">
      <c r="A12" t="s">
        <v>88</v>
      </c>
      <c r="I12" s="8">
        <f>I10/H10</f>
        <v>29.909505436688882</v>
      </c>
      <c r="J12" t="s">
        <v>13</v>
      </c>
    </row>
    <row r="13" spans="1:10" hidden="1" x14ac:dyDescent="0.2"/>
    <row r="14" spans="1:10" hidden="1" x14ac:dyDescent="0.2"/>
    <row r="15" spans="1:10" hidden="1" x14ac:dyDescent="0.2">
      <c r="A15" t="s">
        <v>89</v>
      </c>
    </row>
    <row r="17" spans="11:25" ht="15" x14ac:dyDescent="0.3">
      <c r="K17" s="10"/>
      <c r="L17" s="11" t="s">
        <v>95</v>
      </c>
      <c r="M17" s="11"/>
      <c r="N17" s="11"/>
      <c r="O17" s="11"/>
      <c r="P17" s="12"/>
      <c r="Q17" s="11"/>
      <c r="R17" s="11"/>
      <c r="S17" s="11"/>
      <c r="W17" s="11"/>
      <c r="X17" s="11"/>
      <c r="Y17" s="11"/>
    </row>
    <row r="18" spans="11:25" ht="15" x14ac:dyDescent="0.3">
      <c r="K18" s="13"/>
      <c r="L18" s="177" t="s">
        <v>19</v>
      </c>
      <c r="M18" s="178"/>
      <c r="N18" s="14">
        <v>3</v>
      </c>
      <c r="O18" s="15" t="s">
        <v>20</v>
      </c>
      <c r="P18" s="16" t="s">
        <v>21</v>
      </c>
      <c r="Q18" s="11"/>
      <c r="R18" s="16" t="s">
        <v>22</v>
      </c>
      <c r="S18" s="11"/>
      <c r="T18">
        <f>0.03/30*45</f>
        <v>4.4999999999999998E-2</v>
      </c>
      <c r="W18" s="11"/>
      <c r="X18" s="16" t="s">
        <v>22</v>
      </c>
      <c r="Y18" s="11"/>
    </row>
    <row r="19" spans="11:25" ht="15" x14ac:dyDescent="0.3">
      <c r="K19" s="10"/>
      <c r="L19" s="177" t="s">
        <v>23</v>
      </c>
      <c r="M19" s="178"/>
      <c r="N19" s="179"/>
      <c r="O19" s="16" t="s">
        <v>24</v>
      </c>
      <c r="P19" s="16" t="s">
        <v>25</v>
      </c>
      <c r="Q19" s="16" t="s">
        <v>4</v>
      </c>
      <c r="R19" s="16" t="s">
        <v>26</v>
      </c>
      <c r="S19" s="11"/>
      <c r="T19">
        <f>1-T18</f>
        <v>0.95499999999999996</v>
      </c>
      <c r="W19" s="16" t="s">
        <v>4</v>
      </c>
      <c r="X19" s="16" t="s">
        <v>26</v>
      </c>
      <c r="Y19" s="11"/>
    </row>
    <row r="20" spans="11:25" ht="19.5" x14ac:dyDescent="0.4">
      <c r="K20" s="17">
        <v>1</v>
      </c>
      <c r="L20" s="177" t="s">
        <v>27</v>
      </c>
      <c r="M20" s="178"/>
      <c r="N20" s="178"/>
      <c r="O20" s="18">
        <f>O21+O22+O23+O24+O25+O26+N18</f>
        <v>26.25</v>
      </c>
      <c r="P20" s="19">
        <v>58.65</v>
      </c>
      <c r="Q20" s="16">
        <v>0</v>
      </c>
      <c r="R20" s="20">
        <f>P20*((100-((N18/30)*Q20))/100)</f>
        <v>58.65</v>
      </c>
      <c r="S20" s="21"/>
      <c r="T20" s="7">
        <f>27.07/T19</f>
        <v>28.345549738219898</v>
      </c>
      <c r="W20" s="16">
        <v>0</v>
      </c>
      <c r="X20" s="20" t="e">
        <f>#REF!*((100-((#REF!/30)*W20))/100)</f>
        <v>#REF!</v>
      </c>
      <c r="Y20" s="21"/>
    </row>
    <row r="21" spans="11:25" ht="15" x14ac:dyDescent="0.3">
      <c r="K21" s="17">
        <v>2</v>
      </c>
      <c r="L21" s="177" t="s">
        <v>28</v>
      </c>
      <c r="M21" s="178"/>
      <c r="N21" s="179"/>
      <c r="O21" s="18">
        <v>3</v>
      </c>
      <c r="P21" s="20">
        <f>P20*(O21/100)</f>
        <v>1.7594999999999998</v>
      </c>
      <c r="Q21" s="16">
        <v>36</v>
      </c>
      <c r="R21" s="20">
        <f>P21*((100-((N18/30)*Q21))/100)</f>
        <v>1.6961580000000001</v>
      </c>
      <c r="S21" s="21"/>
      <c r="T21" s="7"/>
      <c r="W21" s="16">
        <v>36</v>
      </c>
      <c r="X21" s="20" t="e">
        <f>#REF!*((100-((#REF!/30)*W21))/100)</f>
        <v>#REF!</v>
      </c>
      <c r="Y21" s="21"/>
    </row>
    <row r="22" spans="11:25" ht="15" x14ac:dyDescent="0.3">
      <c r="K22" s="17">
        <v>3</v>
      </c>
      <c r="L22" s="177" t="s">
        <v>29</v>
      </c>
      <c r="M22" s="178"/>
      <c r="N22" s="179"/>
      <c r="O22" s="18">
        <v>9.25</v>
      </c>
      <c r="P22" s="20">
        <f>P20*(O22/100)</f>
        <v>5.4251249999999995</v>
      </c>
      <c r="Q22" s="16">
        <v>30</v>
      </c>
      <c r="R22" s="20">
        <f>P22*((100-((N18/30)*Q22))/100)</f>
        <v>5.2623712499999993</v>
      </c>
      <c r="S22" s="21"/>
      <c r="T22" s="7"/>
      <c r="W22" s="16">
        <v>30</v>
      </c>
      <c r="X22" s="20" t="e">
        <f>#REF!*((100-((#REF!/30)*W22))/100)</f>
        <v>#REF!</v>
      </c>
      <c r="Y22" s="21"/>
    </row>
    <row r="23" spans="11:25" ht="15" x14ac:dyDescent="0.3">
      <c r="K23" s="17">
        <v>4</v>
      </c>
      <c r="L23" s="177" t="s">
        <v>30</v>
      </c>
      <c r="M23" s="178"/>
      <c r="N23" s="179"/>
      <c r="O23" s="18"/>
      <c r="P23" s="20">
        <f>P20*(O23/100)</f>
        <v>0</v>
      </c>
      <c r="Q23" s="16">
        <v>0</v>
      </c>
      <c r="R23" s="20">
        <f>P23*((100-((N18/30)*Q23))/100)</f>
        <v>0</v>
      </c>
      <c r="S23" s="21"/>
      <c r="T23" s="7"/>
      <c r="W23" s="16">
        <v>0</v>
      </c>
      <c r="X23" s="20" t="e">
        <f>#REF!*((100-((#REF!/30)*W23))/100)</f>
        <v>#REF!</v>
      </c>
      <c r="Y23" s="21"/>
    </row>
    <row r="24" spans="11:25" ht="15" x14ac:dyDescent="0.3">
      <c r="K24" s="17">
        <v>5</v>
      </c>
      <c r="L24" s="177" t="s">
        <v>11</v>
      </c>
      <c r="M24" s="178"/>
      <c r="N24" s="179"/>
      <c r="O24" s="18">
        <v>7</v>
      </c>
      <c r="P24" s="20">
        <f>P20*(O24/100)</f>
        <v>4.1055000000000001</v>
      </c>
      <c r="Q24" s="16">
        <v>30</v>
      </c>
      <c r="R24" s="20">
        <f>P24*((100-((N18/30)*Q24))/100)</f>
        <v>3.982335</v>
      </c>
      <c r="S24" s="22" t="s">
        <v>31</v>
      </c>
      <c r="T24" s="7"/>
      <c r="W24" s="16">
        <v>30</v>
      </c>
      <c r="X24" s="20" t="e">
        <f>#REF!*((100-((#REF!/30)*W24))/100)</f>
        <v>#REF!</v>
      </c>
      <c r="Y24" s="22" t="s">
        <v>31</v>
      </c>
    </row>
    <row r="25" spans="11:25" ht="15" x14ac:dyDescent="0.3">
      <c r="K25" s="17">
        <v>6</v>
      </c>
      <c r="L25" s="177" t="s">
        <v>18</v>
      </c>
      <c r="M25" s="178"/>
      <c r="N25" s="179"/>
      <c r="O25" s="18">
        <v>3</v>
      </c>
      <c r="P25" s="20">
        <f>P20*(O25/100)</f>
        <v>1.7594999999999998</v>
      </c>
      <c r="Q25" s="16">
        <v>15</v>
      </c>
      <c r="R25" s="20">
        <f>P25*((100-((N18/30)*Q25))/100)</f>
        <v>1.7331074999999998</v>
      </c>
      <c r="S25" s="24" t="s">
        <v>32</v>
      </c>
      <c r="T25" s="7"/>
      <c r="W25" s="16">
        <v>15</v>
      </c>
      <c r="X25" s="20" t="e">
        <f>#REF!*((100-((#REF!/30)*W25))/100)</f>
        <v>#REF!</v>
      </c>
      <c r="Y25" s="24" t="s">
        <v>32</v>
      </c>
    </row>
    <row r="26" spans="11:25" ht="15" x14ac:dyDescent="0.3">
      <c r="K26" s="17">
        <v>7</v>
      </c>
      <c r="L26" s="177" t="s">
        <v>90</v>
      </c>
      <c r="M26" s="178"/>
      <c r="N26" s="179"/>
      <c r="O26" s="16">
        <v>1</v>
      </c>
      <c r="P26" s="23">
        <f>P20*(O26/100)</f>
        <v>0.58650000000000002</v>
      </c>
      <c r="Q26" s="16"/>
      <c r="R26" s="20">
        <f>P26*((100-((N18/30)*Q26))/100)</f>
        <v>0.58650000000000002</v>
      </c>
      <c r="S26" s="24" t="s">
        <v>33</v>
      </c>
      <c r="T26" s="7"/>
      <c r="W26" s="16"/>
      <c r="X26" s="20" t="e">
        <f>#REF!*((100-((#REF!/30)*W26))/100)</f>
        <v>#REF!</v>
      </c>
      <c r="Y26" s="24" t="s">
        <v>33</v>
      </c>
    </row>
    <row r="27" spans="11:25" ht="15" x14ac:dyDescent="0.3">
      <c r="K27" s="17">
        <v>8</v>
      </c>
      <c r="L27" s="177" t="s">
        <v>34</v>
      </c>
      <c r="M27" s="178"/>
      <c r="N27" s="179"/>
      <c r="O27" s="16"/>
      <c r="P27" s="20">
        <f>P20-(P21+P22+P23+P24+P25+P26)</f>
        <v>45.013874999999999</v>
      </c>
      <c r="Q27" s="16"/>
      <c r="R27" s="20">
        <f>R20-(R21+R22+R23+R24+R25+R26)</f>
        <v>45.389528249999998</v>
      </c>
      <c r="S27" s="25">
        <f>P28+P29+P31</f>
        <v>0</v>
      </c>
      <c r="T27" s="7"/>
      <c r="W27" s="16"/>
      <c r="X27" s="20" t="e">
        <f>X20-(X21+X22+X23+X24+X25+X26)</f>
        <v>#REF!</v>
      </c>
      <c r="Y27" s="25" t="e">
        <f>#REF!+#REF!+#REF!</f>
        <v>#REF!</v>
      </c>
    </row>
    <row r="28" spans="11:25" ht="15" x14ac:dyDescent="0.3">
      <c r="K28" s="17">
        <v>9</v>
      </c>
      <c r="L28" s="177" t="s">
        <v>35</v>
      </c>
      <c r="M28" s="178"/>
      <c r="N28" s="179"/>
      <c r="O28" s="16"/>
      <c r="P28" s="26"/>
      <c r="Q28" s="16">
        <v>32</v>
      </c>
      <c r="R28" s="20">
        <f>P28*((100-((N18/30)*Q28))/100)</f>
        <v>0</v>
      </c>
      <c r="S28" s="27" t="e">
        <f>P28/S27*100</f>
        <v>#DIV/0!</v>
      </c>
      <c r="T28" s="7"/>
      <c r="W28" s="16">
        <v>32</v>
      </c>
      <c r="X28" s="20" t="e">
        <f>#REF!*((100-((#REF!/30)*W28))/100)</f>
        <v>#REF!</v>
      </c>
      <c r="Y28" s="27" t="e">
        <f>#REF!/Y27*100</f>
        <v>#REF!</v>
      </c>
    </row>
    <row r="29" spans="11:25" ht="15" x14ac:dyDescent="0.3">
      <c r="K29" s="17" t="s">
        <v>36</v>
      </c>
      <c r="L29" s="177" t="s">
        <v>37</v>
      </c>
      <c r="M29" s="178"/>
      <c r="N29" s="179"/>
      <c r="O29" s="16"/>
      <c r="P29" s="18"/>
      <c r="Q29" s="16">
        <v>24</v>
      </c>
      <c r="R29" s="20">
        <f>P29*((100-((N18/30)*Q29))/100)</f>
        <v>0</v>
      </c>
      <c r="S29" s="27" t="e">
        <f>P29/S27*100</f>
        <v>#DIV/0!</v>
      </c>
      <c r="T29" s="7"/>
      <c r="W29" s="16">
        <v>24</v>
      </c>
      <c r="X29" s="20" t="e">
        <f>#REF!*((100-((#REF!/30)*W29))/100)</f>
        <v>#REF!</v>
      </c>
      <c r="Y29" s="27" t="e">
        <f>#REF!/Y27*100</f>
        <v>#REF!</v>
      </c>
    </row>
    <row r="30" spans="11:25" ht="15" x14ac:dyDescent="0.3">
      <c r="K30" s="17" t="s">
        <v>38</v>
      </c>
      <c r="L30" s="177" t="s">
        <v>39</v>
      </c>
      <c r="M30" s="178"/>
      <c r="N30" s="179"/>
      <c r="O30" s="28">
        <f>(P30/P20)*100</f>
        <v>76.75</v>
      </c>
      <c r="P30" s="20">
        <f>P27-(P28+P29)</f>
        <v>45.013874999999999</v>
      </c>
      <c r="Q30" s="18"/>
      <c r="R30" s="20">
        <f>R27-(R28+R29)</f>
        <v>45.389528249999998</v>
      </c>
      <c r="S30" s="27"/>
      <c r="T30" s="7"/>
      <c r="W30" s="18"/>
      <c r="X30" s="20" t="e">
        <f>X27-(X28+X29)</f>
        <v>#REF!</v>
      </c>
      <c r="Y30" s="27"/>
    </row>
    <row r="31" spans="11:25" ht="15" x14ac:dyDescent="0.3">
      <c r="K31" s="17" t="s">
        <v>40</v>
      </c>
      <c r="L31" s="177" t="s">
        <v>41</v>
      </c>
      <c r="M31" s="178"/>
      <c r="N31" s="179"/>
      <c r="O31" s="16"/>
      <c r="P31" s="18"/>
      <c r="Q31" s="16">
        <v>14</v>
      </c>
      <c r="R31" s="20">
        <f>P31*((100-((N18/30)*Q31))/100)</f>
        <v>0</v>
      </c>
      <c r="S31" s="27" t="e">
        <f>P31/S27*100</f>
        <v>#DIV/0!</v>
      </c>
      <c r="T31" s="7"/>
      <c r="W31" s="16">
        <v>14</v>
      </c>
      <c r="X31" s="20" t="e">
        <f>#REF!*((100-((#REF!/30)*W31))/100)</f>
        <v>#REF!</v>
      </c>
      <c r="Y31" s="27" t="e">
        <f>#REF!/Y27*100</f>
        <v>#REF!</v>
      </c>
    </row>
    <row r="32" spans="11:25" ht="19.5" x14ac:dyDescent="0.4">
      <c r="K32" s="17" t="s">
        <v>42</v>
      </c>
      <c r="L32" s="183" t="s">
        <v>43</v>
      </c>
      <c r="M32" s="184"/>
      <c r="N32" s="185"/>
      <c r="O32" s="29"/>
      <c r="P32" s="30">
        <f>P30-P31</f>
        <v>45.013874999999999</v>
      </c>
      <c r="Q32" s="29"/>
      <c r="R32" s="31">
        <f>R30-R31</f>
        <v>45.389528249999998</v>
      </c>
      <c r="S32" s="32"/>
      <c r="T32" s="7"/>
      <c r="W32" s="29"/>
      <c r="X32" s="31" t="e">
        <f>X30-X31</f>
        <v>#REF!</v>
      </c>
      <c r="Y32" s="32"/>
    </row>
    <row r="33" spans="11:25" ht="15" x14ac:dyDescent="0.3">
      <c r="K33" s="17" t="s">
        <v>44</v>
      </c>
      <c r="L33" s="180" t="s">
        <v>45</v>
      </c>
      <c r="M33" s="181"/>
      <c r="N33" s="182"/>
      <c r="O33" s="34">
        <f>P32/P20*100</f>
        <v>76.75</v>
      </c>
      <c r="P33" s="35"/>
      <c r="Q33" s="35"/>
      <c r="R33" s="34">
        <f>R32/R20*100</f>
        <v>77.390499999999989</v>
      </c>
      <c r="S33" s="32"/>
      <c r="T33" s="7"/>
      <c r="W33" s="35"/>
      <c r="X33" s="34" t="e">
        <f>X32/X20*100</f>
        <v>#REF!</v>
      </c>
      <c r="Y33" s="32"/>
    </row>
    <row r="34" spans="11:25" x14ac:dyDescent="0.2">
      <c r="N34" s="175"/>
    </row>
    <row r="39" spans="11:25" x14ac:dyDescent="0.2">
      <c r="R39">
        <f>0.03/30*136</f>
        <v>0.13600000000000001</v>
      </c>
    </row>
    <row r="40" spans="11:25" x14ac:dyDescent="0.2">
      <c r="R40">
        <f>0.24*(1-R39)</f>
        <v>0.20735999999999999</v>
      </c>
    </row>
  </sheetData>
  <mergeCells count="17">
    <mergeCell ref="L21:N21"/>
    <mergeCell ref="L22:N22"/>
    <mergeCell ref="L23:N23"/>
    <mergeCell ref="L24:N24"/>
    <mergeCell ref="B4:D4"/>
    <mergeCell ref="L18:M18"/>
    <mergeCell ref="L19:N19"/>
    <mergeCell ref="L20:N20"/>
    <mergeCell ref="L33:N33"/>
    <mergeCell ref="L29:N29"/>
    <mergeCell ref="L30:N30"/>
    <mergeCell ref="L31:N31"/>
    <mergeCell ref="L32:N32"/>
    <mergeCell ref="L25:N25"/>
    <mergeCell ref="L26:N26"/>
    <mergeCell ref="L27:N27"/>
    <mergeCell ref="L28:N28"/>
  </mergeCells>
  <phoneticPr fontId="3" type="noConversion"/>
  <pageMargins left="0.78740157480314965" right="0.78740157480314965" top="0.98425196850393704" bottom="0.98425196850393704" header="0.51181102362204722" footer="0.51181102362204722"/>
  <pageSetup paperSize="9" orientation="landscape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/>
  <dimension ref="A1:H79"/>
  <sheetViews>
    <sheetView showGridLines="0" tabSelected="1" workbookViewId="0">
      <selection activeCell="P34" sqref="P34"/>
    </sheetView>
  </sheetViews>
  <sheetFormatPr defaultRowHeight="12.75" x14ac:dyDescent="0.2"/>
  <cols>
    <col min="1" max="1" width="18.7109375" style="36" customWidth="1"/>
    <col min="2" max="2" width="16.140625" style="36" customWidth="1"/>
    <col min="3" max="3" width="11.140625" style="36" customWidth="1"/>
    <col min="4" max="4" width="7.42578125" style="36" customWidth="1"/>
    <col min="5" max="5" width="6.140625" style="36" customWidth="1"/>
    <col min="6" max="6" width="7.42578125" style="36" customWidth="1"/>
    <col min="7" max="7" width="6.5703125" style="36" customWidth="1"/>
    <col min="8" max="8" width="6.7109375" style="36" customWidth="1"/>
    <col min="9" max="16384" width="9.140625" style="36"/>
  </cols>
  <sheetData>
    <row r="1" spans="1:8" ht="15.75" thickBot="1" x14ac:dyDescent="0.3">
      <c r="A1" s="37" t="s">
        <v>93</v>
      </c>
      <c r="B1" s="38" t="s">
        <v>46</v>
      </c>
      <c r="C1" s="38"/>
      <c r="D1" s="39"/>
      <c r="E1" s="39"/>
      <c r="F1" s="39"/>
      <c r="G1" s="39"/>
      <c r="H1" s="39"/>
    </row>
    <row r="2" spans="1:8" ht="13.5" thickBot="1" x14ac:dyDescent="0.25">
      <c r="A2" s="40" t="s">
        <v>47</v>
      </c>
      <c r="B2" s="33"/>
      <c r="C2" s="41" t="s">
        <v>48</v>
      </c>
      <c r="D2" s="194"/>
      <c r="E2" s="194"/>
      <c r="F2" s="194"/>
      <c r="G2" s="200" t="s">
        <v>49</v>
      </c>
      <c r="H2" s="186"/>
    </row>
    <row r="3" spans="1:8" ht="23.45" customHeight="1" thickBot="1" x14ac:dyDescent="0.25">
      <c r="A3" s="43" t="s">
        <v>50</v>
      </c>
      <c r="B3" s="44" t="s">
        <v>51</v>
      </c>
      <c r="C3" s="45" t="s">
        <v>52</v>
      </c>
      <c r="D3" s="45" t="s">
        <v>53</v>
      </c>
      <c r="E3" s="45" t="s">
        <v>54</v>
      </c>
      <c r="F3" s="46" t="s">
        <v>55</v>
      </c>
      <c r="G3" s="44" t="s">
        <v>56</v>
      </c>
      <c r="H3" s="44" t="s">
        <v>57</v>
      </c>
    </row>
    <row r="4" spans="1:8" ht="13.5" thickTop="1" x14ac:dyDescent="0.2">
      <c r="A4" s="47" t="s">
        <v>58</v>
      </c>
      <c r="B4" s="48"/>
      <c r="C4" s="49"/>
      <c r="D4" s="49"/>
      <c r="E4" s="50"/>
      <c r="F4" s="51"/>
      <c r="G4" s="53"/>
      <c r="H4" s="52"/>
    </row>
    <row r="5" spans="1:8" x14ac:dyDescent="0.2">
      <c r="A5" s="54"/>
      <c r="B5" s="48"/>
      <c r="C5" s="49"/>
      <c r="D5" s="49"/>
      <c r="E5" s="55"/>
      <c r="F5" s="56"/>
      <c r="G5" s="57"/>
      <c r="H5" s="58">
        <f>E5*G5</f>
        <v>0</v>
      </c>
    </row>
    <row r="6" spans="1:8" x14ac:dyDescent="0.2">
      <c r="A6" s="54"/>
      <c r="B6" s="48"/>
      <c r="C6" s="49"/>
      <c r="D6" s="49"/>
      <c r="E6" s="55"/>
      <c r="F6" s="56"/>
      <c r="G6" s="57"/>
      <c r="H6" s="58">
        <f>SUM((E6+(E6*F6))*G6)</f>
        <v>0</v>
      </c>
    </row>
    <row r="7" spans="1:8" x14ac:dyDescent="0.2">
      <c r="A7" s="54"/>
      <c r="B7" s="48"/>
      <c r="C7" s="49"/>
      <c r="D7" s="49"/>
      <c r="E7" s="55"/>
      <c r="F7" s="56"/>
      <c r="G7" s="57"/>
      <c r="H7" s="58">
        <f>SUM((E7+(E7*F7))*G7)</f>
        <v>0</v>
      </c>
    </row>
    <row r="8" spans="1:8" x14ac:dyDescent="0.2">
      <c r="A8" s="59"/>
      <c r="B8" s="48"/>
      <c r="C8" s="49"/>
      <c r="D8" s="49"/>
      <c r="E8" s="60"/>
      <c r="F8" s="56"/>
      <c r="G8" s="57"/>
      <c r="H8" s="58">
        <f>SUM((E8+(E8*F8))*G8)</f>
        <v>0</v>
      </c>
    </row>
    <row r="9" spans="1:8" x14ac:dyDescent="0.2">
      <c r="A9" s="59"/>
      <c r="B9" s="48"/>
      <c r="C9" s="49"/>
      <c r="D9" s="49"/>
      <c r="E9" s="55"/>
      <c r="F9" s="56"/>
      <c r="G9" s="57"/>
      <c r="H9" s="58">
        <f>E9*G9</f>
        <v>0</v>
      </c>
    </row>
    <row r="10" spans="1:8" x14ac:dyDescent="0.2">
      <c r="A10" s="61"/>
      <c r="B10" s="48"/>
      <c r="C10" s="49"/>
      <c r="D10" s="49"/>
      <c r="E10" s="55"/>
      <c r="F10" s="56"/>
      <c r="G10" s="57"/>
      <c r="H10" s="58">
        <f>SUM((E10+(E10*F10))*G10)</f>
        <v>0</v>
      </c>
    </row>
    <row r="11" spans="1:8" x14ac:dyDescent="0.2">
      <c r="A11" s="61"/>
      <c r="B11" s="48"/>
      <c r="C11" s="49"/>
      <c r="D11" s="49"/>
      <c r="E11" s="60"/>
      <c r="F11" s="56"/>
      <c r="G11" s="57"/>
      <c r="H11" s="58">
        <f>SUM((E11+(E11*F11))*G11)</f>
        <v>0</v>
      </c>
    </row>
    <row r="12" spans="1:8" ht="13.5" thickBot="1" x14ac:dyDescent="0.25">
      <c r="A12" s="54"/>
      <c r="B12" s="48"/>
      <c r="C12" s="49"/>
      <c r="D12" s="49"/>
      <c r="E12" s="60"/>
      <c r="F12" s="56"/>
      <c r="G12" s="57"/>
      <c r="H12" s="58">
        <f>E12*G12</f>
        <v>0</v>
      </c>
    </row>
    <row r="13" spans="1:8" ht="14.25" thickTop="1" thickBot="1" x14ac:dyDescent="0.25">
      <c r="A13" s="62"/>
      <c r="B13" s="63"/>
      <c r="C13" s="64"/>
      <c r="D13" s="64"/>
      <c r="E13" s="65">
        <f>E5+E9</f>
        <v>0</v>
      </c>
      <c r="F13" s="66"/>
      <c r="G13" s="67"/>
      <c r="H13" s="68">
        <f>SUM(H5:H12)</f>
        <v>0</v>
      </c>
    </row>
    <row r="14" spans="1:8" x14ac:dyDescent="0.2">
      <c r="A14" s="47" t="s">
        <v>59</v>
      </c>
      <c r="B14" s="48"/>
      <c r="C14" s="49"/>
      <c r="D14" s="49"/>
      <c r="E14" s="55"/>
      <c r="F14" s="69"/>
      <c r="G14" s="70"/>
      <c r="H14" s="71"/>
    </row>
    <row r="15" spans="1:8" s="72" customFormat="1" ht="13.5" thickBot="1" x14ac:dyDescent="0.25">
      <c r="A15" s="73"/>
      <c r="B15" s="74"/>
      <c r="C15" s="75"/>
      <c r="D15" s="75"/>
      <c r="E15" s="76"/>
      <c r="F15" s="77"/>
      <c r="G15" s="70"/>
      <c r="H15" s="58">
        <f>SUM((E15+(E15*F15))*G15)</f>
        <v>0</v>
      </c>
    </row>
    <row r="16" spans="1:8" ht="14.25" thickTop="1" thickBot="1" x14ac:dyDescent="0.25">
      <c r="A16" s="62"/>
      <c r="B16" s="63"/>
      <c r="C16" s="64"/>
      <c r="D16" s="64"/>
      <c r="E16" s="65"/>
      <c r="F16" s="66"/>
      <c r="G16" s="67"/>
      <c r="H16" s="68">
        <f>SUM(H14:H15)</f>
        <v>0</v>
      </c>
    </row>
    <row r="17" spans="1:8" x14ac:dyDescent="0.2">
      <c r="A17" s="47" t="s">
        <v>60</v>
      </c>
      <c r="B17" s="48"/>
      <c r="C17" s="49"/>
      <c r="D17" s="49"/>
      <c r="E17" s="55"/>
      <c r="F17" s="69"/>
      <c r="G17" s="70"/>
      <c r="H17" s="71"/>
    </row>
    <row r="18" spans="1:8" x14ac:dyDescent="0.2">
      <c r="A18" s="54"/>
      <c r="B18" s="48"/>
      <c r="C18" s="49"/>
      <c r="D18" s="49"/>
      <c r="E18" s="55"/>
      <c r="F18" s="56"/>
      <c r="G18" s="70"/>
      <c r="H18" s="58"/>
    </row>
    <row r="19" spans="1:8" x14ac:dyDescent="0.2">
      <c r="A19" s="54"/>
      <c r="B19" s="48"/>
      <c r="C19" s="79"/>
      <c r="D19" s="79"/>
      <c r="E19" s="60"/>
      <c r="F19" s="56"/>
      <c r="G19" s="70"/>
      <c r="H19" s="58">
        <f t="shared" ref="H19:H28" si="0">SUM((E19+(E19*F19))*G19)</f>
        <v>0</v>
      </c>
    </row>
    <row r="20" spans="1:8" x14ac:dyDescent="0.2">
      <c r="A20" s="80"/>
      <c r="B20" s="81"/>
      <c r="C20" s="82"/>
      <c r="D20" s="82"/>
      <c r="E20" s="83"/>
      <c r="F20" s="84"/>
      <c r="G20" s="85"/>
      <c r="H20" s="58">
        <f t="shared" si="0"/>
        <v>0</v>
      </c>
    </row>
    <row r="21" spans="1:8" x14ac:dyDescent="0.2">
      <c r="A21" s="54"/>
      <c r="B21" s="48"/>
      <c r="C21" s="49"/>
      <c r="D21" s="49"/>
      <c r="E21" s="55"/>
      <c r="F21" s="56"/>
      <c r="G21" s="70"/>
      <c r="H21" s="58">
        <f t="shared" si="0"/>
        <v>0</v>
      </c>
    </row>
    <row r="22" spans="1:8" x14ac:dyDescent="0.2">
      <c r="A22" s="54"/>
      <c r="B22" s="48"/>
      <c r="C22" s="79"/>
      <c r="D22" s="86"/>
      <c r="E22" s="87"/>
      <c r="F22" s="56"/>
      <c r="G22" s="70"/>
      <c r="H22" s="58">
        <f t="shared" si="0"/>
        <v>0</v>
      </c>
    </row>
    <row r="23" spans="1:8" x14ac:dyDescent="0.2">
      <c r="A23" s="54"/>
      <c r="B23" s="48"/>
      <c r="C23" s="49"/>
      <c r="D23" s="49"/>
      <c r="E23" s="55"/>
      <c r="F23" s="56"/>
      <c r="G23" s="70"/>
      <c r="H23" s="58">
        <f t="shared" si="0"/>
        <v>0</v>
      </c>
    </row>
    <row r="24" spans="1:8" x14ac:dyDescent="0.2">
      <c r="A24" s="80"/>
      <c r="B24" s="81"/>
      <c r="C24" s="82"/>
      <c r="D24" s="88"/>
      <c r="E24" s="89"/>
      <c r="F24" s="84"/>
      <c r="G24" s="85"/>
      <c r="H24" s="58">
        <f t="shared" si="0"/>
        <v>0</v>
      </c>
    </row>
    <row r="25" spans="1:8" x14ac:dyDescent="0.2">
      <c r="A25" s="54"/>
      <c r="B25" s="48"/>
      <c r="C25" s="49"/>
      <c r="D25" s="90"/>
      <c r="E25" s="91"/>
      <c r="F25" s="56"/>
      <c r="G25" s="70"/>
      <c r="H25" s="58">
        <f t="shared" si="0"/>
        <v>0</v>
      </c>
    </row>
    <row r="26" spans="1:8" x14ac:dyDescent="0.2">
      <c r="A26" s="80"/>
      <c r="B26" s="81"/>
      <c r="C26" s="82"/>
      <c r="D26" s="88"/>
      <c r="E26" s="89"/>
      <c r="F26" s="84"/>
      <c r="G26" s="85"/>
      <c r="H26" s="58">
        <f t="shared" si="0"/>
        <v>0</v>
      </c>
    </row>
    <row r="27" spans="1:8" x14ac:dyDescent="0.2">
      <c r="A27" s="54"/>
      <c r="B27" s="92"/>
      <c r="C27" s="93"/>
      <c r="D27" s="90"/>
      <c r="E27" s="91"/>
      <c r="F27" s="56"/>
      <c r="G27" s="94"/>
      <c r="H27" s="58">
        <f t="shared" si="0"/>
        <v>0</v>
      </c>
    </row>
    <row r="28" spans="1:8" ht="13.5" thickBot="1" x14ac:dyDescent="0.25">
      <c r="A28" s="95"/>
      <c r="B28" s="96"/>
      <c r="C28" s="97"/>
      <c r="D28" s="86"/>
      <c r="E28" s="87"/>
      <c r="F28" s="56"/>
      <c r="G28" s="98"/>
      <c r="H28" s="58">
        <f t="shared" si="0"/>
        <v>0</v>
      </c>
    </row>
    <row r="29" spans="1:8" ht="14.25" thickTop="1" thickBot="1" x14ac:dyDescent="0.25">
      <c r="A29" s="62"/>
      <c r="B29" s="63"/>
      <c r="C29" s="64"/>
      <c r="D29" s="64"/>
      <c r="E29" s="65"/>
      <c r="F29" s="66"/>
      <c r="G29" s="67"/>
      <c r="H29" s="68">
        <f>SUM(H19:H28)</f>
        <v>0</v>
      </c>
    </row>
    <row r="30" spans="1:8" x14ac:dyDescent="0.2">
      <c r="A30" s="99" t="s">
        <v>61</v>
      </c>
      <c r="B30" s="100"/>
      <c r="C30" s="101"/>
      <c r="D30" s="101"/>
      <c r="E30" s="102"/>
      <c r="F30" s="69"/>
      <c r="G30" s="103"/>
      <c r="H30" s="78"/>
    </row>
    <row r="31" spans="1:8" x14ac:dyDescent="0.2">
      <c r="A31" s="95"/>
      <c r="B31" s="104"/>
      <c r="C31" s="79"/>
      <c r="D31" s="79"/>
      <c r="E31" s="60"/>
      <c r="F31" s="105"/>
      <c r="G31" s="106"/>
      <c r="H31" s="58">
        <f>SUM((E31+(E31*F31))*G31)</f>
        <v>0</v>
      </c>
    </row>
    <row r="32" spans="1:8" x14ac:dyDescent="0.2">
      <c r="A32" s="95"/>
      <c r="B32" s="104"/>
      <c r="C32" s="79"/>
      <c r="D32" s="79"/>
      <c r="E32" s="60"/>
      <c r="F32" s="105"/>
      <c r="G32" s="106"/>
      <c r="H32" s="58">
        <f>SUM((E32+(E32*F32))*G32)</f>
        <v>0</v>
      </c>
    </row>
    <row r="33" spans="1:8" ht="13.5" thickBot="1" x14ac:dyDescent="0.25">
      <c r="A33" s="107"/>
      <c r="B33" s="108"/>
      <c r="C33" s="109"/>
      <c r="D33" s="109"/>
      <c r="E33" s="110"/>
      <c r="F33" s="111"/>
      <c r="G33" s="112"/>
      <c r="H33" s="58">
        <f>SUM((E33+(E33*F33))*G33)</f>
        <v>0</v>
      </c>
    </row>
    <row r="34" spans="1:8" ht="14.25" thickTop="1" thickBot="1" x14ac:dyDescent="0.25">
      <c r="A34" s="113"/>
      <c r="B34" s="114"/>
      <c r="C34" s="115"/>
      <c r="D34" s="115"/>
      <c r="E34" s="116"/>
      <c r="F34" s="117"/>
      <c r="G34" s="118"/>
      <c r="H34" s="68">
        <f>SUM(H30:H33)</f>
        <v>0</v>
      </c>
    </row>
    <row r="35" spans="1:8" ht="13.5" thickBot="1" x14ac:dyDescent="0.25">
      <c r="A35" s="187" t="s">
        <v>62</v>
      </c>
      <c r="B35" s="188"/>
      <c r="C35" s="188"/>
      <c r="D35" s="188"/>
      <c r="E35" s="188"/>
      <c r="F35" s="189"/>
    </row>
    <row r="36" spans="1:8" ht="13.5" thickTop="1" x14ac:dyDescent="0.2">
      <c r="A36" s="119" t="s">
        <v>63</v>
      </c>
      <c r="B36" s="120" t="s">
        <v>64</v>
      </c>
      <c r="C36" s="120" t="s">
        <v>65</v>
      </c>
      <c r="D36" s="120" t="s">
        <v>66</v>
      </c>
      <c r="E36" s="120" t="s">
        <v>57</v>
      </c>
      <c r="F36" s="121" t="s">
        <v>67</v>
      </c>
      <c r="G36" s="122"/>
      <c r="H36" s="6"/>
    </row>
    <row r="37" spans="1:8" x14ac:dyDescent="0.2">
      <c r="A37" s="199" t="s">
        <v>94</v>
      </c>
      <c r="B37" s="123"/>
      <c r="C37" s="124"/>
      <c r="D37" s="123"/>
      <c r="E37" s="125"/>
      <c r="F37" s="126">
        <v>0</v>
      </c>
      <c r="G37" s="122"/>
      <c r="H37" s="6"/>
    </row>
    <row r="38" spans="1:8" x14ac:dyDescent="0.2">
      <c r="A38" s="127"/>
      <c r="B38" s="128"/>
      <c r="C38" s="129"/>
      <c r="D38" s="128"/>
      <c r="E38" s="125"/>
      <c r="F38" s="130"/>
      <c r="G38" s="122"/>
      <c r="H38" s="6"/>
    </row>
    <row r="39" spans="1:8" x14ac:dyDescent="0.2">
      <c r="A39" s="127"/>
      <c r="B39" s="131"/>
      <c r="C39" s="129"/>
      <c r="D39" s="128"/>
      <c r="E39" s="125"/>
      <c r="F39" s="132"/>
      <c r="G39" s="122"/>
      <c r="H39" s="6"/>
    </row>
    <row r="40" spans="1:8" x14ac:dyDescent="0.2">
      <c r="A40" s="127"/>
      <c r="B40" s="131"/>
      <c r="C40" s="133"/>
      <c r="D40" s="128"/>
      <c r="E40" s="125"/>
      <c r="F40" s="132"/>
      <c r="G40" s="122"/>
      <c r="H40" s="6"/>
    </row>
    <row r="41" spans="1:8" ht="13.5" thickBot="1" x14ac:dyDescent="0.25">
      <c r="A41" s="127"/>
      <c r="B41" s="131"/>
      <c r="C41" s="133"/>
      <c r="D41" s="131"/>
      <c r="E41" s="125"/>
      <c r="F41" s="132"/>
      <c r="G41" s="122"/>
      <c r="H41" s="6"/>
    </row>
    <row r="42" spans="1:8" ht="13.5" thickBot="1" x14ac:dyDescent="0.25">
      <c r="A42" s="187" t="s">
        <v>68</v>
      </c>
      <c r="B42" s="188"/>
      <c r="C42" s="188"/>
      <c r="D42" s="188"/>
      <c r="E42" s="188"/>
      <c r="F42" s="189"/>
      <c r="G42" s="122"/>
      <c r="H42" s="6"/>
    </row>
    <row r="43" spans="1:8" ht="13.5" thickTop="1" x14ac:dyDescent="0.2">
      <c r="A43" s="134"/>
      <c r="B43" s="128"/>
      <c r="C43" s="129"/>
      <c r="D43" s="128"/>
      <c r="E43" s="135"/>
      <c r="F43" s="130">
        <v>0</v>
      </c>
      <c r="G43" s="122"/>
      <c r="H43" s="6"/>
    </row>
    <row r="44" spans="1:8" x14ac:dyDescent="0.2">
      <c r="A44" s="127"/>
      <c r="B44" s="131"/>
      <c r="C44" s="133"/>
      <c r="D44" s="131"/>
      <c r="E44" s="136"/>
      <c r="F44" s="132">
        <v>0</v>
      </c>
      <c r="G44" s="122"/>
      <c r="H44" s="6"/>
    </row>
    <row r="45" spans="1:8" x14ac:dyDescent="0.2">
      <c r="A45" s="127"/>
      <c r="B45" s="131"/>
      <c r="C45" s="133"/>
      <c r="D45" s="131"/>
      <c r="E45" s="136"/>
      <c r="F45" s="132">
        <v>0</v>
      </c>
      <c r="G45" s="122"/>
      <c r="H45" s="6"/>
    </row>
    <row r="46" spans="1:8" ht="13.5" thickBot="1" x14ac:dyDescent="0.25">
      <c r="A46" s="137"/>
      <c r="B46" s="138"/>
      <c r="C46" s="139"/>
      <c r="D46" s="138"/>
      <c r="E46" s="140"/>
      <c r="F46" s="141"/>
      <c r="G46" s="122"/>
      <c r="H46" s="6"/>
    </row>
    <row r="47" spans="1:8" ht="13.5" hidden="1" thickBot="1" x14ac:dyDescent="0.25">
      <c r="A47" s="142"/>
      <c r="B47" s="143"/>
      <c r="C47" s="144"/>
      <c r="D47" s="143"/>
      <c r="E47" s="145"/>
      <c r="F47" s="146"/>
      <c r="G47" s="122"/>
      <c r="H47" s="6"/>
    </row>
    <row r="48" spans="1:8" ht="13.5" hidden="1" thickBot="1" x14ac:dyDescent="0.25">
      <c r="A48" s="142"/>
      <c r="B48" s="143"/>
      <c r="C48" s="144"/>
      <c r="D48" s="143"/>
      <c r="E48" s="145"/>
      <c r="F48" s="147"/>
      <c r="G48" s="122"/>
      <c r="H48" s="6"/>
    </row>
    <row r="49" spans="1:8" ht="13.5" hidden="1" thickBot="1" x14ac:dyDescent="0.25">
      <c r="A49" s="142"/>
      <c r="B49" s="143"/>
      <c r="C49" s="144"/>
      <c r="D49" s="143"/>
      <c r="E49" s="145"/>
      <c r="F49" s="147"/>
      <c r="G49" s="122"/>
      <c r="H49" s="6"/>
    </row>
    <row r="50" spans="1:8" ht="13.5" hidden="1" thickBot="1" x14ac:dyDescent="0.25">
      <c r="A50" s="142"/>
      <c r="B50" s="143"/>
      <c r="C50" s="144"/>
      <c r="D50" s="143"/>
      <c r="E50" s="145"/>
      <c r="F50" s="147"/>
      <c r="G50" s="122"/>
      <c r="H50" s="6"/>
    </row>
    <row r="51" spans="1:8" ht="13.5" hidden="1" thickBot="1" x14ac:dyDescent="0.25">
      <c r="A51" s="142"/>
      <c r="B51" s="148"/>
      <c r="C51" s="144"/>
      <c r="D51" s="148"/>
      <c r="E51" s="145"/>
      <c r="F51" s="149"/>
      <c r="G51" s="122"/>
      <c r="H51" s="6"/>
    </row>
    <row r="52" spans="1:8" ht="13.5" hidden="1" thickBot="1" x14ac:dyDescent="0.25">
      <c r="A52" s="142"/>
      <c r="B52" s="148"/>
      <c r="C52" s="144"/>
      <c r="D52" s="148"/>
      <c r="E52" s="145"/>
      <c r="F52" s="149"/>
      <c r="G52" s="122"/>
      <c r="H52" s="6"/>
    </row>
    <row r="53" spans="1:8" ht="13.5" hidden="1" thickBot="1" x14ac:dyDescent="0.25">
      <c r="A53" s="142"/>
      <c r="B53" s="148"/>
      <c r="C53" s="144"/>
      <c r="D53" s="148"/>
      <c r="E53" s="145"/>
      <c r="F53" s="149"/>
      <c r="G53" s="122"/>
      <c r="H53" s="6"/>
    </row>
    <row r="54" spans="1:8" ht="13.5" hidden="1" thickBot="1" x14ac:dyDescent="0.25">
      <c r="A54" s="142"/>
      <c r="B54" s="148"/>
      <c r="C54" s="144"/>
      <c r="D54" s="148"/>
      <c r="E54" s="145"/>
      <c r="F54" s="149"/>
      <c r="G54" s="122"/>
      <c r="H54" s="6"/>
    </row>
    <row r="55" spans="1:8" ht="13.5" hidden="1" thickBot="1" x14ac:dyDescent="0.25">
      <c r="A55" s="142"/>
      <c r="B55" s="148"/>
      <c r="C55" s="144"/>
      <c r="D55" s="148"/>
      <c r="E55" s="145"/>
      <c r="F55" s="149"/>
      <c r="G55" s="122"/>
      <c r="H55" s="6"/>
    </row>
    <row r="56" spans="1:8" ht="13.5" hidden="1" thickBot="1" x14ac:dyDescent="0.25">
      <c r="A56" s="142"/>
      <c r="B56" s="148"/>
      <c r="C56" s="144"/>
      <c r="D56" s="148"/>
      <c r="E56" s="145"/>
      <c r="F56" s="149"/>
      <c r="G56" s="122"/>
      <c r="H56" s="6"/>
    </row>
    <row r="57" spans="1:8" ht="13.5" hidden="1" thickBot="1" x14ac:dyDescent="0.25">
      <c r="A57" s="142"/>
      <c r="B57" s="148"/>
      <c r="C57" s="144"/>
      <c r="D57" s="148"/>
      <c r="E57" s="145"/>
      <c r="F57" s="149"/>
      <c r="G57" s="122"/>
      <c r="H57" s="6"/>
    </row>
    <row r="58" spans="1:8" ht="13.5" hidden="1" thickBot="1" x14ac:dyDescent="0.25">
      <c r="A58" s="142"/>
      <c r="B58" s="148"/>
      <c r="C58" s="144"/>
      <c r="D58" s="148"/>
      <c r="E58" s="145"/>
      <c r="F58" s="149"/>
      <c r="G58" s="122"/>
      <c r="H58" s="6"/>
    </row>
    <row r="59" spans="1:8" ht="13.5" hidden="1" thickBot="1" x14ac:dyDescent="0.25">
      <c r="A59" s="142"/>
      <c r="B59" s="148"/>
      <c r="C59" s="144"/>
      <c r="D59" s="148"/>
      <c r="E59" s="145"/>
      <c r="F59" s="149"/>
      <c r="G59" s="122"/>
      <c r="H59" s="6"/>
    </row>
    <row r="60" spans="1:8" ht="13.5" hidden="1" thickBot="1" x14ac:dyDescent="0.25">
      <c r="A60" s="142"/>
      <c r="B60" s="148"/>
      <c r="C60" s="144"/>
      <c r="D60" s="148"/>
      <c r="E60" s="145"/>
      <c r="F60" s="149"/>
      <c r="G60" s="122"/>
      <c r="H60" s="6"/>
    </row>
    <row r="61" spans="1:8" ht="13.5" hidden="1" thickBot="1" x14ac:dyDescent="0.25">
      <c r="A61" s="142"/>
      <c r="B61" s="148"/>
      <c r="C61" s="144"/>
      <c r="D61" s="148"/>
      <c r="E61" s="145"/>
      <c r="F61" s="149"/>
      <c r="G61" s="122"/>
      <c r="H61" s="6"/>
    </row>
    <row r="62" spans="1:8" ht="13.5" hidden="1" thickBot="1" x14ac:dyDescent="0.25">
      <c r="A62" s="142"/>
      <c r="B62" s="148"/>
      <c r="C62" s="144"/>
      <c r="D62" s="148"/>
      <c r="E62" s="145"/>
      <c r="F62" s="149"/>
      <c r="G62" s="122"/>
      <c r="H62" s="6"/>
    </row>
    <row r="63" spans="1:8" ht="13.5" hidden="1" thickBot="1" x14ac:dyDescent="0.25">
      <c r="A63" s="142"/>
      <c r="B63" s="148"/>
      <c r="C63" s="144"/>
      <c r="D63" s="148"/>
      <c r="E63" s="145"/>
      <c r="F63" s="149"/>
      <c r="G63" s="122"/>
      <c r="H63" s="6"/>
    </row>
    <row r="64" spans="1:8" ht="13.5" hidden="1" thickBot="1" x14ac:dyDescent="0.25">
      <c r="A64" s="142"/>
      <c r="B64" s="148"/>
      <c r="C64" s="144"/>
      <c r="D64" s="148"/>
      <c r="E64" s="145"/>
      <c r="F64" s="149"/>
      <c r="G64" s="122"/>
      <c r="H64" s="6"/>
    </row>
    <row r="65" spans="1:8" x14ac:dyDescent="0.2">
      <c r="A65" s="190" t="s">
        <v>69</v>
      </c>
      <c r="B65" s="150" t="s">
        <v>12</v>
      </c>
      <c r="C65" s="151" t="s">
        <v>91</v>
      </c>
      <c r="D65" s="152"/>
      <c r="G65" s="42"/>
    </row>
    <row r="66" spans="1:8" ht="13.5" thickBot="1" x14ac:dyDescent="0.25">
      <c r="A66" s="191"/>
      <c r="B66" s="153" t="s">
        <v>70</v>
      </c>
      <c r="C66" s="154" t="s">
        <v>92</v>
      </c>
      <c r="D66" s="155"/>
      <c r="E66" s="192" t="s">
        <v>71</v>
      </c>
      <c r="F66" s="193"/>
      <c r="G66" s="157"/>
      <c r="H66" s="198" t="s">
        <v>49</v>
      </c>
    </row>
    <row r="67" spans="1:8" ht="13.5" thickTop="1" x14ac:dyDescent="0.2">
      <c r="A67" s="158" t="s">
        <v>72</v>
      </c>
      <c r="B67" s="195">
        <v>0</v>
      </c>
      <c r="C67" s="159">
        <v>0</v>
      </c>
      <c r="D67" s="173"/>
      <c r="E67" s="160" t="s">
        <v>73</v>
      </c>
      <c r="F67" s="156"/>
      <c r="G67" s="160"/>
      <c r="H67" s="161">
        <f>H13+H16+H29+H34</f>
        <v>0</v>
      </c>
    </row>
    <row r="68" spans="1:8" x14ac:dyDescent="0.2">
      <c r="A68" s="158" t="s">
        <v>74</v>
      </c>
      <c r="B68" s="195">
        <v>0</v>
      </c>
      <c r="C68" s="159">
        <v>0</v>
      </c>
      <c r="D68" s="173"/>
      <c r="E68" s="160" t="s">
        <v>75</v>
      </c>
      <c r="F68" s="156"/>
      <c r="G68" s="160"/>
      <c r="H68" s="162">
        <f>SUM(F37:F41)</f>
        <v>0</v>
      </c>
    </row>
    <row r="69" spans="1:8" x14ac:dyDescent="0.2">
      <c r="A69" s="158" t="s">
        <v>76</v>
      </c>
      <c r="B69" s="195">
        <v>0</v>
      </c>
      <c r="C69" s="163"/>
      <c r="D69" s="173"/>
      <c r="E69" s="160" t="s">
        <v>77</v>
      </c>
      <c r="F69" s="156"/>
      <c r="G69" s="160"/>
      <c r="H69" s="162">
        <f>SUM(F43:F46)</f>
        <v>0</v>
      </c>
    </row>
    <row r="70" spans="1:8" x14ac:dyDescent="0.2">
      <c r="A70" s="158" t="s">
        <v>78</v>
      </c>
      <c r="B70" s="195">
        <v>0</v>
      </c>
      <c r="C70" s="159">
        <v>0</v>
      </c>
      <c r="D70" s="173"/>
      <c r="E70" s="160" t="s">
        <v>79</v>
      </c>
      <c r="F70" s="156"/>
      <c r="G70" s="160"/>
      <c r="H70" s="162">
        <v>0.21</v>
      </c>
    </row>
    <row r="71" spans="1:8" x14ac:dyDescent="0.2">
      <c r="A71" s="158" t="s">
        <v>49</v>
      </c>
      <c r="B71" s="195">
        <v>0</v>
      </c>
      <c r="C71" s="159">
        <v>0.08</v>
      </c>
      <c r="D71" s="173" t="e">
        <f>8*#REF!/100</f>
        <v>#REF!</v>
      </c>
      <c r="E71" s="160"/>
      <c r="F71" s="156" t="s">
        <v>80</v>
      </c>
      <c r="G71" s="160"/>
      <c r="H71" s="161">
        <f>SUM(H67:H70)</f>
        <v>0.21</v>
      </c>
    </row>
    <row r="72" spans="1:8" x14ac:dyDescent="0.2">
      <c r="A72" s="158" t="s">
        <v>81</v>
      </c>
      <c r="B72" s="195">
        <v>0</v>
      </c>
      <c r="C72" s="163">
        <v>0</v>
      </c>
      <c r="D72" s="173"/>
      <c r="F72" t="s">
        <v>82</v>
      </c>
      <c r="G72" s="164"/>
      <c r="H72" s="164">
        <f>C78</f>
        <v>0.38</v>
      </c>
    </row>
    <row r="73" spans="1:8" x14ac:dyDescent="0.2">
      <c r="A73" s="158" t="s">
        <v>83</v>
      </c>
      <c r="B73" s="195">
        <v>0</v>
      </c>
      <c r="C73" s="159">
        <v>0</v>
      </c>
      <c r="D73" s="173">
        <f>C73</f>
        <v>0</v>
      </c>
      <c r="F73" s="165" t="s">
        <v>84</v>
      </c>
      <c r="H73" s="166">
        <f>H71/((1-C78))</f>
        <v>0.33870967741935482</v>
      </c>
    </row>
    <row r="74" spans="1:8" x14ac:dyDescent="0.2">
      <c r="A74" s="158"/>
      <c r="B74" s="195">
        <v>0</v>
      </c>
      <c r="C74" s="159"/>
      <c r="D74" s="173"/>
      <c r="H74" s="167"/>
    </row>
    <row r="75" spans="1:8" x14ac:dyDescent="0.2">
      <c r="A75" s="158" t="s">
        <v>85</v>
      </c>
      <c r="B75" s="195">
        <v>0</v>
      </c>
      <c r="C75" s="159">
        <v>0.1</v>
      </c>
      <c r="D75" s="173">
        <f>B75</f>
        <v>0</v>
      </c>
      <c r="F75" s="168"/>
      <c r="H75" s="169"/>
    </row>
    <row r="76" spans="1:8" x14ac:dyDescent="0.2">
      <c r="A76" s="158" t="s">
        <v>86</v>
      </c>
      <c r="B76" s="196">
        <v>0</v>
      </c>
      <c r="C76" s="159"/>
      <c r="D76" s="173">
        <f>B76</f>
        <v>0</v>
      </c>
      <c r="H76" s="170"/>
    </row>
    <row r="77" spans="1:8" x14ac:dyDescent="0.2">
      <c r="A77" s="158" t="s">
        <v>12</v>
      </c>
      <c r="B77" s="195">
        <v>0</v>
      </c>
      <c r="C77" s="159">
        <v>0.2</v>
      </c>
      <c r="D77" s="173">
        <f>B77</f>
        <v>0</v>
      </c>
    </row>
    <row r="78" spans="1:8" x14ac:dyDescent="0.2">
      <c r="A78" s="171" t="s">
        <v>67</v>
      </c>
      <c r="B78" s="197">
        <v>0</v>
      </c>
      <c r="C78" s="172">
        <f>SUM(C67:C77)</f>
        <v>0.38</v>
      </c>
      <c r="D78" s="174" t="e">
        <f>SUM(D67:D77)</f>
        <v>#REF!</v>
      </c>
    </row>
    <row r="79" spans="1:8" x14ac:dyDescent="0.2">
      <c r="A79"/>
      <c r="B79"/>
      <c r="C79"/>
      <c r="D79"/>
    </row>
  </sheetData>
  <mergeCells count="6">
    <mergeCell ref="A35:F35"/>
    <mergeCell ref="A42:F42"/>
    <mergeCell ref="A65:A66"/>
    <mergeCell ref="E66:F66"/>
    <mergeCell ref="D2:F2"/>
    <mergeCell ref="G2:H2"/>
  </mergeCells>
  <phoneticPr fontId="3" type="noConversion"/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2700</vt:lpstr>
      <vt:lpstr>PVenda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gilmar</dc:creator>
  <cp:lastModifiedBy>aluno</cp:lastModifiedBy>
  <cp:lastPrinted>2014-08-08T17:55:21Z</cp:lastPrinted>
  <dcterms:created xsi:type="dcterms:W3CDTF">2010-12-23T11:36:59Z</dcterms:created>
  <dcterms:modified xsi:type="dcterms:W3CDTF">2014-10-17T12:13:36Z</dcterms:modified>
</cp:coreProperties>
</file>